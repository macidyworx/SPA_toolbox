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D:\SPAhub\SPAhub_repo\ZZSample_Files\Test_Files\"/>
    </mc:Choice>
  </mc:AlternateContent>
  <xr:revisionPtr revIDLastSave="0" documentId="8_{AF20F744-506D-4852-9860-85702D996A4B}" xr6:coauthVersionLast="47" xr6:coauthVersionMax="47" xr10:uidLastSave="{00000000-0000-0000-0000-000000000000}"/>
  <bookViews>
    <workbookView xWindow="-26460" yWindow="1740" windowWidth="23925" windowHeight="14460" tabRatio="873" xr2:uid="{00000000-000D-0000-FFFF-FFFF00000000}"/>
  </bookViews>
  <sheets>
    <sheet name="Main Menu" sheetId="1" r:id="rId1"/>
    <sheet name="Concepts of Print" sheetId="2" r:id="rId2"/>
    <sheet name="COP Look Up" sheetId="3" state="hidden" r:id="rId3"/>
    <sheet name="Letter ID" sheetId="4" r:id="rId4"/>
    <sheet name="LetterID Look Up" sheetId="5" state="hidden" r:id="rId5"/>
    <sheet name="Hearing &amp; Recording Sounds" sheetId="6" r:id="rId6"/>
    <sheet name="H&amp;R Look Up" sheetId="7" state="hidden" r:id="rId7"/>
    <sheet name="Word_Reading_List A" sheetId="8" r:id="rId8"/>
    <sheet name="Word_Reading_List B" sheetId="9" r:id="rId9"/>
    <sheet name="Word_Reading_List C" sheetId="10" r:id="rId10"/>
    <sheet name="WordRead Look Up" sheetId="11" state="hidden" r:id="rId11"/>
    <sheet name="Writing Vocab" sheetId="12" r:id="rId12"/>
    <sheet name="WritingVocab Look Up" sheetId="13" state="hidden"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8" l="1"/>
  <c r="H9" i="8"/>
  <c r="I9" i="8" s="1"/>
  <c r="AI9" i="8"/>
  <c r="I78" i="8"/>
  <c r="I142" i="8"/>
  <c r="I206" i="8"/>
  <c r="I270" i="8"/>
  <c r="I334" i="8"/>
  <c r="I396" i="8"/>
  <c r="I428" i="8"/>
  <c r="I460" i="8"/>
  <c r="I492" i="8"/>
  <c r="AI8" i="8"/>
  <c r="T498" i="12"/>
  <c r="T499" i="12"/>
  <c r="T500" i="12"/>
  <c r="I498" i="12"/>
  <c r="I499" i="12"/>
  <c r="I500" i="12"/>
  <c r="AI500" i="10"/>
  <c r="H500" i="10"/>
  <c r="I500" i="10" s="1"/>
  <c r="H500" i="9"/>
  <c r="I500" i="9" s="1"/>
  <c r="AI500" i="9"/>
  <c r="AI500" i="8"/>
  <c r="H500" i="8"/>
  <c r="I500" i="8" s="1"/>
  <c r="U498" i="6"/>
  <c r="U499" i="6"/>
  <c r="U500" i="6"/>
  <c r="J498" i="6"/>
  <c r="J499" i="6"/>
  <c r="J500" i="6"/>
  <c r="BV500" i="4"/>
  <c r="H500" i="4"/>
  <c r="I500" i="4"/>
  <c r="I9" i="2"/>
  <c r="H8" i="10"/>
  <c r="I8" i="10" s="1"/>
  <c r="AI8" i="10"/>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H496" i="10"/>
  <c r="I496" i="10" s="1"/>
  <c r="H497" i="10"/>
  <c r="I497" i="10" s="1"/>
  <c r="H498" i="10"/>
  <c r="I498" i="10" s="1"/>
  <c r="H10" i="8"/>
  <c r="H11" i="8"/>
  <c r="H12" i="8"/>
  <c r="T6" i="12"/>
  <c r="I6" i="12" s="1"/>
  <c r="T7" i="12"/>
  <c r="I7" i="12" s="1"/>
  <c r="T8" i="12"/>
  <c r="I8" i="12" s="1"/>
  <c r="T9" i="12"/>
  <c r="I9" i="12" s="1"/>
  <c r="T10" i="12"/>
  <c r="I10" i="12" s="1"/>
  <c r="T11" i="12"/>
  <c r="I11" i="12" s="1"/>
  <c r="T12" i="12"/>
  <c r="I12" i="12" s="1"/>
  <c r="T13" i="12"/>
  <c r="I13" i="12" s="1"/>
  <c r="T14" i="12"/>
  <c r="I14" i="12" s="1"/>
  <c r="T15" i="12"/>
  <c r="I15" i="12" s="1"/>
  <c r="T16" i="12"/>
  <c r="I16" i="12" s="1"/>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T405" i="12"/>
  <c r="T406" i="12"/>
  <c r="T407" i="12"/>
  <c r="T408" i="12"/>
  <c r="T409" i="12"/>
  <c r="T410" i="12"/>
  <c r="T411" i="12"/>
  <c r="T412" i="12"/>
  <c r="T413" i="12"/>
  <c r="T414" i="12"/>
  <c r="T415" i="12"/>
  <c r="T416" i="12"/>
  <c r="T417" i="12"/>
  <c r="T418" i="12"/>
  <c r="T419" i="12"/>
  <c r="T420" i="12"/>
  <c r="T421" i="12"/>
  <c r="T422" i="12"/>
  <c r="T423" i="12"/>
  <c r="T424" i="12"/>
  <c r="T425" i="12"/>
  <c r="T426" i="12"/>
  <c r="T427" i="12"/>
  <c r="T428" i="12"/>
  <c r="T429" i="12"/>
  <c r="T430" i="12"/>
  <c r="T431" i="12"/>
  <c r="T432" i="12"/>
  <c r="T433" i="12"/>
  <c r="T434" i="12"/>
  <c r="T435" i="12"/>
  <c r="T436" i="12"/>
  <c r="T437" i="12"/>
  <c r="T438" i="12"/>
  <c r="T439" i="12"/>
  <c r="T440" i="12"/>
  <c r="T441" i="12"/>
  <c r="T442" i="12"/>
  <c r="T443" i="12"/>
  <c r="T444" i="12"/>
  <c r="T445" i="12"/>
  <c r="T446" i="12"/>
  <c r="T447" i="12"/>
  <c r="T448" i="12"/>
  <c r="T449" i="12"/>
  <c r="T450" i="12"/>
  <c r="T451" i="12"/>
  <c r="T452" i="12"/>
  <c r="T453" i="12"/>
  <c r="T454" i="12"/>
  <c r="T455" i="12"/>
  <c r="T456" i="12"/>
  <c r="T457" i="12"/>
  <c r="T458" i="12"/>
  <c r="T459" i="12"/>
  <c r="T460" i="12"/>
  <c r="T461" i="12"/>
  <c r="T462" i="12"/>
  <c r="T463" i="12"/>
  <c r="T464" i="12"/>
  <c r="T465" i="12"/>
  <c r="T466" i="12"/>
  <c r="T467" i="12"/>
  <c r="T468" i="12"/>
  <c r="T469" i="12"/>
  <c r="T470" i="12"/>
  <c r="T471" i="12"/>
  <c r="T472" i="12"/>
  <c r="T473" i="12"/>
  <c r="T474" i="12"/>
  <c r="T475" i="12"/>
  <c r="T476" i="12"/>
  <c r="T477" i="12"/>
  <c r="T478" i="12"/>
  <c r="T479" i="12"/>
  <c r="T480" i="12"/>
  <c r="T481" i="12"/>
  <c r="T482" i="12"/>
  <c r="T483" i="12"/>
  <c r="T484" i="12"/>
  <c r="T485" i="12"/>
  <c r="T486" i="12"/>
  <c r="T487" i="12"/>
  <c r="T488" i="12"/>
  <c r="T489" i="12"/>
  <c r="T490" i="12"/>
  <c r="T491" i="12"/>
  <c r="T492" i="12"/>
  <c r="T493" i="12"/>
  <c r="T494" i="12"/>
  <c r="T495" i="12"/>
  <c r="T496" i="12"/>
  <c r="T497" i="12"/>
  <c r="Y7" i="10"/>
  <c r="H9" i="10"/>
  <c r="AI9" i="10"/>
  <c r="H10" i="10"/>
  <c r="AI10" i="10"/>
  <c r="H11" i="10"/>
  <c r="I11" i="10" s="1"/>
  <c r="AI11" i="10"/>
  <c r="H12" i="10"/>
  <c r="I12" i="10" s="1"/>
  <c r="AI12" i="10"/>
  <c r="H13" i="10"/>
  <c r="I13" i="10" s="1"/>
  <c r="AI13" i="10"/>
  <c r="H14" i="10"/>
  <c r="I14" i="10" s="1"/>
  <c r="AI14" i="10"/>
  <c r="H15" i="10"/>
  <c r="AI15" i="10"/>
  <c r="H16" i="10"/>
  <c r="AI16" i="10"/>
  <c r="H17" i="10"/>
  <c r="I17" i="10" s="1"/>
  <c r="AI17" i="10"/>
  <c r="H18" i="10"/>
  <c r="I18" i="10" s="1"/>
  <c r="AI18" i="10"/>
  <c r="H19" i="10"/>
  <c r="I19" i="10" s="1"/>
  <c r="AI19" i="10"/>
  <c r="H20" i="10"/>
  <c r="I20" i="10" s="1"/>
  <c r="AI20" i="10"/>
  <c r="H21" i="10"/>
  <c r="I21" i="10" s="1"/>
  <c r="AI21" i="10"/>
  <c r="H22" i="10"/>
  <c r="I22" i="10" s="1"/>
  <c r="AI22" i="10"/>
  <c r="H23" i="10"/>
  <c r="I23" i="10" s="1"/>
  <c r="AI23" i="10"/>
  <c r="H24" i="10"/>
  <c r="I24" i="10" s="1"/>
  <c r="AI24" i="10"/>
  <c r="H25" i="10"/>
  <c r="I25" i="10" s="1"/>
  <c r="AI25" i="10"/>
  <c r="H26" i="10"/>
  <c r="I26" i="10" s="1"/>
  <c r="AI26" i="10"/>
  <c r="H27" i="10"/>
  <c r="I27" i="10" s="1"/>
  <c r="AI27" i="10"/>
  <c r="H28" i="10"/>
  <c r="I28" i="10" s="1"/>
  <c r="AI28" i="10"/>
  <c r="H29" i="10"/>
  <c r="I29" i="10" s="1"/>
  <c r="AI29" i="10"/>
  <c r="H30" i="10"/>
  <c r="I30" i="10" s="1"/>
  <c r="AI30" i="10"/>
  <c r="H31" i="10"/>
  <c r="I31" i="10" s="1"/>
  <c r="AI31" i="10"/>
  <c r="H32" i="10"/>
  <c r="I32" i="10" s="1"/>
  <c r="AI32" i="10"/>
  <c r="H33" i="10"/>
  <c r="I33" i="10" s="1"/>
  <c r="AI33" i="10"/>
  <c r="H34" i="10"/>
  <c r="I34" i="10" s="1"/>
  <c r="AI34" i="10"/>
  <c r="H35" i="10"/>
  <c r="I35" i="10" s="1"/>
  <c r="AI35" i="10"/>
  <c r="H36" i="10"/>
  <c r="I36" i="10" s="1"/>
  <c r="AI36" i="10"/>
  <c r="H37" i="10"/>
  <c r="I37" i="10" s="1"/>
  <c r="AI37" i="10"/>
  <c r="H38" i="10"/>
  <c r="I38" i="10" s="1"/>
  <c r="AI38" i="10"/>
  <c r="H39" i="10"/>
  <c r="I39" i="10" s="1"/>
  <c r="AI39" i="10"/>
  <c r="H40" i="10"/>
  <c r="I40" i="10" s="1"/>
  <c r="AI40" i="10"/>
  <c r="H41" i="10"/>
  <c r="I41" i="10" s="1"/>
  <c r="AI41" i="10"/>
  <c r="H42" i="10"/>
  <c r="I42" i="10" s="1"/>
  <c r="AI42" i="10"/>
  <c r="H43" i="10"/>
  <c r="I43" i="10" s="1"/>
  <c r="AI43" i="10"/>
  <c r="H44" i="10"/>
  <c r="I44" i="10" s="1"/>
  <c r="AI44" i="10"/>
  <c r="H45" i="10"/>
  <c r="I45" i="10" s="1"/>
  <c r="AI45" i="10"/>
  <c r="H46" i="10"/>
  <c r="I46" i="10" s="1"/>
  <c r="AI46" i="10"/>
  <c r="H47" i="10"/>
  <c r="I47" i="10" s="1"/>
  <c r="AI47" i="10"/>
  <c r="H48" i="10"/>
  <c r="I48" i="10" s="1"/>
  <c r="AI48" i="10"/>
  <c r="H49" i="10"/>
  <c r="I49" i="10" s="1"/>
  <c r="AI49" i="10"/>
  <c r="H50" i="10"/>
  <c r="I50" i="10" s="1"/>
  <c r="AI50" i="10"/>
  <c r="H51" i="10"/>
  <c r="I51" i="10" s="1"/>
  <c r="AI51" i="10"/>
  <c r="H52" i="10"/>
  <c r="I52" i="10" s="1"/>
  <c r="AI52" i="10"/>
  <c r="H53" i="10"/>
  <c r="I53" i="10" s="1"/>
  <c r="AI53" i="10"/>
  <c r="H54" i="10"/>
  <c r="I54" i="10" s="1"/>
  <c r="AI54" i="10"/>
  <c r="H55" i="10"/>
  <c r="I55" i="10" s="1"/>
  <c r="AI55" i="10"/>
  <c r="H56" i="10"/>
  <c r="I56" i="10" s="1"/>
  <c r="AI56" i="10"/>
  <c r="H57" i="10"/>
  <c r="I57" i="10" s="1"/>
  <c r="AI57" i="10"/>
  <c r="H58" i="10"/>
  <c r="I58" i="10" s="1"/>
  <c r="AI58" i="10"/>
  <c r="H59" i="10"/>
  <c r="I59" i="10" s="1"/>
  <c r="AI59" i="10"/>
  <c r="H60" i="10"/>
  <c r="I60" i="10" s="1"/>
  <c r="AI60" i="10"/>
  <c r="H61" i="10"/>
  <c r="I61" i="10" s="1"/>
  <c r="AI61" i="10"/>
  <c r="H62" i="10"/>
  <c r="I62" i="10" s="1"/>
  <c r="AI62" i="10"/>
  <c r="H63" i="10"/>
  <c r="I63" i="10" s="1"/>
  <c r="AI63" i="10"/>
  <c r="H64" i="10"/>
  <c r="I64" i="10" s="1"/>
  <c r="AI64" i="10"/>
  <c r="H65" i="10"/>
  <c r="I65" i="10" s="1"/>
  <c r="AI65" i="10"/>
  <c r="H66" i="10"/>
  <c r="I66" i="10" s="1"/>
  <c r="AI66" i="10"/>
  <c r="H67" i="10"/>
  <c r="I67" i="10" s="1"/>
  <c r="AI67" i="10"/>
  <c r="H68" i="10"/>
  <c r="I68" i="10" s="1"/>
  <c r="AI68" i="10"/>
  <c r="H69" i="10"/>
  <c r="I69" i="10" s="1"/>
  <c r="AI69" i="10"/>
  <c r="H70" i="10"/>
  <c r="I70" i="10" s="1"/>
  <c r="AI70" i="10"/>
  <c r="H71" i="10"/>
  <c r="I71" i="10" s="1"/>
  <c r="AI71" i="10"/>
  <c r="H72" i="10"/>
  <c r="I72" i="10" s="1"/>
  <c r="AI72" i="10"/>
  <c r="H73" i="10"/>
  <c r="I73" i="10" s="1"/>
  <c r="AI73" i="10"/>
  <c r="H74" i="10"/>
  <c r="I74" i="10" s="1"/>
  <c r="AI74" i="10"/>
  <c r="H75" i="10"/>
  <c r="I75" i="10" s="1"/>
  <c r="AI75" i="10"/>
  <c r="H76" i="10"/>
  <c r="I76" i="10" s="1"/>
  <c r="AI76" i="10"/>
  <c r="H77" i="10"/>
  <c r="I77" i="10" s="1"/>
  <c r="AI77" i="10"/>
  <c r="H78" i="10"/>
  <c r="I78" i="10" s="1"/>
  <c r="AI78" i="10"/>
  <c r="H79" i="10"/>
  <c r="I79" i="10" s="1"/>
  <c r="AI79" i="10"/>
  <c r="H80" i="10"/>
  <c r="I80" i="10" s="1"/>
  <c r="AI80" i="10"/>
  <c r="H81" i="10"/>
  <c r="I81" i="10" s="1"/>
  <c r="AI81" i="10"/>
  <c r="H82" i="10"/>
  <c r="I82" i="10" s="1"/>
  <c r="AI82" i="10"/>
  <c r="H83" i="10"/>
  <c r="I83" i="10" s="1"/>
  <c r="AI83" i="10"/>
  <c r="H84" i="10"/>
  <c r="I84" i="10" s="1"/>
  <c r="AI84" i="10"/>
  <c r="H85" i="10"/>
  <c r="I85" i="10" s="1"/>
  <c r="AI85" i="10"/>
  <c r="H86" i="10"/>
  <c r="I86" i="10" s="1"/>
  <c r="AI86" i="10"/>
  <c r="H87" i="10"/>
  <c r="I87" i="10" s="1"/>
  <c r="AI87" i="10"/>
  <c r="H88" i="10"/>
  <c r="I88" i="10" s="1"/>
  <c r="AI88" i="10"/>
  <c r="H89" i="10"/>
  <c r="I89" i="10" s="1"/>
  <c r="AI89" i="10"/>
  <c r="H90" i="10"/>
  <c r="I90" i="10" s="1"/>
  <c r="AI90" i="10"/>
  <c r="H91" i="10"/>
  <c r="I91" i="10" s="1"/>
  <c r="AI91" i="10"/>
  <c r="H92" i="10"/>
  <c r="I92" i="10" s="1"/>
  <c r="AI92" i="10"/>
  <c r="H93" i="10"/>
  <c r="I93" i="10" s="1"/>
  <c r="AI93" i="10"/>
  <c r="H94" i="10"/>
  <c r="I94" i="10" s="1"/>
  <c r="AI94" i="10"/>
  <c r="H95" i="10"/>
  <c r="I95" i="10" s="1"/>
  <c r="AI95" i="10"/>
  <c r="H96" i="10"/>
  <c r="I96" i="10" s="1"/>
  <c r="AI96" i="10"/>
  <c r="H97" i="10"/>
  <c r="I97" i="10" s="1"/>
  <c r="AI97" i="10"/>
  <c r="H98" i="10"/>
  <c r="I98" i="10" s="1"/>
  <c r="AI98" i="10"/>
  <c r="H99" i="10"/>
  <c r="I99" i="10" s="1"/>
  <c r="AI99" i="10"/>
  <c r="H100" i="10"/>
  <c r="I100" i="10" s="1"/>
  <c r="AI100" i="10"/>
  <c r="H101" i="10"/>
  <c r="I101" i="10" s="1"/>
  <c r="AI101" i="10"/>
  <c r="H102" i="10"/>
  <c r="I102" i="10" s="1"/>
  <c r="AI102" i="10"/>
  <c r="H103" i="10"/>
  <c r="I103" i="10" s="1"/>
  <c r="AI103" i="10"/>
  <c r="H104" i="10"/>
  <c r="I104" i="10" s="1"/>
  <c r="AI104" i="10"/>
  <c r="H105" i="10"/>
  <c r="I105" i="10" s="1"/>
  <c r="AI105" i="10"/>
  <c r="H106" i="10"/>
  <c r="I106" i="10" s="1"/>
  <c r="AI106" i="10"/>
  <c r="H107" i="10"/>
  <c r="I107" i="10" s="1"/>
  <c r="AI107" i="10"/>
  <c r="H108" i="10"/>
  <c r="I108" i="10" s="1"/>
  <c r="AI108" i="10"/>
  <c r="H109" i="10"/>
  <c r="I109" i="10" s="1"/>
  <c r="AI109" i="10"/>
  <c r="H110" i="10"/>
  <c r="I110" i="10" s="1"/>
  <c r="AI110" i="10"/>
  <c r="H111" i="10"/>
  <c r="I111" i="10" s="1"/>
  <c r="AI111" i="10"/>
  <c r="H112" i="10"/>
  <c r="I112" i="10" s="1"/>
  <c r="AI112" i="10"/>
  <c r="H113" i="10"/>
  <c r="I113" i="10" s="1"/>
  <c r="AI113" i="10"/>
  <c r="H114" i="10"/>
  <c r="I114" i="10" s="1"/>
  <c r="AI114" i="10"/>
  <c r="H115" i="10"/>
  <c r="I115" i="10" s="1"/>
  <c r="AI115" i="10"/>
  <c r="H116" i="10"/>
  <c r="I116" i="10" s="1"/>
  <c r="AI116" i="10"/>
  <c r="H117" i="10"/>
  <c r="I117" i="10" s="1"/>
  <c r="AI117" i="10"/>
  <c r="H118" i="10"/>
  <c r="I118" i="10" s="1"/>
  <c r="AI118" i="10"/>
  <c r="H119" i="10"/>
  <c r="I119" i="10" s="1"/>
  <c r="AI119" i="10"/>
  <c r="H120" i="10"/>
  <c r="I120" i="10" s="1"/>
  <c r="AI120" i="10"/>
  <c r="H121" i="10"/>
  <c r="I121" i="10" s="1"/>
  <c r="AI121" i="10"/>
  <c r="H122" i="10"/>
  <c r="I122" i="10" s="1"/>
  <c r="AI122" i="10"/>
  <c r="H123" i="10"/>
  <c r="I123" i="10" s="1"/>
  <c r="AI123" i="10"/>
  <c r="H124" i="10"/>
  <c r="I124" i="10" s="1"/>
  <c r="AI124" i="10"/>
  <c r="H125" i="10"/>
  <c r="I125" i="10" s="1"/>
  <c r="AI125" i="10"/>
  <c r="H126" i="10"/>
  <c r="I126" i="10" s="1"/>
  <c r="AI126" i="10"/>
  <c r="H127" i="10"/>
  <c r="I127" i="10" s="1"/>
  <c r="AI127" i="10"/>
  <c r="H128" i="10"/>
  <c r="I128" i="10" s="1"/>
  <c r="AI128" i="10"/>
  <c r="H129" i="10"/>
  <c r="I129" i="10" s="1"/>
  <c r="AI129" i="10"/>
  <c r="H130" i="10"/>
  <c r="I130" i="10" s="1"/>
  <c r="AI130" i="10"/>
  <c r="H131" i="10"/>
  <c r="I131" i="10" s="1"/>
  <c r="AI131" i="10"/>
  <c r="H132" i="10"/>
  <c r="I132" i="10" s="1"/>
  <c r="AI132" i="10"/>
  <c r="H133" i="10"/>
  <c r="I133" i="10" s="1"/>
  <c r="AI133" i="10"/>
  <c r="H134" i="10"/>
  <c r="I134" i="10" s="1"/>
  <c r="AI134" i="10"/>
  <c r="H135" i="10"/>
  <c r="I135" i="10" s="1"/>
  <c r="AI135" i="10"/>
  <c r="H136" i="10"/>
  <c r="I136" i="10" s="1"/>
  <c r="AI136" i="10"/>
  <c r="H137" i="10"/>
  <c r="I137" i="10" s="1"/>
  <c r="AI137" i="10"/>
  <c r="H138" i="10"/>
  <c r="I138" i="10" s="1"/>
  <c r="AI138" i="10"/>
  <c r="H139" i="10"/>
  <c r="I139" i="10" s="1"/>
  <c r="AI139" i="10"/>
  <c r="H140" i="10"/>
  <c r="I140" i="10" s="1"/>
  <c r="AI140" i="10"/>
  <c r="H141" i="10"/>
  <c r="I141" i="10" s="1"/>
  <c r="AI141" i="10"/>
  <c r="H142" i="10"/>
  <c r="I142" i="10" s="1"/>
  <c r="AI142" i="10"/>
  <c r="H143" i="10"/>
  <c r="I143" i="10" s="1"/>
  <c r="AI143" i="10"/>
  <c r="H144" i="10"/>
  <c r="I144" i="10" s="1"/>
  <c r="AI144" i="10"/>
  <c r="H145" i="10"/>
  <c r="I145" i="10" s="1"/>
  <c r="AI145" i="10"/>
  <c r="H146" i="10"/>
  <c r="I146" i="10" s="1"/>
  <c r="AI146" i="10"/>
  <c r="H147" i="10"/>
  <c r="I147" i="10" s="1"/>
  <c r="AI147" i="10"/>
  <c r="H148" i="10"/>
  <c r="I148" i="10" s="1"/>
  <c r="AI148" i="10"/>
  <c r="H149" i="10"/>
  <c r="I149" i="10" s="1"/>
  <c r="AI149" i="10"/>
  <c r="H150" i="10"/>
  <c r="I150" i="10" s="1"/>
  <c r="AI150" i="10"/>
  <c r="H151" i="10"/>
  <c r="I151" i="10" s="1"/>
  <c r="AI151" i="10"/>
  <c r="H152" i="10"/>
  <c r="I152" i="10" s="1"/>
  <c r="AI152" i="10"/>
  <c r="H153" i="10"/>
  <c r="I153" i="10" s="1"/>
  <c r="AI153" i="10"/>
  <c r="H154" i="10"/>
  <c r="I154" i="10" s="1"/>
  <c r="AI154" i="10"/>
  <c r="H155" i="10"/>
  <c r="I155" i="10" s="1"/>
  <c r="AI155" i="10"/>
  <c r="H156" i="10"/>
  <c r="I156" i="10" s="1"/>
  <c r="AI156" i="10"/>
  <c r="H157" i="10"/>
  <c r="I157" i="10" s="1"/>
  <c r="AI157" i="10"/>
  <c r="H158" i="10"/>
  <c r="I158" i="10" s="1"/>
  <c r="AI158" i="10"/>
  <c r="H159" i="10"/>
  <c r="I159" i="10" s="1"/>
  <c r="AI159" i="10"/>
  <c r="H160" i="10"/>
  <c r="I160" i="10" s="1"/>
  <c r="AI160" i="10"/>
  <c r="H161" i="10"/>
  <c r="I161" i="10" s="1"/>
  <c r="AI161" i="10"/>
  <c r="H162" i="10"/>
  <c r="I162" i="10" s="1"/>
  <c r="AI162" i="10"/>
  <c r="H163" i="10"/>
  <c r="I163" i="10" s="1"/>
  <c r="AI163" i="10"/>
  <c r="H164" i="10"/>
  <c r="I164" i="10" s="1"/>
  <c r="AI164" i="10"/>
  <c r="H165" i="10"/>
  <c r="I165" i="10" s="1"/>
  <c r="AI165" i="10"/>
  <c r="H166" i="10"/>
  <c r="I166" i="10" s="1"/>
  <c r="AI166" i="10"/>
  <c r="H167" i="10"/>
  <c r="I167" i="10" s="1"/>
  <c r="AI167" i="10"/>
  <c r="H168" i="10"/>
  <c r="I168" i="10" s="1"/>
  <c r="AI168" i="10"/>
  <c r="H169" i="10"/>
  <c r="I169" i="10" s="1"/>
  <c r="AI169" i="10"/>
  <c r="H170" i="10"/>
  <c r="I170" i="10" s="1"/>
  <c r="AI170" i="10"/>
  <c r="H171" i="10"/>
  <c r="I171" i="10" s="1"/>
  <c r="AI171" i="10"/>
  <c r="H172" i="10"/>
  <c r="I172" i="10" s="1"/>
  <c r="AI172" i="10"/>
  <c r="H173" i="10"/>
  <c r="I173" i="10" s="1"/>
  <c r="AI173" i="10"/>
  <c r="H174" i="10"/>
  <c r="I174" i="10" s="1"/>
  <c r="AI174" i="10"/>
  <c r="H175" i="10"/>
  <c r="I175" i="10" s="1"/>
  <c r="AI175" i="10"/>
  <c r="H176" i="10"/>
  <c r="I176" i="10" s="1"/>
  <c r="AI176" i="10"/>
  <c r="H177" i="10"/>
  <c r="I177" i="10" s="1"/>
  <c r="AI177" i="10"/>
  <c r="H178" i="10"/>
  <c r="I178" i="10" s="1"/>
  <c r="AI178" i="10"/>
  <c r="H179" i="10"/>
  <c r="I179" i="10" s="1"/>
  <c r="AI179" i="10"/>
  <c r="H180" i="10"/>
  <c r="I180" i="10" s="1"/>
  <c r="AI180" i="10"/>
  <c r="H181" i="10"/>
  <c r="I181" i="10" s="1"/>
  <c r="AI181" i="10"/>
  <c r="H182" i="10"/>
  <c r="I182" i="10" s="1"/>
  <c r="AI182" i="10"/>
  <c r="H183" i="10"/>
  <c r="I183" i="10" s="1"/>
  <c r="AI183" i="10"/>
  <c r="H184" i="10"/>
  <c r="I184" i="10" s="1"/>
  <c r="AI184" i="10"/>
  <c r="H185" i="10"/>
  <c r="I185" i="10" s="1"/>
  <c r="AI185" i="10"/>
  <c r="H186" i="10"/>
  <c r="I186" i="10" s="1"/>
  <c r="AI186" i="10"/>
  <c r="H187" i="10"/>
  <c r="I187" i="10" s="1"/>
  <c r="AI187" i="10"/>
  <c r="H188" i="10"/>
  <c r="I188" i="10" s="1"/>
  <c r="AI188" i="10"/>
  <c r="H189" i="10"/>
  <c r="I189" i="10" s="1"/>
  <c r="AI189" i="10"/>
  <c r="H190" i="10"/>
  <c r="I190" i="10" s="1"/>
  <c r="AI190" i="10"/>
  <c r="H191" i="10"/>
  <c r="I191" i="10" s="1"/>
  <c r="AI191" i="10"/>
  <c r="H192" i="10"/>
  <c r="I192" i="10" s="1"/>
  <c r="AI192" i="10"/>
  <c r="H193" i="10"/>
  <c r="I193" i="10" s="1"/>
  <c r="AI193" i="10"/>
  <c r="H194" i="10"/>
  <c r="I194" i="10" s="1"/>
  <c r="AI194" i="10"/>
  <c r="H195" i="10"/>
  <c r="I195" i="10" s="1"/>
  <c r="AI195" i="10"/>
  <c r="H196" i="10"/>
  <c r="I196" i="10" s="1"/>
  <c r="AI196" i="10"/>
  <c r="H197" i="10"/>
  <c r="I197" i="10" s="1"/>
  <c r="AI197" i="10"/>
  <c r="H198" i="10"/>
  <c r="I198" i="10" s="1"/>
  <c r="AI198" i="10"/>
  <c r="H199" i="10"/>
  <c r="I199" i="10" s="1"/>
  <c r="AI199" i="10"/>
  <c r="H200" i="10"/>
  <c r="I200" i="10" s="1"/>
  <c r="AI200" i="10"/>
  <c r="H201" i="10"/>
  <c r="I201" i="10" s="1"/>
  <c r="AI201" i="10"/>
  <c r="H202" i="10"/>
  <c r="I202" i="10" s="1"/>
  <c r="AI202" i="10"/>
  <c r="H203" i="10"/>
  <c r="I203" i="10" s="1"/>
  <c r="AI203" i="10"/>
  <c r="H204" i="10"/>
  <c r="I204" i="10" s="1"/>
  <c r="AI204" i="10"/>
  <c r="H205" i="10"/>
  <c r="I205" i="10" s="1"/>
  <c r="AI205" i="10"/>
  <c r="H206" i="10"/>
  <c r="I206" i="10" s="1"/>
  <c r="AI206" i="10"/>
  <c r="H207" i="10"/>
  <c r="I207" i="10" s="1"/>
  <c r="AI207" i="10"/>
  <c r="H208" i="10"/>
  <c r="I208" i="10" s="1"/>
  <c r="AI208" i="10"/>
  <c r="H209" i="10"/>
  <c r="I209" i="10" s="1"/>
  <c r="AI209" i="10"/>
  <c r="H210" i="10"/>
  <c r="I210" i="10" s="1"/>
  <c r="AI210" i="10"/>
  <c r="H211" i="10"/>
  <c r="I211" i="10" s="1"/>
  <c r="AI211" i="10"/>
  <c r="H212" i="10"/>
  <c r="I212" i="10" s="1"/>
  <c r="AI212" i="10"/>
  <c r="H213" i="10"/>
  <c r="I213" i="10" s="1"/>
  <c r="AI213" i="10"/>
  <c r="H214" i="10"/>
  <c r="I214" i="10" s="1"/>
  <c r="AI214" i="10"/>
  <c r="H215" i="10"/>
  <c r="I215" i="10" s="1"/>
  <c r="AI215" i="10"/>
  <c r="H216" i="10"/>
  <c r="I216" i="10" s="1"/>
  <c r="AI216" i="10"/>
  <c r="H217" i="10"/>
  <c r="I217" i="10" s="1"/>
  <c r="AI217" i="10"/>
  <c r="H218" i="10"/>
  <c r="I218" i="10" s="1"/>
  <c r="AI218" i="10"/>
  <c r="H219" i="10"/>
  <c r="I219" i="10" s="1"/>
  <c r="AI219" i="10"/>
  <c r="H220" i="10"/>
  <c r="I220" i="10" s="1"/>
  <c r="AI220" i="10"/>
  <c r="H221" i="10"/>
  <c r="I221" i="10" s="1"/>
  <c r="AI221" i="10"/>
  <c r="H222" i="10"/>
  <c r="I222" i="10" s="1"/>
  <c r="AI222" i="10"/>
  <c r="H223" i="10"/>
  <c r="I223" i="10" s="1"/>
  <c r="AI223" i="10"/>
  <c r="H224" i="10"/>
  <c r="I224" i="10" s="1"/>
  <c r="AI224" i="10"/>
  <c r="H225" i="10"/>
  <c r="I225" i="10" s="1"/>
  <c r="AI225" i="10"/>
  <c r="H226" i="10"/>
  <c r="I226" i="10" s="1"/>
  <c r="AI226" i="10"/>
  <c r="H227" i="10"/>
  <c r="I227" i="10" s="1"/>
  <c r="AI227" i="10"/>
  <c r="H228" i="10"/>
  <c r="I228" i="10" s="1"/>
  <c r="AI228" i="10"/>
  <c r="H229" i="10"/>
  <c r="I229" i="10" s="1"/>
  <c r="AI229" i="10"/>
  <c r="H230" i="10"/>
  <c r="I230" i="10" s="1"/>
  <c r="AI230" i="10"/>
  <c r="H231" i="10"/>
  <c r="I231" i="10" s="1"/>
  <c r="AI231" i="10"/>
  <c r="H232" i="10"/>
  <c r="I232" i="10" s="1"/>
  <c r="AI232" i="10"/>
  <c r="H233" i="10"/>
  <c r="I233" i="10" s="1"/>
  <c r="AI233" i="10"/>
  <c r="H234" i="10"/>
  <c r="I234" i="10" s="1"/>
  <c r="AI234" i="10"/>
  <c r="H235" i="10"/>
  <c r="I235" i="10" s="1"/>
  <c r="AI235" i="10"/>
  <c r="H236" i="10"/>
  <c r="I236" i="10" s="1"/>
  <c r="AI236" i="10"/>
  <c r="H237" i="10"/>
  <c r="I237" i="10" s="1"/>
  <c r="AI237" i="10"/>
  <c r="H238" i="10"/>
  <c r="I238" i="10" s="1"/>
  <c r="AI238" i="10"/>
  <c r="H239" i="10"/>
  <c r="I239" i="10" s="1"/>
  <c r="AI239" i="10"/>
  <c r="H240" i="10"/>
  <c r="I240" i="10" s="1"/>
  <c r="AI240" i="10"/>
  <c r="H241" i="10"/>
  <c r="I241" i="10" s="1"/>
  <c r="AI241" i="10"/>
  <c r="H242" i="10"/>
  <c r="I242" i="10" s="1"/>
  <c r="AI242" i="10"/>
  <c r="H243" i="10"/>
  <c r="I243" i="10" s="1"/>
  <c r="AI243" i="10"/>
  <c r="H244" i="10"/>
  <c r="I244" i="10" s="1"/>
  <c r="AI244" i="10"/>
  <c r="H245" i="10"/>
  <c r="I245" i="10" s="1"/>
  <c r="AI245" i="10"/>
  <c r="H246" i="10"/>
  <c r="I246" i="10" s="1"/>
  <c r="AI246" i="10"/>
  <c r="H247" i="10"/>
  <c r="I247" i="10" s="1"/>
  <c r="AI247" i="10"/>
  <c r="H248" i="10"/>
  <c r="I248" i="10" s="1"/>
  <c r="AI248" i="10"/>
  <c r="H249" i="10"/>
  <c r="I249" i="10" s="1"/>
  <c r="AI249" i="10"/>
  <c r="H250" i="10"/>
  <c r="I250" i="10" s="1"/>
  <c r="AI250" i="10"/>
  <c r="H251" i="10"/>
  <c r="I251" i="10" s="1"/>
  <c r="AI251" i="10"/>
  <c r="H252" i="10"/>
  <c r="I252" i="10" s="1"/>
  <c r="AI252" i="10"/>
  <c r="H253" i="10"/>
  <c r="I253" i="10" s="1"/>
  <c r="AI253" i="10"/>
  <c r="H254" i="10"/>
  <c r="I254" i="10" s="1"/>
  <c r="AI254" i="10"/>
  <c r="H255" i="10"/>
  <c r="I255" i="10" s="1"/>
  <c r="AI255" i="10"/>
  <c r="H256" i="10"/>
  <c r="I256" i="10" s="1"/>
  <c r="AI256" i="10"/>
  <c r="H257" i="10"/>
  <c r="I257" i="10" s="1"/>
  <c r="AI257" i="10"/>
  <c r="H258" i="10"/>
  <c r="I258" i="10" s="1"/>
  <c r="AI258" i="10"/>
  <c r="H259" i="10"/>
  <c r="I259" i="10" s="1"/>
  <c r="AI259" i="10"/>
  <c r="H260" i="10"/>
  <c r="I260" i="10" s="1"/>
  <c r="AI260" i="10"/>
  <c r="H261" i="10"/>
  <c r="I261" i="10" s="1"/>
  <c r="AI261" i="10"/>
  <c r="H262" i="10"/>
  <c r="I262" i="10" s="1"/>
  <c r="AI262" i="10"/>
  <c r="H263" i="10"/>
  <c r="I263" i="10" s="1"/>
  <c r="AI263" i="10"/>
  <c r="H264" i="10"/>
  <c r="I264" i="10" s="1"/>
  <c r="AI264" i="10"/>
  <c r="H265" i="10"/>
  <c r="I265" i="10" s="1"/>
  <c r="AI265" i="10"/>
  <c r="H266" i="10"/>
  <c r="I266" i="10" s="1"/>
  <c r="AI266" i="10"/>
  <c r="H267" i="10"/>
  <c r="I267" i="10" s="1"/>
  <c r="AI267" i="10"/>
  <c r="H268" i="10"/>
  <c r="I268" i="10" s="1"/>
  <c r="AI268" i="10"/>
  <c r="H269" i="10"/>
  <c r="I269" i="10" s="1"/>
  <c r="AI269" i="10"/>
  <c r="H270" i="10"/>
  <c r="I270" i="10" s="1"/>
  <c r="AI270" i="10"/>
  <c r="H271" i="10"/>
  <c r="I271" i="10" s="1"/>
  <c r="AI271" i="10"/>
  <c r="H272" i="10"/>
  <c r="I272" i="10" s="1"/>
  <c r="AI272" i="10"/>
  <c r="H273" i="10"/>
  <c r="I273" i="10" s="1"/>
  <c r="AI273" i="10"/>
  <c r="H274" i="10"/>
  <c r="I274" i="10" s="1"/>
  <c r="AI274" i="10"/>
  <c r="H275" i="10"/>
  <c r="I275" i="10" s="1"/>
  <c r="AI275" i="10"/>
  <c r="H276" i="10"/>
  <c r="I276" i="10" s="1"/>
  <c r="AI276" i="10"/>
  <c r="H277" i="10"/>
  <c r="I277" i="10" s="1"/>
  <c r="AI277" i="10"/>
  <c r="H278" i="10"/>
  <c r="I278" i="10" s="1"/>
  <c r="AI278" i="10"/>
  <c r="H279" i="10"/>
  <c r="I279" i="10" s="1"/>
  <c r="AI279" i="10"/>
  <c r="H280" i="10"/>
  <c r="I280" i="10" s="1"/>
  <c r="AI280" i="10"/>
  <c r="H281" i="10"/>
  <c r="I281" i="10" s="1"/>
  <c r="AI281" i="10"/>
  <c r="H282" i="10"/>
  <c r="I282" i="10" s="1"/>
  <c r="AI282" i="10"/>
  <c r="H283" i="10"/>
  <c r="I283" i="10" s="1"/>
  <c r="AI283" i="10"/>
  <c r="H284" i="10"/>
  <c r="I284" i="10" s="1"/>
  <c r="AI284" i="10"/>
  <c r="H285" i="10"/>
  <c r="I285" i="10" s="1"/>
  <c r="AI285" i="10"/>
  <c r="H286" i="10"/>
  <c r="I286" i="10" s="1"/>
  <c r="AI286" i="10"/>
  <c r="H287" i="10"/>
  <c r="I287" i="10" s="1"/>
  <c r="AI287" i="10"/>
  <c r="H288" i="10"/>
  <c r="I288" i="10" s="1"/>
  <c r="AI288" i="10"/>
  <c r="H289" i="10"/>
  <c r="I289" i="10" s="1"/>
  <c r="AI289" i="10"/>
  <c r="H290" i="10"/>
  <c r="I290" i="10" s="1"/>
  <c r="AI290" i="10"/>
  <c r="H291" i="10"/>
  <c r="I291" i="10" s="1"/>
  <c r="AI291" i="10"/>
  <c r="H292" i="10"/>
  <c r="I292" i="10" s="1"/>
  <c r="AI292" i="10"/>
  <c r="H293" i="10"/>
  <c r="I293" i="10" s="1"/>
  <c r="AI293" i="10"/>
  <c r="H294" i="10"/>
  <c r="I294" i="10" s="1"/>
  <c r="AI294" i="10"/>
  <c r="H295" i="10"/>
  <c r="I295" i="10" s="1"/>
  <c r="AI295" i="10"/>
  <c r="H296" i="10"/>
  <c r="I296" i="10" s="1"/>
  <c r="AI296" i="10"/>
  <c r="H297" i="10"/>
  <c r="I297" i="10" s="1"/>
  <c r="AI297" i="10"/>
  <c r="H298" i="10"/>
  <c r="I298" i="10" s="1"/>
  <c r="AI298" i="10"/>
  <c r="H299" i="10"/>
  <c r="I299" i="10" s="1"/>
  <c r="AI299" i="10"/>
  <c r="H300" i="10"/>
  <c r="I300" i="10" s="1"/>
  <c r="AI300" i="10"/>
  <c r="H301" i="10"/>
  <c r="I301" i="10" s="1"/>
  <c r="AI301" i="10"/>
  <c r="H302" i="10"/>
  <c r="I302" i="10" s="1"/>
  <c r="AI302" i="10"/>
  <c r="H303" i="10"/>
  <c r="I303" i="10" s="1"/>
  <c r="AI303" i="10"/>
  <c r="H304" i="10"/>
  <c r="I304" i="10" s="1"/>
  <c r="AI304" i="10"/>
  <c r="H305" i="10"/>
  <c r="I305" i="10" s="1"/>
  <c r="AI305" i="10"/>
  <c r="H306" i="10"/>
  <c r="I306" i="10" s="1"/>
  <c r="AI306" i="10"/>
  <c r="H307" i="10"/>
  <c r="I307" i="10" s="1"/>
  <c r="AI307" i="10"/>
  <c r="H308" i="10"/>
  <c r="I308" i="10" s="1"/>
  <c r="AI308" i="10"/>
  <c r="H309" i="10"/>
  <c r="I309" i="10" s="1"/>
  <c r="AI309" i="10"/>
  <c r="H310" i="10"/>
  <c r="I310" i="10" s="1"/>
  <c r="AI310" i="10"/>
  <c r="H311" i="10"/>
  <c r="I311" i="10" s="1"/>
  <c r="AI311" i="10"/>
  <c r="H312" i="10"/>
  <c r="I312" i="10" s="1"/>
  <c r="AI312" i="10"/>
  <c r="H313" i="10"/>
  <c r="I313" i="10" s="1"/>
  <c r="AI313" i="10"/>
  <c r="H314" i="10"/>
  <c r="I314" i="10" s="1"/>
  <c r="AI314" i="10"/>
  <c r="H315" i="10"/>
  <c r="I315" i="10" s="1"/>
  <c r="AI315" i="10"/>
  <c r="H316" i="10"/>
  <c r="I316" i="10" s="1"/>
  <c r="AI316" i="10"/>
  <c r="H317" i="10"/>
  <c r="I317" i="10" s="1"/>
  <c r="AI317" i="10"/>
  <c r="H318" i="10"/>
  <c r="I318" i="10" s="1"/>
  <c r="AI318" i="10"/>
  <c r="H319" i="10"/>
  <c r="I319" i="10" s="1"/>
  <c r="AI319" i="10"/>
  <c r="H320" i="10"/>
  <c r="I320" i="10" s="1"/>
  <c r="AI320" i="10"/>
  <c r="H321" i="10"/>
  <c r="I321" i="10" s="1"/>
  <c r="AI321" i="10"/>
  <c r="H322" i="10"/>
  <c r="I322" i="10" s="1"/>
  <c r="AI322" i="10"/>
  <c r="H323" i="10"/>
  <c r="I323" i="10" s="1"/>
  <c r="AI323" i="10"/>
  <c r="H324" i="10"/>
  <c r="I324" i="10" s="1"/>
  <c r="AI324" i="10"/>
  <c r="H325" i="10"/>
  <c r="I325" i="10" s="1"/>
  <c r="AI325" i="10"/>
  <c r="H326" i="10"/>
  <c r="I326" i="10" s="1"/>
  <c r="AI326" i="10"/>
  <c r="H327" i="10"/>
  <c r="I327" i="10" s="1"/>
  <c r="AI327" i="10"/>
  <c r="H328" i="10"/>
  <c r="I328" i="10" s="1"/>
  <c r="AI328" i="10"/>
  <c r="H329" i="10"/>
  <c r="I329" i="10" s="1"/>
  <c r="AI329" i="10"/>
  <c r="H330" i="10"/>
  <c r="I330" i="10" s="1"/>
  <c r="AI330" i="10"/>
  <c r="H331" i="10"/>
  <c r="I331" i="10" s="1"/>
  <c r="AI331" i="10"/>
  <c r="H332" i="10"/>
  <c r="I332" i="10" s="1"/>
  <c r="AI332" i="10"/>
  <c r="H333" i="10"/>
  <c r="I333" i="10" s="1"/>
  <c r="AI333" i="10"/>
  <c r="H334" i="10"/>
  <c r="I334" i="10" s="1"/>
  <c r="AI334" i="10"/>
  <c r="H335" i="10"/>
  <c r="I335" i="10" s="1"/>
  <c r="AI335" i="10"/>
  <c r="H336" i="10"/>
  <c r="I336" i="10" s="1"/>
  <c r="AI336" i="10"/>
  <c r="H337" i="10"/>
  <c r="I337" i="10" s="1"/>
  <c r="AI337" i="10"/>
  <c r="H338" i="10"/>
  <c r="I338" i="10" s="1"/>
  <c r="AI338" i="10"/>
  <c r="H339" i="10"/>
  <c r="I339" i="10" s="1"/>
  <c r="AI339" i="10"/>
  <c r="H340" i="10"/>
  <c r="I340" i="10" s="1"/>
  <c r="AI340" i="10"/>
  <c r="H341" i="10"/>
  <c r="I341" i="10" s="1"/>
  <c r="AI341" i="10"/>
  <c r="H342" i="10"/>
  <c r="I342" i="10" s="1"/>
  <c r="AI342" i="10"/>
  <c r="H343" i="10"/>
  <c r="I343" i="10" s="1"/>
  <c r="AI343" i="10"/>
  <c r="H344" i="10"/>
  <c r="I344" i="10" s="1"/>
  <c r="AI344" i="10"/>
  <c r="H345" i="10"/>
  <c r="I345" i="10" s="1"/>
  <c r="AI345" i="10"/>
  <c r="H346" i="10"/>
  <c r="I346" i="10" s="1"/>
  <c r="AI346" i="10"/>
  <c r="H347" i="10"/>
  <c r="I347" i="10" s="1"/>
  <c r="AI347" i="10"/>
  <c r="H348" i="10"/>
  <c r="I348" i="10" s="1"/>
  <c r="AI348" i="10"/>
  <c r="H349" i="10"/>
  <c r="I349" i="10" s="1"/>
  <c r="AI349" i="10"/>
  <c r="H350" i="10"/>
  <c r="I350" i="10" s="1"/>
  <c r="AI350" i="10"/>
  <c r="H351" i="10"/>
  <c r="I351" i="10" s="1"/>
  <c r="AI351" i="10"/>
  <c r="H352" i="10"/>
  <c r="I352" i="10" s="1"/>
  <c r="AI352" i="10"/>
  <c r="H353" i="10"/>
  <c r="I353" i="10" s="1"/>
  <c r="AI353" i="10"/>
  <c r="H354" i="10"/>
  <c r="I354" i="10" s="1"/>
  <c r="AI354" i="10"/>
  <c r="H355" i="10"/>
  <c r="I355" i="10" s="1"/>
  <c r="AI355" i="10"/>
  <c r="H356" i="10"/>
  <c r="I356" i="10" s="1"/>
  <c r="AI356" i="10"/>
  <c r="H357" i="10"/>
  <c r="I357" i="10" s="1"/>
  <c r="AI357" i="10"/>
  <c r="H358" i="10"/>
  <c r="I358" i="10" s="1"/>
  <c r="AI358" i="10"/>
  <c r="H359" i="10"/>
  <c r="I359" i="10" s="1"/>
  <c r="AI359" i="10"/>
  <c r="H360" i="10"/>
  <c r="I360" i="10" s="1"/>
  <c r="AI360" i="10"/>
  <c r="H361" i="10"/>
  <c r="I361" i="10" s="1"/>
  <c r="AI361" i="10"/>
  <c r="H362" i="10"/>
  <c r="I362" i="10" s="1"/>
  <c r="AI362" i="10"/>
  <c r="H363" i="10"/>
  <c r="I363" i="10" s="1"/>
  <c r="AI363" i="10"/>
  <c r="H364" i="10"/>
  <c r="I364" i="10" s="1"/>
  <c r="AI364" i="10"/>
  <c r="H365" i="10"/>
  <c r="I365" i="10" s="1"/>
  <c r="AI365" i="10"/>
  <c r="H366" i="10"/>
  <c r="I366" i="10" s="1"/>
  <c r="AI366" i="10"/>
  <c r="H367" i="10"/>
  <c r="I367" i="10" s="1"/>
  <c r="AI367" i="10"/>
  <c r="H368" i="10"/>
  <c r="I368" i="10" s="1"/>
  <c r="AI368" i="10"/>
  <c r="H369" i="10"/>
  <c r="I369" i="10" s="1"/>
  <c r="AI369" i="10"/>
  <c r="H370" i="10"/>
  <c r="I370" i="10" s="1"/>
  <c r="AI370" i="10"/>
  <c r="H371" i="10"/>
  <c r="I371" i="10" s="1"/>
  <c r="AI371" i="10"/>
  <c r="H372" i="10"/>
  <c r="I372" i="10" s="1"/>
  <c r="AI372" i="10"/>
  <c r="H373" i="10"/>
  <c r="I373" i="10" s="1"/>
  <c r="AI373" i="10"/>
  <c r="H374" i="10"/>
  <c r="I374" i="10" s="1"/>
  <c r="AI374" i="10"/>
  <c r="H375" i="10"/>
  <c r="I375" i="10" s="1"/>
  <c r="AI375" i="10"/>
  <c r="H376" i="10"/>
  <c r="I376" i="10" s="1"/>
  <c r="AI376" i="10"/>
  <c r="H377" i="10"/>
  <c r="I377" i="10" s="1"/>
  <c r="AI377" i="10"/>
  <c r="H378" i="10"/>
  <c r="I378" i="10" s="1"/>
  <c r="AI378" i="10"/>
  <c r="H379" i="10"/>
  <c r="I379" i="10" s="1"/>
  <c r="AI379" i="10"/>
  <c r="H380" i="10"/>
  <c r="I380" i="10" s="1"/>
  <c r="AI380" i="10"/>
  <c r="H381" i="10"/>
  <c r="I381" i="10" s="1"/>
  <c r="AI381" i="10"/>
  <c r="H382" i="10"/>
  <c r="I382" i="10" s="1"/>
  <c r="AI382" i="10"/>
  <c r="H383" i="10"/>
  <c r="I383" i="10" s="1"/>
  <c r="AI383" i="10"/>
  <c r="H384" i="10"/>
  <c r="I384" i="10" s="1"/>
  <c r="AI384" i="10"/>
  <c r="H385" i="10"/>
  <c r="I385" i="10" s="1"/>
  <c r="AI385" i="10"/>
  <c r="H386" i="10"/>
  <c r="I386" i="10" s="1"/>
  <c r="AI386" i="10"/>
  <c r="H387" i="10"/>
  <c r="I387" i="10" s="1"/>
  <c r="AI387" i="10"/>
  <c r="H388" i="10"/>
  <c r="I388" i="10" s="1"/>
  <c r="AI388" i="10"/>
  <c r="H389" i="10"/>
  <c r="I389" i="10" s="1"/>
  <c r="AI389" i="10"/>
  <c r="H390" i="10"/>
  <c r="I390" i="10" s="1"/>
  <c r="AI390" i="10"/>
  <c r="H391" i="10"/>
  <c r="I391" i="10" s="1"/>
  <c r="AI391" i="10"/>
  <c r="H392" i="10"/>
  <c r="I392" i="10" s="1"/>
  <c r="AI392" i="10"/>
  <c r="H393" i="10"/>
  <c r="I393" i="10" s="1"/>
  <c r="AI393" i="10"/>
  <c r="H394" i="10"/>
  <c r="I394" i="10" s="1"/>
  <c r="AI394" i="10"/>
  <c r="H395" i="10"/>
  <c r="I395" i="10" s="1"/>
  <c r="AI395" i="10"/>
  <c r="H396" i="10"/>
  <c r="I396" i="10" s="1"/>
  <c r="AI396" i="10"/>
  <c r="H397" i="10"/>
  <c r="I397" i="10" s="1"/>
  <c r="AI397" i="10"/>
  <c r="H398" i="10"/>
  <c r="I398" i="10" s="1"/>
  <c r="AI398" i="10"/>
  <c r="H399" i="10"/>
  <c r="I399" i="10" s="1"/>
  <c r="AI399" i="10"/>
  <c r="H400" i="10"/>
  <c r="I400" i="10" s="1"/>
  <c r="AI400" i="10"/>
  <c r="H401" i="10"/>
  <c r="I401" i="10" s="1"/>
  <c r="AI401" i="10"/>
  <c r="H402" i="10"/>
  <c r="I402" i="10" s="1"/>
  <c r="AI402" i="10"/>
  <c r="H403" i="10"/>
  <c r="I403" i="10" s="1"/>
  <c r="AI403" i="10"/>
  <c r="H404" i="10"/>
  <c r="I404" i="10" s="1"/>
  <c r="AI404" i="10"/>
  <c r="H405" i="10"/>
  <c r="I405" i="10" s="1"/>
  <c r="AI405" i="10"/>
  <c r="H406" i="10"/>
  <c r="I406" i="10" s="1"/>
  <c r="AI406" i="10"/>
  <c r="H407" i="10"/>
  <c r="I407" i="10" s="1"/>
  <c r="AI407" i="10"/>
  <c r="H408" i="10"/>
  <c r="I408" i="10" s="1"/>
  <c r="AI408" i="10"/>
  <c r="H409" i="10"/>
  <c r="I409" i="10" s="1"/>
  <c r="AI409" i="10"/>
  <c r="H410" i="10"/>
  <c r="I410" i="10" s="1"/>
  <c r="AI410" i="10"/>
  <c r="H411" i="10"/>
  <c r="I411" i="10" s="1"/>
  <c r="AI411" i="10"/>
  <c r="H412" i="10"/>
  <c r="I412" i="10" s="1"/>
  <c r="AI412" i="10"/>
  <c r="H413" i="10"/>
  <c r="I413" i="10" s="1"/>
  <c r="AI413" i="10"/>
  <c r="H414" i="10"/>
  <c r="I414" i="10" s="1"/>
  <c r="AI414" i="10"/>
  <c r="H415" i="10"/>
  <c r="I415" i="10" s="1"/>
  <c r="AI415" i="10"/>
  <c r="H416" i="10"/>
  <c r="I416" i="10" s="1"/>
  <c r="AI416" i="10"/>
  <c r="H417" i="10"/>
  <c r="I417" i="10" s="1"/>
  <c r="AI417" i="10"/>
  <c r="H418" i="10"/>
  <c r="I418" i="10" s="1"/>
  <c r="AI418" i="10"/>
  <c r="H419" i="10"/>
  <c r="I419" i="10" s="1"/>
  <c r="AI419" i="10"/>
  <c r="H420" i="10"/>
  <c r="I420" i="10" s="1"/>
  <c r="AI420" i="10"/>
  <c r="H421" i="10"/>
  <c r="I421" i="10" s="1"/>
  <c r="AI421" i="10"/>
  <c r="H422" i="10"/>
  <c r="I422" i="10" s="1"/>
  <c r="AI422" i="10"/>
  <c r="H423" i="10"/>
  <c r="I423" i="10" s="1"/>
  <c r="AI423" i="10"/>
  <c r="H424" i="10"/>
  <c r="I424" i="10" s="1"/>
  <c r="AI424" i="10"/>
  <c r="H425" i="10"/>
  <c r="I425" i="10" s="1"/>
  <c r="AI425" i="10"/>
  <c r="H426" i="10"/>
  <c r="I426" i="10" s="1"/>
  <c r="AI426" i="10"/>
  <c r="H427" i="10"/>
  <c r="I427" i="10" s="1"/>
  <c r="AI427" i="10"/>
  <c r="H428" i="10"/>
  <c r="I428" i="10" s="1"/>
  <c r="AI428" i="10"/>
  <c r="H429" i="10"/>
  <c r="I429" i="10" s="1"/>
  <c r="AI429" i="10"/>
  <c r="H430" i="10"/>
  <c r="I430" i="10" s="1"/>
  <c r="AI430" i="10"/>
  <c r="H431" i="10"/>
  <c r="I431" i="10" s="1"/>
  <c r="AI431" i="10"/>
  <c r="H432" i="10"/>
  <c r="I432" i="10" s="1"/>
  <c r="AI432" i="10"/>
  <c r="H433" i="10"/>
  <c r="I433" i="10" s="1"/>
  <c r="AI433" i="10"/>
  <c r="H434" i="10"/>
  <c r="I434" i="10" s="1"/>
  <c r="AI434" i="10"/>
  <c r="H435" i="10"/>
  <c r="I435" i="10" s="1"/>
  <c r="AI435" i="10"/>
  <c r="H436" i="10"/>
  <c r="I436" i="10" s="1"/>
  <c r="AI436" i="10"/>
  <c r="H437" i="10"/>
  <c r="I437" i="10" s="1"/>
  <c r="AI437" i="10"/>
  <c r="H438" i="10"/>
  <c r="I438" i="10" s="1"/>
  <c r="AI438" i="10"/>
  <c r="H439" i="10"/>
  <c r="I439" i="10" s="1"/>
  <c r="AI439" i="10"/>
  <c r="H440" i="10"/>
  <c r="I440" i="10" s="1"/>
  <c r="AI440" i="10"/>
  <c r="H441" i="10"/>
  <c r="I441" i="10" s="1"/>
  <c r="AI441" i="10"/>
  <c r="H442" i="10"/>
  <c r="I442" i="10" s="1"/>
  <c r="AI442" i="10"/>
  <c r="H443" i="10"/>
  <c r="I443" i="10" s="1"/>
  <c r="AI443" i="10"/>
  <c r="H444" i="10"/>
  <c r="I444" i="10" s="1"/>
  <c r="AI444" i="10"/>
  <c r="H445" i="10"/>
  <c r="I445" i="10" s="1"/>
  <c r="AI445" i="10"/>
  <c r="H446" i="10"/>
  <c r="I446" i="10" s="1"/>
  <c r="AI446" i="10"/>
  <c r="H447" i="10"/>
  <c r="I447" i="10" s="1"/>
  <c r="AI447" i="10"/>
  <c r="H448" i="10"/>
  <c r="I448" i="10" s="1"/>
  <c r="AI448" i="10"/>
  <c r="H449" i="10"/>
  <c r="I449" i="10" s="1"/>
  <c r="AI449" i="10"/>
  <c r="H450" i="10"/>
  <c r="I450" i="10" s="1"/>
  <c r="AI450" i="10"/>
  <c r="H451" i="10"/>
  <c r="I451" i="10" s="1"/>
  <c r="AI451" i="10"/>
  <c r="H452" i="10"/>
  <c r="I452" i="10" s="1"/>
  <c r="AI452" i="10"/>
  <c r="H453" i="10"/>
  <c r="I453" i="10" s="1"/>
  <c r="AI453" i="10"/>
  <c r="H454" i="10"/>
  <c r="I454" i="10" s="1"/>
  <c r="AI454" i="10"/>
  <c r="H455" i="10"/>
  <c r="I455" i="10" s="1"/>
  <c r="AI455" i="10"/>
  <c r="H456" i="10"/>
  <c r="I456" i="10" s="1"/>
  <c r="AI456" i="10"/>
  <c r="H457" i="10"/>
  <c r="I457" i="10" s="1"/>
  <c r="AI457" i="10"/>
  <c r="H458" i="10"/>
  <c r="I458" i="10" s="1"/>
  <c r="AI458" i="10"/>
  <c r="H459" i="10"/>
  <c r="I459" i="10" s="1"/>
  <c r="AI459" i="10"/>
  <c r="H460" i="10"/>
  <c r="I460" i="10" s="1"/>
  <c r="AI460" i="10"/>
  <c r="H461" i="10"/>
  <c r="I461" i="10" s="1"/>
  <c r="AI461" i="10"/>
  <c r="H462" i="10"/>
  <c r="I462" i="10" s="1"/>
  <c r="AI462" i="10"/>
  <c r="H463" i="10"/>
  <c r="I463" i="10" s="1"/>
  <c r="AI463" i="10"/>
  <c r="H464" i="10"/>
  <c r="I464" i="10" s="1"/>
  <c r="AI464" i="10"/>
  <c r="H465" i="10"/>
  <c r="I465" i="10" s="1"/>
  <c r="AI465" i="10"/>
  <c r="H466" i="10"/>
  <c r="I466" i="10" s="1"/>
  <c r="AI466" i="10"/>
  <c r="H467" i="10"/>
  <c r="I467" i="10" s="1"/>
  <c r="AI467" i="10"/>
  <c r="H468" i="10"/>
  <c r="I468" i="10" s="1"/>
  <c r="AI468" i="10"/>
  <c r="H469" i="10"/>
  <c r="I469" i="10" s="1"/>
  <c r="AI469" i="10"/>
  <c r="H470" i="10"/>
  <c r="I470" i="10" s="1"/>
  <c r="AI470" i="10"/>
  <c r="H471" i="10"/>
  <c r="I471" i="10" s="1"/>
  <c r="AI471" i="10"/>
  <c r="H472" i="10"/>
  <c r="I472" i="10" s="1"/>
  <c r="AI472" i="10"/>
  <c r="H473" i="10"/>
  <c r="I473" i="10" s="1"/>
  <c r="AI473" i="10"/>
  <c r="H474" i="10"/>
  <c r="I474" i="10" s="1"/>
  <c r="AI474" i="10"/>
  <c r="H475" i="10"/>
  <c r="I475" i="10" s="1"/>
  <c r="AI475" i="10"/>
  <c r="H476" i="10"/>
  <c r="I476" i="10" s="1"/>
  <c r="AI476" i="10"/>
  <c r="H477" i="10"/>
  <c r="I477" i="10" s="1"/>
  <c r="AI477" i="10"/>
  <c r="H478" i="10"/>
  <c r="I478" i="10" s="1"/>
  <c r="AI478" i="10"/>
  <c r="H479" i="10"/>
  <c r="I479" i="10" s="1"/>
  <c r="AI479" i="10"/>
  <c r="H480" i="10"/>
  <c r="I480" i="10" s="1"/>
  <c r="AI480" i="10"/>
  <c r="H481" i="10"/>
  <c r="I481" i="10" s="1"/>
  <c r="AI481" i="10"/>
  <c r="H482" i="10"/>
  <c r="I482" i="10" s="1"/>
  <c r="AI482" i="10"/>
  <c r="H483" i="10"/>
  <c r="I483" i="10" s="1"/>
  <c r="AI483" i="10"/>
  <c r="H484" i="10"/>
  <c r="I484" i="10" s="1"/>
  <c r="AI484" i="10"/>
  <c r="H485" i="10"/>
  <c r="I485" i="10" s="1"/>
  <c r="AI485" i="10"/>
  <c r="H486" i="10"/>
  <c r="I486" i="10" s="1"/>
  <c r="AI486" i="10"/>
  <c r="H487" i="10"/>
  <c r="I487" i="10" s="1"/>
  <c r="AI487" i="10"/>
  <c r="H488" i="10"/>
  <c r="I488" i="10" s="1"/>
  <c r="AI488" i="10"/>
  <c r="H489" i="10"/>
  <c r="I489" i="10" s="1"/>
  <c r="AI489" i="10"/>
  <c r="H490" i="10"/>
  <c r="I490" i="10" s="1"/>
  <c r="AI490" i="10"/>
  <c r="H491" i="10"/>
  <c r="I491" i="10" s="1"/>
  <c r="AI491" i="10"/>
  <c r="H492" i="10"/>
  <c r="I492" i="10" s="1"/>
  <c r="AI492" i="10"/>
  <c r="H493" i="10"/>
  <c r="I493" i="10" s="1"/>
  <c r="AI493" i="10"/>
  <c r="H494" i="10"/>
  <c r="I494" i="10" s="1"/>
  <c r="AI494" i="10"/>
  <c r="H495" i="10"/>
  <c r="I495" i="10" s="1"/>
  <c r="AI495" i="10"/>
  <c r="AI496" i="10"/>
  <c r="AI497" i="10"/>
  <c r="AI498" i="10"/>
  <c r="H499" i="10"/>
  <c r="I499" i="10" s="1"/>
  <c r="AI499" i="10"/>
  <c r="Y7" i="9"/>
  <c r="H8" i="9"/>
  <c r="I8" i="9" s="1"/>
  <c r="AI8" i="9"/>
  <c r="H9" i="9"/>
  <c r="I9" i="9" s="1"/>
  <c r="AI9" i="9"/>
  <c r="H10" i="9"/>
  <c r="AI10" i="9"/>
  <c r="H11" i="9"/>
  <c r="I11" i="9" s="1"/>
  <c r="AI11" i="9"/>
  <c r="H12" i="9"/>
  <c r="I12" i="9" s="1"/>
  <c r="AI12" i="9"/>
  <c r="H13" i="9"/>
  <c r="I13" i="9" s="1"/>
  <c r="AI13" i="9"/>
  <c r="H14" i="9"/>
  <c r="I14" i="9" s="1"/>
  <c r="AI14" i="9"/>
  <c r="H15" i="9"/>
  <c r="I15" i="9" s="1"/>
  <c r="AI15" i="9"/>
  <c r="H16" i="9"/>
  <c r="AI16" i="9"/>
  <c r="H17" i="9"/>
  <c r="I17" i="9" s="1"/>
  <c r="AI17" i="9"/>
  <c r="H18" i="9"/>
  <c r="I18" i="9" s="1"/>
  <c r="AI18" i="9"/>
  <c r="H19" i="9"/>
  <c r="I19" i="9" s="1"/>
  <c r="AI19" i="9"/>
  <c r="H20" i="9"/>
  <c r="I20" i="9" s="1"/>
  <c r="AI20" i="9"/>
  <c r="H21" i="9"/>
  <c r="I21" i="9" s="1"/>
  <c r="AI21" i="9"/>
  <c r="H22" i="9"/>
  <c r="I22" i="9" s="1"/>
  <c r="AI22" i="9"/>
  <c r="H23" i="9"/>
  <c r="I23" i="9" s="1"/>
  <c r="AI23" i="9"/>
  <c r="H24" i="9"/>
  <c r="I24" i="9" s="1"/>
  <c r="AI24" i="9"/>
  <c r="H25" i="9"/>
  <c r="I25" i="9" s="1"/>
  <c r="AI25" i="9"/>
  <c r="H26" i="9"/>
  <c r="I26" i="9" s="1"/>
  <c r="AI26" i="9"/>
  <c r="H27" i="9"/>
  <c r="I27" i="9" s="1"/>
  <c r="AI27" i="9"/>
  <c r="H28" i="9"/>
  <c r="I28" i="9" s="1"/>
  <c r="AI28" i="9"/>
  <c r="H29" i="9"/>
  <c r="I29" i="9" s="1"/>
  <c r="AI29" i="9"/>
  <c r="H30" i="9"/>
  <c r="I30" i="9" s="1"/>
  <c r="AI30" i="9"/>
  <c r="H31" i="9"/>
  <c r="I31" i="9" s="1"/>
  <c r="AI31" i="9"/>
  <c r="H32" i="9"/>
  <c r="I32" i="9" s="1"/>
  <c r="AI32" i="9"/>
  <c r="H33" i="9"/>
  <c r="I33" i="9" s="1"/>
  <c r="AI33" i="9"/>
  <c r="H34" i="9"/>
  <c r="I34" i="9" s="1"/>
  <c r="AI34" i="9"/>
  <c r="H35" i="9"/>
  <c r="I35" i="9" s="1"/>
  <c r="AI35" i="9"/>
  <c r="H36" i="9"/>
  <c r="I36" i="9" s="1"/>
  <c r="AI36" i="9"/>
  <c r="H37" i="9"/>
  <c r="I37" i="9" s="1"/>
  <c r="AI37" i="9"/>
  <c r="H38" i="9"/>
  <c r="I38" i="9" s="1"/>
  <c r="AI38" i="9"/>
  <c r="H39" i="9"/>
  <c r="I39" i="9" s="1"/>
  <c r="AI39" i="9"/>
  <c r="H40" i="9"/>
  <c r="I40" i="9" s="1"/>
  <c r="AI40" i="9"/>
  <c r="H41" i="9"/>
  <c r="I41" i="9" s="1"/>
  <c r="AI41" i="9"/>
  <c r="H42" i="9"/>
  <c r="I42" i="9" s="1"/>
  <c r="AI42" i="9"/>
  <c r="H43" i="9"/>
  <c r="I43" i="9" s="1"/>
  <c r="AI43" i="9"/>
  <c r="H44" i="9"/>
  <c r="I44" i="9" s="1"/>
  <c r="AI44" i="9"/>
  <c r="H45" i="9"/>
  <c r="I45" i="9" s="1"/>
  <c r="AI45" i="9"/>
  <c r="H46" i="9"/>
  <c r="I46" i="9" s="1"/>
  <c r="AI46" i="9"/>
  <c r="H47" i="9"/>
  <c r="I47" i="9" s="1"/>
  <c r="AI47" i="9"/>
  <c r="H48" i="9"/>
  <c r="I48" i="9" s="1"/>
  <c r="AI48" i="9"/>
  <c r="H49" i="9"/>
  <c r="I49" i="9" s="1"/>
  <c r="AI49" i="9"/>
  <c r="H50" i="9"/>
  <c r="I50" i="9" s="1"/>
  <c r="AI50" i="9"/>
  <c r="H51" i="9"/>
  <c r="I51" i="9" s="1"/>
  <c r="AI51" i="9"/>
  <c r="H52" i="9"/>
  <c r="I52" i="9" s="1"/>
  <c r="AI52" i="9"/>
  <c r="H53" i="9"/>
  <c r="I53" i="9" s="1"/>
  <c r="AI53" i="9"/>
  <c r="H54" i="9"/>
  <c r="I54" i="9" s="1"/>
  <c r="AI54" i="9"/>
  <c r="H55" i="9"/>
  <c r="I55" i="9" s="1"/>
  <c r="AI55" i="9"/>
  <c r="H56" i="9"/>
  <c r="I56" i="9" s="1"/>
  <c r="AI56" i="9"/>
  <c r="H57" i="9"/>
  <c r="I57" i="9" s="1"/>
  <c r="AI57" i="9"/>
  <c r="H58" i="9"/>
  <c r="I58" i="9" s="1"/>
  <c r="AI58" i="9"/>
  <c r="H59" i="9"/>
  <c r="I59" i="9" s="1"/>
  <c r="AI59" i="9"/>
  <c r="H60" i="9"/>
  <c r="I60" i="9" s="1"/>
  <c r="AI60" i="9"/>
  <c r="H61" i="9"/>
  <c r="I61" i="9" s="1"/>
  <c r="AI61" i="9"/>
  <c r="H62" i="9"/>
  <c r="I62" i="9" s="1"/>
  <c r="AI62" i="9"/>
  <c r="H63" i="9"/>
  <c r="I63" i="9" s="1"/>
  <c r="AI63" i="9"/>
  <c r="H64" i="9"/>
  <c r="I64" i="9" s="1"/>
  <c r="AI64" i="9"/>
  <c r="H65" i="9"/>
  <c r="I65" i="9" s="1"/>
  <c r="AI65" i="9"/>
  <c r="H66" i="9"/>
  <c r="I66" i="9" s="1"/>
  <c r="AI66" i="9"/>
  <c r="H67" i="9"/>
  <c r="I67" i="9" s="1"/>
  <c r="AI67" i="9"/>
  <c r="H68" i="9"/>
  <c r="I68" i="9" s="1"/>
  <c r="AI68" i="9"/>
  <c r="H69" i="9"/>
  <c r="I69" i="9" s="1"/>
  <c r="AI69" i="9"/>
  <c r="H70" i="9"/>
  <c r="I70" i="9" s="1"/>
  <c r="AI70" i="9"/>
  <c r="H71" i="9"/>
  <c r="I71" i="9" s="1"/>
  <c r="AI71" i="9"/>
  <c r="H72" i="9"/>
  <c r="I72" i="9" s="1"/>
  <c r="AI72" i="9"/>
  <c r="H73" i="9"/>
  <c r="I73" i="9" s="1"/>
  <c r="AI73" i="9"/>
  <c r="H74" i="9"/>
  <c r="I74" i="9" s="1"/>
  <c r="AI74" i="9"/>
  <c r="H75" i="9"/>
  <c r="I75" i="9" s="1"/>
  <c r="AI75" i="9"/>
  <c r="H76" i="9"/>
  <c r="I76" i="9" s="1"/>
  <c r="AI76" i="9"/>
  <c r="H77" i="9"/>
  <c r="I77" i="9" s="1"/>
  <c r="AI77" i="9"/>
  <c r="H78" i="9"/>
  <c r="I78" i="9" s="1"/>
  <c r="AI78" i="9"/>
  <c r="H79" i="9"/>
  <c r="I79" i="9" s="1"/>
  <c r="AI79" i="9"/>
  <c r="H80" i="9"/>
  <c r="I80" i="9" s="1"/>
  <c r="AI80" i="9"/>
  <c r="H81" i="9"/>
  <c r="I81" i="9" s="1"/>
  <c r="AI81" i="9"/>
  <c r="H82" i="9"/>
  <c r="I82" i="9" s="1"/>
  <c r="AI82" i="9"/>
  <c r="H83" i="9"/>
  <c r="I83" i="9" s="1"/>
  <c r="AI83" i="9"/>
  <c r="H84" i="9"/>
  <c r="I84" i="9" s="1"/>
  <c r="AI84" i="9"/>
  <c r="H85" i="9"/>
  <c r="I85" i="9" s="1"/>
  <c r="AI85" i="9"/>
  <c r="H86" i="9"/>
  <c r="I86" i="9" s="1"/>
  <c r="AI86" i="9"/>
  <c r="H87" i="9"/>
  <c r="I87" i="9" s="1"/>
  <c r="AI87" i="9"/>
  <c r="H88" i="9"/>
  <c r="I88" i="9" s="1"/>
  <c r="AI88" i="9"/>
  <c r="H89" i="9"/>
  <c r="I89" i="9" s="1"/>
  <c r="AI89" i="9"/>
  <c r="H90" i="9"/>
  <c r="I90" i="9" s="1"/>
  <c r="AI90" i="9"/>
  <c r="H91" i="9"/>
  <c r="I91" i="9" s="1"/>
  <c r="AI91" i="9"/>
  <c r="H92" i="9"/>
  <c r="I92" i="9" s="1"/>
  <c r="AI92" i="9"/>
  <c r="H93" i="9"/>
  <c r="I93" i="9" s="1"/>
  <c r="AI93" i="9"/>
  <c r="H94" i="9"/>
  <c r="I94" i="9" s="1"/>
  <c r="AI94" i="9"/>
  <c r="H95" i="9"/>
  <c r="I95" i="9" s="1"/>
  <c r="AI95" i="9"/>
  <c r="H96" i="9"/>
  <c r="I96" i="9" s="1"/>
  <c r="AI96" i="9"/>
  <c r="H97" i="9"/>
  <c r="I97" i="9" s="1"/>
  <c r="AI97" i="9"/>
  <c r="H98" i="9"/>
  <c r="I98" i="9" s="1"/>
  <c r="AI98" i="9"/>
  <c r="H99" i="9"/>
  <c r="I99" i="9" s="1"/>
  <c r="AI99" i="9"/>
  <c r="H100" i="9"/>
  <c r="I100" i="9" s="1"/>
  <c r="AI100" i="9"/>
  <c r="H101" i="9"/>
  <c r="I101" i="9" s="1"/>
  <c r="AI101" i="9"/>
  <c r="H102" i="9"/>
  <c r="I102" i="9" s="1"/>
  <c r="AI102" i="9"/>
  <c r="H103" i="9"/>
  <c r="I103" i="9" s="1"/>
  <c r="AI103" i="9"/>
  <c r="H104" i="9"/>
  <c r="I104" i="9" s="1"/>
  <c r="AI104" i="9"/>
  <c r="H105" i="9"/>
  <c r="I105" i="9" s="1"/>
  <c r="AI105" i="9"/>
  <c r="H106" i="9"/>
  <c r="I106" i="9" s="1"/>
  <c r="AI106" i="9"/>
  <c r="H107" i="9"/>
  <c r="I107" i="9" s="1"/>
  <c r="AI107" i="9"/>
  <c r="H108" i="9"/>
  <c r="I108" i="9" s="1"/>
  <c r="AI108" i="9"/>
  <c r="H109" i="9"/>
  <c r="I109" i="9" s="1"/>
  <c r="AI109" i="9"/>
  <c r="H110" i="9"/>
  <c r="I110" i="9" s="1"/>
  <c r="AI110" i="9"/>
  <c r="H111" i="9"/>
  <c r="I111" i="9" s="1"/>
  <c r="AI111" i="9"/>
  <c r="H112" i="9"/>
  <c r="I112" i="9" s="1"/>
  <c r="AI112" i="9"/>
  <c r="H113" i="9"/>
  <c r="I113" i="9" s="1"/>
  <c r="AI113" i="9"/>
  <c r="H114" i="9"/>
  <c r="I114" i="9" s="1"/>
  <c r="AI114" i="9"/>
  <c r="H115" i="9"/>
  <c r="I115" i="9" s="1"/>
  <c r="AI115" i="9"/>
  <c r="H116" i="9"/>
  <c r="I116" i="9" s="1"/>
  <c r="AI116" i="9"/>
  <c r="H117" i="9"/>
  <c r="I117" i="9" s="1"/>
  <c r="AI117" i="9"/>
  <c r="H118" i="9"/>
  <c r="I118" i="9" s="1"/>
  <c r="AI118" i="9"/>
  <c r="H119" i="9"/>
  <c r="I119" i="9" s="1"/>
  <c r="AI119" i="9"/>
  <c r="H120" i="9"/>
  <c r="I120" i="9" s="1"/>
  <c r="AI120" i="9"/>
  <c r="H121" i="9"/>
  <c r="I121" i="9" s="1"/>
  <c r="AI121" i="9"/>
  <c r="H122" i="9"/>
  <c r="I122" i="9" s="1"/>
  <c r="AI122" i="9"/>
  <c r="H123" i="9"/>
  <c r="I123" i="9" s="1"/>
  <c r="AI123" i="9"/>
  <c r="H124" i="9"/>
  <c r="I124" i="9" s="1"/>
  <c r="AI124" i="9"/>
  <c r="H125" i="9"/>
  <c r="I125" i="9" s="1"/>
  <c r="AI125" i="9"/>
  <c r="H126" i="9"/>
  <c r="I126" i="9" s="1"/>
  <c r="AI126" i="9"/>
  <c r="H127" i="9"/>
  <c r="I127" i="9" s="1"/>
  <c r="AI127" i="9"/>
  <c r="H128" i="9"/>
  <c r="I128" i="9" s="1"/>
  <c r="AI128" i="9"/>
  <c r="H129" i="9"/>
  <c r="I129" i="9" s="1"/>
  <c r="AI129" i="9"/>
  <c r="H130" i="9"/>
  <c r="I130" i="9" s="1"/>
  <c r="AI130" i="9"/>
  <c r="H131" i="9"/>
  <c r="I131" i="9" s="1"/>
  <c r="AI131" i="9"/>
  <c r="H132" i="9"/>
  <c r="I132" i="9" s="1"/>
  <c r="AI132" i="9"/>
  <c r="H133" i="9"/>
  <c r="I133" i="9" s="1"/>
  <c r="AI133" i="9"/>
  <c r="H134" i="9"/>
  <c r="I134" i="9" s="1"/>
  <c r="AI134" i="9"/>
  <c r="H135" i="9"/>
  <c r="I135" i="9" s="1"/>
  <c r="AI135" i="9"/>
  <c r="H136" i="9"/>
  <c r="I136" i="9" s="1"/>
  <c r="AI136" i="9"/>
  <c r="H137" i="9"/>
  <c r="I137" i="9" s="1"/>
  <c r="AI137" i="9"/>
  <c r="H138" i="9"/>
  <c r="I138" i="9" s="1"/>
  <c r="AI138" i="9"/>
  <c r="H139" i="9"/>
  <c r="I139" i="9" s="1"/>
  <c r="AI139" i="9"/>
  <c r="H140" i="9"/>
  <c r="I140" i="9" s="1"/>
  <c r="AI140" i="9"/>
  <c r="H141" i="9"/>
  <c r="I141" i="9" s="1"/>
  <c r="AI141" i="9"/>
  <c r="H142" i="9"/>
  <c r="I142" i="9" s="1"/>
  <c r="AI142" i="9"/>
  <c r="H143" i="9"/>
  <c r="I143" i="9" s="1"/>
  <c r="AI143" i="9"/>
  <c r="H144" i="9"/>
  <c r="I144" i="9" s="1"/>
  <c r="AI144" i="9"/>
  <c r="H145" i="9"/>
  <c r="I145" i="9" s="1"/>
  <c r="AI145" i="9"/>
  <c r="H146" i="9"/>
  <c r="I146" i="9" s="1"/>
  <c r="AI146" i="9"/>
  <c r="H147" i="9"/>
  <c r="I147" i="9" s="1"/>
  <c r="AI147" i="9"/>
  <c r="H148" i="9"/>
  <c r="I148" i="9" s="1"/>
  <c r="AI148" i="9"/>
  <c r="H149" i="9"/>
  <c r="I149" i="9" s="1"/>
  <c r="AI149" i="9"/>
  <c r="H150" i="9"/>
  <c r="I150" i="9" s="1"/>
  <c r="AI150" i="9"/>
  <c r="H151" i="9"/>
  <c r="I151" i="9" s="1"/>
  <c r="AI151" i="9"/>
  <c r="H152" i="9"/>
  <c r="I152" i="9" s="1"/>
  <c r="AI152" i="9"/>
  <c r="H153" i="9"/>
  <c r="I153" i="9" s="1"/>
  <c r="AI153" i="9"/>
  <c r="H154" i="9"/>
  <c r="I154" i="9" s="1"/>
  <c r="AI154" i="9"/>
  <c r="H155" i="9"/>
  <c r="I155" i="9" s="1"/>
  <c r="AI155" i="9"/>
  <c r="H156" i="9"/>
  <c r="I156" i="9" s="1"/>
  <c r="AI156" i="9"/>
  <c r="H157" i="9"/>
  <c r="I157" i="9" s="1"/>
  <c r="AI157" i="9"/>
  <c r="H158" i="9"/>
  <c r="I158" i="9" s="1"/>
  <c r="AI158" i="9"/>
  <c r="H159" i="9"/>
  <c r="I159" i="9" s="1"/>
  <c r="AI159" i="9"/>
  <c r="H160" i="9"/>
  <c r="I160" i="9" s="1"/>
  <c r="AI160" i="9"/>
  <c r="H161" i="9"/>
  <c r="I161" i="9" s="1"/>
  <c r="AI161" i="9"/>
  <c r="H162" i="9"/>
  <c r="I162" i="9" s="1"/>
  <c r="AI162" i="9"/>
  <c r="H163" i="9"/>
  <c r="I163" i="9" s="1"/>
  <c r="AI163" i="9"/>
  <c r="H164" i="9"/>
  <c r="I164" i="9" s="1"/>
  <c r="AI164" i="9"/>
  <c r="H165" i="9"/>
  <c r="I165" i="9" s="1"/>
  <c r="AI165" i="9"/>
  <c r="H166" i="9"/>
  <c r="I166" i="9" s="1"/>
  <c r="AI166" i="9"/>
  <c r="H167" i="9"/>
  <c r="I167" i="9" s="1"/>
  <c r="AI167" i="9"/>
  <c r="H168" i="9"/>
  <c r="I168" i="9" s="1"/>
  <c r="AI168" i="9"/>
  <c r="H169" i="9"/>
  <c r="I169" i="9" s="1"/>
  <c r="AI169" i="9"/>
  <c r="H170" i="9"/>
  <c r="I170" i="9" s="1"/>
  <c r="AI170" i="9"/>
  <c r="H171" i="9"/>
  <c r="I171" i="9" s="1"/>
  <c r="AI171" i="9"/>
  <c r="H172" i="9"/>
  <c r="I172" i="9" s="1"/>
  <c r="AI172" i="9"/>
  <c r="H173" i="9"/>
  <c r="I173" i="9" s="1"/>
  <c r="AI173" i="9"/>
  <c r="H174" i="9"/>
  <c r="I174" i="9" s="1"/>
  <c r="AI174" i="9"/>
  <c r="H175" i="9"/>
  <c r="I175" i="9" s="1"/>
  <c r="AI175" i="9"/>
  <c r="H176" i="9"/>
  <c r="I176" i="9" s="1"/>
  <c r="AI176" i="9"/>
  <c r="H177" i="9"/>
  <c r="I177" i="9" s="1"/>
  <c r="AI177" i="9"/>
  <c r="H178" i="9"/>
  <c r="I178" i="9" s="1"/>
  <c r="AI178" i="9"/>
  <c r="H179" i="9"/>
  <c r="I179" i="9" s="1"/>
  <c r="AI179" i="9"/>
  <c r="H180" i="9"/>
  <c r="I180" i="9" s="1"/>
  <c r="AI180" i="9"/>
  <c r="H181" i="9"/>
  <c r="I181" i="9" s="1"/>
  <c r="AI181" i="9"/>
  <c r="H182" i="9"/>
  <c r="I182" i="9" s="1"/>
  <c r="AI182" i="9"/>
  <c r="H183" i="9"/>
  <c r="I183" i="9" s="1"/>
  <c r="AI183" i="9"/>
  <c r="H184" i="9"/>
  <c r="I184" i="9" s="1"/>
  <c r="AI184" i="9"/>
  <c r="H185" i="9"/>
  <c r="I185" i="9" s="1"/>
  <c r="AI185" i="9"/>
  <c r="H186" i="9"/>
  <c r="I186" i="9" s="1"/>
  <c r="AI186" i="9"/>
  <c r="H187" i="9"/>
  <c r="I187" i="9" s="1"/>
  <c r="AI187" i="9"/>
  <c r="H188" i="9"/>
  <c r="I188" i="9" s="1"/>
  <c r="AI188" i="9"/>
  <c r="H189" i="9"/>
  <c r="I189" i="9" s="1"/>
  <c r="AI189" i="9"/>
  <c r="H190" i="9"/>
  <c r="I190" i="9" s="1"/>
  <c r="AI190" i="9"/>
  <c r="H191" i="9"/>
  <c r="I191" i="9" s="1"/>
  <c r="AI191" i="9"/>
  <c r="H192" i="9"/>
  <c r="I192" i="9" s="1"/>
  <c r="AI192" i="9"/>
  <c r="H193" i="9"/>
  <c r="I193" i="9" s="1"/>
  <c r="AI193" i="9"/>
  <c r="H194" i="9"/>
  <c r="I194" i="9" s="1"/>
  <c r="AI194" i="9"/>
  <c r="H195" i="9"/>
  <c r="I195" i="9" s="1"/>
  <c r="AI195" i="9"/>
  <c r="H196" i="9"/>
  <c r="I196" i="9" s="1"/>
  <c r="AI196" i="9"/>
  <c r="H197" i="9"/>
  <c r="I197" i="9" s="1"/>
  <c r="AI197" i="9"/>
  <c r="H198" i="9"/>
  <c r="I198" i="9" s="1"/>
  <c r="AI198" i="9"/>
  <c r="H199" i="9"/>
  <c r="I199" i="9" s="1"/>
  <c r="AI199" i="9"/>
  <c r="H200" i="9"/>
  <c r="I200" i="9" s="1"/>
  <c r="AI200" i="9"/>
  <c r="H201" i="9"/>
  <c r="I201" i="9" s="1"/>
  <c r="AI201" i="9"/>
  <c r="H202" i="9"/>
  <c r="I202" i="9" s="1"/>
  <c r="AI202" i="9"/>
  <c r="H203" i="9"/>
  <c r="I203" i="9" s="1"/>
  <c r="AI203" i="9"/>
  <c r="H204" i="9"/>
  <c r="I204" i="9" s="1"/>
  <c r="AI204" i="9"/>
  <c r="H205" i="9"/>
  <c r="I205" i="9" s="1"/>
  <c r="AI205" i="9"/>
  <c r="H206" i="9"/>
  <c r="I206" i="9" s="1"/>
  <c r="AI206" i="9"/>
  <c r="H207" i="9"/>
  <c r="I207" i="9" s="1"/>
  <c r="AI207" i="9"/>
  <c r="H208" i="9"/>
  <c r="I208" i="9" s="1"/>
  <c r="AI208" i="9"/>
  <c r="H209" i="9"/>
  <c r="I209" i="9" s="1"/>
  <c r="AI209" i="9"/>
  <c r="H210" i="9"/>
  <c r="I210" i="9" s="1"/>
  <c r="AI210" i="9"/>
  <c r="H211" i="9"/>
  <c r="I211" i="9" s="1"/>
  <c r="AI211" i="9"/>
  <c r="H212" i="9"/>
  <c r="I212" i="9" s="1"/>
  <c r="AI212" i="9"/>
  <c r="H213" i="9"/>
  <c r="I213" i="9" s="1"/>
  <c r="AI213" i="9"/>
  <c r="H214" i="9"/>
  <c r="I214" i="9" s="1"/>
  <c r="AI214" i="9"/>
  <c r="H215" i="9"/>
  <c r="I215" i="9" s="1"/>
  <c r="AI215" i="9"/>
  <c r="H216" i="9"/>
  <c r="I216" i="9" s="1"/>
  <c r="AI216" i="9"/>
  <c r="H217" i="9"/>
  <c r="I217" i="9" s="1"/>
  <c r="AI217" i="9"/>
  <c r="H218" i="9"/>
  <c r="I218" i="9" s="1"/>
  <c r="AI218" i="9"/>
  <c r="H219" i="9"/>
  <c r="I219" i="9" s="1"/>
  <c r="AI219" i="9"/>
  <c r="H220" i="9"/>
  <c r="I220" i="9" s="1"/>
  <c r="AI220" i="9"/>
  <c r="H221" i="9"/>
  <c r="I221" i="9" s="1"/>
  <c r="AI221" i="9"/>
  <c r="H222" i="9"/>
  <c r="I222" i="9" s="1"/>
  <c r="AI222" i="9"/>
  <c r="H223" i="9"/>
  <c r="I223" i="9" s="1"/>
  <c r="AI223" i="9"/>
  <c r="H224" i="9"/>
  <c r="I224" i="9" s="1"/>
  <c r="AI224" i="9"/>
  <c r="H225" i="9"/>
  <c r="I225" i="9" s="1"/>
  <c r="AI225" i="9"/>
  <c r="H226" i="9"/>
  <c r="I226" i="9" s="1"/>
  <c r="AI226" i="9"/>
  <c r="H227" i="9"/>
  <c r="I227" i="9" s="1"/>
  <c r="AI227" i="9"/>
  <c r="H228" i="9"/>
  <c r="I228" i="9" s="1"/>
  <c r="AI228" i="9"/>
  <c r="H229" i="9"/>
  <c r="I229" i="9" s="1"/>
  <c r="AI229" i="9"/>
  <c r="H230" i="9"/>
  <c r="I230" i="9" s="1"/>
  <c r="AI230" i="9"/>
  <c r="H231" i="9"/>
  <c r="I231" i="9" s="1"/>
  <c r="AI231" i="9"/>
  <c r="H232" i="9"/>
  <c r="I232" i="9" s="1"/>
  <c r="AI232" i="9"/>
  <c r="H233" i="9"/>
  <c r="I233" i="9" s="1"/>
  <c r="AI233" i="9"/>
  <c r="H234" i="9"/>
  <c r="I234" i="9" s="1"/>
  <c r="AI234" i="9"/>
  <c r="H235" i="9"/>
  <c r="I235" i="9" s="1"/>
  <c r="AI235" i="9"/>
  <c r="H236" i="9"/>
  <c r="I236" i="9" s="1"/>
  <c r="AI236" i="9"/>
  <c r="H237" i="9"/>
  <c r="I237" i="9" s="1"/>
  <c r="AI237" i="9"/>
  <c r="H238" i="9"/>
  <c r="I238" i="9" s="1"/>
  <c r="AI238" i="9"/>
  <c r="H239" i="9"/>
  <c r="I239" i="9" s="1"/>
  <c r="AI239" i="9"/>
  <c r="H240" i="9"/>
  <c r="I240" i="9" s="1"/>
  <c r="AI240" i="9"/>
  <c r="H241" i="9"/>
  <c r="I241" i="9" s="1"/>
  <c r="AI241" i="9"/>
  <c r="H242" i="9"/>
  <c r="I242" i="9" s="1"/>
  <c r="AI242" i="9"/>
  <c r="H243" i="9"/>
  <c r="I243" i="9" s="1"/>
  <c r="AI243" i="9"/>
  <c r="H244" i="9"/>
  <c r="I244" i="9" s="1"/>
  <c r="AI244" i="9"/>
  <c r="H245" i="9"/>
  <c r="I245" i="9" s="1"/>
  <c r="AI245" i="9"/>
  <c r="H246" i="9"/>
  <c r="I246" i="9" s="1"/>
  <c r="AI246" i="9"/>
  <c r="H247" i="9"/>
  <c r="I247" i="9" s="1"/>
  <c r="AI247" i="9"/>
  <c r="H248" i="9"/>
  <c r="I248" i="9" s="1"/>
  <c r="AI248" i="9"/>
  <c r="H249" i="9"/>
  <c r="I249" i="9" s="1"/>
  <c r="AI249" i="9"/>
  <c r="H250" i="9"/>
  <c r="I250" i="9" s="1"/>
  <c r="AI250" i="9"/>
  <c r="H251" i="9"/>
  <c r="I251" i="9" s="1"/>
  <c r="AI251" i="9"/>
  <c r="H252" i="9"/>
  <c r="I252" i="9" s="1"/>
  <c r="AI252" i="9"/>
  <c r="H253" i="9"/>
  <c r="I253" i="9" s="1"/>
  <c r="AI253" i="9"/>
  <c r="H254" i="9"/>
  <c r="I254" i="9" s="1"/>
  <c r="AI254" i="9"/>
  <c r="H255" i="9"/>
  <c r="I255" i="9" s="1"/>
  <c r="AI255" i="9"/>
  <c r="H256" i="9"/>
  <c r="I256" i="9" s="1"/>
  <c r="AI256" i="9"/>
  <c r="H257" i="9"/>
  <c r="I257" i="9" s="1"/>
  <c r="AI257" i="9"/>
  <c r="H258" i="9"/>
  <c r="I258" i="9" s="1"/>
  <c r="AI258" i="9"/>
  <c r="H259" i="9"/>
  <c r="I259" i="9" s="1"/>
  <c r="AI259" i="9"/>
  <c r="H260" i="9"/>
  <c r="I260" i="9" s="1"/>
  <c r="AI260" i="9"/>
  <c r="H261" i="9"/>
  <c r="I261" i="9" s="1"/>
  <c r="AI261" i="9"/>
  <c r="H262" i="9"/>
  <c r="I262" i="9" s="1"/>
  <c r="AI262" i="9"/>
  <c r="H263" i="9"/>
  <c r="I263" i="9" s="1"/>
  <c r="AI263" i="9"/>
  <c r="H264" i="9"/>
  <c r="I264" i="9" s="1"/>
  <c r="AI264" i="9"/>
  <c r="H265" i="9"/>
  <c r="I265" i="9" s="1"/>
  <c r="AI265" i="9"/>
  <c r="H266" i="9"/>
  <c r="I266" i="9" s="1"/>
  <c r="AI266" i="9"/>
  <c r="H267" i="9"/>
  <c r="I267" i="9" s="1"/>
  <c r="AI267" i="9"/>
  <c r="H268" i="9"/>
  <c r="I268" i="9" s="1"/>
  <c r="AI268" i="9"/>
  <c r="H269" i="9"/>
  <c r="I269" i="9" s="1"/>
  <c r="AI269" i="9"/>
  <c r="H270" i="9"/>
  <c r="I270" i="9" s="1"/>
  <c r="AI270" i="9"/>
  <c r="H271" i="9"/>
  <c r="I271" i="9" s="1"/>
  <c r="AI271" i="9"/>
  <c r="H272" i="9"/>
  <c r="I272" i="9" s="1"/>
  <c r="AI272" i="9"/>
  <c r="H273" i="9"/>
  <c r="I273" i="9" s="1"/>
  <c r="AI273" i="9"/>
  <c r="H274" i="9"/>
  <c r="I274" i="9" s="1"/>
  <c r="AI274" i="9"/>
  <c r="H275" i="9"/>
  <c r="I275" i="9" s="1"/>
  <c r="AI275" i="9"/>
  <c r="H276" i="9"/>
  <c r="I276" i="9" s="1"/>
  <c r="AI276" i="9"/>
  <c r="H277" i="9"/>
  <c r="I277" i="9" s="1"/>
  <c r="AI277" i="9"/>
  <c r="H278" i="9"/>
  <c r="I278" i="9" s="1"/>
  <c r="AI278" i="9"/>
  <c r="H279" i="9"/>
  <c r="I279" i="9" s="1"/>
  <c r="AI279" i="9"/>
  <c r="H280" i="9"/>
  <c r="I280" i="9" s="1"/>
  <c r="AI280" i="9"/>
  <c r="H281" i="9"/>
  <c r="I281" i="9" s="1"/>
  <c r="AI281" i="9"/>
  <c r="H282" i="9"/>
  <c r="I282" i="9" s="1"/>
  <c r="AI282" i="9"/>
  <c r="H283" i="9"/>
  <c r="I283" i="9" s="1"/>
  <c r="AI283" i="9"/>
  <c r="H284" i="9"/>
  <c r="I284" i="9" s="1"/>
  <c r="AI284" i="9"/>
  <c r="H285" i="9"/>
  <c r="I285" i="9" s="1"/>
  <c r="AI285" i="9"/>
  <c r="H286" i="9"/>
  <c r="I286" i="9" s="1"/>
  <c r="AI286" i="9"/>
  <c r="H287" i="9"/>
  <c r="I287" i="9" s="1"/>
  <c r="AI287" i="9"/>
  <c r="H288" i="9"/>
  <c r="I288" i="9" s="1"/>
  <c r="AI288" i="9"/>
  <c r="H289" i="9"/>
  <c r="I289" i="9" s="1"/>
  <c r="AI289" i="9"/>
  <c r="H290" i="9"/>
  <c r="I290" i="9" s="1"/>
  <c r="AI290" i="9"/>
  <c r="H291" i="9"/>
  <c r="I291" i="9" s="1"/>
  <c r="AI291" i="9"/>
  <c r="H292" i="9"/>
  <c r="I292" i="9" s="1"/>
  <c r="AI292" i="9"/>
  <c r="H293" i="9"/>
  <c r="I293" i="9" s="1"/>
  <c r="AI293" i="9"/>
  <c r="H294" i="9"/>
  <c r="I294" i="9" s="1"/>
  <c r="AI294" i="9"/>
  <c r="H295" i="9"/>
  <c r="I295" i="9" s="1"/>
  <c r="AI295" i="9"/>
  <c r="H296" i="9"/>
  <c r="I296" i="9" s="1"/>
  <c r="AI296" i="9"/>
  <c r="H297" i="9"/>
  <c r="I297" i="9" s="1"/>
  <c r="AI297" i="9"/>
  <c r="H298" i="9"/>
  <c r="I298" i="9" s="1"/>
  <c r="AI298" i="9"/>
  <c r="H299" i="9"/>
  <c r="I299" i="9" s="1"/>
  <c r="AI299" i="9"/>
  <c r="H300" i="9"/>
  <c r="I300" i="9" s="1"/>
  <c r="AI300" i="9"/>
  <c r="H301" i="9"/>
  <c r="I301" i="9" s="1"/>
  <c r="AI301" i="9"/>
  <c r="H302" i="9"/>
  <c r="I302" i="9" s="1"/>
  <c r="AI302" i="9"/>
  <c r="H303" i="9"/>
  <c r="I303" i="9" s="1"/>
  <c r="AI303" i="9"/>
  <c r="H304" i="9"/>
  <c r="I304" i="9" s="1"/>
  <c r="AI304" i="9"/>
  <c r="H305" i="9"/>
  <c r="I305" i="9" s="1"/>
  <c r="AI305" i="9"/>
  <c r="H306" i="9"/>
  <c r="I306" i="9" s="1"/>
  <c r="AI306" i="9"/>
  <c r="H307" i="9"/>
  <c r="I307" i="9" s="1"/>
  <c r="AI307" i="9"/>
  <c r="H308" i="9"/>
  <c r="I308" i="9" s="1"/>
  <c r="AI308" i="9"/>
  <c r="H309" i="9"/>
  <c r="I309" i="9" s="1"/>
  <c r="AI309" i="9"/>
  <c r="H310" i="9"/>
  <c r="I310" i="9" s="1"/>
  <c r="AI310" i="9"/>
  <c r="H311" i="9"/>
  <c r="I311" i="9" s="1"/>
  <c r="AI311" i="9"/>
  <c r="H312" i="9"/>
  <c r="I312" i="9" s="1"/>
  <c r="AI312" i="9"/>
  <c r="H313" i="9"/>
  <c r="I313" i="9" s="1"/>
  <c r="AI313" i="9"/>
  <c r="H314" i="9"/>
  <c r="I314" i="9" s="1"/>
  <c r="AI314" i="9"/>
  <c r="H315" i="9"/>
  <c r="I315" i="9" s="1"/>
  <c r="AI315" i="9"/>
  <c r="H316" i="9"/>
  <c r="I316" i="9" s="1"/>
  <c r="AI316" i="9"/>
  <c r="H317" i="9"/>
  <c r="I317" i="9" s="1"/>
  <c r="AI317" i="9"/>
  <c r="H318" i="9"/>
  <c r="I318" i="9" s="1"/>
  <c r="AI318" i="9"/>
  <c r="H319" i="9"/>
  <c r="I319" i="9" s="1"/>
  <c r="AI319" i="9"/>
  <c r="H320" i="9"/>
  <c r="I320" i="9" s="1"/>
  <c r="AI320" i="9"/>
  <c r="H321" i="9"/>
  <c r="I321" i="9" s="1"/>
  <c r="AI321" i="9"/>
  <c r="H322" i="9"/>
  <c r="I322" i="9" s="1"/>
  <c r="AI322" i="9"/>
  <c r="H323" i="9"/>
  <c r="I323" i="9" s="1"/>
  <c r="AI323" i="9"/>
  <c r="H324" i="9"/>
  <c r="I324" i="9" s="1"/>
  <c r="AI324" i="9"/>
  <c r="H325" i="9"/>
  <c r="I325" i="9" s="1"/>
  <c r="AI325" i="9"/>
  <c r="H326" i="9"/>
  <c r="I326" i="9" s="1"/>
  <c r="AI326" i="9"/>
  <c r="H327" i="9"/>
  <c r="I327" i="9" s="1"/>
  <c r="AI327" i="9"/>
  <c r="H328" i="9"/>
  <c r="I328" i="9" s="1"/>
  <c r="AI328" i="9"/>
  <c r="H329" i="9"/>
  <c r="I329" i="9" s="1"/>
  <c r="AI329" i="9"/>
  <c r="H330" i="9"/>
  <c r="I330" i="9" s="1"/>
  <c r="AI330" i="9"/>
  <c r="H331" i="9"/>
  <c r="I331" i="9" s="1"/>
  <c r="AI331" i="9"/>
  <c r="H332" i="9"/>
  <c r="I332" i="9" s="1"/>
  <c r="AI332" i="9"/>
  <c r="H333" i="9"/>
  <c r="I333" i="9" s="1"/>
  <c r="AI333" i="9"/>
  <c r="H334" i="9"/>
  <c r="I334" i="9" s="1"/>
  <c r="AI334" i="9"/>
  <c r="H335" i="9"/>
  <c r="I335" i="9" s="1"/>
  <c r="AI335" i="9"/>
  <c r="H336" i="9"/>
  <c r="I336" i="9" s="1"/>
  <c r="AI336" i="9"/>
  <c r="H337" i="9"/>
  <c r="I337" i="9" s="1"/>
  <c r="AI337" i="9"/>
  <c r="H338" i="9"/>
  <c r="I338" i="9" s="1"/>
  <c r="AI338" i="9"/>
  <c r="H339" i="9"/>
  <c r="I339" i="9" s="1"/>
  <c r="AI339" i="9"/>
  <c r="H340" i="9"/>
  <c r="I340" i="9" s="1"/>
  <c r="AI340" i="9"/>
  <c r="H341" i="9"/>
  <c r="I341" i="9" s="1"/>
  <c r="AI341" i="9"/>
  <c r="H342" i="9"/>
  <c r="I342" i="9" s="1"/>
  <c r="AI342" i="9"/>
  <c r="H343" i="9"/>
  <c r="I343" i="9" s="1"/>
  <c r="AI343" i="9"/>
  <c r="H344" i="9"/>
  <c r="I344" i="9" s="1"/>
  <c r="AI344" i="9"/>
  <c r="H345" i="9"/>
  <c r="I345" i="9" s="1"/>
  <c r="AI345" i="9"/>
  <c r="H346" i="9"/>
  <c r="I346" i="9" s="1"/>
  <c r="AI346" i="9"/>
  <c r="H347" i="9"/>
  <c r="I347" i="9" s="1"/>
  <c r="AI347" i="9"/>
  <c r="H348" i="9"/>
  <c r="I348" i="9" s="1"/>
  <c r="AI348" i="9"/>
  <c r="H349" i="9"/>
  <c r="I349" i="9" s="1"/>
  <c r="AI349" i="9"/>
  <c r="H350" i="9"/>
  <c r="I350" i="9" s="1"/>
  <c r="AI350" i="9"/>
  <c r="H351" i="9"/>
  <c r="I351" i="9" s="1"/>
  <c r="AI351" i="9"/>
  <c r="H352" i="9"/>
  <c r="I352" i="9" s="1"/>
  <c r="AI352" i="9"/>
  <c r="H353" i="9"/>
  <c r="I353" i="9" s="1"/>
  <c r="AI353" i="9"/>
  <c r="H354" i="9"/>
  <c r="I354" i="9" s="1"/>
  <c r="AI354" i="9"/>
  <c r="H355" i="9"/>
  <c r="I355" i="9" s="1"/>
  <c r="AI355" i="9"/>
  <c r="H356" i="9"/>
  <c r="I356" i="9" s="1"/>
  <c r="AI356" i="9"/>
  <c r="H357" i="9"/>
  <c r="I357" i="9" s="1"/>
  <c r="AI357" i="9"/>
  <c r="H358" i="9"/>
  <c r="I358" i="9" s="1"/>
  <c r="AI358" i="9"/>
  <c r="H359" i="9"/>
  <c r="I359" i="9" s="1"/>
  <c r="AI359" i="9"/>
  <c r="H360" i="9"/>
  <c r="I360" i="9" s="1"/>
  <c r="AI360" i="9"/>
  <c r="H361" i="9"/>
  <c r="I361" i="9" s="1"/>
  <c r="AI361" i="9"/>
  <c r="H362" i="9"/>
  <c r="I362" i="9" s="1"/>
  <c r="AI362" i="9"/>
  <c r="H363" i="9"/>
  <c r="I363" i="9" s="1"/>
  <c r="AI363" i="9"/>
  <c r="H364" i="9"/>
  <c r="I364" i="9" s="1"/>
  <c r="AI364" i="9"/>
  <c r="H365" i="9"/>
  <c r="I365" i="9" s="1"/>
  <c r="AI365" i="9"/>
  <c r="H366" i="9"/>
  <c r="I366" i="9" s="1"/>
  <c r="AI366" i="9"/>
  <c r="H367" i="9"/>
  <c r="I367" i="9" s="1"/>
  <c r="AI367" i="9"/>
  <c r="H368" i="9"/>
  <c r="I368" i="9" s="1"/>
  <c r="AI368" i="9"/>
  <c r="H369" i="9"/>
  <c r="I369" i="9" s="1"/>
  <c r="AI369" i="9"/>
  <c r="H370" i="9"/>
  <c r="I370" i="9" s="1"/>
  <c r="AI370" i="9"/>
  <c r="H371" i="9"/>
  <c r="I371" i="9" s="1"/>
  <c r="AI371" i="9"/>
  <c r="H372" i="9"/>
  <c r="I372" i="9" s="1"/>
  <c r="AI372" i="9"/>
  <c r="H373" i="9"/>
  <c r="I373" i="9" s="1"/>
  <c r="AI373" i="9"/>
  <c r="H374" i="9"/>
  <c r="I374" i="9" s="1"/>
  <c r="AI374" i="9"/>
  <c r="H375" i="9"/>
  <c r="I375" i="9" s="1"/>
  <c r="AI375" i="9"/>
  <c r="H376" i="9"/>
  <c r="I376" i="9" s="1"/>
  <c r="AI376" i="9"/>
  <c r="H377" i="9"/>
  <c r="I377" i="9" s="1"/>
  <c r="AI377" i="9"/>
  <c r="H378" i="9"/>
  <c r="I378" i="9" s="1"/>
  <c r="AI378" i="9"/>
  <c r="H379" i="9"/>
  <c r="I379" i="9" s="1"/>
  <c r="AI379" i="9"/>
  <c r="H380" i="9"/>
  <c r="I380" i="9" s="1"/>
  <c r="AI380" i="9"/>
  <c r="H381" i="9"/>
  <c r="I381" i="9" s="1"/>
  <c r="AI381" i="9"/>
  <c r="H382" i="9"/>
  <c r="I382" i="9" s="1"/>
  <c r="AI382" i="9"/>
  <c r="H383" i="9"/>
  <c r="I383" i="9" s="1"/>
  <c r="AI383" i="9"/>
  <c r="H384" i="9"/>
  <c r="I384" i="9" s="1"/>
  <c r="AI384" i="9"/>
  <c r="H385" i="9"/>
  <c r="I385" i="9" s="1"/>
  <c r="AI385" i="9"/>
  <c r="H386" i="9"/>
  <c r="I386" i="9" s="1"/>
  <c r="AI386" i="9"/>
  <c r="H387" i="9"/>
  <c r="I387" i="9" s="1"/>
  <c r="AI387" i="9"/>
  <c r="H388" i="9"/>
  <c r="I388" i="9" s="1"/>
  <c r="AI388" i="9"/>
  <c r="H389" i="9"/>
  <c r="I389" i="9" s="1"/>
  <c r="AI389" i="9"/>
  <c r="H390" i="9"/>
  <c r="I390" i="9" s="1"/>
  <c r="AI390" i="9"/>
  <c r="H391" i="9"/>
  <c r="I391" i="9" s="1"/>
  <c r="AI391" i="9"/>
  <c r="H392" i="9"/>
  <c r="I392" i="9" s="1"/>
  <c r="AI392" i="9"/>
  <c r="H393" i="9"/>
  <c r="I393" i="9" s="1"/>
  <c r="AI393" i="9"/>
  <c r="H394" i="9"/>
  <c r="I394" i="9" s="1"/>
  <c r="AI394" i="9"/>
  <c r="H395" i="9"/>
  <c r="I395" i="9" s="1"/>
  <c r="AI395" i="9"/>
  <c r="H396" i="9"/>
  <c r="I396" i="9" s="1"/>
  <c r="AI396" i="9"/>
  <c r="H397" i="9"/>
  <c r="I397" i="9" s="1"/>
  <c r="AI397" i="9"/>
  <c r="H398" i="9"/>
  <c r="I398" i="9" s="1"/>
  <c r="AI398" i="9"/>
  <c r="H399" i="9"/>
  <c r="I399" i="9" s="1"/>
  <c r="AI399" i="9"/>
  <c r="H400" i="9"/>
  <c r="I400" i="9" s="1"/>
  <c r="AI400" i="9"/>
  <c r="H401" i="9"/>
  <c r="I401" i="9" s="1"/>
  <c r="AI401" i="9"/>
  <c r="H402" i="9"/>
  <c r="I402" i="9" s="1"/>
  <c r="AI402" i="9"/>
  <c r="H403" i="9"/>
  <c r="I403" i="9" s="1"/>
  <c r="AI403" i="9"/>
  <c r="H404" i="9"/>
  <c r="I404" i="9" s="1"/>
  <c r="AI404" i="9"/>
  <c r="H405" i="9"/>
  <c r="I405" i="9" s="1"/>
  <c r="AI405" i="9"/>
  <c r="H406" i="9"/>
  <c r="I406" i="9" s="1"/>
  <c r="AI406" i="9"/>
  <c r="H407" i="9"/>
  <c r="I407" i="9" s="1"/>
  <c r="AI407" i="9"/>
  <c r="H408" i="9"/>
  <c r="I408" i="9" s="1"/>
  <c r="AI408" i="9"/>
  <c r="H409" i="9"/>
  <c r="I409" i="9" s="1"/>
  <c r="AI409" i="9"/>
  <c r="H410" i="9"/>
  <c r="I410" i="9" s="1"/>
  <c r="AI410" i="9"/>
  <c r="H411" i="9"/>
  <c r="I411" i="9" s="1"/>
  <c r="AI411" i="9"/>
  <c r="H412" i="9"/>
  <c r="I412" i="9" s="1"/>
  <c r="AI412" i="9"/>
  <c r="H413" i="9"/>
  <c r="I413" i="9" s="1"/>
  <c r="AI413" i="9"/>
  <c r="H414" i="9"/>
  <c r="I414" i="9" s="1"/>
  <c r="AI414" i="9"/>
  <c r="H415" i="9"/>
  <c r="I415" i="9" s="1"/>
  <c r="AI415" i="9"/>
  <c r="H416" i="9"/>
  <c r="I416" i="9" s="1"/>
  <c r="AI416" i="9"/>
  <c r="H417" i="9"/>
  <c r="I417" i="9" s="1"/>
  <c r="AI417" i="9"/>
  <c r="H418" i="9"/>
  <c r="I418" i="9" s="1"/>
  <c r="AI418" i="9"/>
  <c r="H419" i="9"/>
  <c r="I419" i="9" s="1"/>
  <c r="AI419" i="9"/>
  <c r="H420" i="9"/>
  <c r="I420" i="9" s="1"/>
  <c r="AI420" i="9"/>
  <c r="H421" i="9"/>
  <c r="I421" i="9" s="1"/>
  <c r="AI421" i="9"/>
  <c r="H422" i="9"/>
  <c r="I422" i="9" s="1"/>
  <c r="AI422" i="9"/>
  <c r="H423" i="9"/>
  <c r="I423" i="9" s="1"/>
  <c r="AI423" i="9"/>
  <c r="H424" i="9"/>
  <c r="I424" i="9" s="1"/>
  <c r="AI424" i="9"/>
  <c r="H425" i="9"/>
  <c r="I425" i="9" s="1"/>
  <c r="AI425" i="9"/>
  <c r="H426" i="9"/>
  <c r="I426" i="9" s="1"/>
  <c r="AI426" i="9"/>
  <c r="H427" i="9"/>
  <c r="I427" i="9" s="1"/>
  <c r="AI427" i="9"/>
  <c r="H428" i="9"/>
  <c r="I428" i="9" s="1"/>
  <c r="AI428" i="9"/>
  <c r="H429" i="9"/>
  <c r="I429" i="9" s="1"/>
  <c r="AI429" i="9"/>
  <c r="H430" i="9"/>
  <c r="I430" i="9" s="1"/>
  <c r="AI430" i="9"/>
  <c r="H431" i="9"/>
  <c r="I431" i="9" s="1"/>
  <c r="AI431" i="9"/>
  <c r="H432" i="9"/>
  <c r="I432" i="9" s="1"/>
  <c r="AI432" i="9"/>
  <c r="H433" i="9"/>
  <c r="I433" i="9" s="1"/>
  <c r="AI433" i="9"/>
  <c r="H434" i="9"/>
  <c r="I434" i="9" s="1"/>
  <c r="AI434" i="9"/>
  <c r="H435" i="9"/>
  <c r="I435" i="9" s="1"/>
  <c r="AI435" i="9"/>
  <c r="H436" i="9"/>
  <c r="I436" i="9" s="1"/>
  <c r="AI436" i="9"/>
  <c r="H437" i="9"/>
  <c r="I437" i="9" s="1"/>
  <c r="AI437" i="9"/>
  <c r="H438" i="9"/>
  <c r="I438" i="9" s="1"/>
  <c r="AI438" i="9"/>
  <c r="H439" i="9"/>
  <c r="I439" i="9" s="1"/>
  <c r="AI439" i="9"/>
  <c r="H440" i="9"/>
  <c r="I440" i="9" s="1"/>
  <c r="AI440" i="9"/>
  <c r="H441" i="9"/>
  <c r="I441" i="9" s="1"/>
  <c r="AI441" i="9"/>
  <c r="H442" i="9"/>
  <c r="I442" i="9" s="1"/>
  <c r="AI442" i="9"/>
  <c r="H443" i="9"/>
  <c r="I443" i="9" s="1"/>
  <c r="AI443" i="9"/>
  <c r="H444" i="9"/>
  <c r="I444" i="9" s="1"/>
  <c r="AI444" i="9"/>
  <c r="H445" i="9"/>
  <c r="I445" i="9" s="1"/>
  <c r="AI445" i="9"/>
  <c r="H446" i="9"/>
  <c r="I446" i="9" s="1"/>
  <c r="AI446" i="9"/>
  <c r="H447" i="9"/>
  <c r="I447" i="9" s="1"/>
  <c r="AI447" i="9"/>
  <c r="H448" i="9"/>
  <c r="I448" i="9" s="1"/>
  <c r="AI448" i="9"/>
  <c r="H449" i="9"/>
  <c r="I449" i="9" s="1"/>
  <c r="AI449" i="9"/>
  <c r="H450" i="9"/>
  <c r="I450" i="9" s="1"/>
  <c r="AI450" i="9"/>
  <c r="H451" i="9"/>
  <c r="I451" i="9" s="1"/>
  <c r="AI451" i="9"/>
  <c r="H452" i="9"/>
  <c r="I452" i="9" s="1"/>
  <c r="AI452" i="9"/>
  <c r="H453" i="9"/>
  <c r="I453" i="9" s="1"/>
  <c r="AI453" i="9"/>
  <c r="H454" i="9"/>
  <c r="I454" i="9" s="1"/>
  <c r="AI454" i="9"/>
  <c r="H455" i="9"/>
  <c r="I455" i="9" s="1"/>
  <c r="AI455" i="9"/>
  <c r="H456" i="9"/>
  <c r="I456" i="9" s="1"/>
  <c r="AI456" i="9"/>
  <c r="H457" i="9"/>
  <c r="I457" i="9" s="1"/>
  <c r="AI457" i="9"/>
  <c r="H458" i="9"/>
  <c r="I458" i="9" s="1"/>
  <c r="AI458" i="9"/>
  <c r="H459" i="9"/>
  <c r="I459" i="9" s="1"/>
  <c r="AI459" i="9"/>
  <c r="H460" i="9"/>
  <c r="I460" i="9" s="1"/>
  <c r="AI460" i="9"/>
  <c r="H461" i="9"/>
  <c r="I461" i="9" s="1"/>
  <c r="AI461" i="9"/>
  <c r="H462" i="9"/>
  <c r="I462" i="9" s="1"/>
  <c r="AI462" i="9"/>
  <c r="H463" i="9"/>
  <c r="I463" i="9" s="1"/>
  <c r="AI463" i="9"/>
  <c r="H464" i="9"/>
  <c r="I464" i="9" s="1"/>
  <c r="AI464" i="9"/>
  <c r="H465" i="9"/>
  <c r="I465" i="9" s="1"/>
  <c r="AI465" i="9"/>
  <c r="H466" i="9"/>
  <c r="I466" i="9" s="1"/>
  <c r="AI466" i="9"/>
  <c r="H467" i="9"/>
  <c r="I467" i="9" s="1"/>
  <c r="AI467" i="9"/>
  <c r="H468" i="9"/>
  <c r="I468" i="9" s="1"/>
  <c r="AI468" i="9"/>
  <c r="H469" i="9"/>
  <c r="I469" i="9" s="1"/>
  <c r="AI469" i="9"/>
  <c r="H470" i="9"/>
  <c r="I470" i="9" s="1"/>
  <c r="AI470" i="9"/>
  <c r="H471" i="9"/>
  <c r="I471" i="9" s="1"/>
  <c r="AI471" i="9"/>
  <c r="H472" i="9"/>
  <c r="I472" i="9" s="1"/>
  <c r="AI472" i="9"/>
  <c r="H473" i="9"/>
  <c r="I473" i="9" s="1"/>
  <c r="AI473" i="9"/>
  <c r="H474" i="9"/>
  <c r="I474" i="9" s="1"/>
  <c r="AI474" i="9"/>
  <c r="H475" i="9"/>
  <c r="I475" i="9" s="1"/>
  <c r="AI475" i="9"/>
  <c r="H476" i="9"/>
  <c r="I476" i="9" s="1"/>
  <c r="AI476" i="9"/>
  <c r="H477" i="9"/>
  <c r="I477" i="9" s="1"/>
  <c r="AI477" i="9"/>
  <c r="H478" i="9"/>
  <c r="I478" i="9" s="1"/>
  <c r="AI478" i="9"/>
  <c r="H479" i="9"/>
  <c r="I479" i="9" s="1"/>
  <c r="AI479" i="9"/>
  <c r="H480" i="9"/>
  <c r="I480" i="9" s="1"/>
  <c r="AI480" i="9"/>
  <c r="H481" i="9"/>
  <c r="I481" i="9" s="1"/>
  <c r="AI481" i="9"/>
  <c r="H482" i="9"/>
  <c r="I482" i="9" s="1"/>
  <c r="AI482" i="9"/>
  <c r="H483" i="9"/>
  <c r="I483" i="9" s="1"/>
  <c r="AI483" i="9"/>
  <c r="H484" i="9"/>
  <c r="I484" i="9" s="1"/>
  <c r="AI484" i="9"/>
  <c r="H485" i="9"/>
  <c r="I485" i="9" s="1"/>
  <c r="AI485" i="9"/>
  <c r="H486" i="9"/>
  <c r="I486" i="9" s="1"/>
  <c r="AI486" i="9"/>
  <c r="H487" i="9"/>
  <c r="I487" i="9" s="1"/>
  <c r="AI487" i="9"/>
  <c r="H488" i="9"/>
  <c r="I488" i="9" s="1"/>
  <c r="AI488" i="9"/>
  <c r="H489" i="9"/>
  <c r="I489" i="9" s="1"/>
  <c r="AI489" i="9"/>
  <c r="H490" i="9"/>
  <c r="I490" i="9" s="1"/>
  <c r="AI490" i="9"/>
  <c r="H491" i="9"/>
  <c r="I491" i="9" s="1"/>
  <c r="AI491" i="9"/>
  <c r="H492" i="9"/>
  <c r="I492" i="9" s="1"/>
  <c r="AI492" i="9"/>
  <c r="H493" i="9"/>
  <c r="I493" i="9" s="1"/>
  <c r="AI493" i="9"/>
  <c r="H494" i="9"/>
  <c r="I494" i="9" s="1"/>
  <c r="AI494" i="9"/>
  <c r="H495" i="9"/>
  <c r="I495" i="9" s="1"/>
  <c r="AI495" i="9"/>
  <c r="H496" i="9"/>
  <c r="I496" i="9" s="1"/>
  <c r="AI496" i="9"/>
  <c r="H497" i="9"/>
  <c r="I497" i="9" s="1"/>
  <c r="AI497" i="9"/>
  <c r="H498" i="9"/>
  <c r="I498" i="9" s="1"/>
  <c r="AI498" i="9"/>
  <c r="H499" i="9"/>
  <c r="I499" i="9" s="1"/>
  <c r="AI499" i="9"/>
  <c r="Y7" i="8"/>
  <c r="AI10" i="8"/>
  <c r="AI11" i="8"/>
  <c r="AI12" i="8"/>
  <c r="H13" i="8"/>
  <c r="AI13" i="8"/>
  <c r="H14" i="8"/>
  <c r="AI14" i="8"/>
  <c r="H15" i="8"/>
  <c r="I15" i="8" s="1"/>
  <c r="AI15" i="8"/>
  <c r="H16" i="8"/>
  <c r="I16" i="8" s="1"/>
  <c r="AI16" i="8"/>
  <c r="H17" i="8"/>
  <c r="AI17" i="8"/>
  <c r="H18" i="8"/>
  <c r="I18" i="8" s="1"/>
  <c r="AI18" i="8"/>
  <c r="H19" i="8"/>
  <c r="I19" i="8" s="1"/>
  <c r="AG19" i="8"/>
  <c r="AH19" i="8"/>
  <c r="AI19" i="8"/>
  <c r="H20" i="8"/>
  <c r="I20" i="8" s="1"/>
  <c r="AI20" i="8"/>
  <c r="H21" i="8"/>
  <c r="I21" i="8" s="1"/>
  <c r="AI21" i="8"/>
  <c r="H22" i="8"/>
  <c r="I22" i="8" s="1"/>
  <c r="AI22" i="8"/>
  <c r="H23" i="8"/>
  <c r="I23" i="8" s="1"/>
  <c r="AI23" i="8"/>
  <c r="H24" i="8"/>
  <c r="I24" i="8" s="1"/>
  <c r="AI24" i="8"/>
  <c r="H25" i="8"/>
  <c r="I25" i="8" s="1"/>
  <c r="AI25" i="8"/>
  <c r="H26" i="8"/>
  <c r="I26" i="8" s="1"/>
  <c r="AI26" i="8"/>
  <c r="H27" i="8"/>
  <c r="I27" i="8" s="1"/>
  <c r="AI27" i="8"/>
  <c r="H28" i="8"/>
  <c r="I28" i="8" s="1"/>
  <c r="AI28" i="8"/>
  <c r="H29" i="8"/>
  <c r="I29" i="8" s="1"/>
  <c r="AI29" i="8"/>
  <c r="H30" i="8"/>
  <c r="I30" i="8" s="1"/>
  <c r="AI30" i="8"/>
  <c r="H31" i="8"/>
  <c r="I31" i="8" s="1"/>
  <c r="AI31" i="8"/>
  <c r="H32" i="8"/>
  <c r="I32" i="8" s="1"/>
  <c r="AI32" i="8"/>
  <c r="H33" i="8"/>
  <c r="I33" i="8" s="1"/>
  <c r="AI33" i="8"/>
  <c r="H34" i="8"/>
  <c r="I34" i="8" s="1"/>
  <c r="AI34" i="8"/>
  <c r="H35" i="8"/>
  <c r="I35" i="8" s="1"/>
  <c r="AI35" i="8"/>
  <c r="H36" i="8"/>
  <c r="I36" i="8" s="1"/>
  <c r="AI36" i="8"/>
  <c r="H37" i="8"/>
  <c r="I37" i="8" s="1"/>
  <c r="AI37" i="8"/>
  <c r="H38" i="8"/>
  <c r="I38" i="8" s="1"/>
  <c r="AI38" i="8"/>
  <c r="H39" i="8"/>
  <c r="I39" i="8" s="1"/>
  <c r="AI39" i="8"/>
  <c r="H40" i="8"/>
  <c r="I40" i="8" s="1"/>
  <c r="AI40" i="8"/>
  <c r="H41" i="8"/>
  <c r="I41" i="8" s="1"/>
  <c r="AI41" i="8"/>
  <c r="H42" i="8"/>
  <c r="I42" i="8" s="1"/>
  <c r="AI42" i="8"/>
  <c r="H43" i="8"/>
  <c r="I43" i="8" s="1"/>
  <c r="AI43" i="8"/>
  <c r="H44" i="8"/>
  <c r="I44" i="8" s="1"/>
  <c r="AI44" i="8"/>
  <c r="H45" i="8"/>
  <c r="I45" i="8" s="1"/>
  <c r="AI45" i="8"/>
  <c r="H46" i="8"/>
  <c r="I46" i="8" s="1"/>
  <c r="AI46" i="8"/>
  <c r="H47" i="8"/>
  <c r="I47" i="8" s="1"/>
  <c r="AI47" i="8"/>
  <c r="H48" i="8"/>
  <c r="I48" i="8" s="1"/>
  <c r="AI48" i="8"/>
  <c r="H49" i="8"/>
  <c r="I49" i="8" s="1"/>
  <c r="AI49" i="8"/>
  <c r="H50" i="8"/>
  <c r="I50" i="8" s="1"/>
  <c r="AI50" i="8"/>
  <c r="H51" i="8"/>
  <c r="I51" i="8" s="1"/>
  <c r="AI51" i="8"/>
  <c r="H52" i="8"/>
  <c r="I52" i="8" s="1"/>
  <c r="AI52" i="8"/>
  <c r="H53" i="8"/>
  <c r="I53" i="8" s="1"/>
  <c r="AI53" i="8"/>
  <c r="H54" i="8"/>
  <c r="I54" i="8" s="1"/>
  <c r="AI54" i="8"/>
  <c r="H55" i="8"/>
  <c r="I55" i="8" s="1"/>
  <c r="AI55" i="8"/>
  <c r="H56" i="8"/>
  <c r="I56" i="8" s="1"/>
  <c r="AI56" i="8"/>
  <c r="H57" i="8"/>
  <c r="I57" i="8" s="1"/>
  <c r="AI57" i="8"/>
  <c r="H58" i="8"/>
  <c r="I58" i="8" s="1"/>
  <c r="AI58" i="8"/>
  <c r="H59" i="8"/>
  <c r="I59" i="8" s="1"/>
  <c r="AI59" i="8"/>
  <c r="H60" i="8"/>
  <c r="I60" i="8" s="1"/>
  <c r="AI60" i="8"/>
  <c r="H61" i="8"/>
  <c r="I61" i="8" s="1"/>
  <c r="AI61" i="8"/>
  <c r="H62" i="8"/>
  <c r="I62" i="8" s="1"/>
  <c r="AI62" i="8"/>
  <c r="H63" i="8"/>
  <c r="I63" i="8" s="1"/>
  <c r="AI63" i="8"/>
  <c r="H64" i="8"/>
  <c r="I64" i="8" s="1"/>
  <c r="AI64" i="8"/>
  <c r="H65" i="8"/>
  <c r="I65" i="8" s="1"/>
  <c r="AI65" i="8"/>
  <c r="H66" i="8"/>
  <c r="I66" i="8" s="1"/>
  <c r="AI66" i="8"/>
  <c r="H67" i="8"/>
  <c r="I67" i="8" s="1"/>
  <c r="AI67" i="8"/>
  <c r="H68" i="8"/>
  <c r="I68" i="8" s="1"/>
  <c r="AI68" i="8"/>
  <c r="H69" i="8"/>
  <c r="I69" i="8" s="1"/>
  <c r="AI69" i="8"/>
  <c r="H70" i="8"/>
  <c r="I70" i="8" s="1"/>
  <c r="AI70" i="8"/>
  <c r="H71" i="8"/>
  <c r="I71" i="8" s="1"/>
  <c r="AI71" i="8"/>
  <c r="H72" i="8"/>
  <c r="I72" i="8" s="1"/>
  <c r="AI72" i="8"/>
  <c r="H73" i="8"/>
  <c r="I73" i="8" s="1"/>
  <c r="AI73" i="8"/>
  <c r="H74" i="8"/>
  <c r="I74" i="8" s="1"/>
  <c r="AI74" i="8"/>
  <c r="H75" i="8"/>
  <c r="I75" i="8" s="1"/>
  <c r="AI75" i="8"/>
  <c r="H76" i="8"/>
  <c r="I76" i="8" s="1"/>
  <c r="AI76" i="8"/>
  <c r="H77" i="8"/>
  <c r="I77" i="8" s="1"/>
  <c r="AI77" i="8"/>
  <c r="H78" i="8"/>
  <c r="AI78" i="8"/>
  <c r="H79" i="8"/>
  <c r="I79" i="8" s="1"/>
  <c r="AI79" i="8"/>
  <c r="H80" i="8"/>
  <c r="I80" i="8" s="1"/>
  <c r="AI80" i="8"/>
  <c r="H81" i="8"/>
  <c r="I81" i="8" s="1"/>
  <c r="AI81" i="8"/>
  <c r="H82" i="8"/>
  <c r="I82" i="8" s="1"/>
  <c r="AI82" i="8"/>
  <c r="H83" i="8"/>
  <c r="I83" i="8" s="1"/>
  <c r="AI83" i="8"/>
  <c r="H84" i="8"/>
  <c r="I84" i="8" s="1"/>
  <c r="AI84" i="8"/>
  <c r="H85" i="8"/>
  <c r="I85" i="8" s="1"/>
  <c r="AI85" i="8"/>
  <c r="H86" i="8"/>
  <c r="I86" i="8" s="1"/>
  <c r="AI86" i="8"/>
  <c r="H87" i="8"/>
  <c r="I87" i="8" s="1"/>
  <c r="AI87" i="8"/>
  <c r="H88" i="8"/>
  <c r="I88" i="8" s="1"/>
  <c r="AI88" i="8"/>
  <c r="H89" i="8"/>
  <c r="I89" i="8" s="1"/>
  <c r="AI89" i="8"/>
  <c r="H90" i="8"/>
  <c r="I90" i="8" s="1"/>
  <c r="AI90" i="8"/>
  <c r="H91" i="8"/>
  <c r="I91" i="8" s="1"/>
  <c r="AI91" i="8"/>
  <c r="H92" i="8"/>
  <c r="I92" i="8" s="1"/>
  <c r="AI92" i="8"/>
  <c r="H93" i="8"/>
  <c r="I93" i="8" s="1"/>
  <c r="AI93" i="8"/>
  <c r="H94" i="8"/>
  <c r="I94" i="8" s="1"/>
  <c r="AI94" i="8"/>
  <c r="H95" i="8"/>
  <c r="I95" i="8" s="1"/>
  <c r="AI95" i="8"/>
  <c r="H96" i="8"/>
  <c r="I96" i="8" s="1"/>
  <c r="AI96" i="8"/>
  <c r="H97" i="8"/>
  <c r="I97" i="8" s="1"/>
  <c r="AI97" i="8"/>
  <c r="H98" i="8"/>
  <c r="I98" i="8" s="1"/>
  <c r="AI98" i="8"/>
  <c r="H99" i="8"/>
  <c r="I99" i="8" s="1"/>
  <c r="AI99" i="8"/>
  <c r="H100" i="8"/>
  <c r="I100" i="8" s="1"/>
  <c r="AI100" i="8"/>
  <c r="H101" i="8"/>
  <c r="I101" i="8" s="1"/>
  <c r="AI101" i="8"/>
  <c r="H102" i="8"/>
  <c r="I102" i="8" s="1"/>
  <c r="AI102" i="8"/>
  <c r="H103" i="8"/>
  <c r="I103" i="8" s="1"/>
  <c r="AI103" i="8"/>
  <c r="H104" i="8"/>
  <c r="I104" i="8" s="1"/>
  <c r="AI104" i="8"/>
  <c r="H105" i="8"/>
  <c r="I105" i="8" s="1"/>
  <c r="AI105" i="8"/>
  <c r="H106" i="8"/>
  <c r="I106" i="8" s="1"/>
  <c r="AI106" i="8"/>
  <c r="H107" i="8"/>
  <c r="I107" i="8" s="1"/>
  <c r="AI107" i="8"/>
  <c r="H108" i="8"/>
  <c r="I108" i="8" s="1"/>
  <c r="AI108" i="8"/>
  <c r="H109" i="8"/>
  <c r="I109" i="8" s="1"/>
  <c r="AI109" i="8"/>
  <c r="H110" i="8"/>
  <c r="I110" i="8" s="1"/>
  <c r="AI110" i="8"/>
  <c r="H111" i="8"/>
  <c r="I111" i="8" s="1"/>
  <c r="AI111" i="8"/>
  <c r="H112" i="8"/>
  <c r="I112" i="8" s="1"/>
  <c r="AI112" i="8"/>
  <c r="H113" i="8"/>
  <c r="I113" i="8" s="1"/>
  <c r="AI113" i="8"/>
  <c r="H114" i="8"/>
  <c r="I114" i="8" s="1"/>
  <c r="AI114" i="8"/>
  <c r="H115" i="8"/>
  <c r="I115" i="8" s="1"/>
  <c r="AI115" i="8"/>
  <c r="H116" i="8"/>
  <c r="I116" i="8" s="1"/>
  <c r="AI116" i="8"/>
  <c r="H117" i="8"/>
  <c r="I117" i="8" s="1"/>
  <c r="AI117" i="8"/>
  <c r="H118" i="8"/>
  <c r="I118" i="8" s="1"/>
  <c r="AI118" i="8"/>
  <c r="H119" i="8"/>
  <c r="I119" i="8" s="1"/>
  <c r="AI119" i="8"/>
  <c r="H120" i="8"/>
  <c r="I120" i="8" s="1"/>
  <c r="AI120" i="8"/>
  <c r="H121" i="8"/>
  <c r="I121" i="8" s="1"/>
  <c r="AI121" i="8"/>
  <c r="H122" i="8"/>
  <c r="I122" i="8" s="1"/>
  <c r="AI122" i="8"/>
  <c r="H123" i="8"/>
  <c r="I123" i="8" s="1"/>
  <c r="AI123" i="8"/>
  <c r="H124" i="8"/>
  <c r="I124" i="8" s="1"/>
  <c r="AI124" i="8"/>
  <c r="H125" i="8"/>
  <c r="I125" i="8" s="1"/>
  <c r="AI125" i="8"/>
  <c r="H126" i="8"/>
  <c r="I126" i="8" s="1"/>
  <c r="AI126" i="8"/>
  <c r="H127" i="8"/>
  <c r="I127" i="8" s="1"/>
  <c r="AI127" i="8"/>
  <c r="H128" i="8"/>
  <c r="I128" i="8" s="1"/>
  <c r="AI128" i="8"/>
  <c r="H129" i="8"/>
  <c r="I129" i="8" s="1"/>
  <c r="AI129" i="8"/>
  <c r="H130" i="8"/>
  <c r="I130" i="8" s="1"/>
  <c r="AI130" i="8"/>
  <c r="H131" i="8"/>
  <c r="I131" i="8" s="1"/>
  <c r="AI131" i="8"/>
  <c r="H132" i="8"/>
  <c r="I132" i="8" s="1"/>
  <c r="AI132" i="8"/>
  <c r="H133" i="8"/>
  <c r="I133" i="8" s="1"/>
  <c r="AI133" i="8"/>
  <c r="H134" i="8"/>
  <c r="I134" i="8" s="1"/>
  <c r="AI134" i="8"/>
  <c r="H135" i="8"/>
  <c r="I135" i="8" s="1"/>
  <c r="AI135" i="8"/>
  <c r="H136" i="8"/>
  <c r="I136" i="8" s="1"/>
  <c r="AI136" i="8"/>
  <c r="H137" i="8"/>
  <c r="I137" i="8" s="1"/>
  <c r="AI137" i="8"/>
  <c r="H138" i="8"/>
  <c r="I138" i="8" s="1"/>
  <c r="AI138" i="8"/>
  <c r="H139" i="8"/>
  <c r="I139" i="8" s="1"/>
  <c r="AI139" i="8"/>
  <c r="H140" i="8"/>
  <c r="I140" i="8" s="1"/>
  <c r="AI140" i="8"/>
  <c r="H141" i="8"/>
  <c r="I141" i="8" s="1"/>
  <c r="AI141" i="8"/>
  <c r="H142" i="8"/>
  <c r="AI142" i="8"/>
  <c r="H143" i="8"/>
  <c r="I143" i="8" s="1"/>
  <c r="AI143" i="8"/>
  <c r="H144" i="8"/>
  <c r="I144" i="8" s="1"/>
  <c r="AI144" i="8"/>
  <c r="H145" i="8"/>
  <c r="I145" i="8" s="1"/>
  <c r="AI145" i="8"/>
  <c r="H146" i="8"/>
  <c r="I146" i="8" s="1"/>
  <c r="AI146" i="8"/>
  <c r="H147" i="8"/>
  <c r="I147" i="8" s="1"/>
  <c r="AI147" i="8"/>
  <c r="H148" i="8"/>
  <c r="I148" i="8" s="1"/>
  <c r="AI148" i="8"/>
  <c r="H149" i="8"/>
  <c r="I149" i="8" s="1"/>
  <c r="AI149" i="8"/>
  <c r="H150" i="8"/>
  <c r="I150" i="8" s="1"/>
  <c r="AI150" i="8"/>
  <c r="H151" i="8"/>
  <c r="I151" i="8" s="1"/>
  <c r="AI151" i="8"/>
  <c r="H152" i="8"/>
  <c r="I152" i="8" s="1"/>
  <c r="AI152" i="8"/>
  <c r="H153" i="8"/>
  <c r="I153" i="8" s="1"/>
  <c r="AI153" i="8"/>
  <c r="H154" i="8"/>
  <c r="I154" i="8" s="1"/>
  <c r="AI154" i="8"/>
  <c r="H155" i="8"/>
  <c r="I155" i="8" s="1"/>
  <c r="AI155" i="8"/>
  <c r="H156" i="8"/>
  <c r="I156" i="8" s="1"/>
  <c r="AI156" i="8"/>
  <c r="H157" i="8"/>
  <c r="I157" i="8" s="1"/>
  <c r="AI157" i="8"/>
  <c r="H158" i="8"/>
  <c r="I158" i="8" s="1"/>
  <c r="AI158" i="8"/>
  <c r="H159" i="8"/>
  <c r="I159" i="8" s="1"/>
  <c r="AI159" i="8"/>
  <c r="H160" i="8"/>
  <c r="I160" i="8" s="1"/>
  <c r="AI160" i="8"/>
  <c r="H161" i="8"/>
  <c r="I161" i="8" s="1"/>
  <c r="AI161" i="8"/>
  <c r="H162" i="8"/>
  <c r="I162" i="8" s="1"/>
  <c r="AI162" i="8"/>
  <c r="H163" i="8"/>
  <c r="I163" i="8" s="1"/>
  <c r="AI163" i="8"/>
  <c r="H164" i="8"/>
  <c r="I164" i="8" s="1"/>
  <c r="AI164" i="8"/>
  <c r="H165" i="8"/>
  <c r="I165" i="8" s="1"/>
  <c r="AI165" i="8"/>
  <c r="H166" i="8"/>
  <c r="I166" i="8" s="1"/>
  <c r="AI166" i="8"/>
  <c r="H167" i="8"/>
  <c r="I167" i="8" s="1"/>
  <c r="AI167" i="8"/>
  <c r="H168" i="8"/>
  <c r="I168" i="8" s="1"/>
  <c r="AI168" i="8"/>
  <c r="H169" i="8"/>
  <c r="I169" i="8" s="1"/>
  <c r="AI169" i="8"/>
  <c r="H170" i="8"/>
  <c r="I170" i="8" s="1"/>
  <c r="AI170" i="8"/>
  <c r="H171" i="8"/>
  <c r="I171" i="8" s="1"/>
  <c r="AI171" i="8"/>
  <c r="H172" i="8"/>
  <c r="I172" i="8" s="1"/>
  <c r="AI172" i="8"/>
  <c r="H173" i="8"/>
  <c r="I173" i="8" s="1"/>
  <c r="AI173" i="8"/>
  <c r="H174" i="8"/>
  <c r="I174" i="8" s="1"/>
  <c r="AI174" i="8"/>
  <c r="H175" i="8"/>
  <c r="I175" i="8" s="1"/>
  <c r="AI175" i="8"/>
  <c r="H176" i="8"/>
  <c r="I176" i="8" s="1"/>
  <c r="AI176" i="8"/>
  <c r="H177" i="8"/>
  <c r="I177" i="8" s="1"/>
  <c r="AI177" i="8"/>
  <c r="H178" i="8"/>
  <c r="I178" i="8" s="1"/>
  <c r="AI178" i="8"/>
  <c r="H179" i="8"/>
  <c r="I179" i="8" s="1"/>
  <c r="AI179" i="8"/>
  <c r="H180" i="8"/>
  <c r="I180" i="8" s="1"/>
  <c r="AI180" i="8"/>
  <c r="H181" i="8"/>
  <c r="I181" i="8" s="1"/>
  <c r="AI181" i="8"/>
  <c r="H182" i="8"/>
  <c r="I182" i="8" s="1"/>
  <c r="AI182" i="8"/>
  <c r="H183" i="8"/>
  <c r="I183" i="8" s="1"/>
  <c r="AI183" i="8"/>
  <c r="H184" i="8"/>
  <c r="I184" i="8" s="1"/>
  <c r="AI184" i="8"/>
  <c r="H185" i="8"/>
  <c r="I185" i="8" s="1"/>
  <c r="AI185" i="8"/>
  <c r="H186" i="8"/>
  <c r="I186" i="8" s="1"/>
  <c r="AI186" i="8"/>
  <c r="H187" i="8"/>
  <c r="I187" i="8" s="1"/>
  <c r="AI187" i="8"/>
  <c r="H188" i="8"/>
  <c r="I188" i="8" s="1"/>
  <c r="AI188" i="8"/>
  <c r="H189" i="8"/>
  <c r="I189" i="8" s="1"/>
  <c r="AI189" i="8"/>
  <c r="H190" i="8"/>
  <c r="I190" i="8" s="1"/>
  <c r="AI190" i="8"/>
  <c r="H191" i="8"/>
  <c r="I191" i="8" s="1"/>
  <c r="AI191" i="8"/>
  <c r="H192" i="8"/>
  <c r="I192" i="8" s="1"/>
  <c r="AI192" i="8"/>
  <c r="H193" i="8"/>
  <c r="I193" i="8" s="1"/>
  <c r="AI193" i="8"/>
  <c r="H194" i="8"/>
  <c r="I194" i="8" s="1"/>
  <c r="AI194" i="8"/>
  <c r="H195" i="8"/>
  <c r="I195" i="8" s="1"/>
  <c r="AI195" i="8"/>
  <c r="H196" i="8"/>
  <c r="I196" i="8" s="1"/>
  <c r="AI196" i="8"/>
  <c r="H197" i="8"/>
  <c r="I197" i="8" s="1"/>
  <c r="AI197" i="8"/>
  <c r="H198" i="8"/>
  <c r="I198" i="8" s="1"/>
  <c r="AI198" i="8"/>
  <c r="H199" i="8"/>
  <c r="I199" i="8" s="1"/>
  <c r="AI199" i="8"/>
  <c r="H200" i="8"/>
  <c r="I200" i="8" s="1"/>
  <c r="AI200" i="8"/>
  <c r="H201" i="8"/>
  <c r="I201" i="8" s="1"/>
  <c r="AI201" i="8"/>
  <c r="H202" i="8"/>
  <c r="I202" i="8" s="1"/>
  <c r="AI202" i="8"/>
  <c r="H203" i="8"/>
  <c r="I203" i="8" s="1"/>
  <c r="AI203" i="8"/>
  <c r="H204" i="8"/>
  <c r="I204" i="8" s="1"/>
  <c r="AI204" i="8"/>
  <c r="H205" i="8"/>
  <c r="I205" i="8" s="1"/>
  <c r="AI205" i="8"/>
  <c r="H206" i="8"/>
  <c r="AI206" i="8"/>
  <c r="H207" i="8"/>
  <c r="I207" i="8" s="1"/>
  <c r="AI207" i="8"/>
  <c r="H208" i="8"/>
  <c r="I208" i="8" s="1"/>
  <c r="AI208" i="8"/>
  <c r="H209" i="8"/>
  <c r="I209" i="8" s="1"/>
  <c r="AI209" i="8"/>
  <c r="H210" i="8"/>
  <c r="I210" i="8" s="1"/>
  <c r="AI210" i="8"/>
  <c r="H211" i="8"/>
  <c r="I211" i="8" s="1"/>
  <c r="AI211" i="8"/>
  <c r="H212" i="8"/>
  <c r="I212" i="8" s="1"/>
  <c r="AI212" i="8"/>
  <c r="H213" i="8"/>
  <c r="I213" i="8" s="1"/>
  <c r="AI213" i="8"/>
  <c r="H214" i="8"/>
  <c r="I214" i="8" s="1"/>
  <c r="AI214" i="8"/>
  <c r="H215" i="8"/>
  <c r="I215" i="8" s="1"/>
  <c r="AI215" i="8"/>
  <c r="H216" i="8"/>
  <c r="I216" i="8" s="1"/>
  <c r="AI216" i="8"/>
  <c r="H217" i="8"/>
  <c r="I217" i="8" s="1"/>
  <c r="AI217" i="8"/>
  <c r="H218" i="8"/>
  <c r="I218" i="8" s="1"/>
  <c r="AI218" i="8"/>
  <c r="H219" i="8"/>
  <c r="I219" i="8" s="1"/>
  <c r="AI219" i="8"/>
  <c r="H220" i="8"/>
  <c r="I220" i="8" s="1"/>
  <c r="AI220" i="8"/>
  <c r="H221" i="8"/>
  <c r="I221" i="8" s="1"/>
  <c r="AI221" i="8"/>
  <c r="H222" i="8"/>
  <c r="I222" i="8" s="1"/>
  <c r="AI222" i="8"/>
  <c r="H223" i="8"/>
  <c r="I223" i="8" s="1"/>
  <c r="AI223" i="8"/>
  <c r="H224" i="8"/>
  <c r="I224" i="8" s="1"/>
  <c r="AI224" i="8"/>
  <c r="H225" i="8"/>
  <c r="I225" i="8" s="1"/>
  <c r="AI225" i="8"/>
  <c r="H226" i="8"/>
  <c r="I226" i="8" s="1"/>
  <c r="AI226" i="8"/>
  <c r="H227" i="8"/>
  <c r="I227" i="8" s="1"/>
  <c r="AI227" i="8"/>
  <c r="H228" i="8"/>
  <c r="I228" i="8" s="1"/>
  <c r="AI228" i="8"/>
  <c r="H229" i="8"/>
  <c r="I229" i="8" s="1"/>
  <c r="AI229" i="8"/>
  <c r="H230" i="8"/>
  <c r="I230" i="8" s="1"/>
  <c r="AI230" i="8"/>
  <c r="H231" i="8"/>
  <c r="I231" i="8" s="1"/>
  <c r="AI231" i="8"/>
  <c r="H232" i="8"/>
  <c r="I232" i="8" s="1"/>
  <c r="AI232" i="8"/>
  <c r="H233" i="8"/>
  <c r="I233" i="8" s="1"/>
  <c r="AI233" i="8"/>
  <c r="H234" i="8"/>
  <c r="I234" i="8" s="1"/>
  <c r="AI234" i="8"/>
  <c r="H235" i="8"/>
  <c r="I235" i="8" s="1"/>
  <c r="AI235" i="8"/>
  <c r="H236" i="8"/>
  <c r="I236" i="8" s="1"/>
  <c r="AI236" i="8"/>
  <c r="H237" i="8"/>
  <c r="I237" i="8" s="1"/>
  <c r="AI237" i="8"/>
  <c r="H238" i="8"/>
  <c r="I238" i="8" s="1"/>
  <c r="AI238" i="8"/>
  <c r="H239" i="8"/>
  <c r="I239" i="8" s="1"/>
  <c r="AI239" i="8"/>
  <c r="H240" i="8"/>
  <c r="I240" i="8" s="1"/>
  <c r="AI240" i="8"/>
  <c r="H241" i="8"/>
  <c r="I241" i="8" s="1"/>
  <c r="AI241" i="8"/>
  <c r="H242" i="8"/>
  <c r="I242" i="8" s="1"/>
  <c r="AI242" i="8"/>
  <c r="H243" i="8"/>
  <c r="I243" i="8" s="1"/>
  <c r="AI243" i="8"/>
  <c r="H244" i="8"/>
  <c r="I244" i="8" s="1"/>
  <c r="AI244" i="8"/>
  <c r="H245" i="8"/>
  <c r="I245" i="8" s="1"/>
  <c r="AI245" i="8"/>
  <c r="H246" i="8"/>
  <c r="I246" i="8" s="1"/>
  <c r="AI246" i="8"/>
  <c r="H247" i="8"/>
  <c r="I247" i="8" s="1"/>
  <c r="AI247" i="8"/>
  <c r="H248" i="8"/>
  <c r="I248" i="8" s="1"/>
  <c r="AI248" i="8"/>
  <c r="H249" i="8"/>
  <c r="I249" i="8" s="1"/>
  <c r="AI249" i="8"/>
  <c r="H250" i="8"/>
  <c r="I250" i="8" s="1"/>
  <c r="AI250" i="8"/>
  <c r="H251" i="8"/>
  <c r="I251" i="8" s="1"/>
  <c r="AI251" i="8"/>
  <c r="H252" i="8"/>
  <c r="I252" i="8" s="1"/>
  <c r="AI252" i="8"/>
  <c r="H253" i="8"/>
  <c r="I253" i="8" s="1"/>
  <c r="AI253" i="8"/>
  <c r="H254" i="8"/>
  <c r="I254" i="8" s="1"/>
  <c r="AI254" i="8"/>
  <c r="H255" i="8"/>
  <c r="I255" i="8" s="1"/>
  <c r="AI255" i="8"/>
  <c r="H256" i="8"/>
  <c r="I256" i="8" s="1"/>
  <c r="AI256" i="8"/>
  <c r="H257" i="8"/>
  <c r="I257" i="8" s="1"/>
  <c r="AI257" i="8"/>
  <c r="H258" i="8"/>
  <c r="I258" i="8" s="1"/>
  <c r="AI258" i="8"/>
  <c r="H259" i="8"/>
  <c r="I259" i="8" s="1"/>
  <c r="AI259" i="8"/>
  <c r="H260" i="8"/>
  <c r="I260" i="8" s="1"/>
  <c r="AI260" i="8"/>
  <c r="H261" i="8"/>
  <c r="I261" i="8" s="1"/>
  <c r="AI261" i="8"/>
  <c r="H262" i="8"/>
  <c r="I262" i="8" s="1"/>
  <c r="AI262" i="8"/>
  <c r="H263" i="8"/>
  <c r="I263" i="8" s="1"/>
  <c r="AI263" i="8"/>
  <c r="H264" i="8"/>
  <c r="I264" i="8" s="1"/>
  <c r="AI264" i="8"/>
  <c r="H265" i="8"/>
  <c r="I265" i="8" s="1"/>
  <c r="AI265" i="8"/>
  <c r="H266" i="8"/>
  <c r="I266" i="8" s="1"/>
  <c r="AI266" i="8"/>
  <c r="H267" i="8"/>
  <c r="I267" i="8" s="1"/>
  <c r="AI267" i="8"/>
  <c r="H268" i="8"/>
  <c r="I268" i="8" s="1"/>
  <c r="AI268" i="8"/>
  <c r="H269" i="8"/>
  <c r="I269" i="8" s="1"/>
  <c r="AI269" i="8"/>
  <c r="H270" i="8"/>
  <c r="AI270" i="8"/>
  <c r="H271" i="8"/>
  <c r="I271" i="8" s="1"/>
  <c r="AI271" i="8"/>
  <c r="H272" i="8"/>
  <c r="I272" i="8" s="1"/>
  <c r="AI272" i="8"/>
  <c r="H273" i="8"/>
  <c r="I273" i="8" s="1"/>
  <c r="AI273" i="8"/>
  <c r="H274" i="8"/>
  <c r="I274" i="8" s="1"/>
  <c r="AI274" i="8"/>
  <c r="H275" i="8"/>
  <c r="I275" i="8" s="1"/>
  <c r="AI275" i="8"/>
  <c r="H276" i="8"/>
  <c r="I276" i="8" s="1"/>
  <c r="AI276" i="8"/>
  <c r="H277" i="8"/>
  <c r="I277" i="8" s="1"/>
  <c r="AI277" i="8"/>
  <c r="H278" i="8"/>
  <c r="I278" i="8" s="1"/>
  <c r="AI278" i="8"/>
  <c r="H279" i="8"/>
  <c r="I279" i="8" s="1"/>
  <c r="AI279" i="8"/>
  <c r="H280" i="8"/>
  <c r="I280" i="8" s="1"/>
  <c r="AI280" i="8"/>
  <c r="H281" i="8"/>
  <c r="I281" i="8" s="1"/>
  <c r="AI281" i="8"/>
  <c r="H282" i="8"/>
  <c r="I282" i="8" s="1"/>
  <c r="AI282" i="8"/>
  <c r="H283" i="8"/>
  <c r="I283" i="8" s="1"/>
  <c r="AI283" i="8"/>
  <c r="H284" i="8"/>
  <c r="I284" i="8" s="1"/>
  <c r="AI284" i="8"/>
  <c r="H285" i="8"/>
  <c r="I285" i="8" s="1"/>
  <c r="AI285" i="8"/>
  <c r="H286" i="8"/>
  <c r="I286" i="8" s="1"/>
  <c r="AI286" i="8"/>
  <c r="H287" i="8"/>
  <c r="I287" i="8" s="1"/>
  <c r="AI287" i="8"/>
  <c r="H288" i="8"/>
  <c r="I288" i="8" s="1"/>
  <c r="AI288" i="8"/>
  <c r="H289" i="8"/>
  <c r="I289" i="8" s="1"/>
  <c r="AI289" i="8"/>
  <c r="H290" i="8"/>
  <c r="I290" i="8" s="1"/>
  <c r="AI290" i="8"/>
  <c r="H291" i="8"/>
  <c r="I291" i="8" s="1"/>
  <c r="AI291" i="8"/>
  <c r="H292" i="8"/>
  <c r="I292" i="8" s="1"/>
  <c r="AI292" i="8"/>
  <c r="H293" i="8"/>
  <c r="I293" i="8" s="1"/>
  <c r="AI293" i="8"/>
  <c r="H294" i="8"/>
  <c r="I294" i="8" s="1"/>
  <c r="AI294" i="8"/>
  <c r="H295" i="8"/>
  <c r="I295" i="8" s="1"/>
  <c r="AI295" i="8"/>
  <c r="H296" i="8"/>
  <c r="I296" i="8" s="1"/>
  <c r="AI296" i="8"/>
  <c r="H297" i="8"/>
  <c r="I297" i="8" s="1"/>
  <c r="AI297" i="8"/>
  <c r="H298" i="8"/>
  <c r="I298" i="8" s="1"/>
  <c r="AI298" i="8"/>
  <c r="H299" i="8"/>
  <c r="I299" i="8" s="1"/>
  <c r="AI299" i="8"/>
  <c r="H300" i="8"/>
  <c r="I300" i="8" s="1"/>
  <c r="AI300" i="8"/>
  <c r="H301" i="8"/>
  <c r="I301" i="8" s="1"/>
  <c r="AI301" i="8"/>
  <c r="H302" i="8"/>
  <c r="I302" i="8" s="1"/>
  <c r="AI302" i="8"/>
  <c r="H303" i="8"/>
  <c r="I303" i="8" s="1"/>
  <c r="AI303" i="8"/>
  <c r="H304" i="8"/>
  <c r="I304" i="8" s="1"/>
  <c r="AI304" i="8"/>
  <c r="H305" i="8"/>
  <c r="I305" i="8" s="1"/>
  <c r="AI305" i="8"/>
  <c r="H306" i="8"/>
  <c r="I306" i="8" s="1"/>
  <c r="AI306" i="8"/>
  <c r="H307" i="8"/>
  <c r="I307" i="8" s="1"/>
  <c r="AI307" i="8"/>
  <c r="H308" i="8"/>
  <c r="I308" i="8" s="1"/>
  <c r="AI308" i="8"/>
  <c r="H309" i="8"/>
  <c r="I309" i="8" s="1"/>
  <c r="AI309" i="8"/>
  <c r="H310" i="8"/>
  <c r="I310" i="8" s="1"/>
  <c r="AI310" i="8"/>
  <c r="H311" i="8"/>
  <c r="I311" i="8" s="1"/>
  <c r="AI311" i="8"/>
  <c r="H312" i="8"/>
  <c r="I312" i="8" s="1"/>
  <c r="AI312" i="8"/>
  <c r="H313" i="8"/>
  <c r="I313" i="8" s="1"/>
  <c r="AI313" i="8"/>
  <c r="H314" i="8"/>
  <c r="I314" i="8" s="1"/>
  <c r="AI314" i="8"/>
  <c r="H315" i="8"/>
  <c r="I315" i="8" s="1"/>
  <c r="AI315" i="8"/>
  <c r="H316" i="8"/>
  <c r="I316" i="8" s="1"/>
  <c r="AI316" i="8"/>
  <c r="H317" i="8"/>
  <c r="I317" i="8" s="1"/>
  <c r="AI317" i="8"/>
  <c r="H318" i="8"/>
  <c r="I318" i="8" s="1"/>
  <c r="AI318" i="8"/>
  <c r="H319" i="8"/>
  <c r="I319" i="8" s="1"/>
  <c r="AI319" i="8"/>
  <c r="H320" i="8"/>
  <c r="I320" i="8" s="1"/>
  <c r="AI320" i="8"/>
  <c r="H321" i="8"/>
  <c r="I321" i="8" s="1"/>
  <c r="AI321" i="8"/>
  <c r="H322" i="8"/>
  <c r="I322" i="8" s="1"/>
  <c r="AI322" i="8"/>
  <c r="H323" i="8"/>
  <c r="I323" i="8" s="1"/>
  <c r="AI323" i="8"/>
  <c r="H324" i="8"/>
  <c r="I324" i="8" s="1"/>
  <c r="AI324" i="8"/>
  <c r="H325" i="8"/>
  <c r="I325" i="8" s="1"/>
  <c r="AI325" i="8"/>
  <c r="H326" i="8"/>
  <c r="I326" i="8" s="1"/>
  <c r="AI326" i="8"/>
  <c r="H327" i="8"/>
  <c r="I327" i="8" s="1"/>
  <c r="AI327" i="8"/>
  <c r="H328" i="8"/>
  <c r="I328" i="8" s="1"/>
  <c r="AI328" i="8"/>
  <c r="H329" i="8"/>
  <c r="I329" i="8" s="1"/>
  <c r="AI329" i="8"/>
  <c r="H330" i="8"/>
  <c r="I330" i="8" s="1"/>
  <c r="AI330" i="8"/>
  <c r="H331" i="8"/>
  <c r="I331" i="8" s="1"/>
  <c r="AI331" i="8"/>
  <c r="H332" i="8"/>
  <c r="I332" i="8" s="1"/>
  <c r="AI332" i="8"/>
  <c r="H333" i="8"/>
  <c r="I333" i="8" s="1"/>
  <c r="AI333" i="8"/>
  <c r="H334" i="8"/>
  <c r="AI334" i="8"/>
  <c r="H335" i="8"/>
  <c r="I335" i="8" s="1"/>
  <c r="AI335" i="8"/>
  <c r="H336" i="8"/>
  <c r="I336" i="8" s="1"/>
  <c r="AI336" i="8"/>
  <c r="H337" i="8"/>
  <c r="I337" i="8" s="1"/>
  <c r="AI337" i="8"/>
  <c r="H338" i="8"/>
  <c r="I338" i="8" s="1"/>
  <c r="AI338" i="8"/>
  <c r="H339" i="8"/>
  <c r="I339" i="8" s="1"/>
  <c r="AI339" i="8"/>
  <c r="H340" i="8"/>
  <c r="I340" i="8" s="1"/>
  <c r="AI340" i="8"/>
  <c r="H341" i="8"/>
  <c r="I341" i="8" s="1"/>
  <c r="AI341" i="8"/>
  <c r="H342" i="8"/>
  <c r="I342" i="8" s="1"/>
  <c r="AI342" i="8"/>
  <c r="H343" i="8"/>
  <c r="I343" i="8" s="1"/>
  <c r="AI343" i="8"/>
  <c r="H344" i="8"/>
  <c r="I344" i="8" s="1"/>
  <c r="AI344" i="8"/>
  <c r="H345" i="8"/>
  <c r="I345" i="8" s="1"/>
  <c r="AI345" i="8"/>
  <c r="H346" i="8"/>
  <c r="I346" i="8" s="1"/>
  <c r="AI346" i="8"/>
  <c r="H347" i="8"/>
  <c r="I347" i="8" s="1"/>
  <c r="AI347" i="8"/>
  <c r="H348" i="8"/>
  <c r="I348" i="8" s="1"/>
  <c r="AI348" i="8"/>
  <c r="H349" i="8"/>
  <c r="I349" i="8" s="1"/>
  <c r="AI349" i="8"/>
  <c r="H350" i="8"/>
  <c r="I350" i="8" s="1"/>
  <c r="AI350" i="8"/>
  <c r="H351" i="8"/>
  <c r="I351" i="8" s="1"/>
  <c r="AI351" i="8"/>
  <c r="H352" i="8"/>
  <c r="I352" i="8" s="1"/>
  <c r="AI352" i="8"/>
  <c r="H353" i="8"/>
  <c r="I353" i="8" s="1"/>
  <c r="AI353" i="8"/>
  <c r="H354" i="8"/>
  <c r="I354" i="8" s="1"/>
  <c r="AI354" i="8"/>
  <c r="H355" i="8"/>
  <c r="I355" i="8" s="1"/>
  <c r="AI355" i="8"/>
  <c r="H356" i="8"/>
  <c r="I356" i="8" s="1"/>
  <c r="AI356" i="8"/>
  <c r="H357" i="8"/>
  <c r="I357" i="8" s="1"/>
  <c r="AI357" i="8"/>
  <c r="H358" i="8"/>
  <c r="I358" i="8" s="1"/>
  <c r="AI358" i="8"/>
  <c r="H359" i="8"/>
  <c r="I359" i="8" s="1"/>
  <c r="AI359" i="8"/>
  <c r="H360" i="8"/>
  <c r="I360" i="8" s="1"/>
  <c r="AI360" i="8"/>
  <c r="H361" i="8"/>
  <c r="I361" i="8" s="1"/>
  <c r="AI361" i="8"/>
  <c r="H362" i="8"/>
  <c r="I362" i="8" s="1"/>
  <c r="AI362" i="8"/>
  <c r="H363" i="8"/>
  <c r="I363" i="8" s="1"/>
  <c r="AI363" i="8"/>
  <c r="H364" i="8"/>
  <c r="I364" i="8" s="1"/>
  <c r="AI364" i="8"/>
  <c r="H365" i="8"/>
  <c r="I365" i="8" s="1"/>
  <c r="AI365" i="8"/>
  <c r="H366" i="8"/>
  <c r="I366" i="8" s="1"/>
  <c r="AI366" i="8"/>
  <c r="H367" i="8"/>
  <c r="I367" i="8" s="1"/>
  <c r="AI367" i="8"/>
  <c r="H368" i="8"/>
  <c r="I368" i="8" s="1"/>
  <c r="AI368" i="8"/>
  <c r="H369" i="8"/>
  <c r="I369" i="8" s="1"/>
  <c r="AI369" i="8"/>
  <c r="H370" i="8"/>
  <c r="I370" i="8" s="1"/>
  <c r="AI370" i="8"/>
  <c r="H371" i="8"/>
  <c r="I371" i="8" s="1"/>
  <c r="AI371" i="8"/>
  <c r="H372" i="8"/>
  <c r="I372" i="8" s="1"/>
  <c r="AI372" i="8"/>
  <c r="H373" i="8"/>
  <c r="I373" i="8" s="1"/>
  <c r="AI373" i="8"/>
  <c r="H374" i="8"/>
  <c r="I374" i="8" s="1"/>
  <c r="AI374" i="8"/>
  <c r="H375" i="8"/>
  <c r="I375" i="8" s="1"/>
  <c r="AI375" i="8"/>
  <c r="H376" i="8"/>
  <c r="I376" i="8" s="1"/>
  <c r="AI376" i="8"/>
  <c r="H377" i="8"/>
  <c r="I377" i="8" s="1"/>
  <c r="AI377" i="8"/>
  <c r="H378" i="8"/>
  <c r="I378" i="8" s="1"/>
  <c r="AI378" i="8"/>
  <c r="H379" i="8"/>
  <c r="I379" i="8" s="1"/>
  <c r="AI379" i="8"/>
  <c r="H380" i="8"/>
  <c r="I380" i="8" s="1"/>
  <c r="AI380" i="8"/>
  <c r="H381" i="8"/>
  <c r="I381" i="8" s="1"/>
  <c r="AI381" i="8"/>
  <c r="H382" i="8"/>
  <c r="I382" i="8" s="1"/>
  <c r="AI382" i="8"/>
  <c r="H383" i="8"/>
  <c r="I383" i="8" s="1"/>
  <c r="AI383" i="8"/>
  <c r="H384" i="8"/>
  <c r="I384" i="8" s="1"/>
  <c r="AI384" i="8"/>
  <c r="H385" i="8"/>
  <c r="I385" i="8" s="1"/>
  <c r="AI385" i="8"/>
  <c r="H386" i="8"/>
  <c r="I386" i="8" s="1"/>
  <c r="AI386" i="8"/>
  <c r="H387" i="8"/>
  <c r="I387" i="8" s="1"/>
  <c r="AI387" i="8"/>
  <c r="H388" i="8"/>
  <c r="I388" i="8" s="1"/>
  <c r="AI388" i="8"/>
  <c r="H389" i="8"/>
  <c r="I389" i="8" s="1"/>
  <c r="AI389" i="8"/>
  <c r="H390" i="8"/>
  <c r="I390" i="8" s="1"/>
  <c r="AI390" i="8"/>
  <c r="H391" i="8"/>
  <c r="I391" i="8" s="1"/>
  <c r="AI391" i="8"/>
  <c r="H392" i="8"/>
  <c r="I392" i="8" s="1"/>
  <c r="AI392" i="8"/>
  <c r="H393" i="8"/>
  <c r="I393" i="8" s="1"/>
  <c r="AI393" i="8"/>
  <c r="H394" i="8"/>
  <c r="I394" i="8" s="1"/>
  <c r="AI394" i="8"/>
  <c r="H395" i="8"/>
  <c r="I395" i="8" s="1"/>
  <c r="AI395" i="8"/>
  <c r="H396" i="8"/>
  <c r="AI396" i="8"/>
  <c r="H397" i="8"/>
  <c r="I397" i="8" s="1"/>
  <c r="AI397" i="8"/>
  <c r="H398" i="8"/>
  <c r="I398" i="8" s="1"/>
  <c r="AI398" i="8"/>
  <c r="H399" i="8"/>
  <c r="I399" i="8" s="1"/>
  <c r="AI399" i="8"/>
  <c r="H400" i="8"/>
  <c r="I400" i="8" s="1"/>
  <c r="AI400" i="8"/>
  <c r="H401" i="8"/>
  <c r="I401" i="8" s="1"/>
  <c r="AI401" i="8"/>
  <c r="H402" i="8"/>
  <c r="I402" i="8" s="1"/>
  <c r="AI402" i="8"/>
  <c r="H403" i="8"/>
  <c r="I403" i="8" s="1"/>
  <c r="AI403" i="8"/>
  <c r="H404" i="8"/>
  <c r="I404" i="8" s="1"/>
  <c r="AI404" i="8"/>
  <c r="H405" i="8"/>
  <c r="I405" i="8" s="1"/>
  <c r="AI405" i="8"/>
  <c r="H406" i="8"/>
  <c r="I406" i="8" s="1"/>
  <c r="AI406" i="8"/>
  <c r="H407" i="8"/>
  <c r="I407" i="8" s="1"/>
  <c r="AI407" i="8"/>
  <c r="H408" i="8"/>
  <c r="I408" i="8" s="1"/>
  <c r="AI408" i="8"/>
  <c r="H409" i="8"/>
  <c r="I409" i="8" s="1"/>
  <c r="AI409" i="8"/>
  <c r="H410" i="8"/>
  <c r="I410" i="8" s="1"/>
  <c r="AI410" i="8"/>
  <c r="H411" i="8"/>
  <c r="I411" i="8" s="1"/>
  <c r="AI411" i="8"/>
  <c r="H412" i="8"/>
  <c r="I412" i="8" s="1"/>
  <c r="AI412" i="8"/>
  <c r="H413" i="8"/>
  <c r="I413" i="8" s="1"/>
  <c r="AI413" i="8"/>
  <c r="H414" i="8"/>
  <c r="I414" i="8" s="1"/>
  <c r="AI414" i="8"/>
  <c r="H415" i="8"/>
  <c r="I415" i="8" s="1"/>
  <c r="AI415" i="8"/>
  <c r="H416" i="8"/>
  <c r="I416" i="8" s="1"/>
  <c r="AI416" i="8"/>
  <c r="H417" i="8"/>
  <c r="I417" i="8" s="1"/>
  <c r="AI417" i="8"/>
  <c r="H418" i="8"/>
  <c r="I418" i="8" s="1"/>
  <c r="AI418" i="8"/>
  <c r="H419" i="8"/>
  <c r="I419" i="8" s="1"/>
  <c r="AI419" i="8"/>
  <c r="H420" i="8"/>
  <c r="I420" i="8" s="1"/>
  <c r="AI420" i="8"/>
  <c r="H421" i="8"/>
  <c r="I421" i="8" s="1"/>
  <c r="AI421" i="8"/>
  <c r="H422" i="8"/>
  <c r="I422" i="8" s="1"/>
  <c r="AI422" i="8"/>
  <c r="H423" i="8"/>
  <c r="I423" i="8" s="1"/>
  <c r="AI423" i="8"/>
  <c r="H424" i="8"/>
  <c r="I424" i="8" s="1"/>
  <c r="AI424" i="8"/>
  <c r="H425" i="8"/>
  <c r="I425" i="8" s="1"/>
  <c r="AI425" i="8"/>
  <c r="H426" i="8"/>
  <c r="I426" i="8" s="1"/>
  <c r="AI426" i="8"/>
  <c r="H427" i="8"/>
  <c r="I427" i="8" s="1"/>
  <c r="AI427" i="8"/>
  <c r="H428" i="8"/>
  <c r="AI428" i="8"/>
  <c r="H429" i="8"/>
  <c r="I429" i="8" s="1"/>
  <c r="AI429" i="8"/>
  <c r="H430" i="8"/>
  <c r="I430" i="8" s="1"/>
  <c r="AI430" i="8"/>
  <c r="H431" i="8"/>
  <c r="I431" i="8" s="1"/>
  <c r="AI431" i="8"/>
  <c r="H432" i="8"/>
  <c r="I432" i="8" s="1"/>
  <c r="AI432" i="8"/>
  <c r="H433" i="8"/>
  <c r="I433" i="8" s="1"/>
  <c r="AI433" i="8"/>
  <c r="H434" i="8"/>
  <c r="I434" i="8" s="1"/>
  <c r="AI434" i="8"/>
  <c r="H435" i="8"/>
  <c r="I435" i="8" s="1"/>
  <c r="AI435" i="8"/>
  <c r="H436" i="8"/>
  <c r="I436" i="8" s="1"/>
  <c r="AI436" i="8"/>
  <c r="H437" i="8"/>
  <c r="I437" i="8" s="1"/>
  <c r="AI437" i="8"/>
  <c r="H438" i="8"/>
  <c r="I438" i="8" s="1"/>
  <c r="AI438" i="8"/>
  <c r="H439" i="8"/>
  <c r="I439" i="8" s="1"/>
  <c r="AI439" i="8"/>
  <c r="H440" i="8"/>
  <c r="I440" i="8" s="1"/>
  <c r="AI440" i="8"/>
  <c r="H441" i="8"/>
  <c r="I441" i="8" s="1"/>
  <c r="AI441" i="8"/>
  <c r="H442" i="8"/>
  <c r="I442" i="8" s="1"/>
  <c r="AI442" i="8"/>
  <c r="H443" i="8"/>
  <c r="I443" i="8" s="1"/>
  <c r="AI443" i="8"/>
  <c r="H444" i="8"/>
  <c r="I444" i="8" s="1"/>
  <c r="AI444" i="8"/>
  <c r="H445" i="8"/>
  <c r="I445" i="8" s="1"/>
  <c r="AI445" i="8"/>
  <c r="H446" i="8"/>
  <c r="I446" i="8" s="1"/>
  <c r="AI446" i="8"/>
  <c r="H447" i="8"/>
  <c r="I447" i="8" s="1"/>
  <c r="AI447" i="8"/>
  <c r="H448" i="8"/>
  <c r="I448" i="8" s="1"/>
  <c r="AI448" i="8"/>
  <c r="H449" i="8"/>
  <c r="I449" i="8" s="1"/>
  <c r="AI449" i="8"/>
  <c r="H450" i="8"/>
  <c r="I450" i="8" s="1"/>
  <c r="AI450" i="8"/>
  <c r="H451" i="8"/>
  <c r="I451" i="8" s="1"/>
  <c r="AI451" i="8"/>
  <c r="H452" i="8"/>
  <c r="I452" i="8" s="1"/>
  <c r="AI452" i="8"/>
  <c r="H453" i="8"/>
  <c r="I453" i="8" s="1"/>
  <c r="AI453" i="8"/>
  <c r="H454" i="8"/>
  <c r="I454" i="8" s="1"/>
  <c r="AI454" i="8"/>
  <c r="H455" i="8"/>
  <c r="I455" i="8" s="1"/>
  <c r="AI455" i="8"/>
  <c r="H456" i="8"/>
  <c r="I456" i="8" s="1"/>
  <c r="AI456" i="8"/>
  <c r="H457" i="8"/>
  <c r="I457" i="8" s="1"/>
  <c r="AI457" i="8"/>
  <c r="H458" i="8"/>
  <c r="I458" i="8" s="1"/>
  <c r="AI458" i="8"/>
  <c r="H459" i="8"/>
  <c r="I459" i="8" s="1"/>
  <c r="AI459" i="8"/>
  <c r="H460" i="8"/>
  <c r="AI460" i="8"/>
  <c r="H461" i="8"/>
  <c r="I461" i="8" s="1"/>
  <c r="AI461" i="8"/>
  <c r="H462" i="8"/>
  <c r="I462" i="8" s="1"/>
  <c r="AI462" i="8"/>
  <c r="H463" i="8"/>
  <c r="I463" i="8" s="1"/>
  <c r="AI463" i="8"/>
  <c r="H464" i="8"/>
  <c r="I464" i="8" s="1"/>
  <c r="AI464" i="8"/>
  <c r="H465" i="8"/>
  <c r="I465" i="8" s="1"/>
  <c r="AI465" i="8"/>
  <c r="H466" i="8"/>
  <c r="I466" i="8" s="1"/>
  <c r="AI466" i="8"/>
  <c r="H467" i="8"/>
  <c r="I467" i="8" s="1"/>
  <c r="AI467" i="8"/>
  <c r="H468" i="8"/>
  <c r="I468" i="8" s="1"/>
  <c r="AI468" i="8"/>
  <c r="H469" i="8"/>
  <c r="I469" i="8" s="1"/>
  <c r="AI469" i="8"/>
  <c r="H470" i="8"/>
  <c r="I470" i="8" s="1"/>
  <c r="AI470" i="8"/>
  <c r="H471" i="8"/>
  <c r="I471" i="8" s="1"/>
  <c r="AI471" i="8"/>
  <c r="H472" i="8"/>
  <c r="I472" i="8" s="1"/>
  <c r="AI472" i="8"/>
  <c r="H473" i="8"/>
  <c r="I473" i="8" s="1"/>
  <c r="AI473" i="8"/>
  <c r="H474" i="8"/>
  <c r="I474" i="8" s="1"/>
  <c r="AI474" i="8"/>
  <c r="H475" i="8"/>
  <c r="I475" i="8" s="1"/>
  <c r="AI475" i="8"/>
  <c r="H476" i="8"/>
  <c r="I476" i="8" s="1"/>
  <c r="AI476" i="8"/>
  <c r="H477" i="8"/>
  <c r="I477" i="8" s="1"/>
  <c r="AI477" i="8"/>
  <c r="H478" i="8"/>
  <c r="I478" i="8" s="1"/>
  <c r="AI478" i="8"/>
  <c r="H479" i="8"/>
  <c r="I479" i="8" s="1"/>
  <c r="AI479" i="8"/>
  <c r="H480" i="8"/>
  <c r="I480" i="8" s="1"/>
  <c r="AI480" i="8"/>
  <c r="H481" i="8"/>
  <c r="I481" i="8" s="1"/>
  <c r="AI481" i="8"/>
  <c r="H482" i="8"/>
  <c r="I482" i="8" s="1"/>
  <c r="AI482" i="8"/>
  <c r="H483" i="8"/>
  <c r="I483" i="8" s="1"/>
  <c r="AI483" i="8"/>
  <c r="H484" i="8"/>
  <c r="I484" i="8" s="1"/>
  <c r="AI484" i="8"/>
  <c r="H485" i="8"/>
  <c r="I485" i="8" s="1"/>
  <c r="AI485" i="8"/>
  <c r="H486" i="8"/>
  <c r="I486" i="8" s="1"/>
  <c r="AI486" i="8"/>
  <c r="H487" i="8"/>
  <c r="I487" i="8" s="1"/>
  <c r="AI487" i="8"/>
  <c r="H488" i="8"/>
  <c r="I488" i="8" s="1"/>
  <c r="AI488" i="8"/>
  <c r="H489" i="8"/>
  <c r="I489" i="8" s="1"/>
  <c r="AI489" i="8"/>
  <c r="H490" i="8"/>
  <c r="I490" i="8" s="1"/>
  <c r="AI490" i="8"/>
  <c r="H491" i="8"/>
  <c r="I491" i="8" s="1"/>
  <c r="AI491" i="8"/>
  <c r="H492" i="8"/>
  <c r="AI492" i="8"/>
  <c r="H493" i="8"/>
  <c r="I493" i="8" s="1"/>
  <c r="AI493" i="8"/>
  <c r="H494" i="8"/>
  <c r="I494" i="8" s="1"/>
  <c r="AI494" i="8"/>
  <c r="H495" i="8"/>
  <c r="I495" i="8" s="1"/>
  <c r="AI495" i="8"/>
  <c r="H496" i="8"/>
  <c r="I496" i="8" s="1"/>
  <c r="AI496" i="8"/>
  <c r="H497" i="8"/>
  <c r="I497" i="8" s="1"/>
  <c r="AI497" i="8"/>
  <c r="H498" i="8"/>
  <c r="I498" i="8" s="1"/>
  <c r="AI498" i="8"/>
  <c r="H499" i="8"/>
  <c r="I499" i="8" s="1"/>
  <c r="AI499" i="8"/>
  <c r="S6" i="6"/>
  <c r="T6" i="6"/>
  <c r="U6" i="6"/>
  <c r="J6" i="6" s="1"/>
  <c r="S7" i="6"/>
  <c r="T7" i="6"/>
  <c r="U7" i="6"/>
  <c r="J7" i="6" s="1"/>
  <c r="S8" i="6"/>
  <c r="T8" i="6"/>
  <c r="U8" i="6"/>
  <c r="J8" i="6" s="1"/>
  <c r="S9" i="6"/>
  <c r="T9" i="6"/>
  <c r="U9" i="6"/>
  <c r="J9" i="6" s="1"/>
  <c r="S10" i="6"/>
  <c r="T10" i="6"/>
  <c r="U10" i="6"/>
  <c r="J10" i="6" s="1"/>
  <c r="S11" i="6"/>
  <c r="T11" i="6"/>
  <c r="U11" i="6"/>
  <c r="J11" i="6" s="1"/>
  <c r="S12" i="6"/>
  <c r="T12" i="6"/>
  <c r="U12" i="6"/>
  <c r="J12" i="6" s="1"/>
  <c r="S13" i="6"/>
  <c r="T13" i="6"/>
  <c r="U13" i="6"/>
  <c r="J13" i="6" s="1"/>
  <c r="S14" i="6"/>
  <c r="T14" i="6"/>
  <c r="U14" i="6"/>
  <c r="J14" i="6" s="1"/>
  <c r="S15" i="6"/>
  <c r="T15" i="6"/>
  <c r="U15" i="6"/>
  <c r="J15" i="6" s="1"/>
  <c r="S16" i="6"/>
  <c r="T16" i="6"/>
  <c r="U16" i="6"/>
  <c r="J16" i="6" s="1"/>
  <c r="J17" i="6"/>
  <c r="S17" i="6"/>
  <c r="T17" i="6"/>
  <c r="U17" i="6"/>
  <c r="J18" i="6"/>
  <c r="U18" i="6"/>
  <c r="J19" i="6"/>
  <c r="U19" i="6"/>
  <c r="J20" i="6"/>
  <c r="U20" i="6"/>
  <c r="J21" i="6"/>
  <c r="U21" i="6"/>
  <c r="J22" i="6"/>
  <c r="U22" i="6"/>
  <c r="J23" i="6"/>
  <c r="U23" i="6"/>
  <c r="J24" i="6"/>
  <c r="U24" i="6"/>
  <c r="J25" i="6"/>
  <c r="U25" i="6"/>
  <c r="J26" i="6"/>
  <c r="U26" i="6"/>
  <c r="J27" i="6"/>
  <c r="U27" i="6"/>
  <c r="J28" i="6"/>
  <c r="U28" i="6"/>
  <c r="J29" i="6"/>
  <c r="U29" i="6"/>
  <c r="J30" i="6"/>
  <c r="U30" i="6"/>
  <c r="J31" i="6"/>
  <c r="U31" i="6"/>
  <c r="J32" i="6"/>
  <c r="U32" i="6"/>
  <c r="J33" i="6"/>
  <c r="U33" i="6"/>
  <c r="J34" i="6"/>
  <c r="U34" i="6"/>
  <c r="J35" i="6"/>
  <c r="U35" i="6"/>
  <c r="J36" i="6"/>
  <c r="U36" i="6"/>
  <c r="J37" i="6"/>
  <c r="U37" i="6"/>
  <c r="J38" i="6"/>
  <c r="U38" i="6"/>
  <c r="J39" i="6"/>
  <c r="U39" i="6"/>
  <c r="J40" i="6"/>
  <c r="U40" i="6"/>
  <c r="J41" i="6"/>
  <c r="U41" i="6"/>
  <c r="J42" i="6"/>
  <c r="U42" i="6"/>
  <c r="J43" i="6"/>
  <c r="U43" i="6"/>
  <c r="J44" i="6"/>
  <c r="U44" i="6"/>
  <c r="J45" i="6"/>
  <c r="U45" i="6"/>
  <c r="J46" i="6"/>
  <c r="U46" i="6"/>
  <c r="J47" i="6"/>
  <c r="U47" i="6"/>
  <c r="J48" i="6"/>
  <c r="U48" i="6"/>
  <c r="J49" i="6"/>
  <c r="U49" i="6"/>
  <c r="J50" i="6"/>
  <c r="U50" i="6"/>
  <c r="J51" i="6"/>
  <c r="U51" i="6"/>
  <c r="J52" i="6"/>
  <c r="U52" i="6"/>
  <c r="J53" i="6"/>
  <c r="U53" i="6"/>
  <c r="J54" i="6"/>
  <c r="U54" i="6"/>
  <c r="J55" i="6"/>
  <c r="U55" i="6"/>
  <c r="J56" i="6"/>
  <c r="U56" i="6"/>
  <c r="J57" i="6"/>
  <c r="U57" i="6"/>
  <c r="J58" i="6"/>
  <c r="U58" i="6"/>
  <c r="J59" i="6"/>
  <c r="U59" i="6"/>
  <c r="J60" i="6"/>
  <c r="U60" i="6"/>
  <c r="J61" i="6"/>
  <c r="U61" i="6"/>
  <c r="J62" i="6"/>
  <c r="U62" i="6"/>
  <c r="J63" i="6"/>
  <c r="U63" i="6"/>
  <c r="J64" i="6"/>
  <c r="U64" i="6"/>
  <c r="J65" i="6"/>
  <c r="U65" i="6"/>
  <c r="J66" i="6"/>
  <c r="U66" i="6"/>
  <c r="J67" i="6"/>
  <c r="U67" i="6"/>
  <c r="J68" i="6"/>
  <c r="U68" i="6"/>
  <c r="J69" i="6"/>
  <c r="U69" i="6"/>
  <c r="J70" i="6"/>
  <c r="U70" i="6"/>
  <c r="J71" i="6"/>
  <c r="U71" i="6"/>
  <c r="J72" i="6"/>
  <c r="U72" i="6"/>
  <c r="J73" i="6"/>
  <c r="U73" i="6"/>
  <c r="J74" i="6"/>
  <c r="U74" i="6"/>
  <c r="J75" i="6"/>
  <c r="U75" i="6"/>
  <c r="J76" i="6"/>
  <c r="U76" i="6"/>
  <c r="J77" i="6"/>
  <c r="U77" i="6"/>
  <c r="J78" i="6"/>
  <c r="U78" i="6"/>
  <c r="J79" i="6"/>
  <c r="U79" i="6"/>
  <c r="J80" i="6"/>
  <c r="U80" i="6"/>
  <c r="J81" i="6"/>
  <c r="U81" i="6"/>
  <c r="J82" i="6"/>
  <c r="U82" i="6"/>
  <c r="J83" i="6"/>
  <c r="U83" i="6"/>
  <c r="J84" i="6"/>
  <c r="U84" i="6"/>
  <c r="J85" i="6"/>
  <c r="U85" i="6"/>
  <c r="J86" i="6"/>
  <c r="U86" i="6"/>
  <c r="J87" i="6"/>
  <c r="U87" i="6"/>
  <c r="J88" i="6"/>
  <c r="U88" i="6"/>
  <c r="J89" i="6"/>
  <c r="U89" i="6"/>
  <c r="J90" i="6"/>
  <c r="U90" i="6"/>
  <c r="J91" i="6"/>
  <c r="U91" i="6"/>
  <c r="J92" i="6"/>
  <c r="U92" i="6"/>
  <c r="J93" i="6"/>
  <c r="U93" i="6"/>
  <c r="J94" i="6"/>
  <c r="U94" i="6"/>
  <c r="J95" i="6"/>
  <c r="U95" i="6"/>
  <c r="J96" i="6"/>
  <c r="U96" i="6"/>
  <c r="J97" i="6"/>
  <c r="U97" i="6"/>
  <c r="J98" i="6"/>
  <c r="U98" i="6"/>
  <c r="J99" i="6"/>
  <c r="U99" i="6"/>
  <c r="J100" i="6"/>
  <c r="U100" i="6"/>
  <c r="J101" i="6"/>
  <c r="U101" i="6"/>
  <c r="J102" i="6"/>
  <c r="U102" i="6"/>
  <c r="J103" i="6"/>
  <c r="U103" i="6"/>
  <c r="J104" i="6"/>
  <c r="U104" i="6"/>
  <c r="J105" i="6"/>
  <c r="U105" i="6"/>
  <c r="J106" i="6"/>
  <c r="U106" i="6"/>
  <c r="J107" i="6"/>
  <c r="U107" i="6"/>
  <c r="J108" i="6"/>
  <c r="U108" i="6"/>
  <c r="J109" i="6"/>
  <c r="U109" i="6"/>
  <c r="J110" i="6"/>
  <c r="U110" i="6"/>
  <c r="J111" i="6"/>
  <c r="U111" i="6"/>
  <c r="J112" i="6"/>
  <c r="U112" i="6"/>
  <c r="J113" i="6"/>
  <c r="U113" i="6"/>
  <c r="J114" i="6"/>
  <c r="U114" i="6"/>
  <c r="J115" i="6"/>
  <c r="U115" i="6"/>
  <c r="J116" i="6"/>
  <c r="U116" i="6"/>
  <c r="J117" i="6"/>
  <c r="U117" i="6"/>
  <c r="J118" i="6"/>
  <c r="U118" i="6"/>
  <c r="J119" i="6"/>
  <c r="U119" i="6"/>
  <c r="J120" i="6"/>
  <c r="U120" i="6"/>
  <c r="J121" i="6"/>
  <c r="U121" i="6"/>
  <c r="J122" i="6"/>
  <c r="U122" i="6"/>
  <c r="J123" i="6"/>
  <c r="U123" i="6"/>
  <c r="J124" i="6"/>
  <c r="U124" i="6"/>
  <c r="J125" i="6"/>
  <c r="U125" i="6"/>
  <c r="J126" i="6"/>
  <c r="U126" i="6"/>
  <c r="J127" i="6"/>
  <c r="U127" i="6"/>
  <c r="J128" i="6"/>
  <c r="U128" i="6"/>
  <c r="J129" i="6"/>
  <c r="U129" i="6"/>
  <c r="J130" i="6"/>
  <c r="U130" i="6"/>
  <c r="J131" i="6"/>
  <c r="U131" i="6"/>
  <c r="J132" i="6"/>
  <c r="U132" i="6"/>
  <c r="J133" i="6"/>
  <c r="U133" i="6"/>
  <c r="J134" i="6"/>
  <c r="U134" i="6"/>
  <c r="J135" i="6"/>
  <c r="U135" i="6"/>
  <c r="J136" i="6"/>
  <c r="U136" i="6"/>
  <c r="J137" i="6"/>
  <c r="U137" i="6"/>
  <c r="J138" i="6"/>
  <c r="U138" i="6"/>
  <c r="J139" i="6"/>
  <c r="U139" i="6"/>
  <c r="J140" i="6"/>
  <c r="U140" i="6"/>
  <c r="J141" i="6"/>
  <c r="U141" i="6"/>
  <c r="J142" i="6"/>
  <c r="U142" i="6"/>
  <c r="J143" i="6"/>
  <c r="U143" i="6"/>
  <c r="J144" i="6"/>
  <c r="U144" i="6"/>
  <c r="J145" i="6"/>
  <c r="U145" i="6"/>
  <c r="J146" i="6"/>
  <c r="U146" i="6"/>
  <c r="J147" i="6"/>
  <c r="U147" i="6"/>
  <c r="J148" i="6"/>
  <c r="U148" i="6"/>
  <c r="J149" i="6"/>
  <c r="U149" i="6"/>
  <c r="J150" i="6"/>
  <c r="U150" i="6"/>
  <c r="J151" i="6"/>
  <c r="U151" i="6"/>
  <c r="J152" i="6"/>
  <c r="U152" i="6"/>
  <c r="J153" i="6"/>
  <c r="U153" i="6"/>
  <c r="J154" i="6"/>
  <c r="U154" i="6"/>
  <c r="J155" i="6"/>
  <c r="U155" i="6"/>
  <c r="J156" i="6"/>
  <c r="U156" i="6"/>
  <c r="J157" i="6"/>
  <c r="U157" i="6"/>
  <c r="J158" i="6"/>
  <c r="U158" i="6"/>
  <c r="J159" i="6"/>
  <c r="U159" i="6"/>
  <c r="J160" i="6"/>
  <c r="U160" i="6"/>
  <c r="J161" i="6"/>
  <c r="U161" i="6"/>
  <c r="J162" i="6"/>
  <c r="U162" i="6"/>
  <c r="J163" i="6"/>
  <c r="U163" i="6"/>
  <c r="J164" i="6"/>
  <c r="U164" i="6"/>
  <c r="J165" i="6"/>
  <c r="U165" i="6"/>
  <c r="J166" i="6"/>
  <c r="U166" i="6"/>
  <c r="J167" i="6"/>
  <c r="U167" i="6"/>
  <c r="J168" i="6"/>
  <c r="U168" i="6"/>
  <c r="J169" i="6"/>
  <c r="U169" i="6"/>
  <c r="J170" i="6"/>
  <c r="U170" i="6"/>
  <c r="J171" i="6"/>
  <c r="U171" i="6"/>
  <c r="J172" i="6"/>
  <c r="U172" i="6"/>
  <c r="J173" i="6"/>
  <c r="U173" i="6"/>
  <c r="J174" i="6"/>
  <c r="U174" i="6"/>
  <c r="J175" i="6"/>
  <c r="U175" i="6"/>
  <c r="J176" i="6"/>
  <c r="U176" i="6"/>
  <c r="J177" i="6"/>
  <c r="U177" i="6"/>
  <c r="J178" i="6"/>
  <c r="U178" i="6"/>
  <c r="J179" i="6"/>
  <c r="U179" i="6"/>
  <c r="J180" i="6"/>
  <c r="U180" i="6"/>
  <c r="J181" i="6"/>
  <c r="U181" i="6"/>
  <c r="J182" i="6"/>
  <c r="U182" i="6"/>
  <c r="J183" i="6"/>
  <c r="U183" i="6"/>
  <c r="J184" i="6"/>
  <c r="U184" i="6"/>
  <c r="J185" i="6"/>
  <c r="U185" i="6"/>
  <c r="J186" i="6"/>
  <c r="U186" i="6"/>
  <c r="J187" i="6"/>
  <c r="U187" i="6"/>
  <c r="J188" i="6"/>
  <c r="U188" i="6"/>
  <c r="J189" i="6"/>
  <c r="U189" i="6"/>
  <c r="J190" i="6"/>
  <c r="U190" i="6"/>
  <c r="J191" i="6"/>
  <c r="U191" i="6"/>
  <c r="J192" i="6"/>
  <c r="U192" i="6"/>
  <c r="J193" i="6"/>
  <c r="U193" i="6"/>
  <c r="J194" i="6"/>
  <c r="U194" i="6"/>
  <c r="J195" i="6"/>
  <c r="U195" i="6"/>
  <c r="J196" i="6"/>
  <c r="U196" i="6"/>
  <c r="J197" i="6"/>
  <c r="U197" i="6"/>
  <c r="J198" i="6"/>
  <c r="U198" i="6"/>
  <c r="J199" i="6"/>
  <c r="U199" i="6"/>
  <c r="J200" i="6"/>
  <c r="U200" i="6"/>
  <c r="J201" i="6"/>
  <c r="U201" i="6"/>
  <c r="J202" i="6"/>
  <c r="U202" i="6"/>
  <c r="J203" i="6"/>
  <c r="U203" i="6"/>
  <c r="J204" i="6"/>
  <c r="U204" i="6"/>
  <c r="J205" i="6"/>
  <c r="U205" i="6"/>
  <c r="J206" i="6"/>
  <c r="U206" i="6"/>
  <c r="J207" i="6"/>
  <c r="U207" i="6"/>
  <c r="J208" i="6"/>
  <c r="U208" i="6"/>
  <c r="J209" i="6"/>
  <c r="U209" i="6"/>
  <c r="J210" i="6"/>
  <c r="U210" i="6"/>
  <c r="J211" i="6"/>
  <c r="U211" i="6"/>
  <c r="J212" i="6"/>
  <c r="U212" i="6"/>
  <c r="J213" i="6"/>
  <c r="U213" i="6"/>
  <c r="J214" i="6"/>
  <c r="U214" i="6"/>
  <c r="J215" i="6"/>
  <c r="U215" i="6"/>
  <c r="J216" i="6"/>
  <c r="U216" i="6"/>
  <c r="J217" i="6"/>
  <c r="U217" i="6"/>
  <c r="J218" i="6"/>
  <c r="U218" i="6"/>
  <c r="J219" i="6"/>
  <c r="U219" i="6"/>
  <c r="J220" i="6"/>
  <c r="U220" i="6"/>
  <c r="J221" i="6"/>
  <c r="U221" i="6"/>
  <c r="J222" i="6"/>
  <c r="U222" i="6"/>
  <c r="J223" i="6"/>
  <c r="U223" i="6"/>
  <c r="J224" i="6"/>
  <c r="U224" i="6"/>
  <c r="J225" i="6"/>
  <c r="U225" i="6"/>
  <c r="J226" i="6"/>
  <c r="U226" i="6"/>
  <c r="J227" i="6"/>
  <c r="U227" i="6"/>
  <c r="J228" i="6"/>
  <c r="U228" i="6"/>
  <c r="J229" i="6"/>
  <c r="U229" i="6"/>
  <c r="J230" i="6"/>
  <c r="U230" i="6"/>
  <c r="J231" i="6"/>
  <c r="U231" i="6"/>
  <c r="J232" i="6"/>
  <c r="U232" i="6"/>
  <c r="J233" i="6"/>
  <c r="U233" i="6"/>
  <c r="J234" i="6"/>
  <c r="U234" i="6"/>
  <c r="J235" i="6"/>
  <c r="U235" i="6"/>
  <c r="J236" i="6"/>
  <c r="U236" i="6"/>
  <c r="J237" i="6"/>
  <c r="U237" i="6"/>
  <c r="J238" i="6"/>
  <c r="U238" i="6"/>
  <c r="J239" i="6"/>
  <c r="U239" i="6"/>
  <c r="J240" i="6"/>
  <c r="U240" i="6"/>
  <c r="J241" i="6"/>
  <c r="U241" i="6"/>
  <c r="J242" i="6"/>
  <c r="U242" i="6"/>
  <c r="J243" i="6"/>
  <c r="U243" i="6"/>
  <c r="J244" i="6"/>
  <c r="U244" i="6"/>
  <c r="J245" i="6"/>
  <c r="U245" i="6"/>
  <c r="J246" i="6"/>
  <c r="U246" i="6"/>
  <c r="J247" i="6"/>
  <c r="U247" i="6"/>
  <c r="J248" i="6"/>
  <c r="U248" i="6"/>
  <c r="J249" i="6"/>
  <c r="U249" i="6"/>
  <c r="J250" i="6"/>
  <c r="U250" i="6"/>
  <c r="J251" i="6"/>
  <c r="U251" i="6"/>
  <c r="J252" i="6"/>
  <c r="U252" i="6"/>
  <c r="J253" i="6"/>
  <c r="U253" i="6"/>
  <c r="J254" i="6"/>
  <c r="U254" i="6"/>
  <c r="J255" i="6"/>
  <c r="U255" i="6"/>
  <c r="J256" i="6"/>
  <c r="U256" i="6"/>
  <c r="J257" i="6"/>
  <c r="U257" i="6"/>
  <c r="J258" i="6"/>
  <c r="U258" i="6"/>
  <c r="J259" i="6"/>
  <c r="U259" i="6"/>
  <c r="J260" i="6"/>
  <c r="U260" i="6"/>
  <c r="J261" i="6"/>
  <c r="U261" i="6"/>
  <c r="J262" i="6"/>
  <c r="U262" i="6"/>
  <c r="J263" i="6"/>
  <c r="U263" i="6"/>
  <c r="J264" i="6"/>
  <c r="U264" i="6"/>
  <c r="J265" i="6"/>
  <c r="U265" i="6"/>
  <c r="J266" i="6"/>
  <c r="U266" i="6"/>
  <c r="J267" i="6"/>
  <c r="U267" i="6"/>
  <c r="J268" i="6"/>
  <c r="U268" i="6"/>
  <c r="J269" i="6"/>
  <c r="U269" i="6"/>
  <c r="J270" i="6"/>
  <c r="U270" i="6"/>
  <c r="J271" i="6"/>
  <c r="U271" i="6"/>
  <c r="J272" i="6"/>
  <c r="U272" i="6"/>
  <c r="J273" i="6"/>
  <c r="U273" i="6"/>
  <c r="J274" i="6"/>
  <c r="U274" i="6"/>
  <c r="J275" i="6"/>
  <c r="U275" i="6"/>
  <c r="J276" i="6"/>
  <c r="U276" i="6"/>
  <c r="J277" i="6"/>
  <c r="U277" i="6"/>
  <c r="J278" i="6"/>
  <c r="U278" i="6"/>
  <c r="J279" i="6"/>
  <c r="U279" i="6"/>
  <c r="J280" i="6"/>
  <c r="U280" i="6"/>
  <c r="J281" i="6"/>
  <c r="U281" i="6"/>
  <c r="J282" i="6"/>
  <c r="U282" i="6"/>
  <c r="J283" i="6"/>
  <c r="U283" i="6"/>
  <c r="J284" i="6"/>
  <c r="U284" i="6"/>
  <c r="J285" i="6"/>
  <c r="U285" i="6"/>
  <c r="J286" i="6"/>
  <c r="U286" i="6"/>
  <c r="J287" i="6"/>
  <c r="U287" i="6"/>
  <c r="J288" i="6"/>
  <c r="U288" i="6"/>
  <c r="J289" i="6"/>
  <c r="U289" i="6"/>
  <c r="J290" i="6"/>
  <c r="U290" i="6"/>
  <c r="J291" i="6"/>
  <c r="U291" i="6"/>
  <c r="J292" i="6"/>
  <c r="U292" i="6"/>
  <c r="J293" i="6"/>
  <c r="U293" i="6"/>
  <c r="J294" i="6"/>
  <c r="U294" i="6"/>
  <c r="J295" i="6"/>
  <c r="U295" i="6"/>
  <c r="J296" i="6"/>
  <c r="U296" i="6"/>
  <c r="J297" i="6"/>
  <c r="U297" i="6"/>
  <c r="J298" i="6"/>
  <c r="U298" i="6"/>
  <c r="J299" i="6"/>
  <c r="U299" i="6"/>
  <c r="J300" i="6"/>
  <c r="U300" i="6"/>
  <c r="J301" i="6"/>
  <c r="U301" i="6"/>
  <c r="J302" i="6"/>
  <c r="U302" i="6"/>
  <c r="J303" i="6"/>
  <c r="U303" i="6"/>
  <c r="J304" i="6"/>
  <c r="U304" i="6"/>
  <c r="J305" i="6"/>
  <c r="U305" i="6"/>
  <c r="J306" i="6"/>
  <c r="U306" i="6"/>
  <c r="J307" i="6"/>
  <c r="U307" i="6"/>
  <c r="J308" i="6"/>
  <c r="U308" i="6"/>
  <c r="J309" i="6"/>
  <c r="U309" i="6"/>
  <c r="J310" i="6"/>
  <c r="U310" i="6"/>
  <c r="J311" i="6"/>
  <c r="U311" i="6"/>
  <c r="J312" i="6"/>
  <c r="U312" i="6"/>
  <c r="J313" i="6"/>
  <c r="U313" i="6"/>
  <c r="J314" i="6"/>
  <c r="U314" i="6"/>
  <c r="J315" i="6"/>
  <c r="U315" i="6"/>
  <c r="J316" i="6"/>
  <c r="U316" i="6"/>
  <c r="J317" i="6"/>
  <c r="U317" i="6"/>
  <c r="J318" i="6"/>
  <c r="U318" i="6"/>
  <c r="J319" i="6"/>
  <c r="U319" i="6"/>
  <c r="J320" i="6"/>
  <c r="U320" i="6"/>
  <c r="J321" i="6"/>
  <c r="U321" i="6"/>
  <c r="J322" i="6"/>
  <c r="U322" i="6"/>
  <c r="J323" i="6"/>
  <c r="U323" i="6"/>
  <c r="J324" i="6"/>
  <c r="U324" i="6"/>
  <c r="J325" i="6"/>
  <c r="U325" i="6"/>
  <c r="J326" i="6"/>
  <c r="U326" i="6"/>
  <c r="J327" i="6"/>
  <c r="U327" i="6"/>
  <c r="J328" i="6"/>
  <c r="U328" i="6"/>
  <c r="J329" i="6"/>
  <c r="U329" i="6"/>
  <c r="J330" i="6"/>
  <c r="U330" i="6"/>
  <c r="J331" i="6"/>
  <c r="U331" i="6"/>
  <c r="J332" i="6"/>
  <c r="U332" i="6"/>
  <c r="J333" i="6"/>
  <c r="U333" i="6"/>
  <c r="J334" i="6"/>
  <c r="U334" i="6"/>
  <c r="J335" i="6"/>
  <c r="U335" i="6"/>
  <c r="J336" i="6"/>
  <c r="U336" i="6"/>
  <c r="J337" i="6"/>
  <c r="U337" i="6"/>
  <c r="J338" i="6"/>
  <c r="U338" i="6"/>
  <c r="J339" i="6"/>
  <c r="U339" i="6"/>
  <c r="J340" i="6"/>
  <c r="U340" i="6"/>
  <c r="J341" i="6"/>
  <c r="U341" i="6"/>
  <c r="J342" i="6"/>
  <c r="U342" i="6"/>
  <c r="J343" i="6"/>
  <c r="U343" i="6"/>
  <c r="J344" i="6"/>
  <c r="U344" i="6"/>
  <c r="J345" i="6"/>
  <c r="U345" i="6"/>
  <c r="J346" i="6"/>
  <c r="U346" i="6"/>
  <c r="J347" i="6"/>
  <c r="U347" i="6"/>
  <c r="J348" i="6"/>
  <c r="U348" i="6"/>
  <c r="J349" i="6"/>
  <c r="U349" i="6"/>
  <c r="J350" i="6"/>
  <c r="U350" i="6"/>
  <c r="J351" i="6"/>
  <c r="U351" i="6"/>
  <c r="J352" i="6"/>
  <c r="U352" i="6"/>
  <c r="J353" i="6"/>
  <c r="U353" i="6"/>
  <c r="J354" i="6"/>
  <c r="U354" i="6"/>
  <c r="J355" i="6"/>
  <c r="U355" i="6"/>
  <c r="J356" i="6"/>
  <c r="U356" i="6"/>
  <c r="J357" i="6"/>
  <c r="U357" i="6"/>
  <c r="J358" i="6"/>
  <c r="U358" i="6"/>
  <c r="J359" i="6"/>
  <c r="U359" i="6"/>
  <c r="J360" i="6"/>
  <c r="U360" i="6"/>
  <c r="J361" i="6"/>
  <c r="U361" i="6"/>
  <c r="J362" i="6"/>
  <c r="U362" i="6"/>
  <c r="J363" i="6"/>
  <c r="U363" i="6"/>
  <c r="J364" i="6"/>
  <c r="U364" i="6"/>
  <c r="J365" i="6"/>
  <c r="U365" i="6"/>
  <c r="J366" i="6"/>
  <c r="U366" i="6"/>
  <c r="J367" i="6"/>
  <c r="U367" i="6"/>
  <c r="J368" i="6"/>
  <c r="U368" i="6"/>
  <c r="J369" i="6"/>
  <c r="U369" i="6"/>
  <c r="J370" i="6"/>
  <c r="U370" i="6"/>
  <c r="J371" i="6"/>
  <c r="U371" i="6"/>
  <c r="J372" i="6"/>
  <c r="U372" i="6"/>
  <c r="J373" i="6"/>
  <c r="U373" i="6"/>
  <c r="J374" i="6"/>
  <c r="U374" i="6"/>
  <c r="J375" i="6"/>
  <c r="U375" i="6"/>
  <c r="J376" i="6"/>
  <c r="U376" i="6"/>
  <c r="J377" i="6"/>
  <c r="U377" i="6"/>
  <c r="J378" i="6"/>
  <c r="U378" i="6"/>
  <c r="J379" i="6"/>
  <c r="U379" i="6"/>
  <c r="J380" i="6"/>
  <c r="U380" i="6"/>
  <c r="J381" i="6"/>
  <c r="U381" i="6"/>
  <c r="J382" i="6"/>
  <c r="U382" i="6"/>
  <c r="J383" i="6"/>
  <c r="U383" i="6"/>
  <c r="J384" i="6"/>
  <c r="U384" i="6"/>
  <c r="J385" i="6"/>
  <c r="U385" i="6"/>
  <c r="J386" i="6"/>
  <c r="U386" i="6"/>
  <c r="J387" i="6"/>
  <c r="U387" i="6"/>
  <c r="J388" i="6"/>
  <c r="U388" i="6"/>
  <c r="J389" i="6"/>
  <c r="U389" i="6"/>
  <c r="J390" i="6"/>
  <c r="U390" i="6"/>
  <c r="J391" i="6"/>
  <c r="U391" i="6"/>
  <c r="J392" i="6"/>
  <c r="U392" i="6"/>
  <c r="J393" i="6"/>
  <c r="U393" i="6"/>
  <c r="J394" i="6"/>
  <c r="U394" i="6"/>
  <c r="J395" i="6"/>
  <c r="U395" i="6"/>
  <c r="J396" i="6"/>
  <c r="U396" i="6"/>
  <c r="J397" i="6"/>
  <c r="U397" i="6"/>
  <c r="J398" i="6"/>
  <c r="U398" i="6"/>
  <c r="J399" i="6"/>
  <c r="U399" i="6"/>
  <c r="J400" i="6"/>
  <c r="U400" i="6"/>
  <c r="J401" i="6"/>
  <c r="U401" i="6"/>
  <c r="J402" i="6"/>
  <c r="U402" i="6"/>
  <c r="J403" i="6"/>
  <c r="U403" i="6"/>
  <c r="J404" i="6"/>
  <c r="U404" i="6"/>
  <c r="J405" i="6"/>
  <c r="U405" i="6"/>
  <c r="J406" i="6"/>
  <c r="U406" i="6"/>
  <c r="J407" i="6"/>
  <c r="U407" i="6"/>
  <c r="J408" i="6"/>
  <c r="U408" i="6"/>
  <c r="J409" i="6"/>
  <c r="U409" i="6"/>
  <c r="J410" i="6"/>
  <c r="U410" i="6"/>
  <c r="J411" i="6"/>
  <c r="U411" i="6"/>
  <c r="J412" i="6"/>
  <c r="U412" i="6"/>
  <c r="J413" i="6"/>
  <c r="U413" i="6"/>
  <c r="J414" i="6"/>
  <c r="U414" i="6"/>
  <c r="J415" i="6"/>
  <c r="U415" i="6"/>
  <c r="J416" i="6"/>
  <c r="U416" i="6"/>
  <c r="J417" i="6"/>
  <c r="U417" i="6"/>
  <c r="J418" i="6"/>
  <c r="U418" i="6"/>
  <c r="J419" i="6"/>
  <c r="U419" i="6"/>
  <c r="J420" i="6"/>
  <c r="U420" i="6"/>
  <c r="J421" i="6"/>
  <c r="U421" i="6"/>
  <c r="J422" i="6"/>
  <c r="U422" i="6"/>
  <c r="J423" i="6"/>
  <c r="U423" i="6"/>
  <c r="J424" i="6"/>
  <c r="U424" i="6"/>
  <c r="J425" i="6"/>
  <c r="U425" i="6"/>
  <c r="J426" i="6"/>
  <c r="U426" i="6"/>
  <c r="J427" i="6"/>
  <c r="U427" i="6"/>
  <c r="J428" i="6"/>
  <c r="U428" i="6"/>
  <c r="J429" i="6"/>
  <c r="U429" i="6"/>
  <c r="J430" i="6"/>
  <c r="U430" i="6"/>
  <c r="J431" i="6"/>
  <c r="U431" i="6"/>
  <c r="J432" i="6"/>
  <c r="U432" i="6"/>
  <c r="J433" i="6"/>
  <c r="U433" i="6"/>
  <c r="J434" i="6"/>
  <c r="U434" i="6"/>
  <c r="J435" i="6"/>
  <c r="U435" i="6"/>
  <c r="J436" i="6"/>
  <c r="U436" i="6"/>
  <c r="J437" i="6"/>
  <c r="U437" i="6"/>
  <c r="J438" i="6"/>
  <c r="U438" i="6"/>
  <c r="J439" i="6"/>
  <c r="U439" i="6"/>
  <c r="J440" i="6"/>
  <c r="U440" i="6"/>
  <c r="J441" i="6"/>
  <c r="U441" i="6"/>
  <c r="J442" i="6"/>
  <c r="U442" i="6"/>
  <c r="J443" i="6"/>
  <c r="U443" i="6"/>
  <c r="J444" i="6"/>
  <c r="U444" i="6"/>
  <c r="J445" i="6"/>
  <c r="U445" i="6"/>
  <c r="J446" i="6"/>
  <c r="U446" i="6"/>
  <c r="J447" i="6"/>
  <c r="U447" i="6"/>
  <c r="J448" i="6"/>
  <c r="U448" i="6"/>
  <c r="J449" i="6"/>
  <c r="U449" i="6"/>
  <c r="J450" i="6"/>
  <c r="U450" i="6"/>
  <c r="J451" i="6"/>
  <c r="U451" i="6"/>
  <c r="J452" i="6"/>
  <c r="U452" i="6"/>
  <c r="J453" i="6"/>
  <c r="U453" i="6"/>
  <c r="J454" i="6"/>
  <c r="U454" i="6"/>
  <c r="J455" i="6"/>
  <c r="U455" i="6"/>
  <c r="J456" i="6"/>
  <c r="U456" i="6"/>
  <c r="J457" i="6"/>
  <c r="U457" i="6"/>
  <c r="J458" i="6"/>
  <c r="U458" i="6"/>
  <c r="J459" i="6"/>
  <c r="U459" i="6"/>
  <c r="J460" i="6"/>
  <c r="U460" i="6"/>
  <c r="J461" i="6"/>
  <c r="U461" i="6"/>
  <c r="J462" i="6"/>
  <c r="U462" i="6"/>
  <c r="J463" i="6"/>
  <c r="U463" i="6"/>
  <c r="J464" i="6"/>
  <c r="U464" i="6"/>
  <c r="J465" i="6"/>
  <c r="U465" i="6"/>
  <c r="J466" i="6"/>
  <c r="U466" i="6"/>
  <c r="J467" i="6"/>
  <c r="U467" i="6"/>
  <c r="J468" i="6"/>
  <c r="U468" i="6"/>
  <c r="J469" i="6"/>
  <c r="U469" i="6"/>
  <c r="J470" i="6"/>
  <c r="U470" i="6"/>
  <c r="J471" i="6"/>
  <c r="U471" i="6"/>
  <c r="J472" i="6"/>
  <c r="U472" i="6"/>
  <c r="J473" i="6"/>
  <c r="U473" i="6"/>
  <c r="J474" i="6"/>
  <c r="U474" i="6"/>
  <c r="J475" i="6"/>
  <c r="U475" i="6"/>
  <c r="J476" i="6"/>
  <c r="U476" i="6"/>
  <c r="J477" i="6"/>
  <c r="U477" i="6"/>
  <c r="J478" i="6"/>
  <c r="U478" i="6"/>
  <c r="J479" i="6"/>
  <c r="U479" i="6"/>
  <c r="J480" i="6"/>
  <c r="U480" i="6"/>
  <c r="J481" i="6"/>
  <c r="U481" i="6"/>
  <c r="J482" i="6"/>
  <c r="U482" i="6"/>
  <c r="J483" i="6"/>
  <c r="U483" i="6"/>
  <c r="J484" i="6"/>
  <c r="U484" i="6"/>
  <c r="J485" i="6"/>
  <c r="U485" i="6"/>
  <c r="J486" i="6"/>
  <c r="U486" i="6"/>
  <c r="J487" i="6"/>
  <c r="U487" i="6"/>
  <c r="J488" i="6"/>
  <c r="U488" i="6"/>
  <c r="J489" i="6"/>
  <c r="U489" i="6"/>
  <c r="J490" i="6"/>
  <c r="U490" i="6"/>
  <c r="J491" i="6"/>
  <c r="U491" i="6"/>
  <c r="J492" i="6"/>
  <c r="U492" i="6"/>
  <c r="J493" i="6"/>
  <c r="U493" i="6"/>
  <c r="J494" i="6"/>
  <c r="U494" i="6"/>
  <c r="J495" i="6"/>
  <c r="U495" i="6"/>
  <c r="J496" i="6"/>
  <c r="U496" i="6"/>
  <c r="J497" i="6"/>
  <c r="U497" i="6"/>
  <c r="BL7" i="4"/>
  <c r="H8" i="4"/>
  <c r="BV8" i="4"/>
  <c r="H9" i="4"/>
  <c r="BV9" i="4"/>
  <c r="H10" i="4"/>
  <c r="BV10" i="4"/>
  <c r="H11" i="4"/>
  <c r="BV11" i="4"/>
  <c r="I11" i="4" s="1"/>
  <c r="H12" i="4"/>
  <c r="BV12" i="4"/>
  <c r="H13" i="4"/>
  <c r="BV13" i="4"/>
  <c r="H14" i="4"/>
  <c r="BV14" i="4"/>
  <c r="H15" i="4"/>
  <c r="BV15" i="4"/>
  <c r="H16" i="4"/>
  <c r="BV16" i="4"/>
  <c r="H17" i="4"/>
  <c r="BV17" i="4"/>
  <c r="I17" i="4" s="1"/>
  <c r="H18" i="4"/>
  <c r="BV18" i="4"/>
  <c r="H19" i="4"/>
  <c r="I19" i="4"/>
  <c r="BV19" i="4"/>
  <c r="H20" i="4"/>
  <c r="I20" i="4"/>
  <c r="BV20" i="4"/>
  <c r="H21" i="4"/>
  <c r="I21" i="4"/>
  <c r="BV21" i="4"/>
  <c r="H22" i="4"/>
  <c r="I22" i="4"/>
  <c r="BV22" i="4"/>
  <c r="H23" i="4"/>
  <c r="I23" i="4"/>
  <c r="BV23" i="4"/>
  <c r="H24" i="4"/>
  <c r="I24" i="4"/>
  <c r="BV24" i="4"/>
  <c r="H25" i="4"/>
  <c r="I25" i="4"/>
  <c r="BV25" i="4"/>
  <c r="H26" i="4"/>
  <c r="I26" i="4"/>
  <c r="BV26" i="4"/>
  <c r="H27" i="4"/>
  <c r="I27" i="4"/>
  <c r="BV27" i="4"/>
  <c r="H28" i="4"/>
  <c r="I28" i="4"/>
  <c r="BV28" i="4"/>
  <c r="H29" i="4"/>
  <c r="I29" i="4"/>
  <c r="BV29" i="4"/>
  <c r="H30" i="4"/>
  <c r="I30" i="4"/>
  <c r="BV30" i="4"/>
  <c r="H31" i="4"/>
  <c r="I31" i="4"/>
  <c r="BV31" i="4"/>
  <c r="H32" i="4"/>
  <c r="I32" i="4"/>
  <c r="BV32" i="4"/>
  <c r="H33" i="4"/>
  <c r="I33" i="4"/>
  <c r="BV33" i="4"/>
  <c r="H34" i="4"/>
  <c r="I34" i="4"/>
  <c r="BV34" i="4"/>
  <c r="H35" i="4"/>
  <c r="I35" i="4"/>
  <c r="BV35" i="4"/>
  <c r="H36" i="4"/>
  <c r="I36" i="4"/>
  <c r="BV36" i="4"/>
  <c r="H37" i="4"/>
  <c r="I37" i="4"/>
  <c r="BV37" i="4"/>
  <c r="H38" i="4"/>
  <c r="I38" i="4"/>
  <c r="BV38" i="4"/>
  <c r="H39" i="4"/>
  <c r="I39" i="4"/>
  <c r="BV39" i="4"/>
  <c r="H40" i="4"/>
  <c r="I40" i="4"/>
  <c r="BV40" i="4"/>
  <c r="H41" i="4"/>
  <c r="I41" i="4"/>
  <c r="BV41" i="4"/>
  <c r="H42" i="4"/>
  <c r="I42" i="4"/>
  <c r="BV42" i="4"/>
  <c r="H43" i="4"/>
  <c r="I43" i="4"/>
  <c r="BV43" i="4"/>
  <c r="H44" i="4"/>
  <c r="I44" i="4"/>
  <c r="BV44" i="4"/>
  <c r="H45" i="4"/>
  <c r="I45" i="4"/>
  <c r="BV45" i="4"/>
  <c r="H46" i="4"/>
  <c r="I46" i="4"/>
  <c r="BV46" i="4"/>
  <c r="H47" i="4"/>
  <c r="I47" i="4"/>
  <c r="BV47" i="4"/>
  <c r="H48" i="4"/>
  <c r="I48" i="4"/>
  <c r="BV48" i="4"/>
  <c r="H49" i="4"/>
  <c r="I49" i="4"/>
  <c r="BV49" i="4"/>
  <c r="H50" i="4"/>
  <c r="I50" i="4"/>
  <c r="BV50" i="4"/>
  <c r="H51" i="4"/>
  <c r="I51" i="4"/>
  <c r="BV51" i="4"/>
  <c r="H52" i="4"/>
  <c r="I52" i="4"/>
  <c r="BV52" i="4"/>
  <c r="H53" i="4"/>
  <c r="I53" i="4"/>
  <c r="BV53" i="4"/>
  <c r="H54" i="4"/>
  <c r="I54" i="4"/>
  <c r="BV54" i="4"/>
  <c r="H55" i="4"/>
  <c r="I55" i="4"/>
  <c r="BV55" i="4"/>
  <c r="H56" i="4"/>
  <c r="I56" i="4"/>
  <c r="BV56" i="4"/>
  <c r="H57" i="4"/>
  <c r="I57" i="4"/>
  <c r="BV57" i="4"/>
  <c r="H58" i="4"/>
  <c r="I58" i="4"/>
  <c r="BV58" i="4"/>
  <c r="H59" i="4"/>
  <c r="I59" i="4"/>
  <c r="BV59" i="4"/>
  <c r="H60" i="4"/>
  <c r="I60" i="4"/>
  <c r="BV60" i="4"/>
  <c r="H61" i="4"/>
  <c r="I61" i="4"/>
  <c r="BV61" i="4"/>
  <c r="H62" i="4"/>
  <c r="I62" i="4"/>
  <c r="BV62" i="4"/>
  <c r="H63" i="4"/>
  <c r="I63" i="4"/>
  <c r="BV63" i="4"/>
  <c r="H64" i="4"/>
  <c r="I64" i="4"/>
  <c r="BV64" i="4"/>
  <c r="H65" i="4"/>
  <c r="I65" i="4"/>
  <c r="BV65" i="4"/>
  <c r="H66" i="4"/>
  <c r="I66" i="4"/>
  <c r="BV66" i="4"/>
  <c r="H67" i="4"/>
  <c r="I67" i="4"/>
  <c r="BV67" i="4"/>
  <c r="H68" i="4"/>
  <c r="I68" i="4"/>
  <c r="BV68" i="4"/>
  <c r="H69" i="4"/>
  <c r="I69" i="4"/>
  <c r="BV69" i="4"/>
  <c r="H70" i="4"/>
  <c r="I70" i="4"/>
  <c r="BV70" i="4"/>
  <c r="H71" i="4"/>
  <c r="I71" i="4"/>
  <c r="BV71" i="4"/>
  <c r="H72" i="4"/>
  <c r="I72" i="4"/>
  <c r="BV72" i="4"/>
  <c r="H73" i="4"/>
  <c r="I73" i="4"/>
  <c r="BV73" i="4"/>
  <c r="H74" i="4"/>
  <c r="I74" i="4"/>
  <c r="BV74" i="4"/>
  <c r="H75" i="4"/>
  <c r="I75" i="4"/>
  <c r="BV75" i="4"/>
  <c r="H76" i="4"/>
  <c r="I76" i="4"/>
  <c r="BV76" i="4"/>
  <c r="H77" i="4"/>
  <c r="I77" i="4"/>
  <c r="BV77" i="4"/>
  <c r="H78" i="4"/>
  <c r="I78" i="4"/>
  <c r="BV78" i="4"/>
  <c r="H79" i="4"/>
  <c r="I79" i="4"/>
  <c r="BV79" i="4"/>
  <c r="H80" i="4"/>
  <c r="I80" i="4"/>
  <c r="BV80" i="4"/>
  <c r="H81" i="4"/>
  <c r="I81" i="4"/>
  <c r="BV81" i="4"/>
  <c r="H82" i="4"/>
  <c r="I82" i="4"/>
  <c r="BV82" i="4"/>
  <c r="H83" i="4"/>
  <c r="I83" i="4"/>
  <c r="BV83" i="4"/>
  <c r="H84" i="4"/>
  <c r="I84" i="4"/>
  <c r="BV84" i="4"/>
  <c r="H85" i="4"/>
  <c r="I85" i="4"/>
  <c r="BV85" i="4"/>
  <c r="H86" i="4"/>
  <c r="I86" i="4"/>
  <c r="BV86" i="4"/>
  <c r="H87" i="4"/>
  <c r="I87" i="4"/>
  <c r="BV87" i="4"/>
  <c r="H88" i="4"/>
  <c r="I88" i="4"/>
  <c r="BV88" i="4"/>
  <c r="H89" i="4"/>
  <c r="I89" i="4"/>
  <c r="BV89" i="4"/>
  <c r="H90" i="4"/>
  <c r="I90" i="4"/>
  <c r="BV90" i="4"/>
  <c r="H91" i="4"/>
  <c r="I91" i="4"/>
  <c r="BV91" i="4"/>
  <c r="H92" i="4"/>
  <c r="I92" i="4"/>
  <c r="BV92" i="4"/>
  <c r="H93" i="4"/>
  <c r="I93" i="4"/>
  <c r="BV93" i="4"/>
  <c r="H94" i="4"/>
  <c r="I94" i="4"/>
  <c r="BV94" i="4"/>
  <c r="H95" i="4"/>
  <c r="I95" i="4"/>
  <c r="BV95" i="4"/>
  <c r="H96" i="4"/>
  <c r="I96" i="4"/>
  <c r="BV96" i="4"/>
  <c r="H97" i="4"/>
  <c r="I97" i="4"/>
  <c r="BV97" i="4"/>
  <c r="H98" i="4"/>
  <c r="I98" i="4"/>
  <c r="BV98" i="4"/>
  <c r="H99" i="4"/>
  <c r="I99" i="4"/>
  <c r="BV99" i="4"/>
  <c r="H100" i="4"/>
  <c r="I100" i="4"/>
  <c r="BV100" i="4"/>
  <c r="H101" i="4"/>
  <c r="I101" i="4"/>
  <c r="BV101" i="4"/>
  <c r="H102" i="4"/>
  <c r="I102" i="4"/>
  <c r="BV102" i="4"/>
  <c r="H103" i="4"/>
  <c r="I103" i="4"/>
  <c r="BV103" i="4"/>
  <c r="H104" i="4"/>
  <c r="I104" i="4"/>
  <c r="BV104" i="4"/>
  <c r="H105" i="4"/>
  <c r="I105" i="4"/>
  <c r="BV105" i="4"/>
  <c r="H106" i="4"/>
  <c r="I106" i="4"/>
  <c r="BV106" i="4"/>
  <c r="H107" i="4"/>
  <c r="I107" i="4"/>
  <c r="BV107" i="4"/>
  <c r="H108" i="4"/>
  <c r="I108" i="4"/>
  <c r="BV108" i="4"/>
  <c r="H109" i="4"/>
  <c r="I109" i="4"/>
  <c r="BV109" i="4"/>
  <c r="H110" i="4"/>
  <c r="I110" i="4"/>
  <c r="BV110" i="4"/>
  <c r="H111" i="4"/>
  <c r="I111" i="4"/>
  <c r="BV111" i="4"/>
  <c r="H112" i="4"/>
  <c r="I112" i="4"/>
  <c r="BV112" i="4"/>
  <c r="H113" i="4"/>
  <c r="I113" i="4"/>
  <c r="BV113" i="4"/>
  <c r="H114" i="4"/>
  <c r="I114" i="4"/>
  <c r="BV114" i="4"/>
  <c r="H115" i="4"/>
  <c r="I115" i="4"/>
  <c r="BV115" i="4"/>
  <c r="H116" i="4"/>
  <c r="I116" i="4"/>
  <c r="BV116" i="4"/>
  <c r="H117" i="4"/>
  <c r="I117" i="4"/>
  <c r="BV117" i="4"/>
  <c r="H118" i="4"/>
  <c r="I118" i="4"/>
  <c r="BV118" i="4"/>
  <c r="H119" i="4"/>
  <c r="I119" i="4"/>
  <c r="BV119" i="4"/>
  <c r="H120" i="4"/>
  <c r="I120" i="4"/>
  <c r="BV120" i="4"/>
  <c r="H121" i="4"/>
  <c r="I121" i="4"/>
  <c r="BV121" i="4"/>
  <c r="H122" i="4"/>
  <c r="I122" i="4"/>
  <c r="BV122" i="4"/>
  <c r="H123" i="4"/>
  <c r="I123" i="4"/>
  <c r="BV123" i="4"/>
  <c r="H124" i="4"/>
  <c r="I124" i="4"/>
  <c r="BV124" i="4"/>
  <c r="H125" i="4"/>
  <c r="I125" i="4"/>
  <c r="BV125" i="4"/>
  <c r="H126" i="4"/>
  <c r="I126" i="4"/>
  <c r="BV126" i="4"/>
  <c r="H127" i="4"/>
  <c r="I127" i="4"/>
  <c r="BV127" i="4"/>
  <c r="H128" i="4"/>
  <c r="I128" i="4"/>
  <c r="BV128" i="4"/>
  <c r="H129" i="4"/>
  <c r="I129" i="4"/>
  <c r="BV129" i="4"/>
  <c r="H130" i="4"/>
  <c r="I130" i="4"/>
  <c r="BV130" i="4"/>
  <c r="H131" i="4"/>
  <c r="I131" i="4"/>
  <c r="BV131" i="4"/>
  <c r="H132" i="4"/>
  <c r="I132" i="4"/>
  <c r="BV132" i="4"/>
  <c r="H133" i="4"/>
  <c r="I133" i="4"/>
  <c r="BV133" i="4"/>
  <c r="H134" i="4"/>
  <c r="I134" i="4"/>
  <c r="BV134" i="4"/>
  <c r="H135" i="4"/>
  <c r="I135" i="4"/>
  <c r="BV135" i="4"/>
  <c r="H136" i="4"/>
  <c r="I136" i="4"/>
  <c r="BV136" i="4"/>
  <c r="H137" i="4"/>
  <c r="I137" i="4"/>
  <c r="BV137" i="4"/>
  <c r="H138" i="4"/>
  <c r="I138" i="4"/>
  <c r="BV138" i="4"/>
  <c r="H139" i="4"/>
  <c r="I139" i="4"/>
  <c r="BV139" i="4"/>
  <c r="H140" i="4"/>
  <c r="I140" i="4"/>
  <c r="BV140" i="4"/>
  <c r="H141" i="4"/>
  <c r="I141" i="4"/>
  <c r="BV141" i="4"/>
  <c r="H142" i="4"/>
  <c r="I142" i="4"/>
  <c r="BV142" i="4"/>
  <c r="H143" i="4"/>
  <c r="I143" i="4"/>
  <c r="BV143" i="4"/>
  <c r="H144" i="4"/>
  <c r="I144" i="4"/>
  <c r="BV144" i="4"/>
  <c r="H145" i="4"/>
  <c r="I145" i="4"/>
  <c r="BV145" i="4"/>
  <c r="H146" i="4"/>
  <c r="I146" i="4"/>
  <c r="BV146" i="4"/>
  <c r="H147" i="4"/>
  <c r="I147" i="4"/>
  <c r="BV147" i="4"/>
  <c r="H148" i="4"/>
  <c r="I148" i="4"/>
  <c r="BV148" i="4"/>
  <c r="H149" i="4"/>
  <c r="I149" i="4"/>
  <c r="BV149" i="4"/>
  <c r="H150" i="4"/>
  <c r="I150" i="4"/>
  <c r="BV150" i="4"/>
  <c r="H151" i="4"/>
  <c r="I151" i="4"/>
  <c r="BV151" i="4"/>
  <c r="H152" i="4"/>
  <c r="I152" i="4"/>
  <c r="BV152" i="4"/>
  <c r="H153" i="4"/>
  <c r="I153" i="4"/>
  <c r="BV153" i="4"/>
  <c r="H154" i="4"/>
  <c r="I154" i="4"/>
  <c r="BV154" i="4"/>
  <c r="H155" i="4"/>
  <c r="I155" i="4"/>
  <c r="BV155" i="4"/>
  <c r="H156" i="4"/>
  <c r="I156" i="4"/>
  <c r="BV156" i="4"/>
  <c r="H157" i="4"/>
  <c r="I157" i="4"/>
  <c r="BV157" i="4"/>
  <c r="H158" i="4"/>
  <c r="I158" i="4"/>
  <c r="BV158" i="4"/>
  <c r="H159" i="4"/>
  <c r="I159" i="4"/>
  <c r="BV159" i="4"/>
  <c r="H160" i="4"/>
  <c r="I160" i="4"/>
  <c r="BV160" i="4"/>
  <c r="H161" i="4"/>
  <c r="I161" i="4"/>
  <c r="BV161" i="4"/>
  <c r="H162" i="4"/>
  <c r="I162" i="4"/>
  <c r="BV162" i="4"/>
  <c r="H163" i="4"/>
  <c r="I163" i="4"/>
  <c r="BV163" i="4"/>
  <c r="H164" i="4"/>
  <c r="I164" i="4"/>
  <c r="BV164" i="4"/>
  <c r="H165" i="4"/>
  <c r="I165" i="4"/>
  <c r="BV165" i="4"/>
  <c r="H166" i="4"/>
  <c r="I166" i="4"/>
  <c r="BV166" i="4"/>
  <c r="H167" i="4"/>
  <c r="I167" i="4"/>
  <c r="BV167" i="4"/>
  <c r="H168" i="4"/>
  <c r="I168" i="4"/>
  <c r="BV168" i="4"/>
  <c r="H169" i="4"/>
  <c r="I169" i="4"/>
  <c r="BV169" i="4"/>
  <c r="H170" i="4"/>
  <c r="I170" i="4"/>
  <c r="BV170" i="4"/>
  <c r="H171" i="4"/>
  <c r="I171" i="4"/>
  <c r="BV171" i="4"/>
  <c r="H172" i="4"/>
  <c r="I172" i="4"/>
  <c r="BV172" i="4"/>
  <c r="H173" i="4"/>
  <c r="I173" i="4"/>
  <c r="BV173" i="4"/>
  <c r="H174" i="4"/>
  <c r="I174" i="4"/>
  <c r="BV174" i="4"/>
  <c r="H175" i="4"/>
  <c r="I175" i="4"/>
  <c r="BV175" i="4"/>
  <c r="H176" i="4"/>
  <c r="I176" i="4"/>
  <c r="BV176" i="4"/>
  <c r="H177" i="4"/>
  <c r="I177" i="4"/>
  <c r="BV177" i="4"/>
  <c r="H178" i="4"/>
  <c r="I178" i="4"/>
  <c r="BV178" i="4"/>
  <c r="H179" i="4"/>
  <c r="I179" i="4"/>
  <c r="BV179" i="4"/>
  <c r="H180" i="4"/>
  <c r="I180" i="4"/>
  <c r="BV180" i="4"/>
  <c r="H181" i="4"/>
  <c r="I181" i="4"/>
  <c r="BV181" i="4"/>
  <c r="H182" i="4"/>
  <c r="I182" i="4"/>
  <c r="BV182" i="4"/>
  <c r="H183" i="4"/>
  <c r="I183" i="4"/>
  <c r="BV183" i="4"/>
  <c r="H184" i="4"/>
  <c r="I184" i="4"/>
  <c r="BV184" i="4"/>
  <c r="H185" i="4"/>
  <c r="I185" i="4"/>
  <c r="BV185" i="4"/>
  <c r="H186" i="4"/>
  <c r="I186" i="4"/>
  <c r="BV186" i="4"/>
  <c r="H187" i="4"/>
  <c r="I187" i="4"/>
  <c r="BV187" i="4"/>
  <c r="H188" i="4"/>
  <c r="I188" i="4"/>
  <c r="BV188" i="4"/>
  <c r="H189" i="4"/>
  <c r="I189" i="4"/>
  <c r="BV189" i="4"/>
  <c r="H190" i="4"/>
  <c r="I190" i="4"/>
  <c r="BV190" i="4"/>
  <c r="H191" i="4"/>
  <c r="I191" i="4"/>
  <c r="BV191" i="4"/>
  <c r="H192" i="4"/>
  <c r="I192" i="4"/>
  <c r="BV192" i="4"/>
  <c r="H193" i="4"/>
  <c r="I193" i="4"/>
  <c r="BV193" i="4"/>
  <c r="H194" i="4"/>
  <c r="I194" i="4"/>
  <c r="BV194" i="4"/>
  <c r="H195" i="4"/>
  <c r="I195" i="4"/>
  <c r="BV195" i="4"/>
  <c r="H196" i="4"/>
  <c r="I196" i="4"/>
  <c r="BV196" i="4"/>
  <c r="H197" i="4"/>
  <c r="I197" i="4"/>
  <c r="BV197" i="4"/>
  <c r="H198" i="4"/>
  <c r="I198" i="4"/>
  <c r="BV198" i="4"/>
  <c r="H199" i="4"/>
  <c r="I199" i="4"/>
  <c r="BV199" i="4"/>
  <c r="H200" i="4"/>
  <c r="I200" i="4"/>
  <c r="BV200" i="4"/>
  <c r="H201" i="4"/>
  <c r="I201" i="4"/>
  <c r="BV201" i="4"/>
  <c r="H202" i="4"/>
  <c r="I202" i="4"/>
  <c r="BV202" i="4"/>
  <c r="H203" i="4"/>
  <c r="I203" i="4"/>
  <c r="BV203" i="4"/>
  <c r="H204" i="4"/>
  <c r="I204" i="4"/>
  <c r="BV204" i="4"/>
  <c r="H205" i="4"/>
  <c r="I205" i="4"/>
  <c r="BV205" i="4"/>
  <c r="H206" i="4"/>
  <c r="I206" i="4"/>
  <c r="BV206" i="4"/>
  <c r="H207" i="4"/>
  <c r="I207" i="4"/>
  <c r="BV207" i="4"/>
  <c r="H208" i="4"/>
  <c r="I208" i="4"/>
  <c r="BV208" i="4"/>
  <c r="H209" i="4"/>
  <c r="I209" i="4"/>
  <c r="BV209" i="4"/>
  <c r="H210" i="4"/>
  <c r="I210" i="4"/>
  <c r="BV210" i="4"/>
  <c r="H211" i="4"/>
  <c r="I211" i="4"/>
  <c r="BV211" i="4"/>
  <c r="H212" i="4"/>
  <c r="I212" i="4"/>
  <c r="BV212" i="4"/>
  <c r="H213" i="4"/>
  <c r="I213" i="4"/>
  <c r="BV213" i="4"/>
  <c r="H214" i="4"/>
  <c r="I214" i="4"/>
  <c r="BV214" i="4"/>
  <c r="H215" i="4"/>
  <c r="I215" i="4"/>
  <c r="BV215" i="4"/>
  <c r="H216" i="4"/>
  <c r="I216" i="4"/>
  <c r="BV216" i="4"/>
  <c r="H217" i="4"/>
  <c r="I217" i="4"/>
  <c r="BV217" i="4"/>
  <c r="H218" i="4"/>
  <c r="I218" i="4"/>
  <c r="BV218" i="4"/>
  <c r="H219" i="4"/>
  <c r="I219" i="4"/>
  <c r="BV219" i="4"/>
  <c r="H220" i="4"/>
  <c r="I220" i="4"/>
  <c r="BV220" i="4"/>
  <c r="H221" i="4"/>
  <c r="I221" i="4"/>
  <c r="BV221" i="4"/>
  <c r="H222" i="4"/>
  <c r="I222" i="4"/>
  <c r="BV222" i="4"/>
  <c r="H223" i="4"/>
  <c r="I223" i="4"/>
  <c r="BV223" i="4"/>
  <c r="H224" i="4"/>
  <c r="I224" i="4"/>
  <c r="BV224" i="4"/>
  <c r="H225" i="4"/>
  <c r="I225" i="4"/>
  <c r="BV225" i="4"/>
  <c r="H226" i="4"/>
  <c r="I226" i="4"/>
  <c r="BV226" i="4"/>
  <c r="H227" i="4"/>
  <c r="I227" i="4"/>
  <c r="BV227" i="4"/>
  <c r="H228" i="4"/>
  <c r="I228" i="4"/>
  <c r="BV228" i="4"/>
  <c r="H229" i="4"/>
  <c r="I229" i="4"/>
  <c r="BV229" i="4"/>
  <c r="H230" i="4"/>
  <c r="I230" i="4"/>
  <c r="BV230" i="4"/>
  <c r="H231" i="4"/>
  <c r="I231" i="4"/>
  <c r="BV231" i="4"/>
  <c r="H232" i="4"/>
  <c r="I232" i="4"/>
  <c r="BV232" i="4"/>
  <c r="H233" i="4"/>
  <c r="I233" i="4"/>
  <c r="BV233" i="4"/>
  <c r="H234" i="4"/>
  <c r="I234" i="4"/>
  <c r="BV234" i="4"/>
  <c r="H235" i="4"/>
  <c r="I235" i="4"/>
  <c r="BV235" i="4"/>
  <c r="H236" i="4"/>
  <c r="I236" i="4"/>
  <c r="BV236" i="4"/>
  <c r="H237" i="4"/>
  <c r="I237" i="4"/>
  <c r="BV237" i="4"/>
  <c r="H238" i="4"/>
  <c r="I238" i="4"/>
  <c r="BV238" i="4"/>
  <c r="H239" i="4"/>
  <c r="I239" i="4"/>
  <c r="BV239" i="4"/>
  <c r="H240" i="4"/>
  <c r="I240" i="4"/>
  <c r="BV240" i="4"/>
  <c r="H241" i="4"/>
  <c r="I241" i="4"/>
  <c r="BV241" i="4"/>
  <c r="H242" i="4"/>
  <c r="I242" i="4"/>
  <c r="BV242" i="4"/>
  <c r="H243" i="4"/>
  <c r="I243" i="4"/>
  <c r="BV243" i="4"/>
  <c r="H244" i="4"/>
  <c r="I244" i="4"/>
  <c r="BV244" i="4"/>
  <c r="H245" i="4"/>
  <c r="I245" i="4"/>
  <c r="BV245" i="4"/>
  <c r="H246" i="4"/>
  <c r="I246" i="4"/>
  <c r="BV246" i="4"/>
  <c r="H247" i="4"/>
  <c r="I247" i="4"/>
  <c r="BV247" i="4"/>
  <c r="H248" i="4"/>
  <c r="I248" i="4"/>
  <c r="BV248" i="4"/>
  <c r="H249" i="4"/>
  <c r="I249" i="4"/>
  <c r="BV249" i="4"/>
  <c r="H250" i="4"/>
  <c r="I250" i="4"/>
  <c r="BV250" i="4"/>
  <c r="H251" i="4"/>
  <c r="I251" i="4"/>
  <c r="BV251" i="4"/>
  <c r="H252" i="4"/>
  <c r="I252" i="4"/>
  <c r="BV252" i="4"/>
  <c r="H253" i="4"/>
  <c r="I253" i="4"/>
  <c r="BV253" i="4"/>
  <c r="H254" i="4"/>
  <c r="I254" i="4"/>
  <c r="BV254" i="4"/>
  <c r="H255" i="4"/>
  <c r="I255" i="4"/>
  <c r="BV255" i="4"/>
  <c r="H256" i="4"/>
  <c r="I256" i="4"/>
  <c r="BV256" i="4"/>
  <c r="H257" i="4"/>
  <c r="I257" i="4"/>
  <c r="BV257" i="4"/>
  <c r="H258" i="4"/>
  <c r="I258" i="4"/>
  <c r="BV258" i="4"/>
  <c r="H259" i="4"/>
  <c r="I259" i="4"/>
  <c r="BV259" i="4"/>
  <c r="H260" i="4"/>
  <c r="I260" i="4"/>
  <c r="BV260" i="4"/>
  <c r="H261" i="4"/>
  <c r="I261" i="4"/>
  <c r="BV261" i="4"/>
  <c r="H262" i="4"/>
  <c r="I262" i="4"/>
  <c r="BV262" i="4"/>
  <c r="H263" i="4"/>
  <c r="I263" i="4"/>
  <c r="BV263" i="4"/>
  <c r="H264" i="4"/>
  <c r="I264" i="4"/>
  <c r="BV264" i="4"/>
  <c r="H265" i="4"/>
  <c r="I265" i="4"/>
  <c r="BV265" i="4"/>
  <c r="H266" i="4"/>
  <c r="I266" i="4"/>
  <c r="BV266" i="4"/>
  <c r="H267" i="4"/>
  <c r="I267" i="4"/>
  <c r="BV267" i="4"/>
  <c r="H268" i="4"/>
  <c r="I268" i="4"/>
  <c r="BV268" i="4"/>
  <c r="H269" i="4"/>
  <c r="I269" i="4"/>
  <c r="BV269" i="4"/>
  <c r="H270" i="4"/>
  <c r="I270" i="4"/>
  <c r="BV270" i="4"/>
  <c r="H271" i="4"/>
  <c r="I271" i="4"/>
  <c r="BV271" i="4"/>
  <c r="H272" i="4"/>
  <c r="I272" i="4"/>
  <c r="BV272" i="4"/>
  <c r="H273" i="4"/>
  <c r="I273" i="4"/>
  <c r="BV273" i="4"/>
  <c r="H274" i="4"/>
  <c r="I274" i="4"/>
  <c r="BV274" i="4"/>
  <c r="H275" i="4"/>
  <c r="I275" i="4"/>
  <c r="BV275" i="4"/>
  <c r="H276" i="4"/>
  <c r="I276" i="4"/>
  <c r="BV276" i="4"/>
  <c r="H277" i="4"/>
  <c r="I277" i="4"/>
  <c r="BV277" i="4"/>
  <c r="H278" i="4"/>
  <c r="I278" i="4"/>
  <c r="BV278" i="4"/>
  <c r="H279" i="4"/>
  <c r="I279" i="4"/>
  <c r="BV279" i="4"/>
  <c r="H280" i="4"/>
  <c r="I280" i="4"/>
  <c r="BV280" i="4"/>
  <c r="H281" i="4"/>
  <c r="I281" i="4"/>
  <c r="BV281" i="4"/>
  <c r="H282" i="4"/>
  <c r="I282" i="4"/>
  <c r="BV282" i="4"/>
  <c r="H283" i="4"/>
  <c r="I283" i="4"/>
  <c r="BV283" i="4"/>
  <c r="H284" i="4"/>
  <c r="I284" i="4"/>
  <c r="BV284" i="4"/>
  <c r="H285" i="4"/>
  <c r="I285" i="4"/>
  <c r="BV285" i="4"/>
  <c r="H286" i="4"/>
  <c r="I286" i="4"/>
  <c r="BV286" i="4"/>
  <c r="H287" i="4"/>
  <c r="I287" i="4"/>
  <c r="BV287" i="4"/>
  <c r="H288" i="4"/>
  <c r="I288" i="4"/>
  <c r="BV288" i="4"/>
  <c r="H289" i="4"/>
  <c r="I289" i="4"/>
  <c r="BV289" i="4"/>
  <c r="H290" i="4"/>
  <c r="I290" i="4"/>
  <c r="BV290" i="4"/>
  <c r="H291" i="4"/>
  <c r="I291" i="4"/>
  <c r="BV291" i="4"/>
  <c r="H292" i="4"/>
  <c r="I292" i="4"/>
  <c r="BV292" i="4"/>
  <c r="H293" i="4"/>
  <c r="I293" i="4"/>
  <c r="BV293" i="4"/>
  <c r="H294" i="4"/>
  <c r="I294" i="4"/>
  <c r="BV294" i="4"/>
  <c r="H295" i="4"/>
  <c r="I295" i="4"/>
  <c r="BV295" i="4"/>
  <c r="H296" i="4"/>
  <c r="I296" i="4"/>
  <c r="BV296" i="4"/>
  <c r="H297" i="4"/>
  <c r="I297" i="4"/>
  <c r="BV297" i="4"/>
  <c r="H298" i="4"/>
  <c r="I298" i="4"/>
  <c r="BV298" i="4"/>
  <c r="H299" i="4"/>
  <c r="I299" i="4"/>
  <c r="BV299" i="4"/>
  <c r="H300" i="4"/>
  <c r="I300" i="4"/>
  <c r="BV300" i="4"/>
  <c r="H301" i="4"/>
  <c r="I301" i="4"/>
  <c r="BV301" i="4"/>
  <c r="H302" i="4"/>
  <c r="I302" i="4"/>
  <c r="BV302" i="4"/>
  <c r="H303" i="4"/>
  <c r="I303" i="4"/>
  <c r="BV303" i="4"/>
  <c r="H304" i="4"/>
  <c r="I304" i="4"/>
  <c r="BV304" i="4"/>
  <c r="H305" i="4"/>
  <c r="I305" i="4"/>
  <c r="BV305" i="4"/>
  <c r="H306" i="4"/>
  <c r="I306" i="4"/>
  <c r="BV306" i="4"/>
  <c r="H307" i="4"/>
  <c r="I307" i="4"/>
  <c r="BV307" i="4"/>
  <c r="H308" i="4"/>
  <c r="I308" i="4"/>
  <c r="BV308" i="4"/>
  <c r="H309" i="4"/>
  <c r="I309" i="4"/>
  <c r="BV309" i="4"/>
  <c r="H310" i="4"/>
  <c r="I310" i="4"/>
  <c r="BV310" i="4"/>
  <c r="H311" i="4"/>
  <c r="I311" i="4"/>
  <c r="BV311" i="4"/>
  <c r="H312" i="4"/>
  <c r="I312" i="4"/>
  <c r="BV312" i="4"/>
  <c r="H313" i="4"/>
  <c r="I313" i="4"/>
  <c r="BV313" i="4"/>
  <c r="H314" i="4"/>
  <c r="I314" i="4"/>
  <c r="BV314" i="4"/>
  <c r="H315" i="4"/>
  <c r="I315" i="4"/>
  <c r="BV315" i="4"/>
  <c r="H316" i="4"/>
  <c r="I316" i="4"/>
  <c r="BV316" i="4"/>
  <c r="H317" i="4"/>
  <c r="I317" i="4"/>
  <c r="BV317" i="4"/>
  <c r="H318" i="4"/>
  <c r="I318" i="4"/>
  <c r="BV318" i="4"/>
  <c r="H319" i="4"/>
  <c r="I319" i="4"/>
  <c r="BV319" i="4"/>
  <c r="H320" i="4"/>
  <c r="I320" i="4"/>
  <c r="BV320" i="4"/>
  <c r="H321" i="4"/>
  <c r="I321" i="4"/>
  <c r="BV321" i="4"/>
  <c r="H322" i="4"/>
  <c r="I322" i="4"/>
  <c r="BV322" i="4"/>
  <c r="H323" i="4"/>
  <c r="I323" i="4"/>
  <c r="BV323" i="4"/>
  <c r="H324" i="4"/>
  <c r="I324" i="4"/>
  <c r="BV324" i="4"/>
  <c r="H325" i="4"/>
  <c r="I325" i="4"/>
  <c r="BV325" i="4"/>
  <c r="H326" i="4"/>
  <c r="I326" i="4"/>
  <c r="BV326" i="4"/>
  <c r="H327" i="4"/>
  <c r="I327" i="4"/>
  <c r="BV327" i="4"/>
  <c r="H328" i="4"/>
  <c r="I328" i="4"/>
  <c r="BV328" i="4"/>
  <c r="H329" i="4"/>
  <c r="I329" i="4"/>
  <c r="BV329" i="4"/>
  <c r="H330" i="4"/>
  <c r="I330" i="4"/>
  <c r="BV330" i="4"/>
  <c r="H331" i="4"/>
  <c r="I331" i="4"/>
  <c r="BV331" i="4"/>
  <c r="H332" i="4"/>
  <c r="I332" i="4"/>
  <c r="BV332" i="4"/>
  <c r="H333" i="4"/>
  <c r="I333" i="4"/>
  <c r="BV333" i="4"/>
  <c r="H334" i="4"/>
  <c r="I334" i="4"/>
  <c r="BV334" i="4"/>
  <c r="H335" i="4"/>
  <c r="I335" i="4"/>
  <c r="BV335" i="4"/>
  <c r="H336" i="4"/>
  <c r="I336" i="4"/>
  <c r="BV336" i="4"/>
  <c r="H337" i="4"/>
  <c r="I337" i="4"/>
  <c r="BV337" i="4"/>
  <c r="H338" i="4"/>
  <c r="I338" i="4"/>
  <c r="BV338" i="4"/>
  <c r="H339" i="4"/>
  <c r="I339" i="4"/>
  <c r="BV339" i="4"/>
  <c r="H340" i="4"/>
  <c r="I340" i="4"/>
  <c r="BV340" i="4"/>
  <c r="H341" i="4"/>
  <c r="I341" i="4"/>
  <c r="BV341" i="4"/>
  <c r="H342" i="4"/>
  <c r="I342" i="4"/>
  <c r="BV342" i="4"/>
  <c r="H343" i="4"/>
  <c r="I343" i="4"/>
  <c r="BV343" i="4"/>
  <c r="H344" i="4"/>
  <c r="I344" i="4"/>
  <c r="BV344" i="4"/>
  <c r="H345" i="4"/>
  <c r="I345" i="4"/>
  <c r="BV345" i="4"/>
  <c r="H346" i="4"/>
  <c r="I346" i="4"/>
  <c r="BV346" i="4"/>
  <c r="H347" i="4"/>
  <c r="I347" i="4"/>
  <c r="BV347" i="4"/>
  <c r="H348" i="4"/>
  <c r="I348" i="4"/>
  <c r="BV348" i="4"/>
  <c r="H349" i="4"/>
  <c r="I349" i="4"/>
  <c r="BV349" i="4"/>
  <c r="H350" i="4"/>
  <c r="I350" i="4"/>
  <c r="BV350" i="4"/>
  <c r="H351" i="4"/>
  <c r="I351" i="4"/>
  <c r="BV351" i="4"/>
  <c r="H352" i="4"/>
  <c r="I352" i="4"/>
  <c r="BV352" i="4"/>
  <c r="H353" i="4"/>
  <c r="I353" i="4"/>
  <c r="BV353" i="4"/>
  <c r="H354" i="4"/>
  <c r="I354" i="4"/>
  <c r="BV354" i="4"/>
  <c r="H355" i="4"/>
  <c r="I355" i="4"/>
  <c r="BV355" i="4"/>
  <c r="H356" i="4"/>
  <c r="I356" i="4"/>
  <c r="BV356" i="4"/>
  <c r="H357" i="4"/>
  <c r="I357" i="4"/>
  <c r="BV357" i="4"/>
  <c r="H358" i="4"/>
  <c r="I358" i="4"/>
  <c r="BV358" i="4"/>
  <c r="H359" i="4"/>
  <c r="I359" i="4"/>
  <c r="BV359" i="4"/>
  <c r="H360" i="4"/>
  <c r="I360" i="4"/>
  <c r="BV360" i="4"/>
  <c r="H361" i="4"/>
  <c r="I361" i="4"/>
  <c r="BV361" i="4"/>
  <c r="H362" i="4"/>
  <c r="I362" i="4"/>
  <c r="BV362" i="4"/>
  <c r="H363" i="4"/>
  <c r="I363" i="4"/>
  <c r="BV363" i="4"/>
  <c r="H364" i="4"/>
  <c r="I364" i="4"/>
  <c r="BV364" i="4"/>
  <c r="H365" i="4"/>
  <c r="I365" i="4"/>
  <c r="BV365" i="4"/>
  <c r="H366" i="4"/>
  <c r="I366" i="4"/>
  <c r="BV366" i="4"/>
  <c r="H367" i="4"/>
  <c r="I367" i="4"/>
  <c r="BV367" i="4"/>
  <c r="H368" i="4"/>
  <c r="I368" i="4"/>
  <c r="BV368" i="4"/>
  <c r="H369" i="4"/>
  <c r="I369" i="4"/>
  <c r="BV369" i="4"/>
  <c r="H370" i="4"/>
  <c r="I370" i="4"/>
  <c r="BV370" i="4"/>
  <c r="H371" i="4"/>
  <c r="I371" i="4"/>
  <c r="BV371" i="4"/>
  <c r="H372" i="4"/>
  <c r="I372" i="4"/>
  <c r="BV372" i="4"/>
  <c r="H373" i="4"/>
  <c r="I373" i="4"/>
  <c r="BV373" i="4"/>
  <c r="H374" i="4"/>
  <c r="I374" i="4"/>
  <c r="BV374" i="4"/>
  <c r="H375" i="4"/>
  <c r="I375" i="4"/>
  <c r="BV375" i="4"/>
  <c r="H376" i="4"/>
  <c r="I376" i="4"/>
  <c r="BV376" i="4"/>
  <c r="H377" i="4"/>
  <c r="I377" i="4"/>
  <c r="BV377" i="4"/>
  <c r="H378" i="4"/>
  <c r="I378" i="4"/>
  <c r="BV378" i="4"/>
  <c r="H379" i="4"/>
  <c r="I379" i="4"/>
  <c r="BV379" i="4"/>
  <c r="H380" i="4"/>
  <c r="I380" i="4"/>
  <c r="BV380" i="4"/>
  <c r="H381" i="4"/>
  <c r="I381" i="4"/>
  <c r="BV381" i="4"/>
  <c r="H382" i="4"/>
  <c r="I382" i="4"/>
  <c r="BV382" i="4"/>
  <c r="H383" i="4"/>
  <c r="I383" i="4"/>
  <c r="BV383" i="4"/>
  <c r="H384" i="4"/>
  <c r="I384" i="4"/>
  <c r="BV384" i="4"/>
  <c r="H385" i="4"/>
  <c r="I385" i="4"/>
  <c r="BV385" i="4"/>
  <c r="H386" i="4"/>
  <c r="I386" i="4"/>
  <c r="BV386" i="4"/>
  <c r="H387" i="4"/>
  <c r="I387" i="4"/>
  <c r="BV387" i="4"/>
  <c r="H388" i="4"/>
  <c r="I388" i="4"/>
  <c r="BV388" i="4"/>
  <c r="H389" i="4"/>
  <c r="I389" i="4"/>
  <c r="BV389" i="4"/>
  <c r="H390" i="4"/>
  <c r="I390" i="4"/>
  <c r="BV390" i="4"/>
  <c r="H391" i="4"/>
  <c r="I391" i="4"/>
  <c r="BV391" i="4"/>
  <c r="H392" i="4"/>
  <c r="I392" i="4"/>
  <c r="BV392" i="4"/>
  <c r="H393" i="4"/>
  <c r="I393" i="4"/>
  <c r="BV393" i="4"/>
  <c r="H394" i="4"/>
  <c r="I394" i="4"/>
  <c r="BV394" i="4"/>
  <c r="H395" i="4"/>
  <c r="I395" i="4"/>
  <c r="BV395" i="4"/>
  <c r="H396" i="4"/>
  <c r="I396" i="4"/>
  <c r="BV396" i="4"/>
  <c r="H397" i="4"/>
  <c r="I397" i="4"/>
  <c r="BV397" i="4"/>
  <c r="H398" i="4"/>
  <c r="I398" i="4"/>
  <c r="BV398" i="4"/>
  <c r="H399" i="4"/>
  <c r="I399" i="4"/>
  <c r="BV399" i="4"/>
  <c r="H400" i="4"/>
  <c r="I400" i="4"/>
  <c r="BV400" i="4"/>
  <c r="H401" i="4"/>
  <c r="I401" i="4"/>
  <c r="BV401" i="4"/>
  <c r="H402" i="4"/>
  <c r="I402" i="4"/>
  <c r="BV402" i="4"/>
  <c r="H403" i="4"/>
  <c r="I403" i="4"/>
  <c r="BV403" i="4"/>
  <c r="H404" i="4"/>
  <c r="I404" i="4"/>
  <c r="BV404" i="4"/>
  <c r="H405" i="4"/>
  <c r="I405" i="4"/>
  <c r="BV405" i="4"/>
  <c r="H406" i="4"/>
  <c r="I406" i="4"/>
  <c r="BV406" i="4"/>
  <c r="H407" i="4"/>
  <c r="I407" i="4"/>
  <c r="BV407" i="4"/>
  <c r="H408" i="4"/>
  <c r="I408" i="4"/>
  <c r="BV408" i="4"/>
  <c r="H409" i="4"/>
  <c r="I409" i="4"/>
  <c r="BV409" i="4"/>
  <c r="H410" i="4"/>
  <c r="I410" i="4"/>
  <c r="BV410" i="4"/>
  <c r="H411" i="4"/>
  <c r="I411" i="4"/>
  <c r="BV411" i="4"/>
  <c r="H412" i="4"/>
  <c r="I412" i="4"/>
  <c r="BV412" i="4"/>
  <c r="H413" i="4"/>
  <c r="I413" i="4"/>
  <c r="BV413" i="4"/>
  <c r="H414" i="4"/>
  <c r="I414" i="4"/>
  <c r="BV414" i="4"/>
  <c r="H415" i="4"/>
  <c r="I415" i="4"/>
  <c r="BV415" i="4"/>
  <c r="H416" i="4"/>
  <c r="I416" i="4"/>
  <c r="BV416" i="4"/>
  <c r="H417" i="4"/>
  <c r="I417" i="4"/>
  <c r="BV417" i="4"/>
  <c r="H418" i="4"/>
  <c r="I418" i="4"/>
  <c r="BV418" i="4"/>
  <c r="H419" i="4"/>
  <c r="I419" i="4"/>
  <c r="BV419" i="4"/>
  <c r="H420" i="4"/>
  <c r="I420" i="4"/>
  <c r="BV420" i="4"/>
  <c r="H421" i="4"/>
  <c r="I421" i="4"/>
  <c r="BV421" i="4"/>
  <c r="H422" i="4"/>
  <c r="I422" i="4"/>
  <c r="BV422" i="4"/>
  <c r="H423" i="4"/>
  <c r="I423" i="4"/>
  <c r="BV423" i="4"/>
  <c r="H424" i="4"/>
  <c r="I424" i="4"/>
  <c r="BV424" i="4"/>
  <c r="H425" i="4"/>
  <c r="I425" i="4"/>
  <c r="BV425" i="4"/>
  <c r="H426" i="4"/>
  <c r="I426" i="4"/>
  <c r="BV426" i="4"/>
  <c r="H427" i="4"/>
  <c r="I427" i="4"/>
  <c r="BV427" i="4"/>
  <c r="H428" i="4"/>
  <c r="I428" i="4"/>
  <c r="BV428" i="4"/>
  <c r="H429" i="4"/>
  <c r="I429" i="4"/>
  <c r="BV429" i="4"/>
  <c r="H430" i="4"/>
  <c r="I430" i="4"/>
  <c r="BV430" i="4"/>
  <c r="H431" i="4"/>
  <c r="I431" i="4"/>
  <c r="BV431" i="4"/>
  <c r="H432" i="4"/>
  <c r="I432" i="4"/>
  <c r="BV432" i="4"/>
  <c r="H433" i="4"/>
  <c r="I433" i="4"/>
  <c r="BV433" i="4"/>
  <c r="H434" i="4"/>
  <c r="I434" i="4"/>
  <c r="BV434" i="4"/>
  <c r="H435" i="4"/>
  <c r="I435" i="4"/>
  <c r="BV435" i="4"/>
  <c r="H436" i="4"/>
  <c r="I436" i="4"/>
  <c r="BV436" i="4"/>
  <c r="H437" i="4"/>
  <c r="I437" i="4"/>
  <c r="BV437" i="4"/>
  <c r="H438" i="4"/>
  <c r="I438" i="4"/>
  <c r="BV438" i="4"/>
  <c r="H439" i="4"/>
  <c r="I439" i="4"/>
  <c r="BV439" i="4"/>
  <c r="H440" i="4"/>
  <c r="I440" i="4"/>
  <c r="BV440" i="4"/>
  <c r="H441" i="4"/>
  <c r="I441" i="4"/>
  <c r="BV441" i="4"/>
  <c r="H442" i="4"/>
  <c r="I442" i="4"/>
  <c r="BV442" i="4"/>
  <c r="H443" i="4"/>
  <c r="I443" i="4"/>
  <c r="BV443" i="4"/>
  <c r="H444" i="4"/>
  <c r="I444" i="4"/>
  <c r="BV444" i="4"/>
  <c r="H445" i="4"/>
  <c r="I445" i="4"/>
  <c r="BV445" i="4"/>
  <c r="H446" i="4"/>
  <c r="I446" i="4"/>
  <c r="BV446" i="4"/>
  <c r="H447" i="4"/>
  <c r="I447" i="4"/>
  <c r="BV447" i="4"/>
  <c r="H448" i="4"/>
  <c r="I448" i="4"/>
  <c r="BV448" i="4"/>
  <c r="H449" i="4"/>
  <c r="I449" i="4"/>
  <c r="BV449" i="4"/>
  <c r="H450" i="4"/>
  <c r="I450" i="4"/>
  <c r="BV450" i="4"/>
  <c r="H451" i="4"/>
  <c r="I451" i="4"/>
  <c r="BV451" i="4"/>
  <c r="H452" i="4"/>
  <c r="I452" i="4"/>
  <c r="BV452" i="4"/>
  <c r="H453" i="4"/>
  <c r="I453" i="4"/>
  <c r="BV453" i="4"/>
  <c r="H454" i="4"/>
  <c r="I454" i="4"/>
  <c r="BV454" i="4"/>
  <c r="H455" i="4"/>
  <c r="I455" i="4"/>
  <c r="BV455" i="4"/>
  <c r="H456" i="4"/>
  <c r="I456" i="4"/>
  <c r="BV456" i="4"/>
  <c r="H457" i="4"/>
  <c r="I457" i="4"/>
  <c r="BV457" i="4"/>
  <c r="H458" i="4"/>
  <c r="I458" i="4"/>
  <c r="BV458" i="4"/>
  <c r="H459" i="4"/>
  <c r="I459" i="4"/>
  <c r="BV459" i="4"/>
  <c r="H460" i="4"/>
  <c r="I460" i="4"/>
  <c r="BV460" i="4"/>
  <c r="H461" i="4"/>
  <c r="I461" i="4"/>
  <c r="BV461" i="4"/>
  <c r="H462" i="4"/>
  <c r="I462" i="4"/>
  <c r="BV462" i="4"/>
  <c r="H463" i="4"/>
  <c r="I463" i="4"/>
  <c r="BV463" i="4"/>
  <c r="H464" i="4"/>
  <c r="I464" i="4"/>
  <c r="BV464" i="4"/>
  <c r="H465" i="4"/>
  <c r="I465" i="4"/>
  <c r="BV465" i="4"/>
  <c r="H466" i="4"/>
  <c r="I466" i="4"/>
  <c r="BV466" i="4"/>
  <c r="H467" i="4"/>
  <c r="I467" i="4"/>
  <c r="BV467" i="4"/>
  <c r="H468" i="4"/>
  <c r="I468" i="4"/>
  <c r="BV468" i="4"/>
  <c r="H469" i="4"/>
  <c r="I469" i="4"/>
  <c r="BV469" i="4"/>
  <c r="H470" i="4"/>
  <c r="I470" i="4"/>
  <c r="BV470" i="4"/>
  <c r="H471" i="4"/>
  <c r="I471" i="4"/>
  <c r="BV471" i="4"/>
  <c r="H472" i="4"/>
  <c r="I472" i="4"/>
  <c r="BV472" i="4"/>
  <c r="H473" i="4"/>
  <c r="I473" i="4"/>
  <c r="BV473" i="4"/>
  <c r="H474" i="4"/>
  <c r="I474" i="4"/>
  <c r="BV474" i="4"/>
  <c r="H475" i="4"/>
  <c r="I475" i="4"/>
  <c r="BV475" i="4"/>
  <c r="H476" i="4"/>
  <c r="I476" i="4"/>
  <c r="BV476" i="4"/>
  <c r="H477" i="4"/>
  <c r="I477" i="4"/>
  <c r="BV477" i="4"/>
  <c r="H478" i="4"/>
  <c r="I478" i="4"/>
  <c r="BV478" i="4"/>
  <c r="H479" i="4"/>
  <c r="I479" i="4"/>
  <c r="BV479" i="4"/>
  <c r="H480" i="4"/>
  <c r="I480" i="4"/>
  <c r="BV480" i="4"/>
  <c r="H481" i="4"/>
  <c r="I481" i="4"/>
  <c r="BV481" i="4"/>
  <c r="H482" i="4"/>
  <c r="I482" i="4"/>
  <c r="BV482" i="4"/>
  <c r="H483" i="4"/>
  <c r="I483" i="4"/>
  <c r="BV483" i="4"/>
  <c r="H484" i="4"/>
  <c r="I484" i="4"/>
  <c r="BV484" i="4"/>
  <c r="H485" i="4"/>
  <c r="I485" i="4"/>
  <c r="BV485" i="4"/>
  <c r="H486" i="4"/>
  <c r="I486" i="4"/>
  <c r="BV486" i="4"/>
  <c r="H487" i="4"/>
  <c r="I487" i="4"/>
  <c r="BV487" i="4"/>
  <c r="H488" i="4"/>
  <c r="I488" i="4"/>
  <c r="BV488" i="4"/>
  <c r="H489" i="4"/>
  <c r="I489" i="4"/>
  <c r="BV489" i="4"/>
  <c r="H490" i="4"/>
  <c r="I490" i="4"/>
  <c r="BV490" i="4"/>
  <c r="H491" i="4"/>
  <c r="I491" i="4"/>
  <c r="BV491" i="4"/>
  <c r="H492" i="4"/>
  <c r="I492" i="4"/>
  <c r="BV492" i="4"/>
  <c r="H493" i="4"/>
  <c r="I493" i="4"/>
  <c r="BV493" i="4"/>
  <c r="H494" i="4"/>
  <c r="I494" i="4"/>
  <c r="BV494" i="4"/>
  <c r="H495" i="4"/>
  <c r="I495" i="4"/>
  <c r="BV495" i="4"/>
  <c r="H496" i="4"/>
  <c r="I496" i="4"/>
  <c r="BV496" i="4"/>
  <c r="H497" i="4"/>
  <c r="I497" i="4"/>
  <c r="BV497" i="4"/>
  <c r="H498" i="4"/>
  <c r="I498" i="4"/>
  <c r="BV498" i="4"/>
  <c r="H499" i="4"/>
  <c r="I499" i="4"/>
  <c r="BV499" i="4"/>
  <c r="K4" i="2"/>
  <c r="L4" i="2"/>
  <c r="M4" i="2"/>
  <c r="N4" i="2"/>
  <c r="O4" i="2"/>
  <c r="P4" i="2"/>
  <c r="Q4" i="2"/>
  <c r="R4" i="2"/>
  <c r="S4" i="2"/>
  <c r="T4" i="2"/>
  <c r="U4" i="2"/>
  <c r="V4" i="2"/>
  <c r="W4" i="2"/>
  <c r="X4" i="2"/>
  <c r="Y4" i="2"/>
  <c r="Z4" i="2"/>
  <c r="AA4" i="2"/>
  <c r="AB4" i="2"/>
  <c r="AC4" i="2"/>
  <c r="AD4" i="2"/>
  <c r="AE4" i="2"/>
  <c r="AF4" i="2"/>
  <c r="AG4" i="2"/>
  <c r="AH4" i="2"/>
  <c r="AI8" i="2"/>
  <c r="AL9" i="2"/>
  <c r="I10" i="2"/>
  <c r="J10" i="2" s="1"/>
  <c r="AL10" i="2"/>
  <c r="I11" i="2"/>
  <c r="AL11" i="2"/>
  <c r="I12" i="2"/>
  <c r="AL12" i="2"/>
  <c r="I13" i="2"/>
  <c r="AL13" i="2"/>
  <c r="I14" i="2"/>
  <c r="J14" i="2" s="1"/>
  <c r="AL14" i="2"/>
  <c r="I15" i="2"/>
  <c r="AL15" i="2"/>
  <c r="I16" i="2"/>
  <c r="AL16" i="2"/>
  <c r="I17" i="2"/>
  <c r="AL17" i="2"/>
  <c r="I18" i="2"/>
  <c r="AL18" i="2"/>
  <c r="I19" i="2"/>
  <c r="J19" i="2" s="1"/>
  <c r="AL19" i="2"/>
  <c r="I20" i="2"/>
  <c r="J20" i="2" s="1"/>
  <c r="AL20" i="2"/>
  <c r="I21" i="2"/>
  <c r="J21" i="2" s="1"/>
  <c r="AL21" i="2"/>
  <c r="I22" i="2"/>
  <c r="J22" i="2" s="1"/>
  <c r="AL22" i="2"/>
  <c r="I23" i="2"/>
  <c r="J23" i="2"/>
  <c r="AL23" i="2"/>
  <c r="I24" i="2"/>
  <c r="J24" i="2" s="1"/>
  <c r="AL24" i="2"/>
  <c r="I25" i="2"/>
  <c r="J25" i="2"/>
  <c r="AL25" i="2"/>
  <c r="I26" i="2"/>
  <c r="J26" i="2" s="1"/>
  <c r="AL26" i="2"/>
  <c r="I27" i="2"/>
  <c r="J27" i="2" s="1"/>
  <c r="AL27" i="2"/>
  <c r="I28" i="2"/>
  <c r="J28" i="2"/>
  <c r="AL28" i="2"/>
  <c r="I29" i="2"/>
  <c r="J29" i="2" s="1"/>
  <c r="AL29" i="2"/>
  <c r="I30" i="2"/>
  <c r="J30" i="2" s="1"/>
  <c r="AL30" i="2"/>
  <c r="I31" i="2"/>
  <c r="J31" i="2" s="1"/>
  <c r="AL31" i="2"/>
  <c r="I32" i="2"/>
  <c r="J32" i="2"/>
  <c r="AL32" i="2"/>
  <c r="I33" i="2"/>
  <c r="J33" i="2" s="1"/>
  <c r="AL33" i="2"/>
  <c r="I34" i="2"/>
  <c r="J34" i="2" s="1"/>
  <c r="AL34" i="2"/>
  <c r="I35" i="2"/>
  <c r="J35" i="2" s="1"/>
  <c r="AL35" i="2"/>
  <c r="I36" i="2"/>
  <c r="J36" i="2" s="1"/>
  <c r="AL36" i="2"/>
  <c r="I37" i="2"/>
  <c r="J37" i="2" s="1"/>
  <c r="AL37" i="2"/>
  <c r="I38" i="2"/>
  <c r="J38" i="2" s="1"/>
  <c r="AL38" i="2"/>
  <c r="I39" i="2"/>
  <c r="J39" i="2"/>
  <c r="AL39" i="2"/>
  <c r="I40" i="2"/>
  <c r="J40" i="2"/>
  <c r="AL40" i="2"/>
  <c r="I41" i="2"/>
  <c r="J41" i="2"/>
  <c r="AL41" i="2"/>
  <c r="I42" i="2"/>
  <c r="J42" i="2" s="1"/>
  <c r="AL42" i="2"/>
  <c r="I43" i="2"/>
  <c r="J43" i="2"/>
  <c r="AL43" i="2"/>
  <c r="I44" i="2"/>
  <c r="J44" i="2" s="1"/>
  <c r="AL44" i="2"/>
  <c r="I45" i="2"/>
  <c r="J45" i="2" s="1"/>
  <c r="AL45" i="2"/>
  <c r="I46" i="2"/>
  <c r="J46" i="2" s="1"/>
  <c r="AL46" i="2"/>
  <c r="I47" i="2"/>
  <c r="J47" i="2" s="1"/>
  <c r="AL47" i="2"/>
  <c r="I48" i="2"/>
  <c r="J48" i="2" s="1"/>
  <c r="AL48" i="2"/>
  <c r="I49" i="2"/>
  <c r="J49" i="2" s="1"/>
  <c r="AL49" i="2"/>
  <c r="I50" i="2"/>
  <c r="J50" i="2" s="1"/>
  <c r="AL50" i="2"/>
  <c r="I51" i="2"/>
  <c r="J51" i="2" s="1"/>
  <c r="AL51" i="2"/>
  <c r="I52" i="2"/>
  <c r="J52" i="2" s="1"/>
  <c r="AL52" i="2"/>
  <c r="I53" i="2"/>
  <c r="J53" i="2"/>
  <c r="AL53" i="2"/>
  <c r="I54" i="2"/>
  <c r="J54" i="2" s="1"/>
  <c r="AL54" i="2"/>
  <c r="I55" i="2"/>
  <c r="J55" i="2" s="1"/>
  <c r="AL55" i="2"/>
  <c r="I56" i="2"/>
  <c r="J56" i="2" s="1"/>
  <c r="AL56" i="2"/>
  <c r="I57" i="2"/>
  <c r="J57" i="2" s="1"/>
  <c r="AL57" i="2"/>
  <c r="I58" i="2"/>
  <c r="J58" i="2" s="1"/>
  <c r="AL58" i="2"/>
  <c r="I59" i="2"/>
  <c r="J59" i="2" s="1"/>
  <c r="AL59" i="2"/>
  <c r="I60" i="2"/>
  <c r="J60" i="2" s="1"/>
  <c r="AL60" i="2"/>
  <c r="I61" i="2"/>
  <c r="J61" i="2" s="1"/>
  <c r="AL61" i="2"/>
  <c r="I62" i="2"/>
  <c r="J62" i="2" s="1"/>
  <c r="AL62" i="2"/>
  <c r="I63" i="2"/>
  <c r="J63" i="2"/>
  <c r="AL63" i="2"/>
  <c r="I64" i="2"/>
  <c r="J64" i="2"/>
  <c r="AL64" i="2"/>
  <c r="I65" i="2"/>
  <c r="J65" i="2"/>
  <c r="AL65" i="2"/>
  <c r="I66" i="2"/>
  <c r="J66" i="2" s="1"/>
  <c r="AL66" i="2"/>
  <c r="I67" i="2"/>
  <c r="J67" i="2"/>
  <c r="AL67" i="2"/>
  <c r="I68" i="2"/>
  <c r="J68" i="2" s="1"/>
  <c r="AL68" i="2"/>
  <c r="I69" i="2"/>
  <c r="J69" i="2"/>
  <c r="AL69" i="2"/>
  <c r="I70" i="2"/>
  <c r="J70" i="2" s="1"/>
  <c r="AL70" i="2"/>
  <c r="I71" i="2"/>
  <c r="J71" i="2" s="1"/>
  <c r="AL71" i="2"/>
  <c r="I72" i="2"/>
  <c r="J72" i="2" s="1"/>
  <c r="AL72" i="2"/>
  <c r="I73" i="2"/>
  <c r="J73" i="2" s="1"/>
  <c r="AL73" i="2"/>
  <c r="I74" i="2"/>
  <c r="J74" i="2" s="1"/>
  <c r="AL74" i="2"/>
  <c r="I75" i="2"/>
  <c r="J75" i="2" s="1"/>
  <c r="AL75" i="2"/>
  <c r="I76" i="2"/>
  <c r="J76" i="2" s="1"/>
  <c r="AL76" i="2"/>
  <c r="I77" i="2"/>
  <c r="J77" i="2" s="1"/>
  <c r="AL77" i="2"/>
  <c r="I78" i="2"/>
  <c r="J78" i="2" s="1"/>
  <c r="AL78" i="2"/>
  <c r="I79" i="2"/>
  <c r="J79" i="2" s="1"/>
  <c r="AL79" i="2"/>
  <c r="I80" i="2"/>
  <c r="J80" i="2" s="1"/>
  <c r="AL80" i="2"/>
  <c r="I81" i="2"/>
  <c r="J81" i="2"/>
  <c r="AL81" i="2"/>
  <c r="I82" i="2"/>
  <c r="J82" i="2" s="1"/>
  <c r="AL82" i="2"/>
  <c r="I83" i="2"/>
  <c r="J83" i="2" s="1"/>
  <c r="AL83" i="2"/>
  <c r="I84" i="2"/>
  <c r="J84" i="2"/>
  <c r="AL84" i="2"/>
  <c r="I85" i="2"/>
  <c r="J85" i="2" s="1"/>
  <c r="AL85" i="2"/>
  <c r="I86" i="2"/>
  <c r="J86" i="2" s="1"/>
  <c r="AL86" i="2"/>
  <c r="I87" i="2"/>
  <c r="J87" i="2" s="1"/>
  <c r="AL87" i="2"/>
  <c r="I88" i="2"/>
  <c r="J88" i="2" s="1"/>
  <c r="AL88" i="2"/>
  <c r="I89" i="2"/>
  <c r="J89" i="2" s="1"/>
  <c r="AL89" i="2"/>
  <c r="I90" i="2"/>
  <c r="J90" i="2" s="1"/>
  <c r="AL90" i="2"/>
  <c r="I91" i="2"/>
  <c r="J91" i="2" s="1"/>
  <c r="AL91" i="2"/>
  <c r="I92" i="2"/>
  <c r="J92" i="2" s="1"/>
  <c r="AL92" i="2"/>
  <c r="I93" i="2"/>
  <c r="J93" i="2"/>
  <c r="AL93" i="2"/>
  <c r="I94" i="2"/>
  <c r="J94" i="2" s="1"/>
  <c r="AL94" i="2"/>
  <c r="I95" i="2"/>
  <c r="J95" i="2" s="1"/>
  <c r="AL95" i="2"/>
  <c r="I96" i="2"/>
  <c r="J96" i="2" s="1"/>
  <c r="AL96" i="2"/>
  <c r="I97" i="2"/>
  <c r="J97" i="2" s="1"/>
  <c r="AL97" i="2"/>
  <c r="I98" i="2"/>
  <c r="J98" i="2" s="1"/>
  <c r="AL98" i="2"/>
  <c r="I99" i="2"/>
  <c r="J99" i="2" s="1"/>
  <c r="AL99" i="2"/>
  <c r="I100" i="2"/>
  <c r="J100" i="2"/>
  <c r="AL100" i="2"/>
  <c r="I101" i="2"/>
  <c r="J101" i="2"/>
  <c r="AL101" i="2"/>
  <c r="I102" i="2"/>
  <c r="J102" i="2" s="1"/>
  <c r="AL102" i="2"/>
  <c r="I103" i="2"/>
  <c r="J103" i="2" s="1"/>
  <c r="AL103" i="2"/>
  <c r="I104" i="2"/>
  <c r="J104" i="2"/>
  <c r="AL104" i="2"/>
  <c r="I105" i="2"/>
  <c r="J105" i="2" s="1"/>
  <c r="AL105" i="2"/>
  <c r="I106" i="2"/>
  <c r="J106" i="2" s="1"/>
  <c r="AL106" i="2"/>
  <c r="I107" i="2"/>
  <c r="J107" i="2" s="1"/>
  <c r="AL107" i="2"/>
  <c r="I108" i="2"/>
  <c r="J108" i="2" s="1"/>
  <c r="AL108" i="2"/>
  <c r="I109" i="2"/>
  <c r="J109" i="2"/>
  <c r="AL109" i="2"/>
  <c r="I110" i="2"/>
  <c r="J110" i="2" s="1"/>
  <c r="AL110" i="2"/>
  <c r="I111" i="2"/>
  <c r="J111" i="2" s="1"/>
  <c r="AL111" i="2"/>
  <c r="I112" i="2"/>
  <c r="J112" i="2" s="1"/>
  <c r="AL112" i="2"/>
  <c r="I113" i="2"/>
  <c r="J113" i="2" s="1"/>
  <c r="AL113" i="2"/>
  <c r="I114" i="2"/>
  <c r="J114" i="2" s="1"/>
  <c r="AL114" i="2"/>
  <c r="I115" i="2"/>
  <c r="J115" i="2" s="1"/>
  <c r="AL115" i="2"/>
  <c r="I116" i="2"/>
  <c r="J116" i="2" s="1"/>
  <c r="AL116" i="2"/>
  <c r="I117" i="2"/>
  <c r="J117" i="2" s="1"/>
  <c r="AL117" i="2"/>
  <c r="I118" i="2"/>
  <c r="J118" i="2" s="1"/>
  <c r="AL118" i="2"/>
  <c r="I119" i="2"/>
  <c r="J119" i="2"/>
  <c r="AL119" i="2"/>
  <c r="I120" i="2"/>
  <c r="J120" i="2" s="1"/>
  <c r="AL120" i="2"/>
  <c r="I121" i="2"/>
  <c r="J121" i="2"/>
  <c r="AL121" i="2"/>
  <c r="I122" i="2"/>
  <c r="J122" i="2" s="1"/>
  <c r="AL122" i="2"/>
  <c r="I123" i="2"/>
  <c r="J123" i="2" s="1"/>
  <c r="AL123" i="2"/>
  <c r="I124" i="2"/>
  <c r="J124" i="2"/>
  <c r="AL124" i="2"/>
  <c r="I125" i="2"/>
  <c r="J125" i="2"/>
  <c r="AL125" i="2"/>
  <c r="I126" i="2"/>
  <c r="J126" i="2" s="1"/>
  <c r="AL126" i="2"/>
  <c r="I127" i="2"/>
  <c r="J127" i="2" s="1"/>
  <c r="AL127" i="2"/>
  <c r="I128" i="2"/>
  <c r="J128" i="2"/>
  <c r="AL128" i="2"/>
  <c r="I129" i="2"/>
  <c r="J129" i="2" s="1"/>
  <c r="AL129" i="2"/>
  <c r="I130" i="2"/>
  <c r="J130" i="2" s="1"/>
  <c r="AL130" i="2"/>
  <c r="I131" i="2"/>
  <c r="J131" i="2" s="1"/>
  <c r="AL131" i="2"/>
  <c r="I132" i="2"/>
  <c r="J132" i="2" s="1"/>
  <c r="AL132" i="2"/>
  <c r="I133" i="2"/>
  <c r="J133" i="2" s="1"/>
  <c r="AL133" i="2"/>
  <c r="I134" i="2"/>
  <c r="J134" i="2" s="1"/>
  <c r="AL134" i="2"/>
  <c r="I135" i="2"/>
  <c r="J135" i="2"/>
  <c r="AL135" i="2"/>
  <c r="I136" i="2"/>
  <c r="J136" i="2" s="1"/>
  <c r="AL136" i="2"/>
  <c r="I137" i="2"/>
  <c r="J137" i="2"/>
  <c r="AL137" i="2"/>
  <c r="I138" i="2"/>
  <c r="J138" i="2" s="1"/>
  <c r="AL138" i="2"/>
  <c r="I139" i="2"/>
  <c r="J139" i="2"/>
  <c r="AL139" i="2"/>
  <c r="I140" i="2"/>
  <c r="J140" i="2" s="1"/>
  <c r="AL140" i="2"/>
  <c r="I141" i="2"/>
  <c r="J141" i="2" s="1"/>
  <c r="AL141" i="2"/>
  <c r="I142" i="2"/>
  <c r="J142" i="2" s="1"/>
  <c r="AL142" i="2"/>
  <c r="I143" i="2"/>
  <c r="J143" i="2" s="1"/>
  <c r="AL143" i="2"/>
  <c r="I144" i="2"/>
  <c r="J144" i="2" s="1"/>
  <c r="AL144" i="2"/>
  <c r="I145" i="2"/>
  <c r="J145" i="2" s="1"/>
  <c r="AL145" i="2"/>
  <c r="I146" i="2"/>
  <c r="J146" i="2" s="1"/>
  <c r="AL146" i="2"/>
  <c r="I147" i="2"/>
  <c r="J147" i="2" s="1"/>
  <c r="AL147" i="2"/>
  <c r="I148" i="2"/>
  <c r="J148" i="2" s="1"/>
  <c r="AL148" i="2"/>
  <c r="I149" i="2"/>
  <c r="J149" i="2" s="1"/>
  <c r="AL149" i="2"/>
  <c r="I150" i="2"/>
  <c r="J150" i="2" s="1"/>
  <c r="AL150" i="2"/>
  <c r="I151" i="2"/>
  <c r="J151" i="2" s="1"/>
  <c r="AL151" i="2"/>
  <c r="I152" i="2"/>
  <c r="J152" i="2" s="1"/>
  <c r="AL152" i="2"/>
  <c r="I153" i="2"/>
  <c r="J153" i="2" s="1"/>
  <c r="AL153" i="2"/>
  <c r="I154" i="2"/>
  <c r="J154" i="2"/>
  <c r="AL154" i="2"/>
  <c r="I155" i="2"/>
  <c r="J155" i="2" s="1"/>
  <c r="AL155" i="2"/>
  <c r="I156" i="2"/>
  <c r="J156" i="2"/>
  <c r="AL156" i="2"/>
  <c r="I157" i="2"/>
  <c r="J157" i="2" s="1"/>
  <c r="AL157" i="2"/>
  <c r="I158" i="2"/>
  <c r="J158" i="2" s="1"/>
  <c r="AL158" i="2"/>
  <c r="I159" i="2"/>
  <c r="J159" i="2"/>
  <c r="AL159" i="2"/>
  <c r="I160" i="2"/>
  <c r="J160" i="2" s="1"/>
  <c r="AL160" i="2"/>
  <c r="I161" i="2"/>
  <c r="J161" i="2"/>
  <c r="AL161" i="2"/>
  <c r="I162" i="2"/>
  <c r="J162" i="2" s="1"/>
  <c r="AL162" i="2"/>
  <c r="I163" i="2"/>
  <c r="J163" i="2" s="1"/>
  <c r="AL163" i="2"/>
  <c r="I164" i="2"/>
  <c r="J164" i="2" s="1"/>
  <c r="AL164" i="2"/>
  <c r="I165" i="2"/>
  <c r="J165" i="2" s="1"/>
  <c r="AL165" i="2"/>
  <c r="I166" i="2"/>
  <c r="J166" i="2" s="1"/>
  <c r="AL166" i="2"/>
  <c r="I167" i="2"/>
  <c r="J167" i="2"/>
  <c r="AL167" i="2"/>
  <c r="I168" i="2"/>
  <c r="J168" i="2"/>
  <c r="AL168" i="2"/>
  <c r="I169" i="2"/>
  <c r="J169" i="2" s="1"/>
  <c r="AL169" i="2"/>
  <c r="I170" i="2"/>
  <c r="J170" i="2"/>
  <c r="AL170" i="2"/>
  <c r="I171" i="2"/>
  <c r="J171" i="2" s="1"/>
  <c r="AL171" i="2"/>
  <c r="I172" i="2"/>
  <c r="J172" i="2" s="1"/>
  <c r="AL172" i="2"/>
  <c r="I173" i="2"/>
  <c r="J173" i="2" s="1"/>
  <c r="AL173" i="2"/>
  <c r="I174" i="2"/>
  <c r="J174" i="2" s="1"/>
  <c r="AL174" i="2"/>
  <c r="I175" i="2"/>
  <c r="J175" i="2" s="1"/>
  <c r="AL175" i="2"/>
  <c r="I176" i="2"/>
  <c r="J176" i="2" s="1"/>
  <c r="AL176" i="2"/>
  <c r="I177" i="2"/>
  <c r="J177" i="2"/>
  <c r="AL177" i="2"/>
  <c r="I178" i="2"/>
  <c r="J178" i="2" s="1"/>
  <c r="AL178" i="2"/>
  <c r="I179" i="2"/>
  <c r="J179" i="2"/>
  <c r="AL179" i="2"/>
  <c r="I180" i="2"/>
  <c r="J180" i="2" s="1"/>
  <c r="AL180" i="2"/>
  <c r="I181" i="2"/>
  <c r="J181" i="2"/>
  <c r="AL181" i="2"/>
  <c r="I182" i="2"/>
  <c r="J182" i="2" s="1"/>
  <c r="AL182" i="2"/>
  <c r="I183" i="2"/>
  <c r="J183" i="2" s="1"/>
  <c r="AL183" i="2"/>
  <c r="I184" i="2"/>
  <c r="J184" i="2" s="1"/>
  <c r="AL184" i="2"/>
  <c r="I185" i="2"/>
  <c r="J185" i="2"/>
  <c r="AL185" i="2"/>
  <c r="I186" i="2"/>
  <c r="J186" i="2" s="1"/>
  <c r="AL186" i="2"/>
  <c r="I187" i="2"/>
  <c r="J187" i="2" s="1"/>
  <c r="AL187" i="2"/>
  <c r="I188" i="2"/>
  <c r="J188" i="2" s="1"/>
  <c r="AL188" i="2"/>
  <c r="I189" i="2"/>
  <c r="J189" i="2" s="1"/>
  <c r="AL189" i="2"/>
  <c r="I190" i="2"/>
  <c r="J190" i="2" s="1"/>
  <c r="AL190" i="2"/>
  <c r="I191" i="2"/>
  <c r="J191" i="2" s="1"/>
  <c r="AL191" i="2"/>
  <c r="I192" i="2"/>
  <c r="J192" i="2" s="1"/>
  <c r="AL192" i="2"/>
  <c r="I193" i="2"/>
  <c r="J193" i="2"/>
  <c r="AL193" i="2"/>
  <c r="I194" i="2"/>
  <c r="J194" i="2"/>
  <c r="AL194" i="2"/>
  <c r="I195" i="2"/>
  <c r="J195" i="2"/>
  <c r="AL195" i="2"/>
  <c r="I196" i="2"/>
  <c r="J196" i="2" s="1"/>
  <c r="AL196" i="2"/>
  <c r="I197" i="2"/>
  <c r="J197" i="2" s="1"/>
  <c r="AL197" i="2"/>
  <c r="I198" i="2"/>
  <c r="J198" i="2" s="1"/>
  <c r="AL198" i="2"/>
  <c r="I199" i="2"/>
  <c r="J199" i="2" s="1"/>
  <c r="AL199" i="2"/>
  <c r="I200" i="2"/>
  <c r="J200" i="2" s="1"/>
  <c r="AL200" i="2"/>
  <c r="I201" i="2"/>
  <c r="J201" i="2" s="1"/>
  <c r="AL201" i="2"/>
  <c r="I202" i="2"/>
  <c r="J202" i="2" s="1"/>
  <c r="AL202" i="2"/>
  <c r="I203" i="2"/>
  <c r="J203" i="2"/>
  <c r="AL203" i="2"/>
  <c r="I204" i="2"/>
  <c r="J204" i="2"/>
  <c r="AL204" i="2"/>
  <c r="I205" i="2"/>
  <c r="J205" i="2"/>
  <c r="AL205" i="2"/>
  <c r="I206" i="2"/>
  <c r="J206" i="2" s="1"/>
  <c r="AL206" i="2"/>
  <c r="I207" i="2"/>
  <c r="J207" i="2"/>
  <c r="AL207" i="2"/>
  <c r="I208" i="2"/>
  <c r="J208" i="2" s="1"/>
  <c r="AL208" i="2"/>
  <c r="I209" i="2"/>
  <c r="J209" i="2"/>
  <c r="AL209" i="2"/>
  <c r="I210" i="2"/>
  <c r="J210" i="2" s="1"/>
  <c r="AL210" i="2"/>
  <c r="I211" i="2"/>
  <c r="J211" i="2" s="1"/>
  <c r="AL211" i="2"/>
  <c r="I212" i="2"/>
  <c r="J212" i="2"/>
  <c r="AL212" i="2"/>
  <c r="I213" i="2"/>
  <c r="J213" i="2" s="1"/>
  <c r="AL213" i="2"/>
  <c r="I214" i="2"/>
  <c r="J214" i="2" s="1"/>
  <c r="AL214" i="2"/>
  <c r="I215" i="2"/>
  <c r="J215" i="2" s="1"/>
  <c r="AL215" i="2"/>
  <c r="I216" i="2"/>
  <c r="J216" i="2" s="1"/>
  <c r="AL216" i="2"/>
  <c r="I217" i="2"/>
  <c r="J217" i="2"/>
  <c r="AL217" i="2"/>
  <c r="I218" i="2"/>
  <c r="J218" i="2"/>
  <c r="AL218" i="2"/>
  <c r="I219" i="2"/>
  <c r="J219" i="2"/>
  <c r="AL219" i="2"/>
  <c r="I220" i="2"/>
  <c r="J220" i="2" s="1"/>
  <c r="AL220" i="2"/>
  <c r="I221" i="2"/>
  <c r="J221" i="2" s="1"/>
  <c r="AL221" i="2"/>
  <c r="I222" i="2"/>
  <c r="J222" i="2" s="1"/>
  <c r="AL222" i="2"/>
  <c r="I223" i="2"/>
  <c r="J223" i="2"/>
  <c r="AL223" i="2"/>
  <c r="I224" i="2"/>
  <c r="J224" i="2" s="1"/>
  <c r="AL224" i="2"/>
  <c r="I225" i="2"/>
  <c r="J225" i="2" s="1"/>
  <c r="AL225" i="2"/>
  <c r="I226" i="2"/>
  <c r="J226" i="2"/>
  <c r="AL226" i="2"/>
  <c r="I227" i="2"/>
  <c r="J227" i="2" s="1"/>
  <c r="AL227" i="2"/>
  <c r="I228" i="2"/>
  <c r="J228" i="2"/>
  <c r="AL228" i="2"/>
  <c r="I229" i="2"/>
  <c r="J229" i="2" s="1"/>
  <c r="AL229" i="2"/>
  <c r="I230" i="2"/>
  <c r="J230" i="2" s="1"/>
  <c r="AL230" i="2"/>
  <c r="I231" i="2"/>
  <c r="J231" i="2" s="1"/>
  <c r="AL231" i="2"/>
  <c r="I232" i="2"/>
  <c r="J232" i="2"/>
  <c r="AL232" i="2"/>
  <c r="I233" i="2"/>
  <c r="J233" i="2" s="1"/>
  <c r="AL233" i="2"/>
  <c r="I234" i="2"/>
  <c r="J234" i="2" s="1"/>
  <c r="AL234" i="2"/>
  <c r="I235" i="2"/>
  <c r="J235" i="2" s="1"/>
  <c r="AL235" i="2"/>
  <c r="I236" i="2"/>
  <c r="J236" i="2" s="1"/>
  <c r="AL236" i="2"/>
  <c r="I237" i="2"/>
  <c r="J237" i="2"/>
  <c r="AL237" i="2"/>
  <c r="I238" i="2"/>
  <c r="J238" i="2" s="1"/>
  <c r="AL238" i="2"/>
  <c r="I239" i="2"/>
  <c r="J239" i="2" s="1"/>
  <c r="AL239" i="2"/>
  <c r="I240" i="2"/>
  <c r="J240" i="2"/>
  <c r="AL240" i="2"/>
  <c r="I241" i="2"/>
  <c r="J241" i="2" s="1"/>
  <c r="AL241" i="2"/>
  <c r="I242" i="2"/>
  <c r="J242" i="2"/>
  <c r="AL242" i="2"/>
  <c r="I243" i="2"/>
  <c r="J243" i="2" s="1"/>
  <c r="AL243" i="2"/>
  <c r="I244" i="2"/>
  <c r="J244" i="2"/>
  <c r="AL244" i="2"/>
  <c r="I245" i="2"/>
  <c r="J245" i="2" s="1"/>
  <c r="AL245" i="2"/>
  <c r="I246" i="2"/>
  <c r="J246" i="2" s="1"/>
  <c r="AL246" i="2"/>
  <c r="I247" i="2"/>
  <c r="J247" i="2" s="1"/>
  <c r="AL247" i="2"/>
  <c r="I248" i="2"/>
  <c r="J248" i="2" s="1"/>
  <c r="AL248" i="2"/>
  <c r="I249" i="2"/>
  <c r="J249" i="2" s="1"/>
  <c r="AL249" i="2"/>
  <c r="I250" i="2"/>
  <c r="J250" i="2" s="1"/>
  <c r="AL250" i="2"/>
  <c r="I251" i="2"/>
  <c r="J251" i="2"/>
  <c r="AL251" i="2"/>
  <c r="I252" i="2"/>
  <c r="J252" i="2" s="1"/>
  <c r="AL252" i="2"/>
  <c r="I253" i="2"/>
  <c r="J253" i="2"/>
  <c r="AL253" i="2"/>
  <c r="I254" i="2"/>
  <c r="J254" i="2" s="1"/>
  <c r="AL254" i="2"/>
  <c r="I255" i="2"/>
  <c r="J255" i="2" s="1"/>
  <c r="AL255" i="2"/>
  <c r="I256" i="2"/>
  <c r="J256" i="2"/>
  <c r="AL256" i="2"/>
  <c r="I257" i="2"/>
  <c r="J257" i="2" s="1"/>
  <c r="AL257" i="2"/>
  <c r="I258" i="2"/>
  <c r="J258" i="2"/>
  <c r="AL258" i="2"/>
  <c r="I259" i="2"/>
  <c r="J259" i="2" s="1"/>
  <c r="AL259" i="2"/>
  <c r="I260" i="2"/>
  <c r="J260" i="2"/>
  <c r="AL260" i="2"/>
  <c r="I261" i="2"/>
  <c r="J261" i="2" s="1"/>
  <c r="AL261" i="2"/>
  <c r="I262" i="2"/>
  <c r="J262" i="2" s="1"/>
  <c r="AL262" i="2"/>
  <c r="I263" i="2"/>
  <c r="J263" i="2" s="1"/>
  <c r="AL263" i="2"/>
  <c r="I264" i="2"/>
  <c r="J264" i="2"/>
  <c r="AL264" i="2"/>
  <c r="I265" i="2"/>
  <c r="J265" i="2" s="1"/>
  <c r="AL265" i="2"/>
  <c r="I266" i="2"/>
  <c r="J266" i="2" s="1"/>
  <c r="AL266" i="2"/>
  <c r="I267" i="2"/>
  <c r="J267" i="2"/>
  <c r="AL267" i="2"/>
  <c r="I268" i="2"/>
  <c r="J268" i="2" s="1"/>
  <c r="AL268" i="2"/>
  <c r="I269" i="2"/>
  <c r="J269" i="2"/>
  <c r="AL269" i="2"/>
  <c r="I270" i="2"/>
  <c r="J270" i="2" s="1"/>
  <c r="AL270" i="2"/>
  <c r="I271" i="2"/>
  <c r="J271" i="2" s="1"/>
  <c r="AL271" i="2"/>
  <c r="I272" i="2"/>
  <c r="J272" i="2"/>
  <c r="AL272" i="2"/>
  <c r="I273" i="2"/>
  <c r="J273" i="2" s="1"/>
  <c r="AL273" i="2"/>
  <c r="I274" i="2"/>
  <c r="J274" i="2"/>
  <c r="AL274" i="2"/>
  <c r="I275" i="2"/>
  <c r="J275" i="2" s="1"/>
  <c r="AL275" i="2"/>
  <c r="I276" i="2"/>
  <c r="J276" i="2"/>
  <c r="AL276" i="2"/>
  <c r="I277" i="2"/>
  <c r="J277" i="2" s="1"/>
  <c r="AL277" i="2"/>
  <c r="I278" i="2"/>
  <c r="J278" i="2" s="1"/>
  <c r="AL278" i="2"/>
  <c r="I279" i="2"/>
  <c r="J279" i="2" s="1"/>
  <c r="AL279" i="2"/>
  <c r="I280" i="2"/>
  <c r="J280" i="2" s="1"/>
  <c r="AL280" i="2"/>
  <c r="I281" i="2"/>
  <c r="J281" i="2" s="1"/>
  <c r="AL281" i="2"/>
  <c r="I282" i="2"/>
  <c r="J282" i="2" s="1"/>
  <c r="AL282" i="2"/>
  <c r="I283" i="2"/>
  <c r="J283" i="2"/>
  <c r="AL283" i="2"/>
  <c r="I284" i="2"/>
  <c r="J284" i="2" s="1"/>
  <c r="AL284" i="2"/>
  <c r="I285" i="2"/>
  <c r="J285" i="2"/>
  <c r="AL285" i="2"/>
  <c r="I286" i="2"/>
  <c r="J286" i="2" s="1"/>
  <c r="AL286" i="2"/>
  <c r="I287" i="2"/>
  <c r="J287" i="2" s="1"/>
  <c r="AL287" i="2"/>
  <c r="I288" i="2"/>
  <c r="J288" i="2"/>
  <c r="AL288" i="2"/>
  <c r="I289" i="2"/>
  <c r="J289" i="2" s="1"/>
  <c r="AL289" i="2"/>
  <c r="I290" i="2"/>
  <c r="J290" i="2"/>
  <c r="AL290" i="2"/>
  <c r="I291" i="2"/>
  <c r="J291" i="2" s="1"/>
  <c r="AL291" i="2"/>
  <c r="I292" i="2"/>
  <c r="J292" i="2"/>
  <c r="AL292" i="2"/>
  <c r="I293" i="2"/>
  <c r="J293" i="2" s="1"/>
  <c r="AL293" i="2"/>
  <c r="I294" i="2"/>
  <c r="J294" i="2" s="1"/>
  <c r="AL294" i="2"/>
  <c r="I295" i="2"/>
  <c r="J295" i="2" s="1"/>
  <c r="AL295" i="2"/>
  <c r="I296" i="2"/>
  <c r="J296" i="2"/>
  <c r="AL296" i="2"/>
  <c r="I297" i="2"/>
  <c r="J297" i="2" s="1"/>
  <c r="AL297" i="2"/>
  <c r="I298" i="2"/>
  <c r="J298" i="2" s="1"/>
  <c r="AL298" i="2"/>
  <c r="I299" i="2"/>
  <c r="J299" i="2"/>
  <c r="AL299" i="2"/>
  <c r="I300" i="2"/>
  <c r="J300" i="2" s="1"/>
  <c r="AL300" i="2"/>
  <c r="I301" i="2"/>
  <c r="J301" i="2"/>
  <c r="AL301" i="2"/>
  <c r="I302" i="2"/>
  <c r="J302" i="2" s="1"/>
  <c r="AL302" i="2"/>
  <c r="I303" i="2"/>
  <c r="J303" i="2" s="1"/>
  <c r="AL303" i="2"/>
  <c r="I304" i="2"/>
  <c r="J304" i="2"/>
  <c r="AL304" i="2"/>
  <c r="I305" i="2"/>
  <c r="J305" i="2" s="1"/>
  <c r="AL305" i="2"/>
  <c r="I306" i="2"/>
  <c r="J306" i="2"/>
  <c r="AL306" i="2"/>
  <c r="I307" i="2"/>
  <c r="J307" i="2" s="1"/>
  <c r="AL307" i="2"/>
  <c r="I308" i="2"/>
  <c r="J308" i="2"/>
  <c r="AL308" i="2"/>
  <c r="I309" i="2"/>
  <c r="J309" i="2" s="1"/>
  <c r="AL309" i="2"/>
  <c r="I310" i="2"/>
  <c r="J310" i="2" s="1"/>
  <c r="AL310" i="2"/>
  <c r="I311" i="2"/>
  <c r="J311" i="2" s="1"/>
  <c r="AL311" i="2"/>
  <c r="I312" i="2"/>
  <c r="J312" i="2" s="1"/>
  <c r="AL312" i="2"/>
  <c r="I313" i="2"/>
  <c r="J313" i="2" s="1"/>
  <c r="AL313" i="2"/>
  <c r="I314" i="2"/>
  <c r="J314" i="2" s="1"/>
  <c r="AL314" i="2"/>
  <c r="I315" i="2"/>
  <c r="J315" i="2"/>
  <c r="AL315" i="2"/>
  <c r="I316" i="2"/>
  <c r="J316" i="2" s="1"/>
  <c r="AL316" i="2"/>
  <c r="I317" i="2"/>
  <c r="J317" i="2"/>
  <c r="AL317" i="2"/>
  <c r="I318" i="2"/>
  <c r="J318" i="2" s="1"/>
  <c r="AL318" i="2"/>
  <c r="I319" i="2"/>
  <c r="J319" i="2" s="1"/>
  <c r="AL319" i="2"/>
  <c r="I320" i="2"/>
  <c r="J320" i="2"/>
  <c r="AL320" i="2"/>
  <c r="I321" i="2"/>
  <c r="J321" i="2" s="1"/>
  <c r="AL321" i="2"/>
  <c r="I322" i="2"/>
  <c r="J322" i="2"/>
  <c r="AL322" i="2"/>
  <c r="I323" i="2"/>
  <c r="J323" i="2" s="1"/>
  <c r="AL323" i="2"/>
  <c r="I324" i="2"/>
  <c r="J324" i="2"/>
  <c r="AL324" i="2"/>
  <c r="I325" i="2"/>
  <c r="J325" i="2" s="1"/>
  <c r="AL325" i="2"/>
  <c r="I326" i="2"/>
  <c r="J326" i="2" s="1"/>
  <c r="AL326" i="2"/>
  <c r="I327" i="2"/>
  <c r="J327" i="2" s="1"/>
  <c r="AL327" i="2"/>
  <c r="I328" i="2"/>
  <c r="J328" i="2"/>
  <c r="AL328" i="2"/>
  <c r="I329" i="2"/>
  <c r="J329" i="2" s="1"/>
  <c r="AL329" i="2"/>
  <c r="I330" i="2"/>
  <c r="J330" i="2" s="1"/>
  <c r="AL330" i="2"/>
  <c r="I331" i="2"/>
  <c r="J331" i="2"/>
  <c r="AL331" i="2"/>
  <c r="I332" i="2"/>
  <c r="J332" i="2" s="1"/>
  <c r="AL332" i="2"/>
  <c r="I333" i="2"/>
  <c r="J333" i="2"/>
  <c r="AL333" i="2"/>
  <c r="I334" i="2"/>
  <c r="J334" i="2" s="1"/>
  <c r="AL334" i="2"/>
  <c r="I335" i="2"/>
  <c r="J335" i="2" s="1"/>
  <c r="AL335" i="2"/>
  <c r="I336" i="2"/>
  <c r="J336" i="2"/>
  <c r="AL336" i="2"/>
  <c r="I337" i="2"/>
  <c r="J337" i="2" s="1"/>
  <c r="AL337" i="2"/>
  <c r="I338" i="2"/>
  <c r="J338" i="2"/>
  <c r="AL338" i="2"/>
  <c r="I339" i="2"/>
  <c r="J339" i="2" s="1"/>
  <c r="AL339" i="2"/>
  <c r="I340" i="2"/>
  <c r="J340" i="2"/>
  <c r="AL340" i="2"/>
  <c r="I341" i="2"/>
  <c r="J341" i="2" s="1"/>
  <c r="AL341" i="2"/>
  <c r="I342" i="2"/>
  <c r="J342" i="2" s="1"/>
  <c r="AL342" i="2"/>
  <c r="I343" i="2"/>
  <c r="J343" i="2" s="1"/>
  <c r="AL343" i="2"/>
  <c r="I344" i="2"/>
  <c r="J344" i="2" s="1"/>
  <c r="AL344" i="2"/>
  <c r="I345" i="2"/>
  <c r="J345" i="2" s="1"/>
  <c r="AL345" i="2"/>
  <c r="I346" i="2"/>
  <c r="J346" i="2" s="1"/>
  <c r="AL346" i="2"/>
  <c r="I347" i="2"/>
  <c r="J347" i="2"/>
  <c r="AL347" i="2"/>
  <c r="I348" i="2"/>
  <c r="J348" i="2" s="1"/>
  <c r="AL348" i="2"/>
  <c r="I349" i="2"/>
  <c r="J349" i="2"/>
  <c r="AL349" i="2"/>
  <c r="I350" i="2"/>
  <c r="J350" i="2" s="1"/>
  <c r="AL350" i="2"/>
  <c r="I351" i="2"/>
  <c r="J351" i="2" s="1"/>
  <c r="AL351" i="2"/>
  <c r="I352" i="2"/>
  <c r="J352" i="2"/>
  <c r="AL352" i="2"/>
  <c r="I353" i="2"/>
  <c r="J353" i="2" s="1"/>
  <c r="AL353" i="2"/>
  <c r="I354" i="2"/>
  <c r="J354" i="2"/>
  <c r="AL354" i="2"/>
  <c r="I355" i="2"/>
  <c r="J355" i="2" s="1"/>
  <c r="AL355" i="2"/>
  <c r="I356" i="2"/>
  <c r="J356" i="2"/>
  <c r="AL356" i="2"/>
  <c r="I357" i="2"/>
  <c r="J357" i="2" s="1"/>
  <c r="AL357" i="2"/>
  <c r="I358" i="2"/>
  <c r="J358" i="2" s="1"/>
  <c r="AL358" i="2"/>
  <c r="I359" i="2"/>
  <c r="J359" i="2" s="1"/>
  <c r="AL359" i="2"/>
  <c r="I360" i="2"/>
  <c r="J360" i="2"/>
  <c r="AL360" i="2"/>
  <c r="I361" i="2"/>
  <c r="J361" i="2" s="1"/>
  <c r="AL361" i="2"/>
  <c r="I362" i="2"/>
  <c r="J362" i="2" s="1"/>
  <c r="AL362" i="2"/>
  <c r="I363" i="2"/>
  <c r="J363" i="2"/>
  <c r="AL363" i="2"/>
  <c r="I364" i="2"/>
  <c r="J364" i="2" s="1"/>
  <c r="AL364" i="2"/>
  <c r="I365" i="2"/>
  <c r="J365" i="2"/>
  <c r="AL365" i="2"/>
  <c r="I366" i="2"/>
  <c r="J366" i="2" s="1"/>
  <c r="AL366" i="2"/>
  <c r="I367" i="2"/>
  <c r="J367" i="2" s="1"/>
  <c r="AL367" i="2"/>
  <c r="I368" i="2"/>
  <c r="J368" i="2"/>
  <c r="AL368" i="2"/>
  <c r="I369" i="2"/>
  <c r="J369" i="2" s="1"/>
  <c r="AL369" i="2"/>
  <c r="I370" i="2"/>
  <c r="J370" i="2"/>
  <c r="AL370" i="2"/>
  <c r="I371" i="2"/>
  <c r="J371" i="2" s="1"/>
  <c r="AL371" i="2"/>
  <c r="I372" i="2"/>
  <c r="J372" i="2"/>
  <c r="AL372" i="2"/>
  <c r="I373" i="2"/>
  <c r="J373" i="2" s="1"/>
  <c r="AL373" i="2"/>
  <c r="I374" i="2"/>
  <c r="J374" i="2" s="1"/>
  <c r="AL374" i="2"/>
  <c r="I375" i="2"/>
  <c r="J375" i="2" s="1"/>
  <c r="AL375" i="2"/>
  <c r="I376" i="2"/>
  <c r="J376" i="2" s="1"/>
  <c r="AL376" i="2"/>
  <c r="I377" i="2"/>
  <c r="J377" i="2" s="1"/>
  <c r="AL377" i="2"/>
  <c r="I378" i="2"/>
  <c r="J378" i="2" s="1"/>
  <c r="AL378" i="2"/>
  <c r="I379" i="2"/>
  <c r="J379" i="2"/>
  <c r="AL379" i="2"/>
  <c r="I380" i="2"/>
  <c r="J380" i="2" s="1"/>
  <c r="AL380" i="2"/>
  <c r="I381" i="2"/>
  <c r="J381" i="2"/>
  <c r="AL381" i="2"/>
  <c r="I382" i="2"/>
  <c r="J382" i="2" s="1"/>
  <c r="AL382" i="2"/>
  <c r="I383" i="2"/>
  <c r="J383" i="2" s="1"/>
  <c r="AL383" i="2"/>
  <c r="I384" i="2"/>
  <c r="J384" i="2"/>
  <c r="AL384" i="2"/>
  <c r="I385" i="2"/>
  <c r="J385" i="2" s="1"/>
  <c r="AL385" i="2"/>
  <c r="I386" i="2"/>
  <c r="J386" i="2"/>
  <c r="AL386" i="2"/>
  <c r="I387" i="2"/>
  <c r="J387" i="2" s="1"/>
  <c r="AL387" i="2"/>
  <c r="I388" i="2"/>
  <c r="J388" i="2"/>
  <c r="AL388" i="2"/>
  <c r="I389" i="2"/>
  <c r="J389" i="2" s="1"/>
  <c r="AL389" i="2"/>
  <c r="I390" i="2"/>
  <c r="J390" i="2" s="1"/>
  <c r="AL390" i="2"/>
  <c r="I391" i="2"/>
  <c r="J391" i="2" s="1"/>
  <c r="AL391" i="2"/>
  <c r="I392" i="2"/>
  <c r="J392" i="2"/>
  <c r="AL392" i="2"/>
  <c r="I393" i="2"/>
  <c r="J393" i="2" s="1"/>
  <c r="AL393" i="2"/>
  <c r="I394" i="2"/>
  <c r="J394" i="2" s="1"/>
  <c r="AL394" i="2"/>
  <c r="I395" i="2"/>
  <c r="J395" i="2"/>
  <c r="AL395" i="2"/>
  <c r="I396" i="2"/>
  <c r="J396" i="2" s="1"/>
  <c r="AL396" i="2"/>
  <c r="I397" i="2"/>
  <c r="J397" i="2"/>
  <c r="AL397" i="2"/>
  <c r="I398" i="2"/>
  <c r="J398" i="2" s="1"/>
  <c r="AL398" i="2"/>
  <c r="I399" i="2"/>
  <c r="J399" i="2" s="1"/>
  <c r="AL399" i="2"/>
  <c r="I400" i="2"/>
  <c r="J400" i="2"/>
  <c r="AL400" i="2"/>
  <c r="I401" i="2"/>
  <c r="J401" i="2" s="1"/>
  <c r="AL401" i="2"/>
  <c r="I402" i="2"/>
  <c r="J402" i="2"/>
  <c r="AL402" i="2"/>
  <c r="I403" i="2"/>
  <c r="J403" i="2" s="1"/>
  <c r="AL403" i="2"/>
  <c r="I404" i="2"/>
  <c r="J404" i="2"/>
  <c r="AL404" i="2"/>
  <c r="I405" i="2"/>
  <c r="J405" i="2" s="1"/>
  <c r="AL405" i="2"/>
  <c r="I406" i="2"/>
  <c r="J406" i="2" s="1"/>
  <c r="AL406" i="2"/>
  <c r="I407" i="2"/>
  <c r="J407" i="2" s="1"/>
  <c r="AL407" i="2"/>
  <c r="I408" i="2"/>
  <c r="J408" i="2"/>
  <c r="AL408" i="2"/>
  <c r="I409" i="2"/>
  <c r="J409" i="2" s="1"/>
  <c r="AL409" i="2"/>
  <c r="I410" i="2"/>
  <c r="J410" i="2" s="1"/>
  <c r="AL410" i="2"/>
  <c r="I411" i="2"/>
  <c r="J411" i="2"/>
  <c r="AL411" i="2"/>
  <c r="I412" i="2"/>
  <c r="J412" i="2" s="1"/>
  <c r="AL412" i="2"/>
  <c r="I413" i="2"/>
  <c r="J413" i="2"/>
  <c r="AL413" i="2"/>
  <c r="I414" i="2"/>
  <c r="J414" i="2" s="1"/>
  <c r="AL414" i="2"/>
  <c r="I415" i="2"/>
  <c r="J415" i="2" s="1"/>
  <c r="AL415" i="2"/>
  <c r="I416" i="2"/>
  <c r="J416" i="2"/>
  <c r="AL416" i="2"/>
  <c r="I417" i="2"/>
  <c r="J417" i="2" s="1"/>
  <c r="AL417" i="2"/>
  <c r="I418" i="2"/>
  <c r="J418" i="2"/>
  <c r="AL418" i="2"/>
  <c r="I419" i="2"/>
  <c r="J419" i="2" s="1"/>
  <c r="AL419" i="2"/>
  <c r="I420" i="2"/>
  <c r="J420" i="2"/>
  <c r="AL420" i="2"/>
  <c r="I421" i="2"/>
  <c r="J421" i="2" s="1"/>
  <c r="AL421" i="2"/>
  <c r="I422" i="2"/>
  <c r="J422" i="2" s="1"/>
  <c r="AL422" i="2"/>
  <c r="I423" i="2"/>
  <c r="J423" i="2" s="1"/>
  <c r="AL423" i="2"/>
  <c r="I424" i="2"/>
  <c r="J424" i="2"/>
  <c r="AL424" i="2"/>
  <c r="I425" i="2"/>
  <c r="J425" i="2" s="1"/>
  <c r="AL425" i="2"/>
  <c r="I426" i="2"/>
  <c r="J426" i="2" s="1"/>
  <c r="AL426" i="2"/>
  <c r="I427" i="2"/>
  <c r="J427" i="2"/>
  <c r="AL427" i="2"/>
  <c r="I428" i="2"/>
  <c r="J428" i="2" s="1"/>
  <c r="AL428" i="2"/>
  <c r="I429" i="2"/>
  <c r="J429" i="2"/>
  <c r="AL429" i="2"/>
  <c r="I430" i="2"/>
  <c r="J430" i="2" s="1"/>
  <c r="AL430" i="2"/>
  <c r="I431" i="2"/>
  <c r="J431" i="2" s="1"/>
  <c r="AL431" i="2"/>
  <c r="I432" i="2"/>
  <c r="J432" i="2"/>
  <c r="AL432" i="2"/>
  <c r="I433" i="2"/>
  <c r="J433" i="2" s="1"/>
  <c r="AL433" i="2"/>
  <c r="I434" i="2"/>
  <c r="J434" i="2"/>
  <c r="AL434" i="2"/>
  <c r="I435" i="2"/>
  <c r="J435" i="2" s="1"/>
  <c r="AL435" i="2"/>
  <c r="I436" i="2"/>
  <c r="J436" i="2"/>
  <c r="AL436" i="2"/>
  <c r="I437" i="2"/>
  <c r="J437" i="2" s="1"/>
  <c r="AL437" i="2"/>
  <c r="I438" i="2"/>
  <c r="J438" i="2" s="1"/>
  <c r="AL438" i="2"/>
  <c r="I439" i="2"/>
  <c r="J439" i="2" s="1"/>
  <c r="AL439" i="2"/>
  <c r="I440" i="2"/>
  <c r="J440" i="2"/>
  <c r="AL440" i="2"/>
  <c r="I441" i="2"/>
  <c r="J441" i="2" s="1"/>
  <c r="AL441" i="2"/>
  <c r="I442" i="2"/>
  <c r="J442" i="2" s="1"/>
  <c r="AL442" i="2"/>
  <c r="I443" i="2"/>
  <c r="J443" i="2"/>
  <c r="AL443" i="2"/>
  <c r="I444" i="2"/>
  <c r="J444" i="2" s="1"/>
  <c r="AL444" i="2"/>
  <c r="I445" i="2"/>
  <c r="J445" i="2"/>
  <c r="AL445" i="2"/>
  <c r="I446" i="2"/>
  <c r="J446" i="2" s="1"/>
  <c r="AL446" i="2"/>
  <c r="I447" i="2"/>
  <c r="J447" i="2" s="1"/>
  <c r="AL447" i="2"/>
  <c r="I448" i="2"/>
  <c r="J448" i="2"/>
  <c r="AL448" i="2"/>
  <c r="I449" i="2"/>
  <c r="J449" i="2" s="1"/>
  <c r="AL449" i="2"/>
  <c r="I450" i="2"/>
  <c r="J450" i="2"/>
  <c r="AL450" i="2"/>
  <c r="I451" i="2"/>
  <c r="J451" i="2" s="1"/>
  <c r="AL451" i="2"/>
  <c r="I452" i="2"/>
  <c r="J452" i="2"/>
  <c r="AL452" i="2"/>
  <c r="I453" i="2"/>
  <c r="J453" i="2" s="1"/>
  <c r="AL453" i="2"/>
  <c r="I454" i="2"/>
  <c r="J454" i="2" s="1"/>
  <c r="AL454" i="2"/>
  <c r="I455" i="2"/>
  <c r="J455" i="2" s="1"/>
  <c r="AL455" i="2"/>
  <c r="I456" i="2"/>
  <c r="J456" i="2" s="1"/>
  <c r="AL456" i="2"/>
  <c r="I457" i="2"/>
  <c r="J457" i="2" s="1"/>
  <c r="AL457" i="2"/>
  <c r="I458" i="2"/>
  <c r="J458" i="2" s="1"/>
  <c r="AL458" i="2"/>
  <c r="I459" i="2"/>
  <c r="J459" i="2"/>
  <c r="AL459" i="2"/>
  <c r="I460" i="2"/>
  <c r="J460" i="2"/>
  <c r="AL460" i="2"/>
  <c r="I461" i="2"/>
  <c r="J461" i="2"/>
  <c r="AL461" i="2"/>
  <c r="I462" i="2"/>
  <c r="J462" i="2" s="1"/>
  <c r="AL462" i="2"/>
  <c r="I463" i="2"/>
  <c r="J463" i="2" s="1"/>
  <c r="AL463" i="2"/>
  <c r="I464" i="2"/>
  <c r="J464" i="2"/>
  <c r="AL464" i="2"/>
  <c r="I465" i="2"/>
  <c r="J465" i="2" s="1"/>
  <c r="AL465" i="2"/>
  <c r="I466" i="2"/>
  <c r="J466" i="2"/>
  <c r="AL466" i="2"/>
  <c r="I467" i="2"/>
  <c r="J467" i="2" s="1"/>
  <c r="AL467" i="2"/>
  <c r="I468" i="2"/>
  <c r="J468" i="2"/>
  <c r="AL468" i="2"/>
  <c r="I469" i="2"/>
  <c r="J469" i="2"/>
  <c r="AL469" i="2"/>
  <c r="I470" i="2"/>
  <c r="J470" i="2" s="1"/>
  <c r="AL470" i="2"/>
  <c r="I471" i="2"/>
  <c r="J471" i="2" s="1"/>
  <c r="AL471" i="2"/>
  <c r="I472" i="2"/>
  <c r="J472" i="2"/>
  <c r="AL472" i="2"/>
  <c r="I473" i="2"/>
  <c r="J473" i="2" s="1"/>
  <c r="AL473" i="2"/>
  <c r="I474" i="2"/>
  <c r="J474" i="2"/>
  <c r="AL474" i="2"/>
  <c r="I475" i="2"/>
  <c r="J475" i="2"/>
  <c r="AL475" i="2"/>
  <c r="I476" i="2"/>
  <c r="J476" i="2" s="1"/>
  <c r="AL476" i="2"/>
  <c r="I477" i="2"/>
  <c r="J477" i="2"/>
  <c r="AL477" i="2"/>
  <c r="I478" i="2"/>
  <c r="J478" i="2" s="1"/>
  <c r="AL478" i="2"/>
  <c r="I479" i="2"/>
  <c r="J479" i="2" s="1"/>
  <c r="AL479" i="2"/>
  <c r="I480" i="2"/>
  <c r="J480" i="2"/>
  <c r="AL480" i="2"/>
  <c r="I481" i="2"/>
  <c r="J481" i="2" s="1"/>
  <c r="AL481" i="2"/>
  <c r="I482" i="2"/>
  <c r="J482" i="2"/>
  <c r="AL482" i="2"/>
  <c r="I483" i="2"/>
  <c r="J483" i="2"/>
  <c r="AL483" i="2"/>
  <c r="I484" i="2"/>
  <c r="J484" i="2"/>
  <c r="AL484" i="2"/>
  <c r="I485" i="2"/>
  <c r="J485" i="2" s="1"/>
  <c r="AL485" i="2"/>
  <c r="I486" i="2"/>
  <c r="J486" i="2" s="1"/>
  <c r="AL486" i="2"/>
  <c r="I487" i="2"/>
  <c r="J487" i="2" s="1"/>
  <c r="AL487" i="2"/>
  <c r="I488" i="2"/>
  <c r="J488" i="2"/>
  <c r="AL488" i="2"/>
  <c r="I489" i="2"/>
  <c r="J489" i="2" s="1"/>
  <c r="AL489" i="2"/>
  <c r="I490" i="2"/>
  <c r="J490" i="2" s="1"/>
  <c r="AL490" i="2"/>
  <c r="I491" i="2"/>
  <c r="J491" i="2"/>
  <c r="AL491" i="2"/>
  <c r="I492" i="2"/>
  <c r="J492" i="2"/>
  <c r="AL492" i="2"/>
  <c r="I493" i="2"/>
  <c r="J493" i="2"/>
  <c r="AL493" i="2"/>
  <c r="I494" i="2"/>
  <c r="J494" i="2" s="1"/>
  <c r="AL494" i="2"/>
  <c r="I495" i="2"/>
  <c r="J495" i="2" s="1"/>
  <c r="AL495" i="2"/>
  <c r="I496" i="2"/>
  <c r="J496" i="2"/>
  <c r="AL496" i="2"/>
  <c r="I497" i="2"/>
  <c r="J497" i="2" s="1"/>
  <c r="AL497" i="2"/>
  <c r="I498" i="2"/>
  <c r="J498" i="2"/>
  <c r="AL498" i="2"/>
  <c r="I499" i="2"/>
  <c r="J499" i="2" s="1"/>
  <c r="AL499" i="2"/>
  <c r="I500" i="2"/>
  <c r="J500" i="2"/>
  <c r="AL500" i="2"/>
  <c r="J9" i="2" l="1"/>
  <c r="I16" i="4"/>
  <c r="I10" i="4"/>
  <c r="I15" i="4"/>
  <c r="I9" i="4"/>
  <c r="I14" i="4"/>
  <c r="I8" i="4"/>
  <c r="I13" i="4"/>
  <c r="I18" i="4"/>
  <c r="I12" i="4"/>
  <c r="I17" i="8"/>
  <c r="I16" i="10"/>
  <c r="I10" i="10"/>
  <c r="I9" i="10"/>
  <c r="I15" i="10"/>
  <c r="I16" i="9"/>
  <c r="I10" i="9"/>
  <c r="I14" i="8"/>
  <c r="I13" i="8"/>
  <c r="I12" i="8"/>
  <c r="I11" i="8"/>
  <c r="I10" i="8"/>
  <c r="I8" i="8"/>
  <c r="J13" i="2"/>
  <c r="J17" i="2"/>
  <c r="J18" i="2"/>
  <c r="J12" i="2"/>
  <c r="J11" i="2"/>
  <c r="J16" i="2"/>
  <c r="J15" i="2"/>
</calcChain>
</file>

<file path=xl/sharedStrings.xml><?xml version="1.0" encoding="utf-8"?>
<sst xmlns="http://schemas.openxmlformats.org/spreadsheetml/2006/main" count="915" uniqueCount="228">
  <si>
    <t>Marie Clay Observation Survey Tasks
Scoring Templates</t>
  </si>
  <si>
    <r>
      <t xml:space="preserve">This series of spreadsheets provide the templates required to enter  Marie Clay Observation Survey Task results into the
</t>
    </r>
    <r>
      <rPr>
        <b/>
        <sz val="10"/>
        <color theme="9" tint="-0.249977111117893"/>
        <rFont val="Arial"/>
        <family val="2"/>
      </rPr>
      <t>Student Performance Analyser (SPA)</t>
    </r>
    <r>
      <rPr>
        <sz val="10"/>
        <color theme="1"/>
        <rFont val="Arial"/>
        <family val="2"/>
      </rPr>
      <t>.
Click on the appropriate button
(at right) to select the correct task proforma to complete.
Follow the instructions opposite.</t>
    </r>
  </si>
  <si>
    <t>Age at test</t>
  </si>
  <si>
    <t xml:space="preserve"> (Total)</t>
  </si>
  <si>
    <t>Y</t>
  </si>
  <si>
    <t>Stanine Score</t>
  </si>
  <si>
    <t>Total
Score</t>
  </si>
  <si>
    <r>
      <t xml:space="preserve">Book Read
</t>
    </r>
    <r>
      <rPr>
        <b/>
        <sz val="10"/>
        <rFont val="Arial"/>
        <family val="2"/>
      </rPr>
      <t>(Sand,Stone,
Shoes,Moon)</t>
    </r>
  </si>
  <si>
    <t>Student
ID</t>
  </si>
  <si>
    <t>First_Name</t>
  </si>
  <si>
    <t>Surname</t>
  </si>
  <si>
    <t>HG</t>
  </si>
  <si>
    <t>Yr_Lev</t>
  </si>
  <si>
    <t>DOB</t>
  </si>
  <si>
    <t>Date
(dd/mm/yy)</t>
  </si>
  <si>
    <t>required</t>
  </si>
  <si>
    <r>
      <rPr>
        <b/>
        <sz val="12"/>
        <color theme="1"/>
        <rFont val="Calibri"/>
        <family val="2"/>
        <scheme val="minor"/>
      </rPr>
      <t>Capital letter</t>
    </r>
    <r>
      <rPr>
        <sz val="12"/>
        <color theme="1"/>
        <rFont val="Calibri"/>
        <family val="2"/>
        <scheme val="minor"/>
      </rPr>
      <t xml:space="preserve">
capital letter concepts</t>
    </r>
  </si>
  <si>
    <r>
      <rPr>
        <b/>
        <sz val="12"/>
        <color theme="1"/>
        <rFont val="Calibri"/>
        <family val="2"/>
        <scheme val="minor"/>
      </rPr>
      <t>First and last letter of word</t>
    </r>
    <r>
      <rPr>
        <sz val="12"/>
        <color theme="1"/>
        <rFont val="Calibri"/>
        <family val="2"/>
        <scheme val="minor"/>
      </rPr>
      <t xml:space="preserve">
First and last letter concepts</t>
    </r>
  </si>
  <si>
    <r>
      <rPr>
        <b/>
        <sz val="12"/>
        <color theme="1"/>
        <rFont val="Calibri"/>
        <family val="2"/>
        <scheme val="minor"/>
      </rPr>
      <t>One word: two words</t>
    </r>
    <r>
      <rPr>
        <sz val="12"/>
        <color theme="1"/>
        <rFont val="Calibri"/>
        <family val="2"/>
        <scheme val="minor"/>
      </rPr>
      <t xml:space="preserve">
Word Concept</t>
    </r>
  </si>
  <si>
    <r>
      <rPr>
        <b/>
        <sz val="12"/>
        <color theme="1"/>
        <rFont val="Calibri"/>
        <family val="2"/>
        <scheme val="minor"/>
      </rPr>
      <t>One letter: two letters</t>
    </r>
    <r>
      <rPr>
        <sz val="12"/>
        <color theme="1"/>
        <rFont val="Calibri"/>
        <family val="2"/>
        <scheme val="minor"/>
      </rPr>
      <t xml:space="preserve">
Letter concepts</t>
    </r>
  </si>
  <si>
    <r>
      <rPr>
        <b/>
        <sz val="12"/>
        <color theme="1"/>
        <rFont val="Calibri"/>
        <family val="2"/>
        <scheme val="minor"/>
      </rPr>
      <t>Reversible words ‘was’, ‘no’</t>
    </r>
    <r>
      <rPr>
        <sz val="12"/>
        <color theme="1"/>
        <rFont val="Calibri"/>
        <family val="2"/>
        <scheme val="minor"/>
      </rPr>
      <t xml:space="preserve">
Words that contain the same letters in a different order</t>
    </r>
  </si>
  <si>
    <r>
      <rPr>
        <b/>
        <sz val="12"/>
        <color theme="1"/>
        <rFont val="Calibri"/>
        <family val="2"/>
        <scheme val="minor"/>
      </rPr>
      <t>Locate: m h (Sand); t b (Stones);</t>
    </r>
    <r>
      <rPr>
        <sz val="12"/>
        <color theme="1"/>
        <rFont val="Calibri"/>
        <family val="2"/>
        <scheme val="minor"/>
      </rPr>
      <t xml:space="preserve">
Capital and lower case letters</t>
    </r>
  </si>
  <si>
    <r>
      <rPr>
        <b/>
        <sz val="12"/>
        <color theme="1"/>
        <rFont val="Calibri"/>
        <family val="2"/>
        <scheme val="minor"/>
      </rPr>
      <t>Meaning of quotation marks</t>
    </r>
    <r>
      <rPr>
        <sz val="12"/>
        <color theme="1"/>
        <rFont val="Calibri"/>
        <family val="2"/>
        <scheme val="minor"/>
      </rPr>
      <t xml:space="preserve">
Punctuation</t>
    </r>
  </si>
  <si>
    <r>
      <rPr>
        <b/>
        <sz val="12"/>
        <color theme="1"/>
        <rFont val="Calibri"/>
        <family val="2"/>
        <scheme val="minor"/>
      </rPr>
      <t>Meaning of comma</t>
    </r>
    <r>
      <rPr>
        <sz val="12"/>
        <color theme="1"/>
        <rFont val="Calibri"/>
        <family val="2"/>
        <scheme val="minor"/>
      </rPr>
      <t xml:space="preserve">
Punctuation</t>
    </r>
  </si>
  <si>
    <r>
      <rPr>
        <b/>
        <sz val="12"/>
        <color theme="1"/>
        <rFont val="Calibri"/>
        <family val="2"/>
        <scheme val="minor"/>
      </rPr>
      <t>Meaning of full stop (period)</t>
    </r>
    <r>
      <rPr>
        <sz val="12"/>
        <color theme="1"/>
        <rFont val="Calibri"/>
        <family val="2"/>
        <scheme val="minor"/>
      </rPr>
      <t xml:space="preserve">
Punctuation</t>
    </r>
  </si>
  <si>
    <r>
      <rPr>
        <b/>
        <sz val="12"/>
        <color theme="1"/>
        <rFont val="Calibri"/>
        <family val="2"/>
        <scheme val="minor"/>
      </rPr>
      <t>Meaning of a question mark</t>
    </r>
    <r>
      <rPr>
        <sz val="12"/>
        <color theme="1"/>
        <rFont val="Calibri"/>
        <family val="2"/>
        <scheme val="minor"/>
      </rPr>
      <t xml:space="preserve">
Punctuation</t>
    </r>
  </si>
  <si>
    <r>
      <rPr>
        <b/>
        <sz val="12"/>
        <color theme="1"/>
        <rFont val="Calibri"/>
        <family val="2"/>
        <scheme val="minor"/>
      </rPr>
      <t>One change in letter order</t>
    </r>
    <r>
      <rPr>
        <sz val="12"/>
        <color theme="1"/>
        <rFont val="Calibri"/>
        <family val="2"/>
        <scheme val="minor"/>
      </rPr>
      <t xml:space="preserve">
Re-ordering letters within a word</t>
    </r>
  </si>
  <si>
    <r>
      <rPr>
        <b/>
        <sz val="12"/>
        <color theme="1"/>
        <rFont val="Calibri"/>
        <family val="2"/>
        <scheme val="minor"/>
      </rPr>
      <t>One change in letter order</t>
    </r>
    <r>
      <rPr>
        <sz val="12"/>
        <color theme="1"/>
        <rFont val="Calibri"/>
        <family val="2"/>
        <scheme val="minor"/>
      </rPr>
      <t xml:space="preserve">
Letter order (changes to first or last letters)</t>
    </r>
  </si>
  <si>
    <r>
      <rPr>
        <b/>
        <sz val="12"/>
        <color theme="1"/>
        <rFont val="Calibri"/>
        <family val="2"/>
        <scheme val="minor"/>
      </rPr>
      <t>One change in word order</t>
    </r>
    <r>
      <rPr>
        <sz val="12"/>
        <color theme="1"/>
        <rFont val="Calibri"/>
        <family val="2"/>
        <scheme val="minor"/>
      </rPr>
      <t xml:space="preserve">
Sequence</t>
    </r>
  </si>
  <si>
    <r>
      <rPr>
        <b/>
        <sz val="12"/>
        <color theme="1"/>
        <rFont val="Calibri"/>
        <family val="2"/>
        <scheme val="minor"/>
      </rPr>
      <t>Left page before right</t>
    </r>
    <r>
      <rPr>
        <sz val="12"/>
        <color theme="1"/>
        <rFont val="Calibri"/>
        <family val="2"/>
        <scheme val="minor"/>
      </rPr>
      <t xml:space="preserve">
A left page is read before a right page.</t>
    </r>
  </si>
  <si>
    <r>
      <rPr>
        <b/>
        <sz val="12"/>
        <color theme="1"/>
        <rFont val="Calibri"/>
        <family val="2"/>
        <scheme val="minor"/>
      </rPr>
      <t>Line order altered</t>
    </r>
    <r>
      <rPr>
        <sz val="12"/>
        <color theme="1"/>
        <rFont val="Calibri"/>
        <family val="2"/>
        <scheme val="minor"/>
      </rPr>
      <t xml:space="preserve">
Line sequence</t>
    </r>
  </si>
  <si>
    <r>
      <rPr>
        <b/>
        <sz val="12"/>
        <color theme="1"/>
        <rFont val="Calibri"/>
        <family val="2"/>
        <scheme val="minor"/>
      </rPr>
      <t>Begins ‘The’ (Sand)</t>
    </r>
    <r>
      <rPr>
        <sz val="12"/>
        <color theme="1"/>
        <rFont val="Calibri"/>
        <family val="2"/>
        <scheme val="minor"/>
      </rPr>
      <t xml:space="preserve">
Response to inverted print</t>
    </r>
  </si>
  <si>
    <r>
      <rPr>
        <b/>
        <sz val="12"/>
        <color theme="1"/>
        <rFont val="Calibri"/>
        <family val="2"/>
        <scheme val="minor"/>
      </rPr>
      <t>Bottom of picture</t>
    </r>
    <r>
      <rPr>
        <sz val="12"/>
        <color theme="1"/>
        <rFont val="Calibri"/>
        <family val="2"/>
        <scheme val="minor"/>
      </rPr>
      <t xml:space="preserve">
Inversion of picture</t>
    </r>
  </si>
  <si>
    <r>
      <rPr>
        <b/>
        <sz val="12"/>
        <color theme="1"/>
        <rFont val="Calibri"/>
        <family val="2"/>
        <scheme val="minor"/>
      </rPr>
      <t>First and last concept</t>
    </r>
    <r>
      <rPr>
        <sz val="12"/>
        <color theme="1"/>
        <rFont val="Calibri"/>
        <family val="2"/>
        <scheme val="minor"/>
      </rPr>
      <t xml:space="preserve">
Concept of first and last</t>
    </r>
  </si>
  <si>
    <r>
      <rPr>
        <b/>
        <sz val="12"/>
        <color theme="1"/>
        <rFont val="Calibri"/>
        <family val="2"/>
        <scheme val="minor"/>
      </rPr>
      <t>Word-by-mouth matching</t>
    </r>
    <r>
      <rPr>
        <sz val="12"/>
        <color theme="1"/>
        <rFont val="Calibri"/>
        <family val="2"/>
        <scheme val="minor"/>
      </rPr>
      <t xml:space="preserve">
Word-by-word pointing</t>
    </r>
  </si>
  <si>
    <r>
      <rPr>
        <b/>
        <sz val="12"/>
        <color theme="1"/>
        <rFont val="Calibri"/>
        <family val="2"/>
        <scheme val="minor"/>
      </rPr>
      <t>Return sweep to left</t>
    </r>
    <r>
      <rPr>
        <sz val="12"/>
        <color theme="1"/>
        <rFont val="Calibri"/>
        <family val="2"/>
        <scheme val="minor"/>
      </rPr>
      <t xml:space="preserve">
Return sweep</t>
    </r>
  </si>
  <si>
    <r>
      <rPr>
        <b/>
        <sz val="12"/>
        <color theme="1"/>
        <rFont val="Calibri"/>
        <family val="2"/>
        <scheme val="minor"/>
      </rPr>
      <t>Which way to go</t>
    </r>
    <r>
      <rPr>
        <sz val="12"/>
        <color theme="1"/>
        <rFont val="Calibri"/>
        <family val="2"/>
        <scheme val="minor"/>
      </rPr>
      <t xml:space="preserve">
Moves left to right on any line</t>
    </r>
  </si>
  <si>
    <r>
      <rPr>
        <b/>
        <sz val="12"/>
        <color theme="1"/>
        <rFont val="Calibri"/>
        <family val="2"/>
        <scheme val="minor"/>
      </rPr>
      <t>Where to start</t>
    </r>
    <r>
      <rPr>
        <sz val="12"/>
        <color theme="1"/>
        <rFont val="Calibri"/>
        <family val="2"/>
        <scheme val="minor"/>
      </rPr>
      <t xml:space="preserve">
Directional rules</t>
    </r>
  </si>
  <si>
    <r>
      <rPr>
        <b/>
        <sz val="12"/>
        <color theme="1"/>
        <rFont val="Calibri"/>
        <family val="2"/>
        <scheme val="minor"/>
      </rPr>
      <t>Print contains message</t>
    </r>
    <r>
      <rPr>
        <sz val="12"/>
        <color theme="1"/>
        <rFont val="Calibri"/>
        <family val="2"/>
        <scheme val="minor"/>
      </rPr>
      <t xml:space="preserve">
Concept that print, not pictures, carries the message</t>
    </r>
  </si>
  <si>
    <r>
      <rPr>
        <b/>
        <sz val="12"/>
        <color theme="1"/>
        <rFont val="Calibri"/>
        <family val="2"/>
        <scheme val="minor"/>
      </rPr>
      <t>Front of book</t>
    </r>
    <r>
      <rPr>
        <sz val="12"/>
        <color theme="1"/>
        <rFont val="Calibri"/>
        <family val="2"/>
        <scheme val="minor"/>
      </rPr>
      <t xml:space="preserve">
Orientation of book</t>
    </r>
  </si>
  <si>
    <t>Concepts Of Print</t>
  </si>
  <si>
    <t>8-9</t>
  </si>
  <si>
    <t>Stanine Group</t>
  </si>
  <si>
    <t>Test Score</t>
  </si>
  <si>
    <t>Concepts of Print 6.51-7 years
&gt;=79 months</t>
  </si>
  <si>
    <t>Concepts of Print 6.01-6.5 years
73-78 months</t>
  </si>
  <si>
    <t>Concepts of Print 5.51-6.00 years
67-72 months</t>
  </si>
  <si>
    <t>Concepts of Print 5.00-5.5 years
&lt;=66 months</t>
  </si>
  <si>
    <t>Concepts of Print</t>
  </si>
  <si>
    <t>g</t>
  </si>
  <si>
    <t>t</t>
  </si>
  <si>
    <t>v</t>
  </si>
  <si>
    <t>r</t>
  </si>
  <si>
    <t>e</t>
  </si>
  <si>
    <t>i</t>
  </si>
  <si>
    <t>x</t>
  </si>
  <si>
    <t>s</t>
  </si>
  <si>
    <t>n</t>
  </si>
  <si>
    <t>d</t>
  </si>
  <si>
    <t>m</t>
  </si>
  <si>
    <t>q</t>
  </si>
  <si>
    <t>l</t>
  </si>
  <si>
    <t>y</t>
  </si>
  <si>
    <t>c</t>
  </si>
  <si>
    <t>a</t>
  </si>
  <si>
    <t>u</t>
  </si>
  <si>
    <t>j</t>
  </si>
  <si>
    <t>o</t>
  </si>
  <si>
    <t>h</t>
  </si>
  <si>
    <t>b</t>
  </si>
  <si>
    <t>z</t>
  </si>
  <si>
    <t>w</t>
  </si>
  <si>
    <t>p</t>
  </si>
  <si>
    <t>k</t>
  </si>
  <si>
    <t>f</t>
  </si>
  <si>
    <t>T</t>
  </si>
  <si>
    <t>V</t>
  </si>
  <si>
    <t>R</t>
  </si>
  <si>
    <t>G</t>
  </si>
  <si>
    <t>E</t>
  </si>
  <si>
    <t>I</t>
  </si>
  <si>
    <t>X</t>
  </si>
  <si>
    <t>S</t>
  </si>
  <si>
    <t>N</t>
  </si>
  <si>
    <t>D</t>
  </si>
  <si>
    <t>M</t>
  </si>
  <si>
    <t>Q</t>
  </si>
  <si>
    <t>L</t>
  </si>
  <si>
    <t>C</t>
  </si>
  <si>
    <t>U</t>
  </si>
  <si>
    <t>J</t>
  </si>
  <si>
    <t>O</t>
  </si>
  <si>
    <t>H</t>
  </si>
  <si>
    <t>B</t>
  </si>
  <si>
    <t>Z</t>
  </si>
  <si>
    <t>W</t>
  </si>
  <si>
    <t>P</t>
  </si>
  <si>
    <t>K</t>
  </si>
  <si>
    <t>F</t>
  </si>
  <si>
    <t>A</t>
  </si>
  <si>
    <t>Letter asked</t>
  </si>
  <si>
    <t>AND Instructions:</t>
  </si>
  <si>
    <t>Question Number</t>
  </si>
  <si>
    <t>Letter ID</t>
  </si>
  <si>
    <t>7-9</t>
  </si>
  <si>
    <t>6-9</t>
  </si>
  <si>
    <t>4-5</t>
  </si>
  <si>
    <t>Letter ID 6.51-7 years
&gt;=79 months</t>
  </si>
  <si>
    <t>Letter ID 6.01-6.5 years
73-78 months</t>
  </si>
  <si>
    <t>Letter ID 5.51-6.00 years
67-72 months</t>
  </si>
  <si>
    <t>Letter ID 5.00-5.5 years
&lt;=66 months</t>
  </si>
  <si>
    <t>Age at Test in Months</t>
  </si>
  <si>
    <t>Form
(A,B,C,D,E)</t>
  </si>
  <si>
    <t>Test_Date
(dd/mm/yy)</t>
  </si>
  <si>
    <t>Hearing &amp; Recording Sounds</t>
  </si>
  <si>
    <t>8</t>
  </si>
  <si>
    <t>7</t>
  </si>
  <si>
    <t>5</t>
  </si>
  <si>
    <t>4</t>
  </si>
  <si>
    <t>Hearing &amp; Recording Sounds6.51-7 years
&gt;=79 months</t>
  </si>
  <si>
    <t>Hearing &amp; Recording Sounds 6.01-6.5 years
73-78 months</t>
  </si>
  <si>
    <t>Hearing &amp; Recording Sounds 5.51-6.00 years
67-72 months</t>
  </si>
  <si>
    <t>Hearing &amp; Recording Sounds 5.00-5.5 years
&lt;=66 months</t>
  </si>
  <si>
    <t>away</t>
  </si>
  <si>
    <t>meet</t>
  </si>
  <si>
    <t>too</t>
  </si>
  <si>
    <t>not</t>
  </si>
  <si>
    <t>help</t>
  </si>
  <si>
    <t>children</t>
  </si>
  <si>
    <t>car</t>
  </si>
  <si>
    <t>with</t>
  </si>
  <si>
    <t>am</t>
  </si>
  <si>
    <t>shouted</t>
  </si>
  <si>
    <t>me</t>
  </si>
  <si>
    <t>here</t>
  </si>
  <si>
    <t>are</t>
  </si>
  <si>
    <t>Mother</t>
  </si>
  <si>
    <t>List A Words</t>
  </si>
  <si>
    <t>Word Reading</t>
  </si>
  <si>
    <t>on</t>
  </si>
  <si>
    <t>let</t>
  </si>
  <si>
    <t>go</t>
  </si>
  <si>
    <t>big</t>
  </si>
  <si>
    <t>going</t>
  </si>
  <si>
    <t>Mr</t>
  </si>
  <si>
    <t>where</t>
  </si>
  <si>
    <t>in</t>
  </si>
  <si>
    <t>like</t>
  </si>
  <si>
    <t>up</t>
  </si>
  <si>
    <t>he</t>
  </si>
  <si>
    <t>look</t>
  </si>
  <si>
    <t>will</t>
  </si>
  <si>
    <t>to</t>
  </si>
  <si>
    <t>and</t>
  </si>
  <si>
    <t>List B Words</t>
  </si>
  <si>
    <t>please</t>
  </si>
  <si>
    <t>boys</t>
  </si>
  <si>
    <t>this</t>
  </si>
  <si>
    <t>ready</t>
  </si>
  <si>
    <t>they</t>
  </si>
  <si>
    <t>we</t>
  </si>
  <si>
    <t>get</t>
  </si>
  <si>
    <t>went</t>
  </si>
  <si>
    <t>school</t>
  </si>
  <si>
    <t>at</t>
  </si>
  <si>
    <t>you</t>
  </si>
  <si>
    <t>for</t>
  </si>
  <si>
    <t>come</t>
  </si>
  <si>
    <t>Father</t>
  </si>
  <si>
    <t>List C Words</t>
  </si>
  <si>
    <t>3</t>
  </si>
  <si>
    <t>1-2</t>
  </si>
  <si>
    <t>Word Reading 6.51-7 years
&gt;=79 months</t>
  </si>
  <si>
    <t>Word Reading 6.01-6.5 years
73-78 months</t>
  </si>
  <si>
    <t>Word Reading 5.51-6.00 years
67-72 months</t>
  </si>
  <si>
    <t>Word Reading 5.00-5.5 years
&lt;=66 months</t>
  </si>
  <si>
    <t>Writing Vocab</t>
  </si>
  <si>
    <t>Writing Vocab 6.51-7 years
&gt;=79 months</t>
  </si>
  <si>
    <t>Writing Vocab 6.01-6.5 years
73-78 months</t>
  </si>
  <si>
    <t>Writing Vocab 5.51-6.00 years
67-72 months</t>
  </si>
  <si>
    <t>Writing Vocab 5.00-5.5 years
&lt;=66 months</t>
  </si>
  <si>
    <t>Word Reading List A</t>
  </si>
  <si>
    <t>Word Reading List B</t>
  </si>
  <si>
    <t>Word Reading List C</t>
  </si>
  <si>
    <t>Writing Vocabulary</t>
  </si>
  <si>
    <t>Click here to find out more about the Student Performance Analyser</t>
  </si>
  <si>
    <r>
      <rPr>
        <b/>
        <sz val="11"/>
        <color theme="9" tint="-0.249977111117893"/>
        <rFont val="Calibri"/>
        <family val="2"/>
        <scheme val="minor"/>
      </rPr>
      <t>Step 1:</t>
    </r>
    <r>
      <rPr>
        <sz val="11"/>
        <color theme="1"/>
        <rFont val="Calibri"/>
        <family val="2"/>
        <scheme val="minor"/>
      </rPr>
      <t xml:space="preserve">
Click on the appropriate button
(at left) to select the correct task proforma to complete.
</t>
    </r>
    <r>
      <rPr>
        <b/>
        <sz val="11"/>
        <color theme="9" tint="-0.249977111117893"/>
        <rFont val="Calibri"/>
        <family val="2"/>
        <scheme val="minor"/>
      </rPr>
      <t>Step 2:</t>
    </r>
    <r>
      <rPr>
        <sz val="11"/>
        <color theme="1"/>
        <rFont val="Calibri"/>
        <family val="2"/>
        <scheme val="minor"/>
      </rPr>
      <t xml:space="preserve">
For each student, enter the Date (when test was sat), Date of Birth, Year Level, Home Group, Name, and Student ID (CASES No. or Student No.).
</t>
    </r>
    <r>
      <rPr>
        <b/>
        <sz val="11"/>
        <color theme="9" tint="-0.249977111117893"/>
        <rFont val="Calibri"/>
        <family val="2"/>
        <scheme val="minor"/>
      </rPr>
      <t>Step 3:</t>
    </r>
    <r>
      <rPr>
        <sz val="11"/>
        <color theme="1"/>
        <rFont val="Calibri"/>
        <family val="2"/>
        <scheme val="minor"/>
      </rPr>
      <t xml:space="preserve">
For each question, enter their response with a Y (for answered correctly) or N (for answered incorrectly)  (their score will then be calculated) </t>
    </r>
    <r>
      <rPr>
        <b/>
        <sz val="11"/>
        <color theme="9" tint="-0.249977111117893"/>
        <rFont val="Calibri"/>
        <family val="2"/>
        <scheme val="minor"/>
      </rPr>
      <t>OR</t>
    </r>
    <r>
      <rPr>
        <sz val="11"/>
        <color theme="1"/>
        <rFont val="Calibri"/>
        <family val="2"/>
        <scheme val="minor"/>
      </rPr>
      <t xml:space="preserve"> enter their Raw Score
</t>
    </r>
    <r>
      <rPr>
        <b/>
        <sz val="11"/>
        <color theme="9" tint="-0.249977111117893"/>
        <rFont val="Calibri"/>
        <family val="2"/>
        <scheme val="minor"/>
      </rPr>
      <t>Step 4:</t>
    </r>
    <r>
      <rPr>
        <sz val="11"/>
        <color theme="1"/>
        <rFont val="Calibri"/>
        <family val="2"/>
        <scheme val="minor"/>
      </rPr>
      <t xml:space="preserve">
Save and upload into SPA.</t>
    </r>
  </si>
  <si>
    <r>
      <t xml:space="preserve">Question No., Skills Assessed and Answer Key
AND Instructions:
</t>
    </r>
    <r>
      <rPr>
        <b/>
        <sz val="16"/>
        <color rgb="FF7030A0"/>
        <rFont val="Arial"/>
        <family val="2"/>
      </rPr>
      <t xml:space="preserve">Mark either a 'Y' or a 'N' against each of the questions and fill in the </t>
    </r>
    <r>
      <rPr>
        <b/>
        <sz val="16"/>
        <color rgb="FFFF0000"/>
        <rFont val="Arial"/>
        <family val="2"/>
      </rPr>
      <t>required fields</t>
    </r>
    <r>
      <rPr>
        <b/>
        <sz val="16"/>
        <color rgb="FF7030A0"/>
        <rFont val="Arial"/>
        <family val="2"/>
      </rPr>
      <t>. The template will then calculate the total number of questions correct and a stanine score for the child.</t>
    </r>
  </si>
  <si>
    <r>
      <t xml:space="preserve">Question No., Letter and Answer Key
</t>
    </r>
    <r>
      <rPr>
        <b/>
        <sz val="16"/>
        <color rgb="FF7030A0"/>
        <rFont val="Arial"/>
        <family val="2"/>
      </rPr>
      <t xml:space="preserve">Record a 'Y' where the child responds correctly either by naming the letter, providing the sound the letter makes or suggesting a word beginning with that letter. Marie Clay considers any of these responses from the child as correct as the child is able to distingish the letter. If the child can not identify the letter record an 'N'. Additionally fill in the </t>
    </r>
    <r>
      <rPr>
        <b/>
        <sz val="16"/>
        <color rgb="FFFF0000"/>
        <rFont val="Arial"/>
        <family val="2"/>
      </rPr>
      <t>required fields</t>
    </r>
    <r>
      <rPr>
        <b/>
        <sz val="16"/>
        <color rgb="FF7030A0"/>
        <rFont val="Arial"/>
        <family val="2"/>
      </rPr>
      <t>. The template will then calculate a total score and a stanine score for the child.</t>
    </r>
  </si>
  <si>
    <r>
      <t xml:space="preserve">Instructions:
</t>
    </r>
    <r>
      <rPr>
        <b/>
        <sz val="12"/>
        <color rgb="FF7030A0"/>
        <rFont val="Arial"/>
        <family val="2"/>
      </rPr>
      <t xml:space="preserve">Record the child's total score within the yellow portion of the template along with the </t>
    </r>
    <r>
      <rPr>
        <b/>
        <sz val="12"/>
        <color rgb="FFFF0000"/>
        <rFont val="Arial"/>
        <family val="2"/>
      </rPr>
      <t>required fields</t>
    </r>
    <r>
      <rPr>
        <b/>
        <sz val="12"/>
        <color rgb="FF7030A0"/>
        <rFont val="Arial"/>
        <family val="2"/>
      </rPr>
      <t>. The template will then calculate a stanine score for the child.</t>
    </r>
  </si>
  <si>
    <r>
      <t xml:space="preserve">Question No., Word and Answer Key
</t>
    </r>
    <r>
      <rPr>
        <b/>
        <sz val="14"/>
        <color rgb="FF7030A0"/>
        <rFont val="Arial"/>
        <family val="2"/>
      </rPr>
      <t>Fill in the</t>
    </r>
    <r>
      <rPr>
        <b/>
        <sz val="14"/>
        <color rgb="FFFF0000"/>
        <rFont val="Arial"/>
        <family val="2"/>
      </rPr>
      <t xml:space="preserve"> required fields</t>
    </r>
    <r>
      <rPr>
        <b/>
        <sz val="14"/>
        <color rgb="FF7030A0"/>
        <rFont val="Arial"/>
        <family val="2"/>
      </rPr>
      <t xml:space="preserve"> and mark either a 'Y' or a 'N' against each of the words. The template will then calculate the total number of words correct and a stanine score for the child.</t>
    </r>
  </si>
  <si>
    <r>
      <t xml:space="preserve">Question No., Word and Answer Key
Fill in the </t>
    </r>
    <r>
      <rPr>
        <b/>
        <sz val="16"/>
        <color rgb="FFFF0000"/>
        <rFont val="Arial"/>
        <family val="2"/>
      </rPr>
      <t>required fields</t>
    </r>
    <r>
      <rPr>
        <b/>
        <sz val="16"/>
        <color rgb="FF7030A0"/>
        <rFont val="Arial"/>
        <family val="2"/>
      </rPr>
      <t xml:space="preserve"> and mark either a 'Y' or a 'N' against each of the words. The template will then calculate the total number of words correct and a stanine score for the child.</t>
    </r>
  </si>
  <si>
    <r>
      <t xml:space="preserve">Question No., Word and Answer Key
</t>
    </r>
    <r>
      <rPr>
        <b/>
        <sz val="14"/>
        <color rgb="FF7030A0"/>
        <rFont val="Arial"/>
        <family val="2"/>
      </rPr>
      <t xml:space="preserve">Fill in the </t>
    </r>
    <r>
      <rPr>
        <b/>
        <sz val="14"/>
        <color rgb="FFFF0000"/>
        <rFont val="Arial"/>
        <family val="2"/>
      </rPr>
      <t>required fields</t>
    </r>
    <r>
      <rPr>
        <b/>
        <sz val="14"/>
        <color rgb="FF7030A0"/>
        <rFont val="Arial"/>
        <family val="2"/>
      </rPr>
      <t xml:space="preserve"> and mark either a 'Y' or a 'N' against each of the words. The template will then calculate the total number of words correct and a stanine score for the child.</t>
    </r>
  </si>
  <si>
    <r>
      <t xml:space="preserve">Instructions:
</t>
    </r>
    <r>
      <rPr>
        <b/>
        <sz val="11"/>
        <color rgb="FF7030A0"/>
        <rFont val="Arial"/>
        <family val="2"/>
      </rPr>
      <t xml:space="preserve">Record the child's total score within the yellow portion of the template along with the </t>
    </r>
    <r>
      <rPr>
        <b/>
        <sz val="11"/>
        <color rgb="FFFF0000"/>
        <rFont val="Arial"/>
        <family val="2"/>
      </rPr>
      <t>required fields</t>
    </r>
    <r>
      <rPr>
        <b/>
        <sz val="11"/>
        <color rgb="FF7030A0"/>
        <rFont val="Arial"/>
        <family val="2"/>
      </rPr>
      <t>. The template will then calculate a stanine score for the child</t>
    </r>
  </si>
  <si>
    <t>Sand</t>
  </si>
  <si>
    <t>XXXXX1</t>
  </si>
  <si>
    <t>XXXXX2</t>
  </si>
  <si>
    <t>XXXXX3</t>
  </si>
  <si>
    <t>XXXXX4</t>
  </si>
  <si>
    <t>UNLISTED</t>
  </si>
  <si>
    <t>XXXXX5</t>
  </si>
  <si>
    <t>XXXXX6</t>
  </si>
  <si>
    <t>XXXXX7</t>
  </si>
  <si>
    <t>XXXXX8</t>
  </si>
  <si>
    <t>XXXXX9</t>
  </si>
  <si>
    <t>XXXXX10</t>
  </si>
  <si>
    <t>Lname1</t>
  </si>
  <si>
    <t>Fname1</t>
  </si>
  <si>
    <t>Lname2</t>
  </si>
  <si>
    <t>Fname2</t>
  </si>
  <si>
    <t>Lname3</t>
  </si>
  <si>
    <t>Fname3</t>
  </si>
  <si>
    <t>Lname4</t>
  </si>
  <si>
    <t>Fname4</t>
  </si>
  <si>
    <t>ULname13</t>
  </si>
  <si>
    <t>UFname13</t>
  </si>
  <si>
    <t>Lname5</t>
  </si>
  <si>
    <t>Fname5</t>
  </si>
  <si>
    <t>Lname6</t>
  </si>
  <si>
    <t>Fname6</t>
  </si>
  <si>
    <t>Lname7</t>
  </si>
  <si>
    <t>Fname7</t>
  </si>
  <si>
    <t>Lname8</t>
  </si>
  <si>
    <t>Fname8</t>
  </si>
  <si>
    <t>Lname9</t>
  </si>
  <si>
    <t>Fname9</t>
  </si>
  <si>
    <t>Lname10</t>
  </si>
  <si>
    <t>Fname10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</si>
</sst>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40">
    <font>
      <sz val="11"/>
      <color theme="1"/>
      <name val="Calibri"/>
      <family val="2"/>
      <scheme val="minor"/>
    </font>
    <font>
      <sz val="10"/>
      <color theme="1"/>
      <name val="Arial"/>
      <family val="2"/>
    </font>
    <font>
      <b/>
      <sz val="10"/>
      <color theme="9" tint="-0.249977111117893"/>
      <name val="Arial"/>
      <family val="2"/>
    </font>
    <font>
      <b/>
      <sz val="11"/>
      <color theme="9" tint="-0.249977111117893"/>
      <name val="Calibri"/>
      <family val="2"/>
      <scheme val="minor"/>
    </font>
    <font>
      <sz val="10"/>
      <name val="Arial"/>
      <family val="2"/>
    </font>
    <font>
      <sz val="11"/>
      <color theme="1"/>
      <name val="Arial"/>
      <family val="2"/>
    </font>
    <font>
      <b/>
      <sz val="11"/>
      <color theme="1"/>
      <name val="Arial"/>
      <family val="2"/>
    </font>
    <font>
      <sz val="12"/>
      <color theme="1"/>
      <name val="Courier New"/>
      <family val="3"/>
    </font>
    <font>
      <sz val="12"/>
      <color theme="1"/>
      <name val="Arial"/>
      <family val="2"/>
    </font>
    <font>
      <b/>
      <sz val="11"/>
      <name val="Arial"/>
      <family val="2"/>
    </font>
    <font>
      <b/>
      <sz val="10"/>
      <name val="Arial"/>
      <family val="2"/>
    </font>
    <font>
      <sz val="12"/>
      <color theme="1"/>
      <name val="Calibri"/>
      <family val="2"/>
      <scheme val="minor"/>
    </font>
    <font>
      <b/>
      <sz val="11"/>
      <color rgb="FFFF0000"/>
      <name val="Arial"/>
      <family val="2"/>
    </font>
    <font>
      <b/>
      <sz val="12"/>
      <color theme="1"/>
      <name val="Calibri"/>
      <family val="2"/>
      <scheme val="minor"/>
    </font>
    <font>
      <b/>
      <sz val="10"/>
      <color theme="1"/>
      <name val="Arial"/>
      <family val="2"/>
    </font>
    <font>
      <b/>
      <sz val="16"/>
      <color theme="1"/>
      <name val="Arial"/>
      <family val="2"/>
    </font>
    <font>
      <b/>
      <sz val="16"/>
      <color rgb="FF7030A0"/>
      <name val="Arial"/>
      <family val="2"/>
    </font>
    <font>
      <b/>
      <sz val="20"/>
      <color rgb="FF7030A0"/>
      <name val="Arial"/>
      <family val="2"/>
    </font>
    <font>
      <b/>
      <sz val="20"/>
      <name val="Arial"/>
      <family val="2"/>
    </font>
    <font>
      <b/>
      <i/>
      <sz val="11"/>
      <color rgb="FFFF0000"/>
      <name val="Arial"/>
      <family val="2"/>
    </font>
    <font>
      <b/>
      <i/>
      <sz val="11"/>
      <name val="Arial"/>
      <family val="2"/>
    </font>
    <font>
      <b/>
      <sz val="18"/>
      <name val="Arial"/>
      <family val="2"/>
    </font>
    <font>
      <b/>
      <sz val="22"/>
      <color theme="1"/>
      <name val="Arial"/>
      <family val="2"/>
    </font>
    <font>
      <sz val="11"/>
      <name val="Arial"/>
      <family val="2"/>
    </font>
    <font>
      <b/>
      <sz val="18"/>
      <color theme="1"/>
      <name val="Arial"/>
      <family val="2"/>
    </font>
    <font>
      <sz val="18"/>
      <color theme="1"/>
      <name val="Aharoni"/>
      <charset val="177"/>
    </font>
    <font>
      <b/>
      <sz val="18"/>
      <color theme="1"/>
      <name val="Calibri"/>
      <family val="2"/>
      <scheme val="minor"/>
    </font>
    <font>
      <b/>
      <sz val="22"/>
      <color theme="1"/>
      <name val="Adobe Song Std L"/>
      <family val="1"/>
      <charset val="128"/>
    </font>
    <font>
      <b/>
      <sz val="12"/>
      <name val="Arial"/>
      <family val="2"/>
    </font>
    <font>
      <b/>
      <sz val="12"/>
      <color rgb="FF7030A0"/>
      <name val="Arial"/>
      <family val="2"/>
    </font>
    <font>
      <sz val="12"/>
      <color rgb="FFFF0000"/>
      <name val="Arial"/>
      <family val="2"/>
    </font>
    <font>
      <b/>
      <sz val="14"/>
      <color rgb="FF7030A0"/>
      <name val="Arial"/>
      <family val="2"/>
    </font>
    <font>
      <sz val="20"/>
      <color rgb="FF7030A0"/>
      <name val="Arial"/>
      <family val="2"/>
    </font>
    <font>
      <b/>
      <sz val="11"/>
      <color rgb="FF7030A0"/>
      <name val="Arial"/>
      <family val="2"/>
    </font>
    <font>
      <b/>
      <sz val="20"/>
      <color theme="0"/>
      <name val="Arial Black"/>
      <family val="2"/>
    </font>
    <font>
      <sz val="11"/>
      <color rgb="FF002060"/>
      <name val="Calibri"/>
      <family val="2"/>
      <scheme val="minor"/>
    </font>
    <font>
      <b/>
      <sz val="16"/>
      <color rgb="FFFF0000"/>
      <name val="Arial"/>
      <family val="2"/>
    </font>
    <font>
      <b/>
      <sz val="12"/>
      <color rgb="FFFF0000"/>
      <name val="Arial"/>
      <family val="2"/>
    </font>
    <font>
      <b/>
      <sz val="14"/>
      <color rgb="FFFF0000"/>
      <name val="Arial"/>
      <family val="2"/>
    </font>
    <font>
      <sz val="11"/>
      <color rgb="FF000000"/>
      <name val="Calibri"/>
    </font>
  </fonts>
  <fills count="12">
    <fill>
      <patternFill patternType="none"/>
    </fill>
    <fill>
      <patternFill patternType="gray125"/>
    </fill>
    <fill>
      <patternFill patternType="solid">
        <fgColor theme="9" tint="-0.249977111117893"/>
        <bgColor indexed="64"/>
      </patternFill>
    </fill>
    <fill>
      <patternFill patternType="solid">
        <fgColor theme="3" tint="0.59999389629810485"/>
        <bgColor indexed="64"/>
      </patternFill>
    </fill>
    <fill>
      <patternFill patternType="solid">
        <fgColor theme="9"/>
        <bgColor indexed="64"/>
      </patternFill>
    </fill>
    <fill>
      <patternFill patternType="solid">
        <fgColor rgb="FFC00000"/>
        <bgColor indexed="64"/>
      </patternFill>
    </fill>
    <fill>
      <patternFill patternType="solid">
        <fgColor theme="6" tint="0.39997558519241921"/>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7" tint="0.39997558519241921"/>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4" fillId="0" borderId="0"/>
    <xf numFmtId="0" fontId="4" fillId="0" borderId="0"/>
    <xf numFmtId="0" fontId="4" fillId="0" borderId="0"/>
  </cellStyleXfs>
  <cellXfs count="407">
    <xf numFmtId="0" fontId="0" fillId="0" borderId="0" xfId="0"/>
    <xf numFmtId="0" fontId="0" fillId="0" borderId="0" xfId="0" applyAlignment="1">
      <alignment horizontal="center"/>
    </xf>
    <xf numFmtId="0" fontId="5" fillId="0" borderId="0" xfId="0" applyFont="1"/>
    <xf numFmtId="0" fontId="5" fillId="0" borderId="10" xfId="0" applyFont="1" applyBorder="1" applyAlignment="1">
      <alignment horizontal="center"/>
    </xf>
    <xf numFmtId="1" fontId="8" fillId="0" borderId="0" xfId="0" applyNumberFormat="1" applyFont="1"/>
    <xf numFmtId="0" fontId="8" fillId="0" borderId="0" xfId="0" applyFont="1"/>
    <xf numFmtId="0" fontId="6" fillId="0" borderId="0" xfId="0" applyFont="1"/>
    <xf numFmtId="1" fontId="6" fillId="0" borderId="0" xfId="0" applyNumberFormat="1" applyFont="1"/>
    <xf numFmtId="0" fontId="14" fillId="0" borderId="0" xfId="0" applyFont="1"/>
    <xf numFmtId="0" fontId="15" fillId="0" borderId="0" xfId="0" applyFont="1"/>
    <xf numFmtId="0" fontId="17" fillId="0" borderId="0" xfId="0" applyFont="1"/>
    <xf numFmtId="0" fontId="5" fillId="0" borderId="0" xfId="0" applyFont="1" applyAlignment="1">
      <alignment horizontal="center"/>
    </xf>
    <xf numFmtId="49" fontId="5" fillId="0" borderId="10" xfId="0" applyNumberFormat="1" applyFont="1" applyBorder="1" applyAlignment="1">
      <alignment horizontal="center"/>
    </xf>
    <xf numFmtId="0" fontId="8" fillId="0" borderId="10" xfId="0" applyFont="1" applyBorder="1" applyAlignment="1">
      <alignment horizontal="center"/>
    </xf>
    <xf numFmtId="0" fontId="8" fillId="0" borderId="0" xfId="0" applyFont="1" applyAlignment="1">
      <alignment horizontal="center" wrapText="1"/>
    </xf>
    <xf numFmtId="0" fontId="6" fillId="0" borderId="0" xfId="0" applyFont="1" applyAlignment="1">
      <alignment horizontal="center"/>
    </xf>
    <xf numFmtId="1" fontId="6"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7" fillId="0" borderId="0" xfId="0" applyFont="1" applyAlignment="1">
      <alignment horizontal="center"/>
    </xf>
    <xf numFmtId="0" fontId="22" fillId="0" borderId="0" xfId="0" applyFont="1"/>
    <xf numFmtId="0" fontId="22" fillId="0" borderId="0" xfId="0" applyFont="1" applyAlignment="1">
      <alignment horizontal="center"/>
    </xf>
    <xf numFmtId="49" fontId="5" fillId="0" borderId="10" xfId="0" applyNumberFormat="1" applyFont="1" applyBorder="1" applyAlignment="1">
      <alignment horizontal="center" vertical="center"/>
    </xf>
    <xf numFmtId="0" fontId="5" fillId="0" borderId="10" xfId="0" applyFont="1" applyBorder="1" applyAlignment="1">
      <alignment horizontal="center" vertical="center"/>
    </xf>
    <xf numFmtId="0" fontId="8" fillId="0" borderId="31" xfId="0" applyFont="1" applyBorder="1" applyAlignment="1">
      <alignment horizontal="center"/>
    </xf>
    <xf numFmtId="0" fontId="0" fillId="0" borderId="0" xfId="0" applyAlignment="1">
      <alignment vertical="center"/>
    </xf>
    <xf numFmtId="0" fontId="5"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center"/>
    </xf>
    <xf numFmtId="0" fontId="5" fillId="0" borderId="0" xfId="0" applyFont="1" applyAlignment="1">
      <alignment vertical="center"/>
    </xf>
    <xf numFmtId="49" fontId="0" fillId="0" borderId="0" xfId="0" applyNumberFormat="1" applyAlignment="1">
      <alignment horizontal="center"/>
    </xf>
    <xf numFmtId="49" fontId="5" fillId="0" borderId="0" xfId="0" applyNumberFormat="1" applyFont="1" applyAlignment="1">
      <alignment horizontal="center"/>
    </xf>
    <xf numFmtId="49" fontId="0" fillId="0" borderId="10" xfId="0" applyNumberFormat="1" applyBorder="1" applyAlignment="1">
      <alignment horizontal="center"/>
    </xf>
    <xf numFmtId="49" fontId="8" fillId="0" borderId="10" xfId="0" applyNumberFormat="1" applyFont="1" applyBorder="1" applyAlignment="1">
      <alignment horizontal="center"/>
    </xf>
    <xf numFmtId="49" fontId="6" fillId="0" borderId="0" xfId="0" applyNumberFormat="1" applyFont="1" applyAlignment="1">
      <alignment horizontal="center"/>
    </xf>
    <xf numFmtId="49" fontId="14" fillId="0" borderId="0" xfId="0" applyNumberFormat="1" applyFont="1" applyAlignment="1">
      <alignment horizontal="center"/>
    </xf>
    <xf numFmtId="49" fontId="15" fillId="0" borderId="0" xfId="0" applyNumberFormat="1" applyFont="1" applyAlignment="1">
      <alignment horizontal="center"/>
    </xf>
    <xf numFmtId="49" fontId="17" fillId="0" borderId="0" xfId="0" applyNumberFormat="1" applyFont="1" applyAlignment="1">
      <alignment horizontal="center"/>
    </xf>
    <xf numFmtId="49" fontId="22" fillId="0" borderId="0" xfId="0" applyNumberFormat="1" applyFont="1" applyAlignment="1">
      <alignment horizontal="center"/>
    </xf>
    <xf numFmtId="0" fontId="8" fillId="0" borderId="10" xfId="0" applyFont="1" applyBorder="1" applyAlignment="1">
      <alignment horizontal="center" vertical="center"/>
    </xf>
    <xf numFmtId="1" fontId="8" fillId="0" borderId="10" xfId="0" applyNumberFormat="1" applyFont="1" applyBorder="1" applyAlignment="1">
      <alignment horizontal="center" vertical="center"/>
    </xf>
    <xf numFmtId="0" fontId="0" fillId="9" borderId="0" xfId="0" applyFill="1"/>
    <xf numFmtId="0" fontId="17" fillId="0" borderId="0" xfId="0" applyFont="1" applyAlignment="1" applyProtection="1">
      <alignment horizontal="left" vertical="top" wrapText="1"/>
      <protection locked="0"/>
    </xf>
    <xf numFmtId="0" fontId="19" fillId="8" borderId="23" xfId="0" applyFont="1" applyFill="1" applyBorder="1" applyAlignment="1" applyProtection="1">
      <alignment horizontal="right" vertical="top" wrapText="1"/>
      <protection locked="0"/>
    </xf>
    <xf numFmtId="0" fontId="17" fillId="0" borderId="4" xfId="0" applyFont="1" applyBorder="1" applyProtection="1">
      <protection locked="0"/>
    </xf>
    <xf numFmtId="0" fontId="17" fillId="0" borderId="0" xfId="0" applyFont="1" applyProtection="1">
      <protection locked="0"/>
    </xf>
    <xf numFmtId="1" fontId="17" fillId="0" borderId="0" xfId="0" applyNumberFormat="1" applyFont="1" applyAlignment="1" applyProtection="1">
      <alignment horizontal="left" vertical="top" wrapText="1"/>
      <protection locked="0"/>
    </xf>
    <xf numFmtId="164" fontId="6" fillId="0" borderId="0" xfId="0" applyNumberFormat="1" applyFont="1" applyAlignment="1" applyProtection="1">
      <alignment horizontal="right" vertical="top"/>
      <protection locked="0"/>
    </xf>
    <xf numFmtId="1" fontId="6" fillId="0" borderId="0" xfId="0" applyNumberFormat="1" applyFont="1" applyAlignment="1" applyProtection="1">
      <alignment horizontal="center" vertical="top"/>
      <protection locked="0"/>
    </xf>
    <xf numFmtId="1" fontId="6" fillId="0" borderId="0" xfId="0" applyNumberFormat="1" applyFont="1" applyAlignment="1" applyProtection="1">
      <alignment horizontal="left" vertical="top"/>
      <protection locked="0"/>
    </xf>
    <xf numFmtId="1" fontId="6" fillId="0" borderId="0" xfId="0" applyNumberFormat="1" applyFont="1" applyAlignment="1" applyProtection="1">
      <alignment horizontal="left"/>
      <protection locked="0"/>
    </xf>
    <xf numFmtId="1" fontId="6" fillId="0" borderId="0" xfId="0" applyNumberFormat="1" applyFont="1" applyAlignment="1" applyProtection="1">
      <alignment horizontal="center" vertical="center" wrapText="1"/>
      <protection locked="0"/>
    </xf>
    <xf numFmtId="0" fontId="4" fillId="0" borderId="42" xfId="1" applyBorder="1" applyAlignment="1" applyProtection="1">
      <alignment horizontal="center" vertical="center"/>
      <protection locked="0"/>
    </xf>
    <xf numFmtId="1" fontId="6" fillId="0" borderId="0" xfId="0" applyNumberFormat="1" applyFont="1" applyProtection="1">
      <protection locked="0"/>
    </xf>
    <xf numFmtId="1" fontId="6" fillId="0" borderId="0" xfId="0" applyNumberFormat="1" applyFont="1" applyAlignment="1" applyProtection="1">
      <alignment horizontal="right" vertical="top"/>
      <protection locked="0"/>
    </xf>
    <xf numFmtId="164" fontId="15" fillId="0" borderId="0" xfId="0" applyNumberFormat="1" applyFont="1" applyAlignment="1" applyProtection="1">
      <alignment vertical="top"/>
      <protection locked="0"/>
    </xf>
    <xf numFmtId="0" fontId="15" fillId="0" borderId="0" xfId="0" applyFont="1" applyAlignment="1" applyProtection="1">
      <alignment horizontal="center" vertical="top"/>
      <protection locked="0"/>
    </xf>
    <xf numFmtId="0" fontId="15" fillId="0" borderId="0" xfId="0" applyFont="1" applyAlignment="1" applyProtection="1">
      <alignment vertical="top"/>
      <protection locked="0"/>
    </xf>
    <xf numFmtId="0" fontId="15" fillId="0" borderId="0" xfId="0" applyFont="1" applyProtection="1">
      <protection locked="0"/>
    </xf>
    <xf numFmtId="0" fontId="15" fillId="0" borderId="0" xfId="0" applyFont="1" applyAlignment="1" applyProtection="1">
      <alignment horizontal="right"/>
      <protection locked="0"/>
    </xf>
    <xf numFmtId="1" fontId="15" fillId="0" borderId="0" xfId="0" applyNumberFormat="1" applyFont="1" applyAlignment="1" applyProtection="1">
      <alignment horizontal="center" vertical="center" wrapText="1"/>
      <protection locked="0"/>
    </xf>
    <xf numFmtId="1" fontId="15" fillId="0" borderId="5" xfId="0" applyNumberFormat="1" applyFont="1" applyBorder="1" applyAlignment="1" applyProtection="1">
      <alignment horizontal="center" vertical="center" wrapText="1"/>
      <protection locked="0"/>
    </xf>
    <xf numFmtId="1" fontId="15" fillId="0" borderId="0" xfId="0" applyNumberFormat="1" applyFont="1" applyAlignment="1" applyProtection="1">
      <alignment vertical="top"/>
      <protection locked="0"/>
    </xf>
    <xf numFmtId="164" fontId="14" fillId="0" borderId="0" xfId="0" applyNumberFormat="1" applyFont="1" applyAlignment="1" applyProtection="1">
      <alignment horizontal="right" vertical="top" wrapText="1"/>
      <protection locked="0"/>
    </xf>
    <xf numFmtId="0" fontId="14" fillId="0" borderId="0" xfId="0" applyFont="1" applyAlignment="1" applyProtection="1">
      <alignment horizontal="center" vertical="top" wrapText="1"/>
      <protection locked="0"/>
    </xf>
    <xf numFmtId="0" fontId="14" fillId="0" borderId="0" xfId="0" applyFont="1" applyAlignment="1" applyProtection="1">
      <alignment horizontal="left" vertical="top" wrapText="1"/>
      <protection locked="0"/>
    </xf>
    <xf numFmtId="1" fontId="6" fillId="0" borderId="39" xfId="0" applyNumberFormat="1" applyFont="1" applyBorder="1" applyAlignment="1" applyProtection="1">
      <alignment horizontal="right"/>
      <protection locked="0"/>
    </xf>
    <xf numFmtId="0" fontId="14" fillId="0" borderId="0" xfId="0" applyFont="1" applyProtection="1">
      <protection locked="0"/>
    </xf>
    <xf numFmtId="1" fontId="14" fillId="0" borderId="0" xfId="0" applyNumberFormat="1" applyFont="1" applyAlignment="1" applyProtection="1">
      <alignment horizontal="right" vertical="top" wrapText="1"/>
      <protection locked="0"/>
    </xf>
    <xf numFmtId="1" fontId="12" fillId="8" borderId="36" xfId="0" applyNumberFormat="1" applyFont="1" applyFill="1" applyBorder="1" applyAlignment="1" applyProtection="1">
      <alignment horizontal="right" vertical="top"/>
      <protection locked="0"/>
    </xf>
    <xf numFmtId="0" fontId="4" fillId="8" borderId="16" xfId="1" applyFill="1" applyBorder="1" applyAlignment="1" applyProtection="1">
      <alignment horizontal="center" vertical="center" textRotation="90"/>
      <protection locked="0"/>
    </xf>
    <xf numFmtId="0" fontId="4" fillId="8" borderId="10" xfId="1" quotePrefix="1" applyFill="1" applyBorder="1" applyAlignment="1" applyProtection="1">
      <alignment horizontal="center" vertical="center" textRotation="90"/>
      <protection locked="0"/>
    </xf>
    <xf numFmtId="0" fontId="4" fillId="7" borderId="10" xfId="1" quotePrefix="1" applyFill="1" applyBorder="1" applyAlignment="1" applyProtection="1">
      <alignment horizontal="center" vertical="center" textRotation="90"/>
      <protection locked="0"/>
    </xf>
    <xf numFmtId="0" fontId="4" fillId="7" borderId="10" xfId="1" applyFill="1" applyBorder="1" applyAlignment="1" applyProtection="1">
      <alignment horizontal="center" vertical="center" textRotation="90"/>
      <protection locked="0"/>
    </xf>
    <xf numFmtId="0" fontId="4" fillId="5" borderId="10" xfId="1" applyFill="1" applyBorder="1" applyAlignment="1" applyProtection="1">
      <alignment horizontal="center" vertical="center" textRotation="90"/>
      <protection locked="0"/>
    </xf>
    <xf numFmtId="0" fontId="4" fillId="8" borderId="10" xfId="1" applyFill="1" applyBorder="1" applyAlignment="1" applyProtection="1">
      <alignment horizontal="center" vertical="center" textRotation="90"/>
      <protection locked="0"/>
    </xf>
    <xf numFmtId="0" fontId="4" fillId="6" borderId="10" xfId="1" applyFill="1" applyBorder="1" applyAlignment="1" applyProtection="1">
      <alignment horizontal="center" vertical="center" textRotation="90"/>
      <protection locked="0"/>
    </xf>
    <xf numFmtId="0" fontId="4" fillId="4" borderId="10" xfId="1" applyFill="1" applyBorder="1" applyAlignment="1" applyProtection="1">
      <alignment horizontal="center" vertical="center" textRotation="90"/>
      <protection locked="0"/>
    </xf>
    <xf numFmtId="0" fontId="4" fillId="4" borderId="15" xfId="1" applyFill="1" applyBorder="1" applyAlignment="1" applyProtection="1">
      <alignment horizontal="center" vertical="center" textRotation="90"/>
      <protection locked="0"/>
    </xf>
    <xf numFmtId="1" fontId="12" fillId="8" borderId="8" xfId="0" applyNumberFormat="1" applyFont="1" applyFill="1" applyBorder="1" applyAlignment="1" applyProtection="1">
      <alignment horizontal="center" vertical="top" wrapText="1"/>
      <protection locked="0"/>
    </xf>
    <xf numFmtId="164" fontId="12" fillId="8" borderId="31" xfId="0" applyNumberFormat="1" applyFont="1" applyFill="1" applyBorder="1" applyAlignment="1" applyProtection="1">
      <alignment horizontal="center" vertical="center"/>
      <protection locked="0"/>
    </xf>
    <xf numFmtId="1" fontId="12" fillId="8" borderId="31" xfId="0" applyNumberFormat="1" applyFont="1" applyFill="1" applyBorder="1" applyAlignment="1" applyProtection="1">
      <alignment horizontal="center" vertical="center"/>
      <protection locked="0"/>
    </xf>
    <xf numFmtId="1" fontId="12" fillId="8" borderId="30" xfId="0" applyNumberFormat="1" applyFont="1" applyFill="1" applyBorder="1" applyAlignment="1" applyProtection="1">
      <alignment horizontal="center" vertical="center" wrapText="1"/>
      <protection locked="0"/>
    </xf>
    <xf numFmtId="1" fontId="12" fillId="8" borderId="30" xfId="0" applyNumberFormat="1" applyFont="1" applyFill="1" applyBorder="1" applyAlignment="1" applyProtection="1">
      <alignment horizontal="center" vertical="top" wrapText="1"/>
      <protection locked="0"/>
    </xf>
    <xf numFmtId="164" fontId="9" fillId="3" borderId="26" xfId="0" applyNumberFormat="1" applyFont="1" applyFill="1" applyBorder="1" applyAlignment="1" applyProtection="1">
      <alignment horizontal="center" vertical="center" wrapText="1"/>
      <protection locked="0"/>
    </xf>
    <xf numFmtId="164" fontId="9" fillId="3" borderId="21" xfId="0" applyNumberFormat="1" applyFont="1" applyFill="1" applyBorder="1" applyAlignment="1" applyProtection="1">
      <alignment horizontal="center" vertical="center" wrapText="1"/>
      <protection locked="0"/>
    </xf>
    <xf numFmtId="0" fontId="9" fillId="3" borderId="25" xfId="0" applyFont="1" applyFill="1" applyBorder="1" applyAlignment="1" applyProtection="1">
      <alignment horizontal="center" vertical="center" wrapText="1"/>
      <protection locked="0"/>
    </xf>
    <xf numFmtId="0" fontId="9" fillId="3" borderId="25" xfId="2" applyFont="1" applyFill="1" applyBorder="1" applyAlignment="1" applyProtection="1">
      <alignment horizontal="center" vertical="center"/>
      <protection locked="0"/>
    </xf>
    <xf numFmtId="0" fontId="9" fillId="3" borderId="25" xfId="2" applyFont="1" applyFill="1" applyBorder="1" applyAlignment="1" applyProtection="1">
      <alignment horizontal="center" vertical="center" wrapText="1"/>
      <protection locked="0"/>
    </xf>
    <xf numFmtId="1" fontId="9" fillId="3" borderId="25" xfId="0" applyNumberFormat="1" applyFont="1" applyFill="1" applyBorder="1" applyAlignment="1" applyProtection="1">
      <alignment horizontal="center" vertical="center" wrapText="1"/>
      <protection locked="0"/>
    </xf>
    <xf numFmtId="1" fontId="9" fillId="3" borderId="24" xfId="0" applyNumberFormat="1" applyFont="1" applyFill="1" applyBorder="1" applyAlignment="1" applyProtection="1">
      <alignment horizontal="center" vertical="center" wrapText="1"/>
      <protection locked="0"/>
    </xf>
    <xf numFmtId="0" fontId="9" fillId="8" borderId="26" xfId="1" applyFont="1" applyFill="1" applyBorder="1" applyAlignment="1" applyProtection="1">
      <alignment horizontal="center"/>
      <protection locked="0"/>
    </xf>
    <xf numFmtId="0" fontId="9" fillId="8" borderId="25" xfId="1" applyFont="1" applyFill="1" applyBorder="1" applyAlignment="1" applyProtection="1">
      <alignment horizontal="center"/>
      <protection locked="0"/>
    </xf>
    <xf numFmtId="0" fontId="9" fillId="7" borderId="25" xfId="1" applyFont="1" applyFill="1" applyBorder="1" applyAlignment="1" applyProtection="1">
      <alignment horizontal="center"/>
      <protection locked="0"/>
    </xf>
    <xf numFmtId="0" fontId="9" fillId="5" borderId="25" xfId="1" applyFont="1" applyFill="1" applyBorder="1" applyAlignment="1" applyProtection="1">
      <alignment horizontal="center"/>
      <protection locked="0"/>
    </xf>
    <xf numFmtId="0" fontId="9" fillId="6" borderId="25" xfId="1" applyFont="1" applyFill="1" applyBorder="1" applyAlignment="1" applyProtection="1">
      <alignment horizontal="center"/>
      <protection locked="0"/>
    </xf>
    <xf numFmtId="0" fontId="9" fillId="4" borderId="25" xfId="1" applyFont="1" applyFill="1" applyBorder="1" applyAlignment="1" applyProtection="1">
      <alignment horizontal="center"/>
      <protection locked="0"/>
    </xf>
    <xf numFmtId="0" fontId="9" fillId="4" borderId="24" xfId="1" applyFont="1" applyFill="1" applyBorder="1" applyAlignment="1" applyProtection="1">
      <alignment horizontal="center"/>
      <protection locked="0"/>
    </xf>
    <xf numFmtId="0" fontId="6" fillId="3" borderId="22" xfId="0" applyFont="1" applyFill="1" applyBorder="1" applyAlignment="1" applyProtection="1">
      <alignment horizontal="center" vertical="center"/>
      <protection locked="0"/>
    </xf>
    <xf numFmtId="0" fontId="6" fillId="0" borderId="0" xfId="0" applyFont="1" applyProtection="1">
      <protection locked="0"/>
    </xf>
    <xf numFmtId="1" fontId="9" fillId="3" borderId="21" xfId="0" applyNumberFormat="1" applyFont="1" applyFill="1" applyBorder="1" applyAlignment="1" applyProtection="1">
      <alignment horizontal="right" wrapText="1"/>
      <protection locked="0"/>
    </xf>
    <xf numFmtId="164" fontId="5" fillId="0" borderId="19" xfId="0" applyNumberFormat="1" applyFont="1" applyBorder="1" applyAlignment="1" applyProtection="1">
      <alignment horizontal="right"/>
      <protection locked="0"/>
    </xf>
    <xf numFmtId="0" fontId="5" fillId="0" borderId="19" xfId="0" applyFont="1" applyBorder="1" applyAlignment="1" applyProtection="1">
      <alignment horizontal="center"/>
      <protection locked="0"/>
    </xf>
    <xf numFmtId="0" fontId="5" fillId="0" borderId="19" xfId="0" applyFont="1" applyBorder="1" applyProtection="1">
      <protection locked="0"/>
    </xf>
    <xf numFmtId="0" fontId="7" fillId="0" borderId="19" xfId="0" applyFont="1" applyBorder="1" applyAlignment="1" applyProtection="1">
      <alignment horizontal="right"/>
      <protection locked="0"/>
    </xf>
    <xf numFmtId="0" fontId="0" fillId="0" borderId="20"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17" xfId="0" applyBorder="1" applyAlignment="1" applyProtection="1">
      <alignment horizontal="center"/>
      <protection locked="0"/>
    </xf>
    <xf numFmtId="0" fontId="5" fillId="0" borderId="0" xfId="0" applyFont="1" applyProtection="1">
      <protection locked="0"/>
    </xf>
    <xf numFmtId="0" fontId="8" fillId="0" borderId="0" xfId="0" applyFont="1" applyProtection="1">
      <protection locked="0"/>
    </xf>
    <xf numFmtId="164" fontId="5" fillId="0" borderId="10" xfId="0" applyNumberFormat="1" applyFont="1" applyBorder="1" applyAlignment="1" applyProtection="1">
      <alignment horizontal="right"/>
      <protection locked="0"/>
    </xf>
    <xf numFmtId="0" fontId="5" fillId="0" borderId="10" xfId="0" applyFont="1" applyBorder="1" applyAlignment="1" applyProtection="1">
      <alignment horizontal="center"/>
      <protection locked="0"/>
    </xf>
    <xf numFmtId="0" fontId="5" fillId="0" borderId="10" xfId="0" applyFont="1" applyBorder="1" applyProtection="1">
      <protection locked="0"/>
    </xf>
    <xf numFmtId="0" fontId="7" fillId="0" borderId="10" xfId="0" applyFont="1" applyBorder="1" applyAlignment="1" applyProtection="1">
      <alignment horizontal="right"/>
      <protection locked="0"/>
    </xf>
    <xf numFmtId="0" fontId="0" fillId="0" borderId="16"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15" xfId="0" applyBorder="1" applyAlignment="1" applyProtection="1">
      <alignment horizontal="center"/>
      <protection locked="0"/>
    </xf>
    <xf numFmtId="1" fontId="8" fillId="0" borderId="0" xfId="0" applyNumberFormat="1" applyFont="1" applyProtection="1">
      <protection locked="0"/>
    </xf>
    <xf numFmtId="49" fontId="8" fillId="0" borderId="0" xfId="0" applyNumberFormat="1" applyFont="1" applyAlignment="1" applyProtection="1">
      <alignment horizontal="right"/>
      <protection locked="0"/>
    </xf>
    <xf numFmtId="164" fontId="5" fillId="0" borderId="18" xfId="0" applyNumberFormat="1" applyFont="1" applyBorder="1" applyAlignment="1" applyProtection="1">
      <alignment horizontal="right"/>
      <protection locked="0"/>
    </xf>
    <xf numFmtId="164" fontId="5" fillId="0" borderId="16" xfId="0" applyNumberFormat="1" applyFont="1" applyBorder="1" applyAlignment="1" applyProtection="1">
      <alignment horizontal="right"/>
      <protection locked="0"/>
    </xf>
    <xf numFmtId="0" fontId="5" fillId="0" borderId="10" xfId="0" applyFont="1" applyBorder="1" applyAlignment="1" applyProtection="1">
      <alignment horizontal="left"/>
      <protection locked="0"/>
    </xf>
    <xf numFmtId="0" fontId="5" fillId="0" borderId="16" xfId="0" applyFont="1" applyBorder="1" applyAlignment="1" applyProtection="1">
      <alignment horizontal="center"/>
      <protection locked="0"/>
    </xf>
    <xf numFmtId="0" fontId="5" fillId="0" borderId="15" xfId="0" applyFont="1" applyBorder="1" applyAlignment="1" applyProtection="1">
      <alignment horizontal="center"/>
      <protection locked="0"/>
    </xf>
    <xf numFmtId="164" fontId="5" fillId="0" borderId="14" xfId="0" applyNumberFormat="1" applyFont="1" applyBorder="1" applyAlignment="1" applyProtection="1">
      <alignment horizontal="right"/>
      <protection locked="0"/>
    </xf>
    <xf numFmtId="164" fontId="5" fillId="0" borderId="13" xfId="0" applyNumberFormat="1" applyFont="1" applyBorder="1" applyAlignment="1" applyProtection="1">
      <alignment horizontal="right"/>
      <protection locked="0"/>
    </xf>
    <xf numFmtId="0" fontId="5" fillId="0" borderId="12" xfId="0" applyFont="1" applyBorder="1" applyAlignment="1" applyProtection="1">
      <alignment horizontal="center"/>
      <protection locked="0"/>
    </xf>
    <xf numFmtId="0" fontId="5" fillId="0" borderId="12" xfId="0" applyFont="1" applyBorder="1" applyAlignment="1" applyProtection="1">
      <alignment horizontal="left"/>
      <protection locked="0"/>
    </xf>
    <xf numFmtId="0" fontId="7" fillId="0" borderId="12" xfId="0" applyFont="1" applyBorder="1" applyAlignment="1" applyProtection="1">
      <alignment horizontal="right"/>
      <protection locked="0"/>
    </xf>
    <xf numFmtId="164" fontId="0" fillId="0" borderId="0" xfId="0" applyNumberFormat="1" applyAlignment="1" applyProtection="1">
      <alignment horizontal="right"/>
      <protection locked="0"/>
    </xf>
    <xf numFmtId="0" fontId="0" fillId="0" borderId="0" xfId="0" applyAlignment="1" applyProtection="1">
      <alignment horizontal="center"/>
      <protection locked="0"/>
    </xf>
    <xf numFmtId="0" fontId="0" fillId="0" borderId="0" xfId="0" applyAlignment="1" applyProtection="1">
      <alignment horizontal="left"/>
      <protection locked="0"/>
    </xf>
    <xf numFmtId="0" fontId="0" fillId="0" borderId="0" xfId="0" applyAlignment="1" applyProtection="1">
      <alignment horizontal="right"/>
      <protection locked="0"/>
    </xf>
    <xf numFmtId="1" fontId="0" fillId="0" borderId="0" xfId="0" applyNumberFormat="1" applyAlignment="1" applyProtection="1">
      <alignment horizontal="center" wrapText="1"/>
      <protection locked="0"/>
    </xf>
    <xf numFmtId="1" fontId="0" fillId="0" borderId="9" xfId="0" applyNumberFormat="1" applyBorder="1" applyAlignment="1" applyProtection="1">
      <alignment horizontal="center" wrapText="1"/>
      <protection locked="0"/>
    </xf>
    <xf numFmtId="0" fontId="0" fillId="0" borderId="0" xfId="0" applyProtection="1">
      <protection locked="0"/>
    </xf>
    <xf numFmtId="1" fontId="0" fillId="0" borderId="0" xfId="0" applyNumberFormat="1" applyAlignment="1" applyProtection="1">
      <alignment horizontal="right"/>
      <protection locked="0"/>
    </xf>
    <xf numFmtId="0" fontId="0" fillId="0" borderId="16" xfId="0" applyBorder="1" applyAlignment="1" applyProtection="1">
      <alignment horizontal="center" vertical="top" wrapText="1"/>
      <protection hidden="1"/>
    </xf>
    <xf numFmtId="0" fontId="0" fillId="0" borderId="10" xfId="0" applyBorder="1" applyAlignment="1" applyProtection="1">
      <alignment horizontal="center" vertical="top" wrapText="1"/>
      <protection hidden="1"/>
    </xf>
    <xf numFmtId="0" fontId="0" fillId="0" borderId="15" xfId="0" applyBorder="1" applyAlignment="1" applyProtection="1">
      <alignment horizontal="center" vertical="top" wrapText="1"/>
      <protection hidden="1"/>
    </xf>
    <xf numFmtId="0" fontId="6" fillId="3" borderId="23" xfId="0" applyFont="1" applyFill="1" applyBorder="1" applyAlignment="1" applyProtection="1">
      <alignment horizontal="center" vertical="center"/>
      <protection hidden="1"/>
    </xf>
    <xf numFmtId="1" fontId="6" fillId="0" borderId="17" xfId="0" applyNumberFormat="1" applyFont="1" applyBorder="1" applyAlignment="1" applyProtection="1">
      <alignment horizontal="center" wrapText="1"/>
      <protection hidden="1"/>
    </xf>
    <xf numFmtId="1" fontId="6" fillId="0" borderId="11" xfId="0" applyNumberFormat="1" applyFont="1" applyBorder="1" applyAlignment="1" applyProtection="1">
      <alignment horizontal="center" wrapText="1"/>
      <protection hidden="1"/>
    </xf>
    <xf numFmtId="1" fontId="5" fillId="0" borderId="10" xfId="0" applyNumberFormat="1" applyFont="1" applyBorder="1" applyAlignment="1" applyProtection="1">
      <alignment horizontal="right"/>
      <protection hidden="1"/>
    </xf>
    <xf numFmtId="1" fontId="6" fillId="0" borderId="10" xfId="0" applyNumberFormat="1" applyFont="1" applyBorder="1" applyAlignment="1" applyProtection="1">
      <alignment horizontal="center" wrapText="1"/>
      <protection locked="0" hidden="1"/>
    </xf>
    <xf numFmtId="1" fontId="6" fillId="0" borderId="12" xfId="0" applyNumberFormat="1" applyFont="1" applyBorder="1" applyAlignment="1" applyProtection="1">
      <alignment horizontal="center" wrapText="1"/>
      <protection locked="0" hidden="1"/>
    </xf>
    <xf numFmtId="0" fontId="17" fillId="8" borderId="23" xfId="0" applyFont="1" applyFill="1" applyBorder="1" applyProtection="1">
      <protection locked="0"/>
    </xf>
    <xf numFmtId="0" fontId="17" fillId="8" borderId="22" xfId="0" applyFont="1" applyFill="1" applyBorder="1" applyProtection="1">
      <protection locked="0"/>
    </xf>
    <xf numFmtId="1" fontId="6" fillId="0" borderId="23" xfId="0" applyNumberFormat="1" applyFont="1" applyBorder="1" applyProtection="1">
      <protection locked="0"/>
    </xf>
    <xf numFmtId="1" fontId="9" fillId="0" borderId="0" xfId="0" applyNumberFormat="1" applyFont="1" applyAlignment="1" applyProtection="1">
      <alignment horizontal="right" vertical="center"/>
      <protection locked="0"/>
    </xf>
    <xf numFmtId="1" fontId="23" fillId="0" borderId="5" xfId="0" applyNumberFormat="1" applyFont="1" applyBorder="1" applyAlignment="1" applyProtection="1">
      <alignment horizontal="right" vertical="center"/>
      <protection locked="0"/>
    </xf>
    <xf numFmtId="0" fontId="4" fillId="8" borderId="16" xfId="1" applyFill="1" applyBorder="1" applyAlignment="1" applyProtection="1">
      <alignment horizontal="center" vertical="center"/>
      <protection locked="0"/>
    </xf>
    <xf numFmtId="0" fontId="4" fillId="8" borderId="10" xfId="1" quotePrefix="1" applyFill="1" applyBorder="1" applyAlignment="1" applyProtection="1">
      <alignment horizontal="center" vertical="center"/>
      <protection locked="0"/>
    </xf>
    <xf numFmtId="0" fontId="4" fillId="8" borderId="10" xfId="1" applyFill="1" applyBorder="1" applyAlignment="1" applyProtection="1">
      <alignment horizontal="center" vertical="center"/>
      <protection locked="0"/>
    </xf>
    <xf numFmtId="0" fontId="4" fillId="8" borderId="45" xfId="1" applyFill="1" applyBorder="1" applyAlignment="1" applyProtection="1">
      <alignment horizontal="center" vertical="center"/>
      <protection locked="0"/>
    </xf>
    <xf numFmtId="0" fontId="1" fillId="8" borderId="10" xfId="0" applyFont="1" applyFill="1" applyBorder="1" applyAlignment="1" applyProtection="1">
      <alignment vertical="center"/>
      <protection locked="0"/>
    </xf>
    <xf numFmtId="0" fontId="1" fillId="8" borderId="15" xfId="0" applyFont="1" applyFill="1" applyBorder="1" applyAlignment="1" applyProtection="1">
      <alignment vertical="center"/>
      <protection locked="0"/>
    </xf>
    <xf numFmtId="0" fontId="1" fillId="8" borderId="16" xfId="0" applyFont="1" applyFill="1" applyBorder="1" applyAlignment="1" applyProtection="1">
      <alignment vertical="center"/>
      <protection locked="0"/>
    </xf>
    <xf numFmtId="1" fontId="9" fillId="0" borderId="0" xfId="0" applyNumberFormat="1" applyFont="1" applyAlignment="1" applyProtection="1">
      <alignment horizontal="right" vertical="center" wrapText="1"/>
      <protection locked="0"/>
    </xf>
    <xf numFmtId="1" fontId="9" fillId="0" borderId="5" xfId="0" applyNumberFormat="1" applyFont="1" applyBorder="1" applyAlignment="1" applyProtection="1">
      <alignment horizontal="right" vertical="center" wrapText="1"/>
      <protection locked="0"/>
    </xf>
    <xf numFmtId="1" fontId="12" fillId="8" borderId="31" xfId="0" applyNumberFormat="1" applyFont="1" applyFill="1" applyBorder="1" applyAlignment="1" applyProtection="1">
      <alignment horizontal="center" vertical="center" wrapText="1"/>
      <protection locked="0"/>
    </xf>
    <xf numFmtId="1" fontId="12" fillId="8" borderId="32" xfId="0" applyNumberFormat="1" applyFont="1" applyFill="1" applyBorder="1" applyAlignment="1" applyProtection="1">
      <alignment horizontal="center" vertical="center" wrapText="1"/>
      <protection locked="0"/>
    </xf>
    <xf numFmtId="164" fontId="9" fillId="3" borderId="26" xfId="0" applyNumberFormat="1" applyFont="1" applyFill="1" applyBorder="1" applyAlignment="1" applyProtection="1">
      <alignment horizontal="right" wrapText="1"/>
      <protection locked="0"/>
    </xf>
    <xf numFmtId="164" fontId="9" fillId="3" borderId="21" xfId="0" applyNumberFormat="1" applyFont="1" applyFill="1" applyBorder="1" applyAlignment="1" applyProtection="1">
      <alignment horizontal="right" wrapText="1"/>
      <protection locked="0"/>
    </xf>
    <xf numFmtId="0" fontId="9" fillId="3" borderId="25" xfId="0" applyFont="1" applyFill="1" applyBorder="1" applyAlignment="1" applyProtection="1">
      <alignment horizontal="center" wrapText="1"/>
      <protection locked="0"/>
    </xf>
    <xf numFmtId="0" fontId="9" fillId="3" borderId="25" xfId="2" applyFont="1" applyFill="1" applyBorder="1" applyProtection="1">
      <protection locked="0"/>
    </xf>
    <xf numFmtId="0" fontId="9" fillId="3" borderId="25" xfId="2" applyFont="1" applyFill="1" applyBorder="1" applyAlignment="1" applyProtection="1">
      <alignment horizontal="right" wrapText="1"/>
      <protection locked="0"/>
    </xf>
    <xf numFmtId="1" fontId="9" fillId="3" borderId="25" xfId="0" applyNumberFormat="1" applyFont="1" applyFill="1" applyBorder="1" applyAlignment="1" applyProtection="1">
      <alignment horizontal="center" wrapText="1"/>
      <protection locked="0"/>
    </xf>
    <xf numFmtId="1" fontId="9" fillId="3" borderId="24" xfId="0" applyNumberFormat="1" applyFont="1" applyFill="1" applyBorder="1" applyAlignment="1" applyProtection="1">
      <alignment horizontal="center" wrapText="1"/>
      <protection locked="0"/>
    </xf>
    <xf numFmtId="0" fontId="9" fillId="10" borderId="26" xfId="1" applyFont="1" applyFill="1" applyBorder="1" applyAlignment="1" applyProtection="1">
      <alignment horizontal="center"/>
      <protection locked="0"/>
    </xf>
    <xf numFmtId="0" fontId="9" fillId="10" borderId="25" xfId="1" applyFont="1" applyFill="1" applyBorder="1" applyAlignment="1" applyProtection="1">
      <alignment horizontal="center"/>
      <protection locked="0"/>
    </xf>
    <xf numFmtId="0" fontId="9" fillId="10" borderId="47" xfId="1" applyFont="1" applyFill="1" applyBorder="1" applyAlignment="1" applyProtection="1">
      <alignment horizontal="center"/>
      <protection locked="0"/>
    </xf>
    <xf numFmtId="0" fontId="9" fillId="10" borderId="24" xfId="1" applyFont="1" applyFill="1" applyBorder="1" applyAlignment="1" applyProtection="1">
      <alignment horizontal="center"/>
      <protection locked="0"/>
    </xf>
    <xf numFmtId="0" fontId="9" fillId="10" borderId="21" xfId="1" applyFont="1" applyFill="1" applyBorder="1" applyAlignment="1" applyProtection="1">
      <alignment horizontal="center"/>
      <protection locked="0"/>
    </xf>
    <xf numFmtId="0" fontId="6" fillId="10" borderId="23" xfId="0" applyFont="1" applyFill="1" applyBorder="1" applyAlignment="1" applyProtection="1">
      <alignment horizontal="center" vertical="center"/>
      <protection locked="0"/>
    </xf>
    <xf numFmtId="0" fontId="6" fillId="10" borderId="22" xfId="0" applyFont="1" applyFill="1" applyBorder="1" applyAlignment="1" applyProtection="1">
      <alignment horizontal="center" vertical="center"/>
      <protection locked="0"/>
    </xf>
    <xf numFmtId="0" fontId="6" fillId="0" borderId="4" xfId="0" applyFont="1" applyBorder="1" applyProtection="1">
      <protection locked="0"/>
    </xf>
    <xf numFmtId="1" fontId="23" fillId="3" borderId="10" xfId="0" applyNumberFormat="1" applyFont="1" applyFill="1" applyBorder="1" applyAlignment="1" applyProtection="1">
      <alignment horizontal="right" wrapText="1"/>
      <protection locked="0"/>
    </xf>
    <xf numFmtId="164" fontId="5" fillId="9" borderId="19" xfId="0" applyNumberFormat="1" applyFont="1" applyFill="1" applyBorder="1" applyAlignment="1" applyProtection="1">
      <alignment horizontal="right"/>
      <protection locked="0"/>
    </xf>
    <xf numFmtId="0" fontId="5" fillId="9" borderId="19" xfId="0" applyFont="1" applyFill="1" applyBorder="1" applyAlignment="1" applyProtection="1">
      <alignment horizontal="center"/>
      <protection locked="0"/>
    </xf>
    <xf numFmtId="0" fontId="5" fillId="9" borderId="19" xfId="0" applyFont="1" applyFill="1" applyBorder="1" applyProtection="1">
      <protection locked="0"/>
    </xf>
    <xf numFmtId="0" fontId="7" fillId="9" borderId="19" xfId="0" applyFont="1" applyFill="1" applyBorder="1" applyAlignment="1" applyProtection="1">
      <alignment horizontal="right"/>
      <protection locked="0"/>
    </xf>
    <xf numFmtId="0" fontId="0" fillId="9" borderId="20" xfId="0" applyFill="1" applyBorder="1" applyAlignment="1" applyProtection="1">
      <alignment horizontal="center"/>
      <protection locked="0"/>
    </xf>
    <xf numFmtId="0" fontId="0" fillId="9" borderId="17" xfId="0" applyFill="1" applyBorder="1" applyAlignment="1" applyProtection="1">
      <alignment horizontal="center"/>
      <protection locked="0"/>
    </xf>
    <xf numFmtId="0" fontId="0" fillId="9" borderId="46" xfId="0" applyFill="1" applyBorder="1" applyAlignment="1" applyProtection="1">
      <alignment horizontal="center"/>
      <protection locked="0"/>
    </xf>
    <xf numFmtId="1" fontId="6" fillId="0" borderId="0" xfId="0" applyNumberFormat="1" applyFont="1" applyAlignment="1" applyProtection="1">
      <alignment horizontal="center" wrapText="1"/>
      <protection locked="0"/>
    </xf>
    <xf numFmtId="0" fontId="5" fillId="9" borderId="10" xfId="0" applyFont="1" applyFill="1" applyBorder="1" applyAlignment="1" applyProtection="1">
      <alignment horizontal="center"/>
      <protection locked="0"/>
    </xf>
    <xf numFmtId="0" fontId="5" fillId="9" borderId="10" xfId="0" applyFont="1" applyFill="1" applyBorder="1" applyProtection="1">
      <protection locked="0"/>
    </xf>
    <xf numFmtId="0" fontId="7" fillId="9" borderId="10" xfId="0" applyFont="1" applyFill="1" applyBorder="1" applyAlignment="1" applyProtection="1">
      <alignment horizontal="right"/>
      <protection locked="0"/>
    </xf>
    <xf numFmtId="164" fontId="5" fillId="9" borderId="10" xfId="0" applyNumberFormat="1" applyFont="1" applyFill="1" applyBorder="1" applyAlignment="1" applyProtection="1">
      <alignment horizontal="right"/>
      <protection locked="0"/>
    </xf>
    <xf numFmtId="0" fontId="5" fillId="9" borderId="16" xfId="0" applyFont="1" applyFill="1" applyBorder="1" applyAlignment="1" applyProtection="1">
      <alignment horizontal="center"/>
      <protection locked="0"/>
    </xf>
    <xf numFmtId="0" fontId="5" fillId="9" borderId="45" xfId="0" applyFont="1" applyFill="1" applyBorder="1" applyAlignment="1" applyProtection="1">
      <alignment horizontal="center"/>
      <protection locked="0"/>
    </xf>
    <xf numFmtId="0" fontId="5" fillId="9" borderId="15" xfId="0" applyFont="1" applyFill="1" applyBorder="1" applyProtection="1">
      <protection locked="0"/>
    </xf>
    <xf numFmtId="0" fontId="5" fillId="9" borderId="16" xfId="0" applyFont="1" applyFill="1" applyBorder="1" applyProtection="1">
      <protection locked="0"/>
    </xf>
    <xf numFmtId="0" fontId="6" fillId="9" borderId="10" xfId="0" applyFont="1" applyFill="1" applyBorder="1" applyProtection="1">
      <protection locked="0"/>
    </xf>
    <xf numFmtId="0" fontId="5" fillId="0" borderId="45" xfId="0" applyFont="1" applyBorder="1" applyAlignment="1" applyProtection="1">
      <alignment horizontal="center"/>
      <protection locked="0"/>
    </xf>
    <xf numFmtId="0" fontId="5" fillId="0" borderId="15" xfId="0" applyFont="1" applyBorder="1" applyProtection="1">
      <protection locked="0"/>
    </xf>
    <xf numFmtId="0" fontId="5" fillId="0" borderId="16" xfId="0" applyFont="1" applyBorder="1" applyProtection="1">
      <protection locked="0"/>
    </xf>
    <xf numFmtId="0" fontId="5" fillId="0" borderId="13" xfId="0" applyFont="1" applyBorder="1" applyAlignment="1" applyProtection="1">
      <alignment horizontal="center"/>
      <protection locked="0"/>
    </xf>
    <xf numFmtId="1" fontId="6" fillId="0" borderId="19" xfId="0" applyNumberFormat="1" applyFont="1" applyBorder="1" applyAlignment="1" applyProtection="1">
      <alignment horizontal="center" wrapText="1"/>
      <protection locked="0" hidden="1"/>
    </xf>
    <xf numFmtId="1" fontId="6" fillId="9" borderId="17" xfId="0" applyNumberFormat="1" applyFont="1" applyFill="1" applyBorder="1" applyAlignment="1" applyProtection="1">
      <alignment horizontal="center" wrapText="1"/>
      <protection hidden="1"/>
    </xf>
    <xf numFmtId="1" fontId="6" fillId="9" borderId="44" xfId="0" applyNumberFormat="1" applyFont="1" applyFill="1" applyBorder="1" applyAlignment="1" applyProtection="1">
      <alignment horizontal="center" wrapText="1"/>
      <protection hidden="1"/>
    </xf>
    <xf numFmtId="0" fontId="21" fillId="0" borderId="0" xfId="0" applyFont="1" applyAlignment="1" applyProtection="1">
      <alignment horizontal="right" vertical="top" wrapText="1"/>
      <protection locked="0"/>
    </xf>
    <xf numFmtId="0" fontId="19" fillId="0" borderId="0" xfId="0" applyFont="1" applyAlignment="1" applyProtection="1">
      <alignment horizontal="right" vertical="top" wrapText="1"/>
      <protection locked="0"/>
    </xf>
    <xf numFmtId="164" fontId="6" fillId="0" borderId="42" xfId="0" applyNumberFormat="1" applyFont="1" applyBorder="1" applyAlignment="1" applyProtection="1">
      <alignment horizontal="right" vertical="top"/>
      <protection locked="0"/>
    </xf>
    <xf numFmtId="1" fontId="6" fillId="0" borderId="42" xfId="0" applyNumberFormat="1" applyFont="1" applyBorder="1" applyAlignment="1" applyProtection="1">
      <alignment horizontal="center" vertical="top"/>
      <protection locked="0"/>
    </xf>
    <xf numFmtId="1" fontId="6" fillId="0" borderId="42" xfId="0" applyNumberFormat="1" applyFont="1" applyBorder="1" applyAlignment="1" applyProtection="1">
      <alignment horizontal="left" vertical="top"/>
      <protection locked="0"/>
    </xf>
    <xf numFmtId="164" fontId="12" fillId="8" borderId="28" xfId="0" applyNumberFormat="1" applyFont="1" applyFill="1" applyBorder="1" applyAlignment="1" applyProtection="1">
      <alignment horizontal="center" vertical="center"/>
      <protection locked="0"/>
    </xf>
    <xf numFmtId="1" fontId="12" fillId="8" borderId="28" xfId="0" applyNumberFormat="1" applyFont="1" applyFill="1" applyBorder="1" applyAlignment="1" applyProtection="1">
      <alignment horizontal="center" vertical="center"/>
      <protection locked="0"/>
    </xf>
    <xf numFmtId="1" fontId="9" fillId="8" borderId="27" xfId="0" applyNumberFormat="1" applyFont="1" applyFill="1" applyBorder="1" applyAlignment="1" applyProtection="1">
      <alignment horizontal="center" wrapText="1"/>
      <protection locked="0"/>
    </xf>
    <xf numFmtId="1" fontId="5" fillId="0" borderId="0" xfId="0" applyNumberFormat="1" applyFont="1" applyProtection="1">
      <protection locked="0"/>
    </xf>
    <xf numFmtId="164" fontId="9" fillId="3" borderId="35" xfId="0" applyNumberFormat="1" applyFont="1" applyFill="1" applyBorder="1" applyAlignment="1" applyProtection="1">
      <alignment horizontal="center" vertical="center" wrapText="1"/>
      <protection locked="0"/>
    </xf>
    <xf numFmtId="164" fontId="9" fillId="3" borderId="29" xfId="0" applyNumberFormat="1" applyFont="1" applyFill="1" applyBorder="1" applyAlignment="1" applyProtection="1">
      <alignment horizontal="center" vertical="center" wrapText="1"/>
      <protection locked="0"/>
    </xf>
    <xf numFmtId="0" fontId="9" fillId="3" borderId="28" xfId="0" applyFont="1" applyFill="1" applyBorder="1" applyAlignment="1" applyProtection="1">
      <alignment horizontal="center" vertical="center" wrapText="1"/>
      <protection locked="0"/>
    </xf>
    <xf numFmtId="0" fontId="9" fillId="3" borderId="28" xfId="2" applyFont="1" applyFill="1" applyBorder="1" applyAlignment="1" applyProtection="1">
      <alignment horizontal="center" vertical="center"/>
      <protection locked="0"/>
    </xf>
    <xf numFmtId="0" fontId="9" fillId="3" borderId="28" xfId="2" applyFont="1" applyFill="1" applyBorder="1" applyAlignment="1" applyProtection="1">
      <alignment horizontal="center" vertical="center" wrapText="1"/>
      <protection locked="0"/>
    </xf>
    <xf numFmtId="1" fontId="9" fillId="3" borderId="28" xfId="0" applyNumberFormat="1" applyFont="1" applyFill="1" applyBorder="1" applyAlignment="1" applyProtection="1">
      <alignment horizontal="center" vertical="center" wrapText="1"/>
      <protection locked="0"/>
    </xf>
    <xf numFmtId="1" fontId="9" fillId="3" borderId="27" xfId="0" applyNumberFormat="1" applyFont="1" applyFill="1" applyBorder="1" applyAlignment="1" applyProtection="1">
      <alignment horizontal="center" vertical="center" wrapText="1"/>
      <protection locked="0"/>
    </xf>
    <xf numFmtId="1" fontId="23" fillId="3" borderId="10" xfId="0" applyNumberFormat="1" applyFont="1" applyFill="1" applyBorder="1" applyAlignment="1" applyProtection="1">
      <alignment horizontal="center" vertical="center" wrapText="1"/>
      <protection locked="0"/>
    </xf>
    <xf numFmtId="1" fontId="6" fillId="8" borderId="19" xfId="0" applyNumberFormat="1" applyFont="1" applyFill="1" applyBorder="1" applyAlignment="1" applyProtection="1">
      <alignment horizontal="center" wrapText="1"/>
      <protection locked="0"/>
    </xf>
    <xf numFmtId="1" fontId="6" fillId="8" borderId="12" xfId="0" applyNumberFormat="1" applyFont="1" applyFill="1" applyBorder="1" applyAlignment="1" applyProtection="1">
      <alignment horizontal="center" wrapText="1"/>
      <protection locked="0"/>
    </xf>
    <xf numFmtId="1" fontId="6" fillId="0" borderId="0" xfId="0" applyNumberFormat="1" applyFont="1" applyAlignment="1" applyProtection="1">
      <alignment horizontal="center" wrapText="1"/>
      <protection hidden="1"/>
    </xf>
    <xf numFmtId="1" fontId="5" fillId="9" borderId="10" xfId="0" applyNumberFormat="1" applyFont="1" applyFill="1" applyBorder="1" applyAlignment="1" applyProtection="1">
      <alignment horizontal="right"/>
      <protection hidden="1"/>
    </xf>
    <xf numFmtId="1" fontId="9" fillId="0" borderId="0" xfId="0" applyNumberFormat="1" applyFont="1" applyAlignment="1" applyProtection="1">
      <alignment horizontal="right" vertical="top"/>
      <protection locked="0"/>
    </xf>
    <xf numFmtId="1" fontId="9" fillId="0" borderId="5" xfId="0" applyNumberFormat="1" applyFont="1" applyBorder="1" applyAlignment="1" applyProtection="1">
      <alignment horizontal="right" vertical="center"/>
      <protection locked="0"/>
    </xf>
    <xf numFmtId="0" fontId="4" fillId="8" borderId="15" xfId="1" applyFill="1" applyBorder="1" applyAlignment="1" applyProtection="1">
      <alignment horizontal="center" vertical="center"/>
      <protection locked="0"/>
    </xf>
    <xf numFmtId="1" fontId="9" fillId="0" borderId="42" xfId="0" applyNumberFormat="1" applyFont="1" applyBorder="1" applyAlignment="1" applyProtection="1">
      <alignment horizontal="right" vertical="center" wrapText="1"/>
      <protection locked="0"/>
    </xf>
    <xf numFmtId="1" fontId="9" fillId="0" borderId="49" xfId="0" applyNumberFormat="1" applyFont="1" applyBorder="1" applyAlignment="1" applyProtection="1">
      <alignment horizontal="right" vertical="center" wrapText="1"/>
      <protection locked="0"/>
    </xf>
    <xf numFmtId="164" fontId="30" fillId="8" borderId="14" xfId="0" applyNumberFormat="1" applyFont="1" applyFill="1" applyBorder="1" applyAlignment="1" applyProtection="1">
      <alignment horizontal="center" vertical="center"/>
      <protection locked="0"/>
    </xf>
    <xf numFmtId="164" fontId="30" fillId="8" borderId="13" xfId="0" applyNumberFormat="1" applyFont="1" applyFill="1" applyBorder="1" applyAlignment="1" applyProtection="1">
      <alignment horizontal="center" vertical="center"/>
      <protection locked="0"/>
    </xf>
    <xf numFmtId="1" fontId="30" fillId="8" borderId="7" xfId="0" applyNumberFormat="1" applyFont="1" applyFill="1" applyBorder="1" applyAlignment="1" applyProtection="1">
      <alignment horizontal="center" vertical="center"/>
      <protection locked="0"/>
    </xf>
    <xf numFmtId="1" fontId="30" fillId="8" borderId="12" xfId="0" applyNumberFormat="1" applyFont="1" applyFill="1" applyBorder="1" applyAlignment="1" applyProtection="1">
      <alignment horizontal="center" vertical="center"/>
      <protection locked="0"/>
    </xf>
    <xf numFmtId="1" fontId="30" fillId="8" borderId="12" xfId="0" applyNumberFormat="1" applyFont="1" applyFill="1" applyBorder="1" applyAlignment="1" applyProtection="1">
      <alignment horizontal="center" vertical="center" wrapText="1"/>
      <protection locked="0"/>
    </xf>
    <xf numFmtId="1" fontId="30" fillId="8" borderId="29" xfId="0" applyNumberFormat="1" applyFont="1" applyFill="1" applyBorder="1" applyAlignment="1" applyProtection="1">
      <alignment horizontal="center" vertical="center" wrapText="1"/>
      <protection locked="0"/>
    </xf>
    <xf numFmtId="1" fontId="30" fillId="8" borderId="8" xfId="0" applyNumberFormat="1" applyFont="1" applyFill="1" applyBorder="1" applyAlignment="1" applyProtection="1">
      <alignment horizontal="center" vertical="center" wrapText="1"/>
      <protection locked="0"/>
    </xf>
    <xf numFmtId="0" fontId="9" fillId="3" borderId="28" xfId="2" applyFont="1" applyFill="1" applyBorder="1" applyProtection="1">
      <protection locked="0"/>
    </xf>
    <xf numFmtId="0" fontId="9" fillId="3" borderId="28" xfId="2" applyFont="1" applyFill="1" applyBorder="1" applyAlignment="1" applyProtection="1">
      <alignment horizontal="right" wrapText="1"/>
      <protection locked="0"/>
    </xf>
    <xf numFmtId="1" fontId="9" fillId="3" borderId="28" xfId="0" applyNumberFormat="1" applyFont="1" applyFill="1" applyBorder="1" applyAlignment="1" applyProtection="1">
      <alignment horizontal="center" wrapText="1"/>
      <protection locked="0"/>
    </xf>
    <xf numFmtId="1" fontId="9" fillId="3" borderId="27" xfId="0" applyNumberFormat="1" applyFont="1" applyFill="1" applyBorder="1" applyAlignment="1" applyProtection="1">
      <alignment horizontal="center" wrapText="1"/>
      <protection locked="0"/>
    </xf>
    <xf numFmtId="0" fontId="0" fillId="9" borderId="49" xfId="0" applyFill="1" applyBorder="1" applyAlignment="1" applyProtection="1">
      <alignment horizontal="center"/>
      <protection locked="0"/>
    </xf>
    <xf numFmtId="0" fontId="5" fillId="9" borderId="15" xfId="0" applyFont="1" applyFill="1" applyBorder="1" applyAlignment="1" applyProtection="1">
      <alignment horizontal="center"/>
      <protection locked="0"/>
    </xf>
    <xf numFmtId="0" fontId="7" fillId="0" borderId="45" xfId="0" applyFont="1" applyBorder="1" applyAlignment="1" applyProtection="1">
      <alignment horizontal="right"/>
      <protection locked="0"/>
    </xf>
    <xf numFmtId="0" fontId="5" fillId="0" borderId="11" xfId="0" applyFont="1" applyBorder="1" applyAlignment="1" applyProtection="1">
      <alignment horizontal="center"/>
      <protection locked="0"/>
    </xf>
    <xf numFmtId="1" fontId="6" fillId="0" borderId="30" xfId="0" applyNumberFormat="1" applyFont="1" applyBorder="1" applyAlignment="1" applyProtection="1">
      <alignment horizontal="center" wrapText="1"/>
      <protection locked="0" hidden="1"/>
    </xf>
    <xf numFmtId="0" fontId="32" fillId="0" borderId="0" xfId="0" applyFont="1" applyAlignment="1" applyProtection="1">
      <alignment horizontal="left" vertical="top" wrapText="1"/>
      <protection locked="0"/>
    </xf>
    <xf numFmtId="0" fontId="4" fillId="8" borderId="18" xfId="1" applyFill="1" applyBorder="1" applyAlignment="1" applyProtection="1">
      <alignment horizontal="center" vertical="center"/>
      <protection locked="0"/>
    </xf>
    <xf numFmtId="1" fontId="6" fillId="0" borderId="4" xfId="0" applyNumberFormat="1" applyFont="1" applyBorder="1" applyProtection="1">
      <protection locked="0"/>
    </xf>
    <xf numFmtId="164" fontId="30" fillId="8" borderId="35" xfId="0" applyNumberFormat="1" applyFont="1" applyFill="1" applyBorder="1" applyAlignment="1" applyProtection="1">
      <alignment horizontal="center" vertical="center"/>
      <protection locked="0"/>
    </xf>
    <xf numFmtId="164" fontId="30" fillId="8" borderId="7" xfId="0" applyNumberFormat="1" applyFont="1" applyFill="1" applyBorder="1" applyAlignment="1" applyProtection="1">
      <alignment horizontal="center" vertical="center"/>
      <protection locked="0"/>
    </xf>
    <xf numFmtId="1" fontId="30" fillId="8" borderId="6" xfId="0" applyNumberFormat="1" applyFont="1" applyFill="1" applyBorder="1" applyAlignment="1" applyProtection="1">
      <alignment horizontal="center" vertical="center"/>
      <protection locked="0"/>
    </xf>
    <xf numFmtId="1" fontId="30" fillId="8" borderId="28" xfId="0" applyNumberFormat="1" applyFont="1" applyFill="1" applyBorder="1" applyAlignment="1" applyProtection="1">
      <alignment horizontal="center" vertical="center"/>
      <protection locked="0"/>
    </xf>
    <xf numFmtId="1" fontId="30" fillId="8" borderId="28" xfId="0" applyNumberFormat="1" applyFont="1" applyFill="1" applyBorder="1" applyAlignment="1" applyProtection="1">
      <alignment horizontal="center" vertical="center" wrapText="1"/>
      <protection locked="0"/>
    </xf>
    <xf numFmtId="1" fontId="30" fillId="8" borderId="7" xfId="0" applyNumberFormat="1" applyFont="1" applyFill="1" applyBorder="1" applyAlignment="1" applyProtection="1">
      <alignment horizontal="center" vertical="center" wrapText="1"/>
      <protection locked="0"/>
    </xf>
    <xf numFmtId="1" fontId="6" fillId="0" borderId="6" xfId="0" applyNumberFormat="1" applyFont="1" applyBorder="1" applyProtection="1">
      <protection locked="0"/>
    </xf>
    <xf numFmtId="1" fontId="5" fillId="0" borderId="42" xfId="0" applyNumberFormat="1" applyFont="1" applyBorder="1" applyAlignment="1" applyProtection="1">
      <alignment horizontal="left" vertical="top"/>
      <protection locked="0"/>
    </xf>
    <xf numFmtId="164" fontId="30" fillId="8" borderId="12" xfId="0" applyNumberFormat="1" applyFont="1" applyFill="1" applyBorder="1" applyAlignment="1" applyProtection="1">
      <alignment horizontal="center" vertical="center"/>
      <protection locked="0"/>
    </xf>
    <xf numFmtId="1" fontId="6" fillId="0" borderId="2" xfId="0" applyNumberFormat="1" applyFont="1" applyBorder="1" applyAlignment="1" applyProtection="1">
      <alignment horizontal="left"/>
      <protection locked="0"/>
    </xf>
    <xf numFmtId="164" fontId="6" fillId="0" borderId="7" xfId="0" applyNumberFormat="1" applyFont="1" applyBorder="1" applyAlignment="1" applyProtection="1">
      <alignment horizontal="right" vertical="top"/>
      <protection locked="0"/>
    </xf>
    <xf numFmtId="1" fontId="6" fillId="0" borderId="7" xfId="0" applyNumberFormat="1" applyFont="1" applyBorder="1" applyAlignment="1" applyProtection="1">
      <alignment horizontal="center" vertical="top"/>
      <protection locked="0"/>
    </xf>
    <xf numFmtId="1" fontId="6" fillId="0" borderId="8" xfId="0" applyNumberFormat="1" applyFont="1" applyBorder="1" applyAlignment="1" applyProtection="1">
      <alignment horizontal="left" vertical="top"/>
      <protection locked="0"/>
    </xf>
    <xf numFmtId="164" fontId="5" fillId="0" borderId="48" xfId="0" applyNumberFormat="1" applyFont="1" applyBorder="1" applyAlignment="1" applyProtection="1">
      <alignment horizontal="right"/>
      <protection locked="0"/>
    </xf>
    <xf numFmtId="164" fontId="5" fillId="0" borderId="33" xfId="0" applyNumberFormat="1" applyFont="1" applyBorder="1" applyAlignment="1" applyProtection="1">
      <alignment horizontal="right"/>
      <protection locked="0"/>
    </xf>
    <xf numFmtId="0" fontId="5" fillId="0" borderId="31" xfId="0" applyFont="1" applyBorder="1" applyAlignment="1" applyProtection="1">
      <alignment horizontal="center"/>
      <protection locked="0"/>
    </xf>
    <xf numFmtId="0" fontId="5" fillId="0" borderId="31" xfId="0" applyFont="1" applyBorder="1" applyAlignment="1" applyProtection="1">
      <alignment horizontal="left"/>
      <protection locked="0"/>
    </xf>
    <xf numFmtId="0" fontId="7" fillId="0" borderId="31" xfId="0" applyFont="1" applyBorder="1" applyAlignment="1" applyProtection="1">
      <alignment horizontal="right"/>
      <protection locked="0"/>
    </xf>
    <xf numFmtId="1" fontId="6" fillId="0" borderId="31" xfId="0" applyNumberFormat="1" applyFont="1" applyBorder="1" applyAlignment="1" applyProtection="1">
      <alignment horizontal="center" wrapText="1"/>
      <protection locked="0" hidden="1"/>
    </xf>
    <xf numFmtId="0" fontId="5" fillId="0" borderId="33" xfId="0" applyFont="1" applyBorder="1" applyAlignment="1" applyProtection="1">
      <alignment horizontal="center"/>
      <protection locked="0"/>
    </xf>
    <xf numFmtId="0" fontId="5" fillId="0" borderId="32" xfId="0" applyFont="1" applyBorder="1" applyAlignment="1" applyProtection="1">
      <alignment horizontal="center"/>
      <protection locked="0"/>
    </xf>
    <xf numFmtId="1" fontId="5" fillId="0" borderId="31" xfId="0" applyNumberFormat="1" applyFont="1" applyBorder="1" applyAlignment="1" applyProtection="1">
      <alignment horizontal="right"/>
      <protection hidden="1"/>
    </xf>
    <xf numFmtId="164" fontId="5" fillId="0" borderId="0" xfId="0" applyNumberFormat="1" applyFont="1" applyAlignment="1" applyProtection="1">
      <alignment horizontal="right"/>
      <protection locked="0"/>
    </xf>
    <xf numFmtId="0" fontId="5" fillId="0" borderId="0" xfId="0" applyFont="1" applyAlignment="1" applyProtection="1">
      <alignment horizontal="center"/>
      <protection locked="0"/>
    </xf>
    <xf numFmtId="0" fontId="5" fillId="0" borderId="0" xfId="0" applyFont="1" applyAlignment="1" applyProtection="1">
      <alignment horizontal="left"/>
      <protection locked="0"/>
    </xf>
    <xf numFmtId="0" fontId="7" fillId="0" borderId="0" xfId="0" applyFont="1" applyAlignment="1" applyProtection="1">
      <alignment horizontal="right"/>
      <protection locked="0"/>
    </xf>
    <xf numFmtId="1" fontId="6" fillId="0" borderId="0" xfId="0" applyNumberFormat="1" applyFont="1" applyAlignment="1" applyProtection="1">
      <alignment horizontal="center" wrapText="1"/>
      <protection locked="0" hidden="1"/>
    </xf>
    <xf numFmtId="1" fontId="5" fillId="0" borderId="0" xfId="0" applyNumberFormat="1" applyFont="1" applyAlignment="1" applyProtection="1">
      <alignment horizontal="right"/>
      <protection hidden="1"/>
    </xf>
    <xf numFmtId="0" fontId="5" fillId="0" borderId="50" xfId="0" applyFont="1" applyBorder="1" applyAlignment="1" applyProtection="1">
      <alignment horizontal="center"/>
      <protection locked="0"/>
    </xf>
    <xf numFmtId="0" fontId="5" fillId="0" borderId="31" xfId="0" applyFont="1" applyBorder="1" applyProtection="1">
      <protection locked="0"/>
    </xf>
    <xf numFmtId="0" fontId="5" fillId="0" borderId="32" xfId="0" applyFont="1" applyBorder="1" applyProtection="1">
      <protection locked="0"/>
    </xf>
    <xf numFmtId="0" fontId="5" fillId="0" borderId="33" xfId="0" applyFont="1" applyBorder="1" applyProtection="1">
      <protection locked="0"/>
    </xf>
    <xf numFmtId="164" fontId="0" fillId="0" borderId="10" xfId="0" applyNumberFormat="1" applyBorder="1" applyAlignment="1" applyProtection="1">
      <alignment horizontal="right"/>
      <protection locked="0"/>
    </xf>
    <xf numFmtId="0" fontId="0" fillId="0" borderId="10" xfId="0" applyBorder="1" applyAlignment="1" applyProtection="1">
      <alignment horizontal="left"/>
      <protection locked="0"/>
    </xf>
    <xf numFmtId="0" fontId="0" fillId="0" borderId="10" xfId="0" applyBorder="1" applyAlignment="1" applyProtection="1">
      <alignment horizontal="right"/>
      <protection locked="0"/>
    </xf>
    <xf numFmtId="0" fontId="0" fillId="0" borderId="12" xfId="0" applyBorder="1" applyAlignment="1" applyProtection="1">
      <alignment horizontal="center"/>
      <protection locked="0"/>
    </xf>
    <xf numFmtId="0" fontId="0" fillId="0" borderId="12" xfId="0" applyBorder="1" applyProtection="1">
      <protection locked="0"/>
    </xf>
    <xf numFmtId="0" fontId="0" fillId="0" borderId="11" xfId="0" applyBorder="1" applyProtection="1">
      <protection locked="0"/>
    </xf>
    <xf numFmtId="0" fontId="0" fillId="0" borderId="13" xfId="0" applyBorder="1" applyAlignment="1" applyProtection="1">
      <alignment horizontal="center"/>
      <protection locked="0"/>
    </xf>
    <xf numFmtId="1" fontId="6" fillId="9" borderId="15" xfId="0" applyNumberFormat="1" applyFont="1" applyFill="1" applyBorder="1" applyAlignment="1" applyProtection="1">
      <alignment horizontal="center" wrapText="1"/>
      <protection hidden="1"/>
    </xf>
    <xf numFmtId="164" fontId="0" fillId="0" borderId="12" xfId="0" applyNumberFormat="1" applyBorder="1" applyAlignment="1" applyProtection="1">
      <alignment horizontal="right"/>
      <protection locked="0"/>
    </xf>
    <xf numFmtId="0" fontId="0" fillId="0" borderId="12" xfId="0" applyBorder="1" applyAlignment="1" applyProtection="1">
      <alignment horizontal="left"/>
      <protection locked="0"/>
    </xf>
    <xf numFmtId="0" fontId="0" fillId="0" borderId="12" xfId="0" applyBorder="1" applyAlignment="1" applyProtection="1">
      <alignment horizontal="right"/>
      <protection locked="0"/>
    </xf>
    <xf numFmtId="1" fontId="6" fillId="9" borderId="11" xfId="0" applyNumberFormat="1" applyFont="1" applyFill="1" applyBorder="1" applyAlignment="1" applyProtection="1">
      <alignment horizontal="center" wrapText="1"/>
      <protection hidden="1"/>
    </xf>
    <xf numFmtId="0" fontId="7" fillId="0" borderId="30" xfId="0" applyFont="1" applyBorder="1" applyAlignment="1" applyProtection="1">
      <alignment horizontal="right"/>
      <protection locked="0"/>
    </xf>
    <xf numFmtId="1" fontId="6" fillId="8" borderId="30" xfId="0" applyNumberFormat="1" applyFont="1" applyFill="1" applyBorder="1" applyAlignment="1" applyProtection="1">
      <alignment horizontal="center" wrapText="1"/>
      <protection locked="0"/>
    </xf>
    <xf numFmtId="1" fontId="6" fillId="8" borderId="10" xfId="0" applyNumberFormat="1" applyFont="1" applyFill="1" applyBorder="1" applyAlignment="1" applyProtection="1">
      <alignment horizontal="center" wrapText="1"/>
      <protection locked="0"/>
    </xf>
    <xf numFmtId="164" fontId="5" fillId="0" borderId="12" xfId="0" applyNumberFormat="1" applyFont="1" applyBorder="1" applyAlignment="1" applyProtection="1">
      <alignment horizontal="right"/>
      <protection locked="0"/>
    </xf>
    <xf numFmtId="0" fontId="6" fillId="0" borderId="11" xfId="0" applyFont="1" applyBorder="1" applyAlignment="1" applyProtection="1">
      <alignment horizontal="center"/>
      <protection locked="0"/>
    </xf>
    <xf numFmtId="0" fontId="7" fillId="0" borderId="50" xfId="0" applyFont="1" applyBorder="1" applyAlignment="1" applyProtection="1">
      <alignment horizontal="right"/>
      <protection locked="0"/>
    </xf>
    <xf numFmtId="1" fontId="5" fillId="0" borderId="12" xfId="0" applyNumberFormat="1" applyFont="1" applyBorder="1" applyAlignment="1" applyProtection="1">
      <alignment horizontal="center" wrapText="1"/>
      <protection locked="0" hidden="1"/>
    </xf>
    <xf numFmtId="14" fontId="0" fillId="0" borderId="0" xfId="0" applyNumberFormat="1" applyAlignment="1">
      <alignment horizontal="right"/>
    </xf>
    <xf numFmtId="0" fontId="39" fillId="0" borderId="51" xfId="0" applyFont="1" applyBorder="1"/>
    <xf numFmtId="0" fontId="35" fillId="11" borderId="1" xfId="0" applyFont="1" applyFill="1" applyBorder="1" applyAlignment="1">
      <alignment horizontal="center" vertical="top" wrapText="1"/>
    </xf>
    <xf numFmtId="0" fontId="35" fillId="11" borderId="2" xfId="0" applyFont="1" applyFill="1" applyBorder="1" applyAlignment="1">
      <alignment horizontal="center" vertical="top"/>
    </xf>
    <xf numFmtId="0" fontId="35" fillId="11" borderId="3" xfId="0" applyFont="1" applyFill="1" applyBorder="1" applyAlignment="1">
      <alignment horizontal="center" vertical="top"/>
    </xf>
    <xf numFmtId="0" fontId="35" fillId="11" borderId="4" xfId="0" applyFont="1" applyFill="1" applyBorder="1" applyAlignment="1">
      <alignment horizontal="center" vertical="top"/>
    </xf>
    <xf numFmtId="0" fontId="35" fillId="11" borderId="0" xfId="0" applyFont="1" applyFill="1" applyAlignment="1">
      <alignment horizontal="center" vertical="top"/>
    </xf>
    <xf numFmtId="0" fontId="35" fillId="11" borderId="5" xfId="0" applyFont="1" applyFill="1" applyBorder="1" applyAlignment="1">
      <alignment horizontal="center" vertical="top"/>
    </xf>
    <xf numFmtId="0" fontId="35" fillId="11" borderId="6" xfId="0" applyFont="1" applyFill="1" applyBorder="1" applyAlignment="1">
      <alignment horizontal="center" vertical="top"/>
    </xf>
    <xf numFmtId="0" fontId="35" fillId="11" borderId="7" xfId="0" applyFont="1" applyFill="1" applyBorder="1" applyAlignment="1">
      <alignment horizontal="center" vertical="top"/>
    </xf>
    <xf numFmtId="0" fontId="35" fillId="11" borderId="8" xfId="0" applyFont="1" applyFill="1" applyBorder="1" applyAlignment="1">
      <alignment horizontal="center" vertical="top"/>
    </xf>
    <xf numFmtId="0" fontId="0" fillId="9" borderId="0" xfId="0" applyFill="1" applyAlignment="1">
      <alignment horizontal="center"/>
    </xf>
    <xf numFmtId="0" fontId="34" fillId="2" borderId="0" xfId="0" applyFont="1" applyFill="1" applyAlignment="1">
      <alignment horizontal="center" vertical="top" wrapText="1"/>
    </xf>
    <xf numFmtId="0" fontId="0" fillId="2" borderId="0" xfId="0" applyFill="1" applyAlignment="1">
      <alignment horizontal="center" vertical="top"/>
    </xf>
    <xf numFmtId="0" fontId="1" fillId="9" borderId="1" xfId="0" applyFont="1" applyFill="1" applyBorder="1" applyAlignment="1">
      <alignment horizontal="center" vertical="top" wrapText="1"/>
    </xf>
    <xf numFmtId="0" fontId="0" fillId="9" borderId="2" xfId="0" applyFill="1" applyBorder="1" applyAlignment="1">
      <alignment horizontal="center" vertical="top"/>
    </xf>
    <xf numFmtId="0" fontId="0" fillId="9" borderId="3" xfId="0" applyFill="1" applyBorder="1" applyAlignment="1">
      <alignment horizontal="center" vertical="top"/>
    </xf>
    <xf numFmtId="0" fontId="0" fillId="9" borderId="4" xfId="0" applyFill="1" applyBorder="1" applyAlignment="1">
      <alignment horizontal="center" vertical="top"/>
    </xf>
    <xf numFmtId="0" fontId="0" fillId="9" borderId="0" xfId="0" applyFill="1" applyAlignment="1">
      <alignment horizontal="center" vertical="top"/>
    </xf>
    <xf numFmtId="0" fontId="0" fillId="9" borderId="5" xfId="0" applyFill="1" applyBorder="1" applyAlignment="1">
      <alignment horizontal="center" vertical="top"/>
    </xf>
    <xf numFmtId="0" fontId="0" fillId="9" borderId="6" xfId="0" applyFill="1" applyBorder="1" applyAlignment="1">
      <alignment horizontal="center" vertical="top"/>
    </xf>
    <xf numFmtId="0" fontId="0" fillId="9" borderId="7" xfId="0" applyFill="1" applyBorder="1" applyAlignment="1">
      <alignment horizontal="center" vertical="top"/>
    </xf>
    <xf numFmtId="0" fontId="0" fillId="9" borderId="8" xfId="0" applyFill="1" applyBorder="1" applyAlignment="1">
      <alignment horizontal="center" vertical="top"/>
    </xf>
    <xf numFmtId="0" fontId="0" fillId="9" borderId="1" xfId="0" applyFill="1" applyBorder="1" applyAlignment="1">
      <alignment horizontal="left" vertical="top" wrapText="1"/>
    </xf>
    <xf numFmtId="0" fontId="0" fillId="9" borderId="2" xfId="0" applyFill="1" applyBorder="1" applyAlignment="1">
      <alignment horizontal="left" vertical="top"/>
    </xf>
    <xf numFmtId="0" fontId="0" fillId="9" borderId="3" xfId="0" applyFill="1" applyBorder="1" applyAlignment="1">
      <alignment horizontal="left" vertical="top"/>
    </xf>
    <xf numFmtId="0" fontId="0" fillId="9" borderId="4" xfId="0" applyFill="1" applyBorder="1" applyAlignment="1">
      <alignment horizontal="left" vertical="top"/>
    </xf>
    <xf numFmtId="0" fontId="0" fillId="9" borderId="0" xfId="0" applyFill="1" applyAlignment="1">
      <alignment horizontal="left" vertical="top"/>
    </xf>
    <xf numFmtId="0" fontId="0" fillId="9" borderId="5" xfId="0" applyFill="1" applyBorder="1" applyAlignment="1">
      <alignment horizontal="left" vertical="top"/>
    </xf>
    <xf numFmtId="0" fontId="0" fillId="9" borderId="6" xfId="0" applyFill="1" applyBorder="1" applyAlignment="1">
      <alignment horizontal="left" vertical="top"/>
    </xf>
    <xf numFmtId="0" fontId="0" fillId="9" borderId="7" xfId="0" applyFill="1" applyBorder="1" applyAlignment="1">
      <alignment horizontal="left" vertical="top"/>
    </xf>
    <xf numFmtId="0" fontId="0" fillId="9" borderId="8" xfId="0" applyFill="1" applyBorder="1" applyAlignment="1">
      <alignment horizontal="left" vertical="top"/>
    </xf>
    <xf numFmtId="0" fontId="11" fillId="6" borderId="31" xfId="0" applyFont="1" applyFill="1" applyBorder="1" applyAlignment="1" applyProtection="1">
      <alignment horizontal="center" textRotation="90" wrapText="1"/>
      <protection locked="0"/>
    </xf>
    <xf numFmtId="0" fontId="11" fillId="6" borderId="28" xfId="0" applyFont="1" applyFill="1" applyBorder="1" applyAlignment="1" applyProtection="1">
      <alignment horizontal="center" textRotation="90" wrapText="1"/>
      <protection locked="0"/>
    </xf>
    <xf numFmtId="0" fontId="11" fillId="5" borderId="31" xfId="0" applyFont="1" applyFill="1" applyBorder="1" applyAlignment="1" applyProtection="1">
      <alignment horizontal="center" textRotation="90" wrapText="1"/>
      <protection locked="0"/>
    </xf>
    <xf numFmtId="0" fontId="11" fillId="5" borderId="28" xfId="0" applyFont="1" applyFill="1" applyBorder="1" applyAlignment="1" applyProtection="1">
      <alignment horizontal="center" textRotation="90" wrapText="1"/>
      <protection locked="0"/>
    </xf>
    <xf numFmtId="0" fontId="11" fillId="4" borderId="32" xfId="0" applyFont="1" applyFill="1" applyBorder="1" applyAlignment="1" applyProtection="1">
      <alignment horizontal="center" textRotation="90" wrapText="1"/>
      <protection locked="0"/>
    </xf>
    <xf numFmtId="0" fontId="11" fillId="4" borderId="27" xfId="0" applyFont="1" applyFill="1" applyBorder="1" applyAlignment="1" applyProtection="1">
      <alignment horizontal="center" textRotation="90" wrapText="1"/>
      <protection locked="0"/>
    </xf>
    <xf numFmtId="0" fontId="11" fillId="4" borderId="31" xfId="0" applyFont="1" applyFill="1" applyBorder="1" applyAlignment="1" applyProtection="1">
      <alignment horizontal="center" textRotation="90" wrapText="1"/>
      <protection locked="0"/>
    </xf>
    <xf numFmtId="0" fontId="11" fillId="4" borderId="28" xfId="0" applyFont="1" applyFill="1" applyBorder="1" applyAlignment="1" applyProtection="1">
      <alignment horizontal="center" textRotation="90" wrapText="1"/>
      <protection locked="0"/>
    </xf>
    <xf numFmtId="1" fontId="12" fillId="8" borderId="38" xfId="0" applyNumberFormat="1" applyFont="1" applyFill="1" applyBorder="1" applyAlignment="1" applyProtection="1">
      <alignment horizontal="right" vertical="top" wrapText="1"/>
      <protection locked="0"/>
    </xf>
    <xf numFmtId="1" fontId="12" fillId="8" borderId="37" xfId="0" applyNumberFormat="1" applyFont="1" applyFill="1" applyBorder="1" applyAlignment="1" applyProtection="1">
      <alignment horizontal="right" vertical="top"/>
      <protection locked="0"/>
    </xf>
    <xf numFmtId="1" fontId="12" fillId="8" borderId="35" xfId="0" applyNumberFormat="1" applyFont="1" applyFill="1" applyBorder="1" applyAlignment="1" applyProtection="1">
      <alignment horizontal="center" vertical="top" wrapText="1"/>
      <protection locked="0"/>
    </xf>
    <xf numFmtId="1" fontId="12" fillId="8" borderId="28" xfId="0" applyNumberFormat="1" applyFont="1" applyFill="1" applyBorder="1" applyAlignment="1" applyProtection="1">
      <alignment horizontal="center" vertical="top" wrapText="1"/>
      <protection locked="0"/>
    </xf>
    <xf numFmtId="1" fontId="12" fillId="8" borderId="34" xfId="0" applyNumberFormat="1" applyFont="1" applyFill="1" applyBorder="1" applyAlignment="1" applyProtection="1">
      <alignment horizontal="center" vertical="top" wrapText="1"/>
      <protection locked="0"/>
    </xf>
    <xf numFmtId="0" fontId="11" fillId="8" borderId="31" xfId="0" applyFont="1" applyFill="1" applyBorder="1" applyAlignment="1" applyProtection="1">
      <alignment horizontal="center" textRotation="90" wrapText="1"/>
      <protection locked="0"/>
    </xf>
    <xf numFmtId="0" fontId="11" fillId="8" borderId="28" xfId="0" applyFont="1" applyFill="1" applyBorder="1" applyAlignment="1" applyProtection="1">
      <alignment horizontal="center" textRotation="90" wrapText="1"/>
      <protection locked="0"/>
    </xf>
    <xf numFmtId="0" fontId="11" fillId="7" borderId="31" xfId="0" applyFont="1" applyFill="1" applyBorder="1" applyAlignment="1" applyProtection="1">
      <alignment horizontal="center" textRotation="90" wrapText="1"/>
      <protection locked="0"/>
    </xf>
    <xf numFmtId="0" fontId="11" fillId="7" borderId="28" xfId="0" applyFont="1" applyFill="1" applyBorder="1" applyAlignment="1" applyProtection="1">
      <alignment horizontal="center" textRotation="90" wrapText="1"/>
      <protection locked="0"/>
    </xf>
    <xf numFmtId="0" fontId="21" fillId="8" borderId="43" xfId="0" applyFont="1" applyFill="1" applyBorder="1" applyAlignment="1" applyProtection="1">
      <alignment horizontal="right" vertical="top" wrapText="1"/>
      <protection locked="0"/>
    </xf>
    <xf numFmtId="0" fontId="20" fillId="8" borderId="23" xfId="0" applyFont="1" applyFill="1" applyBorder="1" applyAlignment="1" applyProtection="1">
      <alignment horizontal="right" vertical="top" wrapText="1"/>
      <protection locked="0"/>
    </xf>
    <xf numFmtId="0" fontId="18" fillId="8" borderId="23" xfId="0" applyFont="1" applyFill="1" applyBorder="1" applyAlignment="1" applyProtection="1">
      <alignment horizontal="left" vertical="top" wrapText="1"/>
      <protection locked="0"/>
    </xf>
    <xf numFmtId="0" fontId="15" fillId="3" borderId="23" xfId="0" applyFont="1" applyFill="1" applyBorder="1" applyAlignment="1" applyProtection="1">
      <alignment horizontal="left" vertical="center" wrapText="1"/>
      <protection locked="0"/>
    </xf>
    <xf numFmtId="0" fontId="15" fillId="3" borderId="22" xfId="0" applyFont="1" applyFill="1" applyBorder="1" applyAlignment="1" applyProtection="1">
      <alignment horizontal="left" vertical="center" wrapText="1"/>
      <protection locked="0"/>
    </xf>
    <xf numFmtId="1" fontId="6" fillId="0" borderId="41" xfId="0" applyNumberFormat="1" applyFont="1" applyBorder="1" applyAlignment="1" applyProtection="1">
      <alignment horizontal="right"/>
      <protection locked="0"/>
    </xf>
    <xf numFmtId="1" fontId="6" fillId="0" borderId="40" xfId="0" applyNumberFormat="1" applyFont="1" applyBorder="1" applyAlignment="1" applyProtection="1">
      <alignment horizontal="right"/>
      <protection locked="0"/>
    </xf>
    <xf numFmtId="0" fontId="11" fillId="8" borderId="33" xfId="0" applyFont="1" applyFill="1" applyBorder="1" applyAlignment="1" applyProtection="1">
      <alignment horizontal="center" textRotation="90" wrapText="1"/>
      <protection locked="0"/>
    </xf>
    <xf numFmtId="0" fontId="11" fillId="8" borderId="29" xfId="0" applyFont="1" applyFill="1" applyBorder="1" applyAlignment="1" applyProtection="1">
      <alignment horizontal="center" textRotation="90" wrapText="1"/>
      <protection locked="0"/>
    </xf>
    <xf numFmtId="1" fontId="24" fillId="8" borderId="31" xfId="0" applyNumberFormat="1" applyFont="1" applyFill="1" applyBorder="1" applyAlignment="1" applyProtection="1">
      <alignment horizontal="center"/>
      <protection locked="0"/>
    </xf>
    <xf numFmtId="0" fontId="0" fillId="0" borderId="28" xfId="0" applyBorder="1" applyAlignment="1" applyProtection="1">
      <alignment horizontal="center"/>
      <protection locked="0"/>
    </xf>
    <xf numFmtId="2" fontId="24" fillId="8" borderId="32" xfId="0" applyNumberFormat="1" applyFont="1" applyFill="1" applyBorder="1" applyAlignment="1" applyProtection="1">
      <alignment horizontal="center"/>
      <protection locked="0"/>
    </xf>
    <xf numFmtId="0" fontId="0" fillId="0" borderId="27" xfId="0" applyBorder="1" applyAlignment="1" applyProtection="1">
      <alignment horizontal="center"/>
      <protection locked="0"/>
    </xf>
    <xf numFmtId="1" fontId="27" fillId="8" borderId="31" xfId="0" applyNumberFormat="1" applyFont="1" applyFill="1" applyBorder="1" applyAlignment="1" applyProtection="1">
      <alignment horizontal="center"/>
      <protection locked="0"/>
    </xf>
    <xf numFmtId="1" fontId="24" fillId="8" borderId="28" xfId="0" applyNumberFormat="1" applyFont="1" applyFill="1" applyBorder="1" applyAlignment="1" applyProtection="1">
      <alignment horizontal="center"/>
      <protection locked="0"/>
    </xf>
    <xf numFmtId="1" fontId="25" fillId="8" borderId="48" xfId="0" applyNumberFormat="1" applyFont="1" applyFill="1" applyBorder="1" applyAlignment="1" applyProtection="1">
      <alignment horizontal="center"/>
      <protection locked="0"/>
    </xf>
    <xf numFmtId="1" fontId="25" fillId="8" borderId="35" xfId="0" applyNumberFormat="1" applyFont="1" applyFill="1" applyBorder="1" applyAlignment="1" applyProtection="1">
      <alignment horizontal="center"/>
      <protection locked="0"/>
    </xf>
    <xf numFmtId="1" fontId="24" fillId="8" borderId="31" xfId="0" applyNumberFormat="1" applyFont="1" applyFill="1" applyBorder="1" applyAlignment="1" applyProtection="1">
      <alignment horizontal="left" wrapText="1"/>
      <protection locked="0"/>
    </xf>
    <xf numFmtId="0" fontId="0" fillId="0" borderId="28" xfId="0" applyBorder="1" applyAlignment="1" applyProtection="1">
      <alignment horizontal="left" wrapText="1"/>
      <protection locked="0"/>
    </xf>
    <xf numFmtId="1" fontId="24" fillId="8" borderId="32" xfId="0" applyNumberFormat="1" applyFont="1" applyFill="1" applyBorder="1" applyAlignment="1" applyProtection="1">
      <alignment horizontal="left" wrapText="1"/>
      <protection locked="0"/>
    </xf>
    <xf numFmtId="0" fontId="0" fillId="0" borderId="27" xfId="0" applyBorder="1" applyAlignment="1" applyProtection="1">
      <alignment horizontal="left" wrapText="1"/>
      <protection locked="0"/>
    </xf>
    <xf numFmtId="0" fontId="26" fillId="8" borderId="31" xfId="0" applyFont="1" applyFill="1" applyBorder="1" applyAlignment="1" applyProtection="1">
      <alignment horizontal="left" wrapText="1"/>
      <protection locked="0"/>
    </xf>
    <xf numFmtId="1" fontId="28" fillId="0" borderId="26" xfId="0" applyNumberFormat="1" applyFont="1" applyBorder="1" applyAlignment="1" applyProtection="1">
      <alignment horizontal="right" vertical="center"/>
      <protection locked="0"/>
    </xf>
    <xf numFmtId="1" fontId="28" fillId="0" borderId="24" xfId="0" applyNumberFormat="1" applyFont="1" applyBorder="1" applyAlignment="1" applyProtection="1">
      <alignment horizontal="right" vertical="center"/>
      <protection locked="0"/>
    </xf>
    <xf numFmtId="1" fontId="28" fillId="0" borderId="9" xfId="0" applyNumberFormat="1" applyFont="1" applyBorder="1" applyAlignment="1" applyProtection="1">
      <alignment horizontal="right" vertical="center" wrapText="1"/>
      <protection locked="0"/>
    </xf>
    <xf numFmtId="1" fontId="28" fillId="0" borderId="44" xfId="0" applyNumberFormat="1" applyFont="1" applyBorder="1" applyAlignment="1" applyProtection="1">
      <alignment horizontal="right" vertical="center" wrapText="1"/>
      <protection locked="0"/>
    </xf>
    <xf numFmtId="0" fontId="26" fillId="8" borderId="48" xfId="0" applyFont="1" applyFill="1" applyBorder="1" applyAlignment="1" applyProtection="1">
      <alignment horizontal="center" wrapText="1"/>
      <protection locked="0"/>
    </xf>
    <xf numFmtId="0" fontId="26" fillId="8" borderId="35" xfId="0" applyFont="1" applyFill="1" applyBorder="1" applyAlignment="1" applyProtection="1">
      <alignment horizontal="center" wrapText="1"/>
      <protection locked="0"/>
    </xf>
    <xf numFmtId="0" fontId="15" fillId="3" borderId="43" xfId="0" applyFont="1" applyFill="1" applyBorder="1" applyAlignment="1" applyProtection="1">
      <alignment horizontal="left" vertical="center" wrapText="1"/>
      <protection locked="0"/>
    </xf>
    <xf numFmtId="0" fontId="26" fillId="8" borderId="31" xfId="0" applyFont="1" applyFill="1" applyBorder="1" applyAlignment="1" applyProtection="1">
      <alignment horizontal="center" wrapText="1"/>
      <protection locked="0"/>
    </xf>
    <xf numFmtId="0" fontId="26" fillId="8" borderId="28" xfId="0" applyFont="1" applyFill="1" applyBorder="1" applyAlignment="1" applyProtection="1">
      <alignment horizontal="center" wrapText="1"/>
      <protection locked="0"/>
    </xf>
    <xf numFmtId="0" fontId="26" fillId="8" borderId="28" xfId="0" applyFont="1" applyFill="1" applyBorder="1" applyAlignment="1" applyProtection="1">
      <alignment horizontal="left" wrapText="1"/>
      <protection locked="0"/>
    </xf>
    <xf numFmtId="0" fontId="21" fillId="8" borderId="23" xfId="0" applyFont="1" applyFill="1" applyBorder="1" applyAlignment="1" applyProtection="1">
      <alignment horizontal="right" vertical="top" wrapText="1"/>
      <protection locked="0"/>
    </xf>
    <xf numFmtId="1" fontId="9" fillId="3" borderId="43" xfId="0" applyNumberFormat="1" applyFont="1" applyFill="1" applyBorder="1" applyAlignment="1" applyProtection="1">
      <alignment horizontal="left" vertical="center" wrapText="1"/>
      <protection locked="0"/>
    </xf>
    <xf numFmtId="1" fontId="9" fillId="3" borderId="23" xfId="0" applyNumberFormat="1" applyFont="1" applyFill="1" applyBorder="1" applyAlignment="1" applyProtection="1">
      <alignment horizontal="left" vertical="center" wrapText="1"/>
      <protection locked="0"/>
    </xf>
    <xf numFmtId="1" fontId="9" fillId="3" borderId="22" xfId="0" applyNumberFormat="1" applyFont="1" applyFill="1" applyBorder="1" applyAlignment="1" applyProtection="1">
      <alignment horizontal="left" vertical="center" wrapText="1"/>
      <protection locked="0"/>
    </xf>
    <xf numFmtId="0" fontId="26" fillId="8" borderId="31" xfId="0" applyFont="1" applyFill="1" applyBorder="1" applyAlignment="1" applyProtection="1">
      <alignment horizontal="center" textRotation="90" wrapText="1"/>
      <protection locked="0"/>
    </xf>
    <xf numFmtId="0" fontId="26" fillId="8" borderId="28" xfId="0" applyFont="1" applyFill="1" applyBorder="1" applyAlignment="1" applyProtection="1">
      <alignment horizontal="center" textRotation="90" wrapText="1"/>
      <protection locked="0"/>
    </xf>
    <xf numFmtId="1" fontId="9" fillId="0" borderId="26" xfId="0" applyNumberFormat="1" applyFont="1" applyBorder="1" applyAlignment="1" applyProtection="1">
      <alignment horizontal="right" vertical="center" wrapText="1"/>
      <protection locked="0"/>
    </xf>
    <xf numFmtId="1" fontId="9" fillId="0" borderId="25" xfId="0" applyNumberFormat="1" applyFont="1" applyBorder="1" applyAlignment="1" applyProtection="1">
      <alignment horizontal="right" vertical="center" wrapText="1"/>
      <protection locked="0"/>
    </xf>
    <xf numFmtId="1" fontId="9" fillId="0" borderId="26" xfId="0" applyNumberFormat="1" applyFont="1" applyBorder="1" applyAlignment="1" applyProtection="1">
      <alignment horizontal="right" vertical="center"/>
      <protection locked="0"/>
    </xf>
    <xf numFmtId="1" fontId="9" fillId="0" borderId="25" xfId="0" applyNumberFormat="1" applyFont="1" applyBorder="1" applyAlignment="1" applyProtection="1">
      <alignment horizontal="right" vertical="center"/>
      <protection locked="0"/>
    </xf>
    <xf numFmtId="0" fontId="26" fillId="8" borderId="33" xfId="0" applyFont="1" applyFill="1" applyBorder="1" applyAlignment="1" applyProtection="1">
      <alignment horizontal="center" textRotation="90" wrapText="1"/>
      <protection locked="0"/>
    </xf>
    <xf numFmtId="0" fontId="26" fillId="8" borderId="29" xfId="0" applyFont="1" applyFill="1" applyBorder="1" applyAlignment="1" applyProtection="1">
      <alignment horizontal="center" textRotation="90" wrapText="1"/>
      <protection locked="0"/>
    </xf>
    <xf numFmtId="0" fontId="26" fillId="8" borderId="32" xfId="0" applyFont="1" applyFill="1" applyBorder="1" applyAlignment="1" applyProtection="1">
      <alignment horizontal="center" textRotation="90" wrapText="1"/>
      <protection locked="0"/>
    </xf>
    <xf numFmtId="0" fontId="26" fillId="8" borderId="27" xfId="0" applyFont="1" applyFill="1" applyBorder="1" applyAlignment="1" applyProtection="1">
      <alignment horizontal="center" textRotation="90" wrapText="1"/>
      <protection locked="0"/>
    </xf>
    <xf numFmtId="1" fontId="9" fillId="0" borderId="29" xfId="0" applyNumberFormat="1" applyFont="1" applyBorder="1" applyAlignment="1" applyProtection="1">
      <alignment horizontal="right" vertical="center" wrapText="1"/>
      <protection locked="0"/>
    </xf>
    <xf numFmtId="1" fontId="9" fillId="0" borderId="34" xfId="0" applyNumberFormat="1" applyFont="1" applyBorder="1" applyAlignment="1" applyProtection="1">
      <alignment horizontal="right" vertical="center" wrapText="1"/>
      <protection locked="0"/>
    </xf>
    <xf numFmtId="0" fontId="16" fillId="3" borderId="43" xfId="0" applyFont="1" applyFill="1" applyBorder="1" applyAlignment="1" applyProtection="1">
      <alignment horizontal="left" vertical="center" wrapText="1"/>
      <protection locked="0"/>
    </xf>
    <xf numFmtId="1" fontId="9" fillId="0" borderId="47" xfId="0" applyNumberFormat="1" applyFont="1" applyBorder="1" applyAlignment="1" applyProtection="1">
      <alignment horizontal="right" vertical="center"/>
      <protection locked="0"/>
    </xf>
    <xf numFmtId="0" fontId="26" fillId="8" borderId="48" xfId="0" applyFont="1" applyFill="1" applyBorder="1" applyAlignment="1" applyProtection="1">
      <alignment horizontal="center" textRotation="90" wrapText="1"/>
      <protection locked="0"/>
    </xf>
    <xf numFmtId="0" fontId="26" fillId="8" borderId="35" xfId="0" applyFont="1" applyFill="1" applyBorder="1" applyAlignment="1" applyProtection="1">
      <alignment horizontal="center" textRotation="90" wrapText="1"/>
      <protection locked="0"/>
    </xf>
    <xf numFmtId="0" fontId="26" fillId="8" borderId="50" xfId="0" applyFont="1" applyFill="1" applyBorder="1" applyAlignment="1" applyProtection="1">
      <alignment horizontal="center" textRotation="90" wrapText="1"/>
      <protection locked="0"/>
    </xf>
    <xf numFmtId="0" fontId="26" fillId="8" borderId="34" xfId="0" applyFont="1" applyFill="1" applyBorder="1" applyAlignment="1" applyProtection="1">
      <alignment horizontal="center" textRotation="90" wrapText="1"/>
      <protection locked="0"/>
    </xf>
    <xf numFmtId="1" fontId="24" fillId="8" borderId="31" xfId="0" applyNumberFormat="1" applyFont="1" applyFill="1" applyBorder="1" applyAlignment="1" applyProtection="1">
      <alignment horizontal="center" textRotation="90"/>
      <protection locked="0"/>
    </xf>
    <xf numFmtId="1" fontId="24" fillId="8" borderId="28" xfId="0" applyNumberFormat="1" applyFont="1" applyFill="1" applyBorder="1" applyAlignment="1" applyProtection="1">
      <alignment horizontal="center" textRotation="90"/>
      <protection locked="0"/>
    </xf>
    <xf numFmtId="1" fontId="9" fillId="0" borderId="28" xfId="0" applyNumberFormat="1" applyFont="1" applyBorder="1" applyAlignment="1" applyProtection="1">
      <alignment horizontal="right" vertical="center" wrapText="1"/>
      <protection locked="0"/>
    </xf>
    <xf numFmtId="1" fontId="6" fillId="3" borderId="43" xfId="0" applyNumberFormat="1" applyFont="1" applyFill="1" applyBorder="1" applyAlignment="1" applyProtection="1">
      <alignment horizontal="left" vertical="center" wrapText="1"/>
      <protection locked="0"/>
    </xf>
    <xf numFmtId="1" fontId="6" fillId="3" borderId="23" xfId="0" applyNumberFormat="1" applyFont="1" applyFill="1" applyBorder="1" applyAlignment="1" applyProtection="1">
      <alignment horizontal="left" vertical="center"/>
      <protection locked="0"/>
    </xf>
    <xf numFmtId="1" fontId="6" fillId="3" borderId="22" xfId="0" applyNumberFormat="1" applyFont="1" applyFill="1" applyBorder="1" applyAlignment="1" applyProtection="1">
      <alignment horizontal="left" vertical="center"/>
      <protection locked="0"/>
    </xf>
  </cellXfs>
  <cellStyles count="4">
    <cellStyle name="Normal" xfId="0" builtinId="0"/>
    <cellStyle name="Normal 2 2 2" xfId="1" xr:uid="{00000000-0005-0000-0000-000001000000}"/>
    <cellStyle name="Normal 2 3" xfId="3" xr:uid="{00000000-0005-0000-0000-000002000000}"/>
    <cellStyle name="Normal 4" xfId="2" xr:uid="{00000000-0005-0000-0000-000003000000}"/>
  </cellStyles>
  <dxfs count="10">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tudentperformanceanalyser.com.au/spa/"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57151</xdr:colOff>
      <xdr:row>28</xdr:row>
      <xdr:rowOff>21871</xdr:rowOff>
    </xdr:from>
    <xdr:to>
      <xdr:col>3</xdr:col>
      <xdr:colOff>400050</xdr:colOff>
      <xdr:row>34</xdr:row>
      <xdr:rowOff>54782</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9551" y="5593996"/>
          <a:ext cx="1638299" cy="1061611"/>
        </a:xfrm>
        <a:prstGeom prst="rect">
          <a:avLst/>
        </a:prstGeom>
      </xdr:spPr>
    </xdr:pic>
    <xdr:clientData/>
  </xdr:twoCellAnchor>
  <xdr:twoCellAnchor>
    <xdr:from>
      <xdr:col>5</xdr:col>
      <xdr:colOff>19050</xdr:colOff>
      <xdr:row>3</xdr:row>
      <xdr:rowOff>66675</xdr:rowOff>
    </xdr:from>
    <xdr:to>
      <xdr:col>5</xdr:col>
      <xdr:colOff>2095500</xdr:colOff>
      <xdr:row>5</xdr:row>
      <xdr:rowOff>122259</xdr:rowOff>
    </xdr:to>
    <xdr:sp macro="[0]!CofP" textlink="">
      <xdr:nvSpPr>
        <xdr:cNvPr id="4" name="Rounded Rectangle 3">
          <a:extLst>
            <a:ext uri="{FF2B5EF4-FFF2-40B4-BE49-F238E27FC236}">
              <a16:creationId xmlns:a16="http://schemas.microsoft.com/office/drawing/2014/main" id="{00000000-0008-0000-0000-000004000000}"/>
            </a:ext>
          </a:extLst>
        </xdr:cNvPr>
        <xdr:cNvSpPr/>
      </xdr:nvSpPr>
      <xdr:spPr>
        <a:xfrm>
          <a:off x="2733675" y="2009775"/>
          <a:ext cx="2076450" cy="341334"/>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solidFill>
                <a:schemeClr val="bg1"/>
              </a:solidFill>
            </a:rPr>
            <a:t>Concepts</a:t>
          </a:r>
          <a:r>
            <a:rPr lang="en-AU" sz="1100" b="1" baseline="0">
              <a:solidFill>
                <a:schemeClr val="bg1"/>
              </a:solidFill>
            </a:rPr>
            <a:t> of Print</a:t>
          </a:r>
          <a:endParaRPr lang="en-AU" sz="1100" b="1">
            <a:solidFill>
              <a:schemeClr val="bg1"/>
            </a:solidFill>
          </a:endParaRPr>
        </a:p>
      </xdr:txBody>
    </xdr:sp>
    <xdr:clientData/>
  </xdr:twoCellAnchor>
  <xdr:twoCellAnchor>
    <xdr:from>
      <xdr:col>5</xdr:col>
      <xdr:colOff>19050</xdr:colOff>
      <xdr:row>6</xdr:row>
      <xdr:rowOff>70757</xdr:rowOff>
    </xdr:from>
    <xdr:to>
      <xdr:col>5</xdr:col>
      <xdr:colOff>2095500</xdr:colOff>
      <xdr:row>8</xdr:row>
      <xdr:rowOff>135866</xdr:rowOff>
    </xdr:to>
    <xdr:sp macro="[0]!LetterID" textlink="">
      <xdr:nvSpPr>
        <xdr:cNvPr id="8" name="Rounded Rectangle 7">
          <a:extLst>
            <a:ext uri="{FF2B5EF4-FFF2-40B4-BE49-F238E27FC236}">
              <a16:creationId xmlns:a16="http://schemas.microsoft.com/office/drawing/2014/main" id="{00000000-0008-0000-0000-000008000000}"/>
            </a:ext>
          </a:extLst>
        </xdr:cNvPr>
        <xdr:cNvSpPr/>
      </xdr:nvSpPr>
      <xdr:spPr>
        <a:xfrm>
          <a:off x="2754086" y="2465614"/>
          <a:ext cx="2076450" cy="364466"/>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t>Letter ID</a:t>
          </a:r>
        </a:p>
      </xdr:txBody>
    </xdr:sp>
    <xdr:clientData/>
  </xdr:twoCellAnchor>
  <xdr:twoCellAnchor>
    <xdr:from>
      <xdr:col>5</xdr:col>
      <xdr:colOff>9525</xdr:colOff>
      <xdr:row>9</xdr:row>
      <xdr:rowOff>84364</xdr:rowOff>
    </xdr:from>
    <xdr:to>
      <xdr:col>5</xdr:col>
      <xdr:colOff>2085975</xdr:colOff>
      <xdr:row>11</xdr:row>
      <xdr:rowOff>149473</xdr:rowOff>
    </xdr:to>
    <xdr:sp macro="[0]!HearRecord" textlink="">
      <xdr:nvSpPr>
        <xdr:cNvPr id="9" name="Rounded Rectangle 8">
          <a:extLst>
            <a:ext uri="{FF2B5EF4-FFF2-40B4-BE49-F238E27FC236}">
              <a16:creationId xmlns:a16="http://schemas.microsoft.com/office/drawing/2014/main" id="{00000000-0008-0000-0000-000009000000}"/>
            </a:ext>
          </a:extLst>
        </xdr:cNvPr>
        <xdr:cNvSpPr/>
      </xdr:nvSpPr>
      <xdr:spPr>
        <a:xfrm>
          <a:off x="2744561" y="2928257"/>
          <a:ext cx="2076450" cy="364466"/>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t>Hearing &amp; Recording Sounds</a:t>
          </a:r>
        </a:p>
      </xdr:txBody>
    </xdr:sp>
    <xdr:clientData/>
  </xdr:twoCellAnchor>
  <xdr:twoCellAnchor>
    <xdr:from>
      <xdr:col>5</xdr:col>
      <xdr:colOff>9525</xdr:colOff>
      <xdr:row>12</xdr:row>
      <xdr:rowOff>80282</xdr:rowOff>
    </xdr:from>
    <xdr:to>
      <xdr:col>5</xdr:col>
      <xdr:colOff>2085975</xdr:colOff>
      <xdr:row>14</xdr:row>
      <xdr:rowOff>135866</xdr:rowOff>
    </xdr:to>
    <xdr:sp macro="[0]!wordReadA" textlink="">
      <xdr:nvSpPr>
        <xdr:cNvPr id="10" name="Rounded Rectangle 9">
          <a:extLst>
            <a:ext uri="{FF2B5EF4-FFF2-40B4-BE49-F238E27FC236}">
              <a16:creationId xmlns:a16="http://schemas.microsoft.com/office/drawing/2014/main" id="{00000000-0008-0000-0000-00000A000000}"/>
            </a:ext>
          </a:extLst>
        </xdr:cNvPr>
        <xdr:cNvSpPr/>
      </xdr:nvSpPr>
      <xdr:spPr>
        <a:xfrm>
          <a:off x="2744561" y="3373211"/>
          <a:ext cx="2076450" cy="354941"/>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solidFill>
                <a:schemeClr val="bg1"/>
              </a:solidFill>
            </a:rPr>
            <a:t>Word Reading List A</a:t>
          </a:r>
        </a:p>
      </xdr:txBody>
    </xdr:sp>
    <xdr:clientData/>
  </xdr:twoCellAnchor>
  <xdr:twoCellAnchor>
    <xdr:from>
      <xdr:col>5</xdr:col>
      <xdr:colOff>9525</xdr:colOff>
      <xdr:row>15</xdr:row>
      <xdr:rowOff>88446</xdr:rowOff>
    </xdr:from>
    <xdr:to>
      <xdr:col>5</xdr:col>
      <xdr:colOff>2085975</xdr:colOff>
      <xdr:row>17</xdr:row>
      <xdr:rowOff>144030</xdr:rowOff>
    </xdr:to>
    <xdr:sp macro="[0]!wordReadB" textlink="">
      <xdr:nvSpPr>
        <xdr:cNvPr id="11" name="Rounded Rectangle 10">
          <a:extLst>
            <a:ext uri="{FF2B5EF4-FFF2-40B4-BE49-F238E27FC236}">
              <a16:creationId xmlns:a16="http://schemas.microsoft.com/office/drawing/2014/main" id="{00000000-0008-0000-0000-00000B000000}"/>
            </a:ext>
          </a:extLst>
        </xdr:cNvPr>
        <xdr:cNvSpPr/>
      </xdr:nvSpPr>
      <xdr:spPr>
        <a:xfrm>
          <a:off x="2744561" y="3830410"/>
          <a:ext cx="2076450" cy="354941"/>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t>Word Reading List B</a:t>
          </a:r>
        </a:p>
      </xdr:txBody>
    </xdr:sp>
    <xdr:clientData/>
  </xdr:twoCellAnchor>
  <xdr:twoCellAnchor>
    <xdr:from>
      <xdr:col>5</xdr:col>
      <xdr:colOff>9525</xdr:colOff>
      <xdr:row>18</xdr:row>
      <xdr:rowOff>88446</xdr:rowOff>
    </xdr:from>
    <xdr:to>
      <xdr:col>5</xdr:col>
      <xdr:colOff>2085975</xdr:colOff>
      <xdr:row>20</xdr:row>
      <xdr:rowOff>144030</xdr:rowOff>
    </xdr:to>
    <xdr:sp macro="[0]!wordReadC" textlink="">
      <xdr:nvSpPr>
        <xdr:cNvPr id="12" name="Rounded Rectangle 11">
          <a:extLst>
            <a:ext uri="{FF2B5EF4-FFF2-40B4-BE49-F238E27FC236}">
              <a16:creationId xmlns:a16="http://schemas.microsoft.com/office/drawing/2014/main" id="{00000000-0008-0000-0000-00000C000000}"/>
            </a:ext>
          </a:extLst>
        </xdr:cNvPr>
        <xdr:cNvSpPr/>
      </xdr:nvSpPr>
      <xdr:spPr>
        <a:xfrm>
          <a:off x="2744561" y="4279446"/>
          <a:ext cx="2076450" cy="354941"/>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t>Word Reading List C</a:t>
          </a:r>
        </a:p>
      </xdr:txBody>
    </xdr:sp>
    <xdr:clientData/>
  </xdr:twoCellAnchor>
  <xdr:twoCellAnchor>
    <xdr:from>
      <xdr:col>5</xdr:col>
      <xdr:colOff>9525</xdr:colOff>
      <xdr:row>21</xdr:row>
      <xdr:rowOff>89807</xdr:rowOff>
    </xdr:from>
    <xdr:to>
      <xdr:col>5</xdr:col>
      <xdr:colOff>2085975</xdr:colOff>
      <xdr:row>23</xdr:row>
      <xdr:rowOff>145391</xdr:rowOff>
    </xdr:to>
    <xdr:sp macro="[0]!WritingVocab" textlink="">
      <xdr:nvSpPr>
        <xdr:cNvPr id="13" name="Rounded Rectangle 12">
          <a:extLst>
            <a:ext uri="{FF2B5EF4-FFF2-40B4-BE49-F238E27FC236}">
              <a16:creationId xmlns:a16="http://schemas.microsoft.com/office/drawing/2014/main" id="{00000000-0008-0000-0000-00000D000000}"/>
            </a:ext>
          </a:extLst>
        </xdr:cNvPr>
        <xdr:cNvSpPr/>
      </xdr:nvSpPr>
      <xdr:spPr>
        <a:xfrm>
          <a:off x="2744561" y="4729843"/>
          <a:ext cx="2076450" cy="354941"/>
        </a:xfrm>
        <a:prstGeom prst="roundRect">
          <a:avLst/>
        </a:prstGeom>
        <a:solidFill>
          <a:schemeClr val="accent6">
            <a:lumMod val="75000"/>
          </a:schemeClr>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t>Writing Vocabulary</a:t>
          </a:r>
        </a:p>
      </xdr:txBody>
    </xdr:sp>
    <xdr:clientData/>
  </xdr:twoCellAnchor>
  <xdr:twoCellAnchor>
    <xdr:from>
      <xdr:col>7</xdr:col>
      <xdr:colOff>19051</xdr:colOff>
      <xdr:row>31</xdr:row>
      <xdr:rowOff>57150</xdr:rowOff>
    </xdr:from>
    <xdr:to>
      <xdr:col>9</xdr:col>
      <xdr:colOff>619125</xdr:colOff>
      <xdr:row>34</xdr:row>
      <xdr:rowOff>47625</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000-000003000000}"/>
            </a:ext>
          </a:extLst>
        </xdr:cNvPr>
        <xdr:cNvSpPr txBox="1"/>
      </xdr:nvSpPr>
      <xdr:spPr>
        <a:xfrm>
          <a:off x="4543426" y="6143625"/>
          <a:ext cx="1895474" cy="504825"/>
        </a:xfrm>
        <a:prstGeom prst="rect">
          <a:avLst/>
        </a:prstGeom>
        <a:solidFill>
          <a:srgbClr val="7030A0"/>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AU" sz="1800" b="1">
              <a:solidFill>
                <a:schemeClr val="bg1"/>
              </a:solidFill>
            </a:rPr>
            <a:t>About</a:t>
          </a:r>
          <a:r>
            <a:rPr lang="en-AU" sz="1800" b="1" baseline="0">
              <a:solidFill>
                <a:schemeClr val="bg1"/>
              </a:solidFill>
            </a:rPr>
            <a:t> SPA</a:t>
          </a:r>
          <a:endParaRPr lang="en-AU"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142876</xdr:colOff>
      <xdr:row>4</xdr:row>
      <xdr:rowOff>142875</xdr:rowOff>
    </xdr:from>
    <xdr:to>
      <xdr:col>9</xdr:col>
      <xdr:colOff>762000</xdr:colOff>
      <xdr:row>5</xdr:row>
      <xdr:rowOff>111125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190876" y="904875"/>
          <a:ext cx="2905124" cy="158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latin typeface="Arial" panose="020B0604020202020204" pitchFamily="34" charset="0"/>
              <a:cs typeface="Arial" panose="020B0604020202020204" pitchFamily="34" charset="0"/>
            </a:rPr>
            <a:t>Attending to print</a:t>
          </a:r>
        </a:p>
      </xdr:txBody>
    </xdr:sp>
    <xdr:clientData/>
  </xdr:twoCellAnchor>
  <xdr:twoCellAnchor>
    <xdr:from>
      <xdr:col>5</xdr:col>
      <xdr:colOff>158750</xdr:colOff>
      <xdr:row>5</xdr:row>
      <xdr:rowOff>301625</xdr:rowOff>
    </xdr:from>
    <xdr:to>
      <xdr:col>9</xdr:col>
      <xdr:colOff>793750</xdr:colOff>
      <xdr:row>5</xdr:row>
      <xdr:rowOff>730250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206750" y="1139825"/>
          <a:ext cx="2892425" cy="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latin typeface="Arial" panose="020B0604020202020204" pitchFamily="34" charset="0"/>
              <a:cs typeface="Arial" panose="020B0604020202020204" pitchFamily="34" charset="0"/>
            </a:rPr>
            <a:t>Directionality</a:t>
          </a:r>
        </a:p>
      </xdr:txBody>
    </xdr:sp>
    <xdr:clientData/>
  </xdr:twoCellAnchor>
  <xdr:twoCellAnchor>
    <xdr:from>
      <xdr:col>5</xdr:col>
      <xdr:colOff>161925</xdr:colOff>
      <xdr:row>5</xdr:row>
      <xdr:rowOff>908050</xdr:rowOff>
    </xdr:from>
    <xdr:to>
      <xdr:col>9</xdr:col>
      <xdr:colOff>793750</xdr:colOff>
      <xdr:row>5</xdr:row>
      <xdr:rowOff>1349376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209925" y="1146175"/>
          <a:ext cx="2889250" cy="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latin typeface="Arial" panose="020B0604020202020204" pitchFamily="34" charset="0"/>
              <a:cs typeface="Arial" panose="020B0604020202020204" pitchFamily="34" charset="0"/>
            </a:rPr>
            <a:t>Word concept</a:t>
          </a:r>
        </a:p>
      </xdr:txBody>
    </xdr:sp>
    <xdr:clientData/>
  </xdr:twoCellAnchor>
  <xdr:twoCellAnchor>
    <xdr:from>
      <xdr:col>5</xdr:col>
      <xdr:colOff>180974</xdr:colOff>
      <xdr:row>5</xdr:row>
      <xdr:rowOff>1530350</xdr:rowOff>
    </xdr:from>
    <xdr:to>
      <xdr:col>9</xdr:col>
      <xdr:colOff>777874</xdr:colOff>
      <xdr:row>5</xdr:row>
      <xdr:rowOff>1952626</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3228974" y="1139825"/>
          <a:ext cx="2863850" cy="3176"/>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latin typeface="Arial" panose="020B0604020202020204" pitchFamily="34" charset="0"/>
              <a:cs typeface="Arial" panose="020B0604020202020204" pitchFamily="34" charset="0"/>
            </a:rPr>
            <a:t>Punctuataion</a:t>
          </a:r>
        </a:p>
      </xdr:txBody>
    </xdr:sp>
    <xdr:clientData/>
  </xdr:twoCellAnchor>
  <xdr:twoCellAnchor>
    <xdr:from>
      <xdr:col>5</xdr:col>
      <xdr:colOff>152401</xdr:colOff>
      <xdr:row>5</xdr:row>
      <xdr:rowOff>2136775</xdr:rowOff>
    </xdr:from>
    <xdr:to>
      <xdr:col>9</xdr:col>
      <xdr:colOff>762000</xdr:colOff>
      <xdr:row>5</xdr:row>
      <xdr:rowOff>2555874</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3200401" y="1146175"/>
          <a:ext cx="2895599" cy="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latin typeface="Arial" panose="020B0604020202020204" pitchFamily="34" charset="0"/>
              <a:cs typeface="Arial" panose="020B0604020202020204" pitchFamily="34" charset="0"/>
            </a:rPr>
            <a:t>Letter knowledge</a:t>
          </a:r>
        </a:p>
      </xdr:txBody>
    </xdr:sp>
    <xdr:clientData/>
  </xdr:twoCellAnchor>
  <xdr:twoCellAnchor editAs="oneCell">
    <xdr:from>
      <xdr:col>0</xdr:col>
      <xdr:colOff>190500</xdr:colOff>
      <xdr:row>0</xdr:row>
      <xdr:rowOff>47625</xdr:rowOff>
    </xdr:from>
    <xdr:to>
      <xdr:col>1</xdr:col>
      <xdr:colOff>965539</xdr:colOff>
      <xdr:row>2</xdr:row>
      <xdr:rowOff>349249</xdr:rowOff>
    </xdr:to>
    <xdr:pic macro="[0]!MainMenuHome">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90500" y="47625"/>
          <a:ext cx="1838664" cy="7461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304800</xdr:colOff>
      <xdr:row>0</xdr:row>
      <xdr:rowOff>133350</xdr:rowOff>
    </xdr:from>
    <xdr:to>
      <xdr:col>2</xdr:col>
      <xdr:colOff>9864</xdr:colOff>
      <xdr:row>2</xdr:row>
      <xdr:rowOff>441324</xdr:rowOff>
    </xdr:to>
    <xdr:pic macro="[0]!MainMenuHome">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04800" y="133350"/>
          <a:ext cx="1838664" cy="7461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105833</xdr:colOff>
      <xdr:row>0</xdr:row>
      <xdr:rowOff>63500</xdr:rowOff>
    </xdr:from>
    <xdr:to>
      <xdr:col>1</xdr:col>
      <xdr:colOff>886164</xdr:colOff>
      <xdr:row>2</xdr:row>
      <xdr:rowOff>132291</xdr:rowOff>
    </xdr:to>
    <xdr:pic macro="[0]!MainMenuHome">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05833" y="63500"/>
          <a:ext cx="1838664" cy="7461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204107</xdr:colOff>
      <xdr:row>0</xdr:row>
      <xdr:rowOff>149678</xdr:rowOff>
    </xdr:from>
    <xdr:to>
      <xdr:col>1</xdr:col>
      <xdr:colOff>981414</xdr:colOff>
      <xdr:row>2</xdr:row>
      <xdr:rowOff>324302</xdr:rowOff>
    </xdr:to>
    <xdr:pic macro="[0]!MainMenuHome">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4107" y="149678"/>
          <a:ext cx="1838664" cy="7461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163286</xdr:colOff>
      <xdr:row>0</xdr:row>
      <xdr:rowOff>122464</xdr:rowOff>
    </xdr:from>
    <xdr:to>
      <xdr:col>1</xdr:col>
      <xdr:colOff>940593</xdr:colOff>
      <xdr:row>2</xdr:row>
      <xdr:rowOff>283481</xdr:rowOff>
    </xdr:to>
    <xdr:pic macro="[0]!MainMenuHome">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63286" y="122464"/>
          <a:ext cx="1838664" cy="7461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176893</xdr:colOff>
      <xdr:row>0</xdr:row>
      <xdr:rowOff>136072</xdr:rowOff>
    </xdr:from>
    <xdr:to>
      <xdr:col>1</xdr:col>
      <xdr:colOff>954200</xdr:colOff>
      <xdr:row>2</xdr:row>
      <xdr:rowOff>310696</xdr:rowOff>
    </xdr:to>
    <xdr:pic macro="[0]!MainMenuHome">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76893" y="136072"/>
          <a:ext cx="1838664" cy="7461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116417</xdr:colOff>
      <xdr:row>0</xdr:row>
      <xdr:rowOff>95250</xdr:rowOff>
    </xdr:from>
    <xdr:to>
      <xdr:col>1</xdr:col>
      <xdr:colOff>896748</xdr:colOff>
      <xdr:row>2</xdr:row>
      <xdr:rowOff>269874</xdr:rowOff>
    </xdr:to>
    <xdr:pic macro="[0]!MainMenuHome">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116417" y="95250"/>
          <a:ext cx="1838664" cy="7461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35"/>
  <sheetViews>
    <sheetView tabSelected="1" zoomScaleNormal="100" workbookViewId="0"/>
  </sheetViews>
  <sheetFormatPr defaultRowHeight="15"/>
  <cols>
    <col min="1" max="1" width="1.28515625" style="41" customWidth="1"/>
    <col min="2" max="4" width="9.7109375" style="41" customWidth="1"/>
    <col min="5" max="5" width="2" style="41" customWidth="1"/>
    <col min="6" max="6" width="31.5703125" style="41" customWidth="1"/>
    <col min="7" max="7" width="2.85546875" style="41" customWidth="1"/>
    <col min="8" max="10" width="9.7109375" style="41" customWidth="1"/>
    <col min="11" max="16384" width="9.140625" style="41"/>
  </cols>
  <sheetData>
    <row r="1" spans="2:10" ht="6.75" customHeight="1"/>
    <row r="2" spans="2:10" ht="114" customHeight="1">
      <c r="B2" s="310" t="s">
        <v>0</v>
      </c>
      <c r="C2" s="311"/>
      <c r="D2" s="311"/>
      <c r="E2" s="311"/>
      <c r="F2" s="311"/>
      <c r="G2" s="311"/>
      <c r="H2" s="311"/>
      <c r="I2" s="311"/>
      <c r="J2" s="311"/>
    </row>
    <row r="3" spans="2:10" ht="6" customHeight="1" thickBot="1"/>
    <row r="4" spans="2:10" ht="12.75" customHeight="1">
      <c r="B4" s="312" t="s">
        <v>1</v>
      </c>
      <c r="C4" s="313"/>
      <c r="D4" s="314"/>
      <c r="F4" s="309"/>
      <c r="H4" s="321" t="s">
        <v>186</v>
      </c>
      <c r="I4" s="322"/>
      <c r="J4" s="323"/>
    </row>
    <row r="5" spans="2:10" ht="12.75" customHeight="1">
      <c r="B5" s="315"/>
      <c r="C5" s="316"/>
      <c r="D5" s="317"/>
      <c r="F5" s="309"/>
      <c r="H5" s="324"/>
      <c r="I5" s="325"/>
      <c r="J5" s="326"/>
    </row>
    <row r="6" spans="2:10" ht="12.75" customHeight="1">
      <c r="B6" s="315"/>
      <c r="C6" s="316"/>
      <c r="D6" s="317"/>
      <c r="F6" s="309"/>
      <c r="H6" s="324"/>
      <c r="I6" s="325"/>
      <c r="J6" s="326"/>
    </row>
    <row r="7" spans="2:10" ht="12.75" customHeight="1">
      <c r="B7" s="315"/>
      <c r="C7" s="316"/>
      <c r="D7" s="317"/>
      <c r="F7" s="309"/>
      <c r="H7" s="324"/>
      <c r="I7" s="325"/>
      <c r="J7" s="326"/>
    </row>
    <row r="8" spans="2:10" ht="12.75" customHeight="1">
      <c r="B8" s="315"/>
      <c r="C8" s="316"/>
      <c r="D8" s="317"/>
      <c r="F8" s="309"/>
      <c r="H8" s="324"/>
      <c r="I8" s="325"/>
      <c r="J8" s="326"/>
    </row>
    <row r="9" spans="2:10" ht="12.75" customHeight="1">
      <c r="B9" s="315"/>
      <c r="C9" s="316"/>
      <c r="D9" s="317"/>
      <c r="F9" s="309"/>
      <c r="H9" s="324"/>
      <c r="I9" s="325"/>
      <c r="J9" s="326"/>
    </row>
    <row r="10" spans="2:10" ht="12.75" customHeight="1">
      <c r="B10" s="315"/>
      <c r="C10" s="316"/>
      <c r="D10" s="317"/>
      <c r="F10" s="309"/>
      <c r="H10" s="324"/>
      <c r="I10" s="325"/>
      <c r="J10" s="326"/>
    </row>
    <row r="11" spans="2:10" ht="12.75" customHeight="1">
      <c r="B11" s="315"/>
      <c r="C11" s="316"/>
      <c r="D11" s="317"/>
      <c r="F11" s="309"/>
      <c r="H11" s="324"/>
      <c r="I11" s="325"/>
      <c r="J11" s="326"/>
    </row>
    <row r="12" spans="2:10" ht="12.75" customHeight="1">
      <c r="B12" s="315"/>
      <c r="C12" s="316"/>
      <c r="D12" s="317"/>
      <c r="F12" s="309"/>
      <c r="H12" s="324"/>
      <c r="I12" s="325"/>
      <c r="J12" s="326"/>
    </row>
    <row r="13" spans="2:10" ht="12.75" customHeight="1">
      <c r="B13" s="315"/>
      <c r="C13" s="316"/>
      <c r="D13" s="317"/>
      <c r="F13" s="309"/>
      <c r="H13" s="324"/>
      <c r="I13" s="325"/>
      <c r="J13" s="326"/>
    </row>
    <row r="14" spans="2:10" ht="12.75" customHeight="1">
      <c r="B14" s="315"/>
      <c r="C14" s="316"/>
      <c r="D14" s="317"/>
      <c r="F14" s="309"/>
      <c r="H14" s="324"/>
      <c r="I14" s="325"/>
      <c r="J14" s="326"/>
    </row>
    <row r="15" spans="2:10" ht="12.75" customHeight="1">
      <c r="B15" s="315"/>
      <c r="C15" s="316"/>
      <c r="D15" s="317"/>
      <c r="F15" s="309"/>
      <c r="H15" s="324"/>
      <c r="I15" s="325"/>
      <c r="J15" s="326"/>
    </row>
    <row r="16" spans="2:10" ht="12.75" customHeight="1">
      <c r="B16" s="315"/>
      <c r="C16" s="316"/>
      <c r="D16" s="317"/>
      <c r="F16" s="309"/>
      <c r="H16" s="324"/>
      <c r="I16" s="325"/>
      <c r="J16" s="326"/>
    </row>
    <row r="17" spans="2:10" ht="12.75" customHeight="1">
      <c r="B17" s="315"/>
      <c r="C17" s="316"/>
      <c r="D17" s="317"/>
      <c r="F17" s="309"/>
      <c r="H17" s="324"/>
      <c r="I17" s="325"/>
      <c r="J17" s="326"/>
    </row>
    <row r="18" spans="2:10" ht="12.75" customHeight="1">
      <c r="B18" s="315"/>
      <c r="C18" s="316"/>
      <c r="D18" s="317"/>
      <c r="F18" s="309"/>
      <c r="H18" s="324"/>
      <c r="I18" s="325"/>
      <c r="J18" s="326"/>
    </row>
    <row r="19" spans="2:10" ht="12.75" customHeight="1">
      <c r="B19" s="315"/>
      <c r="C19" s="316"/>
      <c r="D19" s="317"/>
      <c r="F19" s="309"/>
      <c r="H19" s="324"/>
      <c r="I19" s="325"/>
      <c r="J19" s="326"/>
    </row>
    <row r="20" spans="2:10" ht="12.75" customHeight="1">
      <c r="B20" s="315"/>
      <c r="C20" s="316"/>
      <c r="D20" s="317"/>
      <c r="F20" s="309"/>
      <c r="H20" s="324"/>
      <c r="I20" s="325"/>
      <c r="J20" s="326"/>
    </row>
    <row r="21" spans="2:10" ht="12.75" customHeight="1">
      <c r="B21" s="315"/>
      <c r="C21" s="316"/>
      <c r="D21" s="317"/>
      <c r="F21" s="309"/>
      <c r="H21" s="324"/>
      <c r="I21" s="325"/>
      <c r="J21" s="326"/>
    </row>
    <row r="22" spans="2:10" ht="12.75" customHeight="1">
      <c r="B22" s="315"/>
      <c r="C22" s="316"/>
      <c r="D22" s="317"/>
      <c r="F22" s="309"/>
      <c r="H22" s="324"/>
      <c r="I22" s="325"/>
      <c r="J22" s="326"/>
    </row>
    <row r="23" spans="2:10" ht="12.75" customHeight="1">
      <c r="B23" s="315"/>
      <c r="C23" s="316"/>
      <c r="D23" s="317"/>
      <c r="F23" s="309"/>
      <c r="H23" s="324"/>
      <c r="I23" s="325"/>
      <c r="J23" s="326"/>
    </row>
    <row r="24" spans="2:10" ht="12.75" customHeight="1">
      <c r="B24" s="315"/>
      <c r="C24" s="316"/>
      <c r="D24" s="317"/>
      <c r="F24" s="309"/>
      <c r="H24" s="324"/>
      <c r="I24" s="325"/>
      <c r="J24" s="326"/>
    </row>
    <row r="25" spans="2:10" ht="12.75" customHeight="1">
      <c r="B25" s="315"/>
      <c r="C25" s="316"/>
      <c r="D25" s="317"/>
      <c r="F25" s="309"/>
      <c r="H25" s="324"/>
      <c r="I25" s="325"/>
      <c r="J25" s="326"/>
    </row>
    <row r="26" spans="2:10" ht="12.75" customHeight="1">
      <c r="B26" s="315"/>
      <c r="C26" s="316"/>
      <c r="D26" s="317"/>
      <c r="F26" s="309"/>
      <c r="H26" s="324"/>
      <c r="I26" s="325"/>
      <c r="J26" s="326"/>
    </row>
    <row r="27" spans="2:10" ht="12.75" customHeight="1" thickBot="1">
      <c r="B27" s="318"/>
      <c r="C27" s="319"/>
      <c r="D27" s="320"/>
      <c r="F27" s="309"/>
      <c r="H27" s="327"/>
      <c r="I27" s="328"/>
      <c r="J27" s="329"/>
    </row>
    <row r="28" spans="2:10" ht="15.75" thickBot="1"/>
    <row r="29" spans="2:10" ht="13.5" customHeight="1">
      <c r="B29" s="309"/>
      <c r="C29" s="309"/>
      <c r="D29" s="309"/>
      <c r="H29" s="300" t="s">
        <v>185</v>
      </c>
      <c r="I29" s="301"/>
      <c r="J29" s="302"/>
    </row>
    <row r="30" spans="2:10" ht="13.5" customHeight="1">
      <c r="B30" s="309"/>
      <c r="C30" s="309"/>
      <c r="D30" s="309"/>
      <c r="H30" s="303"/>
      <c r="I30" s="304"/>
      <c r="J30" s="305"/>
    </row>
    <row r="31" spans="2:10" ht="13.5" customHeight="1">
      <c r="B31" s="309"/>
      <c r="C31" s="309"/>
      <c r="D31" s="309"/>
      <c r="H31" s="303"/>
      <c r="I31" s="304"/>
      <c r="J31" s="305"/>
    </row>
    <row r="32" spans="2:10" ht="13.5" customHeight="1">
      <c r="B32" s="309"/>
      <c r="C32" s="309"/>
      <c r="D32" s="309"/>
      <c r="H32" s="303"/>
      <c r="I32" s="304"/>
      <c r="J32" s="305"/>
    </row>
    <row r="33" spans="2:10" ht="13.5" customHeight="1">
      <c r="B33" s="309"/>
      <c r="C33" s="309"/>
      <c r="D33" s="309"/>
      <c r="H33" s="303"/>
      <c r="I33" s="304"/>
      <c r="J33" s="305"/>
    </row>
    <row r="34" spans="2:10" ht="13.5" customHeight="1">
      <c r="B34" s="309"/>
      <c r="C34" s="309"/>
      <c r="D34" s="309"/>
      <c r="H34" s="303"/>
      <c r="I34" s="304"/>
      <c r="J34" s="305"/>
    </row>
    <row r="35" spans="2:10" ht="5.25" customHeight="1" thickBot="1">
      <c r="B35" s="309"/>
      <c r="C35" s="309"/>
      <c r="D35" s="309"/>
      <c r="H35" s="306"/>
      <c r="I35" s="307"/>
      <c r="J35" s="308"/>
    </row>
  </sheetData>
  <mergeCells count="6">
    <mergeCell ref="H29:J35"/>
    <mergeCell ref="B29:D35"/>
    <mergeCell ref="B2:J2"/>
    <mergeCell ref="B4:D27"/>
    <mergeCell ref="H4:J27"/>
    <mergeCell ref="F4:F27"/>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504"/>
  <sheetViews>
    <sheetView topLeftCell="A5" zoomScale="60" zoomScaleNormal="60" workbookViewId="0">
      <pane xSplit="10" topLeftCell="K1" activePane="topRight" state="frozen"/>
      <selection activeCell="H24" sqref="H24"/>
      <selection pane="topRight" activeCell="A9" sqref="A9:G19"/>
    </sheetView>
  </sheetViews>
  <sheetFormatPr defaultRowHeight="15"/>
  <cols>
    <col min="1" max="2" width="15.85546875" style="129" customWidth="1"/>
    <col min="3" max="3" width="10.7109375" style="130" customWidth="1"/>
    <col min="4" max="4" width="6.85546875" style="130" customWidth="1"/>
    <col min="5" max="5" width="13.85546875" style="131" customWidth="1"/>
    <col min="6" max="6" width="16.42578125" style="131" customWidth="1"/>
    <col min="7" max="7" width="11.28515625" style="132" bestFit="1" customWidth="1"/>
    <col min="8" max="8" width="19.42578125" style="132" customWidth="1"/>
    <col min="9" max="9" width="9.140625" style="133" customWidth="1"/>
    <col min="10" max="10" width="13.7109375" style="133" customWidth="1"/>
    <col min="11" max="11" width="8" style="130" customWidth="1"/>
    <col min="12" max="12" width="10.5703125" style="130" customWidth="1"/>
    <col min="13" max="13" width="8" style="130" customWidth="1"/>
    <col min="14" max="14" width="8.42578125" style="130" customWidth="1"/>
    <col min="15" max="20" width="8" style="130" customWidth="1"/>
    <col min="21" max="21" width="9.85546875" style="130" customWidth="1"/>
    <col min="22" max="22" width="8" style="130" customWidth="1"/>
    <col min="23" max="23" width="10.5703125" style="130" customWidth="1"/>
    <col min="24" max="24" width="8.28515625" style="130" customWidth="1"/>
    <col min="25" max="25" width="8" style="130" customWidth="1"/>
    <col min="26" max="26" width="9.85546875" style="130" customWidth="1"/>
    <col min="27" max="28" width="8" style="130" customWidth="1"/>
    <col min="29" max="30" width="10.140625" style="130" customWidth="1"/>
    <col min="31" max="34" width="8" style="130" customWidth="1"/>
    <col min="35" max="35" width="5.28515625" style="135" customWidth="1"/>
    <col min="36" max="36" width="10.42578125" style="135" customWidth="1"/>
    <col min="37" max="37" width="15.7109375" style="135" customWidth="1"/>
    <col min="38" max="38" width="15.5703125" style="136" hidden="1" customWidth="1"/>
    <col min="39" max="39" width="16.7109375" style="135" customWidth="1"/>
    <col min="40" max="16384" width="9.140625" style="135"/>
  </cols>
  <sheetData>
    <row r="1" spans="1:68" s="45" customFormat="1" ht="27.6" customHeight="1" thickBot="1">
      <c r="A1" s="42"/>
      <c r="B1" s="42"/>
      <c r="C1" s="42"/>
      <c r="D1" s="42"/>
      <c r="E1" s="42"/>
      <c r="F1" s="347" t="s">
        <v>40</v>
      </c>
      <c r="G1" s="348"/>
      <c r="H1" s="348"/>
      <c r="I1" s="348"/>
      <c r="J1" s="43"/>
      <c r="K1" s="349"/>
      <c r="L1" s="349"/>
      <c r="M1" s="349"/>
      <c r="N1" s="349"/>
      <c r="O1" s="349"/>
      <c r="P1" s="349"/>
      <c r="Q1" s="349"/>
      <c r="R1" s="349"/>
      <c r="S1" s="349"/>
      <c r="T1" s="349"/>
      <c r="U1" s="349"/>
      <c r="V1" s="349"/>
      <c r="W1" s="349"/>
      <c r="X1" s="349"/>
      <c r="Y1" s="349"/>
      <c r="Z1" s="349"/>
      <c r="AA1" s="349"/>
      <c r="AB1" s="349"/>
      <c r="AC1" s="349"/>
      <c r="AD1" s="349"/>
      <c r="AE1" s="349"/>
      <c r="AF1" s="349"/>
      <c r="AG1" s="349"/>
      <c r="AH1" s="349"/>
      <c r="AI1" s="44"/>
      <c r="AL1" s="46"/>
    </row>
    <row r="2" spans="1:68" s="53" customFormat="1" ht="7.9" customHeight="1" thickBot="1">
      <c r="A2" s="47"/>
      <c r="B2" s="47"/>
      <c r="C2" s="48"/>
      <c r="D2" s="48"/>
      <c r="E2" s="49"/>
      <c r="F2" s="50"/>
      <c r="G2" s="50"/>
      <c r="H2" s="50"/>
      <c r="I2" s="51"/>
      <c r="J2" s="51"/>
      <c r="K2" s="52"/>
      <c r="L2" s="52"/>
      <c r="M2" s="52"/>
      <c r="N2" s="52"/>
      <c r="O2" s="52"/>
      <c r="P2" s="52"/>
      <c r="Q2" s="52"/>
      <c r="R2" s="52"/>
      <c r="S2" s="52"/>
      <c r="T2" s="52"/>
      <c r="U2" s="52"/>
      <c r="V2" s="52"/>
      <c r="W2" s="52"/>
      <c r="X2" s="52"/>
      <c r="Y2" s="52"/>
      <c r="Z2" s="52"/>
      <c r="AA2" s="52"/>
      <c r="AB2" s="52"/>
      <c r="AC2" s="52"/>
      <c r="AD2" s="52"/>
      <c r="AE2" s="52"/>
      <c r="AF2" s="52"/>
      <c r="AG2" s="52"/>
      <c r="AH2" s="52"/>
      <c r="AL2" s="54"/>
    </row>
    <row r="3" spans="1:68" s="58" customFormat="1" ht="97.5" customHeight="1" thickBot="1">
      <c r="A3" s="55"/>
      <c r="B3" s="55"/>
      <c r="C3" s="55"/>
      <c r="D3" s="56"/>
      <c r="E3" s="57"/>
      <c r="G3" s="59"/>
      <c r="H3" s="59"/>
      <c r="I3" s="60"/>
      <c r="J3" s="61"/>
      <c r="K3" s="350" t="s">
        <v>187</v>
      </c>
      <c r="L3" s="350"/>
      <c r="M3" s="350"/>
      <c r="N3" s="350"/>
      <c r="O3" s="350"/>
      <c r="P3" s="350"/>
      <c r="Q3" s="350"/>
      <c r="R3" s="350"/>
      <c r="S3" s="350"/>
      <c r="T3" s="350"/>
      <c r="U3" s="350"/>
      <c r="V3" s="350"/>
      <c r="W3" s="350"/>
      <c r="X3" s="350"/>
      <c r="Y3" s="350"/>
      <c r="Z3" s="350"/>
      <c r="AA3" s="350"/>
      <c r="AB3" s="350"/>
      <c r="AC3" s="350"/>
      <c r="AD3" s="350"/>
      <c r="AE3" s="350"/>
      <c r="AF3" s="350"/>
      <c r="AG3" s="350"/>
      <c r="AH3" s="351"/>
      <c r="AL3" s="62"/>
    </row>
    <row r="4" spans="1:68" s="67" customFormat="1" hidden="1">
      <c r="A4" s="63"/>
      <c r="B4" s="63"/>
      <c r="C4" s="64"/>
      <c r="D4" s="64"/>
      <c r="E4" s="65"/>
      <c r="F4" s="352"/>
      <c r="G4" s="353"/>
      <c r="H4" s="353"/>
      <c r="I4" s="353"/>
      <c r="J4" s="66"/>
      <c r="K4" s="137">
        <f t="shared" ref="K4:AH4" si="0">COUNTIF(K$9:K$503,K$8)</f>
        <v>8</v>
      </c>
      <c r="L4" s="138">
        <f t="shared" si="0"/>
        <v>8</v>
      </c>
      <c r="M4" s="138">
        <f t="shared" si="0"/>
        <v>8</v>
      </c>
      <c r="N4" s="138">
        <f t="shared" si="0"/>
        <v>8</v>
      </c>
      <c r="O4" s="138">
        <f t="shared" si="0"/>
        <v>9</v>
      </c>
      <c r="P4" s="138">
        <f t="shared" si="0"/>
        <v>9</v>
      </c>
      <c r="Q4" s="138">
        <f t="shared" si="0"/>
        <v>8</v>
      </c>
      <c r="R4" s="138">
        <f t="shared" si="0"/>
        <v>9</v>
      </c>
      <c r="S4" s="138">
        <f t="shared" si="0"/>
        <v>9</v>
      </c>
      <c r="T4" s="138">
        <f t="shared" si="0"/>
        <v>8</v>
      </c>
      <c r="U4" s="138">
        <f t="shared" si="0"/>
        <v>8</v>
      </c>
      <c r="V4" s="138">
        <f t="shared" si="0"/>
        <v>8</v>
      </c>
      <c r="W4" s="138">
        <f t="shared" si="0"/>
        <v>8</v>
      </c>
      <c r="X4" s="138">
        <f t="shared" si="0"/>
        <v>8</v>
      </c>
      <c r="Y4" s="138">
        <f t="shared" si="0"/>
        <v>8</v>
      </c>
      <c r="Z4" s="138">
        <f t="shared" si="0"/>
        <v>8</v>
      </c>
      <c r="AA4" s="138">
        <f t="shared" si="0"/>
        <v>8</v>
      </c>
      <c r="AB4" s="138">
        <f t="shared" si="0"/>
        <v>8</v>
      </c>
      <c r="AC4" s="138">
        <f t="shared" si="0"/>
        <v>8</v>
      </c>
      <c r="AD4" s="138">
        <f t="shared" si="0"/>
        <v>7</v>
      </c>
      <c r="AE4" s="138">
        <f t="shared" si="0"/>
        <v>4</v>
      </c>
      <c r="AF4" s="138">
        <f t="shared" si="0"/>
        <v>1</v>
      </c>
      <c r="AG4" s="138">
        <f t="shared" si="0"/>
        <v>1</v>
      </c>
      <c r="AH4" s="139">
        <f t="shared" si="0"/>
        <v>0</v>
      </c>
      <c r="AL4" s="68"/>
    </row>
    <row r="5" spans="1:68" s="67" customFormat="1" ht="38.25" customHeight="1">
      <c r="A5" s="63"/>
      <c r="B5" s="63"/>
      <c r="C5" s="64"/>
      <c r="D5" s="64"/>
      <c r="E5" s="65"/>
      <c r="F5" s="338"/>
      <c r="G5" s="339"/>
      <c r="H5" s="339"/>
      <c r="I5" s="339"/>
      <c r="J5" s="69"/>
      <c r="K5" s="70">
        <v>1</v>
      </c>
      <c r="L5" s="71">
        <v>2</v>
      </c>
      <c r="M5" s="72">
        <v>3</v>
      </c>
      <c r="N5" s="72">
        <v>4</v>
      </c>
      <c r="O5" s="73">
        <v>5</v>
      </c>
      <c r="P5" s="74">
        <v>6</v>
      </c>
      <c r="Q5" s="75">
        <v>7</v>
      </c>
      <c r="R5" s="73">
        <v>8</v>
      </c>
      <c r="S5" s="73">
        <v>9</v>
      </c>
      <c r="T5" s="73">
        <v>10</v>
      </c>
      <c r="U5" s="73">
        <v>11</v>
      </c>
      <c r="V5" s="73">
        <v>12</v>
      </c>
      <c r="W5" s="73">
        <v>13</v>
      </c>
      <c r="X5" s="73">
        <v>14</v>
      </c>
      <c r="Y5" s="76">
        <v>15</v>
      </c>
      <c r="Z5" s="76">
        <v>16</v>
      </c>
      <c r="AA5" s="76">
        <v>17</v>
      </c>
      <c r="AB5" s="76">
        <v>18</v>
      </c>
      <c r="AC5" s="77">
        <v>19</v>
      </c>
      <c r="AD5" s="74">
        <v>20</v>
      </c>
      <c r="AE5" s="77">
        <v>21</v>
      </c>
      <c r="AF5" s="74">
        <v>22</v>
      </c>
      <c r="AG5" s="74">
        <v>23</v>
      </c>
      <c r="AH5" s="78">
        <v>24</v>
      </c>
      <c r="AL5" s="68"/>
    </row>
    <row r="6" spans="1:68" s="53" customFormat="1" ht="210" customHeight="1" thickBot="1">
      <c r="A6" s="47"/>
      <c r="B6" s="47"/>
      <c r="C6" s="48"/>
      <c r="D6" s="48"/>
      <c r="E6" s="49"/>
      <c r="F6" s="340"/>
      <c r="G6" s="341"/>
      <c r="H6" s="342"/>
      <c r="I6" s="342"/>
      <c r="J6" s="79"/>
      <c r="K6" s="354" t="s">
        <v>39</v>
      </c>
      <c r="L6" s="343" t="s">
        <v>38</v>
      </c>
      <c r="M6" s="345" t="s">
        <v>37</v>
      </c>
      <c r="N6" s="345" t="s">
        <v>36</v>
      </c>
      <c r="O6" s="345" t="s">
        <v>35</v>
      </c>
      <c r="P6" s="332" t="s">
        <v>34</v>
      </c>
      <c r="Q6" s="343" t="s">
        <v>33</v>
      </c>
      <c r="R6" s="345" t="s">
        <v>32</v>
      </c>
      <c r="S6" s="345" t="s">
        <v>31</v>
      </c>
      <c r="T6" s="345" t="s">
        <v>30</v>
      </c>
      <c r="U6" s="345" t="s">
        <v>29</v>
      </c>
      <c r="V6" s="345" t="s">
        <v>28</v>
      </c>
      <c r="W6" s="345" t="s">
        <v>27</v>
      </c>
      <c r="X6" s="345" t="s">
        <v>26</v>
      </c>
      <c r="Y6" s="330" t="s">
        <v>25</v>
      </c>
      <c r="Z6" s="330" t="s">
        <v>24</v>
      </c>
      <c r="AA6" s="330" t="s">
        <v>23</v>
      </c>
      <c r="AB6" s="330" t="s">
        <v>22</v>
      </c>
      <c r="AC6" s="336" t="s">
        <v>21</v>
      </c>
      <c r="AD6" s="332" t="s">
        <v>20</v>
      </c>
      <c r="AE6" s="336" t="s">
        <v>19</v>
      </c>
      <c r="AF6" s="332" t="s">
        <v>18</v>
      </c>
      <c r="AG6" s="332" t="s">
        <v>17</v>
      </c>
      <c r="AH6" s="334" t="s">
        <v>16</v>
      </c>
      <c r="AL6" s="54"/>
    </row>
    <row r="7" spans="1:68" s="53" customFormat="1" ht="22.5" customHeight="1" thickBot="1">
      <c r="A7" s="80" t="s">
        <v>15</v>
      </c>
      <c r="B7" s="80" t="s">
        <v>15</v>
      </c>
      <c r="C7" s="81" t="s">
        <v>15</v>
      </c>
      <c r="D7" s="81"/>
      <c r="E7" s="81" t="s">
        <v>15</v>
      </c>
      <c r="F7" s="82" t="s">
        <v>15</v>
      </c>
      <c r="G7" s="82" t="s">
        <v>15</v>
      </c>
      <c r="H7" s="82" t="s">
        <v>15</v>
      </c>
      <c r="I7" s="83"/>
      <c r="J7" s="83"/>
      <c r="K7" s="355"/>
      <c r="L7" s="344"/>
      <c r="M7" s="346"/>
      <c r="N7" s="346"/>
      <c r="O7" s="346"/>
      <c r="P7" s="333"/>
      <c r="Q7" s="344"/>
      <c r="R7" s="346"/>
      <c r="S7" s="346"/>
      <c r="T7" s="346"/>
      <c r="U7" s="346"/>
      <c r="V7" s="346"/>
      <c r="W7" s="346"/>
      <c r="X7" s="346"/>
      <c r="Y7" s="331"/>
      <c r="Z7" s="331"/>
      <c r="AA7" s="331"/>
      <c r="AB7" s="331"/>
      <c r="AC7" s="337"/>
      <c r="AD7" s="333"/>
      <c r="AE7" s="337"/>
      <c r="AF7" s="333"/>
      <c r="AG7" s="333"/>
      <c r="AH7" s="335"/>
      <c r="AL7" s="54"/>
    </row>
    <row r="8" spans="1:68" s="99" customFormat="1" ht="52.5" customHeight="1" thickBot="1">
      <c r="A8" s="84" t="s">
        <v>14</v>
      </c>
      <c r="B8" s="85" t="s">
        <v>13</v>
      </c>
      <c r="C8" s="86" t="s">
        <v>12</v>
      </c>
      <c r="D8" s="86" t="s">
        <v>11</v>
      </c>
      <c r="E8" s="87" t="s">
        <v>10</v>
      </c>
      <c r="F8" s="87" t="s">
        <v>9</v>
      </c>
      <c r="G8" s="88" t="s">
        <v>8</v>
      </c>
      <c r="H8" s="88" t="s">
        <v>7</v>
      </c>
      <c r="I8" s="89" t="s">
        <v>6</v>
      </c>
      <c r="J8" s="90" t="s">
        <v>5</v>
      </c>
      <c r="K8" s="91" t="s">
        <v>4</v>
      </c>
      <c r="L8" s="92" t="s">
        <v>4</v>
      </c>
      <c r="M8" s="93" t="s">
        <v>4</v>
      </c>
      <c r="N8" s="93" t="s">
        <v>4</v>
      </c>
      <c r="O8" s="93" t="s">
        <v>4</v>
      </c>
      <c r="P8" s="94" t="s">
        <v>4</v>
      </c>
      <c r="Q8" s="92" t="s">
        <v>4</v>
      </c>
      <c r="R8" s="93" t="s">
        <v>4</v>
      </c>
      <c r="S8" s="93" t="s">
        <v>4</v>
      </c>
      <c r="T8" s="93" t="s">
        <v>4</v>
      </c>
      <c r="U8" s="93" t="s">
        <v>4</v>
      </c>
      <c r="V8" s="93" t="s">
        <v>4</v>
      </c>
      <c r="W8" s="93" t="s">
        <v>4</v>
      </c>
      <c r="X8" s="93" t="s">
        <v>4</v>
      </c>
      <c r="Y8" s="95" t="s">
        <v>4</v>
      </c>
      <c r="Z8" s="95" t="s">
        <v>4</v>
      </c>
      <c r="AA8" s="95" t="s">
        <v>4</v>
      </c>
      <c r="AB8" s="95" t="s">
        <v>4</v>
      </c>
      <c r="AC8" s="96" t="s">
        <v>4</v>
      </c>
      <c r="AD8" s="94" t="s">
        <v>4</v>
      </c>
      <c r="AE8" s="96" t="s">
        <v>4</v>
      </c>
      <c r="AF8" s="94" t="s">
        <v>4</v>
      </c>
      <c r="AG8" s="94" t="s">
        <v>4</v>
      </c>
      <c r="AH8" s="97" t="s">
        <v>4</v>
      </c>
      <c r="AI8" s="140">
        <f>COUNTIF(K8:AH8,"y")</f>
        <v>24</v>
      </c>
      <c r="AJ8" s="98" t="s">
        <v>3</v>
      </c>
      <c r="AL8" s="100" t="s">
        <v>2</v>
      </c>
    </row>
    <row r="9" spans="1:68" s="108" customFormat="1" ht="15.75">
      <c r="A9" s="101">
        <v>45950</v>
      </c>
      <c r="B9" s="298">
        <v>40959</v>
      </c>
      <c r="C9">
        <v>3</v>
      </c>
      <c r="D9" s="102"/>
      <c r="E9" t="s">
        <v>206</v>
      </c>
      <c r="F9" t="s">
        <v>207</v>
      </c>
      <c r="G9" s="299" t="s">
        <v>195</v>
      </c>
      <c r="H9" s="104" t="s">
        <v>194</v>
      </c>
      <c r="I9" s="144">
        <f t="shared" ref="I9:I72" si="1">IF(E9="","",COUNTIF(K9:AH9,"y"))</f>
        <v>23</v>
      </c>
      <c r="J9" s="141">
        <f>IF(I9="","",IF(AND(AL9&lt;=66),VLOOKUP(I9,'COP Look Up'!$A$13:$B$21,2,TRUE),IF(AND(AL9&gt;=67,AL9&lt;=72),VLOOKUP(I9,'COP Look Up'!$E$13:$F$21,2,TRUE),IF(AND(AL9&gt;=73,AL9&lt;=78),VLOOKUP(I9,'COP Look Up'!$I$13:$J$21,2,TRUE),IF(AND(AL9&gt;=79),VLOOKUP(I9,'COP Look Up'!$M$13:$N$20,2,TRUE),"")))))</f>
        <v>7</v>
      </c>
      <c r="K9" s="105" t="s">
        <v>62</v>
      </c>
      <c r="L9" s="106" t="s">
        <v>62</v>
      </c>
      <c r="M9" s="106" t="s">
        <v>62</v>
      </c>
      <c r="N9" s="106" t="s">
        <v>62</v>
      </c>
      <c r="O9" s="106" t="s">
        <v>62</v>
      </c>
      <c r="P9" s="106" t="s">
        <v>62</v>
      </c>
      <c r="Q9" s="106" t="s">
        <v>62</v>
      </c>
      <c r="R9" s="106" t="s">
        <v>62</v>
      </c>
      <c r="S9" s="106" t="s">
        <v>62</v>
      </c>
      <c r="T9" s="106" t="s">
        <v>62</v>
      </c>
      <c r="U9" s="106" t="s">
        <v>62</v>
      </c>
      <c r="V9" s="106" t="s">
        <v>62</v>
      </c>
      <c r="W9" s="106" t="s">
        <v>62</v>
      </c>
      <c r="X9" s="106" t="s">
        <v>62</v>
      </c>
      <c r="Y9" s="106" t="s">
        <v>62</v>
      </c>
      <c r="Z9" s="106" t="s">
        <v>62</v>
      </c>
      <c r="AA9" s="106" t="s">
        <v>62</v>
      </c>
      <c r="AB9" s="106" t="s">
        <v>62</v>
      </c>
      <c r="AC9" s="106" t="s">
        <v>62</v>
      </c>
      <c r="AD9" s="106" t="s">
        <v>62</v>
      </c>
      <c r="AE9" s="106" t="s">
        <v>62</v>
      </c>
      <c r="AF9" s="106" t="s">
        <v>62</v>
      </c>
      <c r="AG9" s="106" t="s">
        <v>62</v>
      </c>
      <c r="AH9" s="107"/>
      <c r="AL9" s="143">
        <f t="shared" ref="AL9:AL72" si="2">IF(E9="","",DATEDIF(B9,A9,"m"))</f>
        <v>164</v>
      </c>
      <c r="BA9" s="109"/>
      <c r="BB9" s="109"/>
      <c r="BC9" s="109"/>
      <c r="BD9" s="109"/>
      <c r="BE9" s="109"/>
      <c r="BF9" s="109"/>
      <c r="BG9" s="109"/>
      <c r="BH9" s="109"/>
      <c r="BI9" s="109"/>
      <c r="BJ9" s="109"/>
      <c r="BK9" s="109"/>
      <c r="BL9" s="109"/>
      <c r="BM9" s="109"/>
      <c r="BN9" s="109"/>
      <c r="BO9" s="109"/>
      <c r="BP9" s="109"/>
    </row>
    <row r="10" spans="1:68" s="108" customFormat="1" ht="15.75">
      <c r="A10" s="101">
        <v>45950</v>
      </c>
      <c r="B10" s="298">
        <v>40960</v>
      </c>
      <c r="C10">
        <v>3</v>
      </c>
      <c r="D10" s="111"/>
      <c r="E10" t="s">
        <v>208</v>
      </c>
      <c r="F10" t="s">
        <v>209</v>
      </c>
      <c r="G10" s="299" t="s">
        <v>196</v>
      </c>
      <c r="H10" s="104" t="s">
        <v>194</v>
      </c>
      <c r="I10" s="144">
        <f t="shared" si="1"/>
        <v>19</v>
      </c>
      <c r="J10" s="141">
        <f>IF(I10="","",IF(AND(AL10&lt;=66),VLOOKUP(I10,'COP Look Up'!$A$13:$B$21,2,TRUE),IF(AND(AL10&gt;=67,AL10&lt;=72),VLOOKUP(I10,'COP Look Up'!$E$13:$F$21,2,TRUE),IF(AND(AL10&gt;=73,AL10&lt;=78),VLOOKUP(I10,'COP Look Up'!$I$13:$J$21,2,TRUE),IF(AND(AL10&gt;=79),VLOOKUP(I10,'COP Look Up'!$M$13:$N$20,2,TRUE),"")))))</f>
        <v>5</v>
      </c>
      <c r="K10" s="114" t="s">
        <v>62</v>
      </c>
      <c r="L10" s="114" t="s">
        <v>62</v>
      </c>
      <c r="M10" s="114" t="s">
        <v>62</v>
      </c>
      <c r="N10" s="114" t="s">
        <v>62</v>
      </c>
      <c r="O10" s="114" t="s">
        <v>62</v>
      </c>
      <c r="P10" s="114" t="s">
        <v>62</v>
      </c>
      <c r="Q10" s="114" t="s">
        <v>62</v>
      </c>
      <c r="R10" s="114" t="s">
        <v>62</v>
      </c>
      <c r="S10" s="114" t="s">
        <v>62</v>
      </c>
      <c r="T10" s="114" t="s">
        <v>62</v>
      </c>
      <c r="U10" s="114" t="s">
        <v>62</v>
      </c>
      <c r="V10" s="114" t="s">
        <v>62</v>
      </c>
      <c r="W10" s="114" t="s">
        <v>62</v>
      </c>
      <c r="X10" s="114" t="s">
        <v>62</v>
      </c>
      <c r="Y10" s="114" t="s">
        <v>62</v>
      </c>
      <c r="Z10" s="114" t="s">
        <v>62</v>
      </c>
      <c r="AA10" s="114" t="s">
        <v>62</v>
      </c>
      <c r="AB10" s="114" t="s">
        <v>62</v>
      </c>
      <c r="AC10" s="114" t="s">
        <v>62</v>
      </c>
      <c r="AD10" s="115"/>
      <c r="AE10" s="115"/>
      <c r="AF10" s="115"/>
      <c r="AG10" s="115"/>
      <c r="AH10" s="116"/>
      <c r="AL10" s="143">
        <f t="shared" si="2"/>
        <v>163</v>
      </c>
      <c r="BA10" s="109"/>
      <c r="BB10" s="109"/>
      <c r="BC10" s="109"/>
      <c r="BD10" s="117"/>
      <c r="BE10" s="117"/>
      <c r="BF10" s="117"/>
      <c r="BG10" s="117"/>
      <c r="BH10" s="117"/>
      <c r="BI10" s="117"/>
      <c r="BJ10" s="117"/>
      <c r="BK10" s="117"/>
      <c r="BL10" s="117"/>
      <c r="BM10" s="117"/>
      <c r="BN10" s="117"/>
      <c r="BO10" s="117"/>
      <c r="BP10" s="117"/>
    </row>
    <row r="11" spans="1:68" s="108" customFormat="1" ht="15.75">
      <c r="A11" s="101">
        <v>45950</v>
      </c>
      <c r="B11" s="298">
        <v>40961</v>
      </c>
      <c r="C11">
        <v>3</v>
      </c>
      <c r="D11" s="111"/>
      <c r="E11" t="s">
        <v>210</v>
      </c>
      <c r="F11" t="s">
        <v>211</v>
      </c>
      <c r="G11" s="299" t="s">
        <v>197</v>
      </c>
      <c r="H11" s="104" t="s">
        <v>194</v>
      </c>
      <c r="I11" s="144">
        <f t="shared" si="1"/>
        <v>21</v>
      </c>
      <c r="J11" s="141">
        <f>IF(I11="","",IF(AND(AL11&lt;=66),VLOOKUP(I11,'COP Look Up'!$A$13:$B$21,2,TRUE),IF(AND(AL11&gt;=67,AL11&lt;=72),VLOOKUP(I11,'COP Look Up'!$E$13:$F$21,2,TRUE),IF(AND(AL11&gt;=73,AL11&lt;=78),VLOOKUP(I11,'COP Look Up'!$I$13:$J$21,2,TRUE),IF(AND(AL11&gt;=79),VLOOKUP(I11,'COP Look Up'!$M$13:$N$20,2,TRUE),"")))))</f>
        <v>6</v>
      </c>
      <c r="K11" s="114" t="s">
        <v>62</v>
      </c>
      <c r="L11" s="114" t="s">
        <v>62</v>
      </c>
      <c r="M11" s="114" t="s">
        <v>62</v>
      </c>
      <c r="N11" s="114" t="s">
        <v>62</v>
      </c>
      <c r="O11" s="114" t="s">
        <v>62</v>
      </c>
      <c r="P11" s="114" t="s">
        <v>62</v>
      </c>
      <c r="Q11" s="114" t="s">
        <v>62</v>
      </c>
      <c r="R11" s="114" t="s">
        <v>62</v>
      </c>
      <c r="S11" s="114" t="s">
        <v>62</v>
      </c>
      <c r="T11" s="114" t="s">
        <v>62</v>
      </c>
      <c r="U11" s="114" t="s">
        <v>62</v>
      </c>
      <c r="V11" s="114" t="s">
        <v>62</v>
      </c>
      <c r="W11" s="114" t="s">
        <v>62</v>
      </c>
      <c r="X11" s="114" t="s">
        <v>62</v>
      </c>
      <c r="Y11" s="114" t="s">
        <v>62</v>
      </c>
      <c r="Z11" s="114" t="s">
        <v>62</v>
      </c>
      <c r="AA11" s="114" t="s">
        <v>62</v>
      </c>
      <c r="AB11" s="114" t="s">
        <v>62</v>
      </c>
      <c r="AC11" s="114" t="s">
        <v>62</v>
      </c>
      <c r="AD11" s="114" t="s">
        <v>62</v>
      </c>
      <c r="AE11" s="114" t="s">
        <v>62</v>
      </c>
      <c r="AF11" s="115"/>
      <c r="AG11" s="115"/>
      <c r="AH11" s="116"/>
      <c r="AL11" s="143">
        <f t="shared" si="2"/>
        <v>163</v>
      </c>
      <c r="BA11" s="117"/>
      <c r="BB11" s="117"/>
      <c r="BC11" s="117"/>
      <c r="BD11" s="117"/>
      <c r="BE11" s="117"/>
      <c r="BF11" s="117"/>
      <c r="BG11" s="117"/>
      <c r="BH11" s="117"/>
      <c r="BI11" s="117"/>
      <c r="BJ11" s="117"/>
      <c r="BK11" s="117"/>
      <c r="BL11" s="117"/>
      <c r="BM11" s="117"/>
      <c r="BN11" s="117"/>
      <c r="BO11" s="117"/>
      <c r="BP11" s="117"/>
    </row>
    <row r="12" spans="1:68" s="108" customFormat="1" ht="15.75">
      <c r="A12" s="101">
        <v>45950</v>
      </c>
      <c r="B12" s="298">
        <v>40962</v>
      </c>
      <c r="C12">
        <v>3</v>
      </c>
      <c r="D12" s="111"/>
      <c r="E12" t="s">
        <v>212</v>
      </c>
      <c r="F12" t="s">
        <v>213</v>
      </c>
      <c r="G12" s="299" t="s">
        <v>198</v>
      </c>
      <c r="H12" s="104" t="s">
        <v>194</v>
      </c>
      <c r="I12" s="144">
        <f t="shared" si="1"/>
        <v>21</v>
      </c>
      <c r="J12" s="141">
        <f>IF(I12="","",IF(AND(AL12&lt;=66),VLOOKUP(I12,'COP Look Up'!$A$13:$B$21,2,TRUE),IF(AND(AL12&gt;=67,AL12&lt;=72),VLOOKUP(I12,'COP Look Up'!$E$13:$F$21,2,TRUE),IF(AND(AL12&gt;=73,AL12&lt;=78),VLOOKUP(I12,'COP Look Up'!$I$13:$J$21,2,TRUE),IF(AND(AL12&gt;=79),VLOOKUP(I12,'COP Look Up'!$M$13:$N$20,2,TRUE),"")))))</f>
        <v>6</v>
      </c>
      <c r="K12" s="114" t="s">
        <v>62</v>
      </c>
      <c r="L12" s="114" t="s">
        <v>62</v>
      </c>
      <c r="M12" s="114" t="s">
        <v>62</v>
      </c>
      <c r="N12" s="114" t="s">
        <v>62</v>
      </c>
      <c r="O12" s="114" t="s">
        <v>62</v>
      </c>
      <c r="P12" s="114" t="s">
        <v>62</v>
      </c>
      <c r="Q12" s="114" t="s">
        <v>62</v>
      </c>
      <c r="R12" s="114" t="s">
        <v>62</v>
      </c>
      <c r="S12" s="114" t="s">
        <v>62</v>
      </c>
      <c r="T12" s="114" t="s">
        <v>62</v>
      </c>
      <c r="U12" s="114" t="s">
        <v>62</v>
      </c>
      <c r="V12" s="114" t="s">
        <v>62</v>
      </c>
      <c r="W12" s="114" t="s">
        <v>62</v>
      </c>
      <c r="X12" s="114" t="s">
        <v>62</v>
      </c>
      <c r="Y12" s="114" t="s">
        <v>62</v>
      </c>
      <c r="Z12" s="114" t="s">
        <v>62</v>
      </c>
      <c r="AA12" s="114" t="s">
        <v>62</v>
      </c>
      <c r="AB12" s="114" t="s">
        <v>62</v>
      </c>
      <c r="AC12" s="114" t="s">
        <v>62</v>
      </c>
      <c r="AD12" s="114" t="s">
        <v>62</v>
      </c>
      <c r="AE12" s="114" t="s">
        <v>62</v>
      </c>
      <c r="AF12" s="115"/>
      <c r="AG12" s="115"/>
      <c r="AH12" s="116"/>
      <c r="AL12" s="143">
        <f t="shared" si="2"/>
        <v>163</v>
      </c>
      <c r="BA12" s="109"/>
      <c r="BB12" s="109"/>
      <c r="BC12" s="109"/>
      <c r="BD12" s="109"/>
      <c r="BE12" s="109"/>
      <c r="BF12" s="109"/>
      <c r="BG12" s="109"/>
      <c r="BH12" s="109"/>
      <c r="BI12" s="109"/>
      <c r="BJ12" s="109"/>
      <c r="BK12" s="109"/>
      <c r="BL12" s="109"/>
      <c r="BM12" s="109"/>
      <c r="BN12" s="109"/>
      <c r="BO12" s="109"/>
      <c r="BP12" s="109"/>
    </row>
    <row r="13" spans="1:68" s="108" customFormat="1" ht="15.75">
      <c r="A13" s="101">
        <v>45950</v>
      </c>
      <c r="B13" s="298">
        <v>40970</v>
      </c>
      <c r="C13">
        <v>3</v>
      </c>
      <c r="D13" s="111"/>
      <c r="E13" s="299" t="s">
        <v>214</v>
      </c>
      <c r="F13" s="299" t="s">
        <v>215</v>
      </c>
      <c r="G13" s="299" t="s">
        <v>199</v>
      </c>
      <c r="H13" s="104" t="s">
        <v>194</v>
      </c>
      <c r="I13" s="144">
        <f t="shared" si="1"/>
        <v>21</v>
      </c>
      <c r="J13" s="141">
        <f>IF(I13="","",IF(AND(AL13&lt;=66),VLOOKUP(I13,'COP Look Up'!$A$13:$B$21,2,TRUE),IF(AND(AL13&gt;=67,AL13&lt;=72),VLOOKUP(I13,'COP Look Up'!$E$13:$F$21,2,TRUE),IF(AND(AL13&gt;=73,AL13&lt;=78),VLOOKUP(I13,'COP Look Up'!$I$13:$J$21,2,TRUE),IF(AND(AL13&gt;=79),VLOOKUP(I13,'COP Look Up'!$M$13:$N$20,2,TRUE),"")))))</f>
        <v>6</v>
      </c>
      <c r="K13" s="114" t="s">
        <v>62</v>
      </c>
      <c r="L13" s="114" t="s">
        <v>62</v>
      </c>
      <c r="M13" s="114" t="s">
        <v>62</v>
      </c>
      <c r="N13" s="114" t="s">
        <v>62</v>
      </c>
      <c r="O13" s="114" t="s">
        <v>62</v>
      </c>
      <c r="P13" s="114" t="s">
        <v>62</v>
      </c>
      <c r="Q13" s="114" t="s">
        <v>62</v>
      </c>
      <c r="R13" s="114" t="s">
        <v>62</v>
      </c>
      <c r="S13" s="114" t="s">
        <v>62</v>
      </c>
      <c r="T13" s="114" t="s">
        <v>62</v>
      </c>
      <c r="U13" s="114" t="s">
        <v>62</v>
      </c>
      <c r="V13" s="114" t="s">
        <v>62</v>
      </c>
      <c r="W13" s="114" t="s">
        <v>62</v>
      </c>
      <c r="X13" s="114" t="s">
        <v>62</v>
      </c>
      <c r="Y13" s="114" t="s">
        <v>62</v>
      </c>
      <c r="Z13" s="114" t="s">
        <v>62</v>
      </c>
      <c r="AA13" s="114" t="s">
        <v>62</v>
      </c>
      <c r="AB13" s="114" t="s">
        <v>62</v>
      </c>
      <c r="AC13" s="114" t="s">
        <v>62</v>
      </c>
      <c r="AD13" s="114" t="s">
        <v>62</v>
      </c>
      <c r="AE13" s="114" t="s">
        <v>62</v>
      </c>
      <c r="AF13" s="115"/>
      <c r="AG13" s="115"/>
      <c r="AH13" s="116"/>
      <c r="AL13" s="143">
        <f t="shared" si="2"/>
        <v>163</v>
      </c>
      <c r="BA13" s="109"/>
      <c r="BB13" s="109"/>
      <c r="BC13" s="109"/>
      <c r="BD13" s="109"/>
      <c r="BE13" s="109"/>
      <c r="BF13" s="109"/>
      <c r="BG13" s="109"/>
      <c r="BH13" s="109"/>
      <c r="BI13" s="109"/>
      <c r="BJ13" s="109"/>
      <c r="BK13" s="109"/>
      <c r="BL13" s="109"/>
      <c r="BM13" s="109"/>
      <c r="BN13" s="109"/>
      <c r="BO13" s="109"/>
      <c r="BP13" s="109"/>
    </row>
    <row r="14" spans="1:68" s="108" customFormat="1" ht="15.75">
      <c r="A14" s="101">
        <v>45950</v>
      </c>
      <c r="B14" s="298">
        <v>40963</v>
      </c>
      <c r="C14">
        <v>3</v>
      </c>
      <c r="D14" s="111"/>
      <c r="E14" t="s">
        <v>216</v>
      </c>
      <c r="F14" t="s">
        <v>217</v>
      </c>
      <c r="G14" s="299" t="s">
        <v>200</v>
      </c>
      <c r="H14" s="104" t="s">
        <v>194</v>
      </c>
      <c r="I14" s="144">
        <f t="shared" si="1"/>
        <v>0</v>
      </c>
      <c r="J14" s="141">
        <f>IF(I14="","",IF(AND(AL14&lt;=66),VLOOKUP(I14,'COP Look Up'!$A$13:$B$21,2,TRUE),IF(AND(AL14&gt;=67,AL14&lt;=72),VLOOKUP(I14,'COP Look Up'!$E$13:$F$21,2,TRUE),IF(AND(AL14&gt;=73,AL14&lt;=78),VLOOKUP(I14,'COP Look Up'!$I$13:$J$21,2,TRUE),IF(AND(AL14&gt;=79),VLOOKUP(I14,'COP Look Up'!$M$13:$N$20,2,TRUE),"")))))</f>
        <v>1</v>
      </c>
      <c r="K14" s="114"/>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6"/>
      <c r="AL14" s="143">
        <f t="shared" si="2"/>
        <v>163</v>
      </c>
      <c r="BA14" s="109"/>
      <c r="BB14" s="109"/>
      <c r="BC14" s="109"/>
      <c r="BD14" s="109"/>
      <c r="BE14" s="109"/>
      <c r="BF14" s="109"/>
      <c r="BG14" s="109"/>
      <c r="BH14" s="109"/>
      <c r="BI14" s="109"/>
      <c r="BJ14" s="109"/>
      <c r="BK14" s="109"/>
      <c r="BL14" s="109"/>
      <c r="BM14" s="109"/>
      <c r="BN14" s="109"/>
      <c r="BO14" s="109"/>
      <c r="BP14" s="109"/>
    </row>
    <row r="15" spans="1:68" s="108" customFormat="1" ht="15.75">
      <c r="A15" s="101">
        <v>45950</v>
      </c>
      <c r="B15" s="298">
        <v>40964</v>
      </c>
      <c r="C15">
        <v>3</v>
      </c>
      <c r="D15" s="111"/>
      <c r="E15" t="s">
        <v>218</v>
      </c>
      <c r="F15" t="s">
        <v>219</v>
      </c>
      <c r="G15" s="299" t="s">
        <v>201</v>
      </c>
      <c r="H15" s="104" t="s">
        <v>194</v>
      </c>
      <c r="I15" s="144">
        <f t="shared" si="1"/>
        <v>20</v>
      </c>
      <c r="J15" s="141">
        <f>IF(I15="","",IF(AND(AL15&lt;=66),VLOOKUP(I15,'COP Look Up'!$A$13:$B$21,2,TRUE),IF(AND(AL15&gt;=67,AL15&lt;=72),VLOOKUP(I15,'COP Look Up'!$E$13:$F$21,2,TRUE),IF(AND(AL15&gt;=73,AL15&lt;=78),VLOOKUP(I15,'COP Look Up'!$I$13:$J$21,2,TRUE),IF(AND(AL15&gt;=79),VLOOKUP(I15,'COP Look Up'!$M$13:$N$20,2,TRUE),"")))))</f>
        <v>5</v>
      </c>
      <c r="K15" s="114" t="s">
        <v>62</v>
      </c>
      <c r="L15" s="114" t="s">
        <v>62</v>
      </c>
      <c r="M15" s="114" t="s">
        <v>62</v>
      </c>
      <c r="N15" s="114" t="s">
        <v>62</v>
      </c>
      <c r="O15" s="114" t="s">
        <v>62</v>
      </c>
      <c r="P15" s="114" t="s">
        <v>62</v>
      </c>
      <c r="Q15" s="114" t="s">
        <v>62</v>
      </c>
      <c r="R15" s="114" t="s">
        <v>62</v>
      </c>
      <c r="S15" s="114" t="s">
        <v>62</v>
      </c>
      <c r="T15" s="114" t="s">
        <v>62</v>
      </c>
      <c r="U15" s="114" t="s">
        <v>62</v>
      </c>
      <c r="V15" s="114" t="s">
        <v>62</v>
      </c>
      <c r="W15" s="114" t="s">
        <v>62</v>
      </c>
      <c r="X15" s="114" t="s">
        <v>62</v>
      </c>
      <c r="Y15" s="114" t="s">
        <v>62</v>
      </c>
      <c r="Z15" s="114" t="s">
        <v>62</v>
      </c>
      <c r="AA15" s="114" t="s">
        <v>62</v>
      </c>
      <c r="AB15" s="114" t="s">
        <v>62</v>
      </c>
      <c r="AC15" s="114" t="s">
        <v>62</v>
      </c>
      <c r="AD15" s="114" t="s">
        <v>62</v>
      </c>
      <c r="AE15" s="115"/>
      <c r="AF15" s="115"/>
      <c r="AG15" s="115"/>
      <c r="AH15" s="116"/>
      <c r="AL15" s="143">
        <f t="shared" si="2"/>
        <v>163</v>
      </c>
      <c r="BA15" s="109"/>
      <c r="BB15" s="109"/>
      <c r="BC15" s="109"/>
      <c r="BD15" s="117"/>
      <c r="BE15" s="117"/>
      <c r="BF15" s="117"/>
      <c r="BG15" s="117"/>
      <c r="BH15" s="117"/>
      <c r="BI15" s="117"/>
      <c r="BJ15" s="117"/>
      <c r="BK15" s="117"/>
      <c r="BL15" s="117"/>
      <c r="BM15" s="117"/>
      <c r="BN15" s="117"/>
      <c r="BO15" s="117"/>
      <c r="BP15" s="117"/>
    </row>
    <row r="16" spans="1:68" s="108" customFormat="1" ht="15.75">
      <c r="A16" s="101">
        <v>45950</v>
      </c>
      <c r="B16" s="298">
        <v>40965</v>
      </c>
      <c r="C16">
        <v>3</v>
      </c>
      <c r="D16" s="111"/>
      <c r="E16" t="s">
        <v>220</v>
      </c>
      <c r="F16" t="s">
        <v>221</v>
      </c>
      <c r="G16" s="299" t="s">
        <v>202</v>
      </c>
      <c r="H16" s="104" t="s">
        <v>194</v>
      </c>
      <c r="I16" s="144">
        <f t="shared" si="1"/>
        <v>4</v>
      </c>
      <c r="J16" s="141">
        <f>IF(I16="","",IF(AND(AL16&lt;=66),VLOOKUP(I16,'COP Look Up'!$A$13:$B$21,2,TRUE),IF(AND(AL16&gt;=67,AL16&lt;=72),VLOOKUP(I16,'COP Look Up'!$E$13:$F$21,2,TRUE),IF(AND(AL16&gt;=73,AL16&lt;=78),VLOOKUP(I16,'COP Look Up'!$I$13:$J$21,2,TRUE),IF(AND(AL16&gt;=79),VLOOKUP(I16,'COP Look Up'!$M$13:$N$20,2,TRUE),"")))))</f>
        <v>1</v>
      </c>
      <c r="K16" s="114" t="s">
        <v>57</v>
      </c>
      <c r="L16" s="114" t="s">
        <v>57</v>
      </c>
      <c r="M16" s="114" t="s">
        <v>57</v>
      </c>
      <c r="N16" s="114" t="s">
        <v>57</v>
      </c>
      <c r="O16" s="114" t="s">
        <v>62</v>
      </c>
      <c r="P16" s="114" t="s">
        <v>62</v>
      </c>
      <c r="Q16" s="114" t="s">
        <v>57</v>
      </c>
      <c r="R16" s="114" t="s">
        <v>62</v>
      </c>
      <c r="S16" s="114" t="s">
        <v>62</v>
      </c>
      <c r="T16" s="114" t="s">
        <v>57</v>
      </c>
      <c r="U16" s="114" t="s">
        <v>57</v>
      </c>
      <c r="V16" s="114" t="s">
        <v>57</v>
      </c>
      <c r="W16" s="114" t="s">
        <v>57</v>
      </c>
      <c r="X16" s="114" t="s">
        <v>57</v>
      </c>
      <c r="Y16" s="114" t="s">
        <v>57</v>
      </c>
      <c r="Z16" s="114" t="s">
        <v>57</v>
      </c>
      <c r="AA16" s="114" t="s">
        <v>57</v>
      </c>
      <c r="AB16" s="114" t="s">
        <v>57</v>
      </c>
      <c r="AC16" s="114" t="s">
        <v>57</v>
      </c>
      <c r="AD16" s="114" t="s">
        <v>57</v>
      </c>
      <c r="AE16" s="115"/>
      <c r="AF16" s="115"/>
      <c r="AG16" s="115"/>
      <c r="AH16" s="116"/>
      <c r="AL16" s="143">
        <f t="shared" si="2"/>
        <v>163</v>
      </c>
      <c r="BA16" s="117"/>
      <c r="BB16" s="117"/>
      <c r="BC16" s="117"/>
      <c r="BD16" s="117"/>
      <c r="BE16" s="117"/>
      <c r="BF16" s="117"/>
      <c r="BG16" s="117"/>
      <c r="BH16" s="117"/>
      <c r="BI16" s="117"/>
      <c r="BJ16" s="117"/>
      <c r="BK16" s="117"/>
      <c r="BL16" s="117"/>
      <c r="BM16" s="117"/>
      <c r="BN16" s="117"/>
      <c r="BO16" s="117"/>
      <c r="BP16" s="117"/>
    </row>
    <row r="17" spans="1:68" s="108" customFormat="1" ht="15.75">
      <c r="A17" s="101">
        <v>45950</v>
      </c>
      <c r="B17" s="298">
        <v>40966</v>
      </c>
      <c r="C17">
        <v>3</v>
      </c>
      <c r="D17" s="111"/>
      <c r="E17" t="s">
        <v>222</v>
      </c>
      <c r="F17" t="s">
        <v>223</v>
      </c>
      <c r="G17" s="299" t="s">
        <v>203</v>
      </c>
      <c r="H17" s="104" t="s">
        <v>194</v>
      </c>
      <c r="I17" s="144">
        <f t="shared" si="1"/>
        <v>20</v>
      </c>
      <c r="J17" s="141">
        <f>IF(I17="","",IF(AND(AL17&lt;=66),VLOOKUP(I17,'COP Look Up'!$A$13:$B$21,2,TRUE),IF(AND(AL17&gt;=67,AL17&lt;=72),VLOOKUP(I17,'COP Look Up'!$E$13:$F$21,2,TRUE),IF(AND(AL17&gt;=73,AL17&lt;=78),VLOOKUP(I17,'COP Look Up'!$I$13:$J$21,2,TRUE),IF(AND(AL17&gt;=79),VLOOKUP(I17,'COP Look Up'!$M$13:$N$20,2,TRUE),"")))))</f>
        <v>5</v>
      </c>
      <c r="K17" s="114" t="s">
        <v>62</v>
      </c>
      <c r="L17" s="114" t="s">
        <v>62</v>
      </c>
      <c r="M17" s="114" t="s">
        <v>62</v>
      </c>
      <c r="N17" s="114" t="s">
        <v>62</v>
      </c>
      <c r="O17" s="114" t="s">
        <v>62</v>
      </c>
      <c r="P17" s="114" t="s">
        <v>62</v>
      </c>
      <c r="Q17" s="114" t="s">
        <v>62</v>
      </c>
      <c r="R17" s="114" t="s">
        <v>62</v>
      </c>
      <c r="S17" s="114" t="s">
        <v>62</v>
      </c>
      <c r="T17" s="114" t="s">
        <v>62</v>
      </c>
      <c r="U17" s="114" t="s">
        <v>62</v>
      </c>
      <c r="V17" s="114" t="s">
        <v>62</v>
      </c>
      <c r="W17" s="114" t="s">
        <v>62</v>
      </c>
      <c r="X17" s="114" t="s">
        <v>62</v>
      </c>
      <c r="Y17" s="114" t="s">
        <v>62</v>
      </c>
      <c r="Z17" s="114" t="s">
        <v>62</v>
      </c>
      <c r="AA17" s="114" t="s">
        <v>62</v>
      </c>
      <c r="AB17" s="114" t="s">
        <v>62</v>
      </c>
      <c r="AC17" s="114" t="s">
        <v>62</v>
      </c>
      <c r="AD17" s="114" t="s">
        <v>62</v>
      </c>
      <c r="AE17" s="115"/>
      <c r="AF17" s="115"/>
      <c r="AG17" s="115"/>
      <c r="AH17" s="116"/>
      <c r="AL17" s="143">
        <f t="shared" si="2"/>
        <v>163</v>
      </c>
    </row>
    <row r="18" spans="1:68" s="108" customFormat="1" ht="15.75">
      <c r="A18" s="101">
        <v>45950</v>
      </c>
      <c r="B18" s="298">
        <v>40967</v>
      </c>
      <c r="C18">
        <v>3</v>
      </c>
      <c r="D18" s="111"/>
      <c r="E18" t="s">
        <v>224</v>
      </c>
      <c r="F18" t="s">
        <v>225</v>
      </c>
      <c r="G18" s="299" t="s">
        <v>204</v>
      </c>
      <c r="H18" s="104" t="s">
        <v>194</v>
      </c>
      <c r="I18" s="144">
        <f t="shared" si="1"/>
        <v>20</v>
      </c>
      <c r="J18" s="141">
        <f>IF(I18="","",IF(AND(AL18&lt;=66),VLOOKUP(I18,'COP Look Up'!$A$13:$B$21,2,TRUE),IF(AND(AL18&gt;=67,AL18&lt;=72),VLOOKUP(I18,'COP Look Up'!$E$13:$F$21,2,TRUE),IF(AND(AL18&gt;=73,AL18&lt;=78),VLOOKUP(I18,'COP Look Up'!$I$13:$J$21,2,TRUE),IF(AND(AL18&gt;=79),VLOOKUP(I18,'COP Look Up'!$M$13:$N$20,2,TRUE),"")))))</f>
        <v>5</v>
      </c>
      <c r="K18" s="114" t="s">
        <v>62</v>
      </c>
      <c r="L18" s="114" t="s">
        <v>62</v>
      </c>
      <c r="M18" s="114" t="s">
        <v>62</v>
      </c>
      <c r="N18" s="114" t="s">
        <v>62</v>
      </c>
      <c r="O18" s="114" t="s">
        <v>62</v>
      </c>
      <c r="P18" s="114" t="s">
        <v>62</v>
      </c>
      <c r="Q18" s="114" t="s">
        <v>62</v>
      </c>
      <c r="R18" s="114" t="s">
        <v>62</v>
      </c>
      <c r="S18" s="114" t="s">
        <v>62</v>
      </c>
      <c r="T18" s="114" t="s">
        <v>62</v>
      </c>
      <c r="U18" s="114" t="s">
        <v>62</v>
      </c>
      <c r="V18" s="114" t="s">
        <v>62</v>
      </c>
      <c r="W18" s="114" t="s">
        <v>62</v>
      </c>
      <c r="X18" s="114" t="s">
        <v>62</v>
      </c>
      <c r="Y18" s="114" t="s">
        <v>62</v>
      </c>
      <c r="Z18" s="114" t="s">
        <v>62</v>
      </c>
      <c r="AA18" s="114" t="s">
        <v>62</v>
      </c>
      <c r="AB18" s="114" t="s">
        <v>62</v>
      </c>
      <c r="AC18" s="114" t="s">
        <v>62</v>
      </c>
      <c r="AD18" s="114" t="s">
        <v>62</v>
      </c>
      <c r="AE18" s="115"/>
      <c r="AF18" s="115"/>
      <c r="AG18" s="115"/>
      <c r="AH18" s="116"/>
      <c r="AL18" s="143">
        <f t="shared" si="2"/>
        <v>163</v>
      </c>
      <c r="BA18" s="109"/>
      <c r="BB18" s="109"/>
      <c r="BC18" s="109"/>
      <c r="BD18" s="109"/>
      <c r="BE18" s="109"/>
      <c r="BF18" s="109"/>
      <c r="BG18" s="109"/>
      <c r="BH18" s="109"/>
      <c r="BI18" s="109"/>
      <c r="BJ18" s="109"/>
      <c r="BK18" s="109"/>
      <c r="BL18" s="109"/>
      <c r="BM18" s="109"/>
      <c r="BN18" s="109"/>
      <c r="BO18" s="109"/>
      <c r="BP18" s="109"/>
    </row>
    <row r="19" spans="1:68" s="108" customFormat="1" ht="15.75">
      <c r="A19" s="101">
        <v>45950</v>
      </c>
      <c r="B19" s="298">
        <v>40968</v>
      </c>
      <c r="C19">
        <v>3</v>
      </c>
      <c r="D19" s="111"/>
      <c r="E19" t="s">
        <v>226</v>
      </c>
      <c r="F19" t="s">
        <v>227</v>
      </c>
      <c r="G19" s="299" t="s">
        <v>205</v>
      </c>
      <c r="H19" s="113"/>
      <c r="I19" s="144">
        <f t="shared" si="1"/>
        <v>0</v>
      </c>
      <c r="J19" s="141">
        <f>IF(I19="","",IF(AND(AL19&lt;=66),VLOOKUP(I19,'COP Look Up'!$A$13:$B$21,2,TRUE),IF(AND(AL19&gt;=67,AL19&lt;=72),VLOOKUP(I19,'COP Look Up'!$E$13:$F$21,2,TRUE),IF(AND(AL19&gt;=73,AL19&lt;=78),VLOOKUP(I19,'COP Look Up'!$I$13:$J$21,2,TRUE),IF(AND(AL19&gt;=79),VLOOKUP(I19,'COP Look Up'!$M$13:$N$20,2,TRUE),"")))))</f>
        <v>1</v>
      </c>
      <c r="K19" s="114"/>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6"/>
      <c r="AL19" s="143">
        <f t="shared" si="2"/>
        <v>163</v>
      </c>
      <c r="BA19" s="109"/>
      <c r="BB19" s="117"/>
      <c r="BC19" s="117"/>
      <c r="BD19" s="117"/>
      <c r="BE19" s="117"/>
      <c r="BF19" s="117"/>
      <c r="BG19" s="117"/>
      <c r="BH19" s="117"/>
      <c r="BI19" s="117"/>
      <c r="BJ19" s="117"/>
      <c r="BK19" s="117"/>
      <c r="BL19" s="117"/>
      <c r="BM19" s="117"/>
      <c r="BN19" s="117"/>
    </row>
    <row r="20" spans="1:68" s="108" customFormat="1" ht="15.75">
      <c r="A20" s="110"/>
      <c r="B20" s="110"/>
      <c r="C20" s="111"/>
      <c r="D20" s="111"/>
      <c r="E20" s="103"/>
      <c r="F20" s="112"/>
      <c r="G20" s="113"/>
      <c r="H20" s="113"/>
      <c r="I20" s="144" t="str">
        <f t="shared" si="1"/>
        <v/>
      </c>
      <c r="J20" s="141" t="str">
        <f>IF(I20="","",IF(AND(AL20&lt;=66),VLOOKUP(I20,'COP Look Up'!$A$13:$B$21,2,TRUE),IF(AND(AL20&gt;=67,AL20&lt;=72),VLOOKUP(I20,'COP Look Up'!$E$13:$F$21,2,TRUE),IF(AND(AL20&gt;=73,AL20&lt;=78),VLOOKUP(I20,'COP Look Up'!$I$13:$J$21,2,TRUE),IF(AND(AL20&gt;=79),VLOOKUP(I20,'COP Look Up'!$M$13:$N$20,2,TRUE),"")))))</f>
        <v/>
      </c>
      <c r="K20" s="114"/>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6"/>
      <c r="AL20" s="143" t="str">
        <f t="shared" si="2"/>
        <v/>
      </c>
      <c r="BA20" s="117"/>
      <c r="BB20" s="117"/>
      <c r="BC20" s="117"/>
      <c r="BD20" s="117"/>
      <c r="BE20" s="117"/>
      <c r="BF20" s="117"/>
      <c r="BG20" s="117"/>
      <c r="BH20" s="117"/>
      <c r="BI20" s="117"/>
      <c r="BJ20" s="117"/>
      <c r="BK20" s="117"/>
      <c r="BL20" s="117"/>
      <c r="BM20" s="117"/>
      <c r="BN20" s="117"/>
      <c r="BO20" s="117"/>
      <c r="BP20" s="117"/>
    </row>
    <row r="21" spans="1:68" s="108" customFormat="1" ht="15.75">
      <c r="A21" s="110"/>
      <c r="B21" s="110"/>
      <c r="C21" s="102"/>
      <c r="D21" s="111"/>
      <c r="E21" s="103"/>
      <c r="F21" s="112"/>
      <c r="G21" s="113"/>
      <c r="H21" s="113"/>
      <c r="I21" s="144" t="str">
        <f t="shared" si="1"/>
        <v/>
      </c>
      <c r="J21" s="141" t="str">
        <f>IF(I21="","",IF(AND(AL21&lt;=66),VLOOKUP(I21,'COP Look Up'!$A$13:$B$21,2,TRUE),IF(AND(AL21&gt;=67,AL21&lt;=72),VLOOKUP(I21,'COP Look Up'!$E$13:$F$21,2,TRUE),IF(AND(AL21&gt;=73,AL21&lt;=78),VLOOKUP(I21,'COP Look Up'!$I$13:$J$21,2,TRUE),IF(AND(AL21&gt;=79),VLOOKUP(I21,'COP Look Up'!$M$13:$N$20,2,TRUE),"")))))</f>
        <v/>
      </c>
      <c r="K21" s="114"/>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6"/>
      <c r="AL21" s="143" t="str">
        <f t="shared" si="2"/>
        <v/>
      </c>
    </row>
    <row r="22" spans="1:68" s="108" customFormat="1" ht="15.75">
      <c r="A22" s="110"/>
      <c r="B22" s="110"/>
      <c r="C22" s="111"/>
      <c r="D22" s="111"/>
      <c r="E22" s="103"/>
      <c r="F22" s="112"/>
      <c r="G22" s="113"/>
      <c r="H22" s="113"/>
      <c r="I22" s="144" t="str">
        <f t="shared" si="1"/>
        <v/>
      </c>
      <c r="J22" s="141" t="str">
        <f>IF(I22="","",IF(AND(AL22&lt;=66),VLOOKUP(I22,'COP Look Up'!$A$13:$B$21,2,TRUE),IF(AND(AL22&gt;=67,AL22&lt;=72),VLOOKUP(I22,'COP Look Up'!$E$13:$F$21,2,TRUE),IF(AND(AL22&gt;=73,AL22&lt;=78),VLOOKUP(I22,'COP Look Up'!$I$13:$J$21,2,TRUE),IF(AND(AL22&gt;=79),VLOOKUP(I22,'COP Look Up'!$M$13:$N$20,2,TRUE),"")))))</f>
        <v/>
      </c>
      <c r="K22" s="114"/>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6"/>
      <c r="AL22" s="143" t="str">
        <f t="shared" si="2"/>
        <v/>
      </c>
      <c r="BA22" s="109"/>
      <c r="BB22" s="109"/>
      <c r="BC22" s="109"/>
      <c r="BD22" s="109"/>
      <c r="BE22" s="109"/>
      <c r="BF22" s="109"/>
      <c r="BG22" s="109"/>
      <c r="BH22" s="109"/>
      <c r="BI22" s="109"/>
      <c r="BJ22" s="109"/>
      <c r="BK22" s="109"/>
      <c r="BL22" s="109"/>
      <c r="BM22" s="109"/>
      <c r="BN22" s="109"/>
      <c r="BO22" s="109"/>
      <c r="BP22" s="109"/>
    </row>
    <row r="23" spans="1:68" s="108" customFormat="1" ht="15.75">
      <c r="A23" s="110"/>
      <c r="B23" s="110"/>
      <c r="C23" s="111"/>
      <c r="D23" s="111"/>
      <c r="E23" s="103"/>
      <c r="F23" s="112"/>
      <c r="G23" s="113"/>
      <c r="H23" s="113"/>
      <c r="I23" s="144" t="str">
        <f t="shared" si="1"/>
        <v/>
      </c>
      <c r="J23" s="141" t="str">
        <f>IF(I23="","",IF(AND(AL23&lt;=66),VLOOKUP(I23,'COP Look Up'!$A$13:$B$21,2,TRUE),IF(AND(AL23&gt;=67,AL23&lt;=72),VLOOKUP(I23,'COP Look Up'!$E$13:$F$21,2,TRUE),IF(AND(AL23&gt;=73,AL23&lt;=78),VLOOKUP(I23,'COP Look Up'!$I$13:$J$21,2,TRUE),IF(AND(AL23&gt;=79),VLOOKUP(I23,'COP Look Up'!$M$13:$N$20,2,TRUE),"")))))</f>
        <v/>
      </c>
      <c r="K23" s="114"/>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6"/>
      <c r="AL23" s="143" t="str">
        <f t="shared" si="2"/>
        <v/>
      </c>
      <c r="BA23" s="109"/>
      <c r="BB23" s="109"/>
      <c r="BC23" s="109"/>
      <c r="BD23" s="117"/>
      <c r="BE23" s="117"/>
      <c r="BF23" s="117"/>
      <c r="BG23" s="117"/>
      <c r="BH23" s="117"/>
      <c r="BI23" s="117"/>
      <c r="BJ23" s="117"/>
      <c r="BK23" s="117"/>
      <c r="BL23" s="117"/>
      <c r="BM23" s="117"/>
      <c r="BN23" s="117"/>
      <c r="BO23" s="117"/>
      <c r="BP23" s="117"/>
    </row>
    <row r="24" spans="1:68" s="108" customFormat="1" ht="15.75">
      <c r="A24" s="110"/>
      <c r="B24" s="110"/>
      <c r="C24" s="111"/>
      <c r="D24" s="111"/>
      <c r="E24" s="103"/>
      <c r="F24" s="112"/>
      <c r="G24" s="113"/>
      <c r="H24" s="113"/>
      <c r="I24" s="144" t="str">
        <f t="shared" si="1"/>
        <v/>
      </c>
      <c r="J24" s="141" t="str">
        <f>IF(I24="","",IF(AND(AL24&lt;=66),VLOOKUP(I24,'COP Look Up'!$A$13:$B$21,2,TRUE),IF(AND(AL24&gt;=67,AL24&lt;=72),VLOOKUP(I24,'COP Look Up'!$E$13:$F$21,2,TRUE),IF(AND(AL24&gt;=73,AL24&lt;=78),VLOOKUP(I24,'COP Look Up'!$I$13:$J$21,2,TRUE),IF(AND(AL24&gt;=79),VLOOKUP(I24,'COP Look Up'!$M$13:$N$20,2,TRUE),"")))))</f>
        <v/>
      </c>
      <c r="K24" s="114"/>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6"/>
      <c r="AL24" s="143" t="str">
        <f t="shared" si="2"/>
        <v/>
      </c>
      <c r="BA24" s="117"/>
      <c r="BB24" s="117"/>
      <c r="BC24" s="117"/>
      <c r="BD24" s="117"/>
      <c r="BE24" s="117"/>
      <c r="BF24" s="117"/>
      <c r="BG24" s="117"/>
      <c r="BH24" s="117"/>
      <c r="BI24" s="117"/>
      <c r="BJ24" s="117"/>
      <c r="BK24" s="117"/>
      <c r="BL24" s="117"/>
      <c r="BM24" s="117"/>
      <c r="BN24" s="117"/>
      <c r="BO24" s="117"/>
      <c r="BP24" s="118"/>
    </row>
    <row r="25" spans="1:68" s="108" customFormat="1" ht="15.75">
      <c r="A25" s="110"/>
      <c r="B25" s="110"/>
      <c r="C25" s="111"/>
      <c r="D25" s="111"/>
      <c r="E25" s="103"/>
      <c r="F25" s="112"/>
      <c r="G25" s="113"/>
      <c r="H25" s="113"/>
      <c r="I25" s="144" t="str">
        <f t="shared" si="1"/>
        <v/>
      </c>
      <c r="J25" s="141" t="str">
        <f>IF(I25="","",IF(AND(AL25&lt;=66),VLOOKUP(I25,'COP Look Up'!$A$13:$B$21,2,TRUE),IF(AND(AL25&gt;=67,AL25&lt;=72),VLOOKUP(I25,'COP Look Up'!$E$13:$F$21,2,TRUE),IF(AND(AL25&gt;=73,AL25&lt;=78),VLOOKUP(I25,'COP Look Up'!$I$13:$J$21,2,TRUE),IF(AND(AL25&gt;=79),VLOOKUP(I25,'COP Look Up'!$M$13:$N$20,2,TRUE),"")))))</f>
        <v/>
      </c>
      <c r="K25" s="114"/>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6"/>
      <c r="AL25" s="143" t="str">
        <f t="shared" si="2"/>
        <v/>
      </c>
    </row>
    <row r="26" spans="1:68" s="108" customFormat="1" ht="15.75">
      <c r="A26" s="110"/>
      <c r="B26" s="110"/>
      <c r="C26" s="111"/>
      <c r="D26" s="111"/>
      <c r="E26" s="103"/>
      <c r="F26" s="112"/>
      <c r="G26" s="113"/>
      <c r="H26" s="113"/>
      <c r="I26" s="144" t="str">
        <f t="shared" si="1"/>
        <v/>
      </c>
      <c r="J26" s="141" t="str">
        <f>IF(I26="","",IF(AND(AL26&lt;=66),VLOOKUP(I26,'COP Look Up'!$A$13:$B$21,2,TRUE),IF(AND(AL26&gt;=67,AL26&lt;=72),VLOOKUP(I26,'COP Look Up'!$E$13:$F$21,2,TRUE),IF(AND(AL26&gt;=73,AL26&lt;=78),VLOOKUP(I26,'COP Look Up'!$I$13:$J$21,2,TRUE),IF(AND(AL26&gt;=79),VLOOKUP(I26,'COP Look Up'!$M$13:$N$20,2,TRUE),"")))))</f>
        <v/>
      </c>
      <c r="K26" s="114"/>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6"/>
      <c r="AL26" s="143" t="str">
        <f t="shared" si="2"/>
        <v/>
      </c>
    </row>
    <row r="27" spans="1:68" s="108" customFormat="1" ht="15.75">
      <c r="A27" s="110"/>
      <c r="B27" s="110"/>
      <c r="C27" s="111"/>
      <c r="D27" s="111"/>
      <c r="E27" s="103"/>
      <c r="F27" s="112"/>
      <c r="G27" s="113"/>
      <c r="H27" s="113"/>
      <c r="I27" s="144" t="str">
        <f t="shared" si="1"/>
        <v/>
      </c>
      <c r="J27" s="141" t="str">
        <f>IF(I27="","",IF(AND(AL27&lt;=66),VLOOKUP(I27,'COP Look Up'!$A$13:$B$21,2,TRUE),IF(AND(AL27&gt;=67,AL27&lt;=72),VLOOKUP(I27,'COP Look Up'!$E$13:$F$21,2,TRUE),IF(AND(AL27&gt;=73,AL27&lt;=78),VLOOKUP(I27,'COP Look Up'!$I$13:$J$21,2,TRUE),IF(AND(AL27&gt;=79),VLOOKUP(I27,'COP Look Up'!$M$13:$N$20,2,TRUE),"")))))</f>
        <v/>
      </c>
      <c r="K27" s="114"/>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6"/>
      <c r="AL27" s="143" t="str">
        <f t="shared" si="2"/>
        <v/>
      </c>
    </row>
    <row r="28" spans="1:68" s="108" customFormat="1" ht="15.75">
      <c r="A28" s="110"/>
      <c r="B28" s="110"/>
      <c r="C28" s="111"/>
      <c r="D28" s="111"/>
      <c r="E28" s="103"/>
      <c r="F28" s="112"/>
      <c r="G28" s="113"/>
      <c r="H28" s="113"/>
      <c r="I28" s="144" t="str">
        <f t="shared" si="1"/>
        <v/>
      </c>
      <c r="J28" s="141" t="str">
        <f>IF(I28="","",IF(AND(AL28&lt;=66),VLOOKUP(I28,'COP Look Up'!$A$13:$B$21,2,TRUE),IF(AND(AL28&gt;=67,AL28&lt;=72),VLOOKUP(I28,'COP Look Up'!$E$13:$F$21,2,TRUE),IF(AND(AL28&gt;=73,AL28&lt;=78),VLOOKUP(I28,'COP Look Up'!$I$13:$J$21,2,TRUE),IF(AND(AL28&gt;=79),VLOOKUP(I28,'COP Look Up'!$M$13:$N$20,2,TRUE),"")))))</f>
        <v/>
      </c>
      <c r="K28" s="114"/>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6"/>
      <c r="AL28" s="143" t="str">
        <f t="shared" si="2"/>
        <v/>
      </c>
    </row>
    <row r="29" spans="1:68" s="108" customFormat="1" ht="15.75">
      <c r="A29" s="110"/>
      <c r="B29" s="110"/>
      <c r="C29" s="111"/>
      <c r="D29" s="111"/>
      <c r="E29" s="103"/>
      <c r="F29" s="112"/>
      <c r="G29" s="113"/>
      <c r="H29" s="113"/>
      <c r="I29" s="144" t="str">
        <f t="shared" si="1"/>
        <v/>
      </c>
      <c r="J29" s="141" t="str">
        <f>IF(I29="","",IF(AND(AL29&lt;=66),VLOOKUP(I29,'COP Look Up'!$A$13:$B$21,2,TRUE),IF(AND(AL29&gt;=67,AL29&lt;=72),VLOOKUP(I29,'COP Look Up'!$E$13:$F$21,2,TRUE),IF(AND(AL29&gt;=73,AL29&lt;=78),VLOOKUP(I29,'COP Look Up'!$I$13:$J$21,2,TRUE),IF(AND(AL29&gt;=79),VLOOKUP(I29,'COP Look Up'!$M$13:$N$20,2,TRUE),"")))))</f>
        <v/>
      </c>
      <c r="K29" s="114"/>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6"/>
      <c r="AL29" s="143" t="str">
        <f t="shared" si="2"/>
        <v/>
      </c>
    </row>
    <row r="30" spans="1:68" s="108" customFormat="1" ht="15.75">
      <c r="A30" s="110"/>
      <c r="B30" s="110"/>
      <c r="C30" s="111"/>
      <c r="D30" s="111"/>
      <c r="E30" s="103"/>
      <c r="F30" s="112"/>
      <c r="G30" s="113"/>
      <c r="H30" s="113"/>
      <c r="I30" s="144" t="str">
        <f t="shared" si="1"/>
        <v/>
      </c>
      <c r="J30" s="141" t="str">
        <f>IF(I30="","",IF(AND(AL30&lt;=66),VLOOKUP(I30,'COP Look Up'!$A$13:$B$21,2,TRUE),IF(AND(AL30&gt;=67,AL30&lt;=72),VLOOKUP(I30,'COP Look Up'!$E$13:$F$21,2,TRUE),IF(AND(AL30&gt;=73,AL30&lt;=78),VLOOKUP(I30,'COP Look Up'!$I$13:$J$21,2,TRUE),IF(AND(AL30&gt;=79),VLOOKUP(I30,'COP Look Up'!$M$13:$N$20,2,TRUE),"")))))</f>
        <v/>
      </c>
      <c r="K30" s="114"/>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6"/>
      <c r="AL30" s="143" t="str">
        <f t="shared" si="2"/>
        <v/>
      </c>
    </row>
    <row r="31" spans="1:68" s="108" customFormat="1" ht="15.75">
      <c r="A31" s="119"/>
      <c r="B31" s="120"/>
      <c r="C31" s="111"/>
      <c r="D31" s="111"/>
      <c r="E31" s="103"/>
      <c r="F31" s="121"/>
      <c r="G31" s="113"/>
      <c r="H31" s="113"/>
      <c r="I31" s="144" t="str">
        <f t="shared" si="1"/>
        <v/>
      </c>
      <c r="J31" s="141" t="str">
        <f>IF(I31="","",IF(AND(AL31&lt;=66),VLOOKUP(I31,'COP Look Up'!$A$13:$B$21,2,TRUE),IF(AND(AL31&gt;=67,AL31&lt;=72),VLOOKUP(I31,'COP Look Up'!$E$13:$F$21,2,TRUE),IF(AND(AL31&gt;=73,AL31&lt;=78),VLOOKUP(I31,'COP Look Up'!$I$13:$J$21,2,TRUE),IF(AND(AL31&gt;=79),VLOOKUP(I31,'COP Look Up'!$M$13:$N$20,2,TRUE),"")))))</f>
        <v/>
      </c>
      <c r="K31" s="122"/>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23"/>
      <c r="AL31" s="143" t="str">
        <f t="shared" si="2"/>
        <v/>
      </c>
    </row>
    <row r="32" spans="1:68" s="108" customFormat="1" ht="15.75">
      <c r="A32" s="119"/>
      <c r="B32" s="120"/>
      <c r="C32" s="111"/>
      <c r="D32" s="111"/>
      <c r="E32" s="103"/>
      <c r="F32" s="121"/>
      <c r="G32" s="113"/>
      <c r="H32" s="113"/>
      <c r="I32" s="144" t="str">
        <f t="shared" si="1"/>
        <v/>
      </c>
      <c r="J32" s="141" t="str">
        <f>IF(I32="","",IF(AND(AL32&lt;=66),VLOOKUP(I32,'COP Look Up'!$A$13:$B$21,2,TRUE),IF(AND(AL32&gt;=67,AL32&lt;=72),VLOOKUP(I32,'COP Look Up'!$E$13:$F$21,2,TRUE),IF(AND(AL32&gt;=73,AL32&lt;=78),VLOOKUP(I32,'COP Look Up'!$I$13:$J$21,2,TRUE),IF(AND(AL32&gt;=79),VLOOKUP(I32,'COP Look Up'!$M$13:$N$20,2,TRUE),"")))))</f>
        <v/>
      </c>
      <c r="K32" s="122"/>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23"/>
      <c r="AL32" s="143" t="str">
        <f t="shared" si="2"/>
        <v/>
      </c>
    </row>
    <row r="33" spans="1:38" s="108" customFormat="1" ht="15.75">
      <c r="A33" s="119"/>
      <c r="B33" s="120"/>
      <c r="C33" s="111"/>
      <c r="D33" s="111"/>
      <c r="E33" s="103"/>
      <c r="F33" s="121"/>
      <c r="G33" s="113"/>
      <c r="H33" s="113"/>
      <c r="I33" s="144" t="str">
        <f t="shared" si="1"/>
        <v/>
      </c>
      <c r="J33" s="141" t="str">
        <f>IF(I33="","",IF(AND(AL33&lt;=66),VLOOKUP(I33,'COP Look Up'!$A$13:$B$21,2,TRUE),IF(AND(AL33&gt;=67,AL33&lt;=72),VLOOKUP(I33,'COP Look Up'!$E$13:$F$21,2,TRUE),IF(AND(AL33&gt;=73,AL33&lt;=78),VLOOKUP(I33,'COP Look Up'!$I$13:$J$21,2,TRUE),IF(AND(AL33&gt;=79),VLOOKUP(I33,'COP Look Up'!$M$13:$N$20,2,TRUE),"")))))</f>
        <v/>
      </c>
      <c r="K33" s="122"/>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23"/>
      <c r="AL33" s="143" t="str">
        <f t="shared" si="2"/>
        <v/>
      </c>
    </row>
    <row r="34" spans="1:38" s="108" customFormat="1" ht="15.75">
      <c r="A34" s="119"/>
      <c r="B34" s="120"/>
      <c r="C34" s="111"/>
      <c r="D34" s="111"/>
      <c r="E34" s="103"/>
      <c r="F34" s="121"/>
      <c r="G34" s="113"/>
      <c r="H34" s="113"/>
      <c r="I34" s="144" t="str">
        <f t="shared" si="1"/>
        <v/>
      </c>
      <c r="J34" s="141" t="str">
        <f>IF(I34="","",IF(AND(AL34&lt;=66),VLOOKUP(I34,'COP Look Up'!$A$13:$B$21,2,TRUE),IF(AND(AL34&gt;=67,AL34&lt;=72),VLOOKUP(I34,'COP Look Up'!$E$13:$F$21,2,TRUE),IF(AND(AL34&gt;=73,AL34&lt;=78),VLOOKUP(I34,'COP Look Up'!$I$13:$J$21,2,TRUE),IF(AND(AL34&gt;=79),VLOOKUP(I34,'COP Look Up'!$M$13:$N$20,2,TRUE),"")))))</f>
        <v/>
      </c>
      <c r="K34" s="122"/>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23"/>
      <c r="AL34" s="143" t="str">
        <f t="shared" si="2"/>
        <v/>
      </c>
    </row>
    <row r="35" spans="1:38" s="108" customFormat="1" ht="15.75">
      <c r="A35" s="119"/>
      <c r="B35" s="120"/>
      <c r="C35" s="111"/>
      <c r="D35" s="111"/>
      <c r="E35" s="103"/>
      <c r="F35" s="121"/>
      <c r="G35" s="113"/>
      <c r="H35" s="113"/>
      <c r="I35" s="144" t="str">
        <f t="shared" si="1"/>
        <v/>
      </c>
      <c r="J35" s="141" t="str">
        <f>IF(I35="","",IF(AND(AL35&lt;=66),VLOOKUP(I35,'COP Look Up'!$A$13:$B$21,2,TRUE),IF(AND(AL35&gt;=67,AL35&lt;=72),VLOOKUP(I35,'COP Look Up'!$E$13:$F$21,2,TRUE),IF(AND(AL35&gt;=73,AL35&lt;=78),VLOOKUP(I35,'COP Look Up'!$I$13:$J$21,2,TRUE),IF(AND(AL35&gt;=79),VLOOKUP(I35,'COP Look Up'!$M$13:$N$20,2,TRUE),"")))))</f>
        <v/>
      </c>
      <c r="K35" s="122"/>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23"/>
      <c r="AL35" s="143" t="str">
        <f t="shared" si="2"/>
        <v/>
      </c>
    </row>
    <row r="36" spans="1:38" s="108" customFormat="1" ht="15.75">
      <c r="A36" s="119"/>
      <c r="B36" s="120"/>
      <c r="C36" s="111"/>
      <c r="D36" s="111"/>
      <c r="E36" s="103"/>
      <c r="F36" s="121"/>
      <c r="G36" s="113"/>
      <c r="H36" s="113"/>
      <c r="I36" s="144" t="str">
        <f t="shared" si="1"/>
        <v/>
      </c>
      <c r="J36" s="141" t="str">
        <f>IF(I36="","",IF(AND(AL36&lt;=66),VLOOKUP(I36,'COP Look Up'!$A$13:$B$21,2,TRUE),IF(AND(AL36&gt;=67,AL36&lt;=72),VLOOKUP(I36,'COP Look Up'!$E$13:$F$21,2,TRUE),IF(AND(AL36&gt;=73,AL36&lt;=78),VLOOKUP(I36,'COP Look Up'!$I$13:$J$21,2,TRUE),IF(AND(AL36&gt;=79),VLOOKUP(I36,'COP Look Up'!$M$13:$N$20,2,TRUE),"")))))</f>
        <v/>
      </c>
      <c r="K36" s="122"/>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23"/>
      <c r="AL36" s="143" t="str">
        <f t="shared" si="2"/>
        <v/>
      </c>
    </row>
    <row r="37" spans="1:38" s="108" customFormat="1" ht="15.75">
      <c r="A37" s="119"/>
      <c r="B37" s="120"/>
      <c r="C37" s="111"/>
      <c r="D37" s="111"/>
      <c r="E37" s="121"/>
      <c r="F37" s="121"/>
      <c r="G37" s="113"/>
      <c r="H37" s="113"/>
      <c r="I37" s="144" t="str">
        <f t="shared" si="1"/>
        <v/>
      </c>
      <c r="J37" s="141" t="str">
        <f>IF(I37="","",IF(AND(AL37&lt;=66),VLOOKUP(I37,'COP Look Up'!$A$13:$B$21,2,TRUE),IF(AND(AL37&gt;=67,AL37&lt;=72),VLOOKUP(I37,'COP Look Up'!$E$13:$F$21,2,TRUE),IF(AND(AL37&gt;=73,AL37&lt;=78),VLOOKUP(I37,'COP Look Up'!$I$13:$J$21,2,TRUE),IF(AND(AL37&gt;=79),VLOOKUP(I37,'COP Look Up'!$M$13:$N$20,2,TRUE),"")))))</f>
        <v/>
      </c>
      <c r="K37" s="122"/>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23"/>
      <c r="AL37" s="143" t="str">
        <f t="shared" si="2"/>
        <v/>
      </c>
    </row>
    <row r="38" spans="1:38" s="108" customFormat="1" ht="15.75">
      <c r="A38" s="119"/>
      <c r="B38" s="120"/>
      <c r="C38" s="111"/>
      <c r="D38" s="111"/>
      <c r="E38" s="121"/>
      <c r="F38" s="121"/>
      <c r="G38" s="113"/>
      <c r="H38" s="113"/>
      <c r="I38" s="144" t="str">
        <f t="shared" si="1"/>
        <v/>
      </c>
      <c r="J38" s="141" t="str">
        <f>IF(I38="","",IF(AND(AL38&lt;=66),VLOOKUP(I38,'COP Look Up'!$A$13:$B$21,2,TRUE),IF(AND(AL38&gt;=67,AL38&lt;=72),VLOOKUP(I38,'COP Look Up'!$E$13:$F$21,2,TRUE),IF(AND(AL38&gt;=73,AL38&lt;=78),VLOOKUP(I38,'COP Look Up'!$I$13:$J$21,2,TRUE),IF(AND(AL38&gt;=79),VLOOKUP(I38,'COP Look Up'!$M$13:$N$20,2,TRUE),"")))))</f>
        <v/>
      </c>
      <c r="K38" s="122"/>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23"/>
      <c r="AL38" s="143" t="str">
        <f t="shared" si="2"/>
        <v/>
      </c>
    </row>
    <row r="39" spans="1:38" s="108" customFormat="1" ht="15.75">
      <c r="A39" s="119"/>
      <c r="B39" s="120"/>
      <c r="C39" s="111"/>
      <c r="D39" s="111"/>
      <c r="E39" s="121"/>
      <c r="F39" s="121"/>
      <c r="G39" s="113"/>
      <c r="H39" s="113"/>
      <c r="I39" s="144" t="str">
        <f t="shared" si="1"/>
        <v/>
      </c>
      <c r="J39" s="141" t="str">
        <f>IF(I39="","",IF(AND(AL39&lt;=66),VLOOKUP(I39,'COP Look Up'!$A$13:$B$21,2,TRUE),IF(AND(AL39&gt;=67,AL39&lt;=72),VLOOKUP(I39,'COP Look Up'!$E$13:$F$21,2,TRUE),IF(AND(AL39&gt;=73,AL39&lt;=78),VLOOKUP(I39,'COP Look Up'!$I$13:$J$21,2,TRUE),IF(AND(AL39&gt;=79),VLOOKUP(I39,'COP Look Up'!$M$13:$N$20,2,TRUE),"")))))</f>
        <v/>
      </c>
      <c r="K39" s="122"/>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23"/>
      <c r="AL39" s="143" t="str">
        <f t="shared" si="2"/>
        <v/>
      </c>
    </row>
    <row r="40" spans="1:38" s="108" customFormat="1" ht="15.75">
      <c r="A40" s="119"/>
      <c r="B40" s="120"/>
      <c r="C40" s="111"/>
      <c r="D40" s="111"/>
      <c r="E40" s="121"/>
      <c r="F40" s="121"/>
      <c r="G40" s="113"/>
      <c r="H40" s="113"/>
      <c r="I40" s="144" t="str">
        <f t="shared" si="1"/>
        <v/>
      </c>
      <c r="J40" s="141" t="str">
        <f>IF(I40="","",IF(AND(AL40&lt;=66),VLOOKUP(I40,'COP Look Up'!$A$13:$B$21,2,TRUE),IF(AND(AL40&gt;=67,AL40&lt;=72),VLOOKUP(I40,'COP Look Up'!$E$13:$F$21,2,TRUE),IF(AND(AL40&gt;=73,AL40&lt;=78),VLOOKUP(I40,'COP Look Up'!$I$13:$J$21,2,TRUE),IF(AND(AL40&gt;=79),VLOOKUP(I40,'COP Look Up'!$M$13:$N$20,2,TRUE),"")))))</f>
        <v/>
      </c>
      <c r="K40" s="122"/>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23"/>
      <c r="AL40" s="143" t="str">
        <f t="shared" si="2"/>
        <v/>
      </c>
    </row>
    <row r="41" spans="1:38" s="108" customFormat="1" ht="15.75">
      <c r="A41" s="119"/>
      <c r="B41" s="120"/>
      <c r="C41" s="111"/>
      <c r="D41" s="111"/>
      <c r="E41" s="121"/>
      <c r="F41" s="121"/>
      <c r="G41" s="113"/>
      <c r="H41" s="113"/>
      <c r="I41" s="144" t="str">
        <f t="shared" si="1"/>
        <v/>
      </c>
      <c r="J41" s="141" t="str">
        <f>IF(I41="","",IF(AND(AL41&lt;=66),VLOOKUP(I41,'COP Look Up'!$A$13:$B$21,2,TRUE),IF(AND(AL41&gt;=67,AL41&lt;=72),VLOOKUP(I41,'COP Look Up'!$E$13:$F$21,2,TRUE),IF(AND(AL41&gt;=73,AL41&lt;=78),VLOOKUP(I41,'COP Look Up'!$I$13:$J$21,2,TRUE),IF(AND(AL41&gt;=79),VLOOKUP(I41,'COP Look Up'!$M$13:$N$20,2,TRUE),"")))))</f>
        <v/>
      </c>
      <c r="K41" s="122"/>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23"/>
      <c r="AL41" s="143" t="str">
        <f t="shared" si="2"/>
        <v/>
      </c>
    </row>
    <row r="42" spans="1:38" s="108" customFormat="1" ht="15.75">
      <c r="A42" s="119"/>
      <c r="B42" s="120"/>
      <c r="C42" s="111"/>
      <c r="D42" s="111"/>
      <c r="E42" s="121"/>
      <c r="F42" s="121"/>
      <c r="G42" s="113"/>
      <c r="H42" s="113"/>
      <c r="I42" s="144" t="str">
        <f t="shared" si="1"/>
        <v/>
      </c>
      <c r="J42" s="141" t="str">
        <f>IF(I42="","",IF(AND(AL42&lt;=66),VLOOKUP(I42,'COP Look Up'!$A$13:$B$21,2,TRUE),IF(AND(AL42&gt;=67,AL42&lt;=72),VLOOKUP(I42,'COP Look Up'!$E$13:$F$21,2,TRUE),IF(AND(AL42&gt;=73,AL42&lt;=78),VLOOKUP(I42,'COP Look Up'!$I$13:$J$21,2,TRUE),IF(AND(AL42&gt;=79),VLOOKUP(I42,'COP Look Up'!$M$13:$N$20,2,TRUE),"")))))</f>
        <v/>
      </c>
      <c r="K42" s="122"/>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23"/>
      <c r="AL42" s="143" t="str">
        <f t="shared" si="2"/>
        <v/>
      </c>
    </row>
    <row r="43" spans="1:38" s="108" customFormat="1" ht="15.75">
      <c r="A43" s="119"/>
      <c r="B43" s="120"/>
      <c r="C43" s="111"/>
      <c r="D43" s="111"/>
      <c r="E43" s="121"/>
      <c r="F43" s="121"/>
      <c r="G43" s="113"/>
      <c r="H43" s="113"/>
      <c r="I43" s="144" t="str">
        <f t="shared" si="1"/>
        <v/>
      </c>
      <c r="J43" s="141" t="str">
        <f>IF(I43="","",IF(AND(AL43&lt;=66),VLOOKUP(I43,'COP Look Up'!$A$13:$B$21,2,TRUE),IF(AND(AL43&gt;=67,AL43&lt;=72),VLOOKUP(I43,'COP Look Up'!$E$13:$F$21,2,TRUE),IF(AND(AL43&gt;=73,AL43&lt;=78),VLOOKUP(I43,'COP Look Up'!$I$13:$J$21,2,TRUE),IF(AND(AL43&gt;=79),VLOOKUP(I43,'COP Look Up'!$M$13:$N$20,2,TRUE),"")))))</f>
        <v/>
      </c>
      <c r="K43" s="122"/>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23"/>
      <c r="AL43" s="143" t="str">
        <f t="shared" si="2"/>
        <v/>
      </c>
    </row>
    <row r="44" spans="1:38" s="108" customFormat="1" ht="15.75">
      <c r="A44" s="119"/>
      <c r="B44" s="120"/>
      <c r="C44" s="111"/>
      <c r="D44" s="111"/>
      <c r="E44" s="121"/>
      <c r="F44" s="121"/>
      <c r="G44" s="113"/>
      <c r="H44" s="113"/>
      <c r="I44" s="144" t="str">
        <f t="shared" si="1"/>
        <v/>
      </c>
      <c r="J44" s="141" t="str">
        <f>IF(I44="","",IF(AND(AL44&lt;=66),VLOOKUP(I44,'COP Look Up'!$A$13:$B$21,2,TRUE),IF(AND(AL44&gt;=67,AL44&lt;=72),VLOOKUP(I44,'COP Look Up'!$E$13:$F$21,2,TRUE),IF(AND(AL44&gt;=73,AL44&lt;=78),VLOOKUP(I44,'COP Look Up'!$I$13:$J$21,2,TRUE),IF(AND(AL44&gt;=79),VLOOKUP(I44,'COP Look Up'!$M$13:$N$20,2,TRUE),"")))))</f>
        <v/>
      </c>
      <c r="K44" s="122"/>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23"/>
      <c r="AL44" s="143" t="str">
        <f t="shared" si="2"/>
        <v/>
      </c>
    </row>
    <row r="45" spans="1:38" s="108" customFormat="1" ht="15.75">
      <c r="A45" s="119"/>
      <c r="B45" s="120"/>
      <c r="C45" s="111"/>
      <c r="D45" s="111"/>
      <c r="E45" s="121"/>
      <c r="F45" s="121"/>
      <c r="G45" s="113"/>
      <c r="H45" s="113"/>
      <c r="I45" s="144" t="str">
        <f t="shared" si="1"/>
        <v/>
      </c>
      <c r="J45" s="141" t="str">
        <f>IF(I45="","",IF(AND(AL45&lt;=66),VLOOKUP(I45,'COP Look Up'!$A$13:$B$21,2,TRUE),IF(AND(AL45&gt;=67,AL45&lt;=72),VLOOKUP(I45,'COP Look Up'!$E$13:$F$21,2,TRUE),IF(AND(AL45&gt;=73,AL45&lt;=78),VLOOKUP(I45,'COP Look Up'!$I$13:$J$21,2,TRUE),IF(AND(AL45&gt;=79),VLOOKUP(I45,'COP Look Up'!$M$13:$N$20,2,TRUE),"")))))</f>
        <v/>
      </c>
      <c r="K45" s="122"/>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23"/>
      <c r="AL45" s="143" t="str">
        <f t="shared" si="2"/>
        <v/>
      </c>
    </row>
    <row r="46" spans="1:38" s="108" customFormat="1" ht="15.75">
      <c r="A46" s="119"/>
      <c r="B46" s="120"/>
      <c r="C46" s="111"/>
      <c r="D46" s="111"/>
      <c r="E46" s="121"/>
      <c r="F46" s="121"/>
      <c r="G46" s="113"/>
      <c r="H46" s="113"/>
      <c r="I46" s="144" t="str">
        <f t="shared" si="1"/>
        <v/>
      </c>
      <c r="J46" s="141" t="str">
        <f>IF(I46="","",IF(AND(AL46&lt;=66),VLOOKUP(I46,'COP Look Up'!$A$13:$B$21,2,TRUE),IF(AND(AL46&gt;=67,AL46&lt;=72),VLOOKUP(I46,'COP Look Up'!$E$13:$F$21,2,TRUE),IF(AND(AL46&gt;=73,AL46&lt;=78),VLOOKUP(I46,'COP Look Up'!$I$13:$J$21,2,TRUE),IF(AND(AL46&gt;=79),VLOOKUP(I46,'COP Look Up'!$M$13:$N$20,2,TRUE),"")))))</f>
        <v/>
      </c>
      <c r="K46" s="122"/>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23"/>
      <c r="AL46" s="143" t="str">
        <f t="shared" si="2"/>
        <v/>
      </c>
    </row>
    <row r="47" spans="1:38" s="108" customFormat="1" ht="15.75">
      <c r="A47" s="119"/>
      <c r="B47" s="120"/>
      <c r="C47" s="111"/>
      <c r="D47" s="111"/>
      <c r="E47" s="121"/>
      <c r="F47" s="121"/>
      <c r="G47" s="113"/>
      <c r="H47" s="113"/>
      <c r="I47" s="144" t="str">
        <f t="shared" si="1"/>
        <v/>
      </c>
      <c r="J47" s="141" t="str">
        <f>IF(I47="","",IF(AND(AL47&lt;=66),VLOOKUP(I47,'COP Look Up'!$A$13:$B$21,2,TRUE),IF(AND(AL47&gt;=67,AL47&lt;=72),VLOOKUP(I47,'COP Look Up'!$E$13:$F$21,2,TRUE),IF(AND(AL47&gt;=73,AL47&lt;=78),VLOOKUP(I47,'COP Look Up'!$I$13:$J$21,2,TRUE),IF(AND(AL47&gt;=79),VLOOKUP(I47,'COP Look Up'!$M$13:$N$20,2,TRUE),"")))))</f>
        <v/>
      </c>
      <c r="K47" s="122"/>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23"/>
      <c r="AL47" s="143" t="str">
        <f t="shared" si="2"/>
        <v/>
      </c>
    </row>
    <row r="48" spans="1:38" s="108" customFormat="1" ht="15.75">
      <c r="A48" s="119"/>
      <c r="B48" s="120"/>
      <c r="C48" s="111"/>
      <c r="D48" s="111"/>
      <c r="E48" s="121"/>
      <c r="F48" s="121"/>
      <c r="G48" s="113"/>
      <c r="H48" s="113"/>
      <c r="I48" s="144" t="str">
        <f t="shared" si="1"/>
        <v/>
      </c>
      <c r="J48" s="141" t="str">
        <f>IF(I48="","",IF(AND(AL48&lt;=66),VLOOKUP(I48,'COP Look Up'!$A$13:$B$21,2,TRUE),IF(AND(AL48&gt;=67,AL48&lt;=72),VLOOKUP(I48,'COP Look Up'!$E$13:$F$21,2,TRUE),IF(AND(AL48&gt;=73,AL48&lt;=78),VLOOKUP(I48,'COP Look Up'!$I$13:$J$21,2,TRUE),IF(AND(AL48&gt;=79),VLOOKUP(I48,'COP Look Up'!$M$13:$N$20,2,TRUE),"")))))</f>
        <v/>
      </c>
      <c r="K48" s="122"/>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23"/>
      <c r="AL48" s="143" t="str">
        <f t="shared" si="2"/>
        <v/>
      </c>
    </row>
    <row r="49" spans="1:38" s="108" customFormat="1" ht="15.75">
      <c r="A49" s="119"/>
      <c r="B49" s="120"/>
      <c r="C49" s="111"/>
      <c r="D49" s="111"/>
      <c r="E49" s="121"/>
      <c r="F49" s="121"/>
      <c r="G49" s="113"/>
      <c r="H49" s="113"/>
      <c r="I49" s="144" t="str">
        <f t="shared" si="1"/>
        <v/>
      </c>
      <c r="J49" s="141" t="str">
        <f>IF(I49="","",IF(AND(AL49&lt;=66),VLOOKUP(I49,'COP Look Up'!$A$13:$B$21,2,TRUE),IF(AND(AL49&gt;=67,AL49&lt;=72),VLOOKUP(I49,'COP Look Up'!$E$13:$F$21,2,TRUE),IF(AND(AL49&gt;=73,AL49&lt;=78),VLOOKUP(I49,'COP Look Up'!$I$13:$J$21,2,TRUE),IF(AND(AL49&gt;=79),VLOOKUP(I49,'COP Look Up'!$M$13:$N$20,2,TRUE),"")))))</f>
        <v/>
      </c>
      <c r="K49" s="122"/>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23"/>
      <c r="AL49" s="143" t="str">
        <f t="shared" si="2"/>
        <v/>
      </c>
    </row>
    <row r="50" spans="1:38" s="108" customFormat="1" ht="15.75">
      <c r="A50" s="119"/>
      <c r="B50" s="120"/>
      <c r="C50" s="111"/>
      <c r="D50" s="111"/>
      <c r="E50" s="121"/>
      <c r="F50" s="121"/>
      <c r="G50" s="113"/>
      <c r="H50" s="113"/>
      <c r="I50" s="144" t="str">
        <f t="shared" si="1"/>
        <v/>
      </c>
      <c r="J50" s="141" t="str">
        <f>IF(I50="","",IF(AND(AL50&lt;=66),VLOOKUP(I50,'COP Look Up'!$A$13:$B$21,2,TRUE),IF(AND(AL50&gt;=67,AL50&lt;=72),VLOOKUP(I50,'COP Look Up'!$E$13:$F$21,2,TRUE),IF(AND(AL50&gt;=73,AL50&lt;=78),VLOOKUP(I50,'COP Look Up'!$I$13:$J$21,2,TRUE),IF(AND(AL50&gt;=79),VLOOKUP(I50,'COP Look Up'!$M$13:$N$20,2,TRUE),"")))))</f>
        <v/>
      </c>
      <c r="K50" s="122"/>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23"/>
      <c r="AL50" s="143" t="str">
        <f t="shared" si="2"/>
        <v/>
      </c>
    </row>
    <row r="51" spans="1:38" s="108" customFormat="1" ht="15.75">
      <c r="A51" s="119"/>
      <c r="B51" s="120"/>
      <c r="C51" s="111"/>
      <c r="D51" s="111"/>
      <c r="E51" s="121"/>
      <c r="F51" s="121"/>
      <c r="G51" s="113"/>
      <c r="H51" s="113"/>
      <c r="I51" s="144" t="str">
        <f t="shared" si="1"/>
        <v/>
      </c>
      <c r="J51" s="141" t="str">
        <f>IF(I51="","",IF(AND(AL51&lt;=66),VLOOKUP(I51,'COP Look Up'!$A$13:$B$21,2,TRUE),IF(AND(AL51&gt;=67,AL51&lt;=72),VLOOKUP(I51,'COP Look Up'!$E$13:$F$21,2,TRUE),IF(AND(AL51&gt;=73,AL51&lt;=78),VLOOKUP(I51,'COP Look Up'!$I$13:$J$21,2,TRUE),IF(AND(AL51&gt;=79),VLOOKUP(I51,'COP Look Up'!$M$13:$N$20,2,TRUE),"")))))</f>
        <v/>
      </c>
      <c r="K51" s="122"/>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23"/>
      <c r="AL51" s="143" t="str">
        <f t="shared" si="2"/>
        <v/>
      </c>
    </row>
    <row r="52" spans="1:38" s="108" customFormat="1" ht="15.75">
      <c r="A52" s="119"/>
      <c r="B52" s="120"/>
      <c r="C52" s="111"/>
      <c r="D52" s="111"/>
      <c r="E52" s="121"/>
      <c r="F52" s="121"/>
      <c r="G52" s="113"/>
      <c r="H52" s="113"/>
      <c r="I52" s="144" t="str">
        <f t="shared" si="1"/>
        <v/>
      </c>
      <c r="J52" s="141" t="str">
        <f>IF(I52="","",IF(AND(AL52&lt;=66),VLOOKUP(I52,'COP Look Up'!$A$13:$B$21,2,TRUE),IF(AND(AL52&gt;=67,AL52&lt;=72),VLOOKUP(I52,'COP Look Up'!$E$13:$F$21,2,TRUE),IF(AND(AL52&gt;=73,AL52&lt;=78),VLOOKUP(I52,'COP Look Up'!$I$13:$J$21,2,TRUE),IF(AND(AL52&gt;=79),VLOOKUP(I52,'COP Look Up'!$M$13:$N$20,2,TRUE),"")))))</f>
        <v/>
      </c>
      <c r="K52" s="122"/>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23"/>
      <c r="AL52" s="143" t="str">
        <f t="shared" si="2"/>
        <v/>
      </c>
    </row>
    <row r="53" spans="1:38" s="108" customFormat="1" ht="15.75">
      <c r="A53" s="119"/>
      <c r="B53" s="120"/>
      <c r="C53" s="111"/>
      <c r="D53" s="111"/>
      <c r="E53" s="121"/>
      <c r="F53" s="121"/>
      <c r="G53" s="113"/>
      <c r="H53" s="113"/>
      <c r="I53" s="144" t="str">
        <f t="shared" si="1"/>
        <v/>
      </c>
      <c r="J53" s="141" t="str">
        <f>IF(I53="","",IF(AND(AL53&lt;=66),VLOOKUP(I53,'COP Look Up'!$A$13:$B$21,2,TRUE),IF(AND(AL53&gt;=67,AL53&lt;=72),VLOOKUP(I53,'COP Look Up'!$E$13:$F$21,2,TRUE),IF(AND(AL53&gt;=73,AL53&lt;=78),VLOOKUP(I53,'COP Look Up'!$I$13:$J$21,2,TRUE),IF(AND(AL53&gt;=79),VLOOKUP(I53,'COP Look Up'!$M$13:$N$20,2,TRUE),"")))))</f>
        <v/>
      </c>
      <c r="K53" s="122"/>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23"/>
      <c r="AL53" s="143" t="str">
        <f t="shared" si="2"/>
        <v/>
      </c>
    </row>
    <row r="54" spans="1:38" s="108" customFormat="1" ht="15.75">
      <c r="A54" s="119"/>
      <c r="B54" s="120"/>
      <c r="C54" s="111"/>
      <c r="D54" s="111"/>
      <c r="E54" s="121"/>
      <c r="F54" s="121"/>
      <c r="G54" s="113"/>
      <c r="H54" s="113"/>
      <c r="I54" s="144" t="str">
        <f t="shared" si="1"/>
        <v/>
      </c>
      <c r="J54" s="141" t="str">
        <f>IF(I54="","",IF(AND(AL54&lt;=66),VLOOKUP(I54,'COP Look Up'!$A$13:$B$21,2,TRUE),IF(AND(AL54&gt;=67,AL54&lt;=72),VLOOKUP(I54,'COP Look Up'!$E$13:$F$21,2,TRUE),IF(AND(AL54&gt;=73,AL54&lt;=78),VLOOKUP(I54,'COP Look Up'!$I$13:$J$21,2,TRUE),IF(AND(AL54&gt;=79),VLOOKUP(I54,'COP Look Up'!$M$13:$N$20,2,TRUE),"")))))</f>
        <v/>
      </c>
      <c r="K54" s="122"/>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23"/>
      <c r="AL54" s="143" t="str">
        <f t="shared" si="2"/>
        <v/>
      </c>
    </row>
    <row r="55" spans="1:38" s="108" customFormat="1" ht="15.75">
      <c r="A55" s="119"/>
      <c r="B55" s="120"/>
      <c r="C55" s="111"/>
      <c r="D55" s="111"/>
      <c r="E55" s="121"/>
      <c r="F55" s="121"/>
      <c r="G55" s="113"/>
      <c r="H55" s="113"/>
      <c r="I55" s="144" t="str">
        <f t="shared" si="1"/>
        <v/>
      </c>
      <c r="J55" s="141" t="str">
        <f>IF(I55="","",IF(AND(AL55&lt;=66),VLOOKUP(I55,'COP Look Up'!$A$13:$B$21,2,TRUE),IF(AND(AL55&gt;=67,AL55&lt;=72),VLOOKUP(I55,'COP Look Up'!$E$13:$F$21,2,TRUE),IF(AND(AL55&gt;=73,AL55&lt;=78),VLOOKUP(I55,'COP Look Up'!$I$13:$J$21,2,TRUE),IF(AND(AL55&gt;=79),VLOOKUP(I55,'COP Look Up'!$M$13:$N$20,2,TRUE),"")))))</f>
        <v/>
      </c>
      <c r="K55" s="122"/>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23"/>
      <c r="AL55" s="143" t="str">
        <f t="shared" si="2"/>
        <v/>
      </c>
    </row>
    <row r="56" spans="1:38" s="108" customFormat="1" ht="15.75">
      <c r="A56" s="119"/>
      <c r="B56" s="120"/>
      <c r="C56" s="111"/>
      <c r="D56" s="111"/>
      <c r="E56" s="121"/>
      <c r="F56" s="121"/>
      <c r="G56" s="113"/>
      <c r="H56" s="113"/>
      <c r="I56" s="144" t="str">
        <f t="shared" si="1"/>
        <v/>
      </c>
      <c r="J56" s="141" t="str">
        <f>IF(I56="","",IF(AND(AL56&lt;=66),VLOOKUP(I56,'COP Look Up'!$A$13:$B$21,2,TRUE),IF(AND(AL56&gt;=67,AL56&lt;=72),VLOOKUP(I56,'COP Look Up'!$E$13:$F$21,2,TRUE),IF(AND(AL56&gt;=73,AL56&lt;=78),VLOOKUP(I56,'COP Look Up'!$I$13:$J$21,2,TRUE),IF(AND(AL56&gt;=79),VLOOKUP(I56,'COP Look Up'!$M$13:$N$20,2,TRUE),"")))))</f>
        <v/>
      </c>
      <c r="K56" s="122"/>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23"/>
      <c r="AL56" s="143" t="str">
        <f t="shared" si="2"/>
        <v/>
      </c>
    </row>
    <row r="57" spans="1:38" s="108" customFormat="1" ht="15.75">
      <c r="A57" s="119"/>
      <c r="B57" s="120"/>
      <c r="C57" s="111"/>
      <c r="D57" s="111"/>
      <c r="E57" s="121"/>
      <c r="F57" s="121"/>
      <c r="G57" s="113"/>
      <c r="H57" s="113"/>
      <c r="I57" s="144" t="str">
        <f t="shared" si="1"/>
        <v/>
      </c>
      <c r="J57" s="141" t="str">
        <f>IF(I57="","",IF(AND(AL57&lt;=66),VLOOKUP(I57,'COP Look Up'!$A$13:$B$21,2,TRUE),IF(AND(AL57&gt;=67,AL57&lt;=72),VLOOKUP(I57,'COP Look Up'!$E$13:$F$21,2,TRUE),IF(AND(AL57&gt;=73,AL57&lt;=78),VLOOKUP(I57,'COP Look Up'!$I$13:$J$21,2,TRUE),IF(AND(AL57&gt;=79),VLOOKUP(I57,'COP Look Up'!$M$13:$N$20,2,TRUE),"")))))</f>
        <v/>
      </c>
      <c r="K57" s="122"/>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23"/>
      <c r="AL57" s="143" t="str">
        <f t="shared" si="2"/>
        <v/>
      </c>
    </row>
    <row r="58" spans="1:38" s="108" customFormat="1" ht="15.75">
      <c r="A58" s="119"/>
      <c r="B58" s="120"/>
      <c r="C58" s="111"/>
      <c r="D58" s="111"/>
      <c r="E58" s="121"/>
      <c r="F58" s="121"/>
      <c r="G58" s="113"/>
      <c r="H58" s="113"/>
      <c r="I58" s="144" t="str">
        <f t="shared" si="1"/>
        <v/>
      </c>
      <c r="J58" s="141" t="str">
        <f>IF(I58="","",IF(AND(AL58&lt;=66),VLOOKUP(I58,'COP Look Up'!$A$13:$B$21,2,TRUE),IF(AND(AL58&gt;=67,AL58&lt;=72),VLOOKUP(I58,'COP Look Up'!$E$13:$F$21,2,TRUE),IF(AND(AL58&gt;=73,AL58&lt;=78),VLOOKUP(I58,'COP Look Up'!$I$13:$J$21,2,TRUE),IF(AND(AL58&gt;=79),VLOOKUP(I58,'COP Look Up'!$M$13:$N$20,2,TRUE),"")))))</f>
        <v/>
      </c>
      <c r="K58" s="122"/>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23"/>
      <c r="AL58" s="143" t="str">
        <f t="shared" si="2"/>
        <v/>
      </c>
    </row>
    <row r="59" spans="1:38" s="108" customFormat="1" ht="15.75">
      <c r="A59" s="119"/>
      <c r="B59" s="120"/>
      <c r="C59" s="111"/>
      <c r="D59" s="111"/>
      <c r="E59" s="121"/>
      <c r="F59" s="121"/>
      <c r="G59" s="113"/>
      <c r="H59" s="113"/>
      <c r="I59" s="144" t="str">
        <f t="shared" si="1"/>
        <v/>
      </c>
      <c r="J59" s="141" t="str">
        <f>IF(I59="","",IF(AND(AL59&lt;=66),VLOOKUP(I59,'COP Look Up'!$A$13:$B$21,2,TRUE),IF(AND(AL59&gt;=67,AL59&lt;=72),VLOOKUP(I59,'COP Look Up'!$E$13:$F$21,2,TRUE),IF(AND(AL59&gt;=73,AL59&lt;=78),VLOOKUP(I59,'COP Look Up'!$I$13:$J$21,2,TRUE),IF(AND(AL59&gt;=79),VLOOKUP(I59,'COP Look Up'!$M$13:$N$20,2,TRUE),"")))))</f>
        <v/>
      </c>
      <c r="K59" s="122"/>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23"/>
      <c r="AL59" s="143" t="str">
        <f t="shared" si="2"/>
        <v/>
      </c>
    </row>
    <row r="60" spans="1:38" s="108" customFormat="1" ht="15.75">
      <c r="A60" s="119"/>
      <c r="B60" s="120"/>
      <c r="C60" s="111"/>
      <c r="D60" s="111"/>
      <c r="E60" s="121"/>
      <c r="F60" s="121"/>
      <c r="G60" s="113"/>
      <c r="H60" s="113"/>
      <c r="I60" s="144" t="str">
        <f t="shared" si="1"/>
        <v/>
      </c>
      <c r="J60" s="141" t="str">
        <f>IF(I60="","",IF(AND(AL60&lt;=66),VLOOKUP(I60,'COP Look Up'!$A$13:$B$21,2,TRUE),IF(AND(AL60&gt;=67,AL60&lt;=72),VLOOKUP(I60,'COP Look Up'!$E$13:$F$21,2,TRUE),IF(AND(AL60&gt;=73,AL60&lt;=78),VLOOKUP(I60,'COP Look Up'!$I$13:$J$21,2,TRUE),IF(AND(AL60&gt;=79),VLOOKUP(I60,'COP Look Up'!$M$13:$N$20,2,TRUE),"")))))</f>
        <v/>
      </c>
      <c r="K60" s="122"/>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23"/>
      <c r="AL60" s="143" t="str">
        <f t="shared" si="2"/>
        <v/>
      </c>
    </row>
    <row r="61" spans="1:38" s="108" customFormat="1" ht="15.75">
      <c r="A61" s="119"/>
      <c r="B61" s="120"/>
      <c r="C61" s="111"/>
      <c r="D61" s="111"/>
      <c r="E61" s="121"/>
      <c r="F61" s="121"/>
      <c r="G61" s="113"/>
      <c r="H61" s="113"/>
      <c r="I61" s="144" t="str">
        <f t="shared" si="1"/>
        <v/>
      </c>
      <c r="J61" s="141" t="str">
        <f>IF(I61="","",IF(AND(AL61&lt;=66),VLOOKUP(I61,'COP Look Up'!$A$13:$B$21,2,TRUE),IF(AND(AL61&gt;=67,AL61&lt;=72),VLOOKUP(I61,'COP Look Up'!$E$13:$F$21,2,TRUE),IF(AND(AL61&gt;=73,AL61&lt;=78),VLOOKUP(I61,'COP Look Up'!$I$13:$J$21,2,TRUE),IF(AND(AL61&gt;=79),VLOOKUP(I61,'COP Look Up'!$M$13:$N$20,2,TRUE),"")))))</f>
        <v/>
      </c>
      <c r="K61" s="122"/>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23"/>
      <c r="AL61" s="143" t="str">
        <f t="shared" si="2"/>
        <v/>
      </c>
    </row>
    <row r="62" spans="1:38" s="108" customFormat="1" ht="15.75">
      <c r="A62" s="119"/>
      <c r="B62" s="120"/>
      <c r="C62" s="111"/>
      <c r="D62" s="111"/>
      <c r="E62" s="121"/>
      <c r="F62" s="121"/>
      <c r="G62" s="113"/>
      <c r="H62" s="113"/>
      <c r="I62" s="144" t="str">
        <f t="shared" si="1"/>
        <v/>
      </c>
      <c r="J62" s="141" t="str">
        <f>IF(I62="","",IF(AND(AL62&lt;=66),VLOOKUP(I62,'COP Look Up'!$A$13:$B$21,2,TRUE),IF(AND(AL62&gt;=67,AL62&lt;=72),VLOOKUP(I62,'COP Look Up'!$E$13:$F$21,2,TRUE),IF(AND(AL62&gt;=73,AL62&lt;=78),VLOOKUP(I62,'COP Look Up'!$I$13:$J$21,2,TRUE),IF(AND(AL62&gt;=79),VLOOKUP(I62,'COP Look Up'!$M$13:$N$20,2,TRUE),"")))))</f>
        <v/>
      </c>
      <c r="K62" s="122"/>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23"/>
      <c r="AL62" s="143" t="str">
        <f t="shared" si="2"/>
        <v/>
      </c>
    </row>
    <row r="63" spans="1:38" s="108" customFormat="1" ht="15.75">
      <c r="A63" s="119"/>
      <c r="B63" s="120"/>
      <c r="C63" s="111"/>
      <c r="D63" s="111"/>
      <c r="E63" s="121"/>
      <c r="F63" s="121"/>
      <c r="G63" s="113"/>
      <c r="H63" s="113"/>
      <c r="I63" s="144" t="str">
        <f t="shared" si="1"/>
        <v/>
      </c>
      <c r="J63" s="141" t="str">
        <f>IF(I63="","",IF(AND(AL63&lt;=66),VLOOKUP(I63,'COP Look Up'!$A$13:$B$21,2,TRUE),IF(AND(AL63&gt;=67,AL63&lt;=72),VLOOKUP(I63,'COP Look Up'!$E$13:$F$21,2,TRUE),IF(AND(AL63&gt;=73,AL63&lt;=78),VLOOKUP(I63,'COP Look Up'!$I$13:$J$21,2,TRUE),IF(AND(AL63&gt;=79),VLOOKUP(I63,'COP Look Up'!$M$13:$N$20,2,TRUE),"")))))</f>
        <v/>
      </c>
      <c r="K63" s="122"/>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23"/>
      <c r="AL63" s="143" t="str">
        <f t="shared" si="2"/>
        <v/>
      </c>
    </row>
    <row r="64" spans="1:38" s="108" customFormat="1" ht="15.75">
      <c r="A64" s="119"/>
      <c r="B64" s="120"/>
      <c r="C64" s="111"/>
      <c r="D64" s="111"/>
      <c r="E64" s="121"/>
      <c r="F64" s="121"/>
      <c r="G64" s="113"/>
      <c r="H64" s="113"/>
      <c r="I64" s="144" t="str">
        <f t="shared" si="1"/>
        <v/>
      </c>
      <c r="J64" s="141" t="str">
        <f>IF(I64="","",IF(AND(AL64&lt;=66),VLOOKUP(I64,'COP Look Up'!$A$13:$B$21,2,TRUE),IF(AND(AL64&gt;=67,AL64&lt;=72),VLOOKUP(I64,'COP Look Up'!$E$13:$F$21,2,TRUE),IF(AND(AL64&gt;=73,AL64&lt;=78),VLOOKUP(I64,'COP Look Up'!$I$13:$J$21,2,TRUE),IF(AND(AL64&gt;=79),VLOOKUP(I64,'COP Look Up'!$M$13:$N$20,2,TRUE),"")))))</f>
        <v/>
      </c>
      <c r="K64" s="122"/>
      <c r="L64" s="111"/>
      <c r="M64" s="111"/>
      <c r="N64" s="111"/>
      <c r="O64" s="111"/>
      <c r="P64" s="111"/>
      <c r="Q64" s="111"/>
      <c r="R64" s="111"/>
      <c r="S64" s="111"/>
      <c r="T64" s="111"/>
      <c r="U64" s="111"/>
      <c r="V64" s="111"/>
      <c r="W64" s="111"/>
      <c r="X64" s="111"/>
      <c r="Y64" s="111"/>
      <c r="Z64" s="111"/>
      <c r="AA64" s="111"/>
      <c r="AB64" s="111"/>
      <c r="AC64" s="111"/>
      <c r="AD64" s="111"/>
      <c r="AE64" s="111"/>
      <c r="AF64" s="111"/>
      <c r="AG64" s="111"/>
      <c r="AH64" s="123"/>
      <c r="AL64" s="143" t="str">
        <f t="shared" si="2"/>
        <v/>
      </c>
    </row>
    <row r="65" spans="1:38" s="108" customFormat="1" ht="15.75">
      <c r="A65" s="119"/>
      <c r="B65" s="120"/>
      <c r="C65" s="111"/>
      <c r="D65" s="111"/>
      <c r="E65" s="121"/>
      <c r="F65" s="121"/>
      <c r="G65" s="113"/>
      <c r="H65" s="113"/>
      <c r="I65" s="144" t="str">
        <f t="shared" si="1"/>
        <v/>
      </c>
      <c r="J65" s="141" t="str">
        <f>IF(I65="","",IF(AND(AL65&lt;=66),VLOOKUP(I65,'COP Look Up'!$A$13:$B$21,2,TRUE),IF(AND(AL65&gt;=67,AL65&lt;=72),VLOOKUP(I65,'COP Look Up'!$E$13:$F$21,2,TRUE),IF(AND(AL65&gt;=73,AL65&lt;=78),VLOOKUP(I65,'COP Look Up'!$I$13:$J$21,2,TRUE),IF(AND(AL65&gt;=79),VLOOKUP(I65,'COP Look Up'!$M$13:$N$20,2,TRUE),"")))))</f>
        <v/>
      </c>
      <c r="K65" s="122"/>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23"/>
      <c r="AL65" s="143" t="str">
        <f t="shared" si="2"/>
        <v/>
      </c>
    </row>
    <row r="66" spans="1:38" s="108" customFormat="1" ht="15.75">
      <c r="A66" s="119"/>
      <c r="B66" s="120"/>
      <c r="C66" s="111"/>
      <c r="D66" s="111"/>
      <c r="E66" s="121"/>
      <c r="F66" s="121"/>
      <c r="G66" s="113"/>
      <c r="H66" s="113"/>
      <c r="I66" s="144" t="str">
        <f t="shared" si="1"/>
        <v/>
      </c>
      <c r="J66" s="141" t="str">
        <f>IF(I66="","",IF(AND(AL66&lt;=66),VLOOKUP(I66,'COP Look Up'!$A$13:$B$21,2,TRUE),IF(AND(AL66&gt;=67,AL66&lt;=72),VLOOKUP(I66,'COP Look Up'!$E$13:$F$21,2,TRUE),IF(AND(AL66&gt;=73,AL66&lt;=78),VLOOKUP(I66,'COP Look Up'!$I$13:$J$21,2,TRUE),IF(AND(AL66&gt;=79),VLOOKUP(I66,'COP Look Up'!$M$13:$N$20,2,TRUE),"")))))</f>
        <v/>
      </c>
      <c r="K66" s="122"/>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23"/>
      <c r="AL66" s="143" t="str">
        <f t="shared" si="2"/>
        <v/>
      </c>
    </row>
    <row r="67" spans="1:38" s="108" customFormat="1" ht="15.75">
      <c r="A67" s="119"/>
      <c r="B67" s="120"/>
      <c r="C67" s="111"/>
      <c r="D67" s="111"/>
      <c r="E67" s="121"/>
      <c r="F67" s="121"/>
      <c r="G67" s="113"/>
      <c r="H67" s="113"/>
      <c r="I67" s="144" t="str">
        <f t="shared" si="1"/>
        <v/>
      </c>
      <c r="J67" s="141" t="str">
        <f>IF(I67="","",IF(AND(AL67&lt;=66),VLOOKUP(I67,'COP Look Up'!$A$13:$B$21,2,TRUE),IF(AND(AL67&gt;=67,AL67&lt;=72),VLOOKUP(I67,'COP Look Up'!$E$13:$F$21,2,TRUE),IF(AND(AL67&gt;=73,AL67&lt;=78),VLOOKUP(I67,'COP Look Up'!$I$13:$J$21,2,TRUE),IF(AND(AL67&gt;=79),VLOOKUP(I67,'COP Look Up'!$M$13:$N$20,2,TRUE),"")))))</f>
        <v/>
      </c>
      <c r="K67" s="122"/>
      <c r="L67" s="111"/>
      <c r="M67" s="111"/>
      <c r="N67" s="111"/>
      <c r="O67" s="111"/>
      <c r="P67" s="111"/>
      <c r="Q67" s="111"/>
      <c r="R67" s="111"/>
      <c r="S67" s="111"/>
      <c r="T67" s="111"/>
      <c r="U67" s="111"/>
      <c r="V67" s="111"/>
      <c r="W67" s="111"/>
      <c r="X67" s="111"/>
      <c r="Y67" s="111"/>
      <c r="Z67" s="111"/>
      <c r="AA67" s="111"/>
      <c r="AB67" s="111"/>
      <c r="AC67" s="111"/>
      <c r="AD67" s="111"/>
      <c r="AE67" s="111"/>
      <c r="AF67" s="111"/>
      <c r="AG67" s="111"/>
      <c r="AH67" s="123"/>
      <c r="AL67" s="143" t="str">
        <f t="shared" si="2"/>
        <v/>
      </c>
    </row>
    <row r="68" spans="1:38" s="108" customFormat="1" ht="15.75">
      <c r="A68" s="119"/>
      <c r="B68" s="120"/>
      <c r="C68" s="111"/>
      <c r="D68" s="111"/>
      <c r="E68" s="121"/>
      <c r="F68" s="121"/>
      <c r="G68" s="113"/>
      <c r="H68" s="113"/>
      <c r="I68" s="144" t="str">
        <f t="shared" si="1"/>
        <v/>
      </c>
      <c r="J68" s="141" t="str">
        <f>IF(I68="","",IF(AND(AL68&lt;=66),VLOOKUP(I68,'COP Look Up'!$A$13:$B$21,2,TRUE),IF(AND(AL68&gt;=67,AL68&lt;=72),VLOOKUP(I68,'COP Look Up'!$E$13:$F$21,2,TRUE),IF(AND(AL68&gt;=73,AL68&lt;=78),VLOOKUP(I68,'COP Look Up'!$I$13:$J$21,2,TRUE),IF(AND(AL68&gt;=79),VLOOKUP(I68,'COP Look Up'!$M$13:$N$20,2,TRUE),"")))))</f>
        <v/>
      </c>
      <c r="K68" s="122"/>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23"/>
      <c r="AL68" s="143" t="str">
        <f t="shared" si="2"/>
        <v/>
      </c>
    </row>
    <row r="69" spans="1:38" s="108" customFormat="1" ht="15.75">
      <c r="A69" s="119"/>
      <c r="B69" s="120"/>
      <c r="C69" s="111"/>
      <c r="D69" s="111"/>
      <c r="E69" s="121"/>
      <c r="F69" s="121"/>
      <c r="G69" s="113"/>
      <c r="H69" s="113"/>
      <c r="I69" s="144" t="str">
        <f t="shared" si="1"/>
        <v/>
      </c>
      <c r="J69" s="141" t="str">
        <f>IF(I69="","",IF(AND(AL69&lt;=66),VLOOKUP(I69,'COP Look Up'!$A$13:$B$21,2,TRUE),IF(AND(AL69&gt;=67,AL69&lt;=72),VLOOKUP(I69,'COP Look Up'!$E$13:$F$21,2,TRUE),IF(AND(AL69&gt;=73,AL69&lt;=78),VLOOKUP(I69,'COP Look Up'!$I$13:$J$21,2,TRUE),IF(AND(AL69&gt;=79),VLOOKUP(I69,'COP Look Up'!$M$13:$N$20,2,TRUE),"")))))</f>
        <v/>
      </c>
      <c r="K69" s="122"/>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23"/>
      <c r="AL69" s="143" t="str">
        <f t="shared" si="2"/>
        <v/>
      </c>
    </row>
    <row r="70" spans="1:38" s="108" customFormat="1" ht="15.75">
      <c r="A70" s="119"/>
      <c r="B70" s="120"/>
      <c r="C70" s="111"/>
      <c r="D70" s="111"/>
      <c r="E70" s="121"/>
      <c r="F70" s="121"/>
      <c r="G70" s="113"/>
      <c r="H70" s="113"/>
      <c r="I70" s="144" t="str">
        <f t="shared" si="1"/>
        <v/>
      </c>
      <c r="J70" s="141" t="str">
        <f>IF(I70="","",IF(AND(AL70&lt;=66),VLOOKUP(I70,'COP Look Up'!$A$13:$B$21,2,TRUE),IF(AND(AL70&gt;=67,AL70&lt;=72),VLOOKUP(I70,'COP Look Up'!$E$13:$F$21,2,TRUE),IF(AND(AL70&gt;=73,AL70&lt;=78),VLOOKUP(I70,'COP Look Up'!$I$13:$J$21,2,TRUE),IF(AND(AL70&gt;=79),VLOOKUP(I70,'COP Look Up'!$M$13:$N$20,2,TRUE),"")))))</f>
        <v/>
      </c>
      <c r="K70" s="122"/>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23"/>
      <c r="AL70" s="143" t="str">
        <f t="shared" si="2"/>
        <v/>
      </c>
    </row>
    <row r="71" spans="1:38" s="108" customFormat="1" ht="15.75">
      <c r="A71" s="119"/>
      <c r="B71" s="120"/>
      <c r="C71" s="111"/>
      <c r="D71" s="111"/>
      <c r="E71" s="121"/>
      <c r="F71" s="121"/>
      <c r="G71" s="113"/>
      <c r="H71" s="113"/>
      <c r="I71" s="144" t="str">
        <f t="shared" si="1"/>
        <v/>
      </c>
      <c r="J71" s="141" t="str">
        <f>IF(I71="","",IF(AND(AL71&lt;=66),VLOOKUP(I71,'COP Look Up'!$A$13:$B$21,2,TRUE),IF(AND(AL71&gt;=67,AL71&lt;=72),VLOOKUP(I71,'COP Look Up'!$E$13:$F$21,2,TRUE),IF(AND(AL71&gt;=73,AL71&lt;=78),VLOOKUP(I71,'COP Look Up'!$I$13:$J$21,2,TRUE),IF(AND(AL71&gt;=79),VLOOKUP(I71,'COP Look Up'!$M$13:$N$20,2,TRUE),"")))))</f>
        <v/>
      </c>
      <c r="K71" s="122"/>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23"/>
      <c r="AL71" s="143" t="str">
        <f t="shared" si="2"/>
        <v/>
      </c>
    </row>
    <row r="72" spans="1:38" s="108" customFormat="1" ht="15.75">
      <c r="A72" s="119"/>
      <c r="B72" s="120"/>
      <c r="C72" s="111"/>
      <c r="D72" s="111"/>
      <c r="E72" s="121"/>
      <c r="F72" s="121"/>
      <c r="G72" s="113"/>
      <c r="H72" s="113"/>
      <c r="I72" s="144" t="str">
        <f t="shared" si="1"/>
        <v/>
      </c>
      <c r="J72" s="141" t="str">
        <f>IF(I72="","",IF(AND(AL72&lt;=66),VLOOKUP(I72,'COP Look Up'!$A$13:$B$21,2,TRUE),IF(AND(AL72&gt;=67,AL72&lt;=72),VLOOKUP(I72,'COP Look Up'!$E$13:$F$21,2,TRUE),IF(AND(AL72&gt;=73,AL72&lt;=78),VLOOKUP(I72,'COP Look Up'!$I$13:$J$21,2,TRUE),IF(AND(AL72&gt;=79),VLOOKUP(I72,'COP Look Up'!$M$13:$N$20,2,TRUE),"")))))</f>
        <v/>
      </c>
      <c r="K72" s="122"/>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23"/>
      <c r="AL72" s="143" t="str">
        <f t="shared" si="2"/>
        <v/>
      </c>
    </row>
    <row r="73" spans="1:38" s="108" customFormat="1" ht="15.75">
      <c r="A73" s="119"/>
      <c r="B73" s="120"/>
      <c r="C73" s="111"/>
      <c r="D73" s="111"/>
      <c r="E73" s="121"/>
      <c r="F73" s="121"/>
      <c r="G73" s="113"/>
      <c r="H73" s="113"/>
      <c r="I73" s="144" t="str">
        <f t="shared" ref="I73:I136" si="3">IF(E73="","",COUNTIF(K73:AH73,"y"))</f>
        <v/>
      </c>
      <c r="J73" s="141" t="str">
        <f>IF(I73="","",IF(AND(AL73&lt;=66),VLOOKUP(I73,'COP Look Up'!$A$13:$B$21,2,TRUE),IF(AND(AL73&gt;=67,AL73&lt;=72),VLOOKUP(I73,'COP Look Up'!$E$13:$F$21,2,TRUE),IF(AND(AL73&gt;=73,AL73&lt;=78),VLOOKUP(I73,'COP Look Up'!$I$13:$J$21,2,TRUE),IF(AND(AL73&gt;=79),VLOOKUP(I73,'COP Look Up'!$M$13:$N$20,2,TRUE),"")))))</f>
        <v/>
      </c>
      <c r="K73" s="122"/>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23"/>
      <c r="AL73" s="143" t="str">
        <f t="shared" ref="AL73:AL136" si="4">IF(E73="","",DATEDIF(B73,A73,"m"))</f>
        <v/>
      </c>
    </row>
    <row r="74" spans="1:38" s="108" customFormat="1" ht="15.75">
      <c r="A74" s="119"/>
      <c r="B74" s="120"/>
      <c r="C74" s="111"/>
      <c r="D74" s="111"/>
      <c r="E74" s="121"/>
      <c r="F74" s="121"/>
      <c r="G74" s="113"/>
      <c r="H74" s="113"/>
      <c r="I74" s="144" t="str">
        <f t="shared" si="3"/>
        <v/>
      </c>
      <c r="J74" s="141" t="str">
        <f>IF(I74="","",IF(AND(AL74&lt;=66),VLOOKUP(I74,'COP Look Up'!$A$13:$B$21,2,TRUE),IF(AND(AL74&gt;=67,AL74&lt;=72),VLOOKUP(I74,'COP Look Up'!$E$13:$F$21,2,TRUE),IF(AND(AL74&gt;=73,AL74&lt;=78),VLOOKUP(I74,'COP Look Up'!$I$13:$J$21,2,TRUE),IF(AND(AL74&gt;=79),VLOOKUP(I74,'COP Look Up'!$M$13:$N$20,2,TRUE),"")))))</f>
        <v/>
      </c>
      <c r="K74" s="122"/>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23"/>
      <c r="AL74" s="143" t="str">
        <f t="shared" si="4"/>
        <v/>
      </c>
    </row>
    <row r="75" spans="1:38" s="108" customFormat="1" ht="15.75">
      <c r="A75" s="119"/>
      <c r="B75" s="120"/>
      <c r="C75" s="111"/>
      <c r="D75" s="111"/>
      <c r="E75" s="121"/>
      <c r="F75" s="121"/>
      <c r="G75" s="113"/>
      <c r="H75" s="113"/>
      <c r="I75" s="144" t="str">
        <f t="shared" si="3"/>
        <v/>
      </c>
      <c r="J75" s="141" t="str">
        <f>IF(I75="","",IF(AND(AL75&lt;=66),VLOOKUP(I75,'COP Look Up'!$A$13:$B$21,2,TRUE),IF(AND(AL75&gt;=67,AL75&lt;=72),VLOOKUP(I75,'COP Look Up'!$E$13:$F$21,2,TRUE),IF(AND(AL75&gt;=73,AL75&lt;=78),VLOOKUP(I75,'COP Look Up'!$I$13:$J$21,2,TRUE),IF(AND(AL75&gt;=79),VLOOKUP(I75,'COP Look Up'!$M$13:$N$20,2,TRUE),"")))))</f>
        <v/>
      </c>
      <c r="K75" s="122"/>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23"/>
      <c r="AL75" s="143" t="str">
        <f t="shared" si="4"/>
        <v/>
      </c>
    </row>
    <row r="76" spans="1:38" s="108" customFormat="1" ht="15.75">
      <c r="A76" s="119"/>
      <c r="B76" s="120"/>
      <c r="C76" s="111"/>
      <c r="D76" s="111"/>
      <c r="E76" s="121"/>
      <c r="F76" s="121"/>
      <c r="G76" s="113"/>
      <c r="H76" s="113"/>
      <c r="I76" s="144" t="str">
        <f t="shared" si="3"/>
        <v/>
      </c>
      <c r="J76" s="141" t="str">
        <f>IF(I76="","",IF(AND(AL76&lt;=66),VLOOKUP(I76,'COP Look Up'!$A$13:$B$21,2,TRUE),IF(AND(AL76&gt;=67,AL76&lt;=72),VLOOKUP(I76,'COP Look Up'!$E$13:$F$21,2,TRUE),IF(AND(AL76&gt;=73,AL76&lt;=78),VLOOKUP(I76,'COP Look Up'!$I$13:$J$21,2,TRUE),IF(AND(AL76&gt;=79),VLOOKUP(I76,'COP Look Up'!$M$13:$N$20,2,TRUE),"")))))</f>
        <v/>
      </c>
      <c r="K76" s="122"/>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23"/>
      <c r="AL76" s="143" t="str">
        <f t="shared" si="4"/>
        <v/>
      </c>
    </row>
    <row r="77" spans="1:38" s="108" customFormat="1" ht="15.75">
      <c r="A77" s="119"/>
      <c r="B77" s="120"/>
      <c r="C77" s="111"/>
      <c r="D77" s="111"/>
      <c r="E77" s="121"/>
      <c r="F77" s="121"/>
      <c r="G77" s="113"/>
      <c r="H77" s="113"/>
      <c r="I77" s="144" t="str">
        <f t="shared" si="3"/>
        <v/>
      </c>
      <c r="J77" s="141" t="str">
        <f>IF(I77="","",IF(AND(AL77&lt;=66),VLOOKUP(I77,'COP Look Up'!$A$13:$B$21,2,TRUE),IF(AND(AL77&gt;=67,AL77&lt;=72),VLOOKUP(I77,'COP Look Up'!$E$13:$F$21,2,TRUE),IF(AND(AL77&gt;=73,AL77&lt;=78),VLOOKUP(I77,'COP Look Up'!$I$13:$J$21,2,TRUE),IF(AND(AL77&gt;=79),VLOOKUP(I77,'COP Look Up'!$M$13:$N$20,2,TRUE),"")))))</f>
        <v/>
      </c>
      <c r="K77" s="122"/>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23"/>
      <c r="AL77" s="143" t="str">
        <f t="shared" si="4"/>
        <v/>
      </c>
    </row>
    <row r="78" spans="1:38" s="108" customFormat="1" ht="15.75">
      <c r="A78" s="119"/>
      <c r="B78" s="120"/>
      <c r="C78" s="111"/>
      <c r="D78" s="111"/>
      <c r="E78" s="121"/>
      <c r="F78" s="121"/>
      <c r="G78" s="113"/>
      <c r="H78" s="113"/>
      <c r="I78" s="144" t="str">
        <f t="shared" si="3"/>
        <v/>
      </c>
      <c r="J78" s="141" t="str">
        <f>IF(I78="","",IF(AND(AL78&lt;=66),VLOOKUP(I78,'COP Look Up'!$A$13:$B$21,2,TRUE),IF(AND(AL78&gt;=67,AL78&lt;=72),VLOOKUP(I78,'COP Look Up'!$E$13:$F$21,2,TRUE),IF(AND(AL78&gt;=73,AL78&lt;=78),VLOOKUP(I78,'COP Look Up'!$I$13:$J$21,2,TRUE),IF(AND(AL78&gt;=79),VLOOKUP(I78,'COP Look Up'!$M$13:$N$20,2,TRUE),"")))))</f>
        <v/>
      </c>
      <c r="K78" s="122"/>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23"/>
      <c r="AL78" s="143" t="str">
        <f t="shared" si="4"/>
        <v/>
      </c>
    </row>
    <row r="79" spans="1:38" s="108" customFormat="1" ht="15.75">
      <c r="A79" s="119"/>
      <c r="B79" s="120"/>
      <c r="C79" s="111"/>
      <c r="D79" s="111"/>
      <c r="E79" s="121"/>
      <c r="F79" s="121"/>
      <c r="G79" s="113"/>
      <c r="H79" s="113"/>
      <c r="I79" s="144" t="str">
        <f t="shared" si="3"/>
        <v/>
      </c>
      <c r="J79" s="141" t="str">
        <f>IF(I79="","",IF(AND(AL79&lt;=66),VLOOKUP(I79,'COP Look Up'!$A$13:$B$21,2,TRUE),IF(AND(AL79&gt;=67,AL79&lt;=72),VLOOKUP(I79,'COP Look Up'!$E$13:$F$21,2,TRUE),IF(AND(AL79&gt;=73,AL79&lt;=78),VLOOKUP(I79,'COP Look Up'!$I$13:$J$21,2,TRUE),IF(AND(AL79&gt;=79),VLOOKUP(I79,'COP Look Up'!$M$13:$N$20,2,TRUE),"")))))</f>
        <v/>
      </c>
      <c r="K79" s="122"/>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23"/>
      <c r="AL79" s="143" t="str">
        <f t="shared" si="4"/>
        <v/>
      </c>
    </row>
    <row r="80" spans="1:38" s="108" customFormat="1" ht="15.75">
      <c r="A80" s="119"/>
      <c r="B80" s="120"/>
      <c r="C80" s="111"/>
      <c r="D80" s="111"/>
      <c r="E80" s="121"/>
      <c r="F80" s="121"/>
      <c r="G80" s="113"/>
      <c r="H80" s="113"/>
      <c r="I80" s="144" t="str">
        <f t="shared" si="3"/>
        <v/>
      </c>
      <c r="J80" s="141" t="str">
        <f>IF(I80="","",IF(AND(AL80&lt;=66),VLOOKUP(I80,'COP Look Up'!$A$13:$B$21,2,TRUE),IF(AND(AL80&gt;=67,AL80&lt;=72),VLOOKUP(I80,'COP Look Up'!$E$13:$F$21,2,TRUE),IF(AND(AL80&gt;=73,AL80&lt;=78),VLOOKUP(I80,'COP Look Up'!$I$13:$J$21,2,TRUE),IF(AND(AL80&gt;=79),VLOOKUP(I80,'COP Look Up'!$M$13:$N$20,2,TRUE),"")))))</f>
        <v/>
      </c>
      <c r="K80" s="122"/>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23"/>
      <c r="AL80" s="143" t="str">
        <f t="shared" si="4"/>
        <v/>
      </c>
    </row>
    <row r="81" spans="1:38" s="108" customFormat="1" ht="15.75">
      <c r="A81" s="119"/>
      <c r="B81" s="120"/>
      <c r="C81" s="111"/>
      <c r="D81" s="111"/>
      <c r="E81" s="121"/>
      <c r="F81" s="121"/>
      <c r="G81" s="113"/>
      <c r="H81" s="113"/>
      <c r="I81" s="144" t="str">
        <f t="shared" si="3"/>
        <v/>
      </c>
      <c r="J81" s="141" t="str">
        <f>IF(I81="","",IF(AND(AL81&lt;=66),VLOOKUP(I81,'COP Look Up'!$A$13:$B$21,2,TRUE),IF(AND(AL81&gt;=67,AL81&lt;=72),VLOOKUP(I81,'COP Look Up'!$E$13:$F$21,2,TRUE),IF(AND(AL81&gt;=73,AL81&lt;=78),VLOOKUP(I81,'COP Look Up'!$I$13:$J$21,2,TRUE),IF(AND(AL81&gt;=79),VLOOKUP(I81,'COP Look Up'!$M$13:$N$20,2,TRUE),"")))))</f>
        <v/>
      </c>
      <c r="K81" s="122"/>
      <c r="L81" s="111"/>
      <c r="M81" s="111"/>
      <c r="N81" s="111"/>
      <c r="O81" s="111"/>
      <c r="P81" s="111"/>
      <c r="Q81" s="111"/>
      <c r="R81" s="111"/>
      <c r="S81" s="111"/>
      <c r="T81" s="111"/>
      <c r="U81" s="111"/>
      <c r="V81" s="111"/>
      <c r="W81" s="111"/>
      <c r="X81" s="111"/>
      <c r="Y81" s="111"/>
      <c r="Z81" s="111"/>
      <c r="AA81" s="111"/>
      <c r="AB81" s="111"/>
      <c r="AC81" s="111"/>
      <c r="AD81" s="111"/>
      <c r="AE81" s="111"/>
      <c r="AF81" s="111"/>
      <c r="AG81" s="111"/>
      <c r="AH81" s="123"/>
      <c r="AL81" s="143" t="str">
        <f t="shared" si="4"/>
        <v/>
      </c>
    </row>
    <row r="82" spans="1:38" s="108" customFormat="1" ht="15.75">
      <c r="A82" s="119"/>
      <c r="B82" s="120"/>
      <c r="C82" s="111"/>
      <c r="D82" s="111"/>
      <c r="E82" s="121"/>
      <c r="F82" s="121"/>
      <c r="G82" s="113"/>
      <c r="H82" s="113"/>
      <c r="I82" s="144" t="str">
        <f t="shared" si="3"/>
        <v/>
      </c>
      <c r="J82" s="141" t="str">
        <f>IF(I82="","",IF(AND(AL82&lt;=66),VLOOKUP(I82,'COP Look Up'!$A$13:$B$21,2,TRUE),IF(AND(AL82&gt;=67,AL82&lt;=72),VLOOKUP(I82,'COP Look Up'!$E$13:$F$21,2,TRUE),IF(AND(AL82&gt;=73,AL82&lt;=78),VLOOKUP(I82,'COP Look Up'!$I$13:$J$21,2,TRUE),IF(AND(AL82&gt;=79),VLOOKUP(I82,'COP Look Up'!$M$13:$N$20,2,TRUE),"")))))</f>
        <v/>
      </c>
      <c r="K82" s="122"/>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23"/>
      <c r="AL82" s="143" t="str">
        <f t="shared" si="4"/>
        <v/>
      </c>
    </row>
    <row r="83" spans="1:38" s="108" customFormat="1" ht="15.75">
      <c r="A83" s="119"/>
      <c r="B83" s="120"/>
      <c r="C83" s="111"/>
      <c r="D83" s="111"/>
      <c r="E83" s="121"/>
      <c r="F83" s="121"/>
      <c r="G83" s="113"/>
      <c r="H83" s="113"/>
      <c r="I83" s="144" t="str">
        <f t="shared" si="3"/>
        <v/>
      </c>
      <c r="J83" s="141" t="str">
        <f>IF(I83="","",IF(AND(AL83&lt;=66),VLOOKUP(I83,'COP Look Up'!$A$13:$B$21,2,TRUE),IF(AND(AL83&gt;=67,AL83&lt;=72),VLOOKUP(I83,'COP Look Up'!$E$13:$F$21,2,TRUE),IF(AND(AL83&gt;=73,AL83&lt;=78),VLOOKUP(I83,'COP Look Up'!$I$13:$J$21,2,TRUE),IF(AND(AL83&gt;=79),VLOOKUP(I83,'COP Look Up'!$M$13:$N$20,2,TRUE),"")))))</f>
        <v/>
      </c>
      <c r="K83" s="122"/>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23"/>
      <c r="AL83" s="143" t="str">
        <f t="shared" si="4"/>
        <v/>
      </c>
    </row>
    <row r="84" spans="1:38" s="108" customFormat="1" ht="15.75">
      <c r="A84" s="119"/>
      <c r="B84" s="120"/>
      <c r="C84" s="111"/>
      <c r="D84" s="111"/>
      <c r="E84" s="121"/>
      <c r="F84" s="121"/>
      <c r="G84" s="113"/>
      <c r="H84" s="113"/>
      <c r="I84" s="144" t="str">
        <f t="shared" si="3"/>
        <v/>
      </c>
      <c r="J84" s="141" t="str">
        <f>IF(I84="","",IF(AND(AL84&lt;=66),VLOOKUP(I84,'COP Look Up'!$A$13:$B$21,2,TRUE),IF(AND(AL84&gt;=67,AL84&lt;=72),VLOOKUP(I84,'COP Look Up'!$E$13:$F$21,2,TRUE),IF(AND(AL84&gt;=73,AL84&lt;=78),VLOOKUP(I84,'COP Look Up'!$I$13:$J$21,2,TRUE),IF(AND(AL84&gt;=79),VLOOKUP(I84,'COP Look Up'!$M$13:$N$20,2,TRUE),"")))))</f>
        <v/>
      </c>
      <c r="K84" s="122"/>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23"/>
      <c r="AL84" s="143" t="str">
        <f t="shared" si="4"/>
        <v/>
      </c>
    </row>
    <row r="85" spans="1:38" s="108" customFormat="1" ht="15.75">
      <c r="A85" s="119"/>
      <c r="B85" s="120"/>
      <c r="C85" s="111"/>
      <c r="D85" s="111"/>
      <c r="E85" s="121"/>
      <c r="F85" s="121"/>
      <c r="G85" s="113"/>
      <c r="H85" s="113"/>
      <c r="I85" s="144" t="str">
        <f t="shared" si="3"/>
        <v/>
      </c>
      <c r="J85" s="141" t="str">
        <f>IF(I85="","",IF(AND(AL85&lt;=66),VLOOKUP(I85,'COP Look Up'!$A$13:$B$21,2,TRUE),IF(AND(AL85&gt;=67,AL85&lt;=72),VLOOKUP(I85,'COP Look Up'!$E$13:$F$21,2,TRUE),IF(AND(AL85&gt;=73,AL85&lt;=78),VLOOKUP(I85,'COP Look Up'!$I$13:$J$21,2,TRUE),IF(AND(AL85&gt;=79),VLOOKUP(I85,'COP Look Up'!$M$13:$N$20,2,TRUE),"")))))</f>
        <v/>
      </c>
      <c r="K85" s="122"/>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23"/>
      <c r="AL85" s="143" t="str">
        <f t="shared" si="4"/>
        <v/>
      </c>
    </row>
    <row r="86" spans="1:38" s="108" customFormat="1" ht="15.75">
      <c r="A86" s="119"/>
      <c r="B86" s="120"/>
      <c r="C86" s="111"/>
      <c r="D86" s="111"/>
      <c r="E86" s="121"/>
      <c r="F86" s="121"/>
      <c r="G86" s="113"/>
      <c r="H86" s="113"/>
      <c r="I86" s="144" t="str">
        <f t="shared" si="3"/>
        <v/>
      </c>
      <c r="J86" s="141" t="str">
        <f>IF(I86="","",IF(AND(AL86&lt;=66),VLOOKUP(I86,'COP Look Up'!$A$13:$B$21,2,TRUE),IF(AND(AL86&gt;=67,AL86&lt;=72),VLOOKUP(I86,'COP Look Up'!$E$13:$F$21,2,TRUE),IF(AND(AL86&gt;=73,AL86&lt;=78),VLOOKUP(I86,'COP Look Up'!$I$13:$J$21,2,TRUE),IF(AND(AL86&gt;=79),VLOOKUP(I86,'COP Look Up'!$M$13:$N$20,2,TRUE),"")))))</f>
        <v/>
      </c>
      <c r="K86" s="122"/>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23"/>
      <c r="AL86" s="143" t="str">
        <f t="shared" si="4"/>
        <v/>
      </c>
    </row>
    <row r="87" spans="1:38" s="108" customFormat="1" ht="15.75">
      <c r="A87" s="119"/>
      <c r="B87" s="120"/>
      <c r="C87" s="111"/>
      <c r="D87" s="111"/>
      <c r="E87" s="121"/>
      <c r="F87" s="121"/>
      <c r="G87" s="113"/>
      <c r="H87" s="113"/>
      <c r="I87" s="144" t="str">
        <f t="shared" si="3"/>
        <v/>
      </c>
      <c r="J87" s="141" t="str">
        <f>IF(I87="","",IF(AND(AL87&lt;=66),VLOOKUP(I87,'COP Look Up'!$A$13:$B$21,2,TRUE),IF(AND(AL87&gt;=67,AL87&lt;=72),VLOOKUP(I87,'COP Look Up'!$E$13:$F$21,2,TRUE),IF(AND(AL87&gt;=73,AL87&lt;=78),VLOOKUP(I87,'COP Look Up'!$I$13:$J$21,2,TRUE),IF(AND(AL87&gt;=79),VLOOKUP(I87,'COP Look Up'!$M$13:$N$20,2,TRUE),"")))))</f>
        <v/>
      </c>
      <c r="K87" s="122"/>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23"/>
      <c r="AL87" s="143" t="str">
        <f t="shared" si="4"/>
        <v/>
      </c>
    </row>
    <row r="88" spans="1:38" s="108" customFormat="1" ht="15.75">
      <c r="A88" s="119"/>
      <c r="B88" s="120"/>
      <c r="C88" s="111"/>
      <c r="D88" s="111"/>
      <c r="E88" s="121"/>
      <c r="F88" s="121"/>
      <c r="G88" s="113"/>
      <c r="H88" s="113"/>
      <c r="I88" s="144" t="str">
        <f t="shared" si="3"/>
        <v/>
      </c>
      <c r="J88" s="141" t="str">
        <f>IF(I88="","",IF(AND(AL88&lt;=66),VLOOKUP(I88,'COP Look Up'!$A$13:$B$21,2,TRUE),IF(AND(AL88&gt;=67,AL88&lt;=72),VLOOKUP(I88,'COP Look Up'!$E$13:$F$21,2,TRUE),IF(AND(AL88&gt;=73,AL88&lt;=78),VLOOKUP(I88,'COP Look Up'!$I$13:$J$21,2,TRUE),IF(AND(AL88&gt;=79),VLOOKUP(I88,'COP Look Up'!$M$13:$N$20,2,TRUE),"")))))</f>
        <v/>
      </c>
      <c r="K88" s="122"/>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23"/>
      <c r="AL88" s="143" t="str">
        <f t="shared" si="4"/>
        <v/>
      </c>
    </row>
    <row r="89" spans="1:38" s="108" customFormat="1" ht="15.75">
      <c r="A89" s="119"/>
      <c r="B89" s="120"/>
      <c r="C89" s="111"/>
      <c r="D89" s="111"/>
      <c r="E89" s="121"/>
      <c r="F89" s="121"/>
      <c r="G89" s="113"/>
      <c r="H89" s="113"/>
      <c r="I89" s="144" t="str">
        <f t="shared" si="3"/>
        <v/>
      </c>
      <c r="J89" s="141" t="str">
        <f>IF(I89="","",IF(AND(AL89&lt;=66),VLOOKUP(I89,'COP Look Up'!$A$13:$B$21,2,TRUE),IF(AND(AL89&gt;=67,AL89&lt;=72),VLOOKUP(I89,'COP Look Up'!$E$13:$F$21,2,TRUE),IF(AND(AL89&gt;=73,AL89&lt;=78),VLOOKUP(I89,'COP Look Up'!$I$13:$J$21,2,TRUE),IF(AND(AL89&gt;=79),VLOOKUP(I89,'COP Look Up'!$M$13:$N$20,2,TRUE),"")))))</f>
        <v/>
      </c>
      <c r="K89" s="122"/>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23"/>
      <c r="AL89" s="143" t="str">
        <f t="shared" si="4"/>
        <v/>
      </c>
    </row>
    <row r="90" spans="1:38" s="108" customFormat="1" ht="15.75">
      <c r="A90" s="119"/>
      <c r="B90" s="120"/>
      <c r="C90" s="111"/>
      <c r="D90" s="111"/>
      <c r="E90" s="121"/>
      <c r="F90" s="121"/>
      <c r="G90" s="113"/>
      <c r="H90" s="113"/>
      <c r="I90" s="144" t="str">
        <f t="shared" si="3"/>
        <v/>
      </c>
      <c r="J90" s="141" t="str">
        <f>IF(I90="","",IF(AND(AL90&lt;=66),VLOOKUP(I90,'COP Look Up'!$A$13:$B$21,2,TRUE),IF(AND(AL90&gt;=67,AL90&lt;=72),VLOOKUP(I90,'COP Look Up'!$E$13:$F$21,2,TRUE),IF(AND(AL90&gt;=73,AL90&lt;=78),VLOOKUP(I90,'COP Look Up'!$I$13:$J$21,2,TRUE),IF(AND(AL90&gt;=79),VLOOKUP(I90,'COP Look Up'!$M$13:$N$20,2,TRUE),"")))))</f>
        <v/>
      </c>
      <c r="K90" s="122"/>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23"/>
      <c r="AL90" s="143" t="str">
        <f t="shared" si="4"/>
        <v/>
      </c>
    </row>
    <row r="91" spans="1:38" s="108" customFormat="1" ht="15.75">
      <c r="A91" s="119"/>
      <c r="B91" s="120"/>
      <c r="C91" s="111"/>
      <c r="D91" s="111"/>
      <c r="E91" s="121"/>
      <c r="F91" s="121"/>
      <c r="G91" s="113"/>
      <c r="H91" s="113"/>
      <c r="I91" s="144" t="str">
        <f t="shared" si="3"/>
        <v/>
      </c>
      <c r="J91" s="141" t="str">
        <f>IF(I91="","",IF(AND(AL91&lt;=66),VLOOKUP(I91,'COP Look Up'!$A$13:$B$21,2,TRUE),IF(AND(AL91&gt;=67,AL91&lt;=72),VLOOKUP(I91,'COP Look Up'!$E$13:$F$21,2,TRUE),IF(AND(AL91&gt;=73,AL91&lt;=78),VLOOKUP(I91,'COP Look Up'!$I$13:$J$21,2,TRUE),IF(AND(AL91&gt;=79),VLOOKUP(I91,'COP Look Up'!$M$13:$N$20,2,TRUE),"")))))</f>
        <v/>
      </c>
      <c r="K91" s="122"/>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23"/>
      <c r="AL91" s="143" t="str">
        <f t="shared" si="4"/>
        <v/>
      </c>
    </row>
    <row r="92" spans="1:38" s="108" customFormat="1" ht="15.75">
      <c r="A92" s="119"/>
      <c r="B92" s="120"/>
      <c r="C92" s="111"/>
      <c r="D92" s="111"/>
      <c r="E92" s="121"/>
      <c r="F92" s="121"/>
      <c r="G92" s="113"/>
      <c r="H92" s="113"/>
      <c r="I92" s="144" t="str">
        <f t="shared" si="3"/>
        <v/>
      </c>
      <c r="J92" s="141" t="str">
        <f>IF(I92="","",IF(AND(AL92&lt;=66),VLOOKUP(I92,'COP Look Up'!$A$13:$B$21,2,TRUE),IF(AND(AL92&gt;=67,AL92&lt;=72),VLOOKUP(I92,'COP Look Up'!$E$13:$F$21,2,TRUE),IF(AND(AL92&gt;=73,AL92&lt;=78),VLOOKUP(I92,'COP Look Up'!$I$13:$J$21,2,TRUE),IF(AND(AL92&gt;=79),VLOOKUP(I92,'COP Look Up'!$M$13:$N$20,2,TRUE),"")))))</f>
        <v/>
      </c>
      <c r="K92" s="122"/>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23"/>
      <c r="AL92" s="143" t="str">
        <f t="shared" si="4"/>
        <v/>
      </c>
    </row>
    <row r="93" spans="1:38" s="108" customFormat="1" ht="15.75">
      <c r="A93" s="119"/>
      <c r="B93" s="120"/>
      <c r="C93" s="111"/>
      <c r="D93" s="111"/>
      <c r="E93" s="121"/>
      <c r="F93" s="121"/>
      <c r="G93" s="113"/>
      <c r="H93" s="113"/>
      <c r="I93" s="144" t="str">
        <f t="shared" si="3"/>
        <v/>
      </c>
      <c r="J93" s="141" t="str">
        <f>IF(I93="","",IF(AND(AL93&lt;=66),VLOOKUP(I93,'COP Look Up'!$A$13:$B$21,2,TRUE),IF(AND(AL93&gt;=67,AL93&lt;=72),VLOOKUP(I93,'COP Look Up'!$E$13:$F$21,2,TRUE),IF(AND(AL93&gt;=73,AL93&lt;=78),VLOOKUP(I93,'COP Look Up'!$I$13:$J$21,2,TRUE),IF(AND(AL93&gt;=79),VLOOKUP(I93,'COP Look Up'!$M$13:$N$20,2,TRUE),"")))))</f>
        <v/>
      </c>
      <c r="K93" s="122"/>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23"/>
      <c r="AL93" s="143" t="str">
        <f t="shared" si="4"/>
        <v/>
      </c>
    </row>
    <row r="94" spans="1:38" s="108" customFormat="1" ht="15.75">
      <c r="A94" s="119"/>
      <c r="B94" s="120"/>
      <c r="C94" s="111"/>
      <c r="D94" s="111"/>
      <c r="E94" s="121"/>
      <c r="F94" s="121"/>
      <c r="G94" s="113"/>
      <c r="H94" s="113"/>
      <c r="I94" s="144" t="str">
        <f t="shared" si="3"/>
        <v/>
      </c>
      <c r="J94" s="141" t="str">
        <f>IF(I94="","",IF(AND(AL94&lt;=66),VLOOKUP(I94,'COP Look Up'!$A$13:$B$21,2,TRUE),IF(AND(AL94&gt;=67,AL94&lt;=72),VLOOKUP(I94,'COP Look Up'!$E$13:$F$21,2,TRUE),IF(AND(AL94&gt;=73,AL94&lt;=78),VLOOKUP(I94,'COP Look Up'!$I$13:$J$21,2,TRUE),IF(AND(AL94&gt;=79),VLOOKUP(I94,'COP Look Up'!$M$13:$N$20,2,TRUE),"")))))</f>
        <v/>
      </c>
      <c r="K94" s="122"/>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23"/>
      <c r="AL94" s="143" t="str">
        <f t="shared" si="4"/>
        <v/>
      </c>
    </row>
    <row r="95" spans="1:38" s="108" customFormat="1" ht="15.75">
      <c r="A95" s="119"/>
      <c r="B95" s="120"/>
      <c r="C95" s="111"/>
      <c r="D95" s="111"/>
      <c r="E95" s="121"/>
      <c r="F95" s="121"/>
      <c r="G95" s="113"/>
      <c r="H95" s="113"/>
      <c r="I95" s="144" t="str">
        <f t="shared" si="3"/>
        <v/>
      </c>
      <c r="J95" s="141" t="str">
        <f>IF(I95="","",IF(AND(AL95&lt;=66),VLOOKUP(I95,'COP Look Up'!$A$13:$B$21,2,TRUE),IF(AND(AL95&gt;=67,AL95&lt;=72),VLOOKUP(I95,'COP Look Up'!$E$13:$F$21,2,TRUE),IF(AND(AL95&gt;=73,AL95&lt;=78),VLOOKUP(I95,'COP Look Up'!$I$13:$J$21,2,TRUE),IF(AND(AL95&gt;=79),VLOOKUP(I95,'COP Look Up'!$M$13:$N$20,2,TRUE),"")))))</f>
        <v/>
      </c>
      <c r="K95" s="122"/>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23"/>
      <c r="AL95" s="143" t="str">
        <f t="shared" si="4"/>
        <v/>
      </c>
    </row>
    <row r="96" spans="1:38" s="108" customFormat="1" ht="15.75">
      <c r="A96" s="119"/>
      <c r="B96" s="120"/>
      <c r="C96" s="111"/>
      <c r="D96" s="111"/>
      <c r="E96" s="121"/>
      <c r="F96" s="121"/>
      <c r="G96" s="113"/>
      <c r="H96" s="113"/>
      <c r="I96" s="144" t="str">
        <f t="shared" si="3"/>
        <v/>
      </c>
      <c r="J96" s="141" t="str">
        <f>IF(I96="","",IF(AND(AL96&lt;=66),VLOOKUP(I96,'COP Look Up'!$A$13:$B$21,2,TRUE),IF(AND(AL96&gt;=67,AL96&lt;=72),VLOOKUP(I96,'COP Look Up'!$E$13:$F$21,2,TRUE),IF(AND(AL96&gt;=73,AL96&lt;=78),VLOOKUP(I96,'COP Look Up'!$I$13:$J$21,2,TRUE),IF(AND(AL96&gt;=79),VLOOKUP(I96,'COP Look Up'!$M$13:$N$20,2,TRUE),"")))))</f>
        <v/>
      </c>
      <c r="K96" s="122"/>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23"/>
      <c r="AL96" s="143" t="str">
        <f t="shared" si="4"/>
        <v/>
      </c>
    </row>
    <row r="97" spans="1:38" s="108" customFormat="1" ht="15.75">
      <c r="A97" s="119"/>
      <c r="B97" s="120"/>
      <c r="C97" s="111"/>
      <c r="D97" s="111"/>
      <c r="E97" s="121"/>
      <c r="F97" s="121"/>
      <c r="G97" s="113"/>
      <c r="H97" s="113"/>
      <c r="I97" s="144" t="str">
        <f t="shared" si="3"/>
        <v/>
      </c>
      <c r="J97" s="141" t="str">
        <f>IF(I97="","",IF(AND(AL97&lt;=66),VLOOKUP(I97,'COP Look Up'!$A$13:$B$21,2,TRUE),IF(AND(AL97&gt;=67,AL97&lt;=72),VLOOKUP(I97,'COP Look Up'!$E$13:$F$21,2,TRUE),IF(AND(AL97&gt;=73,AL97&lt;=78),VLOOKUP(I97,'COP Look Up'!$I$13:$J$21,2,TRUE),IF(AND(AL97&gt;=79),VLOOKUP(I97,'COP Look Up'!$M$13:$N$20,2,TRUE),"")))))</f>
        <v/>
      </c>
      <c r="K97" s="122"/>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23"/>
      <c r="AL97" s="143" t="str">
        <f t="shared" si="4"/>
        <v/>
      </c>
    </row>
    <row r="98" spans="1:38" s="108" customFormat="1" ht="15.75">
      <c r="A98" s="119"/>
      <c r="B98" s="120"/>
      <c r="C98" s="111"/>
      <c r="D98" s="111"/>
      <c r="E98" s="121"/>
      <c r="F98" s="121"/>
      <c r="G98" s="113"/>
      <c r="H98" s="113"/>
      <c r="I98" s="144" t="str">
        <f t="shared" si="3"/>
        <v/>
      </c>
      <c r="J98" s="141" t="str">
        <f>IF(I98="","",IF(AND(AL98&lt;=66),VLOOKUP(I98,'COP Look Up'!$A$13:$B$21,2,TRUE),IF(AND(AL98&gt;=67,AL98&lt;=72),VLOOKUP(I98,'COP Look Up'!$E$13:$F$21,2,TRUE),IF(AND(AL98&gt;=73,AL98&lt;=78),VLOOKUP(I98,'COP Look Up'!$I$13:$J$21,2,TRUE),IF(AND(AL98&gt;=79),VLOOKUP(I98,'COP Look Up'!$M$13:$N$20,2,TRUE),"")))))</f>
        <v/>
      </c>
      <c r="K98" s="122"/>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23"/>
      <c r="AL98" s="143" t="str">
        <f t="shared" si="4"/>
        <v/>
      </c>
    </row>
    <row r="99" spans="1:38" s="108" customFormat="1" ht="15.75">
      <c r="A99" s="119"/>
      <c r="B99" s="120"/>
      <c r="C99" s="111"/>
      <c r="D99" s="111"/>
      <c r="E99" s="121"/>
      <c r="F99" s="121"/>
      <c r="G99" s="113"/>
      <c r="H99" s="113"/>
      <c r="I99" s="144" t="str">
        <f t="shared" si="3"/>
        <v/>
      </c>
      <c r="J99" s="141" t="str">
        <f>IF(I99="","",IF(AND(AL99&lt;=66),VLOOKUP(I99,'COP Look Up'!$A$13:$B$21,2,TRUE),IF(AND(AL99&gt;=67,AL99&lt;=72),VLOOKUP(I99,'COP Look Up'!$E$13:$F$21,2,TRUE),IF(AND(AL99&gt;=73,AL99&lt;=78),VLOOKUP(I99,'COP Look Up'!$I$13:$J$21,2,TRUE),IF(AND(AL99&gt;=79),VLOOKUP(I99,'COP Look Up'!$M$13:$N$20,2,TRUE),"")))))</f>
        <v/>
      </c>
      <c r="K99" s="122"/>
      <c r="L99" s="111"/>
      <c r="M99" s="111"/>
      <c r="N99" s="111"/>
      <c r="O99" s="111"/>
      <c r="P99" s="111"/>
      <c r="Q99" s="111"/>
      <c r="R99" s="111"/>
      <c r="S99" s="111"/>
      <c r="T99" s="111"/>
      <c r="U99" s="111"/>
      <c r="V99" s="111"/>
      <c r="W99" s="111"/>
      <c r="X99" s="111"/>
      <c r="Y99" s="111"/>
      <c r="Z99" s="111"/>
      <c r="AA99" s="111"/>
      <c r="AB99" s="111"/>
      <c r="AC99" s="111"/>
      <c r="AD99" s="111"/>
      <c r="AE99" s="111"/>
      <c r="AF99" s="111"/>
      <c r="AG99" s="111"/>
      <c r="AH99" s="123"/>
      <c r="AL99" s="143" t="str">
        <f t="shared" si="4"/>
        <v/>
      </c>
    </row>
    <row r="100" spans="1:38" s="108" customFormat="1" ht="15.75">
      <c r="A100" s="119"/>
      <c r="B100" s="120"/>
      <c r="C100" s="111"/>
      <c r="D100" s="111"/>
      <c r="E100" s="121"/>
      <c r="F100" s="121"/>
      <c r="G100" s="113"/>
      <c r="H100" s="113"/>
      <c r="I100" s="144" t="str">
        <f t="shared" si="3"/>
        <v/>
      </c>
      <c r="J100" s="141" t="str">
        <f>IF(I100="","",IF(AND(AL100&lt;=66),VLOOKUP(I100,'COP Look Up'!$A$13:$B$21,2,TRUE),IF(AND(AL100&gt;=67,AL100&lt;=72),VLOOKUP(I100,'COP Look Up'!$E$13:$F$21,2,TRUE),IF(AND(AL100&gt;=73,AL100&lt;=78),VLOOKUP(I100,'COP Look Up'!$I$13:$J$21,2,TRUE),IF(AND(AL100&gt;=79),VLOOKUP(I100,'COP Look Up'!$M$13:$N$20,2,TRUE),"")))))</f>
        <v/>
      </c>
      <c r="K100" s="122"/>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23"/>
      <c r="AL100" s="143" t="str">
        <f t="shared" si="4"/>
        <v/>
      </c>
    </row>
    <row r="101" spans="1:38" s="108" customFormat="1" ht="15.75">
      <c r="A101" s="119"/>
      <c r="B101" s="120"/>
      <c r="C101" s="111"/>
      <c r="D101" s="111"/>
      <c r="E101" s="121"/>
      <c r="F101" s="121"/>
      <c r="G101" s="113"/>
      <c r="H101" s="113"/>
      <c r="I101" s="144" t="str">
        <f t="shared" si="3"/>
        <v/>
      </c>
      <c r="J101" s="141" t="str">
        <f>IF(I101="","",IF(AND(AL101&lt;=66),VLOOKUP(I101,'COP Look Up'!$A$13:$B$21,2,TRUE),IF(AND(AL101&gt;=67,AL101&lt;=72),VLOOKUP(I101,'COP Look Up'!$E$13:$F$21,2,TRUE),IF(AND(AL101&gt;=73,AL101&lt;=78),VLOOKUP(I101,'COP Look Up'!$I$13:$J$21,2,TRUE),IF(AND(AL101&gt;=79),VLOOKUP(I101,'COP Look Up'!$M$13:$N$20,2,TRUE),"")))))</f>
        <v/>
      </c>
      <c r="K101" s="122"/>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23"/>
      <c r="AL101" s="143" t="str">
        <f t="shared" si="4"/>
        <v/>
      </c>
    </row>
    <row r="102" spans="1:38" s="108" customFormat="1" ht="15.75">
      <c r="A102" s="119"/>
      <c r="B102" s="120"/>
      <c r="C102" s="111"/>
      <c r="D102" s="111"/>
      <c r="E102" s="121"/>
      <c r="F102" s="121"/>
      <c r="G102" s="113"/>
      <c r="H102" s="113"/>
      <c r="I102" s="144" t="str">
        <f t="shared" si="3"/>
        <v/>
      </c>
      <c r="J102" s="141" t="str">
        <f>IF(I102="","",IF(AND(AL102&lt;=66),VLOOKUP(I102,'COP Look Up'!$A$13:$B$21,2,TRUE),IF(AND(AL102&gt;=67,AL102&lt;=72),VLOOKUP(I102,'COP Look Up'!$E$13:$F$21,2,TRUE),IF(AND(AL102&gt;=73,AL102&lt;=78),VLOOKUP(I102,'COP Look Up'!$I$13:$J$21,2,TRUE),IF(AND(AL102&gt;=79),VLOOKUP(I102,'COP Look Up'!$M$13:$N$20,2,TRUE),"")))))</f>
        <v/>
      </c>
      <c r="K102" s="122"/>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23"/>
      <c r="AL102" s="143" t="str">
        <f t="shared" si="4"/>
        <v/>
      </c>
    </row>
    <row r="103" spans="1:38" s="108" customFormat="1" ht="15.75">
      <c r="A103" s="119"/>
      <c r="B103" s="120"/>
      <c r="C103" s="111"/>
      <c r="D103" s="111"/>
      <c r="E103" s="121"/>
      <c r="F103" s="121"/>
      <c r="G103" s="113"/>
      <c r="H103" s="113"/>
      <c r="I103" s="144" t="str">
        <f t="shared" si="3"/>
        <v/>
      </c>
      <c r="J103" s="141" t="str">
        <f>IF(I103="","",IF(AND(AL103&lt;=66),VLOOKUP(I103,'COP Look Up'!$A$13:$B$21,2,TRUE),IF(AND(AL103&gt;=67,AL103&lt;=72),VLOOKUP(I103,'COP Look Up'!$E$13:$F$21,2,TRUE),IF(AND(AL103&gt;=73,AL103&lt;=78),VLOOKUP(I103,'COP Look Up'!$I$13:$J$21,2,TRUE),IF(AND(AL103&gt;=79),VLOOKUP(I103,'COP Look Up'!$M$13:$N$20,2,TRUE),"")))))</f>
        <v/>
      </c>
      <c r="K103" s="122"/>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23"/>
      <c r="AL103" s="143" t="str">
        <f t="shared" si="4"/>
        <v/>
      </c>
    </row>
    <row r="104" spans="1:38" s="108" customFormat="1" ht="15.75">
      <c r="A104" s="119"/>
      <c r="B104" s="120"/>
      <c r="C104" s="111"/>
      <c r="D104" s="111"/>
      <c r="E104" s="121"/>
      <c r="F104" s="121"/>
      <c r="G104" s="113"/>
      <c r="H104" s="113"/>
      <c r="I104" s="144" t="str">
        <f t="shared" si="3"/>
        <v/>
      </c>
      <c r="J104" s="141" t="str">
        <f>IF(I104="","",IF(AND(AL104&lt;=66),VLOOKUP(I104,'COP Look Up'!$A$13:$B$21,2,TRUE),IF(AND(AL104&gt;=67,AL104&lt;=72),VLOOKUP(I104,'COP Look Up'!$E$13:$F$21,2,TRUE),IF(AND(AL104&gt;=73,AL104&lt;=78),VLOOKUP(I104,'COP Look Up'!$I$13:$J$21,2,TRUE),IF(AND(AL104&gt;=79),VLOOKUP(I104,'COP Look Up'!$M$13:$N$20,2,TRUE),"")))))</f>
        <v/>
      </c>
      <c r="K104" s="122"/>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23"/>
      <c r="AL104" s="143" t="str">
        <f t="shared" si="4"/>
        <v/>
      </c>
    </row>
    <row r="105" spans="1:38" s="108" customFormat="1" ht="15.75">
      <c r="A105" s="119"/>
      <c r="B105" s="120"/>
      <c r="C105" s="111"/>
      <c r="D105" s="111"/>
      <c r="E105" s="121"/>
      <c r="F105" s="121"/>
      <c r="G105" s="113"/>
      <c r="H105" s="113"/>
      <c r="I105" s="144" t="str">
        <f t="shared" si="3"/>
        <v/>
      </c>
      <c r="J105" s="141" t="str">
        <f>IF(I105="","",IF(AND(AL105&lt;=66),VLOOKUP(I105,'COP Look Up'!$A$13:$B$21,2,TRUE),IF(AND(AL105&gt;=67,AL105&lt;=72),VLOOKUP(I105,'COP Look Up'!$E$13:$F$21,2,TRUE),IF(AND(AL105&gt;=73,AL105&lt;=78),VLOOKUP(I105,'COP Look Up'!$I$13:$J$21,2,TRUE),IF(AND(AL105&gt;=79),VLOOKUP(I105,'COP Look Up'!$M$13:$N$20,2,TRUE),"")))))</f>
        <v/>
      </c>
      <c r="K105" s="122"/>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23"/>
      <c r="AL105" s="143" t="str">
        <f t="shared" si="4"/>
        <v/>
      </c>
    </row>
    <row r="106" spans="1:38" s="108" customFormat="1" ht="15.75">
      <c r="A106" s="119"/>
      <c r="B106" s="120"/>
      <c r="C106" s="111"/>
      <c r="D106" s="111"/>
      <c r="E106" s="121"/>
      <c r="F106" s="121"/>
      <c r="G106" s="113"/>
      <c r="H106" s="113"/>
      <c r="I106" s="144" t="str">
        <f t="shared" si="3"/>
        <v/>
      </c>
      <c r="J106" s="141" t="str">
        <f>IF(I106="","",IF(AND(AL106&lt;=66),VLOOKUP(I106,'COP Look Up'!$A$13:$B$21,2,TRUE),IF(AND(AL106&gt;=67,AL106&lt;=72),VLOOKUP(I106,'COP Look Up'!$E$13:$F$21,2,TRUE),IF(AND(AL106&gt;=73,AL106&lt;=78),VLOOKUP(I106,'COP Look Up'!$I$13:$J$21,2,TRUE),IF(AND(AL106&gt;=79),VLOOKUP(I106,'COP Look Up'!$M$13:$N$20,2,TRUE),"")))))</f>
        <v/>
      </c>
      <c r="K106" s="122"/>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23"/>
      <c r="AL106" s="143" t="str">
        <f t="shared" si="4"/>
        <v/>
      </c>
    </row>
    <row r="107" spans="1:38" s="108" customFormat="1" ht="15.75">
      <c r="A107" s="119"/>
      <c r="B107" s="120"/>
      <c r="C107" s="111"/>
      <c r="D107" s="111"/>
      <c r="E107" s="121"/>
      <c r="F107" s="121"/>
      <c r="G107" s="113"/>
      <c r="H107" s="113"/>
      <c r="I107" s="144" t="str">
        <f t="shared" si="3"/>
        <v/>
      </c>
      <c r="J107" s="141" t="str">
        <f>IF(I107="","",IF(AND(AL107&lt;=66),VLOOKUP(I107,'COP Look Up'!$A$13:$B$21,2,TRUE),IF(AND(AL107&gt;=67,AL107&lt;=72),VLOOKUP(I107,'COP Look Up'!$E$13:$F$21,2,TRUE),IF(AND(AL107&gt;=73,AL107&lt;=78),VLOOKUP(I107,'COP Look Up'!$I$13:$J$21,2,TRUE),IF(AND(AL107&gt;=79),VLOOKUP(I107,'COP Look Up'!$M$13:$N$20,2,TRUE),"")))))</f>
        <v/>
      </c>
      <c r="K107" s="122"/>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23"/>
      <c r="AL107" s="143" t="str">
        <f t="shared" si="4"/>
        <v/>
      </c>
    </row>
    <row r="108" spans="1:38" s="108" customFormat="1" ht="15.75">
      <c r="A108" s="119"/>
      <c r="B108" s="120"/>
      <c r="C108" s="111"/>
      <c r="D108" s="111"/>
      <c r="E108" s="121"/>
      <c r="F108" s="121"/>
      <c r="G108" s="113"/>
      <c r="H108" s="113"/>
      <c r="I108" s="144" t="str">
        <f t="shared" si="3"/>
        <v/>
      </c>
      <c r="J108" s="141" t="str">
        <f>IF(I108="","",IF(AND(AL108&lt;=66),VLOOKUP(I108,'COP Look Up'!$A$13:$B$21,2,TRUE),IF(AND(AL108&gt;=67,AL108&lt;=72),VLOOKUP(I108,'COP Look Up'!$E$13:$F$21,2,TRUE),IF(AND(AL108&gt;=73,AL108&lt;=78),VLOOKUP(I108,'COP Look Up'!$I$13:$J$21,2,TRUE),IF(AND(AL108&gt;=79),VLOOKUP(I108,'COP Look Up'!$M$13:$N$20,2,TRUE),"")))))</f>
        <v/>
      </c>
      <c r="K108" s="122"/>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23"/>
      <c r="AL108" s="143" t="str">
        <f t="shared" si="4"/>
        <v/>
      </c>
    </row>
    <row r="109" spans="1:38" s="108" customFormat="1" ht="15.75">
      <c r="A109" s="119"/>
      <c r="B109" s="120"/>
      <c r="C109" s="111"/>
      <c r="D109" s="111"/>
      <c r="E109" s="121"/>
      <c r="F109" s="121"/>
      <c r="G109" s="113"/>
      <c r="H109" s="113"/>
      <c r="I109" s="144" t="str">
        <f t="shared" si="3"/>
        <v/>
      </c>
      <c r="J109" s="141" t="str">
        <f>IF(I109="","",IF(AND(AL109&lt;=66),VLOOKUP(I109,'COP Look Up'!$A$13:$B$21,2,TRUE),IF(AND(AL109&gt;=67,AL109&lt;=72),VLOOKUP(I109,'COP Look Up'!$E$13:$F$21,2,TRUE),IF(AND(AL109&gt;=73,AL109&lt;=78),VLOOKUP(I109,'COP Look Up'!$I$13:$J$21,2,TRUE),IF(AND(AL109&gt;=79),VLOOKUP(I109,'COP Look Up'!$M$13:$N$20,2,TRUE),"")))))</f>
        <v/>
      </c>
      <c r="K109" s="122"/>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23"/>
      <c r="AL109" s="143" t="str">
        <f t="shared" si="4"/>
        <v/>
      </c>
    </row>
    <row r="110" spans="1:38" s="108" customFormat="1" ht="15.75">
      <c r="A110" s="119"/>
      <c r="B110" s="120"/>
      <c r="C110" s="111"/>
      <c r="D110" s="111"/>
      <c r="E110" s="121"/>
      <c r="F110" s="121"/>
      <c r="G110" s="113"/>
      <c r="H110" s="113"/>
      <c r="I110" s="144" t="str">
        <f t="shared" si="3"/>
        <v/>
      </c>
      <c r="J110" s="141" t="str">
        <f>IF(I110="","",IF(AND(AL110&lt;=66),VLOOKUP(I110,'COP Look Up'!$A$13:$B$21,2,TRUE),IF(AND(AL110&gt;=67,AL110&lt;=72),VLOOKUP(I110,'COP Look Up'!$E$13:$F$21,2,TRUE),IF(AND(AL110&gt;=73,AL110&lt;=78),VLOOKUP(I110,'COP Look Up'!$I$13:$J$21,2,TRUE),IF(AND(AL110&gt;=79),VLOOKUP(I110,'COP Look Up'!$M$13:$N$20,2,TRUE),"")))))</f>
        <v/>
      </c>
      <c r="K110" s="122"/>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23"/>
      <c r="AL110" s="143" t="str">
        <f t="shared" si="4"/>
        <v/>
      </c>
    </row>
    <row r="111" spans="1:38" s="108" customFormat="1" ht="15.75">
      <c r="A111" s="119"/>
      <c r="B111" s="120"/>
      <c r="C111" s="111"/>
      <c r="D111" s="111"/>
      <c r="E111" s="121"/>
      <c r="F111" s="121"/>
      <c r="G111" s="113"/>
      <c r="H111" s="113"/>
      <c r="I111" s="144" t="str">
        <f t="shared" si="3"/>
        <v/>
      </c>
      <c r="J111" s="141" t="str">
        <f>IF(I111="","",IF(AND(AL111&lt;=66),VLOOKUP(I111,'COP Look Up'!$A$13:$B$21,2,TRUE),IF(AND(AL111&gt;=67,AL111&lt;=72),VLOOKUP(I111,'COP Look Up'!$E$13:$F$21,2,TRUE),IF(AND(AL111&gt;=73,AL111&lt;=78),VLOOKUP(I111,'COP Look Up'!$I$13:$J$21,2,TRUE),IF(AND(AL111&gt;=79),VLOOKUP(I111,'COP Look Up'!$M$13:$N$20,2,TRUE),"")))))</f>
        <v/>
      </c>
      <c r="K111" s="122"/>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23"/>
      <c r="AL111" s="143" t="str">
        <f t="shared" si="4"/>
        <v/>
      </c>
    </row>
    <row r="112" spans="1:38" s="108" customFormat="1" ht="15.75">
      <c r="A112" s="119"/>
      <c r="B112" s="120"/>
      <c r="C112" s="111"/>
      <c r="D112" s="111"/>
      <c r="E112" s="121"/>
      <c r="F112" s="121"/>
      <c r="G112" s="113"/>
      <c r="H112" s="113"/>
      <c r="I112" s="144" t="str">
        <f t="shared" si="3"/>
        <v/>
      </c>
      <c r="J112" s="141" t="str">
        <f>IF(I112="","",IF(AND(AL112&lt;=66),VLOOKUP(I112,'COP Look Up'!$A$13:$B$21,2,TRUE),IF(AND(AL112&gt;=67,AL112&lt;=72),VLOOKUP(I112,'COP Look Up'!$E$13:$F$21,2,TRUE),IF(AND(AL112&gt;=73,AL112&lt;=78),VLOOKUP(I112,'COP Look Up'!$I$13:$J$21,2,TRUE),IF(AND(AL112&gt;=79),VLOOKUP(I112,'COP Look Up'!$M$13:$N$20,2,TRUE),"")))))</f>
        <v/>
      </c>
      <c r="K112" s="122"/>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23"/>
      <c r="AL112" s="143" t="str">
        <f t="shared" si="4"/>
        <v/>
      </c>
    </row>
    <row r="113" spans="1:38" s="108" customFormat="1" ht="15.75">
      <c r="A113" s="119"/>
      <c r="B113" s="120"/>
      <c r="C113" s="111"/>
      <c r="D113" s="111"/>
      <c r="E113" s="121"/>
      <c r="F113" s="121"/>
      <c r="G113" s="113"/>
      <c r="H113" s="113"/>
      <c r="I113" s="144" t="str">
        <f t="shared" si="3"/>
        <v/>
      </c>
      <c r="J113" s="141" t="str">
        <f>IF(I113="","",IF(AND(AL113&lt;=66),VLOOKUP(I113,'COP Look Up'!$A$13:$B$21,2,TRUE),IF(AND(AL113&gt;=67,AL113&lt;=72),VLOOKUP(I113,'COP Look Up'!$E$13:$F$21,2,TRUE),IF(AND(AL113&gt;=73,AL113&lt;=78),VLOOKUP(I113,'COP Look Up'!$I$13:$J$21,2,TRUE),IF(AND(AL113&gt;=79),VLOOKUP(I113,'COP Look Up'!$M$13:$N$20,2,TRUE),"")))))</f>
        <v/>
      </c>
      <c r="K113" s="122"/>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23"/>
      <c r="AL113" s="143" t="str">
        <f t="shared" si="4"/>
        <v/>
      </c>
    </row>
    <row r="114" spans="1:38" s="108" customFormat="1" ht="15.75">
      <c r="A114" s="119"/>
      <c r="B114" s="120"/>
      <c r="C114" s="111"/>
      <c r="D114" s="111"/>
      <c r="E114" s="121"/>
      <c r="F114" s="121"/>
      <c r="G114" s="113"/>
      <c r="H114" s="113"/>
      <c r="I114" s="144" t="str">
        <f t="shared" si="3"/>
        <v/>
      </c>
      <c r="J114" s="141" t="str">
        <f>IF(I114="","",IF(AND(AL114&lt;=66),VLOOKUP(I114,'COP Look Up'!$A$13:$B$21,2,TRUE),IF(AND(AL114&gt;=67,AL114&lt;=72),VLOOKUP(I114,'COP Look Up'!$E$13:$F$21,2,TRUE),IF(AND(AL114&gt;=73,AL114&lt;=78),VLOOKUP(I114,'COP Look Up'!$I$13:$J$21,2,TRUE),IF(AND(AL114&gt;=79),VLOOKUP(I114,'COP Look Up'!$M$13:$N$20,2,TRUE),"")))))</f>
        <v/>
      </c>
      <c r="K114" s="122"/>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23"/>
      <c r="AL114" s="143" t="str">
        <f t="shared" si="4"/>
        <v/>
      </c>
    </row>
    <row r="115" spans="1:38" s="108" customFormat="1" ht="15.75">
      <c r="A115" s="119"/>
      <c r="B115" s="120"/>
      <c r="C115" s="111"/>
      <c r="D115" s="111"/>
      <c r="E115" s="121"/>
      <c r="F115" s="121"/>
      <c r="G115" s="113"/>
      <c r="H115" s="113"/>
      <c r="I115" s="144" t="str">
        <f t="shared" si="3"/>
        <v/>
      </c>
      <c r="J115" s="141" t="str">
        <f>IF(I115="","",IF(AND(AL115&lt;=66),VLOOKUP(I115,'COP Look Up'!$A$13:$B$21,2,TRUE),IF(AND(AL115&gt;=67,AL115&lt;=72),VLOOKUP(I115,'COP Look Up'!$E$13:$F$21,2,TRUE),IF(AND(AL115&gt;=73,AL115&lt;=78),VLOOKUP(I115,'COP Look Up'!$I$13:$J$21,2,TRUE),IF(AND(AL115&gt;=79),VLOOKUP(I115,'COP Look Up'!$M$13:$N$20,2,TRUE),"")))))</f>
        <v/>
      </c>
      <c r="K115" s="122"/>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23"/>
      <c r="AL115" s="143" t="str">
        <f t="shared" si="4"/>
        <v/>
      </c>
    </row>
    <row r="116" spans="1:38" s="108" customFormat="1" ht="15.75">
      <c r="A116" s="119"/>
      <c r="B116" s="120"/>
      <c r="C116" s="111"/>
      <c r="D116" s="111"/>
      <c r="E116" s="121"/>
      <c r="F116" s="121"/>
      <c r="G116" s="113"/>
      <c r="H116" s="113"/>
      <c r="I116" s="144" t="str">
        <f t="shared" si="3"/>
        <v/>
      </c>
      <c r="J116" s="141" t="str">
        <f>IF(I116="","",IF(AND(AL116&lt;=66),VLOOKUP(I116,'COP Look Up'!$A$13:$B$21,2,TRUE),IF(AND(AL116&gt;=67,AL116&lt;=72),VLOOKUP(I116,'COP Look Up'!$E$13:$F$21,2,TRUE),IF(AND(AL116&gt;=73,AL116&lt;=78),VLOOKUP(I116,'COP Look Up'!$I$13:$J$21,2,TRUE),IF(AND(AL116&gt;=79),VLOOKUP(I116,'COP Look Up'!$M$13:$N$20,2,TRUE),"")))))</f>
        <v/>
      </c>
      <c r="K116" s="122"/>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23"/>
      <c r="AL116" s="143" t="str">
        <f t="shared" si="4"/>
        <v/>
      </c>
    </row>
    <row r="117" spans="1:38" s="108" customFormat="1" ht="15.75">
      <c r="A117" s="119"/>
      <c r="B117" s="120"/>
      <c r="C117" s="111"/>
      <c r="D117" s="111"/>
      <c r="E117" s="121"/>
      <c r="F117" s="121"/>
      <c r="G117" s="113"/>
      <c r="H117" s="113"/>
      <c r="I117" s="144" t="str">
        <f t="shared" si="3"/>
        <v/>
      </c>
      <c r="J117" s="141" t="str">
        <f>IF(I117="","",IF(AND(AL117&lt;=66),VLOOKUP(I117,'COP Look Up'!$A$13:$B$21,2,TRUE),IF(AND(AL117&gt;=67,AL117&lt;=72),VLOOKUP(I117,'COP Look Up'!$E$13:$F$21,2,TRUE),IF(AND(AL117&gt;=73,AL117&lt;=78),VLOOKUP(I117,'COP Look Up'!$I$13:$J$21,2,TRUE),IF(AND(AL117&gt;=79),VLOOKUP(I117,'COP Look Up'!$M$13:$N$20,2,TRUE),"")))))</f>
        <v/>
      </c>
      <c r="K117" s="122"/>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23"/>
      <c r="AL117" s="143" t="str">
        <f t="shared" si="4"/>
        <v/>
      </c>
    </row>
    <row r="118" spans="1:38" s="108" customFormat="1" ht="15.75">
      <c r="A118" s="119"/>
      <c r="B118" s="120"/>
      <c r="C118" s="111"/>
      <c r="D118" s="111"/>
      <c r="E118" s="121"/>
      <c r="F118" s="121"/>
      <c r="G118" s="113"/>
      <c r="H118" s="113"/>
      <c r="I118" s="144" t="str">
        <f t="shared" si="3"/>
        <v/>
      </c>
      <c r="J118" s="141" t="str">
        <f>IF(I118="","",IF(AND(AL118&lt;=66),VLOOKUP(I118,'COP Look Up'!$A$13:$B$21,2,TRUE),IF(AND(AL118&gt;=67,AL118&lt;=72),VLOOKUP(I118,'COP Look Up'!$E$13:$F$21,2,TRUE),IF(AND(AL118&gt;=73,AL118&lt;=78),VLOOKUP(I118,'COP Look Up'!$I$13:$J$21,2,TRUE),IF(AND(AL118&gt;=79),VLOOKUP(I118,'COP Look Up'!$M$13:$N$20,2,TRUE),"")))))</f>
        <v/>
      </c>
      <c r="K118" s="122"/>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23"/>
      <c r="AL118" s="143" t="str">
        <f t="shared" si="4"/>
        <v/>
      </c>
    </row>
    <row r="119" spans="1:38" s="108" customFormat="1" ht="15.75">
      <c r="A119" s="119"/>
      <c r="B119" s="120"/>
      <c r="C119" s="111"/>
      <c r="D119" s="111"/>
      <c r="E119" s="121"/>
      <c r="F119" s="121"/>
      <c r="G119" s="113"/>
      <c r="H119" s="113"/>
      <c r="I119" s="144" t="str">
        <f t="shared" si="3"/>
        <v/>
      </c>
      <c r="J119" s="141" t="str">
        <f>IF(I119="","",IF(AND(AL119&lt;=66),VLOOKUP(I119,'COP Look Up'!$A$13:$B$21,2,TRUE),IF(AND(AL119&gt;=67,AL119&lt;=72),VLOOKUP(I119,'COP Look Up'!$E$13:$F$21,2,TRUE),IF(AND(AL119&gt;=73,AL119&lt;=78),VLOOKUP(I119,'COP Look Up'!$I$13:$J$21,2,TRUE),IF(AND(AL119&gt;=79),VLOOKUP(I119,'COP Look Up'!$M$13:$N$20,2,TRUE),"")))))</f>
        <v/>
      </c>
      <c r="K119" s="122"/>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23"/>
      <c r="AL119" s="143" t="str">
        <f t="shared" si="4"/>
        <v/>
      </c>
    </row>
    <row r="120" spans="1:38" s="108" customFormat="1" ht="15.75">
      <c r="A120" s="119"/>
      <c r="B120" s="120"/>
      <c r="C120" s="111"/>
      <c r="D120" s="111"/>
      <c r="E120" s="121"/>
      <c r="F120" s="121"/>
      <c r="G120" s="113"/>
      <c r="H120" s="113"/>
      <c r="I120" s="144" t="str">
        <f t="shared" si="3"/>
        <v/>
      </c>
      <c r="J120" s="141" t="str">
        <f>IF(I120="","",IF(AND(AL120&lt;=66),VLOOKUP(I120,'COP Look Up'!$A$13:$B$21,2,TRUE),IF(AND(AL120&gt;=67,AL120&lt;=72),VLOOKUP(I120,'COP Look Up'!$E$13:$F$21,2,TRUE),IF(AND(AL120&gt;=73,AL120&lt;=78),VLOOKUP(I120,'COP Look Up'!$I$13:$J$21,2,TRUE),IF(AND(AL120&gt;=79),VLOOKUP(I120,'COP Look Up'!$M$13:$N$20,2,TRUE),"")))))</f>
        <v/>
      </c>
      <c r="K120" s="122"/>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23"/>
      <c r="AL120" s="143" t="str">
        <f t="shared" si="4"/>
        <v/>
      </c>
    </row>
    <row r="121" spans="1:38" s="108" customFormat="1" ht="15.75">
      <c r="A121" s="119"/>
      <c r="B121" s="120"/>
      <c r="C121" s="111"/>
      <c r="D121" s="111"/>
      <c r="E121" s="121"/>
      <c r="F121" s="121"/>
      <c r="G121" s="113"/>
      <c r="H121" s="113"/>
      <c r="I121" s="144" t="str">
        <f t="shared" si="3"/>
        <v/>
      </c>
      <c r="J121" s="141" t="str">
        <f>IF(I121="","",IF(AND(AL121&lt;=66),VLOOKUP(I121,'COP Look Up'!$A$13:$B$21,2,TRUE),IF(AND(AL121&gt;=67,AL121&lt;=72),VLOOKUP(I121,'COP Look Up'!$E$13:$F$21,2,TRUE),IF(AND(AL121&gt;=73,AL121&lt;=78),VLOOKUP(I121,'COP Look Up'!$I$13:$J$21,2,TRUE),IF(AND(AL121&gt;=79),VLOOKUP(I121,'COP Look Up'!$M$13:$N$20,2,TRUE),"")))))</f>
        <v/>
      </c>
      <c r="K121" s="122"/>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23"/>
      <c r="AL121" s="143" t="str">
        <f t="shared" si="4"/>
        <v/>
      </c>
    </row>
    <row r="122" spans="1:38" s="108" customFormat="1" ht="15.75">
      <c r="A122" s="119"/>
      <c r="B122" s="120"/>
      <c r="C122" s="111"/>
      <c r="D122" s="111"/>
      <c r="E122" s="121"/>
      <c r="F122" s="121"/>
      <c r="G122" s="113"/>
      <c r="H122" s="113"/>
      <c r="I122" s="144" t="str">
        <f t="shared" si="3"/>
        <v/>
      </c>
      <c r="J122" s="141" t="str">
        <f>IF(I122="","",IF(AND(AL122&lt;=66),VLOOKUP(I122,'COP Look Up'!$A$13:$B$21,2,TRUE),IF(AND(AL122&gt;=67,AL122&lt;=72),VLOOKUP(I122,'COP Look Up'!$E$13:$F$21,2,TRUE),IF(AND(AL122&gt;=73,AL122&lt;=78),VLOOKUP(I122,'COP Look Up'!$I$13:$J$21,2,TRUE),IF(AND(AL122&gt;=79),VLOOKUP(I122,'COP Look Up'!$M$13:$N$20,2,TRUE),"")))))</f>
        <v/>
      </c>
      <c r="K122" s="122"/>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23"/>
      <c r="AL122" s="143" t="str">
        <f t="shared" si="4"/>
        <v/>
      </c>
    </row>
    <row r="123" spans="1:38" s="108" customFormat="1" ht="15.75">
      <c r="A123" s="119"/>
      <c r="B123" s="120"/>
      <c r="C123" s="111"/>
      <c r="D123" s="111"/>
      <c r="E123" s="121"/>
      <c r="F123" s="121"/>
      <c r="G123" s="113"/>
      <c r="H123" s="113"/>
      <c r="I123" s="144" t="str">
        <f t="shared" si="3"/>
        <v/>
      </c>
      <c r="J123" s="141" t="str">
        <f>IF(I123="","",IF(AND(AL123&lt;=66),VLOOKUP(I123,'COP Look Up'!$A$13:$B$21,2,TRUE),IF(AND(AL123&gt;=67,AL123&lt;=72),VLOOKUP(I123,'COP Look Up'!$E$13:$F$21,2,TRUE),IF(AND(AL123&gt;=73,AL123&lt;=78),VLOOKUP(I123,'COP Look Up'!$I$13:$J$21,2,TRUE),IF(AND(AL123&gt;=79),VLOOKUP(I123,'COP Look Up'!$M$13:$N$20,2,TRUE),"")))))</f>
        <v/>
      </c>
      <c r="K123" s="122"/>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23"/>
      <c r="AL123" s="143" t="str">
        <f t="shared" si="4"/>
        <v/>
      </c>
    </row>
    <row r="124" spans="1:38" s="108" customFormat="1" ht="15.75">
      <c r="A124" s="119"/>
      <c r="B124" s="120"/>
      <c r="C124" s="111"/>
      <c r="D124" s="111"/>
      <c r="E124" s="121"/>
      <c r="F124" s="121"/>
      <c r="G124" s="113"/>
      <c r="H124" s="113"/>
      <c r="I124" s="144" t="str">
        <f t="shared" si="3"/>
        <v/>
      </c>
      <c r="J124" s="141" t="str">
        <f>IF(I124="","",IF(AND(AL124&lt;=66),VLOOKUP(I124,'COP Look Up'!$A$13:$B$21,2,TRUE),IF(AND(AL124&gt;=67,AL124&lt;=72),VLOOKUP(I124,'COP Look Up'!$E$13:$F$21,2,TRUE),IF(AND(AL124&gt;=73,AL124&lt;=78),VLOOKUP(I124,'COP Look Up'!$I$13:$J$21,2,TRUE),IF(AND(AL124&gt;=79),VLOOKUP(I124,'COP Look Up'!$M$13:$N$20,2,TRUE),"")))))</f>
        <v/>
      </c>
      <c r="K124" s="122"/>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23"/>
      <c r="AL124" s="143" t="str">
        <f t="shared" si="4"/>
        <v/>
      </c>
    </row>
    <row r="125" spans="1:38" s="108" customFormat="1" ht="15.75">
      <c r="A125" s="119"/>
      <c r="B125" s="120"/>
      <c r="C125" s="111"/>
      <c r="D125" s="111"/>
      <c r="E125" s="121"/>
      <c r="F125" s="121"/>
      <c r="G125" s="113"/>
      <c r="H125" s="113"/>
      <c r="I125" s="144" t="str">
        <f t="shared" si="3"/>
        <v/>
      </c>
      <c r="J125" s="141" t="str">
        <f>IF(I125="","",IF(AND(AL125&lt;=66),VLOOKUP(I125,'COP Look Up'!$A$13:$B$21,2,TRUE),IF(AND(AL125&gt;=67,AL125&lt;=72),VLOOKUP(I125,'COP Look Up'!$E$13:$F$21,2,TRUE),IF(AND(AL125&gt;=73,AL125&lt;=78),VLOOKUP(I125,'COP Look Up'!$I$13:$J$21,2,TRUE),IF(AND(AL125&gt;=79),VLOOKUP(I125,'COP Look Up'!$M$13:$N$20,2,TRUE),"")))))</f>
        <v/>
      </c>
      <c r="K125" s="122"/>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23"/>
      <c r="AL125" s="143" t="str">
        <f t="shared" si="4"/>
        <v/>
      </c>
    </row>
    <row r="126" spans="1:38" s="108" customFormat="1" ht="15.75">
      <c r="A126" s="119"/>
      <c r="B126" s="120"/>
      <c r="C126" s="111"/>
      <c r="D126" s="111"/>
      <c r="E126" s="121"/>
      <c r="F126" s="121"/>
      <c r="G126" s="113"/>
      <c r="H126" s="113"/>
      <c r="I126" s="144" t="str">
        <f t="shared" si="3"/>
        <v/>
      </c>
      <c r="J126" s="141" t="str">
        <f>IF(I126="","",IF(AND(AL126&lt;=66),VLOOKUP(I126,'COP Look Up'!$A$13:$B$21,2,TRUE),IF(AND(AL126&gt;=67,AL126&lt;=72),VLOOKUP(I126,'COP Look Up'!$E$13:$F$21,2,TRUE),IF(AND(AL126&gt;=73,AL126&lt;=78),VLOOKUP(I126,'COP Look Up'!$I$13:$J$21,2,TRUE),IF(AND(AL126&gt;=79),VLOOKUP(I126,'COP Look Up'!$M$13:$N$20,2,TRUE),"")))))</f>
        <v/>
      </c>
      <c r="K126" s="122"/>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23"/>
      <c r="AL126" s="143" t="str">
        <f t="shared" si="4"/>
        <v/>
      </c>
    </row>
    <row r="127" spans="1:38" s="108" customFormat="1" ht="15.75">
      <c r="A127" s="119"/>
      <c r="B127" s="120"/>
      <c r="C127" s="111"/>
      <c r="D127" s="111"/>
      <c r="E127" s="121"/>
      <c r="F127" s="121"/>
      <c r="G127" s="113"/>
      <c r="H127" s="113"/>
      <c r="I127" s="144" t="str">
        <f t="shared" si="3"/>
        <v/>
      </c>
      <c r="J127" s="141" t="str">
        <f>IF(I127="","",IF(AND(AL127&lt;=66),VLOOKUP(I127,'COP Look Up'!$A$13:$B$21,2,TRUE),IF(AND(AL127&gt;=67,AL127&lt;=72),VLOOKUP(I127,'COP Look Up'!$E$13:$F$21,2,TRUE),IF(AND(AL127&gt;=73,AL127&lt;=78),VLOOKUP(I127,'COP Look Up'!$I$13:$J$21,2,TRUE),IF(AND(AL127&gt;=79),VLOOKUP(I127,'COP Look Up'!$M$13:$N$20,2,TRUE),"")))))</f>
        <v/>
      </c>
      <c r="K127" s="122"/>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23"/>
      <c r="AL127" s="143" t="str">
        <f t="shared" si="4"/>
        <v/>
      </c>
    </row>
    <row r="128" spans="1:38" s="108" customFormat="1" ht="15.75">
      <c r="A128" s="119"/>
      <c r="B128" s="120"/>
      <c r="C128" s="111"/>
      <c r="D128" s="111"/>
      <c r="E128" s="121"/>
      <c r="F128" s="121"/>
      <c r="G128" s="113"/>
      <c r="H128" s="113"/>
      <c r="I128" s="144" t="str">
        <f t="shared" si="3"/>
        <v/>
      </c>
      <c r="J128" s="141" t="str">
        <f>IF(I128="","",IF(AND(AL128&lt;=66),VLOOKUP(I128,'COP Look Up'!$A$13:$B$21,2,TRUE),IF(AND(AL128&gt;=67,AL128&lt;=72),VLOOKUP(I128,'COP Look Up'!$E$13:$F$21,2,TRUE),IF(AND(AL128&gt;=73,AL128&lt;=78),VLOOKUP(I128,'COP Look Up'!$I$13:$J$21,2,TRUE),IF(AND(AL128&gt;=79),VLOOKUP(I128,'COP Look Up'!$M$13:$N$20,2,TRUE),"")))))</f>
        <v/>
      </c>
      <c r="K128" s="122"/>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23"/>
      <c r="AL128" s="143" t="str">
        <f t="shared" si="4"/>
        <v/>
      </c>
    </row>
    <row r="129" spans="1:38" s="108" customFormat="1" ht="15.75">
      <c r="A129" s="119"/>
      <c r="B129" s="120"/>
      <c r="C129" s="111"/>
      <c r="D129" s="111"/>
      <c r="E129" s="121"/>
      <c r="F129" s="121"/>
      <c r="G129" s="113"/>
      <c r="H129" s="113"/>
      <c r="I129" s="144" t="str">
        <f t="shared" si="3"/>
        <v/>
      </c>
      <c r="J129" s="141" t="str">
        <f>IF(I129="","",IF(AND(AL129&lt;=66),VLOOKUP(I129,'COP Look Up'!$A$13:$B$21,2,TRUE),IF(AND(AL129&gt;=67,AL129&lt;=72),VLOOKUP(I129,'COP Look Up'!$E$13:$F$21,2,TRUE),IF(AND(AL129&gt;=73,AL129&lt;=78),VLOOKUP(I129,'COP Look Up'!$I$13:$J$21,2,TRUE),IF(AND(AL129&gt;=79),VLOOKUP(I129,'COP Look Up'!$M$13:$N$20,2,TRUE),"")))))</f>
        <v/>
      </c>
      <c r="K129" s="122"/>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23"/>
      <c r="AL129" s="143" t="str">
        <f t="shared" si="4"/>
        <v/>
      </c>
    </row>
    <row r="130" spans="1:38" s="108" customFormat="1" ht="15.75">
      <c r="A130" s="119"/>
      <c r="B130" s="120"/>
      <c r="C130" s="111"/>
      <c r="D130" s="111"/>
      <c r="E130" s="121"/>
      <c r="F130" s="121"/>
      <c r="G130" s="113"/>
      <c r="H130" s="113"/>
      <c r="I130" s="144" t="str">
        <f t="shared" si="3"/>
        <v/>
      </c>
      <c r="J130" s="141" t="str">
        <f>IF(I130="","",IF(AND(AL130&lt;=66),VLOOKUP(I130,'COP Look Up'!$A$13:$B$21,2,TRUE),IF(AND(AL130&gt;=67,AL130&lt;=72),VLOOKUP(I130,'COP Look Up'!$E$13:$F$21,2,TRUE),IF(AND(AL130&gt;=73,AL130&lt;=78),VLOOKUP(I130,'COP Look Up'!$I$13:$J$21,2,TRUE),IF(AND(AL130&gt;=79),VLOOKUP(I130,'COP Look Up'!$M$13:$N$20,2,TRUE),"")))))</f>
        <v/>
      </c>
      <c r="K130" s="122"/>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23"/>
      <c r="AL130" s="143" t="str">
        <f t="shared" si="4"/>
        <v/>
      </c>
    </row>
    <row r="131" spans="1:38" s="108" customFormat="1" ht="15.75">
      <c r="A131" s="119"/>
      <c r="B131" s="120"/>
      <c r="C131" s="111"/>
      <c r="D131" s="111"/>
      <c r="E131" s="121"/>
      <c r="F131" s="121"/>
      <c r="G131" s="113"/>
      <c r="H131" s="113"/>
      <c r="I131" s="144" t="str">
        <f t="shared" si="3"/>
        <v/>
      </c>
      <c r="J131" s="141" t="str">
        <f>IF(I131="","",IF(AND(AL131&lt;=66),VLOOKUP(I131,'COP Look Up'!$A$13:$B$21,2,TRUE),IF(AND(AL131&gt;=67,AL131&lt;=72),VLOOKUP(I131,'COP Look Up'!$E$13:$F$21,2,TRUE),IF(AND(AL131&gt;=73,AL131&lt;=78),VLOOKUP(I131,'COP Look Up'!$I$13:$J$21,2,TRUE),IF(AND(AL131&gt;=79),VLOOKUP(I131,'COP Look Up'!$M$13:$N$20,2,TRUE),"")))))</f>
        <v/>
      </c>
      <c r="K131" s="122"/>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23"/>
      <c r="AL131" s="143" t="str">
        <f t="shared" si="4"/>
        <v/>
      </c>
    </row>
    <row r="132" spans="1:38" s="108" customFormat="1" ht="15.75">
      <c r="A132" s="119"/>
      <c r="B132" s="120"/>
      <c r="C132" s="111"/>
      <c r="D132" s="111"/>
      <c r="E132" s="121"/>
      <c r="F132" s="121"/>
      <c r="G132" s="113"/>
      <c r="H132" s="113"/>
      <c r="I132" s="144" t="str">
        <f t="shared" si="3"/>
        <v/>
      </c>
      <c r="J132" s="141" t="str">
        <f>IF(I132="","",IF(AND(AL132&lt;=66),VLOOKUP(I132,'COP Look Up'!$A$13:$B$21,2,TRUE),IF(AND(AL132&gt;=67,AL132&lt;=72),VLOOKUP(I132,'COP Look Up'!$E$13:$F$21,2,TRUE),IF(AND(AL132&gt;=73,AL132&lt;=78),VLOOKUP(I132,'COP Look Up'!$I$13:$J$21,2,TRUE),IF(AND(AL132&gt;=79),VLOOKUP(I132,'COP Look Up'!$M$13:$N$20,2,TRUE),"")))))</f>
        <v/>
      </c>
      <c r="K132" s="122"/>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23"/>
      <c r="AL132" s="143" t="str">
        <f t="shared" si="4"/>
        <v/>
      </c>
    </row>
    <row r="133" spans="1:38" s="108" customFormat="1" ht="15.75">
      <c r="A133" s="119"/>
      <c r="B133" s="120"/>
      <c r="C133" s="111"/>
      <c r="D133" s="111"/>
      <c r="E133" s="121"/>
      <c r="F133" s="121"/>
      <c r="G133" s="113"/>
      <c r="H133" s="113"/>
      <c r="I133" s="144" t="str">
        <f t="shared" si="3"/>
        <v/>
      </c>
      <c r="J133" s="141" t="str">
        <f>IF(I133="","",IF(AND(AL133&lt;=66),VLOOKUP(I133,'COP Look Up'!$A$13:$B$21,2,TRUE),IF(AND(AL133&gt;=67,AL133&lt;=72),VLOOKUP(I133,'COP Look Up'!$E$13:$F$21,2,TRUE),IF(AND(AL133&gt;=73,AL133&lt;=78),VLOOKUP(I133,'COP Look Up'!$I$13:$J$21,2,TRUE),IF(AND(AL133&gt;=79),VLOOKUP(I133,'COP Look Up'!$M$13:$N$20,2,TRUE),"")))))</f>
        <v/>
      </c>
      <c r="K133" s="122"/>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23"/>
      <c r="AL133" s="143" t="str">
        <f t="shared" si="4"/>
        <v/>
      </c>
    </row>
    <row r="134" spans="1:38" s="108" customFormat="1" ht="15.75">
      <c r="A134" s="119"/>
      <c r="B134" s="120"/>
      <c r="C134" s="111"/>
      <c r="D134" s="111"/>
      <c r="E134" s="121"/>
      <c r="F134" s="121"/>
      <c r="G134" s="113"/>
      <c r="H134" s="113"/>
      <c r="I134" s="144" t="str">
        <f t="shared" si="3"/>
        <v/>
      </c>
      <c r="J134" s="141" t="str">
        <f>IF(I134="","",IF(AND(AL134&lt;=66),VLOOKUP(I134,'COP Look Up'!$A$13:$B$21,2,TRUE),IF(AND(AL134&gt;=67,AL134&lt;=72),VLOOKUP(I134,'COP Look Up'!$E$13:$F$21,2,TRUE),IF(AND(AL134&gt;=73,AL134&lt;=78),VLOOKUP(I134,'COP Look Up'!$I$13:$J$21,2,TRUE),IF(AND(AL134&gt;=79),VLOOKUP(I134,'COP Look Up'!$M$13:$N$20,2,TRUE),"")))))</f>
        <v/>
      </c>
      <c r="K134" s="122"/>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23"/>
      <c r="AL134" s="143" t="str">
        <f t="shared" si="4"/>
        <v/>
      </c>
    </row>
    <row r="135" spans="1:38" s="108" customFormat="1" ht="15.75">
      <c r="A135" s="119"/>
      <c r="B135" s="120"/>
      <c r="C135" s="111"/>
      <c r="D135" s="111"/>
      <c r="E135" s="121"/>
      <c r="F135" s="121"/>
      <c r="G135" s="113"/>
      <c r="H135" s="113"/>
      <c r="I135" s="144" t="str">
        <f t="shared" si="3"/>
        <v/>
      </c>
      <c r="J135" s="141" t="str">
        <f>IF(I135="","",IF(AND(AL135&lt;=66),VLOOKUP(I135,'COP Look Up'!$A$13:$B$21,2,TRUE),IF(AND(AL135&gt;=67,AL135&lt;=72),VLOOKUP(I135,'COP Look Up'!$E$13:$F$21,2,TRUE),IF(AND(AL135&gt;=73,AL135&lt;=78),VLOOKUP(I135,'COP Look Up'!$I$13:$J$21,2,TRUE),IF(AND(AL135&gt;=79),VLOOKUP(I135,'COP Look Up'!$M$13:$N$20,2,TRUE),"")))))</f>
        <v/>
      </c>
      <c r="K135" s="122"/>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23"/>
      <c r="AL135" s="143" t="str">
        <f t="shared" si="4"/>
        <v/>
      </c>
    </row>
    <row r="136" spans="1:38" s="108" customFormat="1" ht="15.75">
      <c r="A136" s="119"/>
      <c r="B136" s="120"/>
      <c r="C136" s="111"/>
      <c r="D136" s="111"/>
      <c r="E136" s="121"/>
      <c r="F136" s="121"/>
      <c r="G136" s="113"/>
      <c r="H136" s="113"/>
      <c r="I136" s="144" t="str">
        <f t="shared" si="3"/>
        <v/>
      </c>
      <c r="J136" s="141" t="str">
        <f>IF(I136="","",IF(AND(AL136&lt;=66),VLOOKUP(I136,'COP Look Up'!$A$13:$B$21,2,TRUE),IF(AND(AL136&gt;=67,AL136&lt;=72),VLOOKUP(I136,'COP Look Up'!$E$13:$F$21,2,TRUE),IF(AND(AL136&gt;=73,AL136&lt;=78),VLOOKUP(I136,'COP Look Up'!$I$13:$J$21,2,TRUE),IF(AND(AL136&gt;=79),VLOOKUP(I136,'COP Look Up'!$M$13:$N$20,2,TRUE),"")))))</f>
        <v/>
      </c>
      <c r="K136" s="122"/>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23"/>
      <c r="AL136" s="143" t="str">
        <f t="shared" si="4"/>
        <v/>
      </c>
    </row>
    <row r="137" spans="1:38" s="108" customFormat="1" ht="15.75">
      <c r="A137" s="119"/>
      <c r="B137" s="120"/>
      <c r="C137" s="111"/>
      <c r="D137" s="111"/>
      <c r="E137" s="121"/>
      <c r="F137" s="121"/>
      <c r="G137" s="113"/>
      <c r="H137" s="113"/>
      <c r="I137" s="144" t="str">
        <f t="shared" ref="I137:I200" si="5">IF(E137="","",COUNTIF(K137:AH137,"y"))</f>
        <v/>
      </c>
      <c r="J137" s="141" t="str">
        <f>IF(I137="","",IF(AND(AL137&lt;=66),VLOOKUP(I137,'COP Look Up'!$A$13:$B$21,2,TRUE),IF(AND(AL137&gt;=67,AL137&lt;=72),VLOOKUP(I137,'COP Look Up'!$E$13:$F$21,2,TRUE),IF(AND(AL137&gt;=73,AL137&lt;=78),VLOOKUP(I137,'COP Look Up'!$I$13:$J$21,2,TRUE),IF(AND(AL137&gt;=79),VLOOKUP(I137,'COP Look Up'!$M$13:$N$20,2,TRUE),"")))))</f>
        <v/>
      </c>
      <c r="K137" s="122"/>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23"/>
      <c r="AL137" s="143" t="str">
        <f t="shared" ref="AL137:AL200" si="6">IF(E137="","",DATEDIF(B137,A137,"m"))</f>
        <v/>
      </c>
    </row>
    <row r="138" spans="1:38" s="108" customFormat="1" ht="15.75">
      <c r="A138" s="119"/>
      <c r="B138" s="120"/>
      <c r="C138" s="111"/>
      <c r="D138" s="111"/>
      <c r="E138" s="121"/>
      <c r="F138" s="121"/>
      <c r="G138" s="113"/>
      <c r="H138" s="113"/>
      <c r="I138" s="144" t="str">
        <f t="shared" si="5"/>
        <v/>
      </c>
      <c r="J138" s="141" t="str">
        <f>IF(I138="","",IF(AND(AL138&lt;=66),VLOOKUP(I138,'COP Look Up'!$A$13:$B$21,2,TRUE),IF(AND(AL138&gt;=67,AL138&lt;=72),VLOOKUP(I138,'COP Look Up'!$E$13:$F$21,2,TRUE),IF(AND(AL138&gt;=73,AL138&lt;=78),VLOOKUP(I138,'COP Look Up'!$I$13:$J$21,2,TRUE),IF(AND(AL138&gt;=79),VLOOKUP(I138,'COP Look Up'!$M$13:$N$20,2,TRUE),"")))))</f>
        <v/>
      </c>
      <c r="K138" s="122"/>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23"/>
      <c r="AL138" s="143" t="str">
        <f t="shared" si="6"/>
        <v/>
      </c>
    </row>
    <row r="139" spans="1:38" s="108" customFormat="1" ht="15.75">
      <c r="A139" s="119"/>
      <c r="B139" s="120"/>
      <c r="C139" s="111"/>
      <c r="D139" s="111"/>
      <c r="E139" s="121"/>
      <c r="F139" s="121"/>
      <c r="G139" s="113"/>
      <c r="H139" s="113"/>
      <c r="I139" s="144" t="str">
        <f t="shared" si="5"/>
        <v/>
      </c>
      <c r="J139" s="141" t="str">
        <f>IF(I139="","",IF(AND(AL139&lt;=66),VLOOKUP(I139,'COP Look Up'!$A$13:$B$21,2,TRUE),IF(AND(AL139&gt;=67,AL139&lt;=72),VLOOKUP(I139,'COP Look Up'!$E$13:$F$21,2,TRUE),IF(AND(AL139&gt;=73,AL139&lt;=78),VLOOKUP(I139,'COP Look Up'!$I$13:$J$21,2,TRUE),IF(AND(AL139&gt;=79),VLOOKUP(I139,'COP Look Up'!$M$13:$N$20,2,TRUE),"")))))</f>
        <v/>
      </c>
      <c r="K139" s="122"/>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23"/>
      <c r="AL139" s="143" t="str">
        <f t="shared" si="6"/>
        <v/>
      </c>
    </row>
    <row r="140" spans="1:38" s="108" customFormat="1" ht="15.75">
      <c r="A140" s="119"/>
      <c r="B140" s="120"/>
      <c r="C140" s="111"/>
      <c r="D140" s="111"/>
      <c r="E140" s="121"/>
      <c r="F140" s="121"/>
      <c r="G140" s="113"/>
      <c r="H140" s="113"/>
      <c r="I140" s="144" t="str">
        <f t="shared" si="5"/>
        <v/>
      </c>
      <c r="J140" s="141" t="str">
        <f>IF(I140="","",IF(AND(AL140&lt;=66),VLOOKUP(I140,'COP Look Up'!$A$13:$B$21,2,TRUE),IF(AND(AL140&gt;=67,AL140&lt;=72),VLOOKUP(I140,'COP Look Up'!$E$13:$F$21,2,TRUE),IF(AND(AL140&gt;=73,AL140&lt;=78),VLOOKUP(I140,'COP Look Up'!$I$13:$J$21,2,TRUE),IF(AND(AL140&gt;=79),VLOOKUP(I140,'COP Look Up'!$M$13:$N$20,2,TRUE),"")))))</f>
        <v/>
      </c>
      <c r="K140" s="122"/>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23"/>
      <c r="AL140" s="143" t="str">
        <f t="shared" si="6"/>
        <v/>
      </c>
    </row>
    <row r="141" spans="1:38" s="108" customFormat="1" ht="15.75">
      <c r="A141" s="119"/>
      <c r="B141" s="120"/>
      <c r="C141" s="111"/>
      <c r="D141" s="111"/>
      <c r="E141" s="121"/>
      <c r="F141" s="121"/>
      <c r="G141" s="113"/>
      <c r="H141" s="113"/>
      <c r="I141" s="144" t="str">
        <f t="shared" si="5"/>
        <v/>
      </c>
      <c r="J141" s="141" t="str">
        <f>IF(I141="","",IF(AND(AL141&lt;=66),VLOOKUP(I141,'COP Look Up'!$A$13:$B$21,2,TRUE),IF(AND(AL141&gt;=67,AL141&lt;=72),VLOOKUP(I141,'COP Look Up'!$E$13:$F$21,2,TRUE),IF(AND(AL141&gt;=73,AL141&lt;=78),VLOOKUP(I141,'COP Look Up'!$I$13:$J$21,2,TRUE),IF(AND(AL141&gt;=79),VLOOKUP(I141,'COP Look Up'!$M$13:$N$20,2,TRUE),"")))))</f>
        <v/>
      </c>
      <c r="K141" s="122"/>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23"/>
      <c r="AL141" s="143" t="str">
        <f t="shared" si="6"/>
        <v/>
      </c>
    </row>
    <row r="142" spans="1:38" s="108" customFormat="1" ht="15.75">
      <c r="A142" s="119"/>
      <c r="B142" s="120"/>
      <c r="C142" s="111"/>
      <c r="D142" s="111"/>
      <c r="E142" s="121"/>
      <c r="F142" s="121"/>
      <c r="G142" s="113"/>
      <c r="H142" s="113"/>
      <c r="I142" s="144" t="str">
        <f t="shared" si="5"/>
        <v/>
      </c>
      <c r="J142" s="141" t="str">
        <f>IF(I142="","",IF(AND(AL142&lt;=66),VLOOKUP(I142,'COP Look Up'!$A$13:$B$21,2,TRUE),IF(AND(AL142&gt;=67,AL142&lt;=72),VLOOKUP(I142,'COP Look Up'!$E$13:$F$21,2,TRUE),IF(AND(AL142&gt;=73,AL142&lt;=78),VLOOKUP(I142,'COP Look Up'!$I$13:$J$21,2,TRUE),IF(AND(AL142&gt;=79),VLOOKUP(I142,'COP Look Up'!$M$13:$N$20,2,TRUE),"")))))</f>
        <v/>
      </c>
      <c r="K142" s="122"/>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23"/>
      <c r="AL142" s="143" t="str">
        <f t="shared" si="6"/>
        <v/>
      </c>
    </row>
    <row r="143" spans="1:38" s="108" customFormat="1" ht="15.75">
      <c r="A143" s="119"/>
      <c r="B143" s="120"/>
      <c r="C143" s="111"/>
      <c r="D143" s="111"/>
      <c r="E143" s="121"/>
      <c r="F143" s="121"/>
      <c r="G143" s="113"/>
      <c r="H143" s="113"/>
      <c r="I143" s="144" t="str">
        <f t="shared" si="5"/>
        <v/>
      </c>
      <c r="J143" s="141" t="str">
        <f>IF(I143="","",IF(AND(AL143&lt;=66),VLOOKUP(I143,'COP Look Up'!$A$13:$B$21,2,TRUE),IF(AND(AL143&gt;=67,AL143&lt;=72),VLOOKUP(I143,'COP Look Up'!$E$13:$F$21,2,TRUE),IF(AND(AL143&gt;=73,AL143&lt;=78),VLOOKUP(I143,'COP Look Up'!$I$13:$J$21,2,TRUE),IF(AND(AL143&gt;=79),VLOOKUP(I143,'COP Look Up'!$M$13:$N$20,2,TRUE),"")))))</f>
        <v/>
      </c>
      <c r="K143" s="122"/>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23"/>
      <c r="AL143" s="143" t="str">
        <f t="shared" si="6"/>
        <v/>
      </c>
    </row>
    <row r="144" spans="1:38" s="108" customFormat="1" ht="15.75">
      <c r="A144" s="119"/>
      <c r="B144" s="120"/>
      <c r="C144" s="111"/>
      <c r="D144" s="111"/>
      <c r="E144" s="121"/>
      <c r="F144" s="121"/>
      <c r="G144" s="113"/>
      <c r="H144" s="113"/>
      <c r="I144" s="144" t="str">
        <f t="shared" si="5"/>
        <v/>
      </c>
      <c r="J144" s="141" t="str">
        <f>IF(I144="","",IF(AND(AL144&lt;=66),VLOOKUP(I144,'COP Look Up'!$A$13:$B$21,2,TRUE),IF(AND(AL144&gt;=67,AL144&lt;=72),VLOOKUP(I144,'COP Look Up'!$E$13:$F$21,2,TRUE),IF(AND(AL144&gt;=73,AL144&lt;=78),VLOOKUP(I144,'COP Look Up'!$I$13:$J$21,2,TRUE),IF(AND(AL144&gt;=79),VLOOKUP(I144,'COP Look Up'!$M$13:$N$20,2,TRUE),"")))))</f>
        <v/>
      </c>
      <c r="K144" s="122"/>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23"/>
      <c r="AL144" s="143" t="str">
        <f t="shared" si="6"/>
        <v/>
      </c>
    </row>
    <row r="145" spans="1:38" s="108" customFormat="1" ht="15.75">
      <c r="A145" s="119"/>
      <c r="B145" s="120"/>
      <c r="C145" s="111"/>
      <c r="D145" s="111"/>
      <c r="E145" s="121"/>
      <c r="F145" s="121"/>
      <c r="G145" s="113"/>
      <c r="H145" s="113"/>
      <c r="I145" s="144" t="str">
        <f t="shared" si="5"/>
        <v/>
      </c>
      <c r="J145" s="141" t="str">
        <f>IF(I145="","",IF(AND(AL145&lt;=66),VLOOKUP(I145,'COP Look Up'!$A$13:$B$21,2,TRUE),IF(AND(AL145&gt;=67,AL145&lt;=72),VLOOKUP(I145,'COP Look Up'!$E$13:$F$21,2,TRUE),IF(AND(AL145&gt;=73,AL145&lt;=78),VLOOKUP(I145,'COP Look Up'!$I$13:$J$21,2,TRUE),IF(AND(AL145&gt;=79),VLOOKUP(I145,'COP Look Up'!$M$13:$N$20,2,TRUE),"")))))</f>
        <v/>
      </c>
      <c r="K145" s="122"/>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23"/>
      <c r="AL145" s="143" t="str">
        <f t="shared" si="6"/>
        <v/>
      </c>
    </row>
    <row r="146" spans="1:38" s="108" customFormat="1" ht="15.75">
      <c r="A146" s="119"/>
      <c r="B146" s="120"/>
      <c r="C146" s="111"/>
      <c r="D146" s="111"/>
      <c r="E146" s="121"/>
      <c r="F146" s="121"/>
      <c r="G146" s="113"/>
      <c r="H146" s="113"/>
      <c r="I146" s="144" t="str">
        <f t="shared" si="5"/>
        <v/>
      </c>
      <c r="J146" s="141" t="str">
        <f>IF(I146="","",IF(AND(AL146&lt;=66),VLOOKUP(I146,'COP Look Up'!$A$13:$B$21,2,TRUE),IF(AND(AL146&gt;=67,AL146&lt;=72),VLOOKUP(I146,'COP Look Up'!$E$13:$F$21,2,TRUE),IF(AND(AL146&gt;=73,AL146&lt;=78),VLOOKUP(I146,'COP Look Up'!$I$13:$J$21,2,TRUE),IF(AND(AL146&gt;=79),VLOOKUP(I146,'COP Look Up'!$M$13:$N$20,2,TRUE),"")))))</f>
        <v/>
      </c>
      <c r="K146" s="122"/>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23"/>
      <c r="AL146" s="143" t="str">
        <f t="shared" si="6"/>
        <v/>
      </c>
    </row>
    <row r="147" spans="1:38" s="108" customFormat="1" ht="15.75">
      <c r="A147" s="119"/>
      <c r="B147" s="120"/>
      <c r="C147" s="111"/>
      <c r="D147" s="111"/>
      <c r="E147" s="121"/>
      <c r="F147" s="121"/>
      <c r="G147" s="113"/>
      <c r="H147" s="113"/>
      <c r="I147" s="144" t="str">
        <f t="shared" si="5"/>
        <v/>
      </c>
      <c r="J147" s="141" t="str">
        <f>IF(I147="","",IF(AND(AL147&lt;=66),VLOOKUP(I147,'COP Look Up'!$A$13:$B$21,2,TRUE),IF(AND(AL147&gt;=67,AL147&lt;=72),VLOOKUP(I147,'COP Look Up'!$E$13:$F$21,2,TRUE),IF(AND(AL147&gt;=73,AL147&lt;=78),VLOOKUP(I147,'COP Look Up'!$I$13:$J$21,2,TRUE),IF(AND(AL147&gt;=79),VLOOKUP(I147,'COP Look Up'!$M$13:$N$20,2,TRUE),"")))))</f>
        <v/>
      </c>
      <c r="K147" s="122"/>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23"/>
      <c r="AL147" s="143" t="str">
        <f t="shared" si="6"/>
        <v/>
      </c>
    </row>
    <row r="148" spans="1:38" s="108" customFormat="1" ht="15.75">
      <c r="A148" s="119"/>
      <c r="B148" s="120"/>
      <c r="C148" s="111"/>
      <c r="D148" s="111"/>
      <c r="E148" s="121"/>
      <c r="F148" s="121"/>
      <c r="G148" s="113"/>
      <c r="H148" s="113"/>
      <c r="I148" s="144" t="str">
        <f t="shared" si="5"/>
        <v/>
      </c>
      <c r="J148" s="141" t="str">
        <f>IF(I148="","",IF(AND(AL148&lt;=66),VLOOKUP(I148,'COP Look Up'!$A$13:$B$21,2,TRUE),IF(AND(AL148&gt;=67,AL148&lt;=72),VLOOKUP(I148,'COP Look Up'!$E$13:$F$21,2,TRUE),IF(AND(AL148&gt;=73,AL148&lt;=78),VLOOKUP(I148,'COP Look Up'!$I$13:$J$21,2,TRUE),IF(AND(AL148&gt;=79),VLOOKUP(I148,'COP Look Up'!$M$13:$N$20,2,TRUE),"")))))</f>
        <v/>
      </c>
      <c r="K148" s="122"/>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23"/>
      <c r="AL148" s="143" t="str">
        <f t="shared" si="6"/>
        <v/>
      </c>
    </row>
    <row r="149" spans="1:38" s="108" customFormat="1" ht="15.75">
      <c r="A149" s="119"/>
      <c r="B149" s="120"/>
      <c r="C149" s="111"/>
      <c r="D149" s="111"/>
      <c r="E149" s="121"/>
      <c r="F149" s="121"/>
      <c r="G149" s="113"/>
      <c r="H149" s="113"/>
      <c r="I149" s="144" t="str">
        <f t="shared" si="5"/>
        <v/>
      </c>
      <c r="J149" s="141" t="str">
        <f>IF(I149="","",IF(AND(AL149&lt;=66),VLOOKUP(I149,'COP Look Up'!$A$13:$B$21,2,TRUE),IF(AND(AL149&gt;=67,AL149&lt;=72),VLOOKUP(I149,'COP Look Up'!$E$13:$F$21,2,TRUE),IF(AND(AL149&gt;=73,AL149&lt;=78),VLOOKUP(I149,'COP Look Up'!$I$13:$J$21,2,TRUE),IF(AND(AL149&gt;=79),VLOOKUP(I149,'COP Look Up'!$M$13:$N$20,2,TRUE),"")))))</f>
        <v/>
      </c>
      <c r="K149" s="122"/>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23"/>
      <c r="AL149" s="143" t="str">
        <f t="shared" si="6"/>
        <v/>
      </c>
    </row>
    <row r="150" spans="1:38" s="108" customFormat="1" ht="15.75">
      <c r="A150" s="119"/>
      <c r="B150" s="120"/>
      <c r="C150" s="111"/>
      <c r="D150" s="111"/>
      <c r="E150" s="121"/>
      <c r="F150" s="121"/>
      <c r="G150" s="113"/>
      <c r="H150" s="113"/>
      <c r="I150" s="144" t="str">
        <f t="shared" si="5"/>
        <v/>
      </c>
      <c r="J150" s="141" t="str">
        <f>IF(I150="","",IF(AND(AL150&lt;=66),VLOOKUP(I150,'COP Look Up'!$A$13:$B$21,2,TRUE),IF(AND(AL150&gt;=67,AL150&lt;=72),VLOOKUP(I150,'COP Look Up'!$E$13:$F$21,2,TRUE),IF(AND(AL150&gt;=73,AL150&lt;=78),VLOOKUP(I150,'COP Look Up'!$I$13:$J$21,2,TRUE),IF(AND(AL150&gt;=79),VLOOKUP(I150,'COP Look Up'!$M$13:$N$20,2,TRUE),"")))))</f>
        <v/>
      </c>
      <c r="K150" s="122"/>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23"/>
      <c r="AL150" s="143" t="str">
        <f t="shared" si="6"/>
        <v/>
      </c>
    </row>
    <row r="151" spans="1:38" s="108" customFormat="1" ht="15.75">
      <c r="A151" s="119"/>
      <c r="B151" s="120"/>
      <c r="C151" s="111"/>
      <c r="D151" s="111"/>
      <c r="E151" s="121"/>
      <c r="F151" s="121"/>
      <c r="G151" s="113"/>
      <c r="H151" s="113"/>
      <c r="I151" s="144" t="str">
        <f t="shared" si="5"/>
        <v/>
      </c>
      <c r="J151" s="141" t="str">
        <f>IF(I151="","",IF(AND(AL151&lt;=66),VLOOKUP(I151,'COP Look Up'!$A$13:$B$21,2,TRUE),IF(AND(AL151&gt;=67,AL151&lt;=72),VLOOKUP(I151,'COP Look Up'!$E$13:$F$21,2,TRUE),IF(AND(AL151&gt;=73,AL151&lt;=78),VLOOKUP(I151,'COP Look Up'!$I$13:$J$21,2,TRUE),IF(AND(AL151&gt;=79),VLOOKUP(I151,'COP Look Up'!$M$13:$N$20,2,TRUE),"")))))</f>
        <v/>
      </c>
      <c r="K151" s="122"/>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23"/>
      <c r="AL151" s="143" t="str">
        <f t="shared" si="6"/>
        <v/>
      </c>
    </row>
    <row r="152" spans="1:38" s="108" customFormat="1" ht="15.75">
      <c r="A152" s="119"/>
      <c r="B152" s="120"/>
      <c r="C152" s="111"/>
      <c r="D152" s="111"/>
      <c r="E152" s="121"/>
      <c r="F152" s="121"/>
      <c r="G152" s="113"/>
      <c r="H152" s="113"/>
      <c r="I152" s="144" t="str">
        <f t="shared" si="5"/>
        <v/>
      </c>
      <c r="J152" s="141" t="str">
        <f>IF(I152="","",IF(AND(AL152&lt;=66),VLOOKUP(I152,'COP Look Up'!$A$13:$B$21,2,TRUE),IF(AND(AL152&gt;=67,AL152&lt;=72),VLOOKUP(I152,'COP Look Up'!$E$13:$F$21,2,TRUE),IF(AND(AL152&gt;=73,AL152&lt;=78),VLOOKUP(I152,'COP Look Up'!$I$13:$J$21,2,TRUE),IF(AND(AL152&gt;=79),VLOOKUP(I152,'COP Look Up'!$M$13:$N$20,2,TRUE),"")))))</f>
        <v/>
      </c>
      <c r="K152" s="122"/>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23"/>
      <c r="AL152" s="143" t="str">
        <f t="shared" si="6"/>
        <v/>
      </c>
    </row>
    <row r="153" spans="1:38" s="108" customFormat="1" ht="15.75">
      <c r="A153" s="119"/>
      <c r="B153" s="120"/>
      <c r="C153" s="111"/>
      <c r="D153" s="111"/>
      <c r="E153" s="121"/>
      <c r="F153" s="121"/>
      <c r="G153" s="113"/>
      <c r="H153" s="113"/>
      <c r="I153" s="144" t="str">
        <f t="shared" si="5"/>
        <v/>
      </c>
      <c r="J153" s="141" t="str">
        <f>IF(I153="","",IF(AND(AL153&lt;=66),VLOOKUP(I153,'COP Look Up'!$A$13:$B$21,2,TRUE),IF(AND(AL153&gt;=67,AL153&lt;=72),VLOOKUP(I153,'COP Look Up'!$E$13:$F$21,2,TRUE),IF(AND(AL153&gt;=73,AL153&lt;=78),VLOOKUP(I153,'COP Look Up'!$I$13:$J$21,2,TRUE),IF(AND(AL153&gt;=79),VLOOKUP(I153,'COP Look Up'!$M$13:$N$20,2,TRUE),"")))))</f>
        <v/>
      </c>
      <c r="K153" s="122"/>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23"/>
      <c r="AL153" s="143" t="str">
        <f t="shared" si="6"/>
        <v/>
      </c>
    </row>
    <row r="154" spans="1:38" s="108" customFormat="1" ht="15.75">
      <c r="A154" s="119"/>
      <c r="B154" s="120"/>
      <c r="C154" s="111"/>
      <c r="D154" s="111"/>
      <c r="E154" s="121"/>
      <c r="F154" s="121"/>
      <c r="G154" s="113"/>
      <c r="H154" s="113"/>
      <c r="I154" s="144" t="str">
        <f t="shared" si="5"/>
        <v/>
      </c>
      <c r="J154" s="141" t="str">
        <f>IF(I154="","",IF(AND(AL154&lt;=66),VLOOKUP(I154,'COP Look Up'!$A$13:$B$21,2,TRUE),IF(AND(AL154&gt;=67,AL154&lt;=72),VLOOKUP(I154,'COP Look Up'!$E$13:$F$21,2,TRUE),IF(AND(AL154&gt;=73,AL154&lt;=78),VLOOKUP(I154,'COP Look Up'!$I$13:$J$21,2,TRUE),IF(AND(AL154&gt;=79),VLOOKUP(I154,'COP Look Up'!$M$13:$N$20,2,TRUE),"")))))</f>
        <v/>
      </c>
      <c r="K154" s="122"/>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23"/>
      <c r="AL154" s="143" t="str">
        <f t="shared" si="6"/>
        <v/>
      </c>
    </row>
    <row r="155" spans="1:38" s="108" customFormat="1" ht="15.75">
      <c r="A155" s="119"/>
      <c r="B155" s="120"/>
      <c r="C155" s="111"/>
      <c r="D155" s="111"/>
      <c r="E155" s="121"/>
      <c r="F155" s="121"/>
      <c r="G155" s="113"/>
      <c r="H155" s="113"/>
      <c r="I155" s="144" t="str">
        <f t="shared" si="5"/>
        <v/>
      </c>
      <c r="J155" s="141" t="str">
        <f>IF(I155="","",IF(AND(AL155&lt;=66),VLOOKUP(I155,'COP Look Up'!$A$13:$B$21,2,TRUE),IF(AND(AL155&gt;=67,AL155&lt;=72),VLOOKUP(I155,'COP Look Up'!$E$13:$F$21,2,TRUE),IF(AND(AL155&gt;=73,AL155&lt;=78),VLOOKUP(I155,'COP Look Up'!$I$13:$J$21,2,TRUE),IF(AND(AL155&gt;=79),VLOOKUP(I155,'COP Look Up'!$M$13:$N$20,2,TRUE),"")))))</f>
        <v/>
      </c>
      <c r="K155" s="122"/>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23"/>
      <c r="AL155" s="143" t="str">
        <f t="shared" si="6"/>
        <v/>
      </c>
    </row>
    <row r="156" spans="1:38" s="108" customFormat="1" ht="15.75">
      <c r="A156" s="119"/>
      <c r="B156" s="120"/>
      <c r="C156" s="111"/>
      <c r="D156" s="111"/>
      <c r="E156" s="121"/>
      <c r="F156" s="121"/>
      <c r="G156" s="113"/>
      <c r="H156" s="113"/>
      <c r="I156" s="144" t="str">
        <f t="shared" si="5"/>
        <v/>
      </c>
      <c r="J156" s="141" t="str">
        <f>IF(I156="","",IF(AND(AL156&lt;=66),VLOOKUP(I156,'COP Look Up'!$A$13:$B$21,2,TRUE),IF(AND(AL156&gt;=67,AL156&lt;=72),VLOOKUP(I156,'COP Look Up'!$E$13:$F$21,2,TRUE),IF(AND(AL156&gt;=73,AL156&lt;=78),VLOOKUP(I156,'COP Look Up'!$I$13:$J$21,2,TRUE),IF(AND(AL156&gt;=79),VLOOKUP(I156,'COP Look Up'!$M$13:$N$20,2,TRUE),"")))))</f>
        <v/>
      </c>
      <c r="K156" s="122"/>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23"/>
      <c r="AL156" s="143" t="str">
        <f t="shared" si="6"/>
        <v/>
      </c>
    </row>
    <row r="157" spans="1:38" s="108" customFormat="1" ht="15.75">
      <c r="A157" s="119"/>
      <c r="B157" s="120"/>
      <c r="C157" s="111"/>
      <c r="D157" s="111"/>
      <c r="E157" s="121"/>
      <c r="F157" s="121"/>
      <c r="G157" s="113"/>
      <c r="H157" s="113"/>
      <c r="I157" s="144" t="str">
        <f t="shared" si="5"/>
        <v/>
      </c>
      <c r="J157" s="141" t="str">
        <f>IF(I157="","",IF(AND(AL157&lt;=66),VLOOKUP(I157,'COP Look Up'!$A$13:$B$21,2,TRUE),IF(AND(AL157&gt;=67,AL157&lt;=72),VLOOKUP(I157,'COP Look Up'!$E$13:$F$21,2,TRUE),IF(AND(AL157&gt;=73,AL157&lt;=78),VLOOKUP(I157,'COP Look Up'!$I$13:$J$21,2,TRUE),IF(AND(AL157&gt;=79),VLOOKUP(I157,'COP Look Up'!$M$13:$N$20,2,TRUE),"")))))</f>
        <v/>
      </c>
      <c r="K157" s="122"/>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23"/>
      <c r="AL157" s="143" t="str">
        <f t="shared" si="6"/>
        <v/>
      </c>
    </row>
    <row r="158" spans="1:38" s="108" customFormat="1" ht="15.75">
      <c r="A158" s="119"/>
      <c r="B158" s="120"/>
      <c r="C158" s="111"/>
      <c r="D158" s="111"/>
      <c r="E158" s="121"/>
      <c r="F158" s="121"/>
      <c r="G158" s="113"/>
      <c r="H158" s="113"/>
      <c r="I158" s="144" t="str">
        <f t="shared" si="5"/>
        <v/>
      </c>
      <c r="J158" s="141" t="str">
        <f>IF(I158="","",IF(AND(AL158&lt;=66),VLOOKUP(I158,'COP Look Up'!$A$13:$B$21,2,TRUE),IF(AND(AL158&gt;=67,AL158&lt;=72),VLOOKUP(I158,'COP Look Up'!$E$13:$F$21,2,TRUE),IF(AND(AL158&gt;=73,AL158&lt;=78),VLOOKUP(I158,'COP Look Up'!$I$13:$J$21,2,TRUE),IF(AND(AL158&gt;=79),VLOOKUP(I158,'COP Look Up'!$M$13:$N$20,2,TRUE),"")))))</f>
        <v/>
      </c>
      <c r="K158" s="122"/>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23"/>
      <c r="AL158" s="143" t="str">
        <f t="shared" si="6"/>
        <v/>
      </c>
    </row>
    <row r="159" spans="1:38" s="108" customFormat="1" ht="15.75">
      <c r="A159" s="119"/>
      <c r="B159" s="120"/>
      <c r="C159" s="111"/>
      <c r="D159" s="111"/>
      <c r="E159" s="121"/>
      <c r="F159" s="121"/>
      <c r="G159" s="113"/>
      <c r="H159" s="113"/>
      <c r="I159" s="144" t="str">
        <f t="shared" si="5"/>
        <v/>
      </c>
      <c r="J159" s="141" t="str">
        <f>IF(I159="","",IF(AND(AL159&lt;=66),VLOOKUP(I159,'COP Look Up'!$A$13:$B$21,2,TRUE),IF(AND(AL159&gt;=67,AL159&lt;=72),VLOOKUP(I159,'COP Look Up'!$E$13:$F$21,2,TRUE),IF(AND(AL159&gt;=73,AL159&lt;=78),VLOOKUP(I159,'COP Look Up'!$I$13:$J$21,2,TRUE),IF(AND(AL159&gt;=79),VLOOKUP(I159,'COP Look Up'!$M$13:$N$20,2,TRUE),"")))))</f>
        <v/>
      </c>
      <c r="K159" s="122"/>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23"/>
      <c r="AL159" s="143" t="str">
        <f t="shared" si="6"/>
        <v/>
      </c>
    </row>
    <row r="160" spans="1:38" s="108" customFormat="1" ht="15.75">
      <c r="A160" s="119"/>
      <c r="B160" s="120"/>
      <c r="C160" s="111"/>
      <c r="D160" s="111"/>
      <c r="E160" s="121"/>
      <c r="F160" s="121"/>
      <c r="G160" s="113"/>
      <c r="H160" s="113"/>
      <c r="I160" s="144" t="str">
        <f t="shared" si="5"/>
        <v/>
      </c>
      <c r="J160" s="141" t="str">
        <f>IF(I160="","",IF(AND(AL160&lt;=66),VLOOKUP(I160,'COP Look Up'!$A$13:$B$21,2,TRUE),IF(AND(AL160&gt;=67,AL160&lt;=72),VLOOKUP(I160,'COP Look Up'!$E$13:$F$21,2,TRUE),IF(AND(AL160&gt;=73,AL160&lt;=78),VLOOKUP(I160,'COP Look Up'!$I$13:$J$21,2,TRUE),IF(AND(AL160&gt;=79),VLOOKUP(I160,'COP Look Up'!$M$13:$N$20,2,TRUE),"")))))</f>
        <v/>
      </c>
      <c r="K160" s="122"/>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23"/>
      <c r="AL160" s="143" t="str">
        <f t="shared" si="6"/>
        <v/>
      </c>
    </row>
    <row r="161" spans="1:38" s="108" customFormat="1" ht="15.75">
      <c r="A161" s="119"/>
      <c r="B161" s="120"/>
      <c r="C161" s="111"/>
      <c r="D161" s="111"/>
      <c r="E161" s="121"/>
      <c r="F161" s="121"/>
      <c r="G161" s="113"/>
      <c r="H161" s="113"/>
      <c r="I161" s="144" t="str">
        <f t="shared" si="5"/>
        <v/>
      </c>
      <c r="J161" s="141" t="str">
        <f>IF(I161="","",IF(AND(AL161&lt;=66),VLOOKUP(I161,'COP Look Up'!$A$13:$B$21,2,TRUE),IF(AND(AL161&gt;=67,AL161&lt;=72),VLOOKUP(I161,'COP Look Up'!$E$13:$F$21,2,TRUE),IF(AND(AL161&gt;=73,AL161&lt;=78),VLOOKUP(I161,'COP Look Up'!$I$13:$J$21,2,TRUE),IF(AND(AL161&gt;=79),VLOOKUP(I161,'COP Look Up'!$M$13:$N$20,2,TRUE),"")))))</f>
        <v/>
      </c>
      <c r="K161" s="122"/>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23"/>
      <c r="AL161" s="143" t="str">
        <f t="shared" si="6"/>
        <v/>
      </c>
    </row>
    <row r="162" spans="1:38" s="108" customFormat="1" ht="15.75">
      <c r="A162" s="119"/>
      <c r="B162" s="120"/>
      <c r="C162" s="111"/>
      <c r="D162" s="111"/>
      <c r="E162" s="121"/>
      <c r="F162" s="121"/>
      <c r="G162" s="113"/>
      <c r="H162" s="113"/>
      <c r="I162" s="144" t="str">
        <f t="shared" si="5"/>
        <v/>
      </c>
      <c r="J162" s="141" t="str">
        <f>IF(I162="","",IF(AND(AL162&lt;=66),VLOOKUP(I162,'COP Look Up'!$A$13:$B$21,2,TRUE),IF(AND(AL162&gt;=67,AL162&lt;=72),VLOOKUP(I162,'COP Look Up'!$E$13:$F$21,2,TRUE),IF(AND(AL162&gt;=73,AL162&lt;=78),VLOOKUP(I162,'COP Look Up'!$I$13:$J$21,2,TRUE),IF(AND(AL162&gt;=79),VLOOKUP(I162,'COP Look Up'!$M$13:$N$20,2,TRUE),"")))))</f>
        <v/>
      </c>
      <c r="K162" s="122"/>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23"/>
      <c r="AL162" s="143" t="str">
        <f t="shared" si="6"/>
        <v/>
      </c>
    </row>
    <row r="163" spans="1:38" s="108" customFormat="1" ht="15.75">
      <c r="A163" s="119"/>
      <c r="B163" s="120"/>
      <c r="C163" s="111"/>
      <c r="D163" s="111"/>
      <c r="E163" s="121"/>
      <c r="F163" s="121"/>
      <c r="G163" s="113"/>
      <c r="H163" s="113"/>
      <c r="I163" s="144" t="str">
        <f t="shared" si="5"/>
        <v/>
      </c>
      <c r="J163" s="141" t="str">
        <f>IF(I163="","",IF(AND(AL163&lt;=66),VLOOKUP(I163,'COP Look Up'!$A$13:$B$21,2,TRUE),IF(AND(AL163&gt;=67,AL163&lt;=72),VLOOKUP(I163,'COP Look Up'!$E$13:$F$21,2,TRUE),IF(AND(AL163&gt;=73,AL163&lt;=78),VLOOKUP(I163,'COP Look Up'!$I$13:$J$21,2,TRUE),IF(AND(AL163&gt;=79),VLOOKUP(I163,'COP Look Up'!$M$13:$N$20,2,TRUE),"")))))</f>
        <v/>
      </c>
      <c r="K163" s="122"/>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23"/>
      <c r="AL163" s="143" t="str">
        <f t="shared" si="6"/>
        <v/>
      </c>
    </row>
    <row r="164" spans="1:38" s="108" customFormat="1" ht="15.75">
      <c r="A164" s="119"/>
      <c r="B164" s="120"/>
      <c r="C164" s="111"/>
      <c r="D164" s="111"/>
      <c r="E164" s="121"/>
      <c r="F164" s="121"/>
      <c r="G164" s="113"/>
      <c r="H164" s="113"/>
      <c r="I164" s="144" t="str">
        <f t="shared" si="5"/>
        <v/>
      </c>
      <c r="J164" s="141" t="str">
        <f>IF(I164="","",IF(AND(AL164&lt;=66),VLOOKUP(I164,'COP Look Up'!$A$13:$B$21,2,TRUE),IF(AND(AL164&gt;=67,AL164&lt;=72),VLOOKUP(I164,'COP Look Up'!$E$13:$F$21,2,TRUE),IF(AND(AL164&gt;=73,AL164&lt;=78),VLOOKUP(I164,'COP Look Up'!$I$13:$J$21,2,TRUE),IF(AND(AL164&gt;=79),VLOOKUP(I164,'COP Look Up'!$M$13:$N$20,2,TRUE),"")))))</f>
        <v/>
      </c>
      <c r="K164" s="122"/>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23"/>
      <c r="AL164" s="143" t="str">
        <f t="shared" si="6"/>
        <v/>
      </c>
    </row>
    <row r="165" spans="1:38" s="108" customFormat="1" ht="15.75">
      <c r="A165" s="119"/>
      <c r="B165" s="120"/>
      <c r="C165" s="111"/>
      <c r="D165" s="111"/>
      <c r="E165" s="121"/>
      <c r="F165" s="121"/>
      <c r="G165" s="113"/>
      <c r="H165" s="113"/>
      <c r="I165" s="144" t="str">
        <f t="shared" si="5"/>
        <v/>
      </c>
      <c r="J165" s="141" t="str">
        <f>IF(I165="","",IF(AND(AL165&lt;=66),VLOOKUP(I165,'COP Look Up'!$A$13:$B$21,2,TRUE),IF(AND(AL165&gt;=67,AL165&lt;=72),VLOOKUP(I165,'COP Look Up'!$E$13:$F$21,2,TRUE),IF(AND(AL165&gt;=73,AL165&lt;=78),VLOOKUP(I165,'COP Look Up'!$I$13:$J$21,2,TRUE),IF(AND(AL165&gt;=79),VLOOKUP(I165,'COP Look Up'!$M$13:$N$20,2,TRUE),"")))))</f>
        <v/>
      </c>
      <c r="K165" s="122"/>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23"/>
      <c r="AL165" s="143" t="str">
        <f t="shared" si="6"/>
        <v/>
      </c>
    </row>
    <row r="166" spans="1:38" s="108" customFormat="1" ht="15.75">
      <c r="A166" s="119"/>
      <c r="B166" s="120"/>
      <c r="C166" s="111"/>
      <c r="D166" s="111"/>
      <c r="E166" s="121"/>
      <c r="F166" s="121"/>
      <c r="G166" s="113"/>
      <c r="H166" s="113"/>
      <c r="I166" s="144" t="str">
        <f t="shared" si="5"/>
        <v/>
      </c>
      <c r="J166" s="141" t="str">
        <f>IF(I166="","",IF(AND(AL166&lt;=66),VLOOKUP(I166,'COP Look Up'!$A$13:$B$21,2,TRUE),IF(AND(AL166&gt;=67,AL166&lt;=72),VLOOKUP(I166,'COP Look Up'!$E$13:$F$21,2,TRUE),IF(AND(AL166&gt;=73,AL166&lt;=78),VLOOKUP(I166,'COP Look Up'!$I$13:$J$21,2,TRUE),IF(AND(AL166&gt;=79),VLOOKUP(I166,'COP Look Up'!$M$13:$N$20,2,TRUE),"")))))</f>
        <v/>
      </c>
      <c r="K166" s="122"/>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23"/>
      <c r="AL166" s="143" t="str">
        <f t="shared" si="6"/>
        <v/>
      </c>
    </row>
    <row r="167" spans="1:38" s="108" customFormat="1" ht="15.75">
      <c r="A167" s="119"/>
      <c r="B167" s="120"/>
      <c r="C167" s="111"/>
      <c r="D167" s="111"/>
      <c r="E167" s="121"/>
      <c r="F167" s="121"/>
      <c r="G167" s="113"/>
      <c r="H167" s="113"/>
      <c r="I167" s="144" t="str">
        <f t="shared" si="5"/>
        <v/>
      </c>
      <c r="J167" s="141" t="str">
        <f>IF(I167="","",IF(AND(AL167&lt;=66),VLOOKUP(I167,'COP Look Up'!$A$13:$B$21,2,TRUE),IF(AND(AL167&gt;=67,AL167&lt;=72),VLOOKUP(I167,'COP Look Up'!$E$13:$F$21,2,TRUE),IF(AND(AL167&gt;=73,AL167&lt;=78),VLOOKUP(I167,'COP Look Up'!$I$13:$J$21,2,TRUE),IF(AND(AL167&gt;=79),VLOOKUP(I167,'COP Look Up'!$M$13:$N$20,2,TRUE),"")))))</f>
        <v/>
      </c>
      <c r="K167" s="122"/>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23"/>
      <c r="AL167" s="143" t="str">
        <f t="shared" si="6"/>
        <v/>
      </c>
    </row>
    <row r="168" spans="1:38" s="108" customFormat="1" ht="15.75">
      <c r="A168" s="119"/>
      <c r="B168" s="120"/>
      <c r="C168" s="111"/>
      <c r="D168" s="111"/>
      <c r="E168" s="121"/>
      <c r="F168" s="121"/>
      <c r="G168" s="113"/>
      <c r="H168" s="113"/>
      <c r="I168" s="144" t="str">
        <f t="shared" si="5"/>
        <v/>
      </c>
      <c r="J168" s="141" t="str">
        <f>IF(I168="","",IF(AND(AL168&lt;=66),VLOOKUP(I168,'COP Look Up'!$A$13:$B$21,2,TRUE),IF(AND(AL168&gt;=67,AL168&lt;=72),VLOOKUP(I168,'COP Look Up'!$E$13:$F$21,2,TRUE),IF(AND(AL168&gt;=73,AL168&lt;=78),VLOOKUP(I168,'COP Look Up'!$I$13:$J$21,2,TRUE),IF(AND(AL168&gt;=79),VLOOKUP(I168,'COP Look Up'!$M$13:$N$20,2,TRUE),"")))))</f>
        <v/>
      </c>
      <c r="K168" s="122"/>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23"/>
      <c r="AL168" s="143" t="str">
        <f t="shared" si="6"/>
        <v/>
      </c>
    </row>
    <row r="169" spans="1:38" s="108" customFormat="1" ht="15.75">
      <c r="A169" s="119"/>
      <c r="B169" s="120"/>
      <c r="C169" s="111"/>
      <c r="D169" s="111"/>
      <c r="E169" s="121"/>
      <c r="F169" s="121"/>
      <c r="G169" s="113"/>
      <c r="H169" s="113"/>
      <c r="I169" s="144" t="str">
        <f t="shared" si="5"/>
        <v/>
      </c>
      <c r="J169" s="141" t="str">
        <f>IF(I169="","",IF(AND(AL169&lt;=66),VLOOKUP(I169,'COP Look Up'!$A$13:$B$21,2,TRUE),IF(AND(AL169&gt;=67,AL169&lt;=72),VLOOKUP(I169,'COP Look Up'!$E$13:$F$21,2,TRUE),IF(AND(AL169&gt;=73,AL169&lt;=78),VLOOKUP(I169,'COP Look Up'!$I$13:$J$21,2,TRUE),IF(AND(AL169&gt;=79),VLOOKUP(I169,'COP Look Up'!$M$13:$N$20,2,TRUE),"")))))</f>
        <v/>
      </c>
      <c r="K169" s="122"/>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23"/>
      <c r="AL169" s="143" t="str">
        <f t="shared" si="6"/>
        <v/>
      </c>
    </row>
    <row r="170" spans="1:38" s="108" customFormat="1" ht="15.75">
      <c r="A170" s="119"/>
      <c r="B170" s="120"/>
      <c r="C170" s="111"/>
      <c r="D170" s="111"/>
      <c r="E170" s="121"/>
      <c r="F170" s="121"/>
      <c r="G170" s="113"/>
      <c r="H170" s="113"/>
      <c r="I170" s="144" t="str">
        <f t="shared" si="5"/>
        <v/>
      </c>
      <c r="J170" s="141" t="str">
        <f>IF(I170="","",IF(AND(AL170&lt;=66),VLOOKUP(I170,'COP Look Up'!$A$13:$B$21,2,TRUE),IF(AND(AL170&gt;=67,AL170&lt;=72),VLOOKUP(I170,'COP Look Up'!$E$13:$F$21,2,TRUE),IF(AND(AL170&gt;=73,AL170&lt;=78),VLOOKUP(I170,'COP Look Up'!$I$13:$J$21,2,TRUE),IF(AND(AL170&gt;=79),VLOOKUP(I170,'COP Look Up'!$M$13:$N$20,2,TRUE),"")))))</f>
        <v/>
      </c>
      <c r="K170" s="122"/>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23"/>
      <c r="AL170" s="143" t="str">
        <f t="shared" si="6"/>
        <v/>
      </c>
    </row>
    <row r="171" spans="1:38" s="108" customFormat="1" ht="15.75">
      <c r="A171" s="119"/>
      <c r="B171" s="120"/>
      <c r="C171" s="111"/>
      <c r="D171" s="111"/>
      <c r="E171" s="121"/>
      <c r="F171" s="121"/>
      <c r="G171" s="113"/>
      <c r="H171" s="113"/>
      <c r="I171" s="144" t="str">
        <f t="shared" si="5"/>
        <v/>
      </c>
      <c r="J171" s="141" t="str">
        <f>IF(I171="","",IF(AND(AL171&lt;=66),VLOOKUP(I171,'COP Look Up'!$A$13:$B$21,2,TRUE),IF(AND(AL171&gt;=67,AL171&lt;=72),VLOOKUP(I171,'COP Look Up'!$E$13:$F$21,2,TRUE),IF(AND(AL171&gt;=73,AL171&lt;=78),VLOOKUP(I171,'COP Look Up'!$I$13:$J$21,2,TRUE),IF(AND(AL171&gt;=79),VLOOKUP(I171,'COP Look Up'!$M$13:$N$20,2,TRUE),"")))))</f>
        <v/>
      </c>
      <c r="K171" s="122"/>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23"/>
      <c r="AL171" s="143" t="str">
        <f t="shared" si="6"/>
        <v/>
      </c>
    </row>
    <row r="172" spans="1:38" s="108" customFormat="1" ht="15.75">
      <c r="A172" s="119"/>
      <c r="B172" s="120"/>
      <c r="C172" s="111"/>
      <c r="D172" s="111"/>
      <c r="E172" s="121"/>
      <c r="F172" s="121"/>
      <c r="G172" s="113"/>
      <c r="H172" s="113"/>
      <c r="I172" s="144" t="str">
        <f t="shared" si="5"/>
        <v/>
      </c>
      <c r="J172" s="141" t="str">
        <f>IF(I172="","",IF(AND(AL172&lt;=66),VLOOKUP(I172,'COP Look Up'!$A$13:$B$21,2,TRUE),IF(AND(AL172&gt;=67,AL172&lt;=72),VLOOKUP(I172,'COP Look Up'!$E$13:$F$21,2,TRUE),IF(AND(AL172&gt;=73,AL172&lt;=78),VLOOKUP(I172,'COP Look Up'!$I$13:$J$21,2,TRUE),IF(AND(AL172&gt;=79),VLOOKUP(I172,'COP Look Up'!$M$13:$N$20,2,TRUE),"")))))</f>
        <v/>
      </c>
      <c r="K172" s="122"/>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23"/>
      <c r="AL172" s="143" t="str">
        <f t="shared" si="6"/>
        <v/>
      </c>
    </row>
    <row r="173" spans="1:38" s="108" customFormat="1" ht="15.75">
      <c r="A173" s="119"/>
      <c r="B173" s="120"/>
      <c r="C173" s="111"/>
      <c r="D173" s="111"/>
      <c r="E173" s="121"/>
      <c r="F173" s="121"/>
      <c r="G173" s="113"/>
      <c r="H173" s="113"/>
      <c r="I173" s="144" t="str">
        <f t="shared" si="5"/>
        <v/>
      </c>
      <c r="J173" s="141" t="str">
        <f>IF(I173="","",IF(AND(AL173&lt;=66),VLOOKUP(I173,'COP Look Up'!$A$13:$B$21,2,TRUE),IF(AND(AL173&gt;=67,AL173&lt;=72),VLOOKUP(I173,'COP Look Up'!$E$13:$F$21,2,TRUE),IF(AND(AL173&gt;=73,AL173&lt;=78),VLOOKUP(I173,'COP Look Up'!$I$13:$J$21,2,TRUE),IF(AND(AL173&gt;=79),VLOOKUP(I173,'COP Look Up'!$M$13:$N$20,2,TRUE),"")))))</f>
        <v/>
      </c>
      <c r="K173" s="122"/>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23"/>
      <c r="AL173" s="143" t="str">
        <f t="shared" si="6"/>
        <v/>
      </c>
    </row>
    <row r="174" spans="1:38" s="108" customFormat="1" ht="15.75">
      <c r="A174" s="119"/>
      <c r="B174" s="120"/>
      <c r="C174" s="111"/>
      <c r="D174" s="111"/>
      <c r="E174" s="121"/>
      <c r="F174" s="121"/>
      <c r="G174" s="113"/>
      <c r="H174" s="113"/>
      <c r="I174" s="144" t="str">
        <f t="shared" si="5"/>
        <v/>
      </c>
      <c r="J174" s="141" t="str">
        <f>IF(I174="","",IF(AND(AL174&lt;=66),VLOOKUP(I174,'COP Look Up'!$A$13:$B$21,2,TRUE),IF(AND(AL174&gt;=67,AL174&lt;=72),VLOOKUP(I174,'COP Look Up'!$E$13:$F$21,2,TRUE),IF(AND(AL174&gt;=73,AL174&lt;=78),VLOOKUP(I174,'COP Look Up'!$I$13:$J$21,2,TRUE),IF(AND(AL174&gt;=79),VLOOKUP(I174,'COP Look Up'!$M$13:$N$20,2,TRUE),"")))))</f>
        <v/>
      </c>
      <c r="K174" s="122"/>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23"/>
      <c r="AL174" s="143" t="str">
        <f t="shared" si="6"/>
        <v/>
      </c>
    </row>
    <row r="175" spans="1:38" s="108" customFormat="1" ht="15.75">
      <c r="A175" s="119"/>
      <c r="B175" s="120"/>
      <c r="C175" s="111"/>
      <c r="D175" s="111"/>
      <c r="E175" s="121"/>
      <c r="F175" s="121"/>
      <c r="G175" s="113"/>
      <c r="H175" s="113"/>
      <c r="I175" s="144" t="str">
        <f t="shared" si="5"/>
        <v/>
      </c>
      <c r="J175" s="141" t="str">
        <f>IF(I175="","",IF(AND(AL175&lt;=66),VLOOKUP(I175,'COP Look Up'!$A$13:$B$21,2,TRUE),IF(AND(AL175&gt;=67,AL175&lt;=72),VLOOKUP(I175,'COP Look Up'!$E$13:$F$21,2,TRUE),IF(AND(AL175&gt;=73,AL175&lt;=78),VLOOKUP(I175,'COP Look Up'!$I$13:$J$21,2,TRUE),IF(AND(AL175&gt;=79),VLOOKUP(I175,'COP Look Up'!$M$13:$N$20,2,TRUE),"")))))</f>
        <v/>
      </c>
      <c r="K175" s="122"/>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23"/>
      <c r="AL175" s="143" t="str">
        <f t="shared" si="6"/>
        <v/>
      </c>
    </row>
    <row r="176" spans="1:38" s="108" customFormat="1" ht="15.75">
      <c r="A176" s="119"/>
      <c r="B176" s="120"/>
      <c r="C176" s="111"/>
      <c r="D176" s="111"/>
      <c r="E176" s="121"/>
      <c r="F176" s="121"/>
      <c r="G176" s="113"/>
      <c r="H176" s="113"/>
      <c r="I176" s="144" t="str">
        <f t="shared" si="5"/>
        <v/>
      </c>
      <c r="J176" s="141" t="str">
        <f>IF(I176="","",IF(AND(AL176&lt;=66),VLOOKUP(I176,'COP Look Up'!$A$13:$B$21,2,TRUE),IF(AND(AL176&gt;=67,AL176&lt;=72),VLOOKUP(I176,'COP Look Up'!$E$13:$F$21,2,TRUE),IF(AND(AL176&gt;=73,AL176&lt;=78),VLOOKUP(I176,'COP Look Up'!$I$13:$J$21,2,TRUE),IF(AND(AL176&gt;=79),VLOOKUP(I176,'COP Look Up'!$M$13:$N$20,2,TRUE),"")))))</f>
        <v/>
      </c>
      <c r="K176" s="122"/>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23"/>
      <c r="AL176" s="143" t="str">
        <f t="shared" si="6"/>
        <v/>
      </c>
    </row>
    <row r="177" spans="1:38" s="108" customFormat="1" ht="15.75">
      <c r="A177" s="119"/>
      <c r="B177" s="120"/>
      <c r="C177" s="111"/>
      <c r="D177" s="111"/>
      <c r="E177" s="121"/>
      <c r="F177" s="121"/>
      <c r="G177" s="113"/>
      <c r="H177" s="113"/>
      <c r="I177" s="144" t="str">
        <f t="shared" si="5"/>
        <v/>
      </c>
      <c r="J177" s="141" t="str">
        <f>IF(I177="","",IF(AND(AL177&lt;=66),VLOOKUP(I177,'COP Look Up'!$A$13:$B$21,2,TRUE),IF(AND(AL177&gt;=67,AL177&lt;=72),VLOOKUP(I177,'COP Look Up'!$E$13:$F$21,2,TRUE),IF(AND(AL177&gt;=73,AL177&lt;=78),VLOOKUP(I177,'COP Look Up'!$I$13:$J$21,2,TRUE),IF(AND(AL177&gt;=79),VLOOKUP(I177,'COP Look Up'!$M$13:$N$20,2,TRUE),"")))))</f>
        <v/>
      </c>
      <c r="K177" s="122"/>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23"/>
      <c r="AL177" s="143" t="str">
        <f t="shared" si="6"/>
        <v/>
      </c>
    </row>
    <row r="178" spans="1:38" s="108" customFormat="1" ht="15.75">
      <c r="A178" s="119"/>
      <c r="B178" s="120"/>
      <c r="C178" s="111"/>
      <c r="D178" s="111"/>
      <c r="E178" s="121"/>
      <c r="F178" s="121"/>
      <c r="G178" s="113"/>
      <c r="H178" s="113"/>
      <c r="I178" s="144" t="str">
        <f t="shared" si="5"/>
        <v/>
      </c>
      <c r="J178" s="141" t="str">
        <f>IF(I178="","",IF(AND(AL178&lt;=66),VLOOKUP(I178,'COP Look Up'!$A$13:$B$21,2,TRUE),IF(AND(AL178&gt;=67,AL178&lt;=72),VLOOKUP(I178,'COP Look Up'!$E$13:$F$21,2,TRUE),IF(AND(AL178&gt;=73,AL178&lt;=78),VLOOKUP(I178,'COP Look Up'!$I$13:$J$21,2,TRUE),IF(AND(AL178&gt;=79),VLOOKUP(I178,'COP Look Up'!$M$13:$N$20,2,TRUE),"")))))</f>
        <v/>
      </c>
      <c r="K178" s="122"/>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23"/>
      <c r="AL178" s="143" t="str">
        <f t="shared" si="6"/>
        <v/>
      </c>
    </row>
    <row r="179" spans="1:38" s="108" customFormat="1" ht="15.75">
      <c r="A179" s="119"/>
      <c r="B179" s="120"/>
      <c r="C179" s="111"/>
      <c r="D179" s="111"/>
      <c r="E179" s="121"/>
      <c r="F179" s="121"/>
      <c r="G179" s="113"/>
      <c r="H179" s="113"/>
      <c r="I179" s="144" t="str">
        <f t="shared" si="5"/>
        <v/>
      </c>
      <c r="J179" s="141" t="str">
        <f>IF(I179="","",IF(AND(AL179&lt;=66),VLOOKUP(I179,'COP Look Up'!$A$13:$B$21,2,TRUE),IF(AND(AL179&gt;=67,AL179&lt;=72),VLOOKUP(I179,'COP Look Up'!$E$13:$F$21,2,TRUE),IF(AND(AL179&gt;=73,AL179&lt;=78),VLOOKUP(I179,'COP Look Up'!$I$13:$J$21,2,TRUE),IF(AND(AL179&gt;=79),VLOOKUP(I179,'COP Look Up'!$M$13:$N$20,2,TRUE),"")))))</f>
        <v/>
      </c>
      <c r="K179" s="122"/>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23"/>
      <c r="AL179" s="143" t="str">
        <f t="shared" si="6"/>
        <v/>
      </c>
    </row>
    <row r="180" spans="1:38" s="108" customFormat="1" ht="15.75">
      <c r="A180" s="119"/>
      <c r="B180" s="120"/>
      <c r="C180" s="111"/>
      <c r="D180" s="111"/>
      <c r="E180" s="121"/>
      <c r="F180" s="121"/>
      <c r="G180" s="113"/>
      <c r="H180" s="113"/>
      <c r="I180" s="144" t="str">
        <f t="shared" si="5"/>
        <v/>
      </c>
      <c r="J180" s="141" t="str">
        <f>IF(I180="","",IF(AND(AL180&lt;=66),VLOOKUP(I180,'COP Look Up'!$A$13:$B$21,2,TRUE),IF(AND(AL180&gt;=67,AL180&lt;=72),VLOOKUP(I180,'COP Look Up'!$E$13:$F$21,2,TRUE),IF(AND(AL180&gt;=73,AL180&lt;=78),VLOOKUP(I180,'COP Look Up'!$I$13:$J$21,2,TRUE),IF(AND(AL180&gt;=79),VLOOKUP(I180,'COP Look Up'!$M$13:$N$20,2,TRUE),"")))))</f>
        <v/>
      </c>
      <c r="K180" s="122"/>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23"/>
      <c r="AL180" s="143" t="str">
        <f t="shared" si="6"/>
        <v/>
      </c>
    </row>
    <row r="181" spans="1:38" s="108" customFormat="1" ht="15.75">
      <c r="A181" s="119"/>
      <c r="B181" s="120"/>
      <c r="C181" s="111"/>
      <c r="D181" s="111"/>
      <c r="E181" s="121"/>
      <c r="F181" s="121"/>
      <c r="G181" s="113"/>
      <c r="H181" s="113"/>
      <c r="I181" s="144" t="str">
        <f t="shared" si="5"/>
        <v/>
      </c>
      <c r="J181" s="141" t="str">
        <f>IF(I181="","",IF(AND(AL181&lt;=66),VLOOKUP(I181,'COP Look Up'!$A$13:$B$21,2,TRUE),IF(AND(AL181&gt;=67,AL181&lt;=72),VLOOKUP(I181,'COP Look Up'!$E$13:$F$21,2,TRUE),IF(AND(AL181&gt;=73,AL181&lt;=78),VLOOKUP(I181,'COP Look Up'!$I$13:$J$21,2,TRUE),IF(AND(AL181&gt;=79),VLOOKUP(I181,'COP Look Up'!$M$13:$N$20,2,TRUE),"")))))</f>
        <v/>
      </c>
      <c r="K181" s="122"/>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23"/>
      <c r="AL181" s="143" t="str">
        <f t="shared" si="6"/>
        <v/>
      </c>
    </row>
    <row r="182" spans="1:38" s="108" customFormat="1" ht="15.75">
      <c r="A182" s="119"/>
      <c r="B182" s="120"/>
      <c r="C182" s="111"/>
      <c r="D182" s="111"/>
      <c r="E182" s="121"/>
      <c r="F182" s="121"/>
      <c r="G182" s="113"/>
      <c r="H182" s="113"/>
      <c r="I182" s="144" t="str">
        <f t="shared" si="5"/>
        <v/>
      </c>
      <c r="J182" s="141" t="str">
        <f>IF(I182="","",IF(AND(AL182&lt;=66),VLOOKUP(I182,'COP Look Up'!$A$13:$B$21,2,TRUE),IF(AND(AL182&gt;=67,AL182&lt;=72),VLOOKUP(I182,'COP Look Up'!$E$13:$F$21,2,TRUE),IF(AND(AL182&gt;=73,AL182&lt;=78),VLOOKUP(I182,'COP Look Up'!$I$13:$J$21,2,TRUE),IF(AND(AL182&gt;=79),VLOOKUP(I182,'COP Look Up'!$M$13:$N$20,2,TRUE),"")))))</f>
        <v/>
      </c>
      <c r="K182" s="122"/>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23"/>
      <c r="AL182" s="143" t="str">
        <f t="shared" si="6"/>
        <v/>
      </c>
    </row>
    <row r="183" spans="1:38" s="108" customFormat="1" ht="15.75">
      <c r="A183" s="119"/>
      <c r="B183" s="120"/>
      <c r="C183" s="111"/>
      <c r="D183" s="111"/>
      <c r="E183" s="121"/>
      <c r="F183" s="121"/>
      <c r="G183" s="113"/>
      <c r="H183" s="113"/>
      <c r="I183" s="144" t="str">
        <f t="shared" si="5"/>
        <v/>
      </c>
      <c r="J183" s="141" t="str">
        <f>IF(I183="","",IF(AND(AL183&lt;=66),VLOOKUP(I183,'COP Look Up'!$A$13:$B$21,2,TRUE),IF(AND(AL183&gt;=67,AL183&lt;=72),VLOOKUP(I183,'COP Look Up'!$E$13:$F$21,2,TRUE),IF(AND(AL183&gt;=73,AL183&lt;=78),VLOOKUP(I183,'COP Look Up'!$I$13:$J$21,2,TRUE),IF(AND(AL183&gt;=79),VLOOKUP(I183,'COP Look Up'!$M$13:$N$20,2,TRUE),"")))))</f>
        <v/>
      </c>
      <c r="K183" s="122"/>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23"/>
      <c r="AL183" s="143" t="str">
        <f t="shared" si="6"/>
        <v/>
      </c>
    </row>
    <row r="184" spans="1:38" s="108" customFormat="1" ht="15.75">
      <c r="A184" s="119"/>
      <c r="B184" s="120"/>
      <c r="C184" s="111"/>
      <c r="D184" s="111"/>
      <c r="E184" s="121"/>
      <c r="F184" s="121"/>
      <c r="G184" s="113"/>
      <c r="H184" s="113"/>
      <c r="I184" s="144" t="str">
        <f t="shared" si="5"/>
        <v/>
      </c>
      <c r="J184" s="141" t="str">
        <f>IF(I184="","",IF(AND(AL184&lt;=66),VLOOKUP(I184,'COP Look Up'!$A$13:$B$21,2,TRUE),IF(AND(AL184&gt;=67,AL184&lt;=72),VLOOKUP(I184,'COP Look Up'!$E$13:$F$21,2,TRUE),IF(AND(AL184&gt;=73,AL184&lt;=78),VLOOKUP(I184,'COP Look Up'!$I$13:$J$21,2,TRUE),IF(AND(AL184&gt;=79),VLOOKUP(I184,'COP Look Up'!$M$13:$N$20,2,TRUE),"")))))</f>
        <v/>
      </c>
      <c r="K184" s="122"/>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23"/>
      <c r="AL184" s="143" t="str">
        <f t="shared" si="6"/>
        <v/>
      </c>
    </row>
    <row r="185" spans="1:38" s="108" customFormat="1" ht="15.75">
      <c r="A185" s="119"/>
      <c r="B185" s="120"/>
      <c r="C185" s="111"/>
      <c r="D185" s="111"/>
      <c r="E185" s="121"/>
      <c r="F185" s="121"/>
      <c r="G185" s="113"/>
      <c r="H185" s="113"/>
      <c r="I185" s="144" t="str">
        <f t="shared" si="5"/>
        <v/>
      </c>
      <c r="J185" s="141" t="str">
        <f>IF(I185="","",IF(AND(AL185&lt;=66),VLOOKUP(I185,'COP Look Up'!$A$13:$B$21,2,TRUE),IF(AND(AL185&gt;=67,AL185&lt;=72),VLOOKUP(I185,'COP Look Up'!$E$13:$F$21,2,TRUE),IF(AND(AL185&gt;=73,AL185&lt;=78),VLOOKUP(I185,'COP Look Up'!$I$13:$J$21,2,TRUE),IF(AND(AL185&gt;=79),VLOOKUP(I185,'COP Look Up'!$M$13:$N$20,2,TRUE),"")))))</f>
        <v/>
      </c>
      <c r="K185" s="122"/>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23"/>
      <c r="AL185" s="143" t="str">
        <f t="shared" si="6"/>
        <v/>
      </c>
    </row>
    <row r="186" spans="1:38" s="108" customFormat="1" ht="15.75">
      <c r="A186" s="119"/>
      <c r="B186" s="120"/>
      <c r="C186" s="111"/>
      <c r="D186" s="111"/>
      <c r="E186" s="121"/>
      <c r="F186" s="121"/>
      <c r="G186" s="113"/>
      <c r="H186" s="113"/>
      <c r="I186" s="144" t="str">
        <f t="shared" si="5"/>
        <v/>
      </c>
      <c r="J186" s="141" t="str">
        <f>IF(I186="","",IF(AND(AL186&lt;=66),VLOOKUP(I186,'COP Look Up'!$A$13:$B$21,2,TRUE),IF(AND(AL186&gt;=67,AL186&lt;=72),VLOOKUP(I186,'COP Look Up'!$E$13:$F$21,2,TRUE),IF(AND(AL186&gt;=73,AL186&lt;=78),VLOOKUP(I186,'COP Look Up'!$I$13:$J$21,2,TRUE),IF(AND(AL186&gt;=79),VLOOKUP(I186,'COP Look Up'!$M$13:$N$20,2,TRUE),"")))))</f>
        <v/>
      </c>
      <c r="K186" s="122"/>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23"/>
      <c r="AL186" s="143" t="str">
        <f t="shared" si="6"/>
        <v/>
      </c>
    </row>
    <row r="187" spans="1:38" s="108" customFormat="1" ht="15.75">
      <c r="A187" s="119"/>
      <c r="B187" s="120"/>
      <c r="C187" s="111"/>
      <c r="D187" s="111"/>
      <c r="E187" s="121"/>
      <c r="F187" s="121"/>
      <c r="G187" s="113"/>
      <c r="H187" s="113"/>
      <c r="I187" s="144" t="str">
        <f t="shared" si="5"/>
        <v/>
      </c>
      <c r="J187" s="141" t="str">
        <f>IF(I187="","",IF(AND(AL187&lt;=66),VLOOKUP(I187,'COP Look Up'!$A$13:$B$21,2,TRUE),IF(AND(AL187&gt;=67,AL187&lt;=72),VLOOKUP(I187,'COP Look Up'!$E$13:$F$21,2,TRUE),IF(AND(AL187&gt;=73,AL187&lt;=78),VLOOKUP(I187,'COP Look Up'!$I$13:$J$21,2,TRUE),IF(AND(AL187&gt;=79),VLOOKUP(I187,'COP Look Up'!$M$13:$N$20,2,TRUE),"")))))</f>
        <v/>
      </c>
      <c r="K187" s="122"/>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23"/>
      <c r="AL187" s="143" t="str">
        <f t="shared" si="6"/>
        <v/>
      </c>
    </row>
    <row r="188" spans="1:38" s="108" customFormat="1" ht="15.75">
      <c r="A188" s="119"/>
      <c r="B188" s="120"/>
      <c r="C188" s="111"/>
      <c r="D188" s="111"/>
      <c r="E188" s="121"/>
      <c r="F188" s="121"/>
      <c r="G188" s="113"/>
      <c r="H188" s="113"/>
      <c r="I188" s="144" t="str">
        <f t="shared" si="5"/>
        <v/>
      </c>
      <c r="J188" s="141" t="str">
        <f>IF(I188="","",IF(AND(AL188&lt;=66),VLOOKUP(I188,'COP Look Up'!$A$13:$B$21,2,TRUE),IF(AND(AL188&gt;=67,AL188&lt;=72),VLOOKUP(I188,'COP Look Up'!$E$13:$F$21,2,TRUE),IF(AND(AL188&gt;=73,AL188&lt;=78),VLOOKUP(I188,'COP Look Up'!$I$13:$J$21,2,TRUE),IF(AND(AL188&gt;=79),VLOOKUP(I188,'COP Look Up'!$M$13:$N$20,2,TRUE),"")))))</f>
        <v/>
      </c>
      <c r="K188" s="122"/>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23"/>
      <c r="AL188" s="143" t="str">
        <f t="shared" si="6"/>
        <v/>
      </c>
    </row>
    <row r="189" spans="1:38" s="108" customFormat="1" ht="15.75">
      <c r="A189" s="119"/>
      <c r="B189" s="120"/>
      <c r="C189" s="111"/>
      <c r="D189" s="111"/>
      <c r="E189" s="121"/>
      <c r="F189" s="121"/>
      <c r="G189" s="113"/>
      <c r="H189" s="113"/>
      <c r="I189" s="144" t="str">
        <f t="shared" si="5"/>
        <v/>
      </c>
      <c r="J189" s="141" t="str">
        <f>IF(I189="","",IF(AND(AL189&lt;=66),VLOOKUP(I189,'COP Look Up'!$A$13:$B$21,2,TRUE),IF(AND(AL189&gt;=67,AL189&lt;=72),VLOOKUP(I189,'COP Look Up'!$E$13:$F$21,2,TRUE),IF(AND(AL189&gt;=73,AL189&lt;=78),VLOOKUP(I189,'COP Look Up'!$I$13:$J$21,2,TRUE),IF(AND(AL189&gt;=79),VLOOKUP(I189,'COP Look Up'!$M$13:$N$20,2,TRUE),"")))))</f>
        <v/>
      </c>
      <c r="K189" s="122"/>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23"/>
      <c r="AL189" s="143" t="str">
        <f t="shared" si="6"/>
        <v/>
      </c>
    </row>
    <row r="190" spans="1:38" s="108" customFormat="1" ht="15.75">
      <c r="A190" s="119"/>
      <c r="B190" s="120"/>
      <c r="C190" s="111"/>
      <c r="D190" s="111"/>
      <c r="E190" s="121"/>
      <c r="F190" s="121"/>
      <c r="G190" s="113"/>
      <c r="H190" s="113"/>
      <c r="I190" s="144" t="str">
        <f t="shared" si="5"/>
        <v/>
      </c>
      <c r="J190" s="141" t="str">
        <f>IF(I190="","",IF(AND(AL190&lt;=66),VLOOKUP(I190,'COP Look Up'!$A$13:$B$21,2,TRUE),IF(AND(AL190&gt;=67,AL190&lt;=72),VLOOKUP(I190,'COP Look Up'!$E$13:$F$21,2,TRUE),IF(AND(AL190&gt;=73,AL190&lt;=78),VLOOKUP(I190,'COP Look Up'!$I$13:$J$21,2,TRUE),IF(AND(AL190&gt;=79),VLOOKUP(I190,'COP Look Up'!$M$13:$N$20,2,TRUE),"")))))</f>
        <v/>
      </c>
      <c r="K190" s="122"/>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23"/>
      <c r="AL190" s="143" t="str">
        <f t="shared" si="6"/>
        <v/>
      </c>
    </row>
    <row r="191" spans="1:38" s="108" customFormat="1" ht="15.75">
      <c r="A191" s="119"/>
      <c r="B191" s="120"/>
      <c r="C191" s="111"/>
      <c r="D191" s="111"/>
      <c r="E191" s="121"/>
      <c r="F191" s="121"/>
      <c r="G191" s="113"/>
      <c r="H191" s="113"/>
      <c r="I191" s="144" t="str">
        <f t="shared" si="5"/>
        <v/>
      </c>
      <c r="J191" s="141" t="str">
        <f>IF(I191="","",IF(AND(AL191&lt;=66),VLOOKUP(I191,'COP Look Up'!$A$13:$B$21,2,TRUE),IF(AND(AL191&gt;=67,AL191&lt;=72),VLOOKUP(I191,'COP Look Up'!$E$13:$F$21,2,TRUE),IF(AND(AL191&gt;=73,AL191&lt;=78),VLOOKUP(I191,'COP Look Up'!$I$13:$J$21,2,TRUE),IF(AND(AL191&gt;=79),VLOOKUP(I191,'COP Look Up'!$M$13:$N$20,2,TRUE),"")))))</f>
        <v/>
      </c>
      <c r="K191" s="122"/>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23"/>
      <c r="AL191" s="143" t="str">
        <f t="shared" si="6"/>
        <v/>
      </c>
    </row>
    <row r="192" spans="1:38" s="108" customFormat="1" ht="15.75">
      <c r="A192" s="119"/>
      <c r="B192" s="120"/>
      <c r="C192" s="111"/>
      <c r="D192" s="111"/>
      <c r="E192" s="121"/>
      <c r="F192" s="121"/>
      <c r="G192" s="113"/>
      <c r="H192" s="113"/>
      <c r="I192" s="144" t="str">
        <f t="shared" si="5"/>
        <v/>
      </c>
      <c r="J192" s="141" t="str">
        <f>IF(I192="","",IF(AND(AL192&lt;=66),VLOOKUP(I192,'COP Look Up'!$A$13:$B$21,2,TRUE),IF(AND(AL192&gt;=67,AL192&lt;=72),VLOOKUP(I192,'COP Look Up'!$E$13:$F$21,2,TRUE),IF(AND(AL192&gt;=73,AL192&lt;=78),VLOOKUP(I192,'COP Look Up'!$I$13:$J$21,2,TRUE),IF(AND(AL192&gt;=79),VLOOKUP(I192,'COP Look Up'!$M$13:$N$20,2,TRUE),"")))))</f>
        <v/>
      </c>
      <c r="K192" s="122"/>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23"/>
      <c r="AL192" s="143" t="str">
        <f t="shared" si="6"/>
        <v/>
      </c>
    </row>
    <row r="193" spans="1:38" s="108" customFormat="1" ht="15.75">
      <c r="A193" s="119"/>
      <c r="B193" s="120"/>
      <c r="C193" s="111"/>
      <c r="D193" s="111"/>
      <c r="E193" s="121"/>
      <c r="F193" s="121"/>
      <c r="G193" s="113"/>
      <c r="H193" s="113"/>
      <c r="I193" s="144" t="str">
        <f t="shared" si="5"/>
        <v/>
      </c>
      <c r="J193" s="141" t="str">
        <f>IF(I193="","",IF(AND(AL193&lt;=66),VLOOKUP(I193,'COP Look Up'!$A$13:$B$21,2,TRUE),IF(AND(AL193&gt;=67,AL193&lt;=72),VLOOKUP(I193,'COP Look Up'!$E$13:$F$21,2,TRUE),IF(AND(AL193&gt;=73,AL193&lt;=78),VLOOKUP(I193,'COP Look Up'!$I$13:$J$21,2,TRUE),IF(AND(AL193&gt;=79),VLOOKUP(I193,'COP Look Up'!$M$13:$N$20,2,TRUE),"")))))</f>
        <v/>
      </c>
      <c r="K193" s="122"/>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23"/>
      <c r="AL193" s="143" t="str">
        <f t="shared" si="6"/>
        <v/>
      </c>
    </row>
    <row r="194" spans="1:38" s="108" customFormat="1" ht="15.75">
      <c r="A194" s="119"/>
      <c r="B194" s="120"/>
      <c r="C194" s="111"/>
      <c r="D194" s="111"/>
      <c r="E194" s="121"/>
      <c r="F194" s="121"/>
      <c r="G194" s="113"/>
      <c r="H194" s="113"/>
      <c r="I194" s="144" t="str">
        <f t="shared" si="5"/>
        <v/>
      </c>
      <c r="J194" s="141" t="str">
        <f>IF(I194="","",IF(AND(AL194&lt;=66),VLOOKUP(I194,'COP Look Up'!$A$13:$B$21,2,TRUE),IF(AND(AL194&gt;=67,AL194&lt;=72),VLOOKUP(I194,'COP Look Up'!$E$13:$F$21,2,TRUE),IF(AND(AL194&gt;=73,AL194&lt;=78),VLOOKUP(I194,'COP Look Up'!$I$13:$J$21,2,TRUE),IF(AND(AL194&gt;=79),VLOOKUP(I194,'COP Look Up'!$M$13:$N$20,2,TRUE),"")))))</f>
        <v/>
      </c>
      <c r="K194" s="122"/>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23"/>
      <c r="AL194" s="143" t="str">
        <f t="shared" si="6"/>
        <v/>
      </c>
    </row>
    <row r="195" spans="1:38" s="108" customFormat="1" ht="15.75">
      <c r="A195" s="119"/>
      <c r="B195" s="120"/>
      <c r="C195" s="111"/>
      <c r="D195" s="111"/>
      <c r="E195" s="121"/>
      <c r="F195" s="121"/>
      <c r="G195" s="113"/>
      <c r="H195" s="113"/>
      <c r="I195" s="144" t="str">
        <f t="shared" si="5"/>
        <v/>
      </c>
      <c r="J195" s="141" t="str">
        <f>IF(I195="","",IF(AND(AL195&lt;=66),VLOOKUP(I195,'COP Look Up'!$A$13:$B$21,2,TRUE),IF(AND(AL195&gt;=67,AL195&lt;=72),VLOOKUP(I195,'COP Look Up'!$E$13:$F$21,2,TRUE),IF(AND(AL195&gt;=73,AL195&lt;=78),VLOOKUP(I195,'COP Look Up'!$I$13:$J$21,2,TRUE),IF(AND(AL195&gt;=79),VLOOKUP(I195,'COP Look Up'!$M$13:$N$20,2,TRUE),"")))))</f>
        <v/>
      </c>
      <c r="K195" s="122"/>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23"/>
      <c r="AL195" s="143" t="str">
        <f t="shared" si="6"/>
        <v/>
      </c>
    </row>
    <row r="196" spans="1:38" s="108" customFormat="1" ht="15.75">
      <c r="A196" s="119"/>
      <c r="B196" s="120"/>
      <c r="C196" s="111"/>
      <c r="D196" s="111"/>
      <c r="E196" s="121"/>
      <c r="F196" s="121"/>
      <c r="G196" s="113"/>
      <c r="H196" s="113"/>
      <c r="I196" s="144" t="str">
        <f t="shared" si="5"/>
        <v/>
      </c>
      <c r="J196" s="141" t="str">
        <f>IF(I196="","",IF(AND(AL196&lt;=66),VLOOKUP(I196,'COP Look Up'!$A$13:$B$21,2,TRUE),IF(AND(AL196&gt;=67,AL196&lt;=72),VLOOKUP(I196,'COP Look Up'!$E$13:$F$21,2,TRUE),IF(AND(AL196&gt;=73,AL196&lt;=78),VLOOKUP(I196,'COP Look Up'!$I$13:$J$21,2,TRUE),IF(AND(AL196&gt;=79),VLOOKUP(I196,'COP Look Up'!$M$13:$N$20,2,TRUE),"")))))</f>
        <v/>
      </c>
      <c r="K196" s="122"/>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23"/>
      <c r="AL196" s="143" t="str">
        <f t="shared" si="6"/>
        <v/>
      </c>
    </row>
    <row r="197" spans="1:38" s="108" customFormat="1" ht="15.75">
      <c r="A197" s="119"/>
      <c r="B197" s="120"/>
      <c r="C197" s="111"/>
      <c r="D197" s="111"/>
      <c r="E197" s="121"/>
      <c r="F197" s="121"/>
      <c r="G197" s="113"/>
      <c r="H197" s="113"/>
      <c r="I197" s="144" t="str">
        <f t="shared" si="5"/>
        <v/>
      </c>
      <c r="J197" s="141" t="str">
        <f>IF(I197="","",IF(AND(AL197&lt;=66),VLOOKUP(I197,'COP Look Up'!$A$13:$B$21,2,TRUE),IF(AND(AL197&gt;=67,AL197&lt;=72),VLOOKUP(I197,'COP Look Up'!$E$13:$F$21,2,TRUE),IF(AND(AL197&gt;=73,AL197&lt;=78),VLOOKUP(I197,'COP Look Up'!$I$13:$J$21,2,TRUE),IF(AND(AL197&gt;=79),VLOOKUP(I197,'COP Look Up'!$M$13:$N$20,2,TRUE),"")))))</f>
        <v/>
      </c>
      <c r="K197" s="122"/>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23"/>
      <c r="AL197" s="143" t="str">
        <f t="shared" si="6"/>
        <v/>
      </c>
    </row>
    <row r="198" spans="1:38" s="108" customFormat="1" ht="15.75">
      <c r="A198" s="119"/>
      <c r="B198" s="120"/>
      <c r="C198" s="111"/>
      <c r="D198" s="111"/>
      <c r="E198" s="121"/>
      <c r="F198" s="121"/>
      <c r="G198" s="113"/>
      <c r="H198" s="113"/>
      <c r="I198" s="144" t="str">
        <f t="shared" si="5"/>
        <v/>
      </c>
      <c r="J198" s="141" t="str">
        <f>IF(I198="","",IF(AND(AL198&lt;=66),VLOOKUP(I198,'COP Look Up'!$A$13:$B$21,2,TRUE),IF(AND(AL198&gt;=67,AL198&lt;=72),VLOOKUP(I198,'COP Look Up'!$E$13:$F$21,2,TRUE),IF(AND(AL198&gt;=73,AL198&lt;=78),VLOOKUP(I198,'COP Look Up'!$I$13:$J$21,2,TRUE),IF(AND(AL198&gt;=79),VLOOKUP(I198,'COP Look Up'!$M$13:$N$20,2,TRUE),"")))))</f>
        <v/>
      </c>
      <c r="K198" s="122"/>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23"/>
      <c r="AL198" s="143" t="str">
        <f t="shared" si="6"/>
        <v/>
      </c>
    </row>
    <row r="199" spans="1:38" s="108" customFormat="1" ht="15.75">
      <c r="A199" s="119"/>
      <c r="B199" s="120"/>
      <c r="C199" s="111"/>
      <c r="D199" s="111"/>
      <c r="E199" s="121"/>
      <c r="F199" s="121"/>
      <c r="G199" s="113"/>
      <c r="H199" s="113"/>
      <c r="I199" s="144" t="str">
        <f t="shared" si="5"/>
        <v/>
      </c>
      <c r="J199" s="141" t="str">
        <f>IF(I199="","",IF(AND(AL199&lt;=66),VLOOKUP(I199,'COP Look Up'!$A$13:$B$21,2,TRUE),IF(AND(AL199&gt;=67,AL199&lt;=72),VLOOKUP(I199,'COP Look Up'!$E$13:$F$21,2,TRUE),IF(AND(AL199&gt;=73,AL199&lt;=78),VLOOKUP(I199,'COP Look Up'!$I$13:$J$21,2,TRUE),IF(AND(AL199&gt;=79),VLOOKUP(I199,'COP Look Up'!$M$13:$N$20,2,TRUE),"")))))</f>
        <v/>
      </c>
      <c r="K199" s="122"/>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23"/>
      <c r="AL199" s="143" t="str">
        <f t="shared" si="6"/>
        <v/>
      </c>
    </row>
    <row r="200" spans="1:38" s="108" customFormat="1" ht="15.75">
      <c r="A200" s="119"/>
      <c r="B200" s="120"/>
      <c r="C200" s="111"/>
      <c r="D200" s="111"/>
      <c r="E200" s="121"/>
      <c r="F200" s="121"/>
      <c r="G200" s="113"/>
      <c r="H200" s="113"/>
      <c r="I200" s="144" t="str">
        <f t="shared" si="5"/>
        <v/>
      </c>
      <c r="J200" s="141" t="str">
        <f>IF(I200="","",IF(AND(AL200&lt;=66),VLOOKUP(I200,'COP Look Up'!$A$13:$B$21,2,TRUE),IF(AND(AL200&gt;=67,AL200&lt;=72),VLOOKUP(I200,'COP Look Up'!$E$13:$F$21,2,TRUE),IF(AND(AL200&gt;=73,AL200&lt;=78),VLOOKUP(I200,'COP Look Up'!$I$13:$J$21,2,TRUE),IF(AND(AL200&gt;=79),VLOOKUP(I200,'COP Look Up'!$M$13:$N$20,2,TRUE),"")))))</f>
        <v/>
      </c>
      <c r="K200" s="122"/>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23"/>
      <c r="AL200" s="143" t="str">
        <f t="shared" si="6"/>
        <v/>
      </c>
    </row>
    <row r="201" spans="1:38" s="108" customFormat="1" ht="15.75">
      <c r="A201" s="119"/>
      <c r="B201" s="120"/>
      <c r="C201" s="111"/>
      <c r="D201" s="111"/>
      <c r="E201" s="121"/>
      <c r="F201" s="121"/>
      <c r="G201" s="113"/>
      <c r="H201" s="113"/>
      <c r="I201" s="144" t="str">
        <f t="shared" ref="I201:I264" si="7">IF(E201="","",COUNTIF(K201:AH201,"y"))</f>
        <v/>
      </c>
      <c r="J201" s="141" t="str">
        <f>IF(I201="","",IF(AND(AL201&lt;=66),VLOOKUP(I201,'COP Look Up'!$A$13:$B$21,2,TRUE),IF(AND(AL201&gt;=67,AL201&lt;=72),VLOOKUP(I201,'COP Look Up'!$E$13:$F$21,2,TRUE),IF(AND(AL201&gt;=73,AL201&lt;=78),VLOOKUP(I201,'COP Look Up'!$I$13:$J$21,2,TRUE),IF(AND(AL201&gt;=79),VLOOKUP(I201,'COP Look Up'!$M$13:$N$20,2,TRUE),"")))))</f>
        <v/>
      </c>
      <c r="K201" s="122"/>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23"/>
      <c r="AL201" s="143" t="str">
        <f t="shared" ref="AL201:AL264" si="8">IF(E201="","",DATEDIF(B201,A201,"m"))</f>
        <v/>
      </c>
    </row>
    <row r="202" spans="1:38" s="108" customFormat="1" ht="15.75">
      <c r="A202" s="119"/>
      <c r="B202" s="120"/>
      <c r="C202" s="111"/>
      <c r="D202" s="111"/>
      <c r="E202" s="121"/>
      <c r="F202" s="121"/>
      <c r="G202" s="113"/>
      <c r="H202" s="113"/>
      <c r="I202" s="144" t="str">
        <f t="shared" si="7"/>
        <v/>
      </c>
      <c r="J202" s="141" t="str">
        <f>IF(I202="","",IF(AND(AL202&lt;=66),VLOOKUP(I202,'COP Look Up'!$A$13:$B$21,2,TRUE),IF(AND(AL202&gt;=67,AL202&lt;=72),VLOOKUP(I202,'COP Look Up'!$E$13:$F$21,2,TRUE),IF(AND(AL202&gt;=73,AL202&lt;=78),VLOOKUP(I202,'COP Look Up'!$I$13:$J$21,2,TRUE),IF(AND(AL202&gt;=79),VLOOKUP(I202,'COP Look Up'!$M$13:$N$20,2,TRUE),"")))))</f>
        <v/>
      </c>
      <c r="K202" s="122"/>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23"/>
      <c r="AL202" s="143" t="str">
        <f t="shared" si="8"/>
        <v/>
      </c>
    </row>
    <row r="203" spans="1:38" s="108" customFormat="1" ht="15.75">
      <c r="A203" s="119"/>
      <c r="B203" s="120"/>
      <c r="C203" s="111"/>
      <c r="D203" s="111"/>
      <c r="E203" s="121"/>
      <c r="F203" s="121"/>
      <c r="G203" s="113"/>
      <c r="H203" s="113"/>
      <c r="I203" s="144" t="str">
        <f t="shared" si="7"/>
        <v/>
      </c>
      <c r="J203" s="141" t="str">
        <f>IF(I203="","",IF(AND(AL203&lt;=66),VLOOKUP(I203,'COP Look Up'!$A$13:$B$21,2,TRUE),IF(AND(AL203&gt;=67,AL203&lt;=72),VLOOKUP(I203,'COP Look Up'!$E$13:$F$21,2,TRUE),IF(AND(AL203&gt;=73,AL203&lt;=78),VLOOKUP(I203,'COP Look Up'!$I$13:$J$21,2,TRUE),IF(AND(AL203&gt;=79),VLOOKUP(I203,'COP Look Up'!$M$13:$N$20,2,TRUE),"")))))</f>
        <v/>
      </c>
      <c r="K203" s="122"/>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23"/>
      <c r="AL203" s="143" t="str">
        <f t="shared" si="8"/>
        <v/>
      </c>
    </row>
    <row r="204" spans="1:38" s="108" customFormat="1" ht="15.75">
      <c r="A204" s="119"/>
      <c r="B204" s="120"/>
      <c r="C204" s="111"/>
      <c r="D204" s="111"/>
      <c r="E204" s="121"/>
      <c r="F204" s="121"/>
      <c r="G204" s="113"/>
      <c r="H204" s="113"/>
      <c r="I204" s="144" t="str">
        <f t="shared" si="7"/>
        <v/>
      </c>
      <c r="J204" s="141" t="str">
        <f>IF(I204="","",IF(AND(AL204&lt;=66),VLOOKUP(I204,'COP Look Up'!$A$13:$B$21,2,TRUE),IF(AND(AL204&gt;=67,AL204&lt;=72),VLOOKUP(I204,'COP Look Up'!$E$13:$F$21,2,TRUE),IF(AND(AL204&gt;=73,AL204&lt;=78),VLOOKUP(I204,'COP Look Up'!$I$13:$J$21,2,TRUE),IF(AND(AL204&gt;=79),VLOOKUP(I204,'COP Look Up'!$M$13:$N$20,2,TRUE),"")))))</f>
        <v/>
      </c>
      <c r="K204" s="122"/>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23"/>
      <c r="AL204" s="143" t="str">
        <f t="shared" si="8"/>
        <v/>
      </c>
    </row>
    <row r="205" spans="1:38" s="108" customFormat="1" ht="15.75">
      <c r="A205" s="119"/>
      <c r="B205" s="120"/>
      <c r="C205" s="111"/>
      <c r="D205" s="111"/>
      <c r="E205" s="121"/>
      <c r="F205" s="121"/>
      <c r="G205" s="113"/>
      <c r="H205" s="113"/>
      <c r="I205" s="144" t="str">
        <f t="shared" si="7"/>
        <v/>
      </c>
      <c r="J205" s="141" t="str">
        <f>IF(I205="","",IF(AND(AL205&lt;=66),VLOOKUP(I205,'COP Look Up'!$A$13:$B$21,2,TRUE),IF(AND(AL205&gt;=67,AL205&lt;=72),VLOOKUP(I205,'COP Look Up'!$E$13:$F$21,2,TRUE),IF(AND(AL205&gt;=73,AL205&lt;=78),VLOOKUP(I205,'COP Look Up'!$I$13:$J$21,2,TRUE),IF(AND(AL205&gt;=79),VLOOKUP(I205,'COP Look Up'!$M$13:$N$20,2,TRUE),"")))))</f>
        <v/>
      </c>
      <c r="K205" s="122"/>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23"/>
      <c r="AL205" s="143" t="str">
        <f t="shared" si="8"/>
        <v/>
      </c>
    </row>
    <row r="206" spans="1:38" s="108" customFormat="1" ht="15.75">
      <c r="A206" s="119"/>
      <c r="B206" s="120"/>
      <c r="C206" s="111"/>
      <c r="D206" s="111"/>
      <c r="E206" s="121"/>
      <c r="F206" s="121"/>
      <c r="G206" s="113"/>
      <c r="H206" s="113"/>
      <c r="I206" s="144" t="str">
        <f t="shared" si="7"/>
        <v/>
      </c>
      <c r="J206" s="141" t="str">
        <f>IF(I206="","",IF(AND(AL206&lt;=66),VLOOKUP(I206,'COP Look Up'!$A$13:$B$21,2,TRUE),IF(AND(AL206&gt;=67,AL206&lt;=72),VLOOKUP(I206,'COP Look Up'!$E$13:$F$21,2,TRUE),IF(AND(AL206&gt;=73,AL206&lt;=78),VLOOKUP(I206,'COP Look Up'!$I$13:$J$21,2,TRUE),IF(AND(AL206&gt;=79),VLOOKUP(I206,'COP Look Up'!$M$13:$N$20,2,TRUE),"")))))</f>
        <v/>
      </c>
      <c r="K206" s="122"/>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23"/>
      <c r="AL206" s="143" t="str">
        <f t="shared" si="8"/>
        <v/>
      </c>
    </row>
    <row r="207" spans="1:38" s="108" customFormat="1" ht="15.75">
      <c r="A207" s="119"/>
      <c r="B207" s="120"/>
      <c r="C207" s="111"/>
      <c r="D207" s="111"/>
      <c r="E207" s="121"/>
      <c r="F207" s="121"/>
      <c r="G207" s="113"/>
      <c r="H207" s="113"/>
      <c r="I207" s="144" t="str">
        <f t="shared" si="7"/>
        <v/>
      </c>
      <c r="J207" s="141" t="str">
        <f>IF(I207="","",IF(AND(AL207&lt;=66),VLOOKUP(I207,'COP Look Up'!$A$13:$B$21,2,TRUE),IF(AND(AL207&gt;=67,AL207&lt;=72),VLOOKUP(I207,'COP Look Up'!$E$13:$F$21,2,TRUE),IF(AND(AL207&gt;=73,AL207&lt;=78),VLOOKUP(I207,'COP Look Up'!$I$13:$J$21,2,TRUE),IF(AND(AL207&gt;=79),VLOOKUP(I207,'COP Look Up'!$M$13:$N$20,2,TRUE),"")))))</f>
        <v/>
      </c>
      <c r="K207" s="122"/>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23"/>
      <c r="AL207" s="143" t="str">
        <f t="shared" si="8"/>
        <v/>
      </c>
    </row>
    <row r="208" spans="1:38" s="108" customFormat="1" ht="15.75">
      <c r="A208" s="119"/>
      <c r="B208" s="120"/>
      <c r="C208" s="111"/>
      <c r="D208" s="111"/>
      <c r="E208" s="121"/>
      <c r="F208" s="121"/>
      <c r="G208" s="113"/>
      <c r="H208" s="113"/>
      <c r="I208" s="144" t="str">
        <f t="shared" si="7"/>
        <v/>
      </c>
      <c r="J208" s="141" t="str">
        <f>IF(I208="","",IF(AND(AL208&lt;=66),VLOOKUP(I208,'COP Look Up'!$A$13:$B$21,2,TRUE),IF(AND(AL208&gt;=67,AL208&lt;=72),VLOOKUP(I208,'COP Look Up'!$E$13:$F$21,2,TRUE),IF(AND(AL208&gt;=73,AL208&lt;=78),VLOOKUP(I208,'COP Look Up'!$I$13:$J$21,2,TRUE),IF(AND(AL208&gt;=79),VLOOKUP(I208,'COP Look Up'!$M$13:$N$20,2,TRUE),"")))))</f>
        <v/>
      </c>
      <c r="K208" s="122"/>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23"/>
      <c r="AL208" s="143" t="str">
        <f t="shared" si="8"/>
        <v/>
      </c>
    </row>
    <row r="209" spans="1:38" s="108" customFormat="1" ht="15.75">
      <c r="A209" s="119"/>
      <c r="B209" s="120"/>
      <c r="C209" s="111"/>
      <c r="D209" s="111"/>
      <c r="E209" s="121"/>
      <c r="F209" s="121"/>
      <c r="G209" s="113"/>
      <c r="H209" s="113"/>
      <c r="I209" s="144" t="str">
        <f t="shared" si="7"/>
        <v/>
      </c>
      <c r="J209" s="141" t="str">
        <f>IF(I209="","",IF(AND(AL209&lt;=66),VLOOKUP(I209,'COP Look Up'!$A$13:$B$21,2,TRUE),IF(AND(AL209&gt;=67,AL209&lt;=72),VLOOKUP(I209,'COP Look Up'!$E$13:$F$21,2,TRUE),IF(AND(AL209&gt;=73,AL209&lt;=78),VLOOKUP(I209,'COP Look Up'!$I$13:$J$21,2,TRUE),IF(AND(AL209&gt;=79),VLOOKUP(I209,'COP Look Up'!$M$13:$N$20,2,TRUE),"")))))</f>
        <v/>
      </c>
      <c r="K209" s="122"/>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23"/>
      <c r="AL209" s="143" t="str">
        <f t="shared" si="8"/>
        <v/>
      </c>
    </row>
    <row r="210" spans="1:38" s="108" customFormat="1" ht="15.75">
      <c r="A210" s="119"/>
      <c r="B210" s="120"/>
      <c r="C210" s="111"/>
      <c r="D210" s="111"/>
      <c r="E210" s="121"/>
      <c r="F210" s="121"/>
      <c r="G210" s="113"/>
      <c r="H210" s="113"/>
      <c r="I210" s="144" t="str">
        <f t="shared" si="7"/>
        <v/>
      </c>
      <c r="J210" s="141" t="str">
        <f>IF(I210="","",IF(AND(AL210&lt;=66),VLOOKUP(I210,'COP Look Up'!$A$13:$B$21,2,TRUE),IF(AND(AL210&gt;=67,AL210&lt;=72),VLOOKUP(I210,'COP Look Up'!$E$13:$F$21,2,TRUE),IF(AND(AL210&gt;=73,AL210&lt;=78),VLOOKUP(I210,'COP Look Up'!$I$13:$J$21,2,TRUE),IF(AND(AL210&gt;=79),VLOOKUP(I210,'COP Look Up'!$M$13:$N$20,2,TRUE),"")))))</f>
        <v/>
      </c>
      <c r="K210" s="122"/>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23"/>
      <c r="AL210" s="143" t="str">
        <f t="shared" si="8"/>
        <v/>
      </c>
    </row>
    <row r="211" spans="1:38" s="108" customFormat="1" ht="15.75">
      <c r="A211" s="119"/>
      <c r="B211" s="120"/>
      <c r="C211" s="111"/>
      <c r="D211" s="111"/>
      <c r="E211" s="121"/>
      <c r="F211" s="121"/>
      <c r="G211" s="113"/>
      <c r="H211" s="113"/>
      <c r="I211" s="144" t="str">
        <f t="shared" si="7"/>
        <v/>
      </c>
      <c r="J211" s="141" t="str">
        <f>IF(I211="","",IF(AND(AL211&lt;=66),VLOOKUP(I211,'COP Look Up'!$A$13:$B$21,2,TRUE),IF(AND(AL211&gt;=67,AL211&lt;=72),VLOOKUP(I211,'COP Look Up'!$E$13:$F$21,2,TRUE),IF(AND(AL211&gt;=73,AL211&lt;=78),VLOOKUP(I211,'COP Look Up'!$I$13:$J$21,2,TRUE),IF(AND(AL211&gt;=79),VLOOKUP(I211,'COP Look Up'!$M$13:$N$20,2,TRUE),"")))))</f>
        <v/>
      </c>
      <c r="K211" s="122"/>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c r="AH211" s="123"/>
      <c r="AL211" s="143" t="str">
        <f t="shared" si="8"/>
        <v/>
      </c>
    </row>
    <row r="212" spans="1:38" s="108" customFormat="1" ht="15.75">
      <c r="A212" s="119"/>
      <c r="B212" s="120"/>
      <c r="C212" s="111"/>
      <c r="D212" s="111"/>
      <c r="E212" s="121"/>
      <c r="F212" s="121"/>
      <c r="G212" s="113"/>
      <c r="H212" s="113"/>
      <c r="I212" s="144" t="str">
        <f t="shared" si="7"/>
        <v/>
      </c>
      <c r="J212" s="141" t="str">
        <f>IF(I212="","",IF(AND(AL212&lt;=66),VLOOKUP(I212,'COP Look Up'!$A$13:$B$21,2,TRUE),IF(AND(AL212&gt;=67,AL212&lt;=72),VLOOKUP(I212,'COP Look Up'!$E$13:$F$21,2,TRUE),IF(AND(AL212&gt;=73,AL212&lt;=78),VLOOKUP(I212,'COP Look Up'!$I$13:$J$21,2,TRUE),IF(AND(AL212&gt;=79),VLOOKUP(I212,'COP Look Up'!$M$13:$N$20,2,TRUE),"")))))</f>
        <v/>
      </c>
      <c r="K212" s="122"/>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c r="AH212" s="123"/>
      <c r="AL212" s="143" t="str">
        <f t="shared" si="8"/>
        <v/>
      </c>
    </row>
    <row r="213" spans="1:38" s="108" customFormat="1" ht="15.75">
      <c r="A213" s="119"/>
      <c r="B213" s="120"/>
      <c r="C213" s="111"/>
      <c r="D213" s="111"/>
      <c r="E213" s="121"/>
      <c r="F213" s="121"/>
      <c r="G213" s="113"/>
      <c r="H213" s="113"/>
      <c r="I213" s="144" t="str">
        <f t="shared" si="7"/>
        <v/>
      </c>
      <c r="J213" s="141" t="str">
        <f>IF(I213="","",IF(AND(AL213&lt;=66),VLOOKUP(I213,'COP Look Up'!$A$13:$B$21,2,TRUE),IF(AND(AL213&gt;=67,AL213&lt;=72),VLOOKUP(I213,'COP Look Up'!$E$13:$F$21,2,TRUE),IF(AND(AL213&gt;=73,AL213&lt;=78),VLOOKUP(I213,'COP Look Up'!$I$13:$J$21,2,TRUE),IF(AND(AL213&gt;=79),VLOOKUP(I213,'COP Look Up'!$M$13:$N$20,2,TRUE),"")))))</f>
        <v/>
      </c>
      <c r="K213" s="122"/>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23"/>
      <c r="AL213" s="143" t="str">
        <f t="shared" si="8"/>
        <v/>
      </c>
    </row>
    <row r="214" spans="1:38" s="108" customFormat="1" ht="15.75">
      <c r="A214" s="119"/>
      <c r="B214" s="120"/>
      <c r="C214" s="111"/>
      <c r="D214" s="111"/>
      <c r="E214" s="121"/>
      <c r="F214" s="121"/>
      <c r="G214" s="113"/>
      <c r="H214" s="113"/>
      <c r="I214" s="144" t="str">
        <f t="shared" si="7"/>
        <v/>
      </c>
      <c r="J214" s="141" t="str">
        <f>IF(I214="","",IF(AND(AL214&lt;=66),VLOOKUP(I214,'COP Look Up'!$A$13:$B$21,2,TRUE),IF(AND(AL214&gt;=67,AL214&lt;=72),VLOOKUP(I214,'COP Look Up'!$E$13:$F$21,2,TRUE),IF(AND(AL214&gt;=73,AL214&lt;=78),VLOOKUP(I214,'COP Look Up'!$I$13:$J$21,2,TRUE),IF(AND(AL214&gt;=79),VLOOKUP(I214,'COP Look Up'!$M$13:$N$20,2,TRUE),"")))))</f>
        <v/>
      </c>
      <c r="K214" s="122"/>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23"/>
      <c r="AL214" s="143" t="str">
        <f t="shared" si="8"/>
        <v/>
      </c>
    </row>
    <row r="215" spans="1:38" s="108" customFormat="1" ht="15.75">
      <c r="A215" s="119"/>
      <c r="B215" s="120"/>
      <c r="C215" s="111"/>
      <c r="D215" s="111"/>
      <c r="E215" s="121"/>
      <c r="F215" s="121"/>
      <c r="G215" s="113"/>
      <c r="H215" s="113"/>
      <c r="I215" s="144" t="str">
        <f t="shared" si="7"/>
        <v/>
      </c>
      <c r="J215" s="141" t="str">
        <f>IF(I215="","",IF(AND(AL215&lt;=66),VLOOKUP(I215,'COP Look Up'!$A$13:$B$21,2,TRUE),IF(AND(AL215&gt;=67,AL215&lt;=72),VLOOKUP(I215,'COP Look Up'!$E$13:$F$21,2,TRUE),IF(AND(AL215&gt;=73,AL215&lt;=78),VLOOKUP(I215,'COP Look Up'!$I$13:$J$21,2,TRUE),IF(AND(AL215&gt;=79),VLOOKUP(I215,'COP Look Up'!$M$13:$N$20,2,TRUE),"")))))</f>
        <v/>
      </c>
      <c r="K215" s="122"/>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23"/>
      <c r="AL215" s="143" t="str">
        <f t="shared" si="8"/>
        <v/>
      </c>
    </row>
    <row r="216" spans="1:38" s="108" customFormat="1" ht="15.75">
      <c r="A216" s="119"/>
      <c r="B216" s="120"/>
      <c r="C216" s="111"/>
      <c r="D216" s="111"/>
      <c r="E216" s="121"/>
      <c r="F216" s="121"/>
      <c r="G216" s="113"/>
      <c r="H216" s="113"/>
      <c r="I216" s="144" t="str">
        <f t="shared" si="7"/>
        <v/>
      </c>
      <c r="J216" s="141" t="str">
        <f>IF(I216="","",IF(AND(AL216&lt;=66),VLOOKUP(I216,'COP Look Up'!$A$13:$B$21,2,TRUE),IF(AND(AL216&gt;=67,AL216&lt;=72),VLOOKUP(I216,'COP Look Up'!$E$13:$F$21,2,TRUE),IF(AND(AL216&gt;=73,AL216&lt;=78),VLOOKUP(I216,'COP Look Up'!$I$13:$J$21,2,TRUE),IF(AND(AL216&gt;=79),VLOOKUP(I216,'COP Look Up'!$M$13:$N$20,2,TRUE),"")))))</f>
        <v/>
      </c>
      <c r="K216" s="122"/>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23"/>
      <c r="AL216" s="143" t="str">
        <f t="shared" si="8"/>
        <v/>
      </c>
    </row>
    <row r="217" spans="1:38" s="108" customFormat="1" ht="15.75">
      <c r="A217" s="119"/>
      <c r="B217" s="120"/>
      <c r="C217" s="111"/>
      <c r="D217" s="111"/>
      <c r="E217" s="121"/>
      <c r="F217" s="121"/>
      <c r="G217" s="113"/>
      <c r="H217" s="113"/>
      <c r="I217" s="144" t="str">
        <f t="shared" si="7"/>
        <v/>
      </c>
      <c r="J217" s="141" t="str">
        <f>IF(I217="","",IF(AND(AL217&lt;=66),VLOOKUP(I217,'COP Look Up'!$A$13:$B$21,2,TRUE),IF(AND(AL217&gt;=67,AL217&lt;=72),VLOOKUP(I217,'COP Look Up'!$E$13:$F$21,2,TRUE),IF(AND(AL217&gt;=73,AL217&lt;=78),VLOOKUP(I217,'COP Look Up'!$I$13:$J$21,2,TRUE),IF(AND(AL217&gt;=79),VLOOKUP(I217,'COP Look Up'!$M$13:$N$20,2,TRUE),"")))))</f>
        <v/>
      </c>
      <c r="K217" s="122"/>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23"/>
      <c r="AL217" s="143" t="str">
        <f t="shared" si="8"/>
        <v/>
      </c>
    </row>
    <row r="218" spans="1:38" s="108" customFormat="1" ht="15.75">
      <c r="A218" s="119"/>
      <c r="B218" s="120"/>
      <c r="C218" s="111"/>
      <c r="D218" s="111"/>
      <c r="E218" s="121"/>
      <c r="F218" s="121"/>
      <c r="G218" s="113"/>
      <c r="H218" s="113"/>
      <c r="I218" s="144" t="str">
        <f t="shared" si="7"/>
        <v/>
      </c>
      <c r="J218" s="141" t="str">
        <f>IF(I218="","",IF(AND(AL218&lt;=66),VLOOKUP(I218,'COP Look Up'!$A$13:$B$21,2,TRUE),IF(AND(AL218&gt;=67,AL218&lt;=72),VLOOKUP(I218,'COP Look Up'!$E$13:$F$21,2,TRUE),IF(AND(AL218&gt;=73,AL218&lt;=78),VLOOKUP(I218,'COP Look Up'!$I$13:$J$21,2,TRUE),IF(AND(AL218&gt;=79),VLOOKUP(I218,'COP Look Up'!$M$13:$N$20,2,TRUE),"")))))</f>
        <v/>
      </c>
      <c r="K218" s="122"/>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c r="AH218" s="123"/>
      <c r="AL218" s="143" t="str">
        <f t="shared" si="8"/>
        <v/>
      </c>
    </row>
    <row r="219" spans="1:38" s="108" customFormat="1" ht="15.75">
      <c r="A219" s="119"/>
      <c r="B219" s="120"/>
      <c r="C219" s="111"/>
      <c r="D219" s="111"/>
      <c r="E219" s="121"/>
      <c r="F219" s="121"/>
      <c r="G219" s="113"/>
      <c r="H219" s="113"/>
      <c r="I219" s="144" t="str">
        <f t="shared" si="7"/>
        <v/>
      </c>
      <c r="J219" s="141" t="str">
        <f>IF(I219="","",IF(AND(AL219&lt;=66),VLOOKUP(I219,'COP Look Up'!$A$13:$B$21,2,TRUE),IF(AND(AL219&gt;=67,AL219&lt;=72),VLOOKUP(I219,'COP Look Up'!$E$13:$F$21,2,TRUE),IF(AND(AL219&gt;=73,AL219&lt;=78),VLOOKUP(I219,'COP Look Up'!$I$13:$J$21,2,TRUE),IF(AND(AL219&gt;=79),VLOOKUP(I219,'COP Look Up'!$M$13:$N$20,2,TRUE),"")))))</f>
        <v/>
      </c>
      <c r="K219" s="122"/>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c r="AH219" s="123"/>
      <c r="AL219" s="143" t="str">
        <f t="shared" si="8"/>
        <v/>
      </c>
    </row>
    <row r="220" spans="1:38" s="108" customFormat="1" ht="15.75">
      <c r="A220" s="119"/>
      <c r="B220" s="120"/>
      <c r="C220" s="111"/>
      <c r="D220" s="111"/>
      <c r="E220" s="121"/>
      <c r="F220" s="121"/>
      <c r="G220" s="113"/>
      <c r="H220" s="113"/>
      <c r="I220" s="144" t="str">
        <f t="shared" si="7"/>
        <v/>
      </c>
      <c r="J220" s="141" t="str">
        <f>IF(I220="","",IF(AND(AL220&lt;=66),VLOOKUP(I220,'COP Look Up'!$A$13:$B$21,2,TRUE),IF(AND(AL220&gt;=67,AL220&lt;=72),VLOOKUP(I220,'COP Look Up'!$E$13:$F$21,2,TRUE),IF(AND(AL220&gt;=73,AL220&lt;=78),VLOOKUP(I220,'COP Look Up'!$I$13:$J$21,2,TRUE),IF(AND(AL220&gt;=79),VLOOKUP(I220,'COP Look Up'!$M$13:$N$20,2,TRUE),"")))))</f>
        <v/>
      </c>
      <c r="K220" s="122"/>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23"/>
      <c r="AL220" s="143" t="str">
        <f t="shared" si="8"/>
        <v/>
      </c>
    </row>
    <row r="221" spans="1:38" s="108" customFormat="1" ht="15.75">
      <c r="A221" s="119"/>
      <c r="B221" s="120"/>
      <c r="C221" s="111"/>
      <c r="D221" s="111"/>
      <c r="E221" s="121"/>
      <c r="F221" s="121"/>
      <c r="G221" s="113"/>
      <c r="H221" s="113"/>
      <c r="I221" s="144" t="str">
        <f t="shared" si="7"/>
        <v/>
      </c>
      <c r="J221" s="141" t="str">
        <f>IF(I221="","",IF(AND(AL221&lt;=66),VLOOKUP(I221,'COP Look Up'!$A$13:$B$21,2,TRUE),IF(AND(AL221&gt;=67,AL221&lt;=72),VLOOKUP(I221,'COP Look Up'!$E$13:$F$21,2,TRUE),IF(AND(AL221&gt;=73,AL221&lt;=78),VLOOKUP(I221,'COP Look Up'!$I$13:$J$21,2,TRUE),IF(AND(AL221&gt;=79),VLOOKUP(I221,'COP Look Up'!$M$13:$N$20,2,TRUE),"")))))</f>
        <v/>
      </c>
      <c r="K221" s="122"/>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23"/>
      <c r="AL221" s="143" t="str">
        <f t="shared" si="8"/>
        <v/>
      </c>
    </row>
    <row r="222" spans="1:38" s="108" customFormat="1" ht="15.75">
      <c r="A222" s="119"/>
      <c r="B222" s="120"/>
      <c r="C222" s="111"/>
      <c r="D222" s="111"/>
      <c r="E222" s="121"/>
      <c r="F222" s="121"/>
      <c r="G222" s="113"/>
      <c r="H222" s="113"/>
      <c r="I222" s="144" t="str">
        <f t="shared" si="7"/>
        <v/>
      </c>
      <c r="J222" s="141" t="str">
        <f>IF(I222="","",IF(AND(AL222&lt;=66),VLOOKUP(I222,'COP Look Up'!$A$13:$B$21,2,TRUE),IF(AND(AL222&gt;=67,AL222&lt;=72),VLOOKUP(I222,'COP Look Up'!$E$13:$F$21,2,TRUE),IF(AND(AL222&gt;=73,AL222&lt;=78),VLOOKUP(I222,'COP Look Up'!$I$13:$J$21,2,TRUE),IF(AND(AL222&gt;=79),VLOOKUP(I222,'COP Look Up'!$M$13:$N$20,2,TRUE),"")))))</f>
        <v/>
      </c>
      <c r="K222" s="122"/>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23"/>
      <c r="AL222" s="143" t="str">
        <f t="shared" si="8"/>
        <v/>
      </c>
    </row>
    <row r="223" spans="1:38" s="108" customFormat="1" ht="15.75">
      <c r="A223" s="119"/>
      <c r="B223" s="120"/>
      <c r="C223" s="111"/>
      <c r="D223" s="111"/>
      <c r="E223" s="121"/>
      <c r="F223" s="121"/>
      <c r="G223" s="113"/>
      <c r="H223" s="113"/>
      <c r="I223" s="144" t="str">
        <f t="shared" si="7"/>
        <v/>
      </c>
      <c r="J223" s="141" t="str">
        <f>IF(I223="","",IF(AND(AL223&lt;=66),VLOOKUP(I223,'COP Look Up'!$A$13:$B$21,2,TRUE),IF(AND(AL223&gt;=67,AL223&lt;=72),VLOOKUP(I223,'COP Look Up'!$E$13:$F$21,2,TRUE),IF(AND(AL223&gt;=73,AL223&lt;=78),VLOOKUP(I223,'COP Look Up'!$I$13:$J$21,2,TRUE),IF(AND(AL223&gt;=79),VLOOKUP(I223,'COP Look Up'!$M$13:$N$20,2,TRUE),"")))))</f>
        <v/>
      </c>
      <c r="K223" s="122"/>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23"/>
      <c r="AL223" s="143" t="str">
        <f t="shared" si="8"/>
        <v/>
      </c>
    </row>
    <row r="224" spans="1:38" s="108" customFormat="1" ht="15.75">
      <c r="A224" s="119"/>
      <c r="B224" s="120"/>
      <c r="C224" s="111"/>
      <c r="D224" s="111"/>
      <c r="E224" s="121"/>
      <c r="F224" s="121"/>
      <c r="G224" s="113"/>
      <c r="H224" s="113"/>
      <c r="I224" s="144" t="str">
        <f t="shared" si="7"/>
        <v/>
      </c>
      <c r="J224" s="141" t="str">
        <f>IF(I224="","",IF(AND(AL224&lt;=66),VLOOKUP(I224,'COP Look Up'!$A$13:$B$21,2,TRUE),IF(AND(AL224&gt;=67,AL224&lt;=72),VLOOKUP(I224,'COP Look Up'!$E$13:$F$21,2,TRUE),IF(AND(AL224&gt;=73,AL224&lt;=78),VLOOKUP(I224,'COP Look Up'!$I$13:$J$21,2,TRUE),IF(AND(AL224&gt;=79),VLOOKUP(I224,'COP Look Up'!$M$13:$N$20,2,TRUE),"")))))</f>
        <v/>
      </c>
      <c r="K224" s="122"/>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c r="AH224" s="123"/>
      <c r="AL224" s="143" t="str">
        <f t="shared" si="8"/>
        <v/>
      </c>
    </row>
    <row r="225" spans="1:38" s="108" customFormat="1" ht="15.75">
      <c r="A225" s="119"/>
      <c r="B225" s="120"/>
      <c r="C225" s="111"/>
      <c r="D225" s="111"/>
      <c r="E225" s="121"/>
      <c r="F225" s="121"/>
      <c r="G225" s="113"/>
      <c r="H225" s="113"/>
      <c r="I225" s="144" t="str">
        <f t="shared" si="7"/>
        <v/>
      </c>
      <c r="J225" s="141" t="str">
        <f>IF(I225="","",IF(AND(AL225&lt;=66),VLOOKUP(I225,'COP Look Up'!$A$13:$B$21,2,TRUE),IF(AND(AL225&gt;=67,AL225&lt;=72),VLOOKUP(I225,'COP Look Up'!$E$13:$F$21,2,TRUE),IF(AND(AL225&gt;=73,AL225&lt;=78),VLOOKUP(I225,'COP Look Up'!$I$13:$J$21,2,TRUE),IF(AND(AL225&gt;=79),VLOOKUP(I225,'COP Look Up'!$M$13:$N$20,2,TRUE),"")))))</f>
        <v/>
      </c>
      <c r="K225" s="122"/>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c r="AH225" s="123"/>
      <c r="AL225" s="143" t="str">
        <f t="shared" si="8"/>
        <v/>
      </c>
    </row>
    <row r="226" spans="1:38" s="108" customFormat="1" ht="15.75">
      <c r="A226" s="119"/>
      <c r="B226" s="120"/>
      <c r="C226" s="111"/>
      <c r="D226" s="111"/>
      <c r="E226" s="121"/>
      <c r="F226" s="121"/>
      <c r="G226" s="113"/>
      <c r="H226" s="113"/>
      <c r="I226" s="144" t="str">
        <f t="shared" si="7"/>
        <v/>
      </c>
      <c r="J226" s="141" t="str">
        <f>IF(I226="","",IF(AND(AL226&lt;=66),VLOOKUP(I226,'COP Look Up'!$A$13:$B$21,2,TRUE),IF(AND(AL226&gt;=67,AL226&lt;=72),VLOOKUP(I226,'COP Look Up'!$E$13:$F$21,2,TRUE),IF(AND(AL226&gt;=73,AL226&lt;=78),VLOOKUP(I226,'COP Look Up'!$I$13:$J$21,2,TRUE),IF(AND(AL226&gt;=79),VLOOKUP(I226,'COP Look Up'!$M$13:$N$20,2,TRUE),"")))))</f>
        <v/>
      </c>
      <c r="K226" s="122"/>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23"/>
      <c r="AL226" s="143" t="str">
        <f t="shared" si="8"/>
        <v/>
      </c>
    </row>
    <row r="227" spans="1:38" s="108" customFormat="1" ht="15.75">
      <c r="A227" s="119"/>
      <c r="B227" s="120"/>
      <c r="C227" s="111"/>
      <c r="D227" s="111"/>
      <c r="E227" s="121"/>
      <c r="F227" s="121"/>
      <c r="G227" s="113"/>
      <c r="H227" s="113"/>
      <c r="I227" s="144" t="str">
        <f t="shared" si="7"/>
        <v/>
      </c>
      <c r="J227" s="141" t="str">
        <f>IF(I227="","",IF(AND(AL227&lt;=66),VLOOKUP(I227,'COP Look Up'!$A$13:$B$21,2,TRUE),IF(AND(AL227&gt;=67,AL227&lt;=72),VLOOKUP(I227,'COP Look Up'!$E$13:$F$21,2,TRUE),IF(AND(AL227&gt;=73,AL227&lt;=78),VLOOKUP(I227,'COP Look Up'!$I$13:$J$21,2,TRUE),IF(AND(AL227&gt;=79),VLOOKUP(I227,'COP Look Up'!$M$13:$N$20,2,TRUE),"")))))</f>
        <v/>
      </c>
      <c r="K227" s="122"/>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23"/>
      <c r="AL227" s="143" t="str">
        <f t="shared" si="8"/>
        <v/>
      </c>
    </row>
    <row r="228" spans="1:38" s="108" customFormat="1" ht="15.75">
      <c r="A228" s="119"/>
      <c r="B228" s="120"/>
      <c r="C228" s="111"/>
      <c r="D228" s="111"/>
      <c r="E228" s="121"/>
      <c r="F228" s="121"/>
      <c r="G228" s="113"/>
      <c r="H228" s="113"/>
      <c r="I228" s="144" t="str">
        <f t="shared" si="7"/>
        <v/>
      </c>
      <c r="J228" s="141" t="str">
        <f>IF(I228="","",IF(AND(AL228&lt;=66),VLOOKUP(I228,'COP Look Up'!$A$13:$B$21,2,TRUE),IF(AND(AL228&gt;=67,AL228&lt;=72),VLOOKUP(I228,'COP Look Up'!$E$13:$F$21,2,TRUE),IF(AND(AL228&gt;=73,AL228&lt;=78),VLOOKUP(I228,'COP Look Up'!$I$13:$J$21,2,TRUE),IF(AND(AL228&gt;=79),VLOOKUP(I228,'COP Look Up'!$M$13:$N$20,2,TRUE),"")))))</f>
        <v/>
      </c>
      <c r="K228" s="122"/>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23"/>
      <c r="AL228" s="143" t="str">
        <f t="shared" si="8"/>
        <v/>
      </c>
    </row>
    <row r="229" spans="1:38" s="108" customFormat="1" ht="15.75">
      <c r="A229" s="119"/>
      <c r="B229" s="120"/>
      <c r="C229" s="111"/>
      <c r="D229" s="111"/>
      <c r="E229" s="121"/>
      <c r="F229" s="121"/>
      <c r="G229" s="113"/>
      <c r="H229" s="113"/>
      <c r="I229" s="144" t="str">
        <f t="shared" si="7"/>
        <v/>
      </c>
      <c r="J229" s="141" t="str">
        <f>IF(I229="","",IF(AND(AL229&lt;=66),VLOOKUP(I229,'COP Look Up'!$A$13:$B$21,2,TRUE),IF(AND(AL229&gt;=67,AL229&lt;=72),VLOOKUP(I229,'COP Look Up'!$E$13:$F$21,2,TRUE),IF(AND(AL229&gt;=73,AL229&lt;=78),VLOOKUP(I229,'COP Look Up'!$I$13:$J$21,2,TRUE),IF(AND(AL229&gt;=79),VLOOKUP(I229,'COP Look Up'!$M$13:$N$20,2,TRUE),"")))))</f>
        <v/>
      </c>
      <c r="K229" s="122"/>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23"/>
      <c r="AL229" s="143" t="str">
        <f t="shared" si="8"/>
        <v/>
      </c>
    </row>
    <row r="230" spans="1:38" s="108" customFormat="1" ht="15.75">
      <c r="A230" s="119"/>
      <c r="B230" s="120"/>
      <c r="C230" s="111"/>
      <c r="D230" s="111"/>
      <c r="E230" s="121"/>
      <c r="F230" s="121"/>
      <c r="G230" s="113"/>
      <c r="H230" s="113"/>
      <c r="I230" s="144" t="str">
        <f t="shared" si="7"/>
        <v/>
      </c>
      <c r="J230" s="141" t="str">
        <f>IF(I230="","",IF(AND(AL230&lt;=66),VLOOKUP(I230,'COP Look Up'!$A$13:$B$21,2,TRUE),IF(AND(AL230&gt;=67,AL230&lt;=72),VLOOKUP(I230,'COP Look Up'!$E$13:$F$21,2,TRUE),IF(AND(AL230&gt;=73,AL230&lt;=78),VLOOKUP(I230,'COP Look Up'!$I$13:$J$21,2,TRUE),IF(AND(AL230&gt;=79),VLOOKUP(I230,'COP Look Up'!$M$13:$N$20,2,TRUE),"")))))</f>
        <v/>
      </c>
      <c r="K230" s="122"/>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23"/>
      <c r="AL230" s="143" t="str">
        <f t="shared" si="8"/>
        <v/>
      </c>
    </row>
    <row r="231" spans="1:38" s="108" customFormat="1" ht="15.75">
      <c r="A231" s="119"/>
      <c r="B231" s="120"/>
      <c r="C231" s="111"/>
      <c r="D231" s="111"/>
      <c r="E231" s="121"/>
      <c r="F231" s="121"/>
      <c r="G231" s="113"/>
      <c r="H231" s="113"/>
      <c r="I231" s="144" t="str">
        <f t="shared" si="7"/>
        <v/>
      </c>
      <c r="J231" s="141" t="str">
        <f>IF(I231="","",IF(AND(AL231&lt;=66),VLOOKUP(I231,'COP Look Up'!$A$13:$B$21,2,TRUE),IF(AND(AL231&gt;=67,AL231&lt;=72),VLOOKUP(I231,'COP Look Up'!$E$13:$F$21,2,TRUE),IF(AND(AL231&gt;=73,AL231&lt;=78),VLOOKUP(I231,'COP Look Up'!$I$13:$J$21,2,TRUE),IF(AND(AL231&gt;=79),VLOOKUP(I231,'COP Look Up'!$M$13:$N$20,2,TRUE),"")))))</f>
        <v/>
      </c>
      <c r="K231" s="122"/>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23"/>
      <c r="AL231" s="143" t="str">
        <f t="shared" si="8"/>
        <v/>
      </c>
    </row>
    <row r="232" spans="1:38" s="108" customFormat="1" ht="15.75">
      <c r="A232" s="119"/>
      <c r="B232" s="120"/>
      <c r="C232" s="111"/>
      <c r="D232" s="111"/>
      <c r="E232" s="121"/>
      <c r="F232" s="121"/>
      <c r="G232" s="113"/>
      <c r="H232" s="113"/>
      <c r="I232" s="144" t="str">
        <f t="shared" si="7"/>
        <v/>
      </c>
      <c r="J232" s="141" t="str">
        <f>IF(I232="","",IF(AND(AL232&lt;=66),VLOOKUP(I232,'COP Look Up'!$A$13:$B$21,2,TRUE),IF(AND(AL232&gt;=67,AL232&lt;=72),VLOOKUP(I232,'COP Look Up'!$E$13:$F$21,2,TRUE),IF(AND(AL232&gt;=73,AL232&lt;=78),VLOOKUP(I232,'COP Look Up'!$I$13:$J$21,2,TRUE),IF(AND(AL232&gt;=79),VLOOKUP(I232,'COP Look Up'!$M$13:$N$20,2,TRUE),"")))))</f>
        <v/>
      </c>
      <c r="K232" s="122"/>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23"/>
      <c r="AL232" s="143" t="str">
        <f t="shared" si="8"/>
        <v/>
      </c>
    </row>
    <row r="233" spans="1:38" s="108" customFormat="1" ht="15.75">
      <c r="A233" s="119"/>
      <c r="B233" s="120"/>
      <c r="C233" s="111"/>
      <c r="D233" s="111"/>
      <c r="E233" s="121"/>
      <c r="F233" s="121"/>
      <c r="G233" s="113"/>
      <c r="H233" s="113"/>
      <c r="I233" s="144" t="str">
        <f t="shared" si="7"/>
        <v/>
      </c>
      <c r="J233" s="141" t="str">
        <f>IF(I233="","",IF(AND(AL233&lt;=66),VLOOKUP(I233,'COP Look Up'!$A$13:$B$21,2,TRUE),IF(AND(AL233&gt;=67,AL233&lt;=72),VLOOKUP(I233,'COP Look Up'!$E$13:$F$21,2,TRUE),IF(AND(AL233&gt;=73,AL233&lt;=78),VLOOKUP(I233,'COP Look Up'!$I$13:$J$21,2,TRUE),IF(AND(AL233&gt;=79),VLOOKUP(I233,'COP Look Up'!$M$13:$N$20,2,TRUE),"")))))</f>
        <v/>
      </c>
      <c r="K233" s="122"/>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c r="AH233" s="123"/>
      <c r="AL233" s="143" t="str">
        <f t="shared" si="8"/>
        <v/>
      </c>
    </row>
    <row r="234" spans="1:38" s="108" customFormat="1" ht="15.75">
      <c r="A234" s="119"/>
      <c r="B234" s="120"/>
      <c r="C234" s="111"/>
      <c r="D234" s="111"/>
      <c r="E234" s="121"/>
      <c r="F234" s="121"/>
      <c r="G234" s="113"/>
      <c r="H234" s="113"/>
      <c r="I234" s="144" t="str">
        <f t="shared" si="7"/>
        <v/>
      </c>
      <c r="J234" s="141" t="str">
        <f>IF(I234="","",IF(AND(AL234&lt;=66),VLOOKUP(I234,'COP Look Up'!$A$13:$B$21,2,TRUE),IF(AND(AL234&gt;=67,AL234&lt;=72),VLOOKUP(I234,'COP Look Up'!$E$13:$F$21,2,TRUE),IF(AND(AL234&gt;=73,AL234&lt;=78),VLOOKUP(I234,'COP Look Up'!$I$13:$J$21,2,TRUE),IF(AND(AL234&gt;=79),VLOOKUP(I234,'COP Look Up'!$M$13:$N$20,2,TRUE),"")))))</f>
        <v/>
      </c>
      <c r="K234" s="122"/>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c r="AH234" s="123"/>
      <c r="AL234" s="143" t="str">
        <f t="shared" si="8"/>
        <v/>
      </c>
    </row>
    <row r="235" spans="1:38" s="108" customFormat="1" ht="15.75">
      <c r="A235" s="119"/>
      <c r="B235" s="120"/>
      <c r="C235" s="111"/>
      <c r="D235" s="111"/>
      <c r="E235" s="121"/>
      <c r="F235" s="121"/>
      <c r="G235" s="113"/>
      <c r="H235" s="113"/>
      <c r="I235" s="144" t="str">
        <f t="shared" si="7"/>
        <v/>
      </c>
      <c r="J235" s="141" t="str">
        <f>IF(I235="","",IF(AND(AL235&lt;=66),VLOOKUP(I235,'COP Look Up'!$A$13:$B$21,2,TRUE),IF(AND(AL235&gt;=67,AL235&lt;=72),VLOOKUP(I235,'COP Look Up'!$E$13:$F$21,2,TRUE),IF(AND(AL235&gt;=73,AL235&lt;=78),VLOOKUP(I235,'COP Look Up'!$I$13:$J$21,2,TRUE),IF(AND(AL235&gt;=79),VLOOKUP(I235,'COP Look Up'!$M$13:$N$20,2,TRUE),"")))))</f>
        <v/>
      </c>
      <c r="K235" s="122"/>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c r="AH235" s="123"/>
      <c r="AL235" s="143" t="str">
        <f t="shared" si="8"/>
        <v/>
      </c>
    </row>
    <row r="236" spans="1:38" s="108" customFormat="1" ht="15.75">
      <c r="A236" s="119"/>
      <c r="B236" s="120"/>
      <c r="C236" s="111"/>
      <c r="D236" s="111"/>
      <c r="E236" s="121"/>
      <c r="F236" s="121"/>
      <c r="G236" s="113"/>
      <c r="H236" s="113"/>
      <c r="I236" s="144" t="str">
        <f t="shared" si="7"/>
        <v/>
      </c>
      <c r="J236" s="141" t="str">
        <f>IF(I236="","",IF(AND(AL236&lt;=66),VLOOKUP(I236,'COP Look Up'!$A$13:$B$21,2,TRUE),IF(AND(AL236&gt;=67,AL236&lt;=72),VLOOKUP(I236,'COP Look Up'!$E$13:$F$21,2,TRUE),IF(AND(AL236&gt;=73,AL236&lt;=78),VLOOKUP(I236,'COP Look Up'!$I$13:$J$21,2,TRUE),IF(AND(AL236&gt;=79),VLOOKUP(I236,'COP Look Up'!$M$13:$N$20,2,TRUE),"")))))</f>
        <v/>
      </c>
      <c r="K236" s="122"/>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c r="AH236" s="123"/>
      <c r="AL236" s="143" t="str">
        <f t="shared" si="8"/>
        <v/>
      </c>
    </row>
    <row r="237" spans="1:38" s="108" customFormat="1" ht="15.75">
      <c r="A237" s="119"/>
      <c r="B237" s="120"/>
      <c r="C237" s="111"/>
      <c r="D237" s="111"/>
      <c r="E237" s="121"/>
      <c r="F237" s="121"/>
      <c r="G237" s="113"/>
      <c r="H237" s="113"/>
      <c r="I237" s="144" t="str">
        <f t="shared" si="7"/>
        <v/>
      </c>
      <c r="J237" s="141" t="str">
        <f>IF(I237="","",IF(AND(AL237&lt;=66),VLOOKUP(I237,'COP Look Up'!$A$13:$B$21,2,TRUE),IF(AND(AL237&gt;=67,AL237&lt;=72),VLOOKUP(I237,'COP Look Up'!$E$13:$F$21,2,TRUE),IF(AND(AL237&gt;=73,AL237&lt;=78),VLOOKUP(I237,'COP Look Up'!$I$13:$J$21,2,TRUE),IF(AND(AL237&gt;=79),VLOOKUP(I237,'COP Look Up'!$M$13:$N$20,2,TRUE),"")))))</f>
        <v/>
      </c>
      <c r="K237" s="122"/>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c r="AH237" s="123"/>
      <c r="AL237" s="143" t="str">
        <f t="shared" si="8"/>
        <v/>
      </c>
    </row>
    <row r="238" spans="1:38" s="108" customFormat="1" ht="15.75">
      <c r="A238" s="119"/>
      <c r="B238" s="120"/>
      <c r="C238" s="111"/>
      <c r="D238" s="111"/>
      <c r="E238" s="121"/>
      <c r="F238" s="121"/>
      <c r="G238" s="113"/>
      <c r="H238" s="113"/>
      <c r="I238" s="144" t="str">
        <f t="shared" si="7"/>
        <v/>
      </c>
      <c r="J238" s="141" t="str">
        <f>IF(I238="","",IF(AND(AL238&lt;=66),VLOOKUP(I238,'COP Look Up'!$A$13:$B$21,2,TRUE),IF(AND(AL238&gt;=67,AL238&lt;=72),VLOOKUP(I238,'COP Look Up'!$E$13:$F$21,2,TRUE),IF(AND(AL238&gt;=73,AL238&lt;=78),VLOOKUP(I238,'COP Look Up'!$I$13:$J$21,2,TRUE),IF(AND(AL238&gt;=79),VLOOKUP(I238,'COP Look Up'!$M$13:$N$20,2,TRUE),"")))))</f>
        <v/>
      </c>
      <c r="K238" s="122"/>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c r="AH238" s="123"/>
      <c r="AL238" s="143" t="str">
        <f t="shared" si="8"/>
        <v/>
      </c>
    </row>
    <row r="239" spans="1:38" s="108" customFormat="1" ht="15.75">
      <c r="A239" s="119"/>
      <c r="B239" s="120"/>
      <c r="C239" s="111"/>
      <c r="D239" s="111"/>
      <c r="E239" s="121"/>
      <c r="F239" s="121"/>
      <c r="G239" s="113"/>
      <c r="H239" s="113"/>
      <c r="I239" s="144" t="str">
        <f t="shared" si="7"/>
        <v/>
      </c>
      <c r="J239" s="141" t="str">
        <f>IF(I239="","",IF(AND(AL239&lt;=66),VLOOKUP(I239,'COP Look Up'!$A$13:$B$21,2,TRUE),IF(AND(AL239&gt;=67,AL239&lt;=72),VLOOKUP(I239,'COP Look Up'!$E$13:$F$21,2,TRUE),IF(AND(AL239&gt;=73,AL239&lt;=78),VLOOKUP(I239,'COP Look Up'!$I$13:$J$21,2,TRUE),IF(AND(AL239&gt;=79),VLOOKUP(I239,'COP Look Up'!$M$13:$N$20,2,TRUE),"")))))</f>
        <v/>
      </c>
      <c r="K239" s="122"/>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c r="AH239" s="123"/>
      <c r="AL239" s="143" t="str">
        <f t="shared" si="8"/>
        <v/>
      </c>
    </row>
    <row r="240" spans="1:38" s="108" customFormat="1" ht="15.75">
      <c r="A240" s="119"/>
      <c r="B240" s="120"/>
      <c r="C240" s="111"/>
      <c r="D240" s="111"/>
      <c r="E240" s="121"/>
      <c r="F240" s="121"/>
      <c r="G240" s="113"/>
      <c r="H240" s="113"/>
      <c r="I240" s="144" t="str">
        <f t="shared" si="7"/>
        <v/>
      </c>
      <c r="J240" s="141" t="str">
        <f>IF(I240="","",IF(AND(AL240&lt;=66),VLOOKUP(I240,'COP Look Up'!$A$13:$B$21,2,TRUE),IF(AND(AL240&gt;=67,AL240&lt;=72),VLOOKUP(I240,'COP Look Up'!$E$13:$F$21,2,TRUE),IF(AND(AL240&gt;=73,AL240&lt;=78),VLOOKUP(I240,'COP Look Up'!$I$13:$J$21,2,TRUE),IF(AND(AL240&gt;=79),VLOOKUP(I240,'COP Look Up'!$M$13:$N$20,2,TRUE),"")))))</f>
        <v/>
      </c>
      <c r="K240" s="122"/>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c r="AH240" s="123"/>
      <c r="AL240" s="143" t="str">
        <f t="shared" si="8"/>
        <v/>
      </c>
    </row>
    <row r="241" spans="1:38" s="108" customFormat="1" ht="15.75">
      <c r="A241" s="119"/>
      <c r="B241" s="120"/>
      <c r="C241" s="111"/>
      <c r="D241" s="111"/>
      <c r="E241" s="121"/>
      <c r="F241" s="121"/>
      <c r="G241" s="113"/>
      <c r="H241" s="113"/>
      <c r="I241" s="144" t="str">
        <f t="shared" si="7"/>
        <v/>
      </c>
      <c r="J241" s="141" t="str">
        <f>IF(I241="","",IF(AND(AL241&lt;=66),VLOOKUP(I241,'COP Look Up'!$A$13:$B$21,2,TRUE),IF(AND(AL241&gt;=67,AL241&lt;=72),VLOOKUP(I241,'COP Look Up'!$E$13:$F$21,2,TRUE),IF(AND(AL241&gt;=73,AL241&lt;=78),VLOOKUP(I241,'COP Look Up'!$I$13:$J$21,2,TRUE),IF(AND(AL241&gt;=79),VLOOKUP(I241,'COP Look Up'!$M$13:$N$20,2,TRUE),"")))))</f>
        <v/>
      </c>
      <c r="K241" s="122"/>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23"/>
      <c r="AL241" s="143" t="str">
        <f t="shared" si="8"/>
        <v/>
      </c>
    </row>
    <row r="242" spans="1:38" s="108" customFormat="1" ht="15.75">
      <c r="A242" s="119"/>
      <c r="B242" s="120"/>
      <c r="C242" s="111"/>
      <c r="D242" s="111"/>
      <c r="E242" s="121"/>
      <c r="F242" s="121"/>
      <c r="G242" s="113"/>
      <c r="H242" s="113"/>
      <c r="I242" s="144" t="str">
        <f t="shared" si="7"/>
        <v/>
      </c>
      <c r="J242" s="141" t="str">
        <f>IF(I242="","",IF(AND(AL242&lt;=66),VLOOKUP(I242,'COP Look Up'!$A$13:$B$21,2,TRUE),IF(AND(AL242&gt;=67,AL242&lt;=72),VLOOKUP(I242,'COP Look Up'!$E$13:$F$21,2,TRUE),IF(AND(AL242&gt;=73,AL242&lt;=78),VLOOKUP(I242,'COP Look Up'!$I$13:$J$21,2,TRUE),IF(AND(AL242&gt;=79),VLOOKUP(I242,'COP Look Up'!$M$13:$N$20,2,TRUE),"")))))</f>
        <v/>
      </c>
      <c r="K242" s="122"/>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c r="AH242" s="123"/>
      <c r="AL242" s="143" t="str">
        <f t="shared" si="8"/>
        <v/>
      </c>
    </row>
    <row r="243" spans="1:38" s="108" customFormat="1" ht="15.75">
      <c r="A243" s="119"/>
      <c r="B243" s="120"/>
      <c r="C243" s="111"/>
      <c r="D243" s="111"/>
      <c r="E243" s="121"/>
      <c r="F243" s="121"/>
      <c r="G243" s="113"/>
      <c r="H243" s="113"/>
      <c r="I243" s="144" t="str">
        <f t="shared" si="7"/>
        <v/>
      </c>
      <c r="J243" s="141" t="str">
        <f>IF(I243="","",IF(AND(AL243&lt;=66),VLOOKUP(I243,'COP Look Up'!$A$13:$B$21,2,TRUE),IF(AND(AL243&gt;=67,AL243&lt;=72),VLOOKUP(I243,'COP Look Up'!$E$13:$F$21,2,TRUE),IF(AND(AL243&gt;=73,AL243&lt;=78),VLOOKUP(I243,'COP Look Up'!$I$13:$J$21,2,TRUE),IF(AND(AL243&gt;=79),VLOOKUP(I243,'COP Look Up'!$M$13:$N$20,2,TRUE),"")))))</f>
        <v/>
      </c>
      <c r="K243" s="122"/>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c r="AH243" s="123"/>
      <c r="AL243" s="143" t="str">
        <f t="shared" si="8"/>
        <v/>
      </c>
    </row>
    <row r="244" spans="1:38" s="108" customFormat="1" ht="15.75">
      <c r="A244" s="119"/>
      <c r="B244" s="120"/>
      <c r="C244" s="111"/>
      <c r="D244" s="111"/>
      <c r="E244" s="121"/>
      <c r="F244" s="121"/>
      <c r="G244" s="113"/>
      <c r="H244" s="113"/>
      <c r="I244" s="144" t="str">
        <f t="shared" si="7"/>
        <v/>
      </c>
      <c r="J244" s="141" t="str">
        <f>IF(I244="","",IF(AND(AL244&lt;=66),VLOOKUP(I244,'COP Look Up'!$A$13:$B$21,2,TRUE),IF(AND(AL244&gt;=67,AL244&lt;=72),VLOOKUP(I244,'COP Look Up'!$E$13:$F$21,2,TRUE),IF(AND(AL244&gt;=73,AL244&lt;=78),VLOOKUP(I244,'COP Look Up'!$I$13:$J$21,2,TRUE),IF(AND(AL244&gt;=79),VLOOKUP(I244,'COP Look Up'!$M$13:$N$20,2,TRUE),"")))))</f>
        <v/>
      </c>
      <c r="K244" s="122"/>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c r="AH244" s="123"/>
      <c r="AL244" s="143" t="str">
        <f t="shared" si="8"/>
        <v/>
      </c>
    </row>
    <row r="245" spans="1:38" s="108" customFormat="1" ht="15.75">
      <c r="A245" s="119"/>
      <c r="B245" s="120"/>
      <c r="C245" s="111"/>
      <c r="D245" s="111"/>
      <c r="E245" s="121"/>
      <c r="F245" s="121"/>
      <c r="G245" s="113"/>
      <c r="H245" s="113"/>
      <c r="I245" s="144" t="str">
        <f t="shared" si="7"/>
        <v/>
      </c>
      <c r="J245" s="141" t="str">
        <f>IF(I245="","",IF(AND(AL245&lt;=66),VLOOKUP(I245,'COP Look Up'!$A$13:$B$21,2,TRUE),IF(AND(AL245&gt;=67,AL245&lt;=72),VLOOKUP(I245,'COP Look Up'!$E$13:$F$21,2,TRUE),IF(AND(AL245&gt;=73,AL245&lt;=78),VLOOKUP(I245,'COP Look Up'!$I$13:$J$21,2,TRUE),IF(AND(AL245&gt;=79),VLOOKUP(I245,'COP Look Up'!$M$13:$N$20,2,TRUE),"")))))</f>
        <v/>
      </c>
      <c r="K245" s="122"/>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23"/>
      <c r="AL245" s="143" t="str">
        <f t="shared" si="8"/>
        <v/>
      </c>
    </row>
    <row r="246" spans="1:38" s="108" customFormat="1" ht="15.75">
      <c r="A246" s="119"/>
      <c r="B246" s="120"/>
      <c r="C246" s="111"/>
      <c r="D246" s="111"/>
      <c r="E246" s="121"/>
      <c r="F246" s="121"/>
      <c r="G246" s="113"/>
      <c r="H246" s="113"/>
      <c r="I246" s="144" t="str">
        <f t="shared" si="7"/>
        <v/>
      </c>
      <c r="J246" s="141" t="str">
        <f>IF(I246="","",IF(AND(AL246&lt;=66),VLOOKUP(I246,'COP Look Up'!$A$13:$B$21,2,TRUE),IF(AND(AL246&gt;=67,AL246&lt;=72),VLOOKUP(I246,'COP Look Up'!$E$13:$F$21,2,TRUE),IF(AND(AL246&gt;=73,AL246&lt;=78),VLOOKUP(I246,'COP Look Up'!$I$13:$J$21,2,TRUE),IF(AND(AL246&gt;=79),VLOOKUP(I246,'COP Look Up'!$M$13:$N$20,2,TRUE),"")))))</f>
        <v/>
      </c>
      <c r="K246" s="122"/>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c r="AH246" s="123"/>
      <c r="AL246" s="143" t="str">
        <f t="shared" si="8"/>
        <v/>
      </c>
    </row>
    <row r="247" spans="1:38" s="108" customFormat="1" ht="15.75">
      <c r="A247" s="119"/>
      <c r="B247" s="120"/>
      <c r="C247" s="111"/>
      <c r="D247" s="111"/>
      <c r="E247" s="121"/>
      <c r="F247" s="121"/>
      <c r="G247" s="113"/>
      <c r="H247" s="113"/>
      <c r="I247" s="144" t="str">
        <f t="shared" si="7"/>
        <v/>
      </c>
      <c r="J247" s="141" t="str">
        <f>IF(I247="","",IF(AND(AL247&lt;=66),VLOOKUP(I247,'COP Look Up'!$A$13:$B$21,2,TRUE),IF(AND(AL247&gt;=67,AL247&lt;=72),VLOOKUP(I247,'COP Look Up'!$E$13:$F$21,2,TRUE),IF(AND(AL247&gt;=73,AL247&lt;=78),VLOOKUP(I247,'COP Look Up'!$I$13:$J$21,2,TRUE),IF(AND(AL247&gt;=79),VLOOKUP(I247,'COP Look Up'!$M$13:$N$20,2,TRUE),"")))))</f>
        <v/>
      </c>
      <c r="K247" s="122"/>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c r="AH247" s="123"/>
      <c r="AL247" s="143" t="str">
        <f t="shared" si="8"/>
        <v/>
      </c>
    </row>
    <row r="248" spans="1:38" s="108" customFormat="1" ht="15.75">
      <c r="A248" s="119"/>
      <c r="B248" s="120"/>
      <c r="C248" s="111"/>
      <c r="D248" s="111"/>
      <c r="E248" s="121"/>
      <c r="F248" s="121"/>
      <c r="G248" s="113"/>
      <c r="H248" s="113"/>
      <c r="I248" s="144" t="str">
        <f t="shared" si="7"/>
        <v/>
      </c>
      <c r="J248" s="141" t="str">
        <f>IF(I248="","",IF(AND(AL248&lt;=66),VLOOKUP(I248,'COP Look Up'!$A$13:$B$21,2,TRUE),IF(AND(AL248&gt;=67,AL248&lt;=72),VLOOKUP(I248,'COP Look Up'!$E$13:$F$21,2,TRUE),IF(AND(AL248&gt;=73,AL248&lt;=78),VLOOKUP(I248,'COP Look Up'!$I$13:$J$21,2,TRUE),IF(AND(AL248&gt;=79),VLOOKUP(I248,'COP Look Up'!$M$13:$N$20,2,TRUE),"")))))</f>
        <v/>
      </c>
      <c r="K248" s="122"/>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c r="AH248" s="123"/>
      <c r="AL248" s="143" t="str">
        <f t="shared" si="8"/>
        <v/>
      </c>
    </row>
    <row r="249" spans="1:38" s="108" customFormat="1" ht="15.75">
      <c r="A249" s="119"/>
      <c r="B249" s="120"/>
      <c r="C249" s="111"/>
      <c r="D249" s="111"/>
      <c r="E249" s="121"/>
      <c r="F249" s="121"/>
      <c r="G249" s="113"/>
      <c r="H249" s="113"/>
      <c r="I249" s="144" t="str">
        <f t="shared" si="7"/>
        <v/>
      </c>
      <c r="J249" s="141" t="str">
        <f>IF(I249="","",IF(AND(AL249&lt;=66),VLOOKUP(I249,'COP Look Up'!$A$13:$B$21,2,TRUE),IF(AND(AL249&gt;=67,AL249&lt;=72),VLOOKUP(I249,'COP Look Up'!$E$13:$F$21,2,TRUE),IF(AND(AL249&gt;=73,AL249&lt;=78),VLOOKUP(I249,'COP Look Up'!$I$13:$J$21,2,TRUE),IF(AND(AL249&gt;=79),VLOOKUP(I249,'COP Look Up'!$M$13:$N$20,2,TRUE),"")))))</f>
        <v/>
      </c>
      <c r="K249" s="122"/>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c r="AH249" s="123"/>
      <c r="AL249" s="143" t="str">
        <f t="shared" si="8"/>
        <v/>
      </c>
    </row>
    <row r="250" spans="1:38" s="108" customFormat="1" ht="15.75">
      <c r="A250" s="119"/>
      <c r="B250" s="120"/>
      <c r="C250" s="111"/>
      <c r="D250" s="111"/>
      <c r="E250" s="121"/>
      <c r="F250" s="121"/>
      <c r="G250" s="113"/>
      <c r="H250" s="113"/>
      <c r="I250" s="144" t="str">
        <f t="shared" si="7"/>
        <v/>
      </c>
      <c r="J250" s="141" t="str">
        <f>IF(I250="","",IF(AND(AL250&lt;=66),VLOOKUP(I250,'COP Look Up'!$A$13:$B$21,2,TRUE),IF(AND(AL250&gt;=67,AL250&lt;=72),VLOOKUP(I250,'COP Look Up'!$E$13:$F$21,2,TRUE),IF(AND(AL250&gt;=73,AL250&lt;=78),VLOOKUP(I250,'COP Look Up'!$I$13:$J$21,2,TRUE),IF(AND(AL250&gt;=79),VLOOKUP(I250,'COP Look Up'!$M$13:$N$20,2,TRUE),"")))))</f>
        <v/>
      </c>
      <c r="K250" s="122"/>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23"/>
      <c r="AL250" s="143" t="str">
        <f t="shared" si="8"/>
        <v/>
      </c>
    </row>
    <row r="251" spans="1:38" s="108" customFormat="1" ht="15.75">
      <c r="A251" s="119"/>
      <c r="B251" s="120"/>
      <c r="C251" s="111"/>
      <c r="D251" s="111"/>
      <c r="E251" s="121"/>
      <c r="F251" s="121"/>
      <c r="G251" s="113"/>
      <c r="H251" s="113"/>
      <c r="I251" s="144" t="str">
        <f t="shared" si="7"/>
        <v/>
      </c>
      <c r="J251" s="141" t="str">
        <f>IF(I251="","",IF(AND(AL251&lt;=66),VLOOKUP(I251,'COP Look Up'!$A$13:$B$21,2,TRUE),IF(AND(AL251&gt;=67,AL251&lt;=72),VLOOKUP(I251,'COP Look Up'!$E$13:$F$21,2,TRUE),IF(AND(AL251&gt;=73,AL251&lt;=78),VLOOKUP(I251,'COP Look Up'!$I$13:$J$21,2,TRUE),IF(AND(AL251&gt;=79),VLOOKUP(I251,'COP Look Up'!$M$13:$N$20,2,TRUE),"")))))</f>
        <v/>
      </c>
      <c r="K251" s="122"/>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23"/>
      <c r="AL251" s="143" t="str">
        <f t="shared" si="8"/>
        <v/>
      </c>
    </row>
    <row r="252" spans="1:38" s="108" customFormat="1" ht="15.75">
      <c r="A252" s="119"/>
      <c r="B252" s="120"/>
      <c r="C252" s="111"/>
      <c r="D252" s="111"/>
      <c r="E252" s="121"/>
      <c r="F252" s="121"/>
      <c r="G252" s="113"/>
      <c r="H252" s="113"/>
      <c r="I252" s="144" t="str">
        <f t="shared" si="7"/>
        <v/>
      </c>
      <c r="J252" s="141" t="str">
        <f>IF(I252="","",IF(AND(AL252&lt;=66),VLOOKUP(I252,'COP Look Up'!$A$13:$B$21,2,TRUE),IF(AND(AL252&gt;=67,AL252&lt;=72),VLOOKUP(I252,'COP Look Up'!$E$13:$F$21,2,TRUE),IF(AND(AL252&gt;=73,AL252&lt;=78),VLOOKUP(I252,'COP Look Up'!$I$13:$J$21,2,TRUE),IF(AND(AL252&gt;=79),VLOOKUP(I252,'COP Look Up'!$M$13:$N$20,2,TRUE),"")))))</f>
        <v/>
      </c>
      <c r="K252" s="122"/>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c r="AH252" s="123"/>
      <c r="AL252" s="143" t="str">
        <f t="shared" si="8"/>
        <v/>
      </c>
    </row>
    <row r="253" spans="1:38" s="108" customFormat="1" ht="15.75">
      <c r="A253" s="119"/>
      <c r="B253" s="120"/>
      <c r="C253" s="111"/>
      <c r="D253" s="111"/>
      <c r="E253" s="121"/>
      <c r="F253" s="121"/>
      <c r="G253" s="113"/>
      <c r="H253" s="113"/>
      <c r="I253" s="144" t="str">
        <f t="shared" si="7"/>
        <v/>
      </c>
      <c r="J253" s="141" t="str">
        <f>IF(I253="","",IF(AND(AL253&lt;=66),VLOOKUP(I253,'COP Look Up'!$A$13:$B$21,2,TRUE),IF(AND(AL253&gt;=67,AL253&lt;=72),VLOOKUP(I253,'COP Look Up'!$E$13:$F$21,2,TRUE),IF(AND(AL253&gt;=73,AL253&lt;=78),VLOOKUP(I253,'COP Look Up'!$I$13:$J$21,2,TRUE),IF(AND(AL253&gt;=79),VLOOKUP(I253,'COP Look Up'!$M$13:$N$20,2,TRUE),"")))))</f>
        <v/>
      </c>
      <c r="K253" s="122"/>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c r="AH253" s="123"/>
      <c r="AL253" s="143" t="str">
        <f t="shared" si="8"/>
        <v/>
      </c>
    </row>
    <row r="254" spans="1:38" s="108" customFormat="1" ht="15.75">
      <c r="A254" s="119"/>
      <c r="B254" s="120"/>
      <c r="C254" s="111"/>
      <c r="D254" s="111"/>
      <c r="E254" s="121"/>
      <c r="F254" s="121"/>
      <c r="G254" s="113"/>
      <c r="H254" s="113"/>
      <c r="I254" s="144" t="str">
        <f t="shared" si="7"/>
        <v/>
      </c>
      <c r="J254" s="141" t="str">
        <f>IF(I254="","",IF(AND(AL254&lt;=66),VLOOKUP(I254,'COP Look Up'!$A$13:$B$21,2,TRUE),IF(AND(AL254&gt;=67,AL254&lt;=72),VLOOKUP(I254,'COP Look Up'!$E$13:$F$21,2,TRUE),IF(AND(AL254&gt;=73,AL254&lt;=78),VLOOKUP(I254,'COP Look Up'!$I$13:$J$21,2,TRUE),IF(AND(AL254&gt;=79),VLOOKUP(I254,'COP Look Up'!$M$13:$N$20,2,TRUE),"")))))</f>
        <v/>
      </c>
      <c r="K254" s="122"/>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c r="AH254" s="123"/>
      <c r="AL254" s="143" t="str">
        <f t="shared" si="8"/>
        <v/>
      </c>
    </row>
    <row r="255" spans="1:38" s="108" customFormat="1" ht="15.75">
      <c r="A255" s="119"/>
      <c r="B255" s="120"/>
      <c r="C255" s="111"/>
      <c r="D255" s="111"/>
      <c r="E255" s="121"/>
      <c r="F255" s="121"/>
      <c r="G255" s="113"/>
      <c r="H255" s="113"/>
      <c r="I255" s="144" t="str">
        <f t="shared" si="7"/>
        <v/>
      </c>
      <c r="J255" s="141" t="str">
        <f>IF(I255="","",IF(AND(AL255&lt;=66),VLOOKUP(I255,'COP Look Up'!$A$13:$B$21,2,TRUE),IF(AND(AL255&gt;=67,AL255&lt;=72),VLOOKUP(I255,'COP Look Up'!$E$13:$F$21,2,TRUE),IF(AND(AL255&gt;=73,AL255&lt;=78),VLOOKUP(I255,'COP Look Up'!$I$13:$J$21,2,TRUE),IF(AND(AL255&gt;=79),VLOOKUP(I255,'COP Look Up'!$M$13:$N$20,2,TRUE),"")))))</f>
        <v/>
      </c>
      <c r="K255" s="122"/>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23"/>
      <c r="AL255" s="143" t="str">
        <f t="shared" si="8"/>
        <v/>
      </c>
    </row>
    <row r="256" spans="1:38" s="108" customFormat="1" ht="15.75">
      <c r="A256" s="119"/>
      <c r="B256" s="120"/>
      <c r="C256" s="111"/>
      <c r="D256" s="111"/>
      <c r="E256" s="121"/>
      <c r="F256" s="121"/>
      <c r="G256" s="113"/>
      <c r="H256" s="113"/>
      <c r="I256" s="144" t="str">
        <f t="shared" si="7"/>
        <v/>
      </c>
      <c r="J256" s="141" t="str">
        <f>IF(I256="","",IF(AND(AL256&lt;=66),VLOOKUP(I256,'COP Look Up'!$A$13:$B$21,2,TRUE),IF(AND(AL256&gt;=67,AL256&lt;=72),VLOOKUP(I256,'COP Look Up'!$E$13:$F$21,2,TRUE),IF(AND(AL256&gt;=73,AL256&lt;=78),VLOOKUP(I256,'COP Look Up'!$I$13:$J$21,2,TRUE),IF(AND(AL256&gt;=79),VLOOKUP(I256,'COP Look Up'!$M$13:$N$20,2,TRUE),"")))))</f>
        <v/>
      </c>
      <c r="K256" s="122"/>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23"/>
      <c r="AL256" s="143" t="str">
        <f t="shared" si="8"/>
        <v/>
      </c>
    </row>
    <row r="257" spans="1:38" s="108" customFormat="1" ht="15.75">
      <c r="A257" s="119"/>
      <c r="B257" s="120"/>
      <c r="C257" s="111"/>
      <c r="D257" s="111"/>
      <c r="E257" s="121"/>
      <c r="F257" s="121"/>
      <c r="G257" s="113"/>
      <c r="H257" s="113"/>
      <c r="I257" s="144" t="str">
        <f t="shared" si="7"/>
        <v/>
      </c>
      <c r="J257" s="141" t="str">
        <f>IF(I257="","",IF(AND(AL257&lt;=66),VLOOKUP(I257,'COP Look Up'!$A$13:$B$21,2,TRUE),IF(AND(AL257&gt;=67,AL257&lt;=72),VLOOKUP(I257,'COP Look Up'!$E$13:$F$21,2,TRUE),IF(AND(AL257&gt;=73,AL257&lt;=78),VLOOKUP(I257,'COP Look Up'!$I$13:$J$21,2,TRUE),IF(AND(AL257&gt;=79),VLOOKUP(I257,'COP Look Up'!$M$13:$N$20,2,TRUE),"")))))</f>
        <v/>
      </c>
      <c r="K257" s="122"/>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23"/>
      <c r="AL257" s="143" t="str">
        <f t="shared" si="8"/>
        <v/>
      </c>
    </row>
    <row r="258" spans="1:38" s="108" customFormat="1" ht="15.75">
      <c r="A258" s="119"/>
      <c r="B258" s="120"/>
      <c r="C258" s="111"/>
      <c r="D258" s="111"/>
      <c r="E258" s="121"/>
      <c r="F258" s="121"/>
      <c r="G258" s="113"/>
      <c r="H258" s="113"/>
      <c r="I258" s="144" t="str">
        <f t="shared" si="7"/>
        <v/>
      </c>
      <c r="J258" s="141" t="str">
        <f>IF(I258="","",IF(AND(AL258&lt;=66),VLOOKUP(I258,'COP Look Up'!$A$13:$B$21,2,TRUE),IF(AND(AL258&gt;=67,AL258&lt;=72),VLOOKUP(I258,'COP Look Up'!$E$13:$F$21,2,TRUE),IF(AND(AL258&gt;=73,AL258&lt;=78),VLOOKUP(I258,'COP Look Up'!$I$13:$J$21,2,TRUE),IF(AND(AL258&gt;=79),VLOOKUP(I258,'COP Look Up'!$M$13:$N$20,2,TRUE),"")))))</f>
        <v/>
      </c>
      <c r="K258" s="122"/>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c r="AH258" s="123"/>
      <c r="AL258" s="143" t="str">
        <f t="shared" si="8"/>
        <v/>
      </c>
    </row>
    <row r="259" spans="1:38" s="108" customFormat="1" ht="15.75">
      <c r="A259" s="119"/>
      <c r="B259" s="120"/>
      <c r="C259" s="111"/>
      <c r="D259" s="111"/>
      <c r="E259" s="121"/>
      <c r="F259" s="121"/>
      <c r="G259" s="113"/>
      <c r="H259" s="113"/>
      <c r="I259" s="144" t="str">
        <f t="shared" si="7"/>
        <v/>
      </c>
      <c r="J259" s="141" t="str">
        <f>IF(I259="","",IF(AND(AL259&lt;=66),VLOOKUP(I259,'COP Look Up'!$A$13:$B$21,2,TRUE),IF(AND(AL259&gt;=67,AL259&lt;=72),VLOOKUP(I259,'COP Look Up'!$E$13:$F$21,2,TRUE),IF(AND(AL259&gt;=73,AL259&lt;=78),VLOOKUP(I259,'COP Look Up'!$I$13:$J$21,2,TRUE),IF(AND(AL259&gt;=79),VLOOKUP(I259,'COP Look Up'!$M$13:$N$20,2,TRUE),"")))))</f>
        <v/>
      </c>
      <c r="K259" s="122"/>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23"/>
      <c r="AL259" s="143" t="str">
        <f t="shared" si="8"/>
        <v/>
      </c>
    </row>
    <row r="260" spans="1:38" s="108" customFormat="1" ht="15.75">
      <c r="A260" s="119"/>
      <c r="B260" s="120"/>
      <c r="C260" s="111"/>
      <c r="D260" s="111"/>
      <c r="E260" s="121"/>
      <c r="F260" s="121"/>
      <c r="G260" s="113"/>
      <c r="H260" s="113"/>
      <c r="I260" s="144" t="str">
        <f t="shared" si="7"/>
        <v/>
      </c>
      <c r="J260" s="141" t="str">
        <f>IF(I260="","",IF(AND(AL260&lt;=66),VLOOKUP(I260,'COP Look Up'!$A$13:$B$21,2,TRUE),IF(AND(AL260&gt;=67,AL260&lt;=72),VLOOKUP(I260,'COP Look Up'!$E$13:$F$21,2,TRUE),IF(AND(AL260&gt;=73,AL260&lt;=78),VLOOKUP(I260,'COP Look Up'!$I$13:$J$21,2,TRUE),IF(AND(AL260&gt;=79),VLOOKUP(I260,'COP Look Up'!$M$13:$N$20,2,TRUE),"")))))</f>
        <v/>
      </c>
      <c r="K260" s="122"/>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c r="AH260" s="123"/>
      <c r="AL260" s="143" t="str">
        <f t="shared" si="8"/>
        <v/>
      </c>
    </row>
    <row r="261" spans="1:38" s="108" customFormat="1" ht="15.75">
      <c r="A261" s="119"/>
      <c r="B261" s="120"/>
      <c r="C261" s="111"/>
      <c r="D261" s="111"/>
      <c r="E261" s="121"/>
      <c r="F261" s="121"/>
      <c r="G261" s="113"/>
      <c r="H261" s="113"/>
      <c r="I261" s="144" t="str">
        <f t="shared" si="7"/>
        <v/>
      </c>
      <c r="J261" s="141" t="str">
        <f>IF(I261="","",IF(AND(AL261&lt;=66),VLOOKUP(I261,'COP Look Up'!$A$13:$B$21,2,TRUE),IF(AND(AL261&gt;=67,AL261&lt;=72),VLOOKUP(I261,'COP Look Up'!$E$13:$F$21,2,TRUE),IF(AND(AL261&gt;=73,AL261&lt;=78),VLOOKUP(I261,'COP Look Up'!$I$13:$J$21,2,TRUE),IF(AND(AL261&gt;=79),VLOOKUP(I261,'COP Look Up'!$M$13:$N$20,2,TRUE),"")))))</f>
        <v/>
      </c>
      <c r="K261" s="122"/>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c r="AH261" s="123"/>
      <c r="AL261" s="143" t="str">
        <f t="shared" si="8"/>
        <v/>
      </c>
    </row>
    <row r="262" spans="1:38" s="108" customFormat="1" ht="15.75">
      <c r="A262" s="119"/>
      <c r="B262" s="120"/>
      <c r="C262" s="111"/>
      <c r="D262" s="111"/>
      <c r="E262" s="121"/>
      <c r="F262" s="121"/>
      <c r="G262" s="113"/>
      <c r="H262" s="113"/>
      <c r="I262" s="144" t="str">
        <f t="shared" si="7"/>
        <v/>
      </c>
      <c r="J262" s="141" t="str">
        <f>IF(I262="","",IF(AND(AL262&lt;=66),VLOOKUP(I262,'COP Look Up'!$A$13:$B$21,2,TRUE),IF(AND(AL262&gt;=67,AL262&lt;=72),VLOOKUP(I262,'COP Look Up'!$E$13:$F$21,2,TRUE),IF(AND(AL262&gt;=73,AL262&lt;=78),VLOOKUP(I262,'COP Look Up'!$I$13:$J$21,2,TRUE),IF(AND(AL262&gt;=79),VLOOKUP(I262,'COP Look Up'!$M$13:$N$20,2,TRUE),"")))))</f>
        <v/>
      </c>
      <c r="K262" s="122"/>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23"/>
      <c r="AL262" s="143" t="str">
        <f t="shared" si="8"/>
        <v/>
      </c>
    </row>
    <row r="263" spans="1:38" s="108" customFormat="1" ht="15.75">
      <c r="A263" s="119"/>
      <c r="B263" s="120"/>
      <c r="C263" s="111"/>
      <c r="D263" s="111"/>
      <c r="E263" s="121"/>
      <c r="F263" s="121"/>
      <c r="G263" s="113"/>
      <c r="H263" s="113"/>
      <c r="I263" s="144" t="str">
        <f t="shared" si="7"/>
        <v/>
      </c>
      <c r="J263" s="141" t="str">
        <f>IF(I263="","",IF(AND(AL263&lt;=66),VLOOKUP(I263,'COP Look Up'!$A$13:$B$21,2,TRUE),IF(AND(AL263&gt;=67,AL263&lt;=72),VLOOKUP(I263,'COP Look Up'!$E$13:$F$21,2,TRUE),IF(AND(AL263&gt;=73,AL263&lt;=78),VLOOKUP(I263,'COP Look Up'!$I$13:$J$21,2,TRUE),IF(AND(AL263&gt;=79),VLOOKUP(I263,'COP Look Up'!$M$13:$N$20,2,TRUE),"")))))</f>
        <v/>
      </c>
      <c r="K263" s="122"/>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c r="AH263" s="123"/>
      <c r="AL263" s="143" t="str">
        <f t="shared" si="8"/>
        <v/>
      </c>
    </row>
    <row r="264" spans="1:38" s="108" customFormat="1" ht="15.75">
      <c r="A264" s="119"/>
      <c r="B264" s="120"/>
      <c r="C264" s="111"/>
      <c r="D264" s="111"/>
      <c r="E264" s="121"/>
      <c r="F264" s="121"/>
      <c r="G264" s="113"/>
      <c r="H264" s="113"/>
      <c r="I264" s="144" t="str">
        <f t="shared" si="7"/>
        <v/>
      </c>
      <c r="J264" s="141" t="str">
        <f>IF(I264="","",IF(AND(AL264&lt;=66),VLOOKUP(I264,'COP Look Up'!$A$13:$B$21,2,TRUE),IF(AND(AL264&gt;=67,AL264&lt;=72),VLOOKUP(I264,'COP Look Up'!$E$13:$F$21,2,TRUE),IF(AND(AL264&gt;=73,AL264&lt;=78),VLOOKUP(I264,'COP Look Up'!$I$13:$J$21,2,TRUE),IF(AND(AL264&gt;=79),VLOOKUP(I264,'COP Look Up'!$M$13:$N$20,2,TRUE),"")))))</f>
        <v/>
      </c>
      <c r="K264" s="122"/>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23"/>
      <c r="AL264" s="143" t="str">
        <f t="shared" si="8"/>
        <v/>
      </c>
    </row>
    <row r="265" spans="1:38" s="108" customFormat="1" ht="15.75">
      <c r="A265" s="119"/>
      <c r="B265" s="120"/>
      <c r="C265" s="111"/>
      <c r="D265" s="111"/>
      <c r="E265" s="121"/>
      <c r="F265" s="121"/>
      <c r="G265" s="113"/>
      <c r="H265" s="113"/>
      <c r="I265" s="144" t="str">
        <f t="shared" ref="I265:I328" si="9">IF(E265="","",COUNTIF(K265:AH265,"y"))</f>
        <v/>
      </c>
      <c r="J265" s="141" t="str">
        <f>IF(I265="","",IF(AND(AL265&lt;=66),VLOOKUP(I265,'COP Look Up'!$A$13:$B$21,2,TRUE),IF(AND(AL265&gt;=67,AL265&lt;=72),VLOOKUP(I265,'COP Look Up'!$E$13:$F$21,2,TRUE),IF(AND(AL265&gt;=73,AL265&lt;=78),VLOOKUP(I265,'COP Look Up'!$I$13:$J$21,2,TRUE),IF(AND(AL265&gt;=79),VLOOKUP(I265,'COP Look Up'!$M$13:$N$20,2,TRUE),"")))))</f>
        <v/>
      </c>
      <c r="K265" s="122"/>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c r="AH265" s="123"/>
      <c r="AL265" s="143" t="str">
        <f t="shared" ref="AL265:AL328" si="10">IF(E265="","",DATEDIF(B265,A265,"m"))</f>
        <v/>
      </c>
    </row>
    <row r="266" spans="1:38" s="108" customFormat="1" ht="15.75">
      <c r="A266" s="119"/>
      <c r="B266" s="120"/>
      <c r="C266" s="111"/>
      <c r="D266" s="111"/>
      <c r="E266" s="121"/>
      <c r="F266" s="121"/>
      <c r="G266" s="113"/>
      <c r="H266" s="113"/>
      <c r="I266" s="144" t="str">
        <f t="shared" si="9"/>
        <v/>
      </c>
      <c r="J266" s="141" t="str">
        <f>IF(I266="","",IF(AND(AL266&lt;=66),VLOOKUP(I266,'COP Look Up'!$A$13:$B$21,2,TRUE),IF(AND(AL266&gt;=67,AL266&lt;=72),VLOOKUP(I266,'COP Look Up'!$E$13:$F$21,2,TRUE),IF(AND(AL266&gt;=73,AL266&lt;=78),VLOOKUP(I266,'COP Look Up'!$I$13:$J$21,2,TRUE),IF(AND(AL266&gt;=79),VLOOKUP(I266,'COP Look Up'!$M$13:$N$20,2,TRUE),"")))))</f>
        <v/>
      </c>
      <c r="K266" s="122"/>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c r="AH266" s="123"/>
      <c r="AL266" s="143" t="str">
        <f t="shared" si="10"/>
        <v/>
      </c>
    </row>
    <row r="267" spans="1:38" s="108" customFormat="1" ht="15.75">
      <c r="A267" s="119"/>
      <c r="B267" s="120"/>
      <c r="C267" s="111"/>
      <c r="D267" s="111"/>
      <c r="E267" s="121"/>
      <c r="F267" s="121"/>
      <c r="G267" s="113"/>
      <c r="H267" s="113"/>
      <c r="I267" s="144" t="str">
        <f t="shared" si="9"/>
        <v/>
      </c>
      <c r="J267" s="141" t="str">
        <f>IF(I267="","",IF(AND(AL267&lt;=66),VLOOKUP(I267,'COP Look Up'!$A$13:$B$21,2,TRUE),IF(AND(AL267&gt;=67,AL267&lt;=72),VLOOKUP(I267,'COP Look Up'!$E$13:$F$21,2,TRUE),IF(AND(AL267&gt;=73,AL267&lt;=78),VLOOKUP(I267,'COP Look Up'!$I$13:$J$21,2,TRUE),IF(AND(AL267&gt;=79),VLOOKUP(I267,'COP Look Up'!$M$13:$N$20,2,TRUE),"")))))</f>
        <v/>
      </c>
      <c r="K267" s="122"/>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c r="AH267" s="123"/>
      <c r="AL267" s="143" t="str">
        <f t="shared" si="10"/>
        <v/>
      </c>
    </row>
    <row r="268" spans="1:38" s="108" customFormat="1" ht="15.75">
      <c r="A268" s="119"/>
      <c r="B268" s="120"/>
      <c r="C268" s="111"/>
      <c r="D268" s="111"/>
      <c r="E268" s="121"/>
      <c r="F268" s="121"/>
      <c r="G268" s="113"/>
      <c r="H268" s="113"/>
      <c r="I268" s="144" t="str">
        <f t="shared" si="9"/>
        <v/>
      </c>
      <c r="J268" s="141" t="str">
        <f>IF(I268="","",IF(AND(AL268&lt;=66),VLOOKUP(I268,'COP Look Up'!$A$13:$B$21,2,TRUE),IF(AND(AL268&gt;=67,AL268&lt;=72),VLOOKUP(I268,'COP Look Up'!$E$13:$F$21,2,TRUE),IF(AND(AL268&gt;=73,AL268&lt;=78),VLOOKUP(I268,'COP Look Up'!$I$13:$J$21,2,TRUE),IF(AND(AL268&gt;=79),VLOOKUP(I268,'COP Look Up'!$M$13:$N$20,2,TRUE),"")))))</f>
        <v/>
      </c>
      <c r="K268" s="122"/>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c r="AH268" s="123"/>
      <c r="AL268" s="143" t="str">
        <f t="shared" si="10"/>
        <v/>
      </c>
    </row>
    <row r="269" spans="1:38" s="108" customFormat="1" ht="15.75">
      <c r="A269" s="119"/>
      <c r="B269" s="120"/>
      <c r="C269" s="111"/>
      <c r="D269" s="111"/>
      <c r="E269" s="121"/>
      <c r="F269" s="121"/>
      <c r="G269" s="113"/>
      <c r="H269" s="113"/>
      <c r="I269" s="144" t="str">
        <f t="shared" si="9"/>
        <v/>
      </c>
      <c r="J269" s="141" t="str">
        <f>IF(I269="","",IF(AND(AL269&lt;=66),VLOOKUP(I269,'COP Look Up'!$A$13:$B$21,2,TRUE),IF(AND(AL269&gt;=67,AL269&lt;=72),VLOOKUP(I269,'COP Look Up'!$E$13:$F$21,2,TRUE),IF(AND(AL269&gt;=73,AL269&lt;=78),VLOOKUP(I269,'COP Look Up'!$I$13:$J$21,2,TRUE),IF(AND(AL269&gt;=79),VLOOKUP(I269,'COP Look Up'!$M$13:$N$20,2,TRUE),"")))))</f>
        <v/>
      </c>
      <c r="K269" s="122"/>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c r="AH269" s="123"/>
      <c r="AL269" s="143" t="str">
        <f t="shared" si="10"/>
        <v/>
      </c>
    </row>
    <row r="270" spans="1:38" s="108" customFormat="1" ht="15.75">
      <c r="A270" s="119"/>
      <c r="B270" s="120"/>
      <c r="C270" s="111"/>
      <c r="D270" s="111"/>
      <c r="E270" s="121"/>
      <c r="F270" s="121"/>
      <c r="G270" s="113"/>
      <c r="H270" s="113"/>
      <c r="I270" s="144" t="str">
        <f t="shared" si="9"/>
        <v/>
      </c>
      <c r="J270" s="141" t="str">
        <f>IF(I270="","",IF(AND(AL270&lt;=66),VLOOKUP(I270,'COP Look Up'!$A$13:$B$21,2,TRUE),IF(AND(AL270&gt;=67,AL270&lt;=72),VLOOKUP(I270,'COP Look Up'!$E$13:$F$21,2,TRUE),IF(AND(AL270&gt;=73,AL270&lt;=78),VLOOKUP(I270,'COP Look Up'!$I$13:$J$21,2,TRUE),IF(AND(AL270&gt;=79),VLOOKUP(I270,'COP Look Up'!$M$13:$N$20,2,TRUE),"")))))</f>
        <v/>
      </c>
      <c r="K270" s="122"/>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c r="AH270" s="123"/>
      <c r="AL270" s="143" t="str">
        <f t="shared" si="10"/>
        <v/>
      </c>
    </row>
    <row r="271" spans="1:38" s="108" customFormat="1" ht="15.75">
      <c r="A271" s="119"/>
      <c r="B271" s="120"/>
      <c r="C271" s="111"/>
      <c r="D271" s="111"/>
      <c r="E271" s="121"/>
      <c r="F271" s="121"/>
      <c r="G271" s="113"/>
      <c r="H271" s="113"/>
      <c r="I271" s="144" t="str">
        <f t="shared" si="9"/>
        <v/>
      </c>
      <c r="J271" s="141" t="str">
        <f>IF(I271="","",IF(AND(AL271&lt;=66),VLOOKUP(I271,'COP Look Up'!$A$13:$B$21,2,TRUE),IF(AND(AL271&gt;=67,AL271&lt;=72),VLOOKUP(I271,'COP Look Up'!$E$13:$F$21,2,TRUE),IF(AND(AL271&gt;=73,AL271&lt;=78),VLOOKUP(I271,'COP Look Up'!$I$13:$J$21,2,TRUE),IF(AND(AL271&gt;=79),VLOOKUP(I271,'COP Look Up'!$M$13:$N$20,2,TRUE),"")))))</f>
        <v/>
      </c>
      <c r="K271" s="122"/>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23"/>
      <c r="AL271" s="143" t="str">
        <f t="shared" si="10"/>
        <v/>
      </c>
    </row>
    <row r="272" spans="1:38" s="108" customFormat="1" ht="15.75">
      <c r="A272" s="119"/>
      <c r="B272" s="120"/>
      <c r="C272" s="111"/>
      <c r="D272" s="111"/>
      <c r="E272" s="121"/>
      <c r="F272" s="121"/>
      <c r="G272" s="113"/>
      <c r="H272" s="113"/>
      <c r="I272" s="144" t="str">
        <f t="shared" si="9"/>
        <v/>
      </c>
      <c r="J272" s="141" t="str">
        <f>IF(I272="","",IF(AND(AL272&lt;=66),VLOOKUP(I272,'COP Look Up'!$A$13:$B$21,2,TRUE),IF(AND(AL272&gt;=67,AL272&lt;=72),VLOOKUP(I272,'COP Look Up'!$E$13:$F$21,2,TRUE),IF(AND(AL272&gt;=73,AL272&lt;=78),VLOOKUP(I272,'COP Look Up'!$I$13:$J$21,2,TRUE),IF(AND(AL272&gt;=79),VLOOKUP(I272,'COP Look Up'!$M$13:$N$20,2,TRUE),"")))))</f>
        <v/>
      </c>
      <c r="K272" s="122"/>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c r="AH272" s="123"/>
      <c r="AL272" s="143" t="str">
        <f t="shared" si="10"/>
        <v/>
      </c>
    </row>
    <row r="273" spans="1:38" s="108" customFormat="1" ht="15.75">
      <c r="A273" s="119"/>
      <c r="B273" s="120"/>
      <c r="C273" s="111"/>
      <c r="D273" s="111"/>
      <c r="E273" s="121"/>
      <c r="F273" s="121"/>
      <c r="G273" s="113"/>
      <c r="H273" s="113"/>
      <c r="I273" s="144" t="str">
        <f t="shared" si="9"/>
        <v/>
      </c>
      <c r="J273" s="141" t="str">
        <f>IF(I273="","",IF(AND(AL273&lt;=66),VLOOKUP(I273,'COP Look Up'!$A$13:$B$21,2,TRUE),IF(AND(AL273&gt;=67,AL273&lt;=72),VLOOKUP(I273,'COP Look Up'!$E$13:$F$21,2,TRUE),IF(AND(AL273&gt;=73,AL273&lt;=78),VLOOKUP(I273,'COP Look Up'!$I$13:$J$21,2,TRUE),IF(AND(AL273&gt;=79),VLOOKUP(I273,'COP Look Up'!$M$13:$N$20,2,TRUE),"")))))</f>
        <v/>
      </c>
      <c r="K273" s="122"/>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c r="AH273" s="123"/>
      <c r="AL273" s="143" t="str">
        <f t="shared" si="10"/>
        <v/>
      </c>
    </row>
    <row r="274" spans="1:38" s="108" customFormat="1" ht="15.75">
      <c r="A274" s="119"/>
      <c r="B274" s="120"/>
      <c r="C274" s="111"/>
      <c r="D274" s="111"/>
      <c r="E274" s="121"/>
      <c r="F274" s="121"/>
      <c r="G274" s="113"/>
      <c r="H274" s="113"/>
      <c r="I274" s="144" t="str">
        <f t="shared" si="9"/>
        <v/>
      </c>
      <c r="J274" s="141" t="str">
        <f>IF(I274="","",IF(AND(AL274&lt;=66),VLOOKUP(I274,'COP Look Up'!$A$13:$B$21,2,TRUE),IF(AND(AL274&gt;=67,AL274&lt;=72),VLOOKUP(I274,'COP Look Up'!$E$13:$F$21,2,TRUE),IF(AND(AL274&gt;=73,AL274&lt;=78),VLOOKUP(I274,'COP Look Up'!$I$13:$J$21,2,TRUE),IF(AND(AL274&gt;=79),VLOOKUP(I274,'COP Look Up'!$M$13:$N$20,2,TRUE),"")))))</f>
        <v/>
      </c>
      <c r="K274" s="122"/>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23"/>
      <c r="AL274" s="143" t="str">
        <f t="shared" si="10"/>
        <v/>
      </c>
    </row>
    <row r="275" spans="1:38" s="108" customFormat="1" ht="15.75">
      <c r="A275" s="119"/>
      <c r="B275" s="120"/>
      <c r="C275" s="111"/>
      <c r="D275" s="111"/>
      <c r="E275" s="121"/>
      <c r="F275" s="121"/>
      <c r="G275" s="113"/>
      <c r="H275" s="113"/>
      <c r="I275" s="144" t="str">
        <f t="shared" si="9"/>
        <v/>
      </c>
      <c r="J275" s="141" t="str">
        <f>IF(I275="","",IF(AND(AL275&lt;=66),VLOOKUP(I275,'COP Look Up'!$A$13:$B$21,2,TRUE),IF(AND(AL275&gt;=67,AL275&lt;=72),VLOOKUP(I275,'COP Look Up'!$E$13:$F$21,2,TRUE),IF(AND(AL275&gt;=73,AL275&lt;=78),VLOOKUP(I275,'COP Look Up'!$I$13:$J$21,2,TRUE),IF(AND(AL275&gt;=79),VLOOKUP(I275,'COP Look Up'!$M$13:$N$20,2,TRUE),"")))))</f>
        <v/>
      </c>
      <c r="K275" s="122"/>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c r="AH275" s="123"/>
      <c r="AL275" s="143" t="str">
        <f t="shared" si="10"/>
        <v/>
      </c>
    </row>
    <row r="276" spans="1:38" s="108" customFormat="1" ht="15.75">
      <c r="A276" s="119"/>
      <c r="B276" s="120"/>
      <c r="C276" s="111"/>
      <c r="D276" s="111"/>
      <c r="E276" s="121"/>
      <c r="F276" s="121"/>
      <c r="G276" s="113"/>
      <c r="H276" s="113"/>
      <c r="I276" s="144" t="str">
        <f t="shared" si="9"/>
        <v/>
      </c>
      <c r="J276" s="141" t="str">
        <f>IF(I276="","",IF(AND(AL276&lt;=66),VLOOKUP(I276,'COP Look Up'!$A$13:$B$21,2,TRUE),IF(AND(AL276&gt;=67,AL276&lt;=72),VLOOKUP(I276,'COP Look Up'!$E$13:$F$21,2,TRUE),IF(AND(AL276&gt;=73,AL276&lt;=78),VLOOKUP(I276,'COP Look Up'!$I$13:$J$21,2,TRUE),IF(AND(AL276&gt;=79),VLOOKUP(I276,'COP Look Up'!$M$13:$N$20,2,TRUE),"")))))</f>
        <v/>
      </c>
      <c r="K276" s="122"/>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23"/>
      <c r="AL276" s="143" t="str">
        <f t="shared" si="10"/>
        <v/>
      </c>
    </row>
    <row r="277" spans="1:38" s="108" customFormat="1" ht="15.75">
      <c r="A277" s="119"/>
      <c r="B277" s="120"/>
      <c r="C277" s="111"/>
      <c r="D277" s="111"/>
      <c r="E277" s="121"/>
      <c r="F277" s="121"/>
      <c r="G277" s="113"/>
      <c r="H277" s="113"/>
      <c r="I277" s="144" t="str">
        <f t="shared" si="9"/>
        <v/>
      </c>
      <c r="J277" s="141" t="str">
        <f>IF(I277="","",IF(AND(AL277&lt;=66),VLOOKUP(I277,'COP Look Up'!$A$13:$B$21,2,TRUE),IF(AND(AL277&gt;=67,AL277&lt;=72),VLOOKUP(I277,'COP Look Up'!$E$13:$F$21,2,TRUE),IF(AND(AL277&gt;=73,AL277&lt;=78),VLOOKUP(I277,'COP Look Up'!$I$13:$J$21,2,TRUE),IF(AND(AL277&gt;=79),VLOOKUP(I277,'COP Look Up'!$M$13:$N$20,2,TRUE),"")))))</f>
        <v/>
      </c>
      <c r="K277" s="122"/>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c r="AH277" s="123"/>
      <c r="AL277" s="143" t="str">
        <f t="shared" si="10"/>
        <v/>
      </c>
    </row>
    <row r="278" spans="1:38" s="108" customFormat="1" ht="15.75">
      <c r="A278" s="119"/>
      <c r="B278" s="120"/>
      <c r="C278" s="111"/>
      <c r="D278" s="111"/>
      <c r="E278" s="121"/>
      <c r="F278" s="121"/>
      <c r="G278" s="113"/>
      <c r="H278" s="113"/>
      <c r="I278" s="144" t="str">
        <f t="shared" si="9"/>
        <v/>
      </c>
      <c r="J278" s="141" t="str">
        <f>IF(I278="","",IF(AND(AL278&lt;=66),VLOOKUP(I278,'COP Look Up'!$A$13:$B$21,2,TRUE),IF(AND(AL278&gt;=67,AL278&lt;=72),VLOOKUP(I278,'COP Look Up'!$E$13:$F$21,2,TRUE),IF(AND(AL278&gt;=73,AL278&lt;=78),VLOOKUP(I278,'COP Look Up'!$I$13:$J$21,2,TRUE),IF(AND(AL278&gt;=79),VLOOKUP(I278,'COP Look Up'!$M$13:$N$20,2,TRUE),"")))))</f>
        <v/>
      </c>
      <c r="K278" s="122"/>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23"/>
      <c r="AL278" s="143" t="str">
        <f t="shared" si="10"/>
        <v/>
      </c>
    </row>
    <row r="279" spans="1:38" s="108" customFormat="1" ht="15.75">
      <c r="A279" s="119"/>
      <c r="B279" s="120"/>
      <c r="C279" s="111"/>
      <c r="D279" s="111"/>
      <c r="E279" s="121"/>
      <c r="F279" s="121"/>
      <c r="G279" s="113"/>
      <c r="H279" s="113"/>
      <c r="I279" s="144" t="str">
        <f t="shared" si="9"/>
        <v/>
      </c>
      <c r="J279" s="141" t="str">
        <f>IF(I279="","",IF(AND(AL279&lt;=66),VLOOKUP(I279,'COP Look Up'!$A$13:$B$21,2,TRUE),IF(AND(AL279&gt;=67,AL279&lt;=72),VLOOKUP(I279,'COP Look Up'!$E$13:$F$21,2,TRUE),IF(AND(AL279&gt;=73,AL279&lt;=78),VLOOKUP(I279,'COP Look Up'!$I$13:$J$21,2,TRUE),IF(AND(AL279&gt;=79),VLOOKUP(I279,'COP Look Up'!$M$13:$N$20,2,TRUE),"")))))</f>
        <v/>
      </c>
      <c r="K279" s="122"/>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c r="AH279" s="123"/>
      <c r="AL279" s="143" t="str">
        <f t="shared" si="10"/>
        <v/>
      </c>
    </row>
    <row r="280" spans="1:38" s="108" customFormat="1" ht="15.75">
      <c r="A280" s="119"/>
      <c r="B280" s="120"/>
      <c r="C280" s="111"/>
      <c r="D280" s="111"/>
      <c r="E280" s="121"/>
      <c r="F280" s="121"/>
      <c r="G280" s="113"/>
      <c r="H280" s="113"/>
      <c r="I280" s="144" t="str">
        <f t="shared" si="9"/>
        <v/>
      </c>
      <c r="J280" s="141" t="str">
        <f>IF(I280="","",IF(AND(AL280&lt;=66),VLOOKUP(I280,'COP Look Up'!$A$13:$B$21,2,TRUE),IF(AND(AL280&gt;=67,AL280&lt;=72),VLOOKUP(I280,'COP Look Up'!$E$13:$F$21,2,TRUE),IF(AND(AL280&gt;=73,AL280&lt;=78),VLOOKUP(I280,'COP Look Up'!$I$13:$J$21,2,TRUE),IF(AND(AL280&gt;=79),VLOOKUP(I280,'COP Look Up'!$M$13:$N$20,2,TRUE),"")))))</f>
        <v/>
      </c>
      <c r="K280" s="122"/>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c r="AH280" s="123"/>
      <c r="AL280" s="143" t="str">
        <f t="shared" si="10"/>
        <v/>
      </c>
    </row>
    <row r="281" spans="1:38" s="108" customFormat="1" ht="15.75">
      <c r="A281" s="119"/>
      <c r="B281" s="120"/>
      <c r="C281" s="111"/>
      <c r="D281" s="111"/>
      <c r="E281" s="121"/>
      <c r="F281" s="121"/>
      <c r="G281" s="113"/>
      <c r="H281" s="113"/>
      <c r="I281" s="144" t="str">
        <f t="shared" si="9"/>
        <v/>
      </c>
      <c r="J281" s="141" t="str">
        <f>IF(I281="","",IF(AND(AL281&lt;=66),VLOOKUP(I281,'COP Look Up'!$A$13:$B$21,2,TRUE),IF(AND(AL281&gt;=67,AL281&lt;=72),VLOOKUP(I281,'COP Look Up'!$E$13:$F$21,2,TRUE),IF(AND(AL281&gt;=73,AL281&lt;=78),VLOOKUP(I281,'COP Look Up'!$I$13:$J$21,2,TRUE),IF(AND(AL281&gt;=79),VLOOKUP(I281,'COP Look Up'!$M$13:$N$20,2,TRUE),"")))))</f>
        <v/>
      </c>
      <c r="K281" s="122"/>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c r="AH281" s="123"/>
      <c r="AL281" s="143" t="str">
        <f t="shared" si="10"/>
        <v/>
      </c>
    </row>
    <row r="282" spans="1:38" s="108" customFormat="1" ht="15.75">
      <c r="A282" s="119"/>
      <c r="B282" s="120"/>
      <c r="C282" s="111"/>
      <c r="D282" s="111"/>
      <c r="E282" s="121"/>
      <c r="F282" s="121"/>
      <c r="G282" s="113"/>
      <c r="H282" s="113"/>
      <c r="I282" s="144" t="str">
        <f t="shared" si="9"/>
        <v/>
      </c>
      <c r="J282" s="141" t="str">
        <f>IF(I282="","",IF(AND(AL282&lt;=66),VLOOKUP(I282,'COP Look Up'!$A$13:$B$21,2,TRUE),IF(AND(AL282&gt;=67,AL282&lt;=72),VLOOKUP(I282,'COP Look Up'!$E$13:$F$21,2,TRUE),IF(AND(AL282&gt;=73,AL282&lt;=78),VLOOKUP(I282,'COP Look Up'!$I$13:$J$21,2,TRUE),IF(AND(AL282&gt;=79),VLOOKUP(I282,'COP Look Up'!$M$13:$N$20,2,TRUE),"")))))</f>
        <v/>
      </c>
      <c r="K282" s="122"/>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c r="AH282" s="123"/>
      <c r="AL282" s="143" t="str">
        <f t="shared" si="10"/>
        <v/>
      </c>
    </row>
    <row r="283" spans="1:38" s="108" customFormat="1" ht="15.75">
      <c r="A283" s="119"/>
      <c r="B283" s="120"/>
      <c r="C283" s="111"/>
      <c r="D283" s="111"/>
      <c r="E283" s="121"/>
      <c r="F283" s="121"/>
      <c r="G283" s="113"/>
      <c r="H283" s="113"/>
      <c r="I283" s="144" t="str">
        <f t="shared" si="9"/>
        <v/>
      </c>
      <c r="J283" s="141" t="str">
        <f>IF(I283="","",IF(AND(AL283&lt;=66),VLOOKUP(I283,'COP Look Up'!$A$13:$B$21,2,TRUE),IF(AND(AL283&gt;=67,AL283&lt;=72),VLOOKUP(I283,'COP Look Up'!$E$13:$F$21,2,TRUE),IF(AND(AL283&gt;=73,AL283&lt;=78),VLOOKUP(I283,'COP Look Up'!$I$13:$J$21,2,TRUE),IF(AND(AL283&gt;=79),VLOOKUP(I283,'COP Look Up'!$M$13:$N$20,2,TRUE),"")))))</f>
        <v/>
      </c>
      <c r="K283" s="122"/>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c r="AH283" s="123"/>
      <c r="AL283" s="143" t="str">
        <f t="shared" si="10"/>
        <v/>
      </c>
    </row>
    <row r="284" spans="1:38" s="108" customFormat="1" ht="15.75">
      <c r="A284" s="119"/>
      <c r="B284" s="120"/>
      <c r="C284" s="111"/>
      <c r="D284" s="111"/>
      <c r="E284" s="121"/>
      <c r="F284" s="121"/>
      <c r="G284" s="113"/>
      <c r="H284" s="113"/>
      <c r="I284" s="144" t="str">
        <f t="shared" si="9"/>
        <v/>
      </c>
      <c r="J284" s="141" t="str">
        <f>IF(I284="","",IF(AND(AL284&lt;=66),VLOOKUP(I284,'COP Look Up'!$A$13:$B$21,2,TRUE),IF(AND(AL284&gt;=67,AL284&lt;=72),VLOOKUP(I284,'COP Look Up'!$E$13:$F$21,2,TRUE),IF(AND(AL284&gt;=73,AL284&lt;=78),VLOOKUP(I284,'COP Look Up'!$I$13:$J$21,2,TRUE),IF(AND(AL284&gt;=79),VLOOKUP(I284,'COP Look Up'!$M$13:$N$20,2,TRUE),"")))))</f>
        <v/>
      </c>
      <c r="K284" s="122"/>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c r="AH284" s="123"/>
      <c r="AL284" s="143" t="str">
        <f t="shared" si="10"/>
        <v/>
      </c>
    </row>
    <row r="285" spans="1:38" s="108" customFormat="1" ht="15.75">
      <c r="A285" s="119"/>
      <c r="B285" s="120"/>
      <c r="C285" s="111"/>
      <c r="D285" s="111"/>
      <c r="E285" s="121"/>
      <c r="F285" s="121"/>
      <c r="G285" s="113"/>
      <c r="H285" s="113"/>
      <c r="I285" s="144" t="str">
        <f t="shared" si="9"/>
        <v/>
      </c>
      <c r="J285" s="141" t="str">
        <f>IF(I285="","",IF(AND(AL285&lt;=66),VLOOKUP(I285,'COP Look Up'!$A$13:$B$21,2,TRUE),IF(AND(AL285&gt;=67,AL285&lt;=72),VLOOKUP(I285,'COP Look Up'!$E$13:$F$21,2,TRUE),IF(AND(AL285&gt;=73,AL285&lt;=78),VLOOKUP(I285,'COP Look Up'!$I$13:$J$21,2,TRUE),IF(AND(AL285&gt;=79),VLOOKUP(I285,'COP Look Up'!$M$13:$N$20,2,TRUE),"")))))</f>
        <v/>
      </c>
      <c r="K285" s="122"/>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c r="AH285" s="123"/>
      <c r="AL285" s="143" t="str">
        <f t="shared" si="10"/>
        <v/>
      </c>
    </row>
    <row r="286" spans="1:38" s="108" customFormat="1" ht="15.75">
      <c r="A286" s="119"/>
      <c r="B286" s="120"/>
      <c r="C286" s="111"/>
      <c r="D286" s="111"/>
      <c r="E286" s="121"/>
      <c r="F286" s="121"/>
      <c r="G286" s="113"/>
      <c r="H286" s="113"/>
      <c r="I286" s="144" t="str">
        <f t="shared" si="9"/>
        <v/>
      </c>
      <c r="J286" s="141" t="str">
        <f>IF(I286="","",IF(AND(AL286&lt;=66),VLOOKUP(I286,'COP Look Up'!$A$13:$B$21,2,TRUE),IF(AND(AL286&gt;=67,AL286&lt;=72),VLOOKUP(I286,'COP Look Up'!$E$13:$F$21,2,TRUE),IF(AND(AL286&gt;=73,AL286&lt;=78),VLOOKUP(I286,'COP Look Up'!$I$13:$J$21,2,TRUE),IF(AND(AL286&gt;=79),VLOOKUP(I286,'COP Look Up'!$M$13:$N$20,2,TRUE),"")))))</f>
        <v/>
      </c>
      <c r="K286" s="122"/>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c r="AH286" s="123"/>
      <c r="AL286" s="143" t="str">
        <f t="shared" si="10"/>
        <v/>
      </c>
    </row>
    <row r="287" spans="1:38" s="108" customFormat="1" ht="15.75">
      <c r="A287" s="119"/>
      <c r="B287" s="120"/>
      <c r="C287" s="111"/>
      <c r="D287" s="111"/>
      <c r="E287" s="121"/>
      <c r="F287" s="121"/>
      <c r="G287" s="113"/>
      <c r="H287" s="113"/>
      <c r="I287" s="144" t="str">
        <f t="shared" si="9"/>
        <v/>
      </c>
      <c r="J287" s="141" t="str">
        <f>IF(I287="","",IF(AND(AL287&lt;=66),VLOOKUP(I287,'COP Look Up'!$A$13:$B$21,2,TRUE),IF(AND(AL287&gt;=67,AL287&lt;=72),VLOOKUP(I287,'COP Look Up'!$E$13:$F$21,2,TRUE),IF(AND(AL287&gt;=73,AL287&lt;=78),VLOOKUP(I287,'COP Look Up'!$I$13:$J$21,2,TRUE),IF(AND(AL287&gt;=79),VLOOKUP(I287,'COP Look Up'!$M$13:$N$20,2,TRUE),"")))))</f>
        <v/>
      </c>
      <c r="K287" s="122"/>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c r="AH287" s="123"/>
      <c r="AL287" s="143" t="str">
        <f t="shared" si="10"/>
        <v/>
      </c>
    </row>
    <row r="288" spans="1:38" s="108" customFormat="1" ht="15.75">
      <c r="A288" s="119"/>
      <c r="B288" s="120"/>
      <c r="C288" s="111"/>
      <c r="D288" s="111"/>
      <c r="E288" s="121"/>
      <c r="F288" s="121"/>
      <c r="G288" s="113"/>
      <c r="H288" s="113"/>
      <c r="I288" s="144" t="str">
        <f t="shared" si="9"/>
        <v/>
      </c>
      <c r="J288" s="141" t="str">
        <f>IF(I288="","",IF(AND(AL288&lt;=66),VLOOKUP(I288,'COP Look Up'!$A$13:$B$21,2,TRUE),IF(AND(AL288&gt;=67,AL288&lt;=72),VLOOKUP(I288,'COP Look Up'!$E$13:$F$21,2,TRUE),IF(AND(AL288&gt;=73,AL288&lt;=78),VLOOKUP(I288,'COP Look Up'!$I$13:$J$21,2,TRUE),IF(AND(AL288&gt;=79),VLOOKUP(I288,'COP Look Up'!$M$13:$N$20,2,TRUE),"")))))</f>
        <v/>
      </c>
      <c r="K288" s="122"/>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c r="AH288" s="123"/>
      <c r="AL288" s="143" t="str">
        <f t="shared" si="10"/>
        <v/>
      </c>
    </row>
    <row r="289" spans="1:38" s="108" customFormat="1" ht="15.75">
      <c r="A289" s="119"/>
      <c r="B289" s="120"/>
      <c r="C289" s="111"/>
      <c r="D289" s="111"/>
      <c r="E289" s="121"/>
      <c r="F289" s="121"/>
      <c r="G289" s="113"/>
      <c r="H289" s="113"/>
      <c r="I289" s="144" t="str">
        <f t="shared" si="9"/>
        <v/>
      </c>
      <c r="J289" s="141" t="str">
        <f>IF(I289="","",IF(AND(AL289&lt;=66),VLOOKUP(I289,'COP Look Up'!$A$13:$B$21,2,TRUE),IF(AND(AL289&gt;=67,AL289&lt;=72),VLOOKUP(I289,'COP Look Up'!$E$13:$F$21,2,TRUE),IF(AND(AL289&gt;=73,AL289&lt;=78),VLOOKUP(I289,'COP Look Up'!$I$13:$J$21,2,TRUE),IF(AND(AL289&gt;=79),VLOOKUP(I289,'COP Look Up'!$M$13:$N$20,2,TRUE),"")))))</f>
        <v/>
      </c>
      <c r="K289" s="122"/>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c r="AH289" s="123"/>
      <c r="AL289" s="143" t="str">
        <f t="shared" si="10"/>
        <v/>
      </c>
    </row>
    <row r="290" spans="1:38" s="108" customFormat="1" ht="15.75">
      <c r="A290" s="119"/>
      <c r="B290" s="120"/>
      <c r="C290" s="111"/>
      <c r="D290" s="111"/>
      <c r="E290" s="121"/>
      <c r="F290" s="121"/>
      <c r="G290" s="113"/>
      <c r="H290" s="113"/>
      <c r="I290" s="144" t="str">
        <f t="shared" si="9"/>
        <v/>
      </c>
      <c r="J290" s="141" t="str">
        <f>IF(I290="","",IF(AND(AL290&lt;=66),VLOOKUP(I290,'COP Look Up'!$A$13:$B$21,2,TRUE),IF(AND(AL290&gt;=67,AL290&lt;=72),VLOOKUP(I290,'COP Look Up'!$E$13:$F$21,2,TRUE),IF(AND(AL290&gt;=73,AL290&lt;=78),VLOOKUP(I290,'COP Look Up'!$I$13:$J$21,2,TRUE),IF(AND(AL290&gt;=79),VLOOKUP(I290,'COP Look Up'!$M$13:$N$20,2,TRUE),"")))))</f>
        <v/>
      </c>
      <c r="K290" s="122"/>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c r="AH290" s="123"/>
      <c r="AL290" s="143" t="str">
        <f t="shared" si="10"/>
        <v/>
      </c>
    </row>
    <row r="291" spans="1:38" s="108" customFormat="1" ht="15.75">
      <c r="A291" s="119"/>
      <c r="B291" s="120"/>
      <c r="C291" s="111"/>
      <c r="D291" s="111"/>
      <c r="E291" s="121"/>
      <c r="F291" s="121"/>
      <c r="G291" s="113"/>
      <c r="H291" s="113"/>
      <c r="I291" s="144" t="str">
        <f t="shared" si="9"/>
        <v/>
      </c>
      <c r="J291" s="141" t="str">
        <f>IF(I291="","",IF(AND(AL291&lt;=66),VLOOKUP(I291,'COP Look Up'!$A$13:$B$21,2,TRUE),IF(AND(AL291&gt;=67,AL291&lt;=72),VLOOKUP(I291,'COP Look Up'!$E$13:$F$21,2,TRUE),IF(AND(AL291&gt;=73,AL291&lt;=78),VLOOKUP(I291,'COP Look Up'!$I$13:$J$21,2,TRUE),IF(AND(AL291&gt;=79),VLOOKUP(I291,'COP Look Up'!$M$13:$N$20,2,TRUE),"")))))</f>
        <v/>
      </c>
      <c r="K291" s="122"/>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c r="AH291" s="123"/>
      <c r="AL291" s="143" t="str">
        <f t="shared" si="10"/>
        <v/>
      </c>
    </row>
    <row r="292" spans="1:38" s="108" customFormat="1" ht="15.75">
      <c r="A292" s="119"/>
      <c r="B292" s="120"/>
      <c r="C292" s="111"/>
      <c r="D292" s="111"/>
      <c r="E292" s="121"/>
      <c r="F292" s="121"/>
      <c r="G292" s="113"/>
      <c r="H292" s="113"/>
      <c r="I292" s="144" t="str">
        <f t="shared" si="9"/>
        <v/>
      </c>
      <c r="J292" s="141" t="str">
        <f>IF(I292="","",IF(AND(AL292&lt;=66),VLOOKUP(I292,'COP Look Up'!$A$13:$B$21,2,TRUE),IF(AND(AL292&gt;=67,AL292&lt;=72),VLOOKUP(I292,'COP Look Up'!$E$13:$F$21,2,TRUE),IF(AND(AL292&gt;=73,AL292&lt;=78),VLOOKUP(I292,'COP Look Up'!$I$13:$J$21,2,TRUE),IF(AND(AL292&gt;=79),VLOOKUP(I292,'COP Look Up'!$M$13:$N$20,2,TRUE),"")))))</f>
        <v/>
      </c>
      <c r="K292" s="122"/>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c r="AH292" s="123"/>
      <c r="AL292" s="143" t="str">
        <f t="shared" si="10"/>
        <v/>
      </c>
    </row>
    <row r="293" spans="1:38" s="108" customFormat="1" ht="15.75">
      <c r="A293" s="119"/>
      <c r="B293" s="120"/>
      <c r="C293" s="111"/>
      <c r="D293" s="111"/>
      <c r="E293" s="121"/>
      <c r="F293" s="121"/>
      <c r="G293" s="113"/>
      <c r="H293" s="113"/>
      <c r="I293" s="144" t="str">
        <f t="shared" si="9"/>
        <v/>
      </c>
      <c r="J293" s="141" t="str">
        <f>IF(I293="","",IF(AND(AL293&lt;=66),VLOOKUP(I293,'COP Look Up'!$A$13:$B$21,2,TRUE),IF(AND(AL293&gt;=67,AL293&lt;=72),VLOOKUP(I293,'COP Look Up'!$E$13:$F$21,2,TRUE),IF(AND(AL293&gt;=73,AL293&lt;=78),VLOOKUP(I293,'COP Look Up'!$I$13:$J$21,2,TRUE),IF(AND(AL293&gt;=79),VLOOKUP(I293,'COP Look Up'!$M$13:$N$20,2,TRUE),"")))))</f>
        <v/>
      </c>
      <c r="K293" s="122"/>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c r="AH293" s="123"/>
      <c r="AL293" s="143" t="str">
        <f t="shared" si="10"/>
        <v/>
      </c>
    </row>
    <row r="294" spans="1:38" s="108" customFormat="1" ht="15.75">
      <c r="A294" s="119"/>
      <c r="B294" s="120"/>
      <c r="C294" s="111"/>
      <c r="D294" s="111"/>
      <c r="E294" s="121"/>
      <c r="F294" s="121"/>
      <c r="G294" s="113"/>
      <c r="H294" s="113"/>
      <c r="I294" s="144" t="str">
        <f t="shared" si="9"/>
        <v/>
      </c>
      <c r="J294" s="141" t="str">
        <f>IF(I294="","",IF(AND(AL294&lt;=66),VLOOKUP(I294,'COP Look Up'!$A$13:$B$21,2,TRUE),IF(AND(AL294&gt;=67,AL294&lt;=72),VLOOKUP(I294,'COP Look Up'!$E$13:$F$21,2,TRUE),IF(AND(AL294&gt;=73,AL294&lt;=78),VLOOKUP(I294,'COP Look Up'!$I$13:$J$21,2,TRUE),IF(AND(AL294&gt;=79),VLOOKUP(I294,'COP Look Up'!$M$13:$N$20,2,TRUE),"")))))</f>
        <v/>
      </c>
      <c r="K294" s="122"/>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23"/>
      <c r="AL294" s="143" t="str">
        <f t="shared" si="10"/>
        <v/>
      </c>
    </row>
    <row r="295" spans="1:38" s="108" customFormat="1" ht="15.75">
      <c r="A295" s="119"/>
      <c r="B295" s="120"/>
      <c r="C295" s="111"/>
      <c r="D295" s="111"/>
      <c r="E295" s="121"/>
      <c r="F295" s="121"/>
      <c r="G295" s="113"/>
      <c r="H295" s="113"/>
      <c r="I295" s="144" t="str">
        <f t="shared" si="9"/>
        <v/>
      </c>
      <c r="J295" s="141" t="str">
        <f>IF(I295="","",IF(AND(AL295&lt;=66),VLOOKUP(I295,'COP Look Up'!$A$13:$B$21,2,TRUE),IF(AND(AL295&gt;=67,AL295&lt;=72),VLOOKUP(I295,'COP Look Up'!$E$13:$F$21,2,TRUE),IF(AND(AL295&gt;=73,AL295&lt;=78),VLOOKUP(I295,'COP Look Up'!$I$13:$J$21,2,TRUE),IF(AND(AL295&gt;=79),VLOOKUP(I295,'COP Look Up'!$M$13:$N$20,2,TRUE),"")))))</f>
        <v/>
      </c>
      <c r="K295" s="122"/>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c r="AH295" s="123"/>
      <c r="AL295" s="143" t="str">
        <f t="shared" si="10"/>
        <v/>
      </c>
    </row>
    <row r="296" spans="1:38" s="108" customFormat="1" ht="15.75">
      <c r="A296" s="119"/>
      <c r="B296" s="120"/>
      <c r="C296" s="111"/>
      <c r="D296" s="111"/>
      <c r="E296" s="121"/>
      <c r="F296" s="121"/>
      <c r="G296" s="113"/>
      <c r="H296" s="113"/>
      <c r="I296" s="144" t="str">
        <f t="shared" si="9"/>
        <v/>
      </c>
      <c r="J296" s="141" t="str">
        <f>IF(I296="","",IF(AND(AL296&lt;=66),VLOOKUP(I296,'COP Look Up'!$A$13:$B$21,2,TRUE),IF(AND(AL296&gt;=67,AL296&lt;=72),VLOOKUP(I296,'COP Look Up'!$E$13:$F$21,2,TRUE),IF(AND(AL296&gt;=73,AL296&lt;=78),VLOOKUP(I296,'COP Look Up'!$I$13:$J$21,2,TRUE),IF(AND(AL296&gt;=79),VLOOKUP(I296,'COP Look Up'!$M$13:$N$20,2,TRUE),"")))))</f>
        <v/>
      </c>
      <c r="K296" s="122"/>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c r="AH296" s="123"/>
      <c r="AL296" s="143" t="str">
        <f t="shared" si="10"/>
        <v/>
      </c>
    </row>
    <row r="297" spans="1:38" s="108" customFormat="1" ht="15.75">
      <c r="A297" s="119"/>
      <c r="B297" s="120"/>
      <c r="C297" s="111"/>
      <c r="D297" s="111"/>
      <c r="E297" s="121"/>
      <c r="F297" s="121"/>
      <c r="G297" s="113"/>
      <c r="H297" s="113"/>
      <c r="I297" s="144" t="str">
        <f t="shared" si="9"/>
        <v/>
      </c>
      <c r="J297" s="141" t="str">
        <f>IF(I297="","",IF(AND(AL297&lt;=66),VLOOKUP(I297,'COP Look Up'!$A$13:$B$21,2,TRUE),IF(AND(AL297&gt;=67,AL297&lt;=72),VLOOKUP(I297,'COP Look Up'!$E$13:$F$21,2,TRUE),IF(AND(AL297&gt;=73,AL297&lt;=78),VLOOKUP(I297,'COP Look Up'!$I$13:$J$21,2,TRUE),IF(AND(AL297&gt;=79),VLOOKUP(I297,'COP Look Up'!$M$13:$N$20,2,TRUE),"")))))</f>
        <v/>
      </c>
      <c r="K297" s="122"/>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c r="AH297" s="123"/>
      <c r="AL297" s="143" t="str">
        <f t="shared" si="10"/>
        <v/>
      </c>
    </row>
    <row r="298" spans="1:38" s="108" customFormat="1" ht="15.75">
      <c r="A298" s="119"/>
      <c r="B298" s="120"/>
      <c r="C298" s="111"/>
      <c r="D298" s="111"/>
      <c r="E298" s="121"/>
      <c r="F298" s="121"/>
      <c r="G298" s="113"/>
      <c r="H298" s="113"/>
      <c r="I298" s="144" t="str">
        <f t="shared" si="9"/>
        <v/>
      </c>
      <c r="J298" s="141" t="str">
        <f>IF(I298="","",IF(AND(AL298&lt;=66),VLOOKUP(I298,'COP Look Up'!$A$13:$B$21,2,TRUE),IF(AND(AL298&gt;=67,AL298&lt;=72),VLOOKUP(I298,'COP Look Up'!$E$13:$F$21,2,TRUE),IF(AND(AL298&gt;=73,AL298&lt;=78),VLOOKUP(I298,'COP Look Up'!$I$13:$J$21,2,TRUE),IF(AND(AL298&gt;=79),VLOOKUP(I298,'COP Look Up'!$M$13:$N$20,2,TRUE),"")))))</f>
        <v/>
      </c>
      <c r="K298" s="122"/>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c r="AH298" s="123"/>
      <c r="AL298" s="143" t="str">
        <f t="shared" si="10"/>
        <v/>
      </c>
    </row>
    <row r="299" spans="1:38" s="108" customFormat="1" ht="15.75">
      <c r="A299" s="119"/>
      <c r="B299" s="120"/>
      <c r="C299" s="111"/>
      <c r="D299" s="111"/>
      <c r="E299" s="121"/>
      <c r="F299" s="121"/>
      <c r="G299" s="113"/>
      <c r="H299" s="113"/>
      <c r="I299" s="144" t="str">
        <f t="shared" si="9"/>
        <v/>
      </c>
      <c r="J299" s="141" t="str">
        <f>IF(I299="","",IF(AND(AL299&lt;=66),VLOOKUP(I299,'COP Look Up'!$A$13:$B$21,2,TRUE),IF(AND(AL299&gt;=67,AL299&lt;=72),VLOOKUP(I299,'COP Look Up'!$E$13:$F$21,2,TRUE),IF(AND(AL299&gt;=73,AL299&lt;=78),VLOOKUP(I299,'COP Look Up'!$I$13:$J$21,2,TRUE),IF(AND(AL299&gt;=79),VLOOKUP(I299,'COP Look Up'!$M$13:$N$20,2,TRUE),"")))))</f>
        <v/>
      </c>
      <c r="K299" s="122"/>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c r="AH299" s="123"/>
      <c r="AL299" s="143" t="str">
        <f t="shared" si="10"/>
        <v/>
      </c>
    </row>
    <row r="300" spans="1:38" s="108" customFormat="1" ht="15.75">
      <c r="A300" s="119"/>
      <c r="B300" s="120"/>
      <c r="C300" s="111"/>
      <c r="D300" s="111"/>
      <c r="E300" s="121"/>
      <c r="F300" s="121"/>
      <c r="G300" s="113"/>
      <c r="H300" s="113"/>
      <c r="I300" s="144" t="str">
        <f t="shared" si="9"/>
        <v/>
      </c>
      <c r="J300" s="141" t="str">
        <f>IF(I300="","",IF(AND(AL300&lt;=66),VLOOKUP(I300,'COP Look Up'!$A$13:$B$21,2,TRUE),IF(AND(AL300&gt;=67,AL300&lt;=72),VLOOKUP(I300,'COP Look Up'!$E$13:$F$21,2,TRUE),IF(AND(AL300&gt;=73,AL300&lt;=78),VLOOKUP(I300,'COP Look Up'!$I$13:$J$21,2,TRUE),IF(AND(AL300&gt;=79),VLOOKUP(I300,'COP Look Up'!$M$13:$N$20,2,TRUE),"")))))</f>
        <v/>
      </c>
      <c r="K300" s="122"/>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23"/>
      <c r="AL300" s="143" t="str">
        <f t="shared" si="10"/>
        <v/>
      </c>
    </row>
    <row r="301" spans="1:38" s="108" customFormat="1" ht="15.75">
      <c r="A301" s="119"/>
      <c r="B301" s="120"/>
      <c r="C301" s="111"/>
      <c r="D301" s="111"/>
      <c r="E301" s="121"/>
      <c r="F301" s="121"/>
      <c r="G301" s="113"/>
      <c r="H301" s="113"/>
      <c r="I301" s="144" t="str">
        <f t="shared" si="9"/>
        <v/>
      </c>
      <c r="J301" s="141" t="str">
        <f>IF(I301="","",IF(AND(AL301&lt;=66),VLOOKUP(I301,'COP Look Up'!$A$13:$B$21,2,TRUE),IF(AND(AL301&gt;=67,AL301&lt;=72),VLOOKUP(I301,'COP Look Up'!$E$13:$F$21,2,TRUE),IF(AND(AL301&gt;=73,AL301&lt;=78),VLOOKUP(I301,'COP Look Up'!$I$13:$J$21,2,TRUE),IF(AND(AL301&gt;=79),VLOOKUP(I301,'COP Look Up'!$M$13:$N$20,2,TRUE),"")))))</f>
        <v/>
      </c>
      <c r="K301" s="122"/>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23"/>
      <c r="AL301" s="143" t="str">
        <f t="shared" si="10"/>
        <v/>
      </c>
    </row>
    <row r="302" spans="1:38" s="108" customFormat="1" ht="15.75">
      <c r="A302" s="119"/>
      <c r="B302" s="120"/>
      <c r="C302" s="111"/>
      <c r="D302" s="111"/>
      <c r="E302" s="121"/>
      <c r="F302" s="121"/>
      <c r="G302" s="113"/>
      <c r="H302" s="113"/>
      <c r="I302" s="144" t="str">
        <f t="shared" si="9"/>
        <v/>
      </c>
      <c r="J302" s="141" t="str">
        <f>IF(I302="","",IF(AND(AL302&lt;=66),VLOOKUP(I302,'COP Look Up'!$A$13:$B$21,2,TRUE),IF(AND(AL302&gt;=67,AL302&lt;=72),VLOOKUP(I302,'COP Look Up'!$E$13:$F$21,2,TRUE),IF(AND(AL302&gt;=73,AL302&lt;=78),VLOOKUP(I302,'COP Look Up'!$I$13:$J$21,2,TRUE),IF(AND(AL302&gt;=79),VLOOKUP(I302,'COP Look Up'!$M$13:$N$20,2,TRUE),"")))))</f>
        <v/>
      </c>
      <c r="K302" s="122"/>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c r="AH302" s="123"/>
      <c r="AL302" s="143" t="str">
        <f t="shared" si="10"/>
        <v/>
      </c>
    </row>
    <row r="303" spans="1:38" s="108" customFormat="1" ht="15.75">
      <c r="A303" s="119"/>
      <c r="B303" s="120"/>
      <c r="C303" s="111"/>
      <c r="D303" s="111"/>
      <c r="E303" s="121"/>
      <c r="F303" s="121"/>
      <c r="G303" s="113"/>
      <c r="H303" s="113"/>
      <c r="I303" s="144" t="str">
        <f t="shared" si="9"/>
        <v/>
      </c>
      <c r="J303" s="141" t="str">
        <f>IF(I303="","",IF(AND(AL303&lt;=66),VLOOKUP(I303,'COP Look Up'!$A$13:$B$21,2,TRUE),IF(AND(AL303&gt;=67,AL303&lt;=72),VLOOKUP(I303,'COP Look Up'!$E$13:$F$21,2,TRUE),IF(AND(AL303&gt;=73,AL303&lt;=78),VLOOKUP(I303,'COP Look Up'!$I$13:$J$21,2,TRUE),IF(AND(AL303&gt;=79),VLOOKUP(I303,'COP Look Up'!$M$13:$N$20,2,TRUE),"")))))</f>
        <v/>
      </c>
      <c r="K303" s="122"/>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c r="AH303" s="123"/>
      <c r="AL303" s="143" t="str">
        <f t="shared" si="10"/>
        <v/>
      </c>
    </row>
    <row r="304" spans="1:38" s="108" customFormat="1" ht="15.75">
      <c r="A304" s="119"/>
      <c r="B304" s="120"/>
      <c r="C304" s="111"/>
      <c r="D304" s="111"/>
      <c r="E304" s="121"/>
      <c r="F304" s="121"/>
      <c r="G304" s="113"/>
      <c r="H304" s="113"/>
      <c r="I304" s="144" t="str">
        <f t="shared" si="9"/>
        <v/>
      </c>
      <c r="J304" s="141" t="str">
        <f>IF(I304="","",IF(AND(AL304&lt;=66),VLOOKUP(I304,'COP Look Up'!$A$13:$B$21,2,TRUE),IF(AND(AL304&gt;=67,AL304&lt;=72),VLOOKUP(I304,'COP Look Up'!$E$13:$F$21,2,TRUE),IF(AND(AL304&gt;=73,AL304&lt;=78),VLOOKUP(I304,'COP Look Up'!$I$13:$J$21,2,TRUE),IF(AND(AL304&gt;=79),VLOOKUP(I304,'COP Look Up'!$M$13:$N$20,2,TRUE),"")))))</f>
        <v/>
      </c>
      <c r="K304" s="122"/>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23"/>
      <c r="AL304" s="143" t="str">
        <f t="shared" si="10"/>
        <v/>
      </c>
    </row>
    <row r="305" spans="1:38" s="108" customFormat="1" ht="15.75">
      <c r="A305" s="119"/>
      <c r="B305" s="120"/>
      <c r="C305" s="111"/>
      <c r="D305" s="111"/>
      <c r="E305" s="121"/>
      <c r="F305" s="121"/>
      <c r="G305" s="113"/>
      <c r="H305" s="113"/>
      <c r="I305" s="144" t="str">
        <f t="shared" si="9"/>
        <v/>
      </c>
      <c r="J305" s="141" t="str">
        <f>IF(I305="","",IF(AND(AL305&lt;=66),VLOOKUP(I305,'COP Look Up'!$A$13:$B$21,2,TRUE),IF(AND(AL305&gt;=67,AL305&lt;=72),VLOOKUP(I305,'COP Look Up'!$E$13:$F$21,2,TRUE),IF(AND(AL305&gt;=73,AL305&lt;=78),VLOOKUP(I305,'COP Look Up'!$I$13:$J$21,2,TRUE),IF(AND(AL305&gt;=79),VLOOKUP(I305,'COP Look Up'!$M$13:$N$20,2,TRUE),"")))))</f>
        <v/>
      </c>
      <c r="K305" s="122"/>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c r="AH305" s="123"/>
      <c r="AL305" s="143" t="str">
        <f t="shared" si="10"/>
        <v/>
      </c>
    </row>
    <row r="306" spans="1:38" s="108" customFormat="1" ht="15.75">
      <c r="A306" s="119"/>
      <c r="B306" s="120"/>
      <c r="C306" s="111"/>
      <c r="D306" s="111"/>
      <c r="E306" s="121"/>
      <c r="F306" s="121"/>
      <c r="G306" s="113"/>
      <c r="H306" s="113"/>
      <c r="I306" s="144" t="str">
        <f t="shared" si="9"/>
        <v/>
      </c>
      <c r="J306" s="141" t="str">
        <f>IF(I306="","",IF(AND(AL306&lt;=66),VLOOKUP(I306,'COP Look Up'!$A$13:$B$21,2,TRUE),IF(AND(AL306&gt;=67,AL306&lt;=72),VLOOKUP(I306,'COP Look Up'!$E$13:$F$21,2,TRUE),IF(AND(AL306&gt;=73,AL306&lt;=78),VLOOKUP(I306,'COP Look Up'!$I$13:$J$21,2,TRUE),IF(AND(AL306&gt;=79),VLOOKUP(I306,'COP Look Up'!$M$13:$N$20,2,TRUE),"")))))</f>
        <v/>
      </c>
      <c r="K306" s="122"/>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c r="AH306" s="123"/>
      <c r="AL306" s="143" t="str">
        <f t="shared" si="10"/>
        <v/>
      </c>
    </row>
    <row r="307" spans="1:38" s="108" customFormat="1" ht="15.75">
      <c r="A307" s="119"/>
      <c r="B307" s="120"/>
      <c r="C307" s="111"/>
      <c r="D307" s="111"/>
      <c r="E307" s="121"/>
      <c r="F307" s="121"/>
      <c r="G307" s="113"/>
      <c r="H307" s="113"/>
      <c r="I307" s="144" t="str">
        <f t="shared" si="9"/>
        <v/>
      </c>
      <c r="J307" s="141" t="str">
        <f>IF(I307="","",IF(AND(AL307&lt;=66),VLOOKUP(I307,'COP Look Up'!$A$13:$B$21,2,TRUE),IF(AND(AL307&gt;=67,AL307&lt;=72),VLOOKUP(I307,'COP Look Up'!$E$13:$F$21,2,TRUE),IF(AND(AL307&gt;=73,AL307&lt;=78),VLOOKUP(I307,'COP Look Up'!$I$13:$J$21,2,TRUE),IF(AND(AL307&gt;=79),VLOOKUP(I307,'COP Look Up'!$M$13:$N$20,2,TRUE),"")))))</f>
        <v/>
      </c>
      <c r="K307" s="122"/>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c r="AH307" s="123"/>
      <c r="AL307" s="143" t="str">
        <f t="shared" si="10"/>
        <v/>
      </c>
    </row>
    <row r="308" spans="1:38" s="108" customFormat="1" ht="15.75">
      <c r="A308" s="119"/>
      <c r="B308" s="120"/>
      <c r="C308" s="111"/>
      <c r="D308" s="111"/>
      <c r="E308" s="121"/>
      <c r="F308" s="121"/>
      <c r="G308" s="113"/>
      <c r="H308" s="113"/>
      <c r="I308" s="144" t="str">
        <f t="shared" si="9"/>
        <v/>
      </c>
      <c r="J308" s="141" t="str">
        <f>IF(I308="","",IF(AND(AL308&lt;=66),VLOOKUP(I308,'COP Look Up'!$A$13:$B$21,2,TRUE),IF(AND(AL308&gt;=67,AL308&lt;=72),VLOOKUP(I308,'COP Look Up'!$E$13:$F$21,2,TRUE),IF(AND(AL308&gt;=73,AL308&lt;=78),VLOOKUP(I308,'COP Look Up'!$I$13:$J$21,2,TRUE),IF(AND(AL308&gt;=79),VLOOKUP(I308,'COP Look Up'!$M$13:$N$20,2,TRUE),"")))))</f>
        <v/>
      </c>
      <c r="K308" s="122"/>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23"/>
      <c r="AL308" s="143" t="str">
        <f t="shared" si="10"/>
        <v/>
      </c>
    </row>
    <row r="309" spans="1:38" s="108" customFormat="1" ht="15.75">
      <c r="A309" s="119"/>
      <c r="B309" s="120"/>
      <c r="C309" s="111"/>
      <c r="D309" s="111"/>
      <c r="E309" s="121"/>
      <c r="F309" s="121"/>
      <c r="G309" s="113"/>
      <c r="H309" s="113"/>
      <c r="I309" s="144" t="str">
        <f t="shared" si="9"/>
        <v/>
      </c>
      <c r="J309" s="141" t="str">
        <f>IF(I309="","",IF(AND(AL309&lt;=66),VLOOKUP(I309,'COP Look Up'!$A$13:$B$21,2,TRUE),IF(AND(AL309&gt;=67,AL309&lt;=72),VLOOKUP(I309,'COP Look Up'!$E$13:$F$21,2,TRUE),IF(AND(AL309&gt;=73,AL309&lt;=78),VLOOKUP(I309,'COP Look Up'!$I$13:$J$21,2,TRUE),IF(AND(AL309&gt;=79),VLOOKUP(I309,'COP Look Up'!$M$13:$N$20,2,TRUE),"")))))</f>
        <v/>
      </c>
      <c r="K309" s="122"/>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c r="AH309" s="123"/>
      <c r="AL309" s="143" t="str">
        <f t="shared" si="10"/>
        <v/>
      </c>
    </row>
    <row r="310" spans="1:38" s="108" customFormat="1" ht="15.75">
      <c r="A310" s="119"/>
      <c r="B310" s="120"/>
      <c r="C310" s="111"/>
      <c r="D310" s="111"/>
      <c r="E310" s="121"/>
      <c r="F310" s="121"/>
      <c r="G310" s="113"/>
      <c r="H310" s="113"/>
      <c r="I310" s="144" t="str">
        <f t="shared" si="9"/>
        <v/>
      </c>
      <c r="J310" s="141" t="str">
        <f>IF(I310="","",IF(AND(AL310&lt;=66),VLOOKUP(I310,'COP Look Up'!$A$13:$B$21,2,TRUE),IF(AND(AL310&gt;=67,AL310&lt;=72),VLOOKUP(I310,'COP Look Up'!$E$13:$F$21,2,TRUE),IF(AND(AL310&gt;=73,AL310&lt;=78),VLOOKUP(I310,'COP Look Up'!$I$13:$J$21,2,TRUE),IF(AND(AL310&gt;=79),VLOOKUP(I310,'COP Look Up'!$M$13:$N$20,2,TRUE),"")))))</f>
        <v/>
      </c>
      <c r="K310" s="122"/>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23"/>
      <c r="AL310" s="143" t="str">
        <f t="shared" si="10"/>
        <v/>
      </c>
    </row>
    <row r="311" spans="1:38" s="108" customFormat="1" ht="15.75">
      <c r="A311" s="119"/>
      <c r="B311" s="120"/>
      <c r="C311" s="111"/>
      <c r="D311" s="111"/>
      <c r="E311" s="121"/>
      <c r="F311" s="121"/>
      <c r="G311" s="113"/>
      <c r="H311" s="113"/>
      <c r="I311" s="144" t="str">
        <f t="shared" si="9"/>
        <v/>
      </c>
      <c r="J311" s="141" t="str">
        <f>IF(I311="","",IF(AND(AL311&lt;=66),VLOOKUP(I311,'COP Look Up'!$A$13:$B$21,2,TRUE),IF(AND(AL311&gt;=67,AL311&lt;=72),VLOOKUP(I311,'COP Look Up'!$E$13:$F$21,2,TRUE),IF(AND(AL311&gt;=73,AL311&lt;=78),VLOOKUP(I311,'COP Look Up'!$I$13:$J$21,2,TRUE),IF(AND(AL311&gt;=79),VLOOKUP(I311,'COP Look Up'!$M$13:$N$20,2,TRUE),"")))))</f>
        <v/>
      </c>
      <c r="K311" s="122"/>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c r="AH311" s="123"/>
      <c r="AL311" s="143" t="str">
        <f t="shared" si="10"/>
        <v/>
      </c>
    </row>
    <row r="312" spans="1:38" s="108" customFormat="1" ht="15.75">
      <c r="A312" s="119"/>
      <c r="B312" s="120"/>
      <c r="C312" s="111"/>
      <c r="D312" s="111"/>
      <c r="E312" s="121"/>
      <c r="F312" s="121"/>
      <c r="G312" s="113"/>
      <c r="H312" s="113"/>
      <c r="I312" s="144" t="str">
        <f t="shared" si="9"/>
        <v/>
      </c>
      <c r="J312" s="141" t="str">
        <f>IF(I312="","",IF(AND(AL312&lt;=66),VLOOKUP(I312,'COP Look Up'!$A$13:$B$21,2,TRUE),IF(AND(AL312&gt;=67,AL312&lt;=72),VLOOKUP(I312,'COP Look Up'!$E$13:$F$21,2,TRUE),IF(AND(AL312&gt;=73,AL312&lt;=78),VLOOKUP(I312,'COP Look Up'!$I$13:$J$21,2,TRUE),IF(AND(AL312&gt;=79),VLOOKUP(I312,'COP Look Up'!$M$13:$N$20,2,TRUE),"")))))</f>
        <v/>
      </c>
      <c r="K312" s="122"/>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c r="AH312" s="123"/>
      <c r="AL312" s="143" t="str">
        <f t="shared" si="10"/>
        <v/>
      </c>
    </row>
    <row r="313" spans="1:38" s="108" customFormat="1" ht="15.75">
      <c r="A313" s="119"/>
      <c r="B313" s="120"/>
      <c r="C313" s="111"/>
      <c r="D313" s="111"/>
      <c r="E313" s="121"/>
      <c r="F313" s="121"/>
      <c r="G313" s="113"/>
      <c r="H313" s="113"/>
      <c r="I313" s="144" t="str">
        <f t="shared" si="9"/>
        <v/>
      </c>
      <c r="J313" s="141" t="str">
        <f>IF(I313="","",IF(AND(AL313&lt;=66),VLOOKUP(I313,'COP Look Up'!$A$13:$B$21,2,TRUE),IF(AND(AL313&gt;=67,AL313&lt;=72),VLOOKUP(I313,'COP Look Up'!$E$13:$F$21,2,TRUE),IF(AND(AL313&gt;=73,AL313&lt;=78),VLOOKUP(I313,'COP Look Up'!$I$13:$J$21,2,TRUE),IF(AND(AL313&gt;=79),VLOOKUP(I313,'COP Look Up'!$M$13:$N$20,2,TRUE),"")))))</f>
        <v/>
      </c>
      <c r="K313" s="122"/>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c r="AH313" s="123"/>
      <c r="AL313" s="143" t="str">
        <f t="shared" si="10"/>
        <v/>
      </c>
    </row>
    <row r="314" spans="1:38" s="108" customFormat="1" ht="15.75">
      <c r="A314" s="119"/>
      <c r="B314" s="120"/>
      <c r="C314" s="111"/>
      <c r="D314" s="111"/>
      <c r="E314" s="121"/>
      <c r="F314" s="121"/>
      <c r="G314" s="113"/>
      <c r="H314" s="113"/>
      <c r="I314" s="144" t="str">
        <f t="shared" si="9"/>
        <v/>
      </c>
      <c r="J314" s="141" t="str">
        <f>IF(I314="","",IF(AND(AL314&lt;=66),VLOOKUP(I314,'COP Look Up'!$A$13:$B$21,2,TRUE),IF(AND(AL314&gt;=67,AL314&lt;=72),VLOOKUP(I314,'COP Look Up'!$E$13:$F$21,2,TRUE),IF(AND(AL314&gt;=73,AL314&lt;=78),VLOOKUP(I314,'COP Look Up'!$I$13:$J$21,2,TRUE),IF(AND(AL314&gt;=79),VLOOKUP(I314,'COP Look Up'!$M$13:$N$20,2,TRUE),"")))))</f>
        <v/>
      </c>
      <c r="K314" s="122"/>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23"/>
      <c r="AL314" s="143" t="str">
        <f t="shared" si="10"/>
        <v/>
      </c>
    </row>
    <row r="315" spans="1:38" s="108" customFormat="1" ht="15.75">
      <c r="A315" s="119"/>
      <c r="B315" s="120"/>
      <c r="C315" s="111"/>
      <c r="D315" s="111"/>
      <c r="E315" s="121"/>
      <c r="F315" s="121"/>
      <c r="G315" s="113"/>
      <c r="H315" s="113"/>
      <c r="I315" s="144" t="str">
        <f t="shared" si="9"/>
        <v/>
      </c>
      <c r="J315" s="141" t="str">
        <f>IF(I315="","",IF(AND(AL315&lt;=66),VLOOKUP(I315,'COP Look Up'!$A$13:$B$21,2,TRUE),IF(AND(AL315&gt;=67,AL315&lt;=72),VLOOKUP(I315,'COP Look Up'!$E$13:$F$21,2,TRUE),IF(AND(AL315&gt;=73,AL315&lt;=78),VLOOKUP(I315,'COP Look Up'!$I$13:$J$21,2,TRUE),IF(AND(AL315&gt;=79),VLOOKUP(I315,'COP Look Up'!$M$13:$N$20,2,TRUE),"")))))</f>
        <v/>
      </c>
      <c r="K315" s="122"/>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c r="AH315" s="123"/>
      <c r="AL315" s="143" t="str">
        <f t="shared" si="10"/>
        <v/>
      </c>
    </row>
    <row r="316" spans="1:38" s="108" customFormat="1" ht="15.75">
      <c r="A316" s="119"/>
      <c r="B316" s="120"/>
      <c r="C316" s="111"/>
      <c r="D316" s="111"/>
      <c r="E316" s="121"/>
      <c r="F316" s="121"/>
      <c r="G316" s="113"/>
      <c r="H316" s="113"/>
      <c r="I316" s="144" t="str">
        <f t="shared" si="9"/>
        <v/>
      </c>
      <c r="J316" s="141" t="str">
        <f>IF(I316="","",IF(AND(AL316&lt;=66),VLOOKUP(I316,'COP Look Up'!$A$13:$B$21,2,TRUE),IF(AND(AL316&gt;=67,AL316&lt;=72),VLOOKUP(I316,'COP Look Up'!$E$13:$F$21,2,TRUE),IF(AND(AL316&gt;=73,AL316&lt;=78),VLOOKUP(I316,'COP Look Up'!$I$13:$J$21,2,TRUE),IF(AND(AL316&gt;=79),VLOOKUP(I316,'COP Look Up'!$M$13:$N$20,2,TRUE),"")))))</f>
        <v/>
      </c>
      <c r="K316" s="122"/>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c r="AH316" s="123"/>
      <c r="AL316" s="143" t="str">
        <f t="shared" si="10"/>
        <v/>
      </c>
    </row>
    <row r="317" spans="1:38" s="108" customFormat="1" ht="15.75">
      <c r="A317" s="119"/>
      <c r="B317" s="120"/>
      <c r="C317" s="111"/>
      <c r="D317" s="111"/>
      <c r="E317" s="121"/>
      <c r="F317" s="121"/>
      <c r="G317" s="113"/>
      <c r="H317" s="113"/>
      <c r="I317" s="144" t="str">
        <f t="shared" si="9"/>
        <v/>
      </c>
      <c r="J317" s="141" t="str">
        <f>IF(I317="","",IF(AND(AL317&lt;=66),VLOOKUP(I317,'COP Look Up'!$A$13:$B$21,2,TRUE),IF(AND(AL317&gt;=67,AL317&lt;=72),VLOOKUP(I317,'COP Look Up'!$E$13:$F$21,2,TRUE),IF(AND(AL317&gt;=73,AL317&lt;=78),VLOOKUP(I317,'COP Look Up'!$I$13:$J$21,2,TRUE),IF(AND(AL317&gt;=79),VLOOKUP(I317,'COP Look Up'!$M$13:$N$20,2,TRUE),"")))))</f>
        <v/>
      </c>
      <c r="K317" s="122"/>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23"/>
      <c r="AL317" s="143" t="str">
        <f t="shared" si="10"/>
        <v/>
      </c>
    </row>
    <row r="318" spans="1:38" s="108" customFormat="1" ht="15.75">
      <c r="A318" s="119"/>
      <c r="B318" s="120"/>
      <c r="C318" s="111"/>
      <c r="D318" s="111"/>
      <c r="E318" s="121"/>
      <c r="F318" s="121"/>
      <c r="G318" s="113"/>
      <c r="H318" s="113"/>
      <c r="I318" s="144" t="str">
        <f t="shared" si="9"/>
        <v/>
      </c>
      <c r="J318" s="141" t="str">
        <f>IF(I318="","",IF(AND(AL318&lt;=66),VLOOKUP(I318,'COP Look Up'!$A$13:$B$21,2,TRUE),IF(AND(AL318&gt;=67,AL318&lt;=72),VLOOKUP(I318,'COP Look Up'!$E$13:$F$21,2,TRUE),IF(AND(AL318&gt;=73,AL318&lt;=78),VLOOKUP(I318,'COP Look Up'!$I$13:$J$21,2,TRUE),IF(AND(AL318&gt;=79),VLOOKUP(I318,'COP Look Up'!$M$13:$N$20,2,TRUE),"")))))</f>
        <v/>
      </c>
      <c r="K318" s="122"/>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23"/>
      <c r="AL318" s="143" t="str">
        <f t="shared" si="10"/>
        <v/>
      </c>
    </row>
    <row r="319" spans="1:38" s="108" customFormat="1" ht="15.75">
      <c r="A319" s="119"/>
      <c r="B319" s="120"/>
      <c r="C319" s="111"/>
      <c r="D319" s="111"/>
      <c r="E319" s="121"/>
      <c r="F319" s="121"/>
      <c r="G319" s="113"/>
      <c r="H319" s="113"/>
      <c r="I319" s="144" t="str">
        <f t="shared" si="9"/>
        <v/>
      </c>
      <c r="J319" s="141" t="str">
        <f>IF(I319="","",IF(AND(AL319&lt;=66),VLOOKUP(I319,'COP Look Up'!$A$13:$B$21,2,TRUE),IF(AND(AL319&gt;=67,AL319&lt;=72),VLOOKUP(I319,'COP Look Up'!$E$13:$F$21,2,TRUE),IF(AND(AL319&gt;=73,AL319&lt;=78),VLOOKUP(I319,'COP Look Up'!$I$13:$J$21,2,TRUE),IF(AND(AL319&gt;=79),VLOOKUP(I319,'COP Look Up'!$M$13:$N$20,2,TRUE),"")))))</f>
        <v/>
      </c>
      <c r="K319" s="122"/>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c r="AH319" s="123"/>
      <c r="AL319" s="143" t="str">
        <f t="shared" si="10"/>
        <v/>
      </c>
    </row>
    <row r="320" spans="1:38" s="108" customFormat="1" ht="15.75">
      <c r="A320" s="119"/>
      <c r="B320" s="120"/>
      <c r="C320" s="111"/>
      <c r="D320" s="111"/>
      <c r="E320" s="121"/>
      <c r="F320" s="121"/>
      <c r="G320" s="113"/>
      <c r="H320" s="113"/>
      <c r="I320" s="144" t="str">
        <f t="shared" si="9"/>
        <v/>
      </c>
      <c r="J320" s="141" t="str">
        <f>IF(I320="","",IF(AND(AL320&lt;=66),VLOOKUP(I320,'COP Look Up'!$A$13:$B$21,2,TRUE),IF(AND(AL320&gt;=67,AL320&lt;=72),VLOOKUP(I320,'COP Look Up'!$E$13:$F$21,2,TRUE),IF(AND(AL320&gt;=73,AL320&lt;=78),VLOOKUP(I320,'COP Look Up'!$I$13:$J$21,2,TRUE),IF(AND(AL320&gt;=79),VLOOKUP(I320,'COP Look Up'!$M$13:$N$20,2,TRUE),"")))))</f>
        <v/>
      </c>
      <c r="K320" s="122"/>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c r="AH320" s="123"/>
      <c r="AL320" s="143" t="str">
        <f t="shared" si="10"/>
        <v/>
      </c>
    </row>
    <row r="321" spans="1:38" s="108" customFormat="1" ht="15.75">
      <c r="A321" s="119"/>
      <c r="B321" s="120"/>
      <c r="C321" s="111"/>
      <c r="D321" s="111"/>
      <c r="E321" s="121"/>
      <c r="F321" s="121"/>
      <c r="G321" s="113"/>
      <c r="H321" s="113"/>
      <c r="I321" s="144" t="str">
        <f t="shared" si="9"/>
        <v/>
      </c>
      <c r="J321" s="141" t="str">
        <f>IF(I321="","",IF(AND(AL321&lt;=66),VLOOKUP(I321,'COP Look Up'!$A$13:$B$21,2,TRUE),IF(AND(AL321&gt;=67,AL321&lt;=72),VLOOKUP(I321,'COP Look Up'!$E$13:$F$21,2,TRUE),IF(AND(AL321&gt;=73,AL321&lt;=78),VLOOKUP(I321,'COP Look Up'!$I$13:$J$21,2,TRUE),IF(AND(AL321&gt;=79),VLOOKUP(I321,'COP Look Up'!$M$13:$N$20,2,TRUE),"")))))</f>
        <v/>
      </c>
      <c r="K321" s="122"/>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c r="AH321" s="123"/>
      <c r="AL321" s="143" t="str">
        <f t="shared" si="10"/>
        <v/>
      </c>
    </row>
    <row r="322" spans="1:38" s="108" customFormat="1" ht="15.75">
      <c r="A322" s="119"/>
      <c r="B322" s="120"/>
      <c r="C322" s="111"/>
      <c r="D322" s="111"/>
      <c r="E322" s="121"/>
      <c r="F322" s="121"/>
      <c r="G322" s="113"/>
      <c r="H322" s="113"/>
      <c r="I322" s="144" t="str">
        <f t="shared" si="9"/>
        <v/>
      </c>
      <c r="J322" s="141" t="str">
        <f>IF(I322="","",IF(AND(AL322&lt;=66),VLOOKUP(I322,'COP Look Up'!$A$13:$B$21,2,TRUE),IF(AND(AL322&gt;=67,AL322&lt;=72),VLOOKUP(I322,'COP Look Up'!$E$13:$F$21,2,TRUE),IF(AND(AL322&gt;=73,AL322&lt;=78),VLOOKUP(I322,'COP Look Up'!$I$13:$J$21,2,TRUE),IF(AND(AL322&gt;=79),VLOOKUP(I322,'COP Look Up'!$M$13:$N$20,2,TRUE),"")))))</f>
        <v/>
      </c>
      <c r="K322" s="122"/>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c r="AH322" s="123"/>
      <c r="AL322" s="143" t="str">
        <f t="shared" si="10"/>
        <v/>
      </c>
    </row>
    <row r="323" spans="1:38" s="108" customFormat="1" ht="15.75">
      <c r="A323" s="119"/>
      <c r="B323" s="120"/>
      <c r="C323" s="111"/>
      <c r="D323" s="111"/>
      <c r="E323" s="121"/>
      <c r="F323" s="121"/>
      <c r="G323" s="113"/>
      <c r="H323" s="113"/>
      <c r="I323" s="144" t="str">
        <f t="shared" si="9"/>
        <v/>
      </c>
      <c r="J323" s="141" t="str">
        <f>IF(I323="","",IF(AND(AL323&lt;=66),VLOOKUP(I323,'COP Look Up'!$A$13:$B$21,2,TRUE),IF(AND(AL323&gt;=67,AL323&lt;=72),VLOOKUP(I323,'COP Look Up'!$E$13:$F$21,2,TRUE),IF(AND(AL323&gt;=73,AL323&lt;=78),VLOOKUP(I323,'COP Look Up'!$I$13:$J$21,2,TRUE),IF(AND(AL323&gt;=79),VLOOKUP(I323,'COP Look Up'!$M$13:$N$20,2,TRUE),"")))))</f>
        <v/>
      </c>
      <c r="K323" s="122"/>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c r="AH323" s="123"/>
      <c r="AL323" s="143" t="str">
        <f t="shared" si="10"/>
        <v/>
      </c>
    </row>
    <row r="324" spans="1:38" s="108" customFormat="1" ht="15.75">
      <c r="A324" s="119"/>
      <c r="B324" s="120"/>
      <c r="C324" s="111"/>
      <c r="D324" s="111"/>
      <c r="E324" s="121"/>
      <c r="F324" s="121"/>
      <c r="G324" s="113"/>
      <c r="H324" s="113"/>
      <c r="I324" s="144" t="str">
        <f t="shared" si="9"/>
        <v/>
      </c>
      <c r="J324" s="141" t="str">
        <f>IF(I324="","",IF(AND(AL324&lt;=66),VLOOKUP(I324,'COP Look Up'!$A$13:$B$21,2,TRUE),IF(AND(AL324&gt;=67,AL324&lt;=72),VLOOKUP(I324,'COP Look Up'!$E$13:$F$21,2,TRUE),IF(AND(AL324&gt;=73,AL324&lt;=78),VLOOKUP(I324,'COP Look Up'!$I$13:$J$21,2,TRUE),IF(AND(AL324&gt;=79),VLOOKUP(I324,'COP Look Up'!$M$13:$N$20,2,TRUE),"")))))</f>
        <v/>
      </c>
      <c r="K324" s="122"/>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c r="AH324" s="123"/>
      <c r="AL324" s="143" t="str">
        <f t="shared" si="10"/>
        <v/>
      </c>
    </row>
    <row r="325" spans="1:38" s="108" customFormat="1" ht="15.75">
      <c r="A325" s="119"/>
      <c r="B325" s="120"/>
      <c r="C325" s="111"/>
      <c r="D325" s="111"/>
      <c r="E325" s="121"/>
      <c r="F325" s="121"/>
      <c r="G325" s="113"/>
      <c r="H325" s="113"/>
      <c r="I325" s="144" t="str">
        <f t="shared" si="9"/>
        <v/>
      </c>
      <c r="J325" s="141" t="str">
        <f>IF(I325="","",IF(AND(AL325&lt;=66),VLOOKUP(I325,'COP Look Up'!$A$13:$B$21,2,TRUE),IF(AND(AL325&gt;=67,AL325&lt;=72),VLOOKUP(I325,'COP Look Up'!$E$13:$F$21,2,TRUE),IF(AND(AL325&gt;=73,AL325&lt;=78),VLOOKUP(I325,'COP Look Up'!$I$13:$J$21,2,TRUE),IF(AND(AL325&gt;=79),VLOOKUP(I325,'COP Look Up'!$M$13:$N$20,2,TRUE),"")))))</f>
        <v/>
      </c>
      <c r="K325" s="122"/>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c r="AH325" s="123"/>
      <c r="AL325" s="143" t="str">
        <f t="shared" si="10"/>
        <v/>
      </c>
    </row>
    <row r="326" spans="1:38" s="108" customFormat="1" ht="15.75">
      <c r="A326" s="119"/>
      <c r="B326" s="120"/>
      <c r="C326" s="111"/>
      <c r="D326" s="111"/>
      <c r="E326" s="121"/>
      <c r="F326" s="121"/>
      <c r="G326" s="113"/>
      <c r="H326" s="113"/>
      <c r="I326" s="144" t="str">
        <f t="shared" si="9"/>
        <v/>
      </c>
      <c r="J326" s="141" t="str">
        <f>IF(I326="","",IF(AND(AL326&lt;=66),VLOOKUP(I326,'COP Look Up'!$A$13:$B$21,2,TRUE),IF(AND(AL326&gt;=67,AL326&lt;=72),VLOOKUP(I326,'COP Look Up'!$E$13:$F$21,2,TRUE),IF(AND(AL326&gt;=73,AL326&lt;=78),VLOOKUP(I326,'COP Look Up'!$I$13:$J$21,2,TRUE),IF(AND(AL326&gt;=79),VLOOKUP(I326,'COP Look Up'!$M$13:$N$20,2,TRUE),"")))))</f>
        <v/>
      </c>
      <c r="K326" s="122"/>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c r="AH326" s="123"/>
      <c r="AL326" s="143" t="str">
        <f t="shared" si="10"/>
        <v/>
      </c>
    </row>
    <row r="327" spans="1:38" s="108" customFormat="1" ht="15.75">
      <c r="A327" s="119"/>
      <c r="B327" s="120"/>
      <c r="C327" s="111"/>
      <c r="D327" s="111"/>
      <c r="E327" s="121"/>
      <c r="F327" s="121"/>
      <c r="G327" s="113"/>
      <c r="H327" s="113"/>
      <c r="I327" s="144" t="str">
        <f t="shared" si="9"/>
        <v/>
      </c>
      <c r="J327" s="141" t="str">
        <f>IF(I327="","",IF(AND(AL327&lt;=66),VLOOKUP(I327,'COP Look Up'!$A$13:$B$21,2,TRUE),IF(AND(AL327&gt;=67,AL327&lt;=72),VLOOKUP(I327,'COP Look Up'!$E$13:$F$21,2,TRUE),IF(AND(AL327&gt;=73,AL327&lt;=78),VLOOKUP(I327,'COP Look Up'!$I$13:$J$21,2,TRUE),IF(AND(AL327&gt;=79),VLOOKUP(I327,'COP Look Up'!$M$13:$N$20,2,TRUE),"")))))</f>
        <v/>
      </c>
      <c r="K327" s="122"/>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c r="AH327" s="123"/>
      <c r="AL327" s="143" t="str">
        <f t="shared" si="10"/>
        <v/>
      </c>
    </row>
    <row r="328" spans="1:38" s="108" customFormat="1" ht="15.75">
      <c r="A328" s="119"/>
      <c r="B328" s="120"/>
      <c r="C328" s="111"/>
      <c r="D328" s="111"/>
      <c r="E328" s="121"/>
      <c r="F328" s="121"/>
      <c r="G328" s="113"/>
      <c r="H328" s="113"/>
      <c r="I328" s="144" t="str">
        <f t="shared" si="9"/>
        <v/>
      </c>
      <c r="J328" s="141" t="str">
        <f>IF(I328="","",IF(AND(AL328&lt;=66),VLOOKUP(I328,'COP Look Up'!$A$13:$B$21,2,TRUE),IF(AND(AL328&gt;=67,AL328&lt;=72),VLOOKUP(I328,'COP Look Up'!$E$13:$F$21,2,TRUE),IF(AND(AL328&gt;=73,AL328&lt;=78),VLOOKUP(I328,'COP Look Up'!$I$13:$J$21,2,TRUE),IF(AND(AL328&gt;=79),VLOOKUP(I328,'COP Look Up'!$M$13:$N$20,2,TRUE),"")))))</f>
        <v/>
      </c>
      <c r="K328" s="122"/>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c r="AH328" s="123"/>
      <c r="AL328" s="143" t="str">
        <f t="shared" si="10"/>
        <v/>
      </c>
    </row>
    <row r="329" spans="1:38" s="108" customFormat="1" ht="15.75">
      <c r="A329" s="119"/>
      <c r="B329" s="120"/>
      <c r="C329" s="111"/>
      <c r="D329" s="111"/>
      <c r="E329" s="121"/>
      <c r="F329" s="121"/>
      <c r="G329" s="113"/>
      <c r="H329" s="113"/>
      <c r="I329" s="144" t="str">
        <f t="shared" ref="I329:I392" si="11">IF(E329="","",COUNTIF(K329:AH329,"y"))</f>
        <v/>
      </c>
      <c r="J329" s="141" t="str">
        <f>IF(I329="","",IF(AND(AL329&lt;=66),VLOOKUP(I329,'COP Look Up'!$A$13:$B$21,2,TRUE),IF(AND(AL329&gt;=67,AL329&lt;=72),VLOOKUP(I329,'COP Look Up'!$E$13:$F$21,2,TRUE),IF(AND(AL329&gt;=73,AL329&lt;=78),VLOOKUP(I329,'COP Look Up'!$I$13:$J$21,2,TRUE),IF(AND(AL329&gt;=79),VLOOKUP(I329,'COP Look Up'!$M$13:$N$20,2,TRUE),"")))))</f>
        <v/>
      </c>
      <c r="K329" s="122"/>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c r="AH329" s="123"/>
      <c r="AL329" s="143" t="str">
        <f t="shared" ref="AL329:AL392" si="12">IF(E329="","",DATEDIF(B329,A329,"m"))</f>
        <v/>
      </c>
    </row>
    <row r="330" spans="1:38" s="108" customFormat="1" ht="15.75">
      <c r="A330" s="119"/>
      <c r="B330" s="120"/>
      <c r="C330" s="111"/>
      <c r="D330" s="111"/>
      <c r="E330" s="121"/>
      <c r="F330" s="121"/>
      <c r="G330" s="113"/>
      <c r="H330" s="113"/>
      <c r="I330" s="144" t="str">
        <f t="shared" si="11"/>
        <v/>
      </c>
      <c r="J330" s="141" t="str">
        <f>IF(I330="","",IF(AND(AL330&lt;=66),VLOOKUP(I330,'COP Look Up'!$A$13:$B$21,2,TRUE),IF(AND(AL330&gt;=67,AL330&lt;=72),VLOOKUP(I330,'COP Look Up'!$E$13:$F$21,2,TRUE),IF(AND(AL330&gt;=73,AL330&lt;=78),VLOOKUP(I330,'COP Look Up'!$I$13:$J$21,2,TRUE),IF(AND(AL330&gt;=79),VLOOKUP(I330,'COP Look Up'!$M$13:$N$20,2,TRUE),"")))))</f>
        <v/>
      </c>
      <c r="K330" s="122"/>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23"/>
      <c r="AL330" s="143" t="str">
        <f t="shared" si="12"/>
        <v/>
      </c>
    </row>
    <row r="331" spans="1:38" s="108" customFormat="1" ht="15.75">
      <c r="A331" s="119"/>
      <c r="B331" s="120"/>
      <c r="C331" s="111"/>
      <c r="D331" s="111"/>
      <c r="E331" s="121"/>
      <c r="F331" s="121"/>
      <c r="G331" s="113"/>
      <c r="H331" s="113"/>
      <c r="I331" s="144" t="str">
        <f t="shared" si="11"/>
        <v/>
      </c>
      <c r="J331" s="141" t="str">
        <f>IF(I331="","",IF(AND(AL331&lt;=66),VLOOKUP(I331,'COP Look Up'!$A$13:$B$21,2,TRUE),IF(AND(AL331&gt;=67,AL331&lt;=72),VLOOKUP(I331,'COP Look Up'!$E$13:$F$21,2,TRUE),IF(AND(AL331&gt;=73,AL331&lt;=78),VLOOKUP(I331,'COP Look Up'!$I$13:$J$21,2,TRUE),IF(AND(AL331&gt;=79),VLOOKUP(I331,'COP Look Up'!$M$13:$N$20,2,TRUE),"")))))</f>
        <v/>
      </c>
      <c r="K331" s="122"/>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c r="AH331" s="123"/>
      <c r="AL331" s="143" t="str">
        <f t="shared" si="12"/>
        <v/>
      </c>
    </row>
    <row r="332" spans="1:38" s="108" customFormat="1" ht="15.75">
      <c r="A332" s="119"/>
      <c r="B332" s="120"/>
      <c r="C332" s="111"/>
      <c r="D332" s="111"/>
      <c r="E332" s="121"/>
      <c r="F332" s="121"/>
      <c r="G332" s="113"/>
      <c r="H332" s="113"/>
      <c r="I332" s="144" t="str">
        <f t="shared" si="11"/>
        <v/>
      </c>
      <c r="J332" s="141" t="str">
        <f>IF(I332="","",IF(AND(AL332&lt;=66),VLOOKUP(I332,'COP Look Up'!$A$13:$B$21,2,TRUE),IF(AND(AL332&gt;=67,AL332&lt;=72),VLOOKUP(I332,'COP Look Up'!$E$13:$F$21,2,TRUE),IF(AND(AL332&gt;=73,AL332&lt;=78),VLOOKUP(I332,'COP Look Up'!$I$13:$J$21,2,TRUE),IF(AND(AL332&gt;=79),VLOOKUP(I332,'COP Look Up'!$M$13:$N$20,2,TRUE),"")))))</f>
        <v/>
      </c>
      <c r="K332" s="122"/>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c r="AH332" s="123"/>
      <c r="AL332" s="143" t="str">
        <f t="shared" si="12"/>
        <v/>
      </c>
    </row>
    <row r="333" spans="1:38" s="108" customFormat="1" ht="15.75">
      <c r="A333" s="119"/>
      <c r="B333" s="120"/>
      <c r="C333" s="111"/>
      <c r="D333" s="111"/>
      <c r="E333" s="121"/>
      <c r="F333" s="121"/>
      <c r="G333" s="113"/>
      <c r="H333" s="113"/>
      <c r="I333" s="144" t="str">
        <f t="shared" si="11"/>
        <v/>
      </c>
      <c r="J333" s="141" t="str">
        <f>IF(I333="","",IF(AND(AL333&lt;=66),VLOOKUP(I333,'COP Look Up'!$A$13:$B$21,2,TRUE),IF(AND(AL333&gt;=67,AL333&lt;=72),VLOOKUP(I333,'COP Look Up'!$E$13:$F$21,2,TRUE),IF(AND(AL333&gt;=73,AL333&lt;=78),VLOOKUP(I333,'COP Look Up'!$I$13:$J$21,2,TRUE),IF(AND(AL333&gt;=79),VLOOKUP(I333,'COP Look Up'!$M$13:$N$20,2,TRUE),"")))))</f>
        <v/>
      </c>
      <c r="K333" s="122"/>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c r="AH333" s="123"/>
      <c r="AL333" s="143" t="str">
        <f t="shared" si="12"/>
        <v/>
      </c>
    </row>
    <row r="334" spans="1:38" s="108" customFormat="1" ht="15.75">
      <c r="A334" s="119"/>
      <c r="B334" s="120"/>
      <c r="C334" s="111"/>
      <c r="D334" s="111"/>
      <c r="E334" s="121"/>
      <c r="F334" s="121"/>
      <c r="G334" s="113"/>
      <c r="H334" s="113"/>
      <c r="I334" s="144" t="str">
        <f t="shared" si="11"/>
        <v/>
      </c>
      <c r="J334" s="141" t="str">
        <f>IF(I334="","",IF(AND(AL334&lt;=66),VLOOKUP(I334,'COP Look Up'!$A$13:$B$21,2,TRUE),IF(AND(AL334&gt;=67,AL334&lt;=72),VLOOKUP(I334,'COP Look Up'!$E$13:$F$21,2,TRUE),IF(AND(AL334&gt;=73,AL334&lt;=78),VLOOKUP(I334,'COP Look Up'!$I$13:$J$21,2,TRUE),IF(AND(AL334&gt;=79),VLOOKUP(I334,'COP Look Up'!$M$13:$N$20,2,TRUE),"")))))</f>
        <v/>
      </c>
      <c r="K334" s="122"/>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c r="AH334" s="123"/>
      <c r="AL334" s="143" t="str">
        <f t="shared" si="12"/>
        <v/>
      </c>
    </row>
    <row r="335" spans="1:38" s="108" customFormat="1" ht="15.75">
      <c r="A335" s="119"/>
      <c r="B335" s="120"/>
      <c r="C335" s="111"/>
      <c r="D335" s="111"/>
      <c r="E335" s="121"/>
      <c r="F335" s="121"/>
      <c r="G335" s="113"/>
      <c r="H335" s="113"/>
      <c r="I335" s="144" t="str">
        <f t="shared" si="11"/>
        <v/>
      </c>
      <c r="J335" s="141" t="str">
        <f>IF(I335="","",IF(AND(AL335&lt;=66),VLOOKUP(I335,'COP Look Up'!$A$13:$B$21,2,TRUE),IF(AND(AL335&gt;=67,AL335&lt;=72),VLOOKUP(I335,'COP Look Up'!$E$13:$F$21,2,TRUE),IF(AND(AL335&gt;=73,AL335&lt;=78),VLOOKUP(I335,'COP Look Up'!$I$13:$J$21,2,TRUE),IF(AND(AL335&gt;=79),VLOOKUP(I335,'COP Look Up'!$M$13:$N$20,2,TRUE),"")))))</f>
        <v/>
      </c>
      <c r="K335" s="122"/>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c r="AH335" s="123"/>
      <c r="AL335" s="143" t="str">
        <f t="shared" si="12"/>
        <v/>
      </c>
    </row>
    <row r="336" spans="1:38" s="108" customFormat="1" ht="15.75">
      <c r="A336" s="119"/>
      <c r="B336" s="120"/>
      <c r="C336" s="111"/>
      <c r="D336" s="111"/>
      <c r="E336" s="121"/>
      <c r="F336" s="121"/>
      <c r="G336" s="113"/>
      <c r="H336" s="113"/>
      <c r="I336" s="144" t="str">
        <f t="shared" si="11"/>
        <v/>
      </c>
      <c r="J336" s="141" t="str">
        <f>IF(I336="","",IF(AND(AL336&lt;=66),VLOOKUP(I336,'COP Look Up'!$A$13:$B$21,2,TRUE),IF(AND(AL336&gt;=67,AL336&lt;=72),VLOOKUP(I336,'COP Look Up'!$E$13:$F$21,2,TRUE),IF(AND(AL336&gt;=73,AL336&lt;=78),VLOOKUP(I336,'COP Look Up'!$I$13:$J$21,2,TRUE),IF(AND(AL336&gt;=79),VLOOKUP(I336,'COP Look Up'!$M$13:$N$20,2,TRUE),"")))))</f>
        <v/>
      </c>
      <c r="K336" s="122"/>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c r="AH336" s="123"/>
      <c r="AL336" s="143" t="str">
        <f t="shared" si="12"/>
        <v/>
      </c>
    </row>
    <row r="337" spans="1:38" s="108" customFormat="1" ht="15.75">
      <c r="A337" s="119"/>
      <c r="B337" s="120"/>
      <c r="C337" s="111"/>
      <c r="D337" s="111"/>
      <c r="E337" s="121"/>
      <c r="F337" s="121"/>
      <c r="G337" s="113"/>
      <c r="H337" s="113"/>
      <c r="I337" s="144" t="str">
        <f t="shared" si="11"/>
        <v/>
      </c>
      <c r="J337" s="141" t="str">
        <f>IF(I337="","",IF(AND(AL337&lt;=66),VLOOKUP(I337,'COP Look Up'!$A$13:$B$21,2,TRUE),IF(AND(AL337&gt;=67,AL337&lt;=72),VLOOKUP(I337,'COP Look Up'!$E$13:$F$21,2,TRUE),IF(AND(AL337&gt;=73,AL337&lt;=78),VLOOKUP(I337,'COP Look Up'!$I$13:$J$21,2,TRUE),IF(AND(AL337&gt;=79),VLOOKUP(I337,'COP Look Up'!$M$13:$N$20,2,TRUE),"")))))</f>
        <v/>
      </c>
      <c r="K337" s="122"/>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c r="AH337" s="123"/>
      <c r="AL337" s="143" t="str">
        <f t="shared" si="12"/>
        <v/>
      </c>
    </row>
    <row r="338" spans="1:38" s="108" customFormat="1" ht="15.75">
      <c r="A338" s="119"/>
      <c r="B338" s="120"/>
      <c r="C338" s="111"/>
      <c r="D338" s="111"/>
      <c r="E338" s="121"/>
      <c r="F338" s="121"/>
      <c r="G338" s="113"/>
      <c r="H338" s="113"/>
      <c r="I338" s="144" t="str">
        <f t="shared" si="11"/>
        <v/>
      </c>
      <c r="J338" s="141" t="str">
        <f>IF(I338="","",IF(AND(AL338&lt;=66),VLOOKUP(I338,'COP Look Up'!$A$13:$B$21,2,TRUE),IF(AND(AL338&gt;=67,AL338&lt;=72),VLOOKUP(I338,'COP Look Up'!$E$13:$F$21,2,TRUE),IF(AND(AL338&gt;=73,AL338&lt;=78),VLOOKUP(I338,'COP Look Up'!$I$13:$J$21,2,TRUE),IF(AND(AL338&gt;=79),VLOOKUP(I338,'COP Look Up'!$M$13:$N$20,2,TRUE),"")))))</f>
        <v/>
      </c>
      <c r="K338" s="122"/>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c r="AH338" s="123"/>
      <c r="AL338" s="143" t="str">
        <f t="shared" si="12"/>
        <v/>
      </c>
    </row>
    <row r="339" spans="1:38" s="108" customFormat="1" ht="15.75">
      <c r="A339" s="119"/>
      <c r="B339" s="120"/>
      <c r="C339" s="111"/>
      <c r="D339" s="111"/>
      <c r="E339" s="121"/>
      <c r="F339" s="121"/>
      <c r="G339" s="113"/>
      <c r="H339" s="113"/>
      <c r="I339" s="144" t="str">
        <f t="shared" si="11"/>
        <v/>
      </c>
      <c r="J339" s="141" t="str">
        <f>IF(I339="","",IF(AND(AL339&lt;=66),VLOOKUP(I339,'COP Look Up'!$A$13:$B$21,2,TRUE),IF(AND(AL339&gt;=67,AL339&lt;=72),VLOOKUP(I339,'COP Look Up'!$E$13:$F$21,2,TRUE),IF(AND(AL339&gt;=73,AL339&lt;=78),VLOOKUP(I339,'COP Look Up'!$I$13:$J$21,2,TRUE),IF(AND(AL339&gt;=79),VLOOKUP(I339,'COP Look Up'!$M$13:$N$20,2,TRUE),"")))))</f>
        <v/>
      </c>
      <c r="K339" s="122"/>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23"/>
      <c r="AL339" s="143" t="str">
        <f t="shared" si="12"/>
        <v/>
      </c>
    </row>
    <row r="340" spans="1:38" s="108" customFormat="1" ht="15.75">
      <c r="A340" s="119"/>
      <c r="B340" s="120"/>
      <c r="C340" s="111"/>
      <c r="D340" s="111"/>
      <c r="E340" s="121"/>
      <c r="F340" s="121"/>
      <c r="G340" s="113"/>
      <c r="H340" s="113"/>
      <c r="I340" s="144" t="str">
        <f t="shared" si="11"/>
        <v/>
      </c>
      <c r="J340" s="141" t="str">
        <f>IF(I340="","",IF(AND(AL340&lt;=66),VLOOKUP(I340,'COP Look Up'!$A$13:$B$21,2,TRUE),IF(AND(AL340&gt;=67,AL340&lt;=72),VLOOKUP(I340,'COP Look Up'!$E$13:$F$21,2,TRUE),IF(AND(AL340&gt;=73,AL340&lt;=78),VLOOKUP(I340,'COP Look Up'!$I$13:$J$21,2,TRUE),IF(AND(AL340&gt;=79),VLOOKUP(I340,'COP Look Up'!$M$13:$N$20,2,TRUE),"")))))</f>
        <v/>
      </c>
      <c r="K340" s="122"/>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c r="AH340" s="123"/>
      <c r="AL340" s="143" t="str">
        <f t="shared" si="12"/>
        <v/>
      </c>
    </row>
    <row r="341" spans="1:38" s="108" customFormat="1" ht="15.75">
      <c r="A341" s="119"/>
      <c r="B341" s="120"/>
      <c r="C341" s="111"/>
      <c r="D341" s="111"/>
      <c r="E341" s="121"/>
      <c r="F341" s="121"/>
      <c r="G341" s="113"/>
      <c r="H341" s="113"/>
      <c r="I341" s="144" t="str">
        <f t="shared" si="11"/>
        <v/>
      </c>
      <c r="J341" s="141" t="str">
        <f>IF(I341="","",IF(AND(AL341&lt;=66),VLOOKUP(I341,'COP Look Up'!$A$13:$B$21,2,TRUE),IF(AND(AL341&gt;=67,AL341&lt;=72),VLOOKUP(I341,'COP Look Up'!$E$13:$F$21,2,TRUE),IF(AND(AL341&gt;=73,AL341&lt;=78),VLOOKUP(I341,'COP Look Up'!$I$13:$J$21,2,TRUE),IF(AND(AL341&gt;=79),VLOOKUP(I341,'COP Look Up'!$M$13:$N$20,2,TRUE),"")))))</f>
        <v/>
      </c>
      <c r="K341" s="122"/>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c r="AH341" s="123"/>
      <c r="AL341" s="143" t="str">
        <f t="shared" si="12"/>
        <v/>
      </c>
    </row>
    <row r="342" spans="1:38" s="108" customFormat="1" ht="15.75">
      <c r="A342" s="119"/>
      <c r="B342" s="120"/>
      <c r="C342" s="111"/>
      <c r="D342" s="111"/>
      <c r="E342" s="121"/>
      <c r="F342" s="121"/>
      <c r="G342" s="113"/>
      <c r="H342" s="113"/>
      <c r="I342" s="144" t="str">
        <f t="shared" si="11"/>
        <v/>
      </c>
      <c r="J342" s="141" t="str">
        <f>IF(I342="","",IF(AND(AL342&lt;=66),VLOOKUP(I342,'COP Look Up'!$A$13:$B$21,2,TRUE),IF(AND(AL342&gt;=67,AL342&lt;=72),VLOOKUP(I342,'COP Look Up'!$E$13:$F$21,2,TRUE),IF(AND(AL342&gt;=73,AL342&lt;=78),VLOOKUP(I342,'COP Look Up'!$I$13:$J$21,2,TRUE),IF(AND(AL342&gt;=79),VLOOKUP(I342,'COP Look Up'!$M$13:$N$20,2,TRUE),"")))))</f>
        <v/>
      </c>
      <c r="K342" s="122"/>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c r="AH342" s="123"/>
      <c r="AL342" s="143" t="str">
        <f t="shared" si="12"/>
        <v/>
      </c>
    </row>
    <row r="343" spans="1:38" s="108" customFormat="1" ht="15.75">
      <c r="A343" s="119"/>
      <c r="B343" s="120"/>
      <c r="C343" s="111"/>
      <c r="D343" s="111"/>
      <c r="E343" s="121"/>
      <c r="F343" s="121"/>
      <c r="G343" s="113"/>
      <c r="H343" s="113"/>
      <c r="I343" s="144" t="str">
        <f t="shared" si="11"/>
        <v/>
      </c>
      <c r="J343" s="141" t="str">
        <f>IF(I343="","",IF(AND(AL343&lt;=66),VLOOKUP(I343,'COP Look Up'!$A$13:$B$21,2,TRUE),IF(AND(AL343&gt;=67,AL343&lt;=72),VLOOKUP(I343,'COP Look Up'!$E$13:$F$21,2,TRUE),IF(AND(AL343&gt;=73,AL343&lt;=78),VLOOKUP(I343,'COP Look Up'!$I$13:$J$21,2,TRUE),IF(AND(AL343&gt;=79),VLOOKUP(I343,'COP Look Up'!$M$13:$N$20,2,TRUE),"")))))</f>
        <v/>
      </c>
      <c r="K343" s="122"/>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c r="AH343" s="123"/>
      <c r="AL343" s="143" t="str">
        <f t="shared" si="12"/>
        <v/>
      </c>
    </row>
    <row r="344" spans="1:38" s="108" customFormat="1" ht="15.75">
      <c r="A344" s="119"/>
      <c r="B344" s="120"/>
      <c r="C344" s="111"/>
      <c r="D344" s="111"/>
      <c r="E344" s="121"/>
      <c r="F344" s="121"/>
      <c r="G344" s="113"/>
      <c r="H344" s="113"/>
      <c r="I344" s="144" t="str">
        <f t="shared" si="11"/>
        <v/>
      </c>
      <c r="J344" s="141" t="str">
        <f>IF(I344="","",IF(AND(AL344&lt;=66),VLOOKUP(I344,'COP Look Up'!$A$13:$B$21,2,TRUE),IF(AND(AL344&gt;=67,AL344&lt;=72),VLOOKUP(I344,'COP Look Up'!$E$13:$F$21,2,TRUE),IF(AND(AL344&gt;=73,AL344&lt;=78),VLOOKUP(I344,'COP Look Up'!$I$13:$J$21,2,TRUE),IF(AND(AL344&gt;=79),VLOOKUP(I344,'COP Look Up'!$M$13:$N$20,2,TRUE),"")))))</f>
        <v/>
      </c>
      <c r="K344" s="122"/>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23"/>
      <c r="AL344" s="143" t="str">
        <f t="shared" si="12"/>
        <v/>
      </c>
    </row>
    <row r="345" spans="1:38" s="108" customFormat="1" ht="15.75">
      <c r="A345" s="119"/>
      <c r="B345" s="120"/>
      <c r="C345" s="111"/>
      <c r="D345" s="111"/>
      <c r="E345" s="121"/>
      <c r="F345" s="121"/>
      <c r="G345" s="113"/>
      <c r="H345" s="113"/>
      <c r="I345" s="144" t="str">
        <f t="shared" si="11"/>
        <v/>
      </c>
      <c r="J345" s="141" t="str">
        <f>IF(I345="","",IF(AND(AL345&lt;=66),VLOOKUP(I345,'COP Look Up'!$A$13:$B$21,2,TRUE),IF(AND(AL345&gt;=67,AL345&lt;=72),VLOOKUP(I345,'COP Look Up'!$E$13:$F$21,2,TRUE),IF(AND(AL345&gt;=73,AL345&lt;=78),VLOOKUP(I345,'COP Look Up'!$I$13:$J$21,2,TRUE),IF(AND(AL345&gt;=79),VLOOKUP(I345,'COP Look Up'!$M$13:$N$20,2,TRUE),"")))))</f>
        <v/>
      </c>
      <c r="K345" s="122"/>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23"/>
      <c r="AL345" s="143" t="str">
        <f t="shared" si="12"/>
        <v/>
      </c>
    </row>
    <row r="346" spans="1:38" s="108" customFormat="1" ht="15.75">
      <c r="A346" s="119"/>
      <c r="B346" s="120"/>
      <c r="C346" s="111"/>
      <c r="D346" s="111"/>
      <c r="E346" s="121"/>
      <c r="F346" s="121"/>
      <c r="G346" s="113"/>
      <c r="H346" s="113"/>
      <c r="I346" s="144" t="str">
        <f t="shared" si="11"/>
        <v/>
      </c>
      <c r="J346" s="141" t="str">
        <f>IF(I346="","",IF(AND(AL346&lt;=66),VLOOKUP(I346,'COP Look Up'!$A$13:$B$21,2,TRUE),IF(AND(AL346&gt;=67,AL346&lt;=72),VLOOKUP(I346,'COP Look Up'!$E$13:$F$21,2,TRUE),IF(AND(AL346&gt;=73,AL346&lt;=78),VLOOKUP(I346,'COP Look Up'!$I$13:$J$21,2,TRUE),IF(AND(AL346&gt;=79),VLOOKUP(I346,'COP Look Up'!$M$13:$N$20,2,TRUE),"")))))</f>
        <v/>
      </c>
      <c r="K346" s="122"/>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c r="AH346" s="123"/>
      <c r="AL346" s="143" t="str">
        <f t="shared" si="12"/>
        <v/>
      </c>
    </row>
    <row r="347" spans="1:38" s="108" customFormat="1" ht="15.75">
      <c r="A347" s="119"/>
      <c r="B347" s="120"/>
      <c r="C347" s="111"/>
      <c r="D347" s="111"/>
      <c r="E347" s="121"/>
      <c r="F347" s="121"/>
      <c r="G347" s="113"/>
      <c r="H347" s="113"/>
      <c r="I347" s="144" t="str">
        <f t="shared" si="11"/>
        <v/>
      </c>
      <c r="J347" s="141" t="str">
        <f>IF(I347="","",IF(AND(AL347&lt;=66),VLOOKUP(I347,'COP Look Up'!$A$13:$B$21,2,TRUE),IF(AND(AL347&gt;=67,AL347&lt;=72),VLOOKUP(I347,'COP Look Up'!$E$13:$F$21,2,TRUE),IF(AND(AL347&gt;=73,AL347&lt;=78),VLOOKUP(I347,'COP Look Up'!$I$13:$J$21,2,TRUE),IF(AND(AL347&gt;=79),VLOOKUP(I347,'COP Look Up'!$M$13:$N$20,2,TRUE),"")))))</f>
        <v/>
      </c>
      <c r="K347" s="122"/>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c r="AH347" s="123"/>
      <c r="AL347" s="143" t="str">
        <f t="shared" si="12"/>
        <v/>
      </c>
    </row>
    <row r="348" spans="1:38" s="108" customFormat="1" ht="15.75">
      <c r="A348" s="119"/>
      <c r="B348" s="120"/>
      <c r="C348" s="111"/>
      <c r="D348" s="111"/>
      <c r="E348" s="121"/>
      <c r="F348" s="121"/>
      <c r="G348" s="113"/>
      <c r="H348" s="113"/>
      <c r="I348" s="144" t="str">
        <f t="shared" si="11"/>
        <v/>
      </c>
      <c r="J348" s="141" t="str">
        <f>IF(I348="","",IF(AND(AL348&lt;=66),VLOOKUP(I348,'COP Look Up'!$A$13:$B$21,2,TRUE),IF(AND(AL348&gt;=67,AL348&lt;=72),VLOOKUP(I348,'COP Look Up'!$E$13:$F$21,2,TRUE),IF(AND(AL348&gt;=73,AL348&lt;=78),VLOOKUP(I348,'COP Look Up'!$I$13:$J$21,2,TRUE),IF(AND(AL348&gt;=79),VLOOKUP(I348,'COP Look Up'!$M$13:$N$20,2,TRUE),"")))))</f>
        <v/>
      </c>
      <c r="K348" s="122"/>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c r="AH348" s="123"/>
      <c r="AL348" s="143" t="str">
        <f t="shared" si="12"/>
        <v/>
      </c>
    </row>
    <row r="349" spans="1:38" s="108" customFormat="1" ht="15.75">
      <c r="A349" s="119"/>
      <c r="B349" s="120"/>
      <c r="C349" s="111"/>
      <c r="D349" s="111"/>
      <c r="E349" s="121"/>
      <c r="F349" s="121"/>
      <c r="G349" s="113"/>
      <c r="H349" s="113"/>
      <c r="I349" s="144" t="str">
        <f t="shared" si="11"/>
        <v/>
      </c>
      <c r="J349" s="141" t="str">
        <f>IF(I349="","",IF(AND(AL349&lt;=66),VLOOKUP(I349,'COP Look Up'!$A$13:$B$21,2,TRUE),IF(AND(AL349&gt;=67,AL349&lt;=72),VLOOKUP(I349,'COP Look Up'!$E$13:$F$21,2,TRUE),IF(AND(AL349&gt;=73,AL349&lt;=78),VLOOKUP(I349,'COP Look Up'!$I$13:$J$21,2,TRUE),IF(AND(AL349&gt;=79),VLOOKUP(I349,'COP Look Up'!$M$13:$N$20,2,TRUE),"")))))</f>
        <v/>
      </c>
      <c r="K349" s="122"/>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c r="AH349" s="123"/>
      <c r="AL349" s="143" t="str">
        <f t="shared" si="12"/>
        <v/>
      </c>
    </row>
    <row r="350" spans="1:38" s="108" customFormat="1" ht="15.75">
      <c r="A350" s="119"/>
      <c r="B350" s="120"/>
      <c r="C350" s="111"/>
      <c r="D350" s="111"/>
      <c r="E350" s="121"/>
      <c r="F350" s="121"/>
      <c r="G350" s="113"/>
      <c r="H350" s="113"/>
      <c r="I350" s="144" t="str">
        <f t="shared" si="11"/>
        <v/>
      </c>
      <c r="J350" s="141" t="str">
        <f>IF(I350="","",IF(AND(AL350&lt;=66),VLOOKUP(I350,'COP Look Up'!$A$13:$B$21,2,TRUE),IF(AND(AL350&gt;=67,AL350&lt;=72),VLOOKUP(I350,'COP Look Up'!$E$13:$F$21,2,TRUE),IF(AND(AL350&gt;=73,AL350&lt;=78),VLOOKUP(I350,'COP Look Up'!$I$13:$J$21,2,TRUE),IF(AND(AL350&gt;=79),VLOOKUP(I350,'COP Look Up'!$M$13:$N$20,2,TRUE),"")))))</f>
        <v/>
      </c>
      <c r="K350" s="122"/>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c r="AH350" s="123"/>
      <c r="AL350" s="143" t="str">
        <f t="shared" si="12"/>
        <v/>
      </c>
    </row>
    <row r="351" spans="1:38" s="108" customFormat="1" ht="15.75">
      <c r="A351" s="119"/>
      <c r="B351" s="120"/>
      <c r="C351" s="111"/>
      <c r="D351" s="111"/>
      <c r="E351" s="121"/>
      <c r="F351" s="121"/>
      <c r="G351" s="113"/>
      <c r="H351" s="113"/>
      <c r="I351" s="144" t="str">
        <f t="shared" si="11"/>
        <v/>
      </c>
      <c r="J351" s="141" t="str">
        <f>IF(I351="","",IF(AND(AL351&lt;=66),VLOOKUP(I351,'COP Look Up'!$A$13:$B$21,2,TRUE),IF(AND(AL351&gt;=67,AL351&lt;=72),VLOOKUP(I351,'COP Look Up'!$E$13:$F$21,2,TRUE),IF(AND(AL351&gt;=73,AL351&lt;=78),VLOOKUP(I351,'COP Look Up'!$I$13:$J$21,2,TRUE),IF(AND(AL351&gt;=79),VLOOKUP(I351,'COP Look Up'!$M$13:$N$20,2,TRUE),"")))))</f>
        <v/>
      </c>
      <c r="K351" s="122"/>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c r="AH351" s="123"/>
      <c r="AL351" s="143" t="str">
        <f t="shared" si="12"/>
        <v/>
      </c>
    </row>
    <row r="352" spans="1:38" s="108" customFormat="1" ht="15.75">
      <c r="A352" s="119"/>
      <c r="B352" s="120"/>
      <c r="C352" s="111"/>
      <c r="D352" s="111"/>
      <c r="E352" s="121"/>
      <c r="F352" s="121"/>
      <c r="G352" s="113"/>
      <c r="H352" s="113"/>
      <c r="I352" s="144" t="str">
        <f t="shared" si="11"/>
        <v/>
      </c>
      <c r="J352" s="141" t="str">
        <f>IF(I352="","",IF(AND(AL352&lt;=66),VLOOKUP(I352,'COP Look Up'!$A$13:$B$21,2,TRUE),IF(AND(AL352&gt;=67,AL352&lt;=72),VLOOKUP(I352,'COP Look Up'!$E$13:$F$21,2,TRUE),IF(AND(AL352&gt;=73,AL352&lt;=78),VLOOKUP(I352,'COP Look Up'!$I$13:$J$21,2,TRUE),IF(AND(AL352&gt;=79),VLOOKUP(I352,'COP Look Up'!$M$13:$N$20,2,TRUE),"")))))</f>
        <v/>
      </c>
      <c r="K352" s="122"/>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23"/>
      <c r="AL352" s="143" t="str">
        <f t="shared" si="12"/>
        <v/>
      </c>
    </row>
    <row r="353" spans="1:38" s="108" customFormat="1" ht="15.75">
      <c r="A353" s="119"/>
      <c r="B353" s="120"/>
      <c r="C353" s="111"/>
      <c r="D353" s="111"/>
      <c r="E353" s="121"/>
      <c r="F353" s="121"/>
      <c r="G353" s="113"/>
      <c r="H353" s="113"/>
      <c r="I353" s="144" t="str">
        <f t="shared" si="11"/>
        <v/>
      </c>
      <c r="J353" s="141" t="str">
        <f>IF(I353="","",IF(AND(AL353&lt;=66),VLOOKUP(I353,'COP Look Up'!$A$13:$B$21,2,TRUE),IF(AND(AL353&gt;=67,AL353&lt;=72),VLOOKUP(I353,'COP Look Up'!$E$13:$F$21,2,TRUE),IF(AND(AL353&gt;=73,AL353&lt;=78),VLOOKUP(I353,'COP Look Up'!$I$13:$J$21,2,TRUE),IF(AND(AL353&gt;=79),VLOOKUP(I353,'COP Look Up'!$M$13:$N$20,2,TRUE),"")))))</f>
        <v/>
      </c>
      <c r="K353" s="122"/>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c r="AH353" s="123"/>
      <c r="AL353" s="143" t="str">
        <f t="shared" si="12"/>
        <v/>
      </c>
    </row>
    <row r="354" spans="1:38" s="108" customFormat="1" ht="15.75">
      <c r="A354" s="119"/>
      <c r="B354" s="120"/>
      <c r="C354" s="111"/>
      <c r="D354" s="111"/>
      <c r="E354" s="121"/>
      <c r="F354" s="121"/>
      <c r="G354" s="113"/>
      <c r="H354" s="113"/>
      <c r="I354" s="144" t="str">
        <f t="shared" si="11"/>
        <v/>
      </c>
      <c r="J354" s="141" t="str">
        <f>IF(I354="","",IF(AND(AL354&lt;=66),VLOOKUP(I354,'COP Look Up'!$A$13:$B$21,2,TRUE),IF(AND(AL354&gt;=67,AL354&lt;=72),VLOOKUP(I354,'COP Look Up'!$E$13:$F$21,2,TRUE),IF(AND(AL354&gt;=73,AL354&lt;=78),VLOOKUP(I354,'COP Look Up'!$I$13:$J$21,2,TRUE),IF(AND(AL354&gt;=79),VLOOKUP(I354,'COP Look Up'!$M$13:$N$20,2,TRUE),"")))))</f>
        <v/>
      </c>
      <c r="K354" s="122"/>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c r="AH354" s="123"/>
      <c r="AL354" s="143" t="str">
        <f t="shared" si="12"/>
        <v/>
      </c>
    </row>
    <row r="355" spans="1:38" s="108" customFormat="1" ht="15.75">
      <c r="A355" s="119"/>
      <c r="B355" s="120"/>
      <c r="C355" s="111"/>
      <c r="D355" s="111"/>
      <c r="E355" s="121"/>
      <c r="F355" s="121"/>
      <c r="G355" s="113"/>
      <c r="H355" s="113"/>
      <c r="I355" s="144" t="str">
        <f t="shared" si="11"/>
        <v/>
      </c>
      <c r="J355" s="141" t="str">
        <f>IF(I355="","",IF(AND(AL355&lt;=66),VLOOKUP(I355,'COP Look Up'!$A$13:$B$21,2,TRUE),IF(AND(AL355&gt;=67,AL355&lt;=72),VLOOKUP(I355,'COP Look Up'!$E$13:$F$21,2,TRUE),IF(AND(AL355&gt;=73,AL355&lt;=78),VLOOKUP(I355,'COP Look Up'!$I$13:$J$21,2,TRUE),IF(AND(AL355&gt;=79),VLOOKUP(I355,'COP Look Up'!$M$13:$N$20,2,TRUE),"")))))</f>
        <v/>
      </c>
      <c r="K355" s="122"/>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c r="AH355" s="123"/>
      <c r="AL355" s="143" t="str">
        <f t="shared" si="12"/>
        <v/>
      </c>
    </row>
    <row r="356" spans="1:38" s="108" customFormat="1" ht="15.75">
      <c r="A356" s="119"/>
      <c r="B356" s="120"/>
      <c r="C356" s="111"/>
      <c r="D356" s="111"/>
      <c r="E356" s="121"/>
      <c r="F356" s="121"/>
      <c r="G356" s="113"/>
      <c r="H356" s="113"/>
      <c r="I356" s="144" t="str">
        <f t="shared" si="11"/>
        <v/>
      </c>
      <c r="J356" s="141" t="str">
        <f>IF(I356="","",IF(AND(AL356&lt;=66),VLOOKUP(I356,'COP Look Up'!$A$13:$B$21,2,TRUE),IF(AND(AL356&gt;=67,AL356&lt;=72),VLOOKUP(I356,'COP Look Up'!$E$13:$F$21,2,TRUE),IF(AND(AL356&gt;=73,AL356&lt;=78),VLOOKUP(I356,'COP Look Up'!$I$13:$J$21,2,TRUE),IF(AND(AL356&gt;=79),VLOOKUP(I356,'COP Look Up'!$M$13:$N$20,2,TRUE),"")))))</f>
        <v/>
      </c>
      <c r="K356" s="122"/>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c r="AH356" s="123"/>
      <c r="AL356" s="143" t="str">
        <f t="shared" si="12"/>
        <v/>
      </c>
    </row>
    <row r="357" spans="1:38" s="108" customFormat="1" ht="15.75">
      <c r="A357" s="119"/>
      <c r="B357" s="120"/>
      <c r="C357" s="111"/>
      <c r="D357" s="111"/>
      <c r="E357" s="121"/>
      <c r="F357" s="121"/>
      <c r="G357" s="113"/>
      <c r="H357" s="113"/>
      <c r="I357" s="144" t="str">
        <f t="shared" si="11"/>
        <v/>
      </c>
      <c r="J357" s="141" t="str">
        <f>IF(I357="","",IF(AND(AL357&lt;=66),VLOOKUP(I357,'COP Look Up'!$A$13:$B$21,2,TRUE),IF(AND(AL357&gt;=67,AL357&lt;=72),VLOOKUP(I357,'COP Look Up'!$E$13:$F$21,2,TRUE),IF(AND(AL357&gt;=73,AL357&lt;=78),VLOOKUP(I357,'COP Look Up'!$I$13:$J$21,2,TRUE),IF(AND(AL357&gt;=79),VLOOKUP(I357,'COP Look Up'!$M$13:$N$20,2,TRUE),"")))))</f>
        <v/>
      </c>
      <c r="K357" s="122"/>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c r="AH357" s="123"/>
      <c r="AL357" s="143" t="str">
        <f t="shared" si="12"/>
        <v/>
      </c>
    </row>
    <row r="358" spans="1:38" s="108" customFormat="1" ht="15.75">
      <c r="A358" s="119"/>
      <c r="B358" s="120"/>
      <c r="C358" s="111"/>
      <c r="D358" s="111"/>
      <c r="E358" s="121"/>
      <c r="F358" s="121"/>
      <c r="G358" s="113"/>
      <c r="H358" s="113"/>
      <c r="I358" s="144" t="str">
        <f t="shared" si="11"/>
        <v/>
      </c>
      <c r="J358" s="141" t="str">
        <f>IF(I358="","",IF(AND(AL358&lt;=66),VLOOKUP(I358,'COP Look Up'!$A$13:$B$21,2,TRUE),IF(AND(AL358&gt;=67,AL358&lt;=72),VLOOKUP(I358,'COP Look Up'!$E$13:$F$21,2,TRUE),IF(AND(AL358&gt;=73,AL358&lt;=78),VLOOKUP(I358,'COP Look Up'!$I$13:$J$21,2,TRUE),IF(AND(AL358&gt;=79),VLOOKUP(I358,'COP Look Up'!$M$13:$N$20,2,TRUE),"")))))</f>
        <v/>
      </c>
      <c r="K358" s="122"/>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c r="AH358" s="123"/>
      <c r="AL358" s="143" t="str">
        <f t="shared" si="12"/>
        <v/>
      </c>
    </row>
    <row r="359" spans="1:38" s="108" customFormat="1" ht="15.75">
      <c r="A359" s="119"/>
      <c r="B359" s="120"/>
      <c r="C359" s="111"/>
      <c r="D359" s="111"/>
      <c r="E359" s="121"/>
      <c r="F359" s="121"/>
      <c r="G359" s="113"/>
      <c r="H359" s="113"/>
      <c r="I359" s="144" t="str">
        <f t="shared" si="11"/>
        <v/>
      </c>
      <c r="J359" s="141" t="str">
        <f>IF(I359="","",IF(AND(AL359&lt;=66),VLOOKUP(I359,'COP Look Up'!$A$13:$B$21,2,TRUE),IF(AND(AL359&gt;=67,AL359&lt;=72),VLOOKUP(I359,'COP Look Up'!$E$13:$F$21,2,TRUE),IF(AND(AL359&gt;=73,AL359&lt;=78),VLOOKUP(I359,'COP Look Up'!$I$13:$J$21,2,TRUE),IF(AND(AL359&gt;=79),VLOOKUP(I359,'COP Look Up'!$M$13:$N$20,2,TRUE),"")))))</f>
        <v/>
      </c>
      <c r="K359" s="122"/>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c r="AH359" s="123"/>
      <c r="AL359" s="143" t="str">
        <f t="shared" si="12"/>
        <v/>
      </c>
    </row>
    <row r="360" spans="1:38" s="108" customFormat="1" ht="15.75">
      <c r="A360" s="119"/>
      <c r="B360" s="120"/>
      <c r="C360" s="111"/>
      <c r="D360" s="111"/>
      <c r="E360" s="121"/>
      <c r="F360" s="121"/>
      <c r="G360" s="113"/>
      <c r="H360" s="113"/>
      <c r="I360" s="144" t="str">
        <f t="shared" si="11"/>
        <v/>
      </c>
      <c r="J360" s="141" t="str">
        <f>IF(I360="","",IF(AND(AL360&lt;=66),VLOOKUP(I360,'COP Look Up'!$A$13:$B$21,2,TRUE),IF(AND(AL360&gt;=67,AL360&lt;=72),VLOOKUP(I360,'COP Look Up'!$E$13:$F$21,2,TRUE),IF(AND(AL360&gt;=73,AL360&lt;=78),VLOOKUP(I360,'COP Look Up'!$I$13:$J$21,2,TRUE),IF(AND(AL360&gt;=79),VLOOKUP(I360,'COP Look Up'!$M$13:$N$20,2,TRUE),"")))))</f>
        <v/>
      </c>
      <c r="K360" s="122"/>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c r="AH360" s="123"/>
      <c r="AL360" s="143" t="str">
        <f t="shared" si="12"/>
        <v/>
      </c>
    </row>
    <row r="361" spans="1:38" s="108" customFormat="1" ht="15.75">
      <c r="A361" s="119"/>
      <c r="B361" s="120"/>
      <c r="C361" s="111"/>
      <c r="D361" s="111"/>
      <c r="E361" s="121"/>
      <c r="F361" s="121"/>
      <c r="G361" s="113"/>
      <c r="H361" s="113"/>
      <c r="I361" s="144" t="str">
        <f t="shared" si="11"/>
        <v/>
      </c>
      <c r="J361" s="141" t="str">
        <f>IF(I361="","",IF(AND(AL361&lt;=66),VLOOKUP(I361,'COP Look Up'!$A$13:$B$21,2,TRUE),IF(AND(AL361&gt;=67,AL361&lt;=72),VLOOKUP(I361,'COP Look Up'!$E$13:$F$21,2,TRUE),IF(AND(AL361&gt;=73,AL361&lt;=78),VLOOKUP(I361,'COP Look Up'!$I$13:$J$21,2,TRUE),IF(AND(AL361&gt;=79),VLOOKUP(I361,'COP Look Up'!$M$13:$N$20,2,TRUE),"")))))</f>
        <v/>
      </c>
      <c r="K361" s="122"/>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c r="AH361" s="123"/>
      <c r="AL361" s="143" t="str">
        <f t="shared" si="12"/>
        <v/>
      </c>
    </row>
    <row r="362" spans="1:38" s="108" customFormat="1" ht="15.75">
      <c r="A362" s="119"/>
      <c r="B362" s="120"/>
      <c r="C362" s="111"/>
      <c r="D362" s="111"/>
      <c r="E362" s="121"/>
      <c r="F362" s="121"/>
      <c r="G362" s="113"/>
      <c r="H362" s="113"/>
      <c r="I362" s="144" t="str">
        <f t="shared" si="11"/>
        <v/>
      </c>
      <c r="J362" s="141" t="str">
        <f>IF(I362="","",IF(AND(AL362&lt;=66),VLOOKUP(I362,'COP Look Up'!$A$13:$B$21,2,TRUE),IF(AND(AL362&gt;=67,AL362&lt;=72),VLOOKUP(I362,'COP Look Up'!$E$13:$F$21,2,TRUE),IF(AND(AL362&gt;=73,AL362&lt;=78),VLOOKUP(I362,'COP Look Up'!$I$13:$J$21,2,TRUE),IF(AND(AL362&gt;=79),VLOOKUP(I362,'COP Look Up'!$M$13:$N$20,2,TRUE),"")))))</f>
        <v/>
      </c>
      <c r="K362" s="122"/>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c r="AH362" s="123"/>
      <c r="AL362" s="143" t="str">
        <f t="shared" si="12"/>
        <v/>
      </c>
    </row>
    <row r="363" spans="1:38" s="108" customFormat="1" ht="15.75">
      <c r="A363" s="119"/>
      <c r="B363" s="120"/>
      <c r="C363" s="111"/>
      <c r="D363" s="111"/>
      <c r="E363" s="121"/>
      <c r="F363" s="121"/>
      <c r="G363" s="113"/>
      <c r="H363" s="113"/>
      <c r="I363" s="144" t="str">
        <f t="shared" si="11"/>
        <v/>
      </c>
      <c r="J363" s="141" t="str">
        <f>IF(I363="","",IF(AND(AL363&lt;=66),VLOOKUP(I363,'COP Look Up'!$A$13:$B$21,2,TRUE),IF(AND(AL363&gt;=67,AL363&lt;=72),VLOOKUP(I363,'COP Look Up'!$E$13:$F$21,2,TRUE),IF(AND(AL363&gt;=73,AL363&lt;=78),VLOOKUP(I363,'COP Look Up'!$I$13:$J$21,2,TRUE),IF(AND(AL363&gt;=79),VLOOKUP(I363,'COP Look Up'!$M$13:$N$20,2,TRUE),"")))))</f>
        <v/>
      </c>
      <c r="K363" s="122"/>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23"/>
      <c r="AL363" s="143" t="str">
        <f t="shared" si="12"/>
        <v/>
      </c>
    </row>
    <row r="364" spans="1:38" s="108" customFormat="1" ht="15.75">
      <c r="A364" s="119"/>
      <c r="B364" s="120"/>
      <c r="C364" s="111"/>
      <c r="D364" s="111"/>
      <c r="E364" s="121"/>
      <c r="F364" s="121"/>
      <c r="G364" s="113"/>
      <c r="H364" s="113"/>
      <c r="I364" s="144" t="str">
        <f t="shared" si="11"/>
        <v/>
      </c>
      <c r="J364" s="141" t="str">
        <f>IF(I364="","",IF(AND(AL364&lt;=66),VLOOKUP(I364,'COP Look Up'!$A$13:$B$21,2,TRUE),IF(AND(AL364&gt;=67,AL364&lt;=72),VLOOKUP(I364,'COP Look Up'!$E$13:$F$21,2,TRUE),IF(AND(AL364&gt;=73,AL364&lt;=78),VLOOKUP(I364,'COP Look Up'!$I$13:$J$21,2,TRUE),IF(AND(AL364&gt;=79),VLOOKUP(I364,'COP Look Up'!$M$13:$N$20,2,TRUE),"")))))</f>
        <v/>
      </c>
      <c r="K364" s="122"/>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23"/>
      <c r="AL364" s="143" t="str">
        <f t="shared" si="12"/>
        <v/>
      </c>
    </row>
    <row r="365" spans="1:38" s="108" customFormat="1" ht="15.75">
      <c r="A365" s="119"/>
      <c r="B365" s="120"/>
      <c r="C365" s="111"/>
      <c r="D365" s="111"/>
      <c r="E365" s="121"/>
      <c r="F365" s="121"/>
      <c r="G365" s="113"/>
      <c r="H365" s="113"/>
      <c r="I365" s="144" t="str">
        <f t="shared" si="11"/>
        <v/>
      </c>
      <c r="J365" s="141" t="str">
        <f>IF(I365="","",IF(AND(AL365&lt;=66),VLOOKUP(I365,'COP Look Up'!$A$13:$B$21,2,TRUE),IF(AND(AL365&gt;=67,AL365&lt;=72),VLOOKUP(I365,'COP Look Up'!$E$13:$F$21,2,TRUE),IF(AND(AL365&gt;=73,AL365&lt;=78),VLOOKUP(I365,'COP Look Up'!$I$13:$J$21,2,TRUE),IF(AND(AL365&gt;=79),VLOOKUP(I365,'COP Look Up'!$M$13:$N$20,2,TRUE),"")))))</f>
        <v/>
      </c>
      <c r="K365" s="122"/>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c r="AH365" s="123"/>
      <c r="AL365" s="143" t="str">
        <f t="shared" si="12"/>
        <v/>
      </c>
    </row>
    <row r="366" spans="1:38" s="108" customFormat="1" ht="15.75">
      <c r="A366" s="119"/>
      <c r="B366" s="120"/>
      <c r="C366" s="111"/>
      <c r="D366" s="111"/>
      <c r="E366" s="121"/>
      <c r="F366" s="121"/>
      <c r="G366" s="113"/>
      <c r="H366" s="113"/>
      <c r="I366" s="144" t="str">
        <f t="shared" si="11"/>
        <v/>
      </c>
      <c r="J366" s="141" t="str">
        <f>IF(I366="","",IF(AND(AL366&lt;=66),VLOOKUP(I366,'COP Look Up'!$A$13:$B$21,2,TRUE),IF(AND(AL366&gt;=67,AL366&lt;=72),VLOOKUP(I366,'COP Look Up'!$E$13:$F$21,2,TRUE),IF(AND(AL366&gt;=73,AL366&lt;=78),VLOOKUP(I366,'COP Look Up'!$I$13:$J$21,2,TRUE),IF(AND(AL366&gt;=79),VLOOKUP(I366,'COP Look Up'!$M$13:$N$20,2,TRUE),"")))))</f>
        <v/>
      </c>
      <c r="K366" s="122"/>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c r="AH366" s="123"/>
      <c r="AL366" s="143" t="str">
        <f t="shared" si="12"/>
        <v/>
      </c>
    </row>
    <row r="367" spans="1:38" s="108" customFormat="1" ht="15.75">
      <c r="A367" s="119"/>
      <c r="B367" s="120"/>
      <c r="C367" s="111"/>
      <c r="D367" s="111"/>
      <c r="E367" s="121"/>
      <c r="F367" s="121"/>
      <c r="G367" s="113"/>
      <c r="H367" s="113"/>
      <c r="I367" s="144" t="str">
        <f t="shared" si="11"/>
        <v/>
      </c>
      <c r="J367" s="141" t="str">
        <f>IF(I367="","",IF(AND(AL367&lt;=66),VLOOKUP(I367,'COP Look Up'!$A$13:$B$21,2,TRUE),IF(AND(AL367&gt;=67,AL367&lt;=72),VLOOKUP(I367,'COP Look Up'!$E$13:$F$21,2,TRUE),IF(AND(AL367&gt;=73,AL367&lt;=78),VLOOKUP(I367,'COP Look Up'!$I$13:$J$21,2,TRUE),IF(AND(AL367&gt;=79),VLOOKUP(I367,'COP Look Up'!$M$13:$N$20,2,TRUE),"")))))</f>
        <v/>
      </c>
      <c r="K367" s="122"/>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23"/>
      <c r="AL367" s="143" t="str">
        <f t="shared" si="12"/>
        <v/>
      </c>
    </row>
    <row r="368" spans="1:38" s="108" customFormat="1" ht="15.75">
      <c r="A368" s="119"/>
      <c r="B368" s="120"/>
      <c r="C368" s="111"/>
      <c r="D368" s="111"/>
      <c r="E368" s="121"/>
      <c r="F368" s="121"/>
      <c r="G368" s="113"/>
      <c r="H368" s="113"/>
      <c r="I368" s="144" t="str">
        <f t="shared" si="11"/>
        <v/>
      </c>
      <c r="J368" s="141" t="str">
        <f>IF(I368="","",IF(AND(AL368&lt;=66),VLOOKUP(I368,'COP Look Up'!$A$13:$B$21,2,TRUE),IF(AND(AL368&gt;=67,AL368&lt;=72),VLOOKUP(I368,'COP Look Up'!$E$13:$F$21,2,TRUE),IF(AND(AL368&gt;=73,AL368&lt;=78),VLOOKUP(I368,'COP Look Up'!$I$13:$J$21,2,TRUE),IF(AND(AL368&gt;=79),VLOOKUP(I368,'COP Look Up'!$M$13:$N$20,2,TRUE),"")))))</f>
        <v/>
      </c>
      <c r="K368" s="122"/>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c r="AH368" s="123"/>
      <c r="AL368" s="143" t="str">
        <f t="shared" si="12"/>
        <v/>
      </c>
    </row>
    <row r="369" spans="1:38" s="108" customFormat="1" ht="15.75">
      <c r="A369" s="119"/>
      <c r="B369" s="120"/>
      <c r="C369" s="111"/>
      <c r="D369" s="111"/>
      <c r="E369" s="121"/>
      <c r="F369" s="121"/>
      <c r="G369" s="113"/>
      <c r="H369" s="113"/>
      <c r="I369" s="144" t="str">
        <f t="shared" si="11"/>
        <v/>
      </c>
      <c r="J369" s="141" t="str">
        <f>IF(I369="","",IF(AND(AL369&lt;=66),VLOOKUP(I369,'COP Look Up'!$A$13:$B$21,2,TRUE),IF(AND(AL369&gt;=67,AL369&lt;=72),VLOOKUP(I369,'COP Look Up'!$E$13:$F$21,2,TRUE),IF(AND(AL369&gt;=73,AL369&lt;=78),VLOOKUP(I369,'COP Look Up'!$I$13:$J$21,2,TRUE),IF(AND(AL369&gt;=79),VLOOKUP(I369,'COP Look Up'!$M$13:$N$20,2,TRUE),"")))))</f>
        <v/>
      </c>
      <c r="K369" s="122"/>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c r="AH369" s="123"/>
      <c r="AL369" s="143" t="str">
        <f t="shared" si="12"/>
        <v/>
      </c>
    </row>
    <row r="370" spans="1:38" s="108" customFormat="1" ht="15.75">
      <c r="A370" s="119"/>
      <c r="B370" s="120"/>
      <c r="C370" s="111"/>
      <c r="D370" s="111"/>
      <c r="E370" s="121"/>
      <c r="F370" s="121"/>
      <c r="G370" s="113"/>
      <c r="H370" s="113"/>
      <c r="I370" s="144" t="str">
        <f t="shared" si="11"/>
        <v/>
      </c>
      <c r="J370" s="141" t="str">
        <f>IF(I370="","",IF(AND(AL370&lt;=66),VLOOKUP(I370,'COP Look Up'!$A$13:$B$21,2,TRUE),IF(AND(AL370&gt;=67,AL370&lt;=72),VLOOKUP(I370,'COP Look Up'!$E$13:$F$21,2,TRUE),IF(AND(AL370&gt;=73,AL370&lt;=78),VLOOKUP(I370,'COP Look Up'!$I$13:$J$21,2,TRUE),IF(AND(AL370&gt;=79),VLOOKUP(I370,'COP Look Up'!$M$13:$N$20,2,TRUE),"")))))</f>
        <v/>
      </c>
      <c r="K370" s="122"/>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c r="AH370" s="123"/>
      <c r="AL370" s="143" t="str">
        <f t="shared" si="12"/>
        <v/>
      </c>
    </row>
    <row r="371" spans="1:38" s="108" customFormat="1" ht="15.75">
      <c r="A371" s="119"/>
      <c r="B371" s="120"/>
      <c r="C371" s="111"/>
      <c r="D371" s="111"/>
      <c r="E371" s="121"/>
      <c r="F371" s="121"/>
      <c r="G371" s="113"/>
      <c r="H371" s="113"/>
      <c r="I371" s="144" t="str">
        <f t="shared" si="11"/>
        <v/>
      </c>
      <c r="J371" s="141" t="str">
        <f>IF(I371="","",IF(AND(AL371&lt;=66),VLOOKUP(I371,'COP Look Up'!$A$13:$B$21,2,TRUE),IF(AND(AL371&gt;=67,AL371&lt;=72),VLOOKUP(I371,'COP Look Up'!$E$13:$F$21,2,TRUE),IF(AND(AL371&gt;=73,AL371&lt;=78),VLOOKUP(I371,'COP Look Up'!$I$13:$J$21,2,TRUE),IF(AND(AL371&gt;=79),VLOOKUP(I371,'COP Look Up'!$M$13:$N$20,2,TRUE),"")))))</f>
        <v/>
      </c>
      <c r="K371" s="122"/>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c r="AH371" s="123"/>
      <c r="AL371" s="143" t="str">
        <f t="shared" si="12"/>
        <v/>
      </c>
    </row>
    <row r="372" spans="1:38" s="108" customFormat="1" ht="15.75">
      <c r="A372" s="119"/>
      <c r="B372" s="120"/>
      <c r="C372" s="111"/>
      <c r="D372" s="111"/>
      <c r="E372" s="121"/>
      <c r="F372" s="121"/>
      <c r="G372" s="113"/>
      <c r="H372" s="113"/>
      <c r="I372" s="144" t="str">
        <f t="shared" si="11"/>
        <v/>
      </c>
      <c r="J372" s="141" t="str">
        <f>IF(I372="","",IF(AND(AL372&lt;=66),VLOOKUP(I372,'COP Look Up'!$A$13:$B$21,2,TRUE),IF(AND(AL372&gt;=67,AL372&lt;=72),VLOOKUP(I372,'COP Look Up'!$E$13:$F$21,2,TRUE),IF(AND(AL372&gt;=73,AL372&lt;=78),VLOOKUP(I372,'COP Look Up'!$I$13:$J$21,2,TRUE),IF(AND(AL372&gt;=79),VLOOKUP(I372,'COP Look Up'!$M$13:$N$20,2,TRUE),"")))))</f>
        <v/>
      </c>
      <c r="K372" s="122"/>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c r="AH372" s="123"/>
      <c r="AL372" s="143" t="str">
        <f t="shared" si="12"/>
        <v/>
      </c>
    </row>
    <row r="373" spans="1:38" s="108" customFormat="1" ht="15.75">
      <c r="A373" s="119"/>
      <c r="B373" s="120"/>
      <c r="C373" s="111"/>
      <c r="D373" s="111"/>
      <c r="E373" s="121"/>
      <c r="F373" s="121"/>
      <c r="G373" s="113"/>
      <c r="H373" s="113"/>
      <c r="I373" s="144" t="str">
        <f t="shared" si="11"/>
        <v/>
      </c>
      <c r="J373" s="141" t="str">
        <f>IF(I373="","",IF(AND(AL373&lt;=66),VLOOKUP(I373,'COP Look Up'!$A$13:$B$21,2,TRUE),IF(AND(AL373&gt;=67,AL373&lt;=72),VLOOKUP(I373,'COP Look Up'!$E$13:$F$21,2,TRUE),IF(AND(AL373&gt;=73,AL373&lt;=78),VLOOKUP(I373,'COP Look Up'!$I$13:$J$21,2,TRUE),IF(AND(AL373&gt;=79),VLOOKUP(I373,'COP Look Up'!$M$13:$N$20,2,TRUE),"")))))</f>
        <v/>
      </c>
      <c r="K373" s="122"/>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c r="AH373" s="123"/>
      <c r="AL373" s="143" t="str">
        <f t="shared" si="12"/>
        <v/>
      </c>
    </row>
    <row r="374" spans="1:38" s="108" customFormat="1" ht="15.75">
      <c r="A374" s="119"/>
      <c r="B374" s="120"/>
      <c r="C374" s="111"/>
      <c r="D374" s="111"/>
      <c r="E374" s="121"/>
      <c r="F374" s="121"/>
      <c r="G374" s="113"/>
      <c r="H374" s="113"/>
      <c r="I374" s="144" t="str">
        <f t="shared" si="11"/>
        <v/>
      </c>
      <c r="J374" s="141" t="str">
        <f>IF(I374="","",IF(AND(AL374&lt;=66),VLOOKUP(I374,'COP Look Up'!$A$13:$B$21,2,TRUE),IF(AND(AL374&gt;=67,AL374&lt;=72),VLOOKUP(I374,'COP Look Up'!$E$13:$F$21,2,TRUE),IF(AND(AL374&gt;=73,AL374&lt;=78),VLOOKUP(I374,'COP Look Up'!$I$13:$J$21,2,TRUE),IF(AND(AL374&gt;=79),VLOOKUP(I374,'COP Look Up'!$M$13:$N$20,2,TRUE),"")))))</f>
        <v/>
      </c>
      <c r="K374" s="122"/>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c r="AH374" s="123"/>
      <c r="AL374" s="143" t="str">
        <f t="shared" si="12"/>
        <v/>
      </c>
    </row>
    <row r="375" spans="1:38" s="108" customFormat="1" ht="15.75">
      <c r="A375" s="119"/>
      <c r="B375" s="120"/>
      <c r="C375" s="111"/>
      <c r="D375" s="111"/>
      <c r="E375" s="121"/>
      <c r="F375" s="121"/>
      <c r="G375" s="113"/>
      <c r="H375" s="113"/>
      <c r="I375" s="144" t="str">
        <f t="shared" si="11"/>
        <v/>
      </c>
      <c r="J375" s="141" t="str">
        <f>IF(I375="","",IF(AND(AL375&lt;=66),VLOOKUP(I375,'COP Look Up'!$A$13:$B$21,2,TRUE),IF(AND(AL375&gt;=67,AL375&lt;=72),VLOOKUP(I375,'COP Look Up'!$E$13:$F$21,2,TRUE),IF(AND(AL375&gt;=73,AL375&lt;=78),VLOOKUP(I375,'COP Look Up'!$I$13:$J$21,2,TRUE),IF(AND(AL375&gt;=79),VLOOKUP(I375,'COP Look Up'!$M$13:$N$20,2,TRUE),"")))))</f>
        <v/>
      </c>
      <c r="K375" s="122"/>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c r="AH375" s="123"/>
      <c r="AL375" s="143" t="str">
        <f t="shared" si="12"/>
        <v/>
      </c>
    </row>
    <row r="376" spans="1:38" s="108" customFormat="1" ht="15.75">
      <c r="A376" s="119"/>
      <c r="B376" s="120"/>
      <c r="C376" s="111"/>
      <c r="D376" s="111"/>
      <c r="E376" s="121"/>
      <c r="F376" s="121"/>
      <c r="G376" s="113"/>
      <c r="H376" s="113"/>
      <c r="I376" s="144" t="str">
        <f t="shared" si="11"/>
        <v/>
      </c>
      <c r="J376" s="141" t="str">
        <f>IF(I376="","",IF(AND(AL376&lt;=66),VLOOKUP(I376,'COP Look Up'!$A$13:$B$21,2,TRUE),IF(AND(AL376&gt;=67,AL376&lt;=72),VLOOKUP(I376,'COP Look Up'!$E$13:$F$21,2,TRUE),IF(AND(AL376&gt;=73,AL376&lt;=78),VLOOKUP(I376,'COP Look Up'!$I$13:$J$21,2,TRUE),IF(AND(AL376&gt;=79),VLOOKUP(I376,'COP Look Up'!$M$13:$N$20,2,TRUE),"")))))</f>
        <v/>
      </c>
      <c r="K376" s="122"/>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c r="AH376" s="123"/>
      <c r="AL376" s="143" t="str">
        <f t="shared" si="12"/>
        <v/>
      </c>
    </row>
    <row r="377" spans="1:38" s="108" customFormat="1" ht="15.75">
      <c r="A377" s="119"/>
      <c r="B377" s="120"/>
      <c r="C377" s="111"/>
      <c r="D377" s="111"/>
      <c r="E377" s="121"/>
      <c r="F377" s="121"/>
      <c r="G377" s="113"/>
      <c r="H377" s="113"/>
      <c r="I377" s="144" t="str">
        <f t="shared" si="11"/>
        <v/>
      </c>
      <c r="J377" s="141" t="str">
        <f>IF(I377="","",IF(AND(AL377&lt;=66),VLOOKUP(I377,'COP Look Up'!$A$13:$B$21,2,TRUE),IF(AND(AL377&gt;=67,AL377&lt;=72),VLOOKUP(I377,'COP Look Up'!$E$13:$F$21,2,TRUE),IF(AND(AL377&gt;=73,AL377&lt;=78),VLOOKUP(I377,'COP Look Up'!$I$13:$J$21,2,TRUE),IF(AND(AL377&gt;=79),VLOOKUP(I377,'COP Look Up'!$M$13:$N$20,2,TRUE),"")))))</f>
        <v/>
      </c>
      <c r="K377" s="122"/>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c r="AH377" s="123"/>
      <c r="AL377" s="143" t="str">
        <f t="shared" si="12"/>
        <v/>
      </c>
    </row>
    <row r="378" spans="1:38" s="108" customFormat="1" ht="15.75">
      <c r="A378" s="119"/>
      <c r="B378" s="120"/>
      <c r="C378" s="111"/>
      <c r="D378" s="111"/>
      <c r="E378" s="121"/>
      <c r="F378" s="121"/>
      <c r="G378" s="113"/>
      <c r="H378" s="113"/>
      <c r="I378" s="144" t="str">
        <f t="shared" si="11"/>
        <v/>
      </c>
      <c r="J378" s="141" t="str">
        <f>IF(I378="","",IF(AND(AL378&lt;=66),VLOOKUP(I378,'COP Look Up'!$A$13:$B$21,2,TRUE),IF(AND(AL378&gt;=67,AL378&lt;=72),VLOOKUP(I378,'COP Look Up'!$E$13:$F$21,2,TRUE),IF(AND(AL378&gt;=73,AL378&lt;=78),VLOOKUP(I378,'COP Look Up'!$I$13:$J$21,2,TRUE),IF(AND(AL378&gt;=79),VLOOKUP(I378,'COP Look Up'!$M$13:$N$20,2,TRUE),"")))))</f>
        <v/>
      </c>
      <c r="K378" s="122"/>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c r="AH378" s="123"/>
      <c r="AL378" s="143" t="str">
        <f t="shared" si="12"/>
        <v/>
      </c>
    </row>
    <row r="379" spans="1:38" s="108" customFormat="1" ht="15.75">
      <c r="A379" s="119"/>
      <c r="B379" s="120"/>
      <c r="C379" s="111"/>
      <c r="D379" s="111"/>
      <c r="E379" s="121"/>
      <c r="F379" s="121"/>
      <c r="G379" s="113"/>
      <c r="H379" s="113"/>
      <c r="I379" s="144" t="str">
        <f t="shared" si="11"/>
        <v/>
      </c>
      <c r="J379" s="141" t="str">
        <f>IF(I379="","",IF(AND(AL379&lt;=66),VLOOKUP(I379,'COP Look Up'!$A$13:$B$21,2,TRUE),IF(AND(AL379&gt;=67,AL379&lt;=72),VLOOKUP(I379,'COP Look Up'!$E$13:$F$21,2,TRUE),IF(AND(AL379&gt;=73,AL379&lt;=78),VLOOKUP(I379,'COP Look Up'!$I$13:$J$21,2,TRUE),IF(AND(AL379&gt;=79),VLOOKUP(I379,'COP Look Up'!$M$13:$N$20,2,TRUE),"")))))</f>
        <v/>
      </c>
      <c r="K379" s="122"/>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c r="AH379" s="123"/>
      <c r="AL379" s="143" t="str">
        <f t="shared" si="12"/>
        <v/>
      </c>
    </row>
    <row r="380" spans="1:38" s="108" customFormat="1" ht="15.75">
      <c r="A380" s="119"/>
      <c r="B380" s="120"/>
      <c r="C380" s="111"/>
      <c r="D380" s="111"/>
      <c r="E380" s="121"/>
      <c r="F380" s="121"/>
      <c r="G380" s="113"/>
      <c r="H380" s="113"/>
      <c r="I380" s="144" t="str">
        <f t="shared" si="11"/>
        <v/>
      </c>
      <c r="J380" s="141" t="str">
        <f>IF(I380="","",IF(AND(AL380&lt;=66),VLOOKUP(I380,'COP Look Up'!$A$13:$B$21,2,TRUE),IF(AND(AL380&gt;=67,AL380&lt;=72),VLOOKUP(I380,'COP Look Up'!$E$13:$F$21,2,TRUE),IF(AND(AL380&gt;=73,AL380&lt;=78),VLOOKUP(I380,'COP Look Up'!$I$13:$J$21,2,TRUE),IF(AND(AL380&gt;=79),VLOOKUP(I380,'COP Look Up'!$M$13:$N$20,2,TRUE),"")))))</f>
        <v/>
      </c>
      <c r="K380" s="122"/>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c r="AH380" s="123"/>
      <c r="AL380" s="143" t="str">
        <f t="shared" si="12"/>
        <v/>
      </c>
    </row>
    <row r="381" spans="1:38" s="108" customFormat="1" ht="15.75">
      <c r="A381" s="119"/>
      <c r="B381" s="120"/>
      <c r="C381" s="111"/>
      <c r="D381" s="111"/>
      <c r="E381" s="121"/>
      <c r="F381" s="121"/>
      <c r="G381" s="113"/>
      <c r="H381" s="113"/>
      <c r="I381" s="144" t="str">
        <f t="shared" si="11"/>
        <v/>
      </c>
      <c r="J381" s="141" t="str">
        <f>IF(I381="","",IF(AND(AL381&lt;=66),VLOOKUP(I381,'COP Look Up'!$A$13:$B$21,2,TRUE),IF(AND(AL381&gt;=67,AL381&lt;=72),VLOOKUP(I381,'COP Look Up'!$E$13:$F$21,2,TRUE),IF(AND(AL381&gt;=73,AL381&lt;=78),VLOOKUP(I381,'COP Look Up'!$I$13:$J$21,2,TRUE),IF(AND(AL381&gt;=79),VLOOKUP(I381,'COP Look Up'!$M$13:$N$20,2,TRUE),"")))))</f>
        <v/>
      </c>
      <c r="K381" s="122"/>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c r="AH381" s="123"/>
      <c r="AL381" s="143" t="str">
        <f t="shared" si="12"/>
        <v/>
      </c>
    </row>
    <row r="382" spans="1:38" s="108" customFormat="1" ht="15.75">
      <c r="A382" s="119"/>
      <c r="B382" s="120"/>
      <c r="C382" s="111"/>
      <c r="D382" s="111"/>
      <c r="E382" s="121"/>
      <c r="F382" s="121"/>
      <c r="G382" s="113"/>
      <c r="H382" s="113"/>
      <c r="I382" s="144" t="str">
        <f t="shared" si="11"/>
        <v/>
      </c>
      <c r="J382" s="141" t="str">
        <f>IF(I382="","",IF(AND(AL382&lt;=66),VLOOKUP(I382,'COP Look Up'!$A$13:$B$21,2,TRUE),IF(AND(AL382&gt;=67,AL382&lt;=72),VLOOKUP(I382,'COP Look Up'!$E$13:$F$21,2,TRUE),IF(AND(AL382&gt;=73,AL382&lt;=78),VLOOKUP(I382,'COP Look Up'!$I$13:$J$21,2,TRUE),IF(AND(AL382&gt;=79),VLOOKUP(I382,'COP Look Up'!$M$13:$N$20,2,TRUE),"")))))</f>
        <v/>
      </c>
      <c r="K382" s="122"/>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c r="AH382" s="123"/>
      <c r="AL382" s="143" t="str">
        <f t="shared" si="12"/>
        <v/>
      </c>
    </row>
    <row r="383" spans="1:38" s="108" customFormat="1" ht="15.75">
      <c r="A383" s="119"/>
      <c r="B383" s="120"/>
      <c r="C383" s="111"/>
      <c r="D383" s="111"/>
      <c r="E383" s="121"/>
      <c r="F383" s="121"/>
      <c r="G383" s="113"/>
      <c r="H383" s="113"/>
      <c r="I383" s="144" t="str">
        <f t="shared" si="11"/>
        <v/>
      </c>
      <c r="J383" s="141" t="str">
        <f>IF(I383="","",IF(AND(AL383&lt;=66),VLOOKUP(I383,'COP Look Up'!$A$13:$B$21,2,TRUE),IF(AND(AL383&gt;=67,AL383&lt;=72),VLOOKUP(I383,'COP Look Up'!$E$13:$F$21,2,TRUE),IF(AND(AL383&gt;=73,AL383&lt;=78),VLOOKUP(I383,'COP Look Up'!$I$13:$J$21,2,TRUE),IF(AND(AL383&gt;=79),VLOOKUP(I383,'COP Look Up'!$M$13:$N$20,2,TRUE),"")))))</f>
        <v/>
      </c>
      <c r="K383" s="122"/>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c r="AH383" s="123"/>
      <c r="AL383" s="143" t="str">
        <f t="shared" si="12"/>
        <v/>
      </c>
    </row>
    <row r="384" spans="1:38" s="108" customFormat="1" ht="15.75">
      <c r="A384" s="119"/>
      <c r="B384" s="120"/>
      <c r="C384" s="111"/>
      <c r="D384" s="111"/>
      <c r="E384" s="121"/>
      <c r="F384" s="121"/>
      <c r="G384" s="113"/>
      <c r="H384" s="113"/>
      <c r="I384" s="144" t="str">
        <f t="shared" si="11"/>
        <v/>
      </c>
      <c r="J384" s="141" t="str">
        <f>IF(I384="","",IF(AND(AL384&lt;=66),VLOOKUP(I384,'COP Look Up'!$A$13:$B$21,2,TRUE),IF(AND(AL384&gt;=67,AL384&lt;=72),VLOOKUP(I384,'COP Look Up'!$E$13:$F$21,2,TRUE),IF(AND(AL384&gt;=73,AL384&lt;=78),VLOOKUP(I384,'COP Look Up'!$I$13:$J$21,2,TRUE),IF(AND(AL384&gt;=79),VLOOKUP(I384,'COP Look Up'!$M$13:$N$20,2,TRUE),"")))))</f>
        <v/>
      </c>
      <c r="K384" s="122"/>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c r="AH384" s="123"/>
      <c r="AL384" s="143" t="str">
        <f t="shared" si="12"/>
        <v/>
      </c>
    </row>
    <row r="385" spans="1:38" s="108" customFormat="1" ht="15.75">
      <c r="A385" s="119"/>
      <c r="B385" s="120"/>
      <c r="C385" s="111"/>
      <c r="D385" s="111"/>
      <c r="E385" s="121"/>
      <c r="F385" s="121"/>
      <c r="G385" s="113"/>
      <c r="H385" s="113"/>
      <c r="I385" s="144" t="str">
        <f t="shared" si="11"/>
        <v/>
      </c>
      <c r="J385" s="141" t="str">
        <f>IF(I385="","",IF(AND(AL385&lt;=66),VLOOKUP(I385,'COP Look Up'!$A$13:$B$21,2,TRUE),IF(AND(AL385&gt;=67,AL385&lt;=72),VLOOKUP(I385,'COP Look Up'!$E$13:$F$21,2,TRUE),IF(AND(AL385&gt;=73,AL385&lt;=78),VLOOKUP(I385,'COP Look Up'!$I$13:$J$21,2,TRUE),IF(AND(AL385&gt;=79),VLOOKUP(I385,'COP Look Up'!$M$13:$N$20,2,TRUE),"")))))</f>
        <v/>
      </c>
      <c r="K385" s="122"/>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c r="AH385" s="123"/>
      <c r="AL385" s="143" t="str">
        <f t="shared" si="12"/>
        <v/>
      </c>
    </row>
    <row r="386" spans="1:38" s="108" customFormat="1" ht="15.75">
      <c r="A386" s="119"/>
      <c r="B386" s="120"/>
      <c r="C386" s="111"/>
      <c r="D386" s="111"/>
      <c r="E386" s="121"/>
      <c r="F386" s="121"/>
      <c r="G386" s="113"/>
      <c r="H386" s="113"/>
      <c r="I386" s="144" t="str">
        <f t="shared" si="11"/>
        <v/>
      </c>
      <c r="J386" s="141" t="str">
        <f>IF(I386="","",IF(AND(AL386&lt;=66),VLOOKUP(I386,'COP Look Up'!$A$13:$B$21,2,TRUE),IF(AND(AL386&gt;=67,AL386&lt;=72),VLOOKUP(I386,'COP Look Up'!$E$13:$F$21,2,TRUE),IF(AND(AL386&gt;=73,AL386&lt;=78),VLOOKUP(I386,'COP Look Up'!$I$13:$J$21,2,TRUE),IF(AND(AL386&gt;=79),VLOOKUP(I386,'COP Look Up'!$M$13:$N$20,2,TRUE),"")))))</f>
        <v/>
      </c>
      <c r="K386" s="122"/>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c r="AH386" s="123"/>
      <c r="AL386" s="143" t="str">
        <f t="shared" si="12"/>
        <v/>
      </c>
    </row>
    <row r="387" spans="1:38" s="108" customFormat="1" ht="15.75">
      <c r="A387" s="119"/>
      <c r="B387" s="120"/>
      <c r="C387" s="111"/>
      <c r="D387" s="111"/>
      <c r="E387" s="121"/>
      <c r="F387" s="121"/>
      <c r="G387" s="113"/>
      <c r="H387" s="113"/>
      <c r="I387" s="144" t="str">
        <f t="shared" si="11"/>
        <v/>
      </c>
      <c r="J387" s="141" t="str">
        <f>IF(I387="","",IF(AND(AL387&lt;=66),VLOOKUP(I387,'COP Look Up'!$A$13:$B$21,2,TRUE),IF(AND(AL387&gt;=67,AL387&lt;=72),VLOOKUP(I387,'COP Look Up'!$E$13:$F$21,2,TRUE),IF(AND(AL387&gt;=73,AL387&lt;=78),VLOOKUP(I387,'COP Look Up'!$I$13:$J$21,2,TRUE),IF(AND(AL387&gt;=79),VLOOKUP(I387,'COP Look Up'!$M$13:$N$20,2,TRUE),"")))))</f>
        <v/>
      </c>
      <c r="K387" s="122"/>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c r="AH387" s="123"/>
      <c r="AL387" s="143" t="str">
        <f t="shared" si="12"/>
        <v/>
      </c>
    </row>
    <row r="388" spans="1:38" s="108" customFormat="1" ht="15.75">
      <c r="A388" s="119"/>
      <c r="B388" s="120"/>
      <c r="C388" s="111"/>
      <c r="D388" s="111"/>
      <c r="E388" s="121"/>
      <c r="F388" s="121"/>
      <c r="G388" s="113"/>
      <c r="H388" s="113"/>
      <c r="I388" s="144" t="str">
        <f t="shared" si="11"/>
        <v/>
      </c>
      <c r="J388" s="141" t="str">
        <f>IF(I388="","",IF(AND(AL388&lt;=66),VLOOKUP(I388,'COP Look Up'!$A$13:$B$21,2,TRUE),IF(AND(AL388&gt;=67,AL388&lt;=72),VLOOKUP(I388,'COP Look Up'!$E$13:$F$21,2,TRUE),IF(AND(AL388&gt;=73,AL388&lt;=78),VLOOKUP(I388,'COP Look Up'!$I$13:$J$21,2,TRUE),IF(AND(AL388&gt;=79),VLOOKUP(I388,'COP Look Up'!$M$13:$N$20,2,TRUE),"")))))</f>
        <v/>
      </c>
      <c r="K388" s="122"/>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c r="AH388" s="123"/>
      <c r="AL388" s="143" t="str">
        <f t="shared" si="12"/>
        <v/>
      </c>
    </row>
    <row r="389" spans="1:38" s="108" customFormat="1" ht="15.75">
      <c r="A389" s="119"/>
      <c r="B389" s="120"/>
      <c r="C389" s="111"/>
      <c r="D389" s="111"/>
      <c r="E389" s="121"/>
      <c r="F389" s="121"/>
      <c r="G389" s="113"/>
      <c r="H389" s="113"/>
      <c r="I389" s="144" t="str">
        <f t="shared" si="11"/>
        <v/>
      </c>
      <c r="J389" s="141" t="str">
        <f>IF(I389="","",IF(AND(AL389&lt;=66),VLOOKUP(I389,'COP Look Up'!$A$13:$B$21,2,TRUE),IF(AND(AL389&gt;=67,AL389&lt;=72),VLOOKUP(I389,'COP Look Up'!$E$13:$F$21,2,TRUE),IF(AND(AL389&gt;=73,AL389&lt;=78),VLOOKUP(I389,'COP Look Up'!$I$13:$J$21,2,TRUE),IF(AND(AL389&gt;=79),VLOOKUP(I389,'COP Look Up'!$M$13:$N$20,2,TRUE),"")))))</f>
        <v/>
      </c>
      <c r="K389" s="122"/>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c r="AH389" s="123"/>
      <c r="AL389" s="143" t="str">
        <f t="shared" si="12"/>
        <v/>
      </c>
    </row>
    <row r="390" spans="1:38" s="108" customFormat="1" ht="15.75">
      <c r="A390" s="119"/>
      <c r="B390" s="120"/>
      <c r="C390" s="111"/>
      <c r="D390" s="111"/>
      <c r="E390" s="121"/>
      <c r="F390" s="121"/>
      <c r="G390" s="113"/>
      <c r="H390" s="113"/>
      <c r="I390" s="144" t="str">
        <f t="shared" si="11"/>
        <v/>
      </c>
      <c r="J390" s="141" t="str">
        <f>IF(I390="","",IF(AND(AL390&lt;=66),VLOOKUP(I390,'COP Look Up'!$A$13:$B$21,2,TRUE),IF(AND(AL390&gt;=67,AL390&lt;=72),VLOOKUP(I390,'COP Look Up'!$E$13:$F$21,2,TRUE),IF(AND(AL390&gt;=73,AL390&lt;=78),VLOOKUP(I390,'COP Look Up'!$I$13:$J$21,2,TRUE),IF(AND(AL390&gt;=79),VLOOKUP(I390,'COP Look Up'!$M$13:$N$20,2,TRUE),"")))))</f>
        <v/>
      </c>
      <c r="K390" s="122"/>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c r="AH390" s="123"/>
      <c r="AL390" s="143" t="str">
        <f t="shared" si="12"/>
        <v/>
      </c>
    </row>
    <row r="391" spans="1:38" s="108" customFormat="1" ht="15.75">
      <c r="A391" s="119"/>
      <c r="B391" s="120"/>
      <c r="C391" s="111"/>
      <c r="D391" s="111"/>
      <c r="E391" s="121"/>
      <c r="F391" s="121"/>
      <c r="G391" s="113"/>
      <c r="H391" s="113"/>
      <c r="I391" s="144" t="str">
        <f t="shared" si="11"/>
        <v/>
      </c>
      <c r="J391" s="141" t="str">
        <f>IF(I391="","",IF(AND(AL391&lt;=66),VLOOKUP(I391,'COP Look Up'!$A$13:$B$21,2,TRUE),IF(AND(AL391&gt;=67,AL391&lt;=72),VLOOKUP(I391,'COP Look Up'!$E$13:$F$21,2,TRUE),IF(AND(AL391&gt;=73,AL391&lt;=78),VLOOKUP(I391,'COP Look Up'!$I$13:$J$21,2,TRUE),IF(AND(AL391&gt;=79),VLOOKUP(I391,'COP Look Up'!$M$13:$N$20,2,TRUE),"")))))</f>
        <v/>
      </c>
      <c r="K391" s="122"/>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c r="AH391" s="123"/>
      <c r="AL391" s="143" t="str">
        <f t="shared" si="12"/>
        <v/>
      </c>
    </row>
    <row r="392" spans="1:38" s="108" customFormat="1" ht="15.75">
      <c r="A392" s="119"/>
      <c r="B392" s="120"/>
      <c r="C392" s="111"/>
      <c r="D392" s="111"/>
      <c r="E392" s="121"/>
      <c r="F392" s="121"/>
      <c r="G392" s="113"/>
      <c r="H392" s="113"/>
      <c r="I392" s="144" t="str">
        <f t="shared" si="11"/>
        <v/>
      </c>
      <c r="J392" s="141" t="str">
        <f>IF(I392="","",IF(AND(AL392&lt;=66),VLOOKUP(I392,'COP Look Up'!$A$13:$B$21,2,TRUE),IF(AND(AL392&gt;=67,AL392&lt;=72),VLOOKUP(I392,'COP Look Up'!$E$13:$F$21,2,TRUE),IF(AND(AL392&gt;=73,AL392&lt;=78),VLOOKUP(I392,'COP Look Up'!$I$13:$J$21,2,TRUE),IF(AND(AL392&gt;=79),VLOOKUP(I392,'COP Look Up'!$M$13:$N$20,2,TRUE),"")))))</f>
        <v/>
      </c>
      <c r="K392" s="122"/>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c r="AH392" s="123"/>
      <c r="AL392" s="143" t="str">
        <f t="shared" si="12"/>
        <v/>
      </c>
    </row>
    <row r="393" spans="1:38" s="108" customFormat="1" ht="15.75">
      <c r="A393" s="119"/>
      <c r="B393" s="120"/>
      <c r="C393" s="111"/>
      <c r="D393" s="111"/>
      <c r="E393" s="121"/>
      <c r="F393" s="121"/>
      <c r="G393" s="113"/>
      <c r="H393" s="113"/>
      <c r="I393" s="144" t="str">
        <f t="shared" ref="I393:I456" si="13">IF(E393="","",COUNTIF(K393:AH393,"y"))</f>
        <v/>
      </c>
      <c r="J393" s="141" t="str">
        <f>IF(I393="","",IF(AND(AL393&lt;=66),VLOOKUP(I393,'COP Look Up'!$A$13:$B$21,2,TRUE),IF(AND(AL393&gt;=67,AL393&lt;=72),VLOOKUP(I393,'COP Look Up'!$E$13:$F$21,2,TRUE),IF(AND(AL393&gt;=73,AL393&lt;=78),VLOOKUP(I393,'COP Look Up'!$I$13:$J$21,2,TRUE),IF(AND(AL393&gt;=79),VLOOKUP(I393,'COP Look Up'!$M$13:$N$20,2,TRUE),"")))))</f>
        <v/>
      </c>
      <c r="K393" s="122"/>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c r="AH393" s="123"/>
      <c r="AL393" s="143" t="str">
        <f t="shared" ref="AL393:AL456" si="14">IF(E393="","",DATEDIF(B393,A393,"m"))</f>
        <v/>
      </c>
    </row>
    <row r="394" spans="1:38" s="108" customFormat="1" ht="15.75">
      <c r="A394" s="119"/>
      <c r="B394" s="120"/>
      <c r="C394" s="111"/>
      <c r="D394" s="111"/>
      <c r="E394" s="121"/>
      <c r="F394" s="121"/>
      <c r="G394" s="113"/>
      <c r="H394" s="113"/>
      <c r="I394" s="144" t="str">
        <f t="shared" si="13"/>
        <v/>
      </c>
      <c r="J394" s="141" t="str">
        <f>IF(I394="","",IF(AND(AL394&lt;=66),VLOOKUP(I394,'COP Look Up'!$A$13:$B$21,2,TRUE),IF(AND(AL394&gt;=67,AL394&lt;=72),VLOOKUP(I394,'COP Look Up'!$E$13:$F$21,2,TRUE),IF(AND(AL394&gt;=73,AL394&lt;=78),VLOOKUP(I394,'COP Look Up'!$I$13:$J$21,2,TRUE),IF(AND(AL394&gt;=79),VLOOKUP(I394,'COP Look Up'!$M$13:$N$20,2,TRUE),"")))))</f>
        <v/>
      </c>
      <c r="K394" s="122"/>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c r="AH394" s="123"/>
      <c r="AL394" s="143" t="str">
        <f t="shared" si="14"/>
        <v/>
      </c>
    </row>
    <row r="395" spans="1:38" s="108" customFormat="1" ht="15.75">
      <c r="A395" s="119"/>
      <c r="B395" s="120"/>
      <c r="C395" s="111"/>
      <c r="D395" s="111"/>
      <c r="E395" s="121"/>
      <c r="F395" s="121"/>
      <c r="G395" s="113"/>
      <c r="H395" s="113"/>
      <c r="I395" s="144" t="str">
        <f t="shared" si="13"/>
        <v/>
      </c>
      <c r="J395" s="141" t="str">
        <f>IF(I395="","",IF(AND(AL395&lt;=66),VLOOKUP(I395,'COP Look Up'!$A$13:$B$21,2,TRUE),IF(AND(AL395&gt;=67,AL395&lt;=72),VLOOKUP(I395,'COP Look Up'!$E$13:$F$21,2,TRUE),IF(AND(AL395&gt;=73,AL395&lt;=78),VLOOKUP(I395,'COP Look Up'!$I$13:$J$21,2,TRUE),IF(AND(AL395&gt;=79),VLOOKUP(I395,'COP Look Up'!$M$13:$N$20,2,TRUE),"")))))</f>
        <v/>
      </c>
      <c r="K395" s="122"/>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c r="AH395" s="123"/>
      <c r="AL395" s="143" t="str">
        <f t="shared" si="14"/>
        <v/>
      </c>
    </row>
    <row r="396" spans="1:38" s="108" customFormat="1" ht="15.75">
      <c r="A396" s="119"/>
      <c r="B396" s="120"/>
      <c r="C396" s="111"/>
      <c r="D396" s="111"/>
      <c r="E396" s="121"/>
      <c r="F396" s="121"/>
      <c r="G396" s="113"/>
      <c r="H396" s="113"/>
      <c r="I396" s="144" t="str">
        <f t="shared" si="13"/>
        <v/>
      </c>
      <c r="J396" s="141" t="str">
        <f>IF(I396="","",IF(AND(AL396&lt;=66),VLOOKUP(I396,'COP Look Up'!$A$13:$B$21,2,TRUE),IF(AND(AL396&gt;=67,AL396&lt;=72),VLOOKUP(I396,'COP Look Up'!$E$13:$F$21,2,TRUE),IF(AND(AL396&gt;=73,AL396&lt;=78),VLOOKUP(I396,'COP Look Up'!$I$13:$J$21,2,TRUE),IF(AND(AL396&gt;=79),VLOOKUP(I396,'COP Look Up'!$M$13:$N$20,2,TRUE),"")))))</f>
        <v/>
      </c>
      <c r="K396" s="122"/>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c r="AH396" s="123"/>
      <c r="AL396" s="143" t="str">
        <f t="shared" si="14"/>
        <v/>
      </c>
    </row>
    <row r="397" spans="1:38" s="108" customFormat="1" ht="15.75">
      <c r="A397" s="119"/>
      <c r="B397" s="120"/>
      <c r="C397" s="111"/>
      <c r="D397" s="111"/>
      <c r="E397" s="121"/>
      <c r="F397" s="121"/>
      <c r="G397" s="113"/>
      <c r="H397" s="113"/>
      <c r="I397" s="144" t="str">
        <f t="shared" si="13"/>
        <v/>
      </c>
      <c r="J397" s="141" t="str">
        <f>IF(I397="","",IF(AND(AL397&lt;=66),VLOOKUP(I397,'COP Look Up'!$A$13:$B$21,2,TRUE),IF(AND(AL397&gt;=67,AL397&lt;=72),VLOOKUP(I397,'COP Look Up'!$E$13:$F$21,2,TRUE),IF(AND(AL397&gt;=73,AL397&lt;=78),VLOOKUP(I397,'COP Look Up'!$I$13:$J$21,2,TRUE),IF(AND(AL397&gt;=79),VLOOKUP(I397,'COP Look Up'!$M$13:$N$20,2,TRUE),"")))))</f>
        <v/>
      </c>
      <c r="K397" s="122"/>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c r="AH397" s="123"/>
      <c r="AL397" s="143" t="str">
        <f t="shared" si="14"/>
        <v/>
      </c>
    </row>
    <row r="398" spans="1:38" s="108" customFormat="1" ht="15.75">
      <c r="A398" s="119"/>
      <c r="B398" s="120"/>
      <c r="C398" s="111"/>
      <c r="D398" s="111"/>
      <c r="E398" s="121"/>
      <c r="F398" s="121"/>
      <c r="G398" s="113"/>
      <c r="H398" s="113"/>
      <c r="I398" s="144" t="str">
        <f t="shared" si="13"/>
        <v/>
      </c>
      <c r="J398" s="141" t="str">
        <f>IF(I398="","",IF(AND(AL398&lt;=66),VLOOKUP(I398,'COP Look Up'!$A$13:$B$21,2,TRUE),IF(AND(AL398&gt;=67,AL398&lt;=72),VLOOKUP(I398,'COP Look Up'!$E$13:$F$21,2,TRUE),IF(AND(AL398&gt;=73,AL398&lt;=78),VLOOKUP(I398,'COP Look Up'!$I$13:$J$21,2,TRUE),IF(AND(AL398&gt;=79),VLOOKUP(I398,'COP Look Up'!$M$13:$N$20,2,TRUE),"")))))</f>
        <v/>
      </c>
      <c r="K398" s="122"/>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c r="AH398" s="123"/>
      <c r="AL398" s="143" t="str">
        <f t="shared" si="14"/>
        <v/>
      </c>
    </row>
    <row r="399" spans="1:38" s="108" customFormat="1" ht="15.75">
      <c r="A399" s="119"/>
      <c r="B399" s="120"/>
      <c r="C399" s="111"/>
      <c r="D399" s="111"/>
      <c r="E399" s="121"/>
      <c r="F399" s="121"/>
      <c r="G399" s="113"/>
      <c r="H399" s="113"/>
      <c r="I399" s="144" t="str">
        <f t="shared" si="13"/>
        <v/>
      </c>
      <c r="J399" s="141" t="str">
        <f>IF(I399="","",IF(AND(AL399&lt;=66),VLOOKUP(I399,'COP Look Up'!$A$13:$B$21,2,TRUE),IF(AND(AL399&gt;=67,AL399&lt;=72),VLOOKUP(I399,'COP Look Up'!$E$13:$F$21,2,TRUE),IF(AND(AL399&gt;=73,AL399&lt;=78),VLOOKUP(I399,'COP Look Up'!$I$13:$J$21,2,TRUE),IF(AND(AL399&gt;=79),VLOOKUP(I399,'COP Look Up'!$M$13:$N$20,2,TRUE),"")))))</f>
        <v/>
      </c>
      <c r="K399" s="122"/>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c r="AH399" s="123"/>
      <c r="AL399" s="143" t="str">
        <f t="shared" si="14"/>
        <v/>
      </c>
    </row>
    <row r="400" spans="1:38" s="108" customFormat="1" ht="15.75">
      <c r="A400" s="119"/>
      <c r="B400" s="120"/>
      <c r="C400" s="111"/>
      <c r="D400" s="111"/>
      <c r="E400" s="121"/>
      <c r="F400" s="121"/>
      <c r="G400" s="113"/>
      <c r="H400" s="113"/>
      <c r="I400" s="144" t="str">
        <f t="shared" si="13"/>
        <v/>
      </c>
      <c r="J400" s="141" t="str">
        <f>IF(I400="","",IF(AND(AL400&lt;=66),VLOOKUP(I400,'COP Look Up'!$A$13:$B$21,2,TRUE),IF(AND(AL400&gt;=67,AL400&lt;=72),VLOOKUP(I400,'COP Look Up'!$E$13:$F$21,2,TRUE),IF(AND(AL400&gt;=73,AL400&lt;=78),VLOOKUP(I400,'COP Look Up'!$I$13:$J$21,2,TRUE),IF(AND(AL400&gt;=79),VLOOKUP(I400,'COP Look Up'!$M$13:$N$20,2,TRUE),"")))))</f>
        <v/>
      </c>
      <c r="K400" s="122"/>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c r="AH400" s="123"/>
      <c r="AL400" s="143" t="str">
        <f t="shared" si="14"/>
        <v/>
      </c>
    </row>
    <row r="401" spans="1:38" s="108" customFormat="1" ht="15.75">
      <c r="A401" s="119"/>
      <c r="B401" s="120"/>
      <c r="C401" s="111"/>
      <c r="D401" s="111"/>
      <c r="E401" s="121"/>
      <c r="F401" s="121"/>
      <c r="G401" s="113"/>
      <c r="H401" s="113"/>
      <c r="I401" s="144" t="str">
        <f t="shared" si="13"/>
        <v/>
      </c>
      <c r="J401" s="141" t="str">
        <f>IF(I401="","",IF(AND(AL401&lt;=66),VLOOKUP(I401,'COP Look Up'!$A$13:$B$21,2,TRUE),IF(AND(AL401&gt;=67,AL401&lt;=72),VLOOKUP(I401,'COP Look Up'!$E$13:$F$21,2,TRUE),IF(AND(AL401&gt;=73,AL401&lt;=78),VLOOKUP(I401,'COP Look Up'!$I$13:$J$21,2,TRUE),IF(AND(AL401&gt;=79),VLOOKUP(I401,'COP Look Up'!$M$13:$N$20,2,TRUE),"")))))</f>
        <v/>
      </c>
      <c r="K401" s="122"/>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c r="AH401" s="123"/>
      <c r="AL401" s="143" t="str">
        <f t="shared" si="14"/>
        <v/>
      </c>
    </row>
    <row r="402" spans="1:38" s="108" customFormat="1" ht="15.75">
      <c r="A402" s="119"/>
      <c r="B402" s="120"/>
      <c r="C402" s="111"/>
      <c r="D402" s="111"/>
      <c r="E402" s="121"/>
      <c r="F402" s="121"/>
      <c r="G402" s="113"/>
      <c r="H402" s="113"/>
      <c r="I402" s="144" t="str">
        <f t="shared" si="13"/>
        <v/>
      </c>
      <c r="J402" s="141" t="str">
        <f>IF(I402="","",IF(AND(AL402&lt;=66),VLOOKUP(I402,'COP Look Up'!$A$13:$B$21,2,TRUE),IF(AND(AL402&gt;=67,AL402&lt;=72),VLOOKUP(I402,'COP Look Up'!$E$13:$F$21,2,TRUE),IF(AND(AL402&gt;=73,AL402&lt;=78),VLOOKUP(I402,'COP Look Up'!$I$13:$J$21,2,TRUE),IF(AND(AL402&gt;=79),VLOOKUP(I402,'COP Look Up'!$M$13:$N$20,2,TRUE),"")))))</f>
        <v/>
      </c>
      <c r="K402" s="122"/>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c r="AH402" s="123"/>
      <c r="AL402" s="143" t="str">
        <f t="shared" si="14"/>
        <v/>
      </c>
    </row>
    <row r="403" spans="1:38" s="108" customFormat="1" ht="15.75">
      <c r="A403" s="119"/>
      <c r="B403" s="120"/>
      <c r="C403" s="111"/>
      <c r="D403" s="111"/>
      <c r="E403" s="121"/>
      <c r="F403" s="121"/>
      <c r="G403" s="113"/>
      <c r="H403" s="113"/>
      <c r="I403" s="144" t="str">
        <f t="shared" si="13"/>
        <v/>
      </c>
      <c r="J403" s="141" t="str">
        <f>IF(I403="","",IF(AND(AL403&lt;=66),VLOOKUP(I403,'COP Look Up'!$A$13:$B$21,2,TRUE),IF(AND(AL403&gt;=67,AL403&lt;=72),VLOOKUP(I403,'COP Look Up'!$E$13:$F$21,2,TRUE),IF(AND(AL403&gt;=73,AL403&lt;=78),VLOOKUP(I403,'COP Look Up'!$I$13:$J$21,2,TRUE),IF(AND(AL403&gt;=79),VLOOKUP(I403,'COP Look Up'!$M$13:$N$20,2,TRUE),"")))))</f>
        <v/>
      </c>
      <c r="K403" s="122"/>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c r="AH403" s="123"/>
      <c r="AL403" s="143" t="str">
        <f t="shared" si="14"/>
        <v/>
      </c>
    </row>
    <row r="404" spans="1:38" s="108" customFormat="1" ht="15.75">
      <c r="A404" s="119"/>
      <c r="B404" s="120"/>
      <c r="C404" s="111"/>
      <c r="D404" s="111"/>
      <c r="E404" s="121"/>
      <c r="F404" s="121"/>
      <c r="G404" s="113"/>
      <c r="H404" s="113"/>
      <c r="I404" s="144" t="str">
        <f t="shared" si="13"/>
        <v/>
      </c>
      <c r="J404" s="141" t="str">
        <f>IF(I404="","",IF(AND(AL404&lt;=66),VLOOKUP(I404,'COP Look Up'!$A$13:$B$21,2,TRUE),IF(AND(AL404&gt;=67,AL404&lt;=72),VLOOKUP(I404,'COP Look Up'!$E$13:$F$21,2,TRUE),IF(AND(AL404&gt;=73,AL404&lt;=78),VLOOKUP(I404,'COP Look Up'!$I$13:$J$21,2,TRUE),IF(AND(AL404&gt;=79),VLOOKUP(I404,'COP Look Up'!$M$13:$N$20,2,TRUE),"")))))</f>
        <v/>
      </c>
      <c r="K404" s="122"/>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c r="AH404" s="123"/>
      <c r="AL404" s="143" t="str">
        <f t="shared" si="14"/>
        <v/>
      </c>
    </row>
    <row r="405" spans="1:38" s="108" customFormat="1" ht="15.75">
      <c r="A405" s="119"/>
      <c r="B405" s="120"/>
      <c r="C405" s="111"/>
      <c r="D405" s="111"/>
      <c r="E405" s="121"/>
      <c r="F405" s="121"/>
      <c r="G405" s="113"/>
      <c r="H405" s="113"/>
      <c r="I405" s="144" t="str">
        <f t="shared" si="13"/>
        <v/>
      </c>
      <c r="J405" s="141" t="str">
        <f>IF(I405="","",IF(AND(AL405&lt;=66),VLOOKUP(I405,'COP Look Up'!$A$13:$B$21,2,TRUE),IF(AND(AL405&gt;=67,AL405&lt;=72),VLOOKUP(I405,'COP Look Up'!$E$13:$F$21,2,TRUE),IF(AND(AL405&gt;=73,AL405&lt;=78),VLOOKUP(I405,'COP Look Up'!$I$13:$J$21,2,TRUE),IF(AND(AL405&gt;=79),VLOOKUP(I405,'COP Look Up'!$M$13:$N$20,2,TRUE),"")))))</f>
        <v/>
      </c>
      <c r="K405" s="122"/>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c r="AH405" s="123"/>
      <c r="AL405" s="143" t="str">
        <f t="shared" si="14"/>
        <v/>
      </c>
    </row>
    <row r="406" spans="1:38" s="108" customFormat="1" ht="15.75">
      <c r="A406" s="119"/>
      <c r="B406" s="120"/>
      <c r="C406" s="111"/>
      <c r="D406" s="111"/>
      <c r="E406" s="121"/>
      <c r="F406" s="121"/>
      <c r="G406" s="113"/>
      <c r="H406" s="113"/>
      <c r="I406" s="144" t="str">
        <f t="shared" si="13"/>
        <v/>
      </c>
      <c r="J406" s="141" t="str">
        <f>IF(I406="","",IF(AND(AL406&lt;=66),VLOOKUP(I406,'COP Look Up'!$A$13:$B$21,2,TRUE),IF(AND(AL406&gt;=67,AL406&lt;=72),VLOOKUP(I406,'COP Look Up'!$E$13:$F$21,2,TRUE),IF(AND(AL406&gt;=73,AL406&lt;=78),VLOOKUP(I406,'COP Look Up'!$I$13:$J$21,2,TRUE),IF(AND(AL406&gt;=79),VLOOKUP(I406,'COP Look Up'!$M$13:$N$20,2,TRUE),"")))))</f>
        <v/>
      </c>
      <c r="K406" s="122"/>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c r="AH406" s="123"/>
      <c r="AL406" s="143" t="str">
        <f t="shared" si="14"/>
        <v/>
      </c>
    </row>
    <row r="407" spans="1:38" s="108" customFormat="1" ht="15.75">
      <c r="A407" s="119"/>
      <c r="B407" s="120"/>
      <c r="C407" s="111"/>
      <c r="D407" s="111"/>
      <c r="E407" s="121"/>
      <c r="F407" s="121"/>
      <c r="G407" s="113"/>
      <c r="H407" s="113"/>
      <c r="I407" s="144" t="str">
        <f t="shared" si="13"/>
        <v/>
      </c>
      <c r="J407" s="141" t="str">
        <f>IF(I407="","",IF(AND(AL407&lt;=66),VLOOKUP(I407,'COP Look Up'!$A$13:$B$21,2,TRUE),IF(AND(AL407&gt;=67,AL407&lt;=72),VLOOKUP(I407,'COP Look Up'!$E$13:$F$21,2,TRUE),IF(AND(AL407&gt;=73,AL407&lt;=78),VLOOKUP(I407,'COP Look Up'!$I$13:$J$21,2,TRUE),IF(AND(AL407&gt;=79),VLOOKUP(I407,'COP Look Up'!$M$13:$N$20,2,TRUE),"")))))</f>
        <v/>
      </c>
      <c r="K407" s="122"/>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c r="AH407" s="123"/>
      <c r="AL407" s="143" t="str">
        <f t="shared" si="14"/>
        <v/>
      </c>
    </row>
    <row r="408" spans="1:38" s="108" customFormat="1" ht="15.75">
      <c r="A408" s="119"/>
      <c r="B408" s="120"/>
      <c r="C408" s="111"/>
      <c r="D408" s="111"/>
      <c r="E408" s="121"/>
      <c r="F408" s="121"/>
      <c r="G408" s="113"/>
      <c r="H408" s="113"/>
      <c r="I408" s="144" t="str">
        <f t="shared" si="13"/>
        <v/>
      </c>
      <c r="J408" s="141" t="str">
        <f>IF(I408="","",IF(AND(AL408&lt;=66),VLOOKUP(I408,'COP Look Up'!$A$13:$B$21,2,TRUE),IF(AND(AL408&gt;=67,AL408&lt;=72),VLOOKUP(I408,'COP Look Up'!$E$13:$F$21,2,TRUE),IF(AND(AL408&gt;=73,AL408&lt;=78),VLOOKUP(I408,'COP Look Up'!$I$13:$J$21,2,TRUE),IF(AND(AL408&gt;=79),VLOOKUP(I408,'COP Look Up'!$M$13:$N$20,2,TRUE),"")))))</f>
        <v/>
      </c>
      <c r="K408" s="122"/>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c r="AH408" s="123"/>
      <c r="AL408" s="143" t="str">
        <f t="shared" si="14"/>
        <v/>
      </c>
    </row>
    <row r="409" spans="1:38" s="108" customFormat="1" ht="15.75">
      <c r="A409" s="119"/>
      <c r="B409" s="120"/>
      <c r="C409" s="111"/>
      <c r="D409" s="111"/>
      <c r="E409" s="121"/>
      <c r="F409" s="121"/>
      <c r="G409" s="113"/>
      <c r="H409" s="113"/>
      <c r="I409" s="144" t="str">
        <f t="shared" si="13"/>
        <v/>
      </c>
      <c r="J409" s="141" t="str">
        <f>IF(I409="","",IF(AND(AL409&lt;=66),VLOOKUP(I409,'COP Look Up'!$A$13:$B$21,2,TRUE),IF(AND(AL409&gt;=67,AL409&lt;=72),VLOOKUP(I409,'COP Look Up'!$E$13:$F$21,2,TRUE),IF(AND(AL409&gt;=73,AL409&lt;=78),VLOOKUP(I409,'COP Look Up'!$I$13:$J$21,2,TRUE),IF(AND(AL409&gt;=79),VLOOKUP(I409,'COP Look Up'!$M$13:$N$20,2,TRUE),"")))))</f>
        <v/>
      </c>
      <c r="K409" s="122"/>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c r="AH409" s="123"/>
      <c r="AL409" s="143" t="str">
        <f t="shared" si="14"/>
        <v/>
      </c>
    </row>
    <row r="410" spans="1:38" s="108" customFormat="1" ht="15.75">
      <c r="A410" s="119"/>
      <c r="B410" s="120"/>
      <c r="C410" s="111"/>
      <c r="D410" s="111"/>
      <c r="E410" s="121"/>
      <c r="F410" s="121"/>
      <c r="G410" s="113"/>
      <c r="H410" s="113"/>
      <c r="I410" s="144" t="str">
        <f t="shared" si="13"/>
        <v/>
      </c>
      <c r="J410" s="141" t="str">
        <f>IF(I410="","",IF(AND(AL410&lt;=66),VLOOKUP(I410,'COP Look Up'!$A$13:$B$21,2,TRUE),IF(AND(AL410&gt;=67,AL410&lt;=72),VLOOKUP(I410,'COP Look Up'!$E$13:$F$21,2,TRUE),IF(AND(AL410&gt;=73,AL410&lt;=78),VLOOKUP(I410,'COP Look Up'!$I$13:$J$21,2,TRUE),IF(AND(AL410&gt;=79),VLOOKUP(I410,'COP Look Up'!$M$13:$N$20,2,TRUE),"")))))</f>
        <v/>
      </c>
      <c r="K410" s="122"/>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c r="AH410" s="123"/>
      <c r="AL410" s="143" t="str">
        <f t="shared" si="14"/>
        <v/>
      </c>
    </row>
    <row r="411" spans="1:38" s="108" customFormat="1" ht="15.75">
      <c r="A411" s="119"/>
      <c r="B411" s="120"/>
      <c r="C411" s="111"/>
      <c r="D411" s="111"/>
      <c r="E411" s="121"/>
      <c r="F411" s="121"/>
      <c r="G411" s="113"/>
      <c r="H411" s="113"/>
      <c r="I411" s="144" t="str">
        <f t="shared" si="13"/>
        <v/>
      </c>
      <c r="J411" s="141" t="str">
        <f>IF(I411="","",IF(AND(AL411&lt;=66),VLOOKUP(I411,'COP Look Up'!$A$13:$B$21,2,TRUE),IF(AND(AL411&gt;=67,AL411&lt;=72),VLOOKUP(I411,'COP Look Up'!$E$13:$F$21,2,TRUE),IF(AND(AL411&gt;=73,AL411&lt;=78),VLOOKUP(I411,'COP Look Up'!$I$13:$J$21,2,TRUE),IF(AND(AL411&gt;=79),VLOOKUP(I411,'COP Look Up'!$M$13:$N$20,2,TRUE),"")))))</f>
        <v/>
      </c>
      <c r="K411" s="122"/>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c r="AH411" s="123"/>
      <c r="AL411" s="143" t="str">
        <f t="shared" si="14"/>
        <v/>
      </c>
    </row>
    <row r="412" spans="1:38" s="108" customFormat="1" ht="15.75">
      <c r="A412" s="119"/>
      <c r="B412" s="120"/>
      <c r="C412" s="111"/>
      <c r="D412" s="111"/>
      <c r="E412" s="121"/>
      <c r="F412" s="121"/>
      <c r="G412" s="113"/>
      <c r="H412" s="113"/>
      <c r="I412" s="144" t="str">
        <f t="shared" si="13"/>
        <v/>
      </c>
      <c r="J412" s="141" t="str">
        <f>IF(I412="","",IF(AND(AL412&lt;=66),VLOOKUP(I412,'COP Look Up'!$A$13:$B$21,2,TRUE),IF(AND(AL412&gt;=67,AL412&lt;=72),VLOOKUP(I412,'COP Look Up'!$E$13:$F$21,2,TRUE),IF(AND(AL412&gt;=73,AL412&lt;=78),VLOOKUP(I412,'COP Look Up'!$I$13:$J$21,2,TRUE),IF(AND(AL412&gt;=79),VLOOKUP(I412,'COP Look Up'!$M$13:$N$20,2,TRUE),"")))))</f>
        <v/>
      </c>
      <c r="K412" s="122"/>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c r="AH412" s="123"/>
      <c r="AL412" s="143" t="str">
        <f t="shared" si="14"/>
        <v/>
      </c>
    </row>
    <row r="413" spans="1:38" s="108" customFormat="1" ht="15.75">
      <c r="A413" s="119"/>
      <c r="B413" s="120"/>
      <c r="C413" s="111"/>
      <c r="D413" s="111"/>
      <c r="E413" s="121"/>
      <c r="F413" s="121"/>
      <c r="G413" s="113"/>
      <c r="H413" s="113"/>
      <c r="I413" s="144" t="str">
        <f t="shared" si="13"/>
        <v/>
      </c>
      <c r="J413" s="141" t="str">
        <f>IF(I413="","",IF(AND(AL413&lt;=66),VLOOKUP(I413,'COP Look Up'!$A$13:$B$21,2,TRUE),IF(AND(AL413&gt;=67,AL413&lt;=72),VLOOKUP(I413,'COP Look Up'!$E$13:$F$21,2,TRUE),IF(AND(AL413&gt;=73,AL413&lt;=78),VLOOKUP(I413,'COP Look Up'!$I$13:$J$21,2,TRUE),IF(AND(AL413&gt;=79),VLOOKUP(I413,'COP Look Up'!$M$13:$N$20,2,TRUE),"")))))</f>
        <v/>
      </c>
      <c r="K413" s="122"/>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c r="AH413" s="123"/>
      <c r="AL413" s="143" t="str">
        <f t="shared" si="14"/>
        <v/>
      </c>
    </row>
    <row r="414" spans="1:38" s="108" customFormat="1" ht="15.75">
      <c r="A414" s="119"/>
      <c r="B414" s="120"/>
      <c r="C414" s="111"/>
      <c r="D414" s="111"/>
      <c r="E414" s="121"/>
      <c r="F414" s="121"/>
      <c r="G414" s="113"/>
      <c r="H414" s="113"/>
      <c r="I414" s="144" t="str">
        <f t="shared" si="13"/>
        <v/>
      </c>
      <c r="J414" s="141" t="str">
        <f>IF(I414="","",IF(AND(AL414&lt;=66),VLOOKUP(I414,'COP Look Up'!$A$13:$B$21,2,TRUE),IF(AND(AL414&gt;=67,AL414&lt;=72),VLOOKUP(I414,'COP Look Up'!$E$13:$F$21,2,TRUE),IF(AND(AL414&gt;=73,AL414&lt;=78),VLOOKUP(I414,'COP Look Up'!$I$13:$J$21,2,TRUE),IF(AND(AL414&gt;=79),VLOOKUP(I414,'COP Look Up'!$M$13:$N$20,2,TRUE),"")))))</f>
        <v/>
      </c>
      <c r="K414" s="122"/>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c r="AH414" s="123"/>
      <c r="AL414" s="143" t="str">
        <f t="shared" si="14"/>
        <v/>
      </c>
    </row>
    <row r="415" spans="1:38" s="108" customFormat="1" ht="15.75">
      <c r="A415" s="119"/>
      <c r="B415" s="120"/>
      <c r="C415" s="111"/>
      <c r="D415" s="111"/>
      <c r="E415" s="121"/>
      <c r="F415" s="121"/>
      <c r="G415" s="113"/>
      <c r="H415" s="113"/>
      <c r="I415" s="144" t="str">
        <f t="shared" si="13"/>
        <v/>
      </c>
      <c r="J415" s="141" t="str">
        <f>IF(I415="","",IF(AND(AL415&lt;=66),VLOOKUP(I415,'COP Look Up'!$A$13:$B$21,2,TRUE),IF(AND(AL415&gt;=67,AL415&lt;=72),VLOOKUP(I415,'COP Look Up'!$E$13:$F$21,2,TRUE),IF(AND(AL415&gt;=73,AL415&lt;=78),VLOOKUP(I415,'COP Look Up'!$I$13:$J$21,2,TRUE),IF(AND(AL415&gt;=79),VLOOKUP(I415,'COP Look Up'!$M$13:$N$20,2,TRUE),"")))))</f>
        <v/>
      </c>
      <c r="K415" s="122"/>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c r="AH415" s="123"/>
      <c r="AL415" s="143" t="str">
        <f t="shared" si="14"/>
        <v/>
      </c>
    </row>
    <row r="416" spans="1:38" s="108" customFormat="1" ht="15.75">
      <c r="A416" s="119"/>
      <c r="B416" s="120"/>
      <c r="C416" s="111"/>
      <c r="D416" s="111"/>
      <c r="E416" s="121"/>
      <c r="F416" s="121"/>
      <c r="G416" s="113"/>
      <c r="H416" s="113"/>
      <c r="I416" s="144" t="str">
        <f t="shared" si="13"/>
        <v/>
      </c>
      <c r="J416" s="141" t="str">
        <f>IF(I416="","",IF(AND(AL416&lt;=66),VLOOKUP(I416,'COP Look Up'!$A$13:$B$21,2,TRUE),IF(AND(AL416&gt;=67,AL416&lt;=72),VLOOKUP(I416,'COP Look Up'!$E$13:$F$21,2,TRUE),IF(AND(AL416&gt;=73,AL416&lt;=78),VLOOKUP(I416,'COP Look Up'!$I$13:$J$21,2,TRUE),IF(AND(AL416&gt;=79),VLOOKUP(I416,'COP Look Up'!$M$13:$N$20,2,TRUE),"")))))</f>
        <v/>
      </c>
      <c r="K416" s="122"/>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23"/>
      <c r="AL416" s="143" t="str">
        <f t="shared" si="14"/>
        <v/>
      </c>
    </row>
    <row r="417" spans="1:38" s="108" customFormat="1" ht="15.75">
      <c r="A417" s="119"/>
      <c r="B417" s="120"/>
      <c r="C417" s="111"/>
      <c r="D417" s="111"/>
      <c r="E417" s="121"/>
      <c r="F417" s="121"/>
      <c r="G417" s="113"/>
      <c r="H417" s="113"/>
      <c r="I417" s="144" t="str">
        <f t="shared" si="13"/>
        <v/>
      </c>
      <c r="J417" s="141" t="str">
        <f>IF(I417="","",IF(AND(AL417&lt;=66),VLOOKUP(I417,'COP Look Up'!$A$13:$B$21,2,TRUE),IF(AND(AL417&gt;=67,AL417&lt;=72),VLOOKUP(I417,'COP Look Up'!$E$13:$F$21,2,TRUE),IF(AND(AL417&gt;=73,AL417&lt;=78),VLOOKUP(I417,'COP Look Up'!$I$13:$J$21,2,TRUE),IF(AND(AL417&gt;=79),VLOOKUP(I417,'COP Look Up'!$M$13:$N$20,2,TRUE),"")))))</f>
        <v/>
      </c>
      <c r="K417" s="122"/>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23"/>
      <c r="AL417" s="143" t="str">
        <f t="shared" si="14"/>
        <v/>
      </c>
    </row>
    <row r="418" spans="1:38" s="108" customFormat="1" ht="15.75">
      <c r="A418" s="119"/>
      <c r="B418" s="120"/>
      <c r="C418" s="111"/>
      <c r="D418" s="111"/>
      <c r="E418" s="121"/>
      <c r="F418" s="121"/>
      <c r="G418" s="113"/>
      <c r="H418" s="113"/>
      <c r="I418" s="144" t="str">
        <f t="shared" si="13"/>
        <v/>
      </c>
      <c r="J418" s="141" t="str">
        <f>IF(I418="","",IF(AND(AL418&lt;=66),VLOOKUP(I418,'COP Look Up'!$A$13:$B$21,2,TRUE),IF(AND(AL418&gt;=67,AL418&lt;=72),VLOOKUP(I418,'COP Look Up'!$E$13:$F$21,2,TRUE),IF(AND(AL418&gt;=73,AL418&lt;=78),VLOOKUP(I418,'COP Look Up'!$I$13:$J$21,2,TRUE),IF(AND(AL418&gt;=79),VLOOKUP(I418,'COP Look Up'!$M$13:$N$20,2,TRUE),"")))))</f>
        <v/>
      </c>
      <c r="K418" s="122"/>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23"/>
      <c r="AL418" s="143" t="str">
        <f t="shared" si="14"/>
        <v/>
      </c>
    </row>
    <row r="419" spans="1:38" s="108" customFormat="1" ht="15.75">
      <c r="A419" s="119"/>
      <c r="B419" s="120"/>
      <c r="C419" s="111"/>
      <c r="D419" s="111"/>
      <c r="E419" s="121"/>
      <c r="F419" s="121"/>
      <c r="G419" s="113"/>
      <c r="H419" s="113"/>
      <c r="I419" s="144" t="str">
        <f t="shared" si="13"/>
        <v/>
      </c>
      <c r="J419" s="141" t="str">
        <f>IF(I419="","",IF(AND(AL419&lt;=66),VLOOKUP(I419,'COP Look Up'!$A$13:$B$21,2,TRUE),IF(AND(AL419&gt;=67,AL419&lt;=72),VLOOKUP(I419,'COP Look Up'!$E$13:$F$21,2,TRUE),IF(AND(AL419&gt;=73,AL419&lt;=78),VLOOKUP(I419,'COP Look Up'!$I$13:$J$21,2,TRUE),IF(AND(AL419&gt;=79),VLOOKUP(I419,'COP Look Up'!$M$13:$N$20,2,TRUE),"")))))</f>
        <v/>
      </c>
      <c r="K419" s="122"/>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23"/>
      <c r="AL419" s="143" t="str">
        <f t="shared" si="14"/>
        <v/>
      </c>
    </row>
    <row r="420" spans="1:38" s="108" customFormat="1" ht="15.75">
      <c r="A420" s="119"/>
      <c r="B420" s="120"/>
      <c r="C420" s="111"/>
      <c r="D420" s="111"/>
      <c r="E420" s="121"/>
      <c r="F420" s="121"/>
      <c r="G420" s="113"/>
      <c r="H420" s="113"/>
      <c r="I420" s="144" t="str">
        <f t="shared" si="13"/>
        <v/>
      </c>
      <c r="J420" s="141" t="str">
        <f>IF(I420="","",IF(AND(AL420&lt;=66),VLOOKUP(I420,'COP Look Up'!$A$13:$B$21,2,TRUE),IF(AND(AL420&gt;=67,AL420&lt;=72),VLOOKUP(I420,'COP Look Up'!$E$13:$F$21,2,TRUE),IF(AND(AL420&gt;=73,AL420&lt;=78),VLOOKUP(I420,'COP Look Up'!$I$13:$J$21,2,TRUE),IF(AND(AL420&gt;=79),VLOOKUP(I420,'COP Look Up'!$M$13:$N$20,2,TRUE),"")))))</f>
        <v/>
      </c>
      <c r="K420" s="122"/>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23"/>
      <c r="AL420" s="143" t="str">
        <f t="shared" si="14"/>
        <v/>
      </c>
    </row>
    <row r="421" spans="1:38" s="108" customFormat="1" ht="15.75">
      <c r="A421" s="119"/>
      <c r="B421" s="120"/>
      <c r="C421" s="111"/>
      <c r="D421" s="111"/>
      <c r="E421" s="121"/>
      <c r="F421" s="121"/>
      <c r="G421" s="113"/>
      <c r="H421" s="113"/>
      <c r="I421" s="144" t="str">
        <f t="shared" si="13"/>
        <v/>
      </c>
      <c r="J421" s="141" t="str">
        <f>IF(I421="","",IF(AND(AL421&lt;=66),VLOOKUP(I421,'COP Look Up'!$A$13:$B$21,2,TRUE),IF(AND(AL421&gt;=67,AL421&lt;=72),VLOOKUP(I421,'COP Look Up'!$E$13:$F$21,2,TRUE),IF(AND(AL421&gt;=73,AL421&lt;=78),VLOOKUP(I421,'COP Look Up'!$I$13:$J$21,2,TRUE),IF(AND(AL421&gt;=79),VLOOKUP(I421,'COP Look Up'!$M$13:$N$20,2,TRUE),"")))))</f>
        <v/>
      </c>
      <c r="K421" s="122"/>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23"/>
      <c r="AL421" s="143" t="str">
        <f t="shared" si="14"/>
        <v/>
      </c>
    </row>
    <row r="422" spans="1:38" s="108" customFormat="1" ht="15.75">
      <c r="A422" s="119"/>
      <c r="B422" s="120"/>
      <c r="C422" s="111"/>
      <c r="D422" s="111"/>
      <c r="E422" s="121"/>
      <c r="F422" s="121"/>
      <c r="G422" s="113"/>
      <c r="H422" s="113"/>
      <c r="I422" s="144" t="str">
        <f t="shared" si="13"/>
        <v/>
      </c>
      <c r="J422" s="141" t="str">
        <f>IF(I422="","",IF(AND(AL422&lt;=66),VLOOKUP(I422,'COP Look Up'!$A$13:$B$21,2,TRUE),IF(AND(AL422&gt;=67,AL422&lt;=72),VLOOKUP(I422,'COP Look Up'!$E$13:$F$21,2,TRUE),IF(AND(AL422&gt;=73,AL422&lt;=78),VLOOKUP(I422,'COP Look Up'!$I$13:$J$21,2,TRUE),IF(AND(AL422&gt;=79),VLOOKUP(I422,'COP Look Up'!$M$13:$N$20,2,TRUE),"")))))</f>
        <v/>
      </c>
      <c r="K422" s="122"/>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c r="AH422" s="123"/>
      <c r="AL422" s="143" t="str">
        <f t="shared" si="14"/>
        <v/>
      </c>
    </row>
    <row r="423" spans="1:38" s="108" customFormat="1" ht="15.75">
      <c r="A423" s="119"/>
      <c r="B423" s="120"/>
      <c r="C423" s="111"/>
      <c r="D423" s="111"/>
      <c r="E423" s="121"/>
      <c r="F423" s="121"/>
      <c r="G423" s="113"/>
      <c r="H423" s="113"/>
      <c r="I423" s="144" t="str">
        <f t="shared" si="13"/>
        <v/>
      </c>
      <c r="J423" s="141" t="str">
        <f>IF(I423="","",IF(AND(AL423&lt;=66),VLOOKUP(I423,'COP Look Up'!$A$13:$B$21,2,TRUE),IF(AND(AL423&gt;=67,AL423&lt;=72),VLOOKUP(I423,'COP Look Up'!$E$13:$F$21,2,TRUE),IF(AND(AL423&gt;=73,AL423&lt;=78),VLOOKUP(I423,'COP Look Up'!$I$13:$J$21,2,TRUE),IF(AND(AL423&gt;=79),VLOOKUP(I423,'COP Look Up'!$M$13:$N$20,2,TRUE),"")))))</f>
        <v/>
      </c>
      <c r="K423" s="122"/>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c r="AH423" s="123"/>
      <c r="AL423" s="143" t="str">
        <f t="shared" si="14"/>
        <v/>
      </c>
    </row>
    <row r="424" spans="1:38" s="108" customFormat="1" ht="15.75">
      <c r="A424" s="119"/>
      <c r="B424" s="120"/>
      <c r="C424" s="111"/>
      <c r="D424" s="111"/>
      <c r="E424" s="121"/>
      <c r="F424" s="121"/>
      <c r="G424" s="113"/>
      <c r="H424" s="113"/>
      <c r="I424" s="144" t="str">
        <f t="shared" si="13"/>
        <v/>
      </c>
      <c r="J424" s="141" t="str">
        <f>IF(I424="","",IF(AND(AL424&lt;=66),VLOOKUP(I424,'COP Look Up'!$A$13:$B$21,2,TRUE),IF(AND(AL424&gt;=67,AL424&lt;=72),VLOOKUP(I424,'COP Look Up'!$E$13:$F$21,2,TRUE),IF(AND(AL424&gt;=73,AL424&lt;=78),VLOOKUP(I424,'COP Look Up'!$I$13:$J$21,2,TRUE),IF(AND(AL424&gt;=79),VLOOKUP(I424,'COP Look Up'!$M$13:$N$20,2,TRUE),"")))))</f>
        <v/>
      </c>
      <c r="K424" s="122"/>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c r="AH424" s="123"/>
      <c r="AL424" s="143" t="str">
        <f t="shared" si="14"/>
        <v/>
      </c>
    </row>
    <row r="425" spans="1:38" s="108" customFormat="1" ht="15.75">
      <c r="A425" s="119"/>
      <c r="B425" s="120"/>
      <c r="C425" s="111"/>
      <c r="D425" s="111"/>
      <c r="E425" s="121"/>
      <c r="F425" s="121"/>
      <c r="G425" s="113"/>
      <c r="H425" s="113"/>
      <c r="I425" s="144" t="str">
        <f t="shared" si="13"/>
        <v/>
      </c>
      <c r="J425" s="141" t="str">
        <f>IF(I425="","",IF(AND(AL425&lt;=66),VLOOKUP(I425,'COP Look Up'!$A$13:$B$21,2,TRUE),IF(AND(AL425&gt;=67,AL425&lt;=72),VLOOKUP(I425,'COP Look Up'!$E$13:$F$21,2,TRUE),IF(AND(AL425&gt;=73,AL425&lt;=78),VLOOKUP(I425,'COP Look Up'!$I$13:$J$21,2,TRUE),IF(AND(AL425&gt;=79),VLOOKUP(I425,'COP Look Up'!$M$13:$N$20,2,TRUE),"")))))</f>
        <v/>
      </c>
      <c r="K425" s="122"/>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c r="AH425" s="123"/>
      <c r="AL425" s="143" t="str">
        <f t="shared" si="14"/>
        <v/>
      </c>
    </row>
    <row r="426" spans="1:38" s="108" customFormat="1" ht="15.75">
      <c r="A426" s="119"/>
      <c r="B426" s="120"/>
      <c r="C426" s="111"/>
      <c r="D426" s="111"/>
      <c r="E426" s="121"/>
      <c r="F426" s="121"/>
      <c r="G426" s="113"/>
      <c r="H426" s="113"/>
      <c r="I426" s="144" t="str">
        <f t="shared" si="13"/>
        <v/>
      </c>
      <c r="J426" s="141" t="str">
        <f>IF(I426="","",IF(AND(AL426&lt;=66),VLOOKUP(I426,'COP Look Up'!$A$13:$B$21,2,TRUE),IF(AND(AL426&gt;=67,AL426&lt;=72),VLOOKUP(I426,'COP Look Up'!$E$13:$F$21,2,TRUE),IF(AND(AL426&gt;=73,AL426&lt;=78),VLOOKUP(I426,'COP Look Up'!$I$13:$J$21,2,TRUE),IF(AND(AL426&gt;=79),VLOOKUP(I426,'COP Look Up'!$M$13:$N$20,2,TRUE),"")))))</f>
        <v/>
      </c>
      <c r="K426" s="122"/>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c r="AH426" s="123"/>
      <c r="AL426" s="143" t="str">
        <f t="shared" si="14"/>
        <v/>
      </c>
    </row>
    <row r="427" spans="1:38" s="108" customFormat="1" ht="15.75">
      <c r="A427" s="119"/>
      <c r="B427" s="120"/>
      <c r="C427" s="111"/>
      <c r="D427" s="111"/>
      <c r="E427" s="121"/>
      <c r="F427" s="121"/>
      <c r="G427" s="113"/>
      <c r="H427" s="113"/>
      <c r="I427" s="144" t="str">
        <f t="shared" si="13"/>
        <v/>
      </c>
      <c r="J427" s="141" t="str">
        <f>IF(I427="","",IF(AND(AL427&lt;=66),VLOOKUP(I427,'COP Look Up'!$A$13:$B$21,2,TRUE),IF(AND(AL427&gt;=67,AL427&lt;=72),VLOOKUP(I427,'COP Look Up'!$E$13:$F$21,2,TRUE),IF(AND(AL427&gt;=73,AL427&lt;=78),VLOOKUP(I427,'COP Look Up'!$I$13:$J$21,2,TRUE),IF(AND(AL427&gt;=79),VLOOKUP(I427,'COP Look Up'!$M$13:$N$20,2,TRUE),"")))))</f>
        <v/>
      </c>
      <c r="K427" s="122"/>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c r="AH427" s="123"/>
      <c r="AL427" s="143" t="str">
        <f t="shared" si="14"/>
        <v/>
      </c>
    </row>
    <row r="428" spans="1:38" s="108" customFormat="1" ht="15.75">
      <c r="A428" s="119"/>
      <c r="B428" s="120"/>
      <c r="C428" s="111"/>
      <c r="D428" s="111"/>
      <c r="E428" s="121"/>
      <c r="F428" s="121"/>
      <c r="G428" s="113"/>
      <c r="H428" s="113"/>
      <c r="I428" s="144" t="str">
        <f t="shared" si="13"/>
        <v/>
      </c>
      <c r="J428" s="141" t="str">
        <f>IF(I428="","",IF(AND(AL428&lt;=66),VLOOKUP(I428,'COP Look Up'!$A$13:$B$21,2,TRUE),IF(AND(AL428&gt;=67,AL428&lt;=72),VLOOKUP(I428,'COP Look Up'!$E$13:$F$21,2,TRUE),IF(AND(AL428&gt;=73,AL428&lt;=78),VLOOKUP(I428,'COP Look Up'!$I$13:$J$21,2,TRUE),IF(AND(AL428&gt;=79),VLOOKUP(I428,'COP Look Up'!$M$13:$N$20,2,TRUE),"")))))</f>
        <v/>
      </c>
      <c r="K428" s="122"/>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c r="AH428" s="123"/>
      <c r="AL428" s="143" t="str">
        <f t="shared" si="14"/>
        <v/>
      </c>
    </row>
    <row r="429" spans="1:38" s="108" customFormat="1" ht="15.75">
      <c r="A429" s="119"/>
      <c r="B429" s="120"/>
      <c r="C429" s="111"/>
      <c r="D429" s="111"/>
      <c r="E429" s="121"/>
      <c r="F429" s="121"/>
      <c r="G429" s="113"/>
      <c r="H429" s="113"/>
      <c r="I429" s="144" t="str">
        <f t="shared" si="13"/>
        <v/>
      </c>
      <c r="J429" s="141" t="str">
        <f>IF(I429="","",IF(AND(AL429&lt;=66),VLOOKUP(I429,'COP Look Up'!$A$13:$B$21,2,TRUE),IF(AND(AL429&gt;=67,AL429&lt;=72),VLOOKUP(I429,'COP Look Up'!$E$13:$F$21,2,TRUE),IF(AND(AL429&gt;=73,AL429&lt;=78),VLOOKUP(I429,'COP Look Up'!$I$13:$J$21,2,TRUE),IF(AND(AL429&gt;=79),VLOOKUP(I429,'COP Look Up'!$M$13:$N$20,2,TRUE),"")))))</f>
        <v/>
      </c>
      <c r="K429" s="122"/>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c r="AH429" s="123"/>
      <c r="AL429" s="143" t="str">
        <f t="shared" si="14"/>
        <v/>
      </c>
    </row>
    <row r="430" spans="1:38" s="108" customFormat="1" ht="15.75">
      <c r="A430" s="119"/>
      <c r="B430" s="120"/>
      <c r="C430" s="111"/>
      <c r="D430" s="111"/>
      <c r="E430" s="121"/>
      <c r="F430" s="121"/>
      <c r="G430" s="113"/>
      <c r="H430" s="113"/>
      <c r="I430" s="144" t="str">
        <f t="shared" si="13"/>
        <v/>
      </c>
      <c r="J430" s="141" t="str">
        <f>IF(I430="","",IF(AND(AL430&lt;=66),VLOOKUP(I430,'COP Look Up'!$A$13:$B$21,2,TRUE),IF(AND(AL430&gt;=67,AL430&lt;=72),VLOOKUP(I430,'COP Look Up'!$E$13:$F$21,2,TRUE),IF(AND(AL430&gt;=73,AL430&lt;=78),VLOOKUP(I430,'COP Look Up'!$I$13:$J$21,2,TRUE),IF(AND(AL430&gt;=79),VLOOKUP(I430,'COP Look Up'!$M$13:$N$20,2,TRUE),"")))))</f>
        <v/>
      </c>
      <c r="K430" s="122"/>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c r="AH430" s="123"/>
      <c r="AL430" s="143" t="str">
        <f t="shared" si="14"/>
        <v/>
      </c>
    </row>
    <row r="431" spans="1:38" s="108" customFormat="1" ht="15.75">
      <c r="A431" s="119"/>
      <c r="B431" s="120"/>
      <c r="C431" s="111"/>
      <c r="D431" s="111"/>
      <c r="E431" s="121"/>
      <c r="F431" s="121"/>
      <c r="G431" s="113"/>
      <c r="H431" s="113"/>
      <c r="I431" s="144" t="str">
        <f t="shared" si="13"/>
        <v/>
      </c>
      <c r="J431" s="141" t="str">
        <f>IF(I431="","",IF(AND(AL431&lt;=66),VLOOKUP(I431,'COP Look Up'!$A$13:$B$21,2,TRUE),IF(AND(AL431&gt;=67,AL431&lt;=72),VLOOKUP(I431,'COP Look Up'!$E$13:$F$21,2,TRUE),IF(AND(AL431&gt;=73,AL431&lt;=78),VLOOKUP(I431,'COP Look Up'!$I$13:$J$21,2,TRUE),IF(AND(AL431&gt;=79),VLOOKUP(I431,'COP Look Up'!$M$13:$N$20,2,TRUE),"")))))</f>
        <v/>
      </c>
      <c r="K431" s="122"/>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c r="AH431" s="123"/>
      <c r="AL431" s="143" t="str">
        <f t="shared" si="14"/>
        <v/>
      </c>
    </row>
    <row r="432" spans="1:38" s="108" customFormat="1" ht="15.75">
      <c r="A432" s="119"/>
      <c r="B432" s="120"/>
      <c r="C432" s="111"/>
      <c r="D432" s="111"/>
      <c r="E432" s="121"/>
      <c r="F432" s="121"/>
      <c r="G432" s="113"/>
      <c r="H432" s="113"/>
      <c r="I432" s="144" t="str">
        <f t="shared" si="13"/>
        <v/>
      </c>
      <c r="J432" s="141" t="str">
        <f>IF(I432="","",IF(AND(AL432&lt;=66),VLOOKUP(I432,'COP Look Up'!$A$13:$B$21,2,TRUE),IF(AND(AL432&gt;=67,AL432&lt;=72),VLOOKUP(I432,'COP Look Up'!$E$13:$F$21,2,TRUE),IF(AND(AL432&gt;=73,AL432&lt;=78),VLOOKUP(I432,'COP Look Up'!$I$13:$J$21,2,TRUE),IF(AND(AL432&gt;=79),VLOOKUP(I432,'COP Look Up'!$M$13:$N$20,2,TRUE),"")))))</f>
        <v/>
      </c>
      <c r="K432" s="122"/>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c r="AH432" s="123"/>
      <c r="AL432" s="143" t="str">
        <f t="shared" si="14"/>
        <v/>
      </c>
    </row>
    <row r="433" spans="1:38" s="108" customFormat="1" ht="15.75">
      <c r="A433" s="119"/>
      <c r="B433" s="120"/>
      <c r="C433" s="111"/>
      <c r="D433" s="111"/>
      <c r="E433" s="121"/>
      <c r="F433" s="121"/>
      <c r="G433" s="113"/>
      <c r="H433" s="113"/>
      <c r="I433" s="144" t="str">
        <f t="shared" si="13"/>
        <v/>
      </c>
      <c r="J433" s="141" t="str">
        <f>IF(I433="","",IF(AND(AL433&lt;=66),VLOOKUP(I433,'COP Look Up'!$A$13:$B$21,2,TRUE),IF(AND(AL433&gt;=67,AL433&lt;=72),VLOOKUP(I433,'COP Look Up'!$E$13:$F$21,2,TRUE),IF(AND(AL433&gt;=73,AL433&lt;=78),VLOOKUP(I433,'COP Look Up'!$I$13:$J$21,2,TRUE),IF(AND(AL433&gt;=79),VLOOKUP(I433,'COP Look Up'!$M$13:$N$20,2,TRUE),"")))))</f>
        <v/>
      </c>
      <c r="K433" s="122"/>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c r="AH433" s="123"/>
      <c r="AL433" s="143" t="str">
        <f t="shared" si="14"/>
        <v/>
      </c>
    </row>
    <row r="434" spans="1:38" s="108" customFormat="1" ht="15.75">
      <c r="A434" s="119"/>
      <c r="B434" s="120"/>
      <c r="C434" s="111"/>
      <c r="D434" s="111"/>
      <c r="E434" s="121"/>
      <c r="F434" s="121"/>
      <c r="G434" s="113"/>
      <c r="H434" s="113"/>
      <c r="I434" s="144" t="str">
        <f t="shared" si="13"/>
        <v/>
      </c>
      <c r="J434" s="141" t="str">
        <f>IF(I434="","",IF(AND(AL434&lt;=66),VLOOKUP(I434,'COP Look Up'!$A$13:$B$21,2,TRUE),IF(AND(AL434&gt;=67,AL434&lt;=72),VLOOKUP(I434,'COP Look Up'!$E$13:$F$21,2,TRUE),IF(AND(AL434&gt;=73,AL434&lt;=78),VLOOKUP(I434,'COP Look Up'!$I$13:$J$21,2,TRUE),IF(AND(AL434&gt;=79),VLOOKUP(I434,'COP Look Up'!$M$13:$N$20,2,TRUE),"")))))</f>
        <v/>
      </c>
      <c r="K434" s="122"/>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c r="AH434" s="123"/>
      <c r="AL434" s="143" t="str">
        <f t="shared" si="14"/>
        <v/>
      </c>
    </row>
    <row r="435" spans="1:38" s="108" customFormat="1" ht="15.75">
      <c r="A435" s="119"/>
      <c r="B435" s="120"/>
      <c r="C435" s="111"/>
      <c r="D435" s="111"/>
      <c r="E435" s="121"/>
      <c r="F435" s="121"/>
      <c r="G435" s="113"/>
      <c r="H435" s="113"/>
      <c r="I435" s="144" t="str">
        <f t="shared" si="13"/>
        <v/>
      </c>
      <c r="J435" s="141" t="str">
        <f>IF(I435="","",IF(AND(AL435&lt;=66),VLOOKUP(I435,'COP Look Up'!$A$13:$B$21,2,TRUE),IF(AND(AL435&gt;=67,AL435&lt;=72),VLOOKUP(I435,'COP Look Up'!$E$13:$F$21,2,TRUE),IF(AND(AL435&gt;=73,AL435&lt;=78),VLOOKUP(I435,'COP Look Up'!$I$13:$J$21,2,TRUE),IF(AND(AL435&gt;=79),VLOOKUP(I435,'COP Look Up'!$M$13:$N$20,2,TRUE),"")))))</f>
        <v/>
      </c>
      <c r="K435" s="122"/>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c r="AH435" s="123"/>
      <c r="AL435" s="143" t="str">
        <f t="shared" si="14"/>
        <v/>
      </c>
    </row>
    <row r="436" spans="1:38" s="108" customFormat="1" ht="15.75">
      <c r="A436" s="119"/>
      <c r="B436" s="120"/>
      <c r="C436" s="111"/>
      <c r="D436" s="111"/>
      <c r="E436" s="121"/>
      <c r="F436" s="121"/>
      <c r="G436" s="113"/>
      <c r="H436" s="113"/>
      <c r="I436" s="144" t="str">
        <f t="shared" si="13"/>
        <v/>
      </c>
      <c r="J436" s="141" t="str">
        <f>IF(I436="","",IF(AND(AL436&lt;=66),VLOOKUP(I436,'COP Look Up'!$A$13:$B$21,2,TRUE),IF(AND(AL436&gt;=67,AL436&lt;=72),VLOOKUP(I436,'COP Look Up'!$E$13:$F$21,2,TRUE),IF(AND(AL436&gt;=73,AL436&lt;=78),VLOOKUP(I436,'COP Look Up'!$I$13:$J$21,2,TRUE),IF(AND(AL436&gt;=79),VLOOKUP(I436,'COP Look Up'!$M$13:$N$20,2,TRUE),"")))))</f>
        <v/>
      </c>
      <c r="K436" s="122"/>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c r="AH436" s="123"/>
      <c r="AL436" s="143" t="str">
        <f t="shared" si="14"/>
        <v/>
      </c>
    </row>
    <row r="437" spans="1:38" s="108" customFormat="1" ht="15.75">
      <c r="A437" s="119"/>
      <c r="B437" s="120"/>
      <c r="C437" s="111"/>
      <c r="D437" s="111"/>
      <c r="E437" s="121"/>
      <c r="F437" s="121"/>
      <c r="G437" s="113"/>
      <c r="H437" s="113"/>
      <c r="I437" s="144" t="str">
        <f t="shared" si="13"/>
        <v/>
      </c>
      <c r="J437" s="141" t="str">
        <f>IF(I437="","",IF(AND(AL437&lt;=66),VLOOKUP(I437,'COP Look Up'!$A$13:$B$21,2,TRUE),IF(AND(AL437&gt;=67,AL437&lt;=72),VLOOKUP(I437,'COP Look Up'!$E$13:$F$21,2,TRUE),IF(AND(AL437&gt;=73,AL437&lt;=78),VLOOKUP(I437,'COP Look Up'!$I$13:$J$21,2,TRUE),IF(AND(AL437&gt;=79),VLOOKUP(I437,'COP Look Up'!$M$13:$N$20,2,TRUE),"")))))</f>
        <v/>
      </c>
      <c r="K437" s="122"/>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c r="AH437" s="123"/>
      <c r="AL437" s="143" t="str">
        <f t="shared" si="14"/>
        <v/>
      </c>
    </row>
    <row r="438" spans="1:38" s="108" customFormat="1" ht="15.75">
      <c r="A438" s="119"/>
      <c r="B438" s="120"/>
      <c r="C438" s="111"/>
      <c r="D438" s="111"/>
      <c r="E438" s="121"/>
      <c r="F438" s="121"/>
      <c r="G438" s="113"/>
      <c r="H438" s="113"/>
      <c r="I438" s="144" t="str">
        <f t="shared" si="13"/>
        <v/>
      </c>
      <c r="J438" s="141" t="str">
        <f>IF(I438="","",IF(AND(AL438&lt;=66),VLOOKUP(I438,'COP Look Up'!$A$13:$B$21,2,TRUE),IF(AND(AL438&gt;=67,AL438&lt;=72),VLOOKUP(I438,'COP Look Up'!$E$13:$F$21,2,TRUE),IF(AND(AL438&gt;=73,AL438&lt;=78),VLOOKUP(I438,'COP Look Up'!$I$13:$J$21,2,TRUE),IF(AND(AL438&gt;=79),VLOOKUP(I438,'COP Look Up'!$M$13:$N$20,2,TRUE),"")))))</f>
        <v/>
      </c>
      <c r="K438" s="122"/>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c r="AH438" s="123"/>
      <c r="AL438" s="143" t="str">
        <f t="shared" si="14"/>
        <v/>
      </c>
    </row>
    <row r="439" spans="1:38" s="108" customFormat="1" ht="15.75">
      <c r="A439" s="119"/>
      <c r="B439" s="120"/>
      <c r="C439" s="111"/>
      <c r="D439" s="111"/>
      <c r="E439" s="121"/>
      <c r="F439" s="121"/>
      <c r="G439" s="113"/>
      <c r="H439" s="113"/>
      <c r="I439" s="144" t="str">
        <f t="shared" si="13"/>
        <v/>
      </c>
      <c r="J439" s="141" t="str">
        <f>IF(I439="","",IF(AND(AL439&lt;=66),VLOOKUP(I439,'COP Look Up'!$A$13:$B$21,2,TRUE),IF(AND(AL439&gt;=67,AL439&lt;=72),VLOOKUP(I439,'COP Look Up'!$E$13:$F$21,2,TRUE),IF(AND(AL439&gt;=73,AL439&lt;=78),VLOOKUP(I439,'COP Look Up'!$I$13:$J$21,2,TRUE),IF(AND(AL439&gt;=79),VLOOKUP(I439,'COP Look Up'!$M$13:$N$20,2,TRUE),"")))))</f>
        <v/>
      </c>
      <c r="K439" s="122"/>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c r="AH439" s="123"/>
      <c r="AL439" s="143" t="str">
        <f t="shared" si="14"/>
        <v/>
      </c>
    </row>
    <row r="440" spans="1:38" s="108" customFormat="1" ht="15.75">
      <c r="A440" s="119"/>
      <c r="B440" s="120"/>
      <c r="C440" s="111"/>
      <c r="D440" s="111"/>
      <c r="E440" s="121"/>
      <c r="F440" s="121"/>
      <c r="G440" s="113"/>
      <c r="H440" s="113"/>
      <c r="I440" s="144" t="str">
        <f t="shared" si="13"/>
        <v/>
      </c>
      <c r="J440" s="141" t="str">
        <f>IF(I440="","",IF(AND(AL440&lt;=66),VLOOKUP(I440,'COP Look Up'!$A$13:$B$21,2,TRUE),IF(AND(AL440&gt;=67,AL440&lt;=72),VLOOKUP(I440,'COP Look Up'!$E$13:$F$21,2,TRUE),IF(AND(AL440&gt;=73,AL440&lt;=78),VLOOKUP(I440,'COP Look Up'!$I$13:$J$21,2,TRUE),IF(AND(AL440&gt;=79),VLOOKUP(I440,'COP Look Up'!$M$13:$N$20,2,TRUE),"")))))</f>
        <v/>
      </c>
      <c r="K440" s="122"/>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c r="AH440" s="123"/>
      <c r="AL440" s="143" t="str">
        <f t="shared" si="14"/>
        <v/>
      </c>
    </row>
    <row r="441" spans="1:38" s="108" customFormat="1" ht="15.75">
      <c r="A441" s="119"/>
      <c r="B441" s="120"/>
      <c r="C441" s="111"/>
      <c r="D441" s="111"/>
      <c r="E441" s="121"/>
      <c r="F441" s="121"/>
      <c r="G441" s="113"/>
      <c r="H441" s="113"/>
      <c r="I441" s="144" t="str">
        <f t="shared" si="13"/>
        <v/>
      </c>
      <c r="J441" s="141" t="str">
        <f>IF(I441="","",IF(AND(AL441&lt;=66),VLOOKUP(I441,'COP Look Up'!$A$13:$B$21,2,TRUE),IF(AND(AL441&gt;=67,AL441&lt;=72),VLOOKUP(I441,'COP Look Up'!$E$13:$F$21,2,TRUE),IF(AND(AL441&gt;=73,AL441&lt;=78),VLOOKUP(I441,'COP Look Up'!$I$13:$J$21,2,TRUE),IF(AND(AL441&gt;=79),VLOOKUP(I441,'COP Look Up'!$M$13:$N$20,2,TRUE),"")))))</f>
        <v/>
      </c>
      <c r="K441" s="122"/>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c r="AH441" s="123"/>
      <c r="AL441" s="143" t="str">
        <f t="shared" si="14"/>
        <v/>
      </c>
    </row>
    <row r="442" spans="1:38" s="108" customFormat="1" ht="15.75">
      <c r="A442" s="119"/>
      <c r="B442" s="120"/>
      <c r="C442" s="111"/>
      <c r="D442" s="111"/>
      <c r="E442" s="121"/>
      <c r="F442" s="121"/>
      <c r="G442" s="113"/>
      <c r="H442" s="113"/>
      <c r="I442" s="144" t="str">
        <f t="shared" si="13"/>
        <v/>
      </c>
      <c r="J442" s="141" t="str">
        <f>IF(I442="","",IF(AND(AL442&lt;=66),VLOOKUP(I442,'COP Look Up'!$A$13:$B$21,2,TRUE),IF(AND(AL442&gt;=67,AL442&lt;=72),VLOOKUP(I442,'COP Look Up'!$E$13:$F$21,2,TRUE),IF(AND(AL442&gt;=73,AL442&lt;=78),VLOOKUP(I442,'COP Look Up'!$I$13:$J$21,2,TRUE),IF(AND(AL442&gt;=79),VLOOKUP(I442,'COP Look Up'!$M$13:$N$20,2,TRUE),"")))))</f>
        <v/>
      </c>
      <c r="K442" s="122"/>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23"/>
      <c r="AL442" s="143" t="str">
        <f t="shared" si="14"/>
        <v/>
      </c>
    </row>
    <row r="443" spans="1:38" s="108" customFormat="1" ht="15.75">
      <c r="A443" s="119"/>
      <c r="B443" s="120"/>
      <c r="C443" s="111"/>
      <c r="D443" s="111"/>
      <c r="E443" s="121"/>
      <c r="F443" s="121"/>
      <c r="G443" s="113"/>
      <c r="H443" s="113"/>
      <c r="I443" s="144" t="str">
        <f t="shared" si="13"/>
        <v/>
      </c>
      <c r="J443" s="141" t="str">
        <f>IF(I443="","",IF(AND(AL443&lt;=66),VLOOKUP(I443,'COP Look Up'!$A$13:$B$21,2,TRUE),IF(AND(AL443&gt;=67,AL443&lt;=72),VLOOKUP(I443,'COP Look Up'!$E$13:$F$21,2,TRUE),IF(AND(AL443&gt;=73,AL443&lt;=78),VLOOKUP(I443,'COP Look Up'!$I$13:$J$21,2,TRUE),IF(AND(AL443&gt;=79),VLOOKUP(I443,'COP Look Up'!$M$13:$N$20,2,TRUE),"")))))</f>
        <v/>
      </c>
      <c r="K443" s="122"/>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23"/>
      <c r="AL443" s="143" t="str">
        <f t="shared" si="14"/>
        <v/>
      </c>
    </row>
    <row r="444" spans="1:38" s="108" customFormat="1" ht="15.75">
      <c r="A444" s="119"/>
      <c r="B444" s="120"/>
      <c r="C444" s="111"/>
      <c r="D444" s="111"/>
      <c r="E444" s="121"/>
      <c r="F444" s="121"/>
      <c r="G444" s="113"/>
      <c r="H444" s="113"/>
      <c r="I444" s="144" t="str">
        <f t="shared" si="13"/>
        <v/>
      </c>
      <c r="J444" s="141" t="str">
        <f>IF(I444="","",IF(AND(AL444&lt;=66),VLOOKUP(I444,'COP Look Up'!$A$13:$B$21,2,TRUE),IF(AND(AL444&gt;=67,AL444&lt;=72),VLOOKUP(I444,'COP Look Up'!$E$13:$F$21,2,TRUE),IF(AND(AL444&gt;=73,AL444&lt;=78),VLOOKUP(I444,'COP Look Up'!$I$13:$J$21,2,TRUE),IF(AND(AL444&gt;=79),VLOOKUP(I444,'COP Look Up'!$M$13:$N$20,2,TRUE),"")))))</f>
        <v/>
      </c>
      <c r="K444" s="122"/>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23"/>
      <c r="AL444" s="143" t="str">
        <f t="shared" si="14"/>
        <v/>
      </c>
    </row>
    <row r="445" spans="1:38" s="108" customFormat="1" ht="15.75">
      <c r="A445" s="119"/>
      <c r="B445" s="120"/>
      <c r="C445" s="111"/>
      <c r="D445" s="111"/>
      <c r="E445" s="121"/>
      <c r="F445" s="121"/>
      <c r="G445" s="113"/>
      <c r="H445" s="113"/>
      <c r="I445" s="144" t="str">
        <f t="shared" si="13"/>
        <v/>
      </c>
      <c r="J445" s="141" t="str">
        <f>IF(I445="","",IF(AND(AL445&lt;=66),VLOOKUP(I445,'COP Look Up'!$A$13:$B$21,2,TRUE),IF(AND(AL445&gt;=67,AL445&lt;=72),VLOOKUP(I445,'COP Look Up'!$E$13:$F$21,2,TRUE),IF(AND(AL445&gt;=73,AL445&lt;=78),VLOOKUP(I445,'COP Look Up'!$I$13:$J$21,2,TRUE),IF(AND(AL445&gt;=79),VLOOKUP(I445,'COP Look Up'!$M$13:$N$20,2,TRUE),"")))))</f>
        <v/>
      </c>
      <c r="K445" s="122"/>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c r="AH445" s="123"/>
      <c r="AL445" s="143" t="str">
        <f t="shared" si="14"/>
        <v/>
      </c>
    </row>
    <row r="446" spans="1:38" s="108" customFormat="1" ht="15.75">
      <c r="A446" s="119"/>
      <c r="B446" s="120"/>
      <c r="C446" s="111"/>
      <c r="D446" s="111"/>
      <c r="E446" s="121"/>
      <c r="F446" s="121"/>
      <c r="G446" s="113"/>
      <c r="H446" s="113"/>
      <c r="I446" s="144" t="str">
        <f t="shared" si="13"/>
        <v/>
      </c>
      <c r="J446" s="141" t="str">
        <f>IF(I446="","",IF(AND(AL446&lt;=66),VLOOKUP(I446,'COP Look Up'!$A$13:$B$21,2,TRUE),IF(AND(AL446&gt;=67,AL446&lt;=72),VLOOKUP(I446,'COP Look Up'!$E$13:$F$21,2,TRUE),IF(AND(AL446&gt;=73,AL446&lt;=78),VLOOKUP(I446,'COP Look Up'!$I$13:$J$21,2,TRUE),IF(AND(AL446&gt;=79),VLOOKUP(I446,'COP Look Up'!$M$13:$N$20,2,TRUE),"")))))</f>
        <v/>
      </c>
      <c r="K446" s="122"/>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23"/>
      <c r="AL446" s="143" t="str">
        <f t="shared" si="14"/>
        <v/>
      </c>
    </row>
    <row r="447" spans="1:38" s="108" customFormat="1" ht="15.75">
      <c r="A447" s="119"/>
      <c r="B447" s="120"/>
      <c r="C447" s="111"/>
      <c r="D447" s="111"/>
      <c r="E447" s="121"/>
      <c r="F447" s="121"/>
      <c r="G447" s="113"/>
      <c r="H447" s="113"/>
      <c r="I447" s="144" t="str">
        <f t="shared" si="13"/>
        <v/>
      </c>
      <c r="J447" s="141" t="str">
        <f>IF(I447="","",IF(AND(AL447&lt;=66),VLOOKUP(I447,'COP Look Up'!$A$13:$B$21,2,TRUE),IF(AND(AL447&gt;=67,AL447&lt;=72),VLOOKUP(I447,'COP Look Up'!$E$13:$F$21,2,TRUE),IF(AND(AL447&gt;=73,AL447&lt;=78),VLOOKUP(I447,'COP Look Up'!$I$13:$J$21,2,TRUE),IF(AND(AL447&gt;=79),VLOOKUP(I447,'COP Look Up'!$M$13:$N$20,2,TRUE),"")))))</f>
        <v/>
      </c>
      <c r="K447" s="122"/>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c r="AH447" s="123"/>
      <c r="AL447" s="143" t="str">
        <f t="shared" si="14"/>
        <v/>
      </c>
    </row>
    <row r="448" spans="1:38" s="108" customFormat="1" ht="15.75">
      <c r="A448" s="119"/>
      <c r="B448" s="120"/>
      <c r="C448" s="111"/>
      <c r="D448" s="111"/>
      <c r="E448" s="121"/>
      <c r="F448" s="121"/>
      <c r="G448" s="113"/>
      <c r="H448" s="113"/>
      <c r="I448" s="144" t="str">
        <f t="shared" si="13"/>
        <v/>
      </c>
      <c r="J448" s="141" t="str">
        <f>IF(I448="","",IF(AND(AL448&lt;=66),VLOOKUP(I448,'COP Look Up'!$A$13:$B$21,2,TRUE),IF(AND(AL448&gt;=67,AL448&lt;=72),VLOOKUP(I448,'COP Look Up'!$E$13:$F$21,2,TRUE),IF(AND(AL448&gt;=73,AL448&lt;=78),VLOOKUP(I448,'COP Look Up'!$I$13:$J$21,2,TRUE),IF(AND(AL448&gt;=79),VLOOKUP(I448,'COP Look Up'!$M$13:$N$20,2,TRUE),"")))))</f>
        <v/>
      </c>
      <c r="K448" s="122"/>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c r="AH448" s="123"/>
      <c r="AL448" s="143" t="str">
        <f t="shared" si="14"/>
        <v/>
      </c>
    </row>
    <row r="449" spans="1:38" s="108" customFormat="1" ht="15.75">
      <c r="A449" s="119"/>
      <c r="B449" s="120"/>
      <c r="C449" s="111"/>
      <c r="D449" s="111"/>
      <c r="E449" s="121"/>
      <c r="F449" s="121"/>
      <c r="G449" s="113"/>
      <c r="H449" s="113"/>
      <c r="I449" s="144" t="str">
        <f t="shared" si="13"/>
        <v/>
      </c>
      <c r="J449" s="141" t="str">
        <f>IF(I449="","",IF(AND(AL449&lt;=66),VLOOKUP(I449,'COP Look Up'!$A$13:$B$21,2,TRUE),IF(AND(AL449&gt;=67,AL449&lt;=72),VLOOKUP(I449,'COP Look Up'!$E$13:$F$21,2,TRUE),IF(AND(AL449&gt;=73,AL449&lt;=78),VLOOKUP(I449,'COP Look Up'!$I$13:$J$21,2,TRUE),IF(AND(AL449&gt;=79),VLOOKUP(I449,'COP Look Up'!$M$13:$N$20,2,TRUE),"")))))</f>
        <v/>
      </c>
      <c r="K449" s="122"/>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c r="AH449" s="123"/>
      <c r="AL449" s="143" t="str">
        <f t="shared" si="14"/>
        <v/>
      </c>
    </row>
    <row r="450" spans="1:38" s="108" customFormat="1" ht="15.75">
      <c r="A450" s="119"/>
      <c r="B450" s="120"/>
      <c r="C450" s="111"/>
      <c r="D450" s="111"/>
      <c r="E450" s="121"/>
      <c r="F450" s="121"/>
      <c r="G450" s="113"/>
      <c r="H450" s="113"/>
      <c r="I450" s="144" t="str">
        <f t="shared" si="13"/>
        <v/>
      </c>
      <c r="J450" s="141" t="str">
        <f>IF(I450="","",IF(AND(AL450&lt;=66),VLOOKUP(I450,'COP Look Up'!$A$13:$B$21,2,TRUE),IF(AND(AL450&gt;=67,AL450&lt;=72),VLOOKUP(I450,'COP Look Up'!$E$13:$F$21,2,TRUE),IF(AND(AL450&gt;=73,AL450&lt;=78),VLOOKUP(I450,'COP Look Up'!$I$13:$J$21,2,TRUE),IF(AND(AL450&gt;=79),VLOOKUP(I450,'COP Look Up'!$M$13:$N$20,2,TRUE),"")))))</f>
        <v/>
      </c>
      <c r="K450" s="122"/>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c r="AH450" s="123"/>
      <c r="AL450" s="143" t="str">
        <f t="shared" si="14"/>
        <v/>
      </c>
    </row>
    <row r="451" spans="1:38" s="108" customFormat="1" ht="15.75">
      <c r="A451" s="119"/>
      <c r="B451" s="120"/>
      <c r="C451" s="111"/>
      <c r="D451" s="111"/>
      <c r="E451" s="121"/>
      <c r="F451" s="121"/>
      <c r="G451" s="113"/>
      <c r="H451" s="113"/>
      <c r="I451" s="144" t="str">
        <f t="shared" si="13"/>
        <v/>
      </c>
      <c r="J451" s="141" t="str">
        <f>IF(I451="","",IF(AND(AL451&lt;=66),VLOOKUP(I451,'COP Look Up'!$A$13:$B$21,2,TRUE),IF(AND(AL451&gt;=67,AL451&lt;=72),VLOOKUP(I451,'COP Look Up'!$E$13:$F$21,2,TRUE),IF(AND(AL451&gt;=73,AL451&lt;=78),VLOOKUP(I451,'COP Look Up'!$I$13:$J$21,2,TRUE),IF(AND(AL451&gt;=79),VLOOKUP(I451,'COP Look Up'!$M$13:$N$20,2,TRUE),"")))))</f>
        <v/>
      </c>
      <c r="K451" s="122"/>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c r="AH451" s="123"/>
      <c r="AL451" s="143" t="str">
        <f t="shared" si="14"/>
        <v/>
      </c>
    </row>
    <row r="452" spans="1:38" s="108" customFormat="1" ht="15.75">
      <c r="A452" s="119"/>
      <c r="B452" s="120"/>
      <c r="C452" s="111"/>
      <c r="D452" s="111"/>
      <c r="E452" s="121"/>
      <c r="F452" s="121"/>
      <c r="G452" s="113"/>
      <c r="H452" s="113"/>
      <c r="I452" s="144" t="str">
        <f t="shared" si="13"/>
        <v/>
      </c>
      <c r="J452" s="141" t="str">
        <f>IF(I452="","",IF(AND(AL452&lt;=66),VLOOKUP(I452,'COP Look Up'!$A$13:$B$21,2,TRUE),IF(AND(AL452&gt;=67,AL452&lt;=72),VLOOKUP(I452,'COP Look Up'!$E$13:$F$21,2,TRUE),IF(AND(AL452&gt;=73,AL452&lt;=78),VLOOKUP(I452,'COP Look Up'!$I$13:$J$21,2,TRUE),IF(AND(AL452&gt;=79),VLOOKUP(I452,'COP Look Up'!$M$13:$N$20,2,TRUE),"")))))</f>
        <v/>
      </c>
      <c r="K452" s="122"/>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c r="AH452" s="123"/>
      <c r="AL452" s="143" t="str">
        <f t="shared" si="14"/>
        <v/>
      </c>
    </row>
    <row r="453" spans="1:38" s="108" customFormat="1" ht="15.75">
      <c r="A453" s="119"/>
      <c r="B453" s="120"/>
      <c r="C453" s="111"/>
      <c r="D453" s="111"/>
      <c r="E453" s="121"/>
      <c r="F453" s="121"/>
      <c r="G453" s="113"/>
      <c r="H453" s="113"/>
      <c r="I453" s="144" t="str">
        <f t="shared" si="13"/>
        <v/>
      </c>
      <c r="J453" s="141" t="str">
        <f>IF(I453="","",IF(AND(AL453&lt;=66),VLOOKUP(I453,'COP Look Up'!$A$13:$B$21,2,TRUE),IF(AND(AL453&gt;=67,AL453&lt;=72),VLOOKUP(I453,'COP Look Up'!$E$13:$F$21,2,TRUE),IF(AND(AL453&gt;=73,AL453&lt;=78),VLOOKUP(I453,'COP Look Up'!$I$13:$J$21,2,TRUE),IF(AND(AL453&gt;=79),VLOOKUP(I453,'COP Look Up'!$M$13:$N$20,2,TRUE),"")))))</f>
        <v/>
      </c>
      <c r="K453" s="122"/>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23"/>
      <c r="AL453" s="143" t="str">
        <f t="shared" si="14"/>
        <v/>
      </c>
    </row>
    <row r="454" spans="1:38" s="108" customFormat="1" ht="15.75">
      <c r="A454" s="119"/>
      <c r="B454" s="120"/>
      <c r="C454" s="111"/>
      <c r="D454" s="111"/>
      <c r="E454" s="121"/>
      <c r="F454" s="121"/>
      <c r="G454" s="113"/>
      <c r="H454" s="113"/>
      <c r="I454" s="144" t="str">
        <f t="shared" si="13"/>
        <v/>
      </c>
      <c r="J454" s="141" t="str">
        <f>IF(I454="","",IF(AND(AL454&lt;=66),VLOOKUP(I454,'COP Look Up'!$A$13:$B$21,2,TRUE),IF(AND(AL454&gt;=67,AL454&lt;=72),VLOOKUP(I454,'COP Look Up'!$E$13:$F$21,2,TRUE),IF(AND(AL454&gt;=73,AL454&lt;=78),VLOOKUP(I454,'COP Look Up'!$I$13:$J$21,2,TRUE),IF(AND(AL454&gt;=79),VLOOKUP(I454,'COP Look Up'!$M$13:$N$20,2,TRUE),"")))))</f>
        <v/>
      </c>
      <c r="K454" s="122"/>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23"/>
      <c r="AL454" s="143" t="str">
        <f t="shared" si="14"/>
        <v/>
      </c>
    </row>
    <row r="455" spans="1:38" s="108" customFormat="1" ht="15.75">
      <c r="A455" s="119"/>
      <c r="B455" s="120"/>
      <c r="C455" s="111"/>
      <c r="D455" s="111"/>
      <c r="E455" s="121"/>
      <c r="F455" s="121"/>
      <c r="G455" s="113"/>
      <c r="H455" s="113"/>
      <c r="I455" s="144" t="str">
        <f t="shared" si="13"/>
        <v/>
      </c>
      <c r="J455" s="141" t="str">
        <f>IF(I455="","",IF(AND(AL455&lt;=66),VLOOKUP(I455,'COP Look Up'!$A$13:$B$21,2,TRUE),IF(AND(AL455&gt;=67,AL455&lt;=72),VLOOKUP(I455,'COP Look Up'!$E$13:$F$21,2,TRUE),IF(AND(AL455&gt;=73,AL455&lt;=78),VLOOKUP(I455,'COP Look Up'!$I$13:$J$21,2,TRUE),IF(AND(AL455&gt;=79),VLOOKUP(I455,'COP Look Up'!$M$13:$N$20,2,TRUE),"")))))</f>
        <v/>
      </c>
      <c r="K455" s="122"/>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c r="AH455" s="123"/>
      <c r="AL455" s="143" t="str">
        <f t="shared" si="14"/>
        <v/>
      </c>
    </row>
    <row r="456" spans="1:38" s="108" customFormat="1" ht="15.75">
      <c r="A456" s="119"/>
      <c r="B456" s="120"/>
      <c r="C456" s="111"/>
      <c r="D456" s="111"/>
      <c r="E456" s="121"/>
      <c r="F456" s="121"/>
      <c r="G456" s="113"/>
      <c r="H456" s="113"/>
      <c r="I456" s="144" t="str">
        <f t="shared" si="13"/>
        <v/>
      </c>
      <c r="J456" s="141" t="str">
        <f>IF(I456="","",IF(AND(AL456&lt;=66),VLOOKUP(I456,'COP Look Up'!$A$13:$B$21,2,TRUE),IF(AND(AL456&gt;=67,AL456&lt;=72),VLOOKUP(I456,'COP Look Up'!$E$13:$F$21,2,TRUE),IF(AND(AL456&gt;=73,AL456&lt;=78),VLOOKUP(I456,'COP Look Up'!$I$13:$J$21,2,TRUE),IF(AND(AL456&gt;=79),VLOOKUP(I456,'COP Look Up'!$M$13:$N$20,2,TRUE),"")))))</f>
        <v/>
      </c>
      <c r="K456" s="122"/>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c r="AH456" s="123"/>
      <c r="AL456" s="143" t="str">
        <f t="shared" si="14"/>
        <v/>
      </c>
    </row>
    <row r="457" spans="1:38" s="108" customFormat="1" ht="15.75">
      <c r="A457" s="119"/>
      <c r="B457" s="120"/>
      <c r="C457" s="111"/>
      <c r="D457" s="111"/>
      <c r="E457" s="121"/>
      <c r="F457" s="121"/>
      <c r="G457" s="113"/>
      <c r="H457" s="113"/>
      <c r="I457" s="144" t="str">
        <f t="shared" ref="I457:I500" si="15">IF(E457="","",COUNTIF(K457:AH457,"y"))</f>
        <v/>
      </c>
      <c r="J457" s="141" t="str">
        <f>IF(I457="","",IF(AND(AL457&lt;=66),VLOOKUP(I457,'COP Look Up'!$A$13:$B$21,2,TRUE),IF(AND(AL457&gt;=67,AL457&lt;=72),VLOOKUP(I457,'COP Look Up'!$E$13:$F$21,2,TRUE),IF(AND(AL457&gt;=73,AL457&lt;=78),VLOOKUP(I457,'COP Look Up'!$I$13:$J$21,2,TRUE),IF(AND(AL457&gt;=79),VLOOKUP(I457,'COP Look Up'!$M$13:$N$20,2,TRUE),"")))))</f>
        <v/>
      </c>
      <c r="K457" s="122"/>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c r="AH457" s="123"/>
      <c r="AL457" s="143" t="str">
        <f t="shared" ref="AL457:AL500" si="16">IF(E457="","",DATEDIF(B457,A457,"m"))</f>
        <v/>
      </c>
    </row>
    <row r="458" spans="1:38" s="108" customFormat="1" ht="15.75">
      <c r="A458" s="119"/>
      <c r="B458" s="120"/>
      <c r="C458" s="111"/>
      <c r="D458" s="111"/>
      <c r="E458" s="121"/>
      <c r="F458" s="121"/>
      <c r="G458" s="113"/>
      <c r="H458" s="113"/>
      <c r="I458" s="144" t="str">
        <f t="shared" si="15"/>
        <v/>
      </c>
      <c r="J458" s="141" t="str">
        <f>IF(I458="","",IF(AND(AL458&lt;=66),VLOOKUP(I458,'COP Look Up'!$A$13:$B$21,2,TRUE),IF(AND(AL458&gt;=67,AL458&lt;=72),VLOOKUP(I458,'COP Look Up'!$E$13:$F$21,2,TRUE),IF(AND(AL458&gt;=73,AL458&lt;=78),VLOOKUP(I458,'COP Look Up'!$I$13:$J$21,2,TRUE),IF(AND(AL458&gt;=79),VLOOKUP(I458,'COP Look Up'!$M$13:$N$20,2,TRUE),"")))))</f>
        <v/>
      </c>
      <c r="K458" s="122"/>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c r="AH458" s="123"/>
      <c r="AL458" s="143" t="str">
        <f t="shared" si="16"/>
        <v/>
      </c>
    </row>
    <row r="459" spans="1:38" s="108" customFormat="1" ht="15.75">
      <c r="A459" s="119"/>
      <c r="B459" s="120"/>
      <c r="C459" s="111"/>
      <c r="D459" s="111"/>
      <c r="E459" s="121"/>
      <c r="F459" s="121"/>
      <c r="G459" s="113"/>
      <c r="H459" s="113"/>
      <c r="I459" s="144" t="str">
        <f t="shared" si="15"/>
        <v/>
      </c>
      <c r="J459" s="141" t="str">
        <f>IF(I459="","",IF(AND(AL459&lt;=66),VLOOKUP(I459,'COP Look Up'!$A$13:$B$21,2,TRUE),IF(AND(AL459&gt;=67,AL459&lt;=72),VLOOKUP(I459,'COP Look Up'!$E$13:$F$21,2,TRUE),IF(AND(AL459&gt;=73,AL459&lt;=78),VLOOKUP(I459,'COP Look Up'!$I$13:$J$21,2,TRUE),IF(AND(AL459&gt;=79),VLOOKUP(I459,'COP Look Up'!$M$13:$N$20,2,TRUE),"")))))</f>
        <v/>
      </c>
      <c r="K459" s="122"/>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c r="AH459" s="123"/>
      <c r="AL459" s="143" t="str">
        <f t="shared" si="16"/>
        <v/>
      </c>
    </row>
    <row r="460" spans="1:38" s="108" customFormat="1" ht="15.75">
      <c r="A460" s="119"/>
      <c r="B460" s="120"/>
      <c r="C460" s="111"/>
      <c r="D460" s="111"/>
      <c r="E460" s="121"/>
      <c r="F460" s="121"/>
      <c r="G460" s="113"/>
      <c r="H460" s="113"/>
      <c r="I460" s="144" t="str">
        <f t="shared" si="15"/>
        <v/>
      </c>
      <c r="J460" s="141" t="str">
        <f>IF(I460="","",IF(AND(AL460&lt;=66),VLOOKUP(I460,'COP Look Up'!$A$13:$B$21,2,TRUE),IF(AND(AL460&gt;=67,AL460&lt;=72),VLOOKUP(I460,'COP Look Up'!$E$13:$F$21,2,TRUE),IF(AND(AL460&gt;=73,AL460&lt;=78),VLOOKUP(I460,'COP Look Up'!$I$13:$J$21,2,TRUE),IF(AND(AL460&gt;=79),VLOOKUP(I460,'COP Look Up'!$M$13:$N$20,2,TRUE),"")))))</f>
        <v/>
      </c>
      <c r="K460" s="122"/>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c r="AH460" s="123"/>
      <c r="AL460" s="143" t="str">
        <f t="shared" si="16"/>
        <v/>
      </c>
    </row>
    <row r="461" spans="1:38" s="108" customFormat="1" ht="15.75">
      <c r="A461" s="119"/>
      <c r="B461" s="120"/>
      <c r="C461" s="111"/>
      <c r="D461" s="111"/>
      <c r="E461" s="121"/>
      <c r="F461" s="121"/>
      <c r="G461" s="113"/>
      <c r="H461" s="113"/>
      <c r="I461" s="144" t="str">
        <f t="shared" si="15"/>
        <v/>
      </c>
      <c r="J461" s="141" t="str">
        <f>IF(I461="","",IF(AND(AL461&lt;=66),VLOOKUP(I461,'COP Look Up'!$A$13:$B$21,2,TRUE),IF(AND(AL461&gt;=67,AL461&lt;=72),VLOOKUP(I461,'COP Look Up'!$E$13:$F$21,2,TRUE),IF(AND(AL461&gt;=73,AL461&lt;=78),VLOOKUP(I461,'COP Look Up'!$I$13:$J$21,2,TRUE),IF(AND(AL461&gt;=79),VLOOKUP(I461,'COP Look Up'!$M$13:$N$20,2,TRUE),"")))))</f>
        <v/>
      </c>
      <c r="K461" s="122"/>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c r="AH461" s="123"/>
      <c r="AL461" s="143" t="str">
        <f t="shared" si="16"/>
        <v/>
      </c>
    </row>
    <row r="462" spans="1:38" s="108" customFormat="1" ht="15.75">
      <c r="A462" s="119"/>
      <c r="B462" s="120"/>
      <c r="C462" s="111"/>
      <c r="D462" s="111"/>
      <c r="E462" s="121"/>
      <c r="F462" s="121"/>
      <c r="G462" s="113"/>
      <c r="H462" s="113"/>
      <c r="I462" s="144" t="str">
        <f t="shared" si="15"/>
        <v/>
      </c>
      <c r="J462" s="141" t="str">
        <f>IF(I462="","",IF(AND(AL462&lt;=66),VLOOKUP(I462,'COP Look Up'!$A$13:$B$21,2,TRUE),IF(AND(AL462&gt;=67,AL462&lt;=72),VLOOKUP(I462,'COP Look Up'!$E$13:$F$21,2,TRUE),IF(AND(AL462&gt;=73,AL462&lt;=78),VLOOKUP(I462,'COP Look Up'!$I$13:$J$21,2,TRUE),IF(AND(AL462&gt;=79),VLOOKUP(I462,'COP Look Up'!$M$13:$N$20,2,TRUE),"")))))</f>
        <v/>
      </c>
      <c r="K462" s="122"/>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c r="AH462" s="123"/>
      <c r="AL462" s="143" t="str">
        <f t="shared" si="16"/>
        <v/>
      </c>
    </row>
    <row r="463" spans="1:38" s="108" customFormat="1" ht="15.75">
      <c r="A463" s="119"/>
      <c r="B463" s="120"/>
      <c r="C463" s="111"/>
      <c r="D463" s="111"/>
      <c r="E463" s="121"/>
      <c r="F463" s="121"/>
      <c r="G463" s="113"/>
      <c r="H463" s="113"/>
      <c r="I463" s="144" t="str">
        <f t="shared" si="15"/>
        <v/>
      </c>
      <c r="J463" s="141" t="str">
        <f>IF(I463="","",IF(AND(AL463&lt;=66),VLOOKUP(I463,'COP Look Up'!$A$13:$B$21,2,TRUE),IF(AND(AL463&gt;=67,AL463&lt;=72),VLOOKUP(I463,'COP Look Up'!$E$13:$F$21,2,TRUE),IF(AND(AL463&gt;=73,AL463&lt;=78),VLOOKUP(I463,'COP Look Up'!$I$13:$J$21,2,TRUE),IF(AND(AL463&gt;=79),VLOOKUP(I463,'COP Look Up'!$M$13:$N$20,2,TRUE),"")))))</f>
        <v/>
      </c>
      <c r="K463" s="122"/>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c r="AH463" s="123"/>
      <c r="AL463" s="143" t="str">
        <f t="shared" si="16"/>
        <v/>
      </c>
    </row>
    <row r="464" spans="1:38" s="108" customFormat="1" ht="15.75">
      <c r="A464" s="119"/>
      <c r="B464" s="120"/>
      <c r="C464" s="111"/>
      <c r="D464" s="111"/>
      <c r="E464" s="121"/>
      <c r="F464" s="121"/>
      <c r="G464" s="113"/>
      <c r="H464" s="113"/>
      <c r="I464" s="144" t="str">
        <f t="shared" si="15"/>
        <v/>
      </c>
      <c r="J464" s="141" t="str">
        <f>IF(I464="","",IF(AND(AL464&lt;=66),VLOOKUP(I464,'COP Look Up'!$A$13:$B$21,2,TRUE),IF(AND(AL464&gt;=67,AL464&lt;=72),VLOOKUP(I464,'COP Look Up'!$E$13:$F$21,2,TRUE),IF(AND(AL464&gt;=73,AL464&lt;=78),VLOOKUP(I464,'COP Look Up'!$I$13:$J$21,2,TRUE),IF(AND(AL464&gt;=79),VLOOKUP(I464,'COP Look Up'!$M$13:$N$20,2,TRUE),"")))))</f>
        <v/>
      </c>
      <c r="K464" s="122"/>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c r="AH464" s="123"/>
      <c r="AL464" s="143" t="str">
        <f t="shared" si="16"/>
        <v/>
      </c>
    </row>
    <row r="465" spans="1:38" s="108" customFormat="1" ht="15.75">
      <c r="A465" s="119"/>
      <c r="B465" s="120"/>
      <c r="C465" s="111"/>
      <c r="D465" s="111"/>
      <c r="E465" s="121"/>
      <c r="F465" s="121"/>
      <c r="G465" s="113"/>
      <c r="H465" s="113"/>
      <c r="I465" s="144" t="str">
        <f t="shared" si="15"/>
        <v/>
      </c>
      <c r="J465" s="141" t="str">
        <f>IF(I465="","",IF(AND(AL465&lt;=66),VLOOKUP(I465,'COP Look Up'!$A$13:$B$21,2,TRUE),IF(AND(AL465&gt;=67,AL465&lt;=72),VLOOKUP(I465,'COP Look Up'!$E$13:$F$21,2,TRUE),IF(AND(AL465&gt;=73,AL465&lt;=78),VLOOKUP(I465,'COP Look Up'!$I$13:$J$21,2,TRUE),IF(AND(AL465&gt;=79),VLOOKUP(I465,'COP Look Up'!$M$13:$N$20,2,TRUE),"")))))</f>
        <v/>
      </c>
      <c r="K465" s="122"/>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c r="AH465" s="123"/>
      <c r="AL465" s="143" t="str">
        <f t="shared" si="16"/>
        <v/>
      </c>
    </row>
    <row r="466" spans="1:38" s="108" customFormat="1" ht="15.75">
      <c r="A466" s="119"/>
      <c r="B466" s="120"/>
      <c r="C466" s="111"/>
      <c r="D466" s="111"/>
      <c r="E466" s="121"/>
      <c r="F466" s="121"/>
      <c r="G466" s="113"/>
      <c r="H466" s="113"/>
      <c r="I466" s="144" t="str">
        <f t="shared" si="15"/>
        <v/>
      </c>
      <c r="J466" s="141" t="str">
        <f>IF(I466="","",IF(AND(AL466&lt;=66),VLOOKUP(I466,'COP Look Up'!$A$13:$B$21,2,TRUE),IF(AND(AL466&gt;=67,AL466&lt;=72),VLOOKUP(I466,'COP Look Up'!$E$13:$F$21,2,TRUE),IF(AND(AL466&gt;=73,AL466&lt;=78),VLOOKUP(I466,'COP Look Up'!$I$13:$J$21,2,TRUE),IF(AND(AL466&gt;=79),VLOOKUP(I466,'COP Look Up'!$M$13:$N$20,2,TRUE),"")))))</f>
        <v/>
      </c>
      <c r="K466" s="122"/>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c r="AH466" s="123"/>
      <c r="AL466" s="143" t="str">
        <f t="shared" si="16"/>
        <v/>
      </c>
    </row>
    <row r="467" spans="1:38" s="108" customFormat="1" ht="15.75">
      <c r="A467" s="119"/>
      <c r="B467" s="120"/>
      <c r="C467" s="111"/>
      <c r="D467" s="111"/>
      <c r="E467" s="121"/>
      <c r="F467" s="121"/>
      <c r="G467" s="113"/>
      <c r="H467" s="113"/>
      <c r="I467" s="144" t="str">
        <f t="shared" si="15"/>
        <v/>
      </c>
      <c r="J467" s="141" t="str">
        <f>IF(I467="","",IF(AND(AL467&lt;=66),VLOOKUP(I467,'COP Look Up'!$A$13:$B$21,2,TRUE),IF(AND(AL467&gt;=67,AL467&lt;=72),VLOOKUP(I467,'COP Look Up'!$E$13:$F$21,2,TRUE),IF(AND(AL467&gt;=73,AL467&lt;=78),VLOOKUP(I467,'COP Look Up'!$I$13:$J$21,2,TRUE),IF(AND(AL467&gt;=79),VLOOKUP(I467,'COP Look Up'!$M$13:$N$20,2,TRUE),"")))))</f>
        <v/>
      </c>
      <c r="K467" s="122"/>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c r="AH467" s="123"/>
      <c r="AL467" s="143" t="str">
        <f t="shared" si="16"/>
        <v/>
      </c>
    </row>
    <row r="468" spans="1:38" s="108" customFormat="1" ht="15.75">
      <c r="A468" s="119"/>
      <c r="B468" s="120"/>
      <c r="C468" s="111"/>
      <c r="D468" s="111"/>
      <c r="E468" s="121"/>
      <c r="F468" s="121"/>
      <c r="G468" s="113"/>
      <c r="H468" s="113"/>
      <c r="I468" s="144" t="str">
        <f t="shared" si="15"/>
        <v/>
      </c>
      <c r="J468" s="141" t="str">
        <f>IF(I468="","",IF(AND(AL468&lt;=66),VLOOKUP(I468,'COP Look Up'!$A$13:$B$21,2,TRUE),IF(AND(AL468&gt;=67,AL468&lt;=72),VLOOKUP(I468,'COP Look Up'!$E$13:$F$21,2,TRUE),IF(AND(AL468&gt;=73,AL468&lt;=78),VLOOKUP(I468,'COP Look Up'!$I$13:$J$21,2,TRUE),IF(AND(AL468&gt;=79),VLOOKUP(I468,'COP Look Up'!$M$13:$N$20,2,TRUE),"")))))</f>
        <v/>
      </c>
      <c r="K468" s="122"/>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c r="AH468" s="123"/>
      <c r="AL468" s="143" t="str">
        <f t="shared" si="16"/>
        <v/>
      </c>
    </row>
    <row r="469" spans="1:38" s="108" customFormat="1" ht="15.75">
      <c r="A469" s="119"/>
      <c r="B469" s="120"/>
      <c r="C469" s="111"/>
      <c r="D469" s="111"/>
      <c r="E469" s="121"/>
      <c r="F469" s="121"/>
      <c r="G469" s="113"/>
      <c r="H469" s="113"/>
      <c r="I469" s="144" t="str">
        <f t="shared" si="15"/>
        <v/>
      </c>
      <c r="J469" s="141" t="str">
        <f>IF(I469="","",IF(AND(AL469&lt;=66),VLOOKUP(I469,'COP Look Up'!$A$13:$B$21,2,TRUE),IF(AND(AL469&gt;=67,AL469&lt;=72),VLOOKUP(I469,'COP Look Up'!$E$13:$F$21,2,TRUE),IF(AND(AL469&gt;=73,AL469&lt;=78),VLOOKUP(I469,'COP Look Up'!$I$13:$J$21,2,TRUE),IF(AND(AL469&gt;=79),VLOOKUP(I469,'COP Look Up'!$M$13:$N$20,2,TRUE),"")))))</f>
        <v/>
      </c>
      <c r="K469" s="122"/>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c r="AH469" s="123"/>
      <c r="AL469" s="143" t="str">
        <f t="shared" si="16"/>
        <v/>
      </c>
    </row>
    <row r="470" spans="1:38" s="108" customFormat="1" ht="15.75">
      <c r="A470" s="119"/>
      <c r="B470" s="120"/>
      <c r="C470" s="111"/>
      <c r="D470" s="111"/>
      <c r="E470" s="121"/>
      <c r="F470" s="121"/>
      <c r="G470" s="113"/>
      <c r="H470" s="113"/>
      <c r="I470" s="144" t="str">
        <f t="shared" si="15"/>
        <v/>
      </c>
      <c r="J470" s="141" t="str">
        <f>IF(I470="","",IF(AND(AL470&lt;=66),VLOOKUP(I470,'COP Look Up'!$A$13:$B$21,2,TRUE),IF(AND(AL470&gt;=67,AL470&lt;=72),VLOOKUP(I470,'COP Look Up'!$E$13:$F$21,2,TRUE),IF(AND(AL470&gt;=73,AL470&lt;=78),VLOOKUP(I470,'COP Look Up'!$I$13:$J$21,2,TRUE),IF(AND(AL470&gt;=79),VLOOKUP(I470,'COP Look Up'!$M$13:$N$20,2,TRUE),"")))))</f>
        <v/>
      </c>
      <c r="K470" s="122"/>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c r="AH470" s="123"/>
      <c r="AL470" s="143" t="str">
        <f t="shared" si="16"/>
        <v/>
      </c>
    </row>
    <row r="471" spans="1:38" s="108" customFormat="1" ht="15.75">
      <c r="A471" s="119"/>
      <c r="B471" s="120"/>
      <c r="C471" s="111"/>
      <c r="D471" s="111"/>
      <c r="E471" s="121"/>
      <c r="F471" s="121"/>
      <c r="G471" s="113"/>
      <c r="H471" s="113"/>
      <c r="I471" s="144" t="str">
        <f t="shared" si="15"/>
        <v/>
      </c>
      <c r="J471" s="141" t="str">
        <f>IF(I471="","",IF(AND(AL471&lt;=66),VLOOKUP(I471,'COP Look Up'!$A$13:$B$21,2,TRUE),IF(AND(AL471&gt;=67,AL471&lt;=72),VLOOKUP(I471,'COP Look Up'!$E$13:$F$21,2,TRUE),IF(AND(AL471&gt;=73,AL471&lt;=78),VLOOKUP(I471,'COP Look Up'!$I$13:$J$21,2,TRUE),IF(AND(AL471&gt;=79),VLOOKUP(I471,'COP Look Up'!$M$13:$N$20,2,TRUE),"")))))</f>
        <v/>
      </c>
      <c r="K471" s="122"/>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c r="AH471" s="123"/>
      <c r="AL471" s="143" t="str">
        <f t="shared" si="16"/>
        <v/>
      </c>
    </row>
    <row r="472" spans="1:38" s="108" customFormat="1" ht="15.75">
      <c r="A472" s="119"/>
      <c r="B472" s="120"/>
      <c r="C472" s="111"/>
      <c r="D472" s="111"/>
      <c r="E472" s="121"/>
      <c r="F472" s="121"/>
      <c r="G472" s="113"/>
      <c r="H472" s="113"/>
      <c r="I472" s="144" t="str">
        <f t="shared" si="15"/>
        <v/>
      </c>
      <c r="J472" s="141" t="str">
        <f>IF(I472="","",IF(AND(AL472&lt;=66),VLOOKUP(I472,'COP Look Up'!$A$13:$B$21,2,TRUE),IF(AND(AL472&gt;=67,AL472&lt;=72),VLOOKUP(I472,'COP Look Up'!$E$13:$F$21,2,TRUE),IF(AND(AL472&gt;=73,AL472&lt;=78),VLOOKUP(I472,'COP Look Up'!$I$13:$J$21,2,TRUE),IF(AND(AL472&gt;=79),VLOOKUP(I472,'COP Look Up'!$M$13:$N$20,2,TRUE),"")))))</f>
        <v/>
      </c>
      <c r="K472" s="122"/>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c r="AH472" s="123"/>
      <c r="AL472" s="143" t="str">
        <f t="shared" si="16"/>
        <v/>
      </c>
    </row>
    <row r="473" spans="1:38" s="108" customFormat="1" ht="15.75">
      <c r="A473" s="119"/>
      <c r="B473" s="120"/>
      <c r="C473" s="111"/>
      <c r="D473" s="111"/>
      <c r="E473" s="121"/>
      <c r="F473" s="121"/>
      <c r="G473" s="113"/>
      <c r="H473" s="113"/>
      <c r="I473" s="144" t="str">
        <f t="shared" si="15"/>
        <v/>
      </c>
      <c r="J473" s="141" t="str">
        <f>IF(I473="","",IF(AND(AL473&lt;=66),VLOOKUP(I473,'COP Look Up'!$A$13:$B$21,2,TRUE),IF(AND(AL473&gt;=67,AL473&lt;=72),VLOOKUP(I473,'COP Look Up'!$E$13:$F$21,2,TRUE),IF(AND(AL473&gt;=73,AL473&lt;=78),VLOOKUP(I473,'COP Look Up'!$I$13:$J$21,2,TRUE),IF(AND(AL473&gt;=79),VLOOKUP(I473,'COP Look Up'!$M$13:$N$20,2,TRUE),"")))))</f>
        <v/>
      </c>
      <c r="K473" s="122"/>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c r="AH473" s="123"/>
      <c r="AL473" s="143" t="str">
        <f t="shared" si="16"/>
        <v/>
      </c>
    </row>
    <row r="474" spans="1:38" s="108" customFormat="1" ht="15.75">
      <c r="A474" s="119"/>
      <c r="B474" s="120"/>
      <c r="C474" s="111"/>
      <c r="D474" s="111"/>
      <c r="E474" s="121"/>
      <c r="F474" s="121"/>
      <c r="G474" s="113"/>
      <c r="H474" s="113"/>
      <c r="I474" s="144" t="str">
        <f t="shared" si="15"/>
        <v/>
      </c>
      <c r="J474" s="141" t="str">
        <f>IF(I474="","",IF(AND(AL474&lt;=66),VLOOKUP(I474,'COP Look Up'!$A$13:$B$21,2,TRUE),IF(AND(AL474&gt;=67,AL474&lt;=72),VLOOKUP(I474,'COP Look Up'!$E$13:$F$21,2,TRUE),IF(AND(AL474&gt;=73,AL474&lt;=78),VLOOKUP(I474,'COP Look Up'!$I$13:$J$21,2,TRUE),IF(AND(AL474&gt;=79),VLOOKUP(I474,'COP Look Up'!$M$13:$N$20,2,TRUE),"")))))</f>
        <v/>
      </c>
      <c r="K474" s="122"/>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c r="AH474" s="123"/>
      <c r="AL474" s="143" t="str">
        <f t="shared" si="16"/>
        <v/>
      </c>
    </row>
    <row r="475" spans="1:38" s="108" customFormat="1" ht="15.75">
      <c r="A475" s="119"/>
      <c r="B475" s="120"/>
      <c r="C475" s="111"/>
      <c r="D475" s="111"/>
      <c r="E475" s="121"/>
      <c r="F475" s="121"/>
      <c r="G475" s="113"/>
      <c r="H475" s="113"/>
      <c r="I475" s="144" t="str">
        <f t="shared" si="15"/>
        <v/>
      </c>
      <c r="J475" s="141" t="str">
        <f>IF(I475="","",IF(AND(AL475&lt;=66),VLOOKUP(I475,'COP Look Up'!$A$13:$B$21,2,TRUE),IF(AND(AL475&gt;=67,AL475&lt;=72),VLOOKUP(I475,'COP Look Up'!$E$13:$F$21,2,TRUE),IF(AND(AL475&gt;=73,AL475&lt;=78),VLOOKUP(I475,'COP Look Up'!$I$13:$J$21,2,TRUE),IF(AND(AL475&gt;=79),VLOOKUP(I475,'COP Look Up'!$M$13:$N$20,2,TRUE),"")))))</f>
        <v/>
      </c>
      <c r="K475" s="122"/>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c r="AH475" s="123"/>
      <c r="AL475" s="143" t="str">
        <f t="shared" si="16"/>
        <v/>
      </c>
    </row>
    <row r="476" spans="1:38" s="108" customFormat="1" ht="15.75">
      <c r="A476" s="119"/>
      <c r="B476" s="120"/>
      <c r="C476" s="111"/>
      <c r="D476" s="111"/>
      <c r="E476" s="121"/>
      <c r="F476" s="121"/>
      <c r="G476" s="113"/>
      <c r="H476" s="113"/>
      <c r="I476" s="144" t="str">
        <f t="shared" si="15"/>
        <v/>
      </c>
      <c r="J476" s="141" t="str">
        <f>IF(I476="","",IF(AND(AL476&lt;=66),VLOOKUP(I476,'COP Look Up'!$A$13:$B$21,2,TRUE),IF(AND(AL476&gt;=67,AL476&lt;=72),VLOOKUP(I476,'COP Look Up'!$E$13:$F$21,2,TRUE),IF(AND(AL476&gt;=73,AL476&lt;=78),VLOOKUP(I476,'COP Look Up'!$I$13:$J$21,2,TRUE),IF(AND(AL476&gt;=79),VLOOKUP(I476,'COP Look Up'!$M$13:$N$20,2,TRUE),"")))))</f>
        <v/>
      </c>
      <c r="K476" s="122"/>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c r="AH476" s="123"/>
      <c r="AL476" s="143" t="str">
        <f t="shared" si="16"/>
        <v/>
      </c>
    </row>
    <row r="477" spans="1:38" s="108" customFormat="1" ht="15.75">
      <c r="A477" s="119"/>
      <c r="B477" s="120"/>
      <c r="C477" s="111"/>
      <c r="D477" s="111"/>
      <c r="E477" s="121"/>
      <c r="F477" s="121"/>
      <c r="G477" s="113"/>
      <c r="H477" s="113"/>
      <c r="I477" s="144" t="str">
        <f t="shared" si="15"/>
        <v/>
      </c>
      <c r="J477" s="141" t="str">
        <f>IF(I477="","",IF(AND(AL477&lt;=66),VLOOKUP(I477,'COP Look Up'!$A$13:$B$21,2,TRUE),IF(AND(AL477&gt;=67,AL477&lt;=72),VLOOKUP(I477,'COP Look Up'!$E$13:$F$21,2,TRUE),IF(AND(AL477&gt;=73,AL477&lt;=78),VLOOKUP(I477,'COP Look Up'!$I$13:$J$21,2,TRUE),IF(AND(AL477&gt;=79),VLOOKUP(I477,'COP Look Up'!$M$13:$N$20,2,TRUE),"")))))</f>
        <v/>
      </c>
      <c r="K477" s="122"/>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c r="AH477" s="123"/>
      <c r="AL477" s="143" t="str">
        <f t="shared" si="16"/>
        <v/>
      </c>
    </row>
    <row r="478" spans="1:38" s="108" customFormat="1" ht="15.75">
      <c r="A478" s="119"/>
      <c r="B478" s="120"/>
      <c r="C478" s="111"/>
      <c r="D478" s="111"/>
      <c r="E478" s="121"/>
      <c r="F478" s="121"/>
      <c r="G478" s="113"/>
      <c r="H478" s="113"/>
      <c r="I478" s="144" t="str">
        <f t="shared" si="15"/>
        <v/>
      </c>
      <c r="J478" s="141" t="str">
        <f>IF(I478="","",IF(AND(AL478&lt;=66),VLOOKUP(I478,'COP Look Up'!$A$13:$B$21,2,TRUE),IF(AND(AL478&gt;=67,AL478&lt;=72),VLOOKUP(I478,'COP Look Up'!$E$13:$F$21,2,TRUE),IF(AND(AL478&gt;=73,AL478&lt;=78),VLOOKUP(I478,'COP Look Up'!$I$13:$J$21,2,TRUE),IF(AND(AL478&gt;=79),VLOOKUP(I478,'COP Look Up'!$M$13:$N$20,2,TRUE),"")))))</f>
        <v/>
      </c>
      <c r="K478" s="122"/>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c r="AH478" s="123"/>
      <c r="AL478" s="143" t="str">
        <f t="shared" si="16"/>
        <v/>
      </c>
    </row>
    <row r="479" spans="1:38" s="108" customFormat="1" ht="15.75">
      <c r="A479" s="119"/>
      <c r="B479" s="120"/>
      <c r="C479" s="111"/>
      <c r="D479" s="111"/>
      <c r="E479" s="121"/>
      <c r="F479" s="121"/>
      <c r="G479" s="113"/>
      <c r="H479" s="113"/>
      <c r="I479" s="144" t="str">
        <f t="shared" si="15"/>
        <v/>
      </c>
      <c r="J479" s="141" t="str">
        <f>IF(I479="","",IF(AND(AL479&lt;=66),VLOOKUP(I479,'COP Look Up'!$A$13:$B$21,2,TRUE),IF(AND(AL479&gt;=67,AL479&lt;=72),VLOOKUP(I479,'COP Look Up'!$E$13:$F$21,2,TRUE),IF(AND(AL479&gt;=73,AL479&lt;=78),VLOOKUP(I479,'COP Look Up'!$I$13:$J$21,2,TRUE),IF(AND(AL479&gt;=79),VLOOKUP(I479,'COP Look Up'!$M$13:$N$20,2,TRUE),"")))))</f>
        <v/>
      </c>
      <c r="K479" s="122"/>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c r="AH479" s="123"/>
      <c r="AL479" s="143" t="str">
        <f t="shared" si="16"/>
        <v/>
      </c>
    </row>
    <row r="480" spans="1:38" s="108" customFormat="1" ht="15.75">
      <c r="A480" s="119"/>
      <c r="B480" s="120"/>
      <c r="C480" s="111"/>
      <c r="D480" s="111"/>
      <c r="E480" s="121"/>
      <c r="F480" s="121"/>
      <c r="G480" s="113"/>
      <c r="H480" s="113"/>
      <c r="I480" s="144" t="str">
        <f t="shared" si="15"/>
        <v/>
      </c>
      <c r="J480" s="141" t="str">
        <f>IF(I480="","",IF(AND(AL480&lt;=66),VLOOKUP(I480,'COP Look Up'!$A$13:$B$21,2,TRUE),IF(AND(AL480&gt;=67,AL480&lt;=72),VLOOKUP(I480,'COP Look Up'!$E$13:$F$21,2,TRUE),IF(AND(AL480&gt;=73,AL480&lt;=78),VLOOKUP(I480,'COP Look Up'!$I$13:$J$21,2,TRUE),IF(AND(AL480&gt;=79),VLOOKUP(I480,'COP Look Up'!$M$13:$N$20,2,TRUE),"")))))</f>
        <v/>
      </c>
      <c r="K480" s="122"/>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c r="AH480" s="123"/>
      <c r="AL480" s="143" t="str">
        <f t="shared" si="16"/>
        <v/>
      </c>
    </row>
    <row r="481" spans="1:38" s="108" customFormat="1" ht="15.75">
      <c r="A481" s="119"/>
      <c r="B481" s="120"/>
      <c r="C481" s="111"/>
      <c r="D481" s="111"/>
      <c r="E481" s="121"/>
      <c r="F481" s="121"/>
      <c r="G481" s="113"/>
      <c r="H481" s="113"/>
      <c r="I481" s="144" t="str">
        <f t="shared" si="15"/>
        <v/>
      </c>
      <c r="J481" s="141" t="str">
        <f>IF(I481="","",IF(AND(AL481&lt;=66),VLOOKUP(I481,'COP Look Up'!$A$13:$B$21,2,TRUE),IF(AND(AL481&gt;=67,AL481&lt;=72),VLOOKUP(I481,'COP Look Up'!$E$13:$F$21,2,TRUE),IF(AND(AL481&gt;=73,AL481&lt;=78),VLOOKUP(I481,'COP Look Up'!$I$13:$J$21,2,TRUE),IF(AND(AL481&gt;=79),VLOOKUP(I481,'COP Look Up'!$M$13:$N$20,2,TRUE),"")))))</f>
        <v/>
      </c>
      <c r="K481" s="122"/>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c r="AH481" s="123"/>
      <c r="AL481" s="143" t="str">
        <f t="shared" si="16"/>
        <v/>
      </c>
    </row>
    <row r="482" spans="1:38" s="108" customFormat="1" ht="15.75">
      <c r="A482" s="119"/>
      <c r="B482" s="120"/>
      <c r="C482" s="111"/>
      <c r="D482" s="111"/>
      <c r="E482" s="121"/>
      <c r="F482" s="121"/>
      <c r="G482" s="113"/>
      <c r="H482" s="113"/>
      <c r="I482" s="144" t="str">
        <f t="shared" si="15"/>
        <v/>
      </c>
      <c r="J482" s="141" t="str">
        <f>IF(I482="","",IF(AND(AL482&lt;=66),VLOOKUP(I482,'COP Look Up'!$A$13:$B$21,2,TRUE),IF(AND(AL482&gt;=67,AL482&lt;=72),VLOOKUP(I482,'COP Look Up'!$E$13:$F$21,2,TRUE),IF(AND(AL482&gt;=73,AL482&lt;=78),VLOOKUP(I482,'COP Look Up'!$I$13:$J$21,2,TRUE),IF(AND(AL482&gt;=79),VLOOKUP(I482,'COP Look Up'!$M$13:$N$20,2,TRUE),"")))))</f>
        <v/>
      </c>
      <c r="K482" s="122"/>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c r="AH482" s="123"/>
      <c r="AL482" s="143" t="str">
        <f t="shared" si="16"/>
        <v/>
      </c>
    </row>
    <row r="483" spans="1:38" s="108" customFormat="1" ht="15.75">
      <c r="A483" s="119"/>
      <c r="B483" s="120"/>
      <c r="C483" s="111"/>
      <c r="D483" s="111"/>
      <c r="E483" s="121"/>
      <c r="F483" s="121"/>
      <c r="G483" s="113"/>
      <c r="H483" s="113"/>
      <c r="I483" s="144" t="str">
        <f t="shared" si="15"/>
        <v/>
      </c>
      <c r="J483" s="141" t="str">
        <f>IF(I483="","",IF(AND(AL483&lt;=66),VLOOKUP(I483,'COP Look Up'!$A$13:$B$21,2,TRUE),IF(AND(AL483&gt;=67,AL483&lt;=72),VLOOKUP(I483,'COP Look Up'!$E$13:$F$21,2,TRUE),IF(AND(AL483&gt;=73,AL483&lt;=78),VLOOKUP(I483,'COP Look Up'!$I$13:$J$21,2,TRUE),IF(AND(AL483&gt;=79),VLOOKUP(I483,'COP Look Up'!$M$13:$N$20,2,TRUE),"")))))</f>
        <v/>
      </c>
      <c r="K483" s="122"/>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c r="AH483" s="123"/>
      <c r="AL483" s="143" t="str">
        <f t="shared" si="16"/>
        <v/>
      </c>
    </row>
    <row r="484" spans="1:38" s="108" customFormat="1" ht="15.75">
      <c r="A484" s="119"/>
      <c r="B484" s="120"/>
      <c r="C484" s="111"/>
      <c r="D484" s="111"/>
      <c r="E484" s="121"/>
      <c r="F484" s="121"/>
      <c r="G484" s="113"/>
      <c r="H484" s="113"/>
      <c r="I484" s="144" t="str">
        <f t="shared" si="15"/>
        <v/>
      </c>
      <c r="J484" s="141" t="str">
        <f>IF(I484="","",IF(AND(AL484&lt;=66),VLOOKUP(I484,'COP Look Up'!$A$13:$B$21,2,TRUE),IF(AND(AL484&gt;=67,AL484&lt;=72),VLOOKUP(I484,'COP Look Up'!$E$13:$F$21,2,TRUE),IF(AND(AL484&gt;=73,AL484&lt;=78),VLOOKUP(I484,'COP Look Up'!$I$13:$J$21,2,TRUE),IF(AND(AL484&gt;=79),VLOOKUP(I484,'COP Look Up'!$M$13:$N$20,2,TRUE),"")))))</f>
        <v/>
      </c>
      <c r="K484" s="122"/>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c r="AH484" s="123"/>
      <c r="AL484" s="143" t="str">
        <f t="shared" si="16"/>
        <v/>
      </c>
    </row>
    <row r="485" spans="1:38" s="108" customFormat="1" ht="15.75">
      <c r="A485" s="119"/>
      <c r="B485" s="120"/>
      <c r="C485" s="111"/>
      <c r="D485" s="111"/>
      <c r="E485" s="121"/>
      <c r="F485" s="121"/>
      <c r="G485" s="113"/>
      <c r="H485" s="113"/>
      <c r="I485" s="144" t="str">
        <f t="shared" si="15"/>
        <v/>
      </c>
      <c r="J485" s="141" t="str">
        <f>IF(I485="","",IF(AND(AL485&lt;=66),VLOOKUP(I485,'COP Look Up'!$A$13:$B$21,2,TRUE),IF(AND(AL485&gt;=67,AL485&lt;=72),VLOOKUP(I485,'COP Look Up'!$E$13:$F$21,2,TRUE),IF(AND(AL485&gt;=73,AL485&lt;=78),VLOOKUP(I485,'COP Look Up'!$I$13:$J$21,2,TRUE),IF(AND(AL485&gt;=79),VLOOKUP(I485,'COP Look Up'!$M$13:$N$20,2,TRUE),"")))))</f>
        <v/>
      </c>
      <c r="K485" s="122"/>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c r="AH485" s="123"/>
      <c r="AL485" s="143" t="str">
        <f t="shared" si="16"/>
        <v/>
      </c>
    </row>
    <row r="486" spans="1:38" s="108" customFormat="1" ht="15.75">
      <c r="A486" s="119"/>
      <c r="B486" s="120"/>
      <c r="C486" s="111"/>
      <c r="D486" s="111"/>
      <c r="E486" s="121"/>
      <c r="F486" s="121"/>
      <c r="G486" s="113"/>
      <c r="H486" s="113"/>
      <c r="I486" s="144" t="str">
        <f t="shared" si="15"/>
        <v/>
      </c>
      <c r="J486" s="141" t="str">
        <f>IF(I486="","",IF(AND(AL486&lt;=66),VLOOKUP(I486,'COP Look Up'!$A$13:$B$21,2,TRUE),IF(AND(AL486&gt;=67,AL486&lt;=72),VLOOKUP(I486,'COP Look Up'!$E$13:$F$21,2,TRUE),IF(AND(AL486&gt;=73,AL486&lt;=78),VLOOKUP(I486,'COP Look Up'!$I$13:$J$21,2,TRUE),IF(AND(AL486&gt;=79),VLOOKUP(I486,'COP Look Up'!$M$13:$N$20,2,TRUE),"")))))</f>
        <v/>
      </c>
      <c r="K486" s="122"/>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c r="AH486" s="123"/>
      <c r="AL486" s="143" t="str">
        <f t="shared" si="16"/>
        <v/>
      </c>
    </row>
    <row r="487" spans="1:38" s="108" customFormat="1" ht="15.75">
      <c r="A487" s="119"/>
      <c r="B487" s="120"/>
      <c r="C487" s="111"/>
      <c r="D487" s="111"/>
      <c r="E487" s="121"/>
      <c r="F487" s="121"/>
      <c r="G487" s="113"/>
      <c r="H487" s="113"/>
      <c r="I487" s="144" t="str">
        <f t="shared" si="15"/>
        <v/>
      </c>
      <c r="J487" s="141" t="str">
        <f>IF(I487="","",IF(AND(AL487&lt;=66),VLOOKUP(I487,'COP Look Up'!$A$13:$B$21,2,TRUE),IF(AND(AL487&gt;=67,AL487&lt;=72),VLOOKUP(I487,'COP Look Up'!$E$13:$F$21,2,TRUE),IF(AND(AL487&gt;=73,AL487&lt;=78),VLOOKUP(I487,'COP Look Up'!$I$13:$J$21,2,TRUE),IF(AND(AL487&gt;=79),VLOOKUP(I487,'COP Look Up'!$M$13:$N$20,2,TRUE),"")))))</f>
        <v/>
      </c>
      <c r="K487" s="122"/>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c r="AH487" s="123"/>
      <c r="AL487" s="143" t="str">
        <f t="shared" si="16"/>
        <v/>
      </c>
    </row>
    <row r="488" spans="1:38" s="108" customFormat="1" ht="15.75">
      <c r="A488" s="119"/>
      <c r="B488" s="120"/>
      <c r="C488" s="111"/>
      <c r="D488" s="111"/>
      <c r="E488" s="121"/>
      <c r="F488" s="121"/>
      <c r="G488" s="113"/>
      <c r="H488" s="113"/>
      <c r="I488" s="144" t="str">
        <f t="shared" si="15"/>
        <v/>
      </c>
      <c r="J488" s="141" t="str">
        <f>IF(I488="","",IF(AND(AL488&lt;=66),VLOOKUP(I488,'COP Look Up'!$A$13:$B$21,2,TRUE),IF(AND(AL488&gt;=67,AL488&lt;=72),VLOOKUP(I488,'COP Look Up'!$E$13:$F$21,2,TRUE),IF(AND(AL488&gt;=73,AL488&lt;=78),VLOOKUP(I488,'COP Look Up'!$I$13:$J$21,2,TRUE),IF(AND(AL488&gt;=79),VLOOKUP(I488,'COP Look Up'!$M$13:$N$20,2,TRUE),"")))))</f>
        <v/>
      </c>
      <c r="K488" s="122"/>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c r="AH488" s="123"/>
      <c r="AL488" s="143" t="str">
        <f t="shared" si="16"/>
        <v/>
      </c>
    </row>
    <row r="489" spans="1:38" s="108" customFormat="1" ht="15.75">
      <c r="A489" s="119"/>
      <c r="B489" s="120"/>
      <c r="C489" s="111"/>
      <c r="D489" s="111"/>
      <c r="E489" s="121"/>
      <c r="F489" s="121"/>
      <c r="G489" s="113"/>
      <c r="H489" s="113"/>
      <c r="I489" s="144" t="str">
        <f t="shared" si="15"/>
        <v/>
      </c>
      <c r="J489" s="141" t="str">
        <f>IF(I489="","",IF(AND(AL489&lt;=66),VLOOKUP(I489,'COP Look Up'!$A$13:$B$21,2,TRUE),IF(AND(AL489&gt;=67,AL489&lt;=72),VLOOKUP(I489,'COP Look Up'!$E$13:$F$21,2,TRUE),IF(AND(AL489&gt;=73,AL489&lt;=78),VLOOKUP(I489,'COP Look Up'!$I$13:$J$21,2,TRUE),IF(AND(AL489&gt;=79),VLOOKUP(I489,'COP Look Up'!$M$13:$N$20,2,TRUE),"")))))</f>
        <v/>
      </c>
      <c r="K489" s="122"/>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c r="AH489" s="123"/>
      <c r="AL489" s="143" t="str">
        <f t="shared" si="16"/>
        <v/>
      </c>
    </row>
    <row r="490" spans="1:38" s="108" customFormat="1" ht="15.75">
      <c r="A490" s="119"/>
      <c r="B490" s="120"/>
      <c r="C490" s="111"/>
      <c r="D490" s="111"/>
      <c r="E490" s="121"/>
      <c r="F490" s="121"/>
      <c r="G490" s="113"/>
      <c r="H490" s="113"/>
      <c r="I490" s="144" t="str">
        <f t="shared" si="15"/>
        <v/>
      </c>
      <c r="J490" s="141" t="str">
        <f>IF(I490="","",IF(AND(AL490&lt;=66),VLOOKUP(I490,'COP Look Up'!$A$13:$B$21,2,TRUE),IF(AND(AL490&gt;=67,AL490&lt;=72),VLOOKUP(I490,'COP Look Up'!$E$13:$F$21,2,TRUE),IF(AND(AL490&gt;=73,AL490&lt;=78),VLOOKUP(I490,'COP Look Up'!$I$13:$J$21,2,TRUE),IF(AND(AL490&gt;=79),VLOOKUP(I490,'COP Look Up'!$M$13:$N$20,2,TRUE),"")))))</f>
        <v/>
      </c>
      <c r="K490" s="122"/>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c r="AH490" s="123"/>
      <c r="AL490" s="143" t="str">
        <f t="shared" si="16"/>
        <v/>
      </c>
    </row>
    <row r="491" spans="1:38" s="108" customFormat="1" ht="15.75">
      <c r="A491" s="119"/>
      <c r="B491" s="120"/>
      <c r="C491" s="111"/>
      <c r="D491" s="111"/>
      <c r="E491" s="121"/>
      <c r="F491" s="121"/>
      <c r="G491" s="113"/>
      <c r="H491" s="113"/>
      <c r="I491" s="144" t="str">
        <f t="shared" si="15"/>
        <v/>
      </c>
      <c r="J491" s="141" t="str">
        <f>IF(I491="","",IF(AND(AL491&lt;=66),VLOOKUP(I491,'COP Look Up'!$A$13:$B$21,2,TRUE),IF(AND(AL491&gt;=67,AL491&lt;=72),VLOOKUP(I491,'COP Look Up'!$E$13:$F$21,2,TRUE),IF(AND(AL491&gt;=73,AL491&lt;=78),VLOOKUP(I491,'COP Look Up'!$I$13:$J$21,2,TRUE),IF(AND(AL491&gt;=79),VLOOKUP(I491,'COP Look Up'!$M$13:$N$20,2,TRUE),"")))))</f>
        <v/>
      </c>
      <c r="K491" s="122"/>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c r="AH491" s="123"/>
      <c r="AL491" s="143" t="str">
        <f t="shared" si="16"/>
        <v/>
      </c>
    </row>
    <row r="492" spans="1:38" s="108" customFormat="1" ht="15.75">
      <c r="A492" s="119"/>
      <c r="B492" s="120"/>
      <c r="C492" s="111"/>
      <c r="D492" s="111"/>
      <c r="E492" s="121"/>
      <c r="F492" s="121"/>
      <c r="G492" s="113"/>
      <c r="H492" s="113"/>
      <c r="I492" s="144" t="str">
        <f t="shared" si="15"/>
        <v/>
      </c>
      <c r="J492" s="141" t="str">
        <f>IF(I492="","",IF(AND(AL492&lt;=66),VLOOKUP(I492,'COP Look Up'!$A$13:$B$21,2,TRUE),IF(AND(AL492&gt;=67,AL492&lt;=72),VLOOKUP(I492,'COP Look Up'!$E$13:$F$21,2,TRUE),IF(AND(AL492&gt;=73,AL492&lt;=78),VLOOKUP(I492,'COP Look Up'!$I$13:$J$21,2,TRUE),IF(AND(AL492&gt;=79),VLOOKUP(I492,'COP Look Up'!$M$13:$N$20,2,TRUE),"")))))</f>
        <v/>
      </c>
      <c r="K492" s="122"/>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c r="AH492" s="123"/>
      <c r="AL492" s="143" t="str">
        <f t="shared" si="16"/>
        <v/>
      </c>
    </row>
    <row r="493" spans="1:38" s="108" customFormat="1" ht="15.75">
      <c r="A493" s="119"/>
      <c r="B493" s="120"/>
      <c r="C493" s="111"/>
      <c r="D493" s="111"/>
      <c r="E493" s="121"/>
      <c r="F493" s="121"/>
      <c r="G493" s="113"/>
      <c r="H493" s="113"/>
      <c r="I493" s="144" t="str">
        <f t="shared" si="15"/>
        <v/>
      </c>
      <c r="J493" s="141" t="str">
        <f>IF(I493="","",IF(AND(AL493&lt;=66),VLOOKUP(I493,'COP Look Up'!$A$13:$B$21,2,TRUE),IF(AND(AL493&gt;=67,AL493&lt;=72),VLOOKUP(I493,'COP Look Up'!$E$13:$F$21,2,TRUE),IF(AND(AL493&gt;=73,AL493&lt;=78),VLOOKUP(I493,'COP Look Up'!$I$13:$J$21,2,TRUE),IF(AND(AL493&gt;=79),VLOOKUP(I493,'COP Look Up'!$M$13:$N$20,2,TRUE),"")))))</f>
        <v/>
      </c>
      <c r="K493" s="122"/>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c r="AH493" s="123"/>
      <c r="AL493" s="143" t="str">
        <f t="shared" si="16"/>
        <v/>
      </c>
    </row>
    <row r="494" spans="1:38" s="108" customFormat="1" ht="15.75">
      <c r="A494" s="119"/>
      <c r="B494" s="120"/>
      <c r="C494" s="111"/>
      <c r="D494" s="111"/>
      <c r="E494" s="121"/>
      <c r="F494" s="121"/>
      <c r="G494" s="113"/>
      <c r="H494" s="113"/>
      <c r="I494" s="144" t="str">
        <f t="shared" si="15"/>
        <v/>
      </c>
      <c r="J494" s="141" t="str">
        <f>IF(I494="","",IF(AND(AL494&lt;=66),VLOOKUP(I494,'COP Look Up'!$A$13:$B$21,2,TRUE),IF(AND(AL494&gt;=67,AL494&lt;=72),VLOOKUP(I494,'COP Look Up'!$E$13:$F$21,2,TRUE),IF(AND(AL494&gt;=73,AL494&lt;=78),VLOOKUP(I494,'COP Look Up'!$I$13:$J$21,2,TRUE),IF(AND(AL494&gt;=79),VLOOKUP(I494,'COP Look Up'!$M$13:$N$20,2,TRUE),"")))))</f>
        <v/>
      </c>
      <c r="K494" s="122"/>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c r="AH494" s="123"/>
      <c r="AL494" s="143" t="str">
        <f t="shared" si="16"/>
        <v/>
      </c>
    </row>
    <row r="495" spans="1:38" s="108" customFormat="1" ht="15.75">
      <c r="A495" s="119"/>
      <c r="B495" s="120"/>
      <c r="C495" s="111"/>
      <c r="D495" s="111"/>
      <c r="E495" s="121"/>
      <c r="F495" s="121"/>
      <c r="G495" s="113"/>
      <c r="H495" s="113"/>
      <c r="I495" s="144" t="str">
        <f t="shared" si="15"/>
        <v/>
      </c>
      <c r="J495" s="141" t="str">
        <f>IF(I495="","",IF(AND(AL495&lt;=66),VLOOKUP(I495,'COP Look Up'!$A$13:$B$21,2,TRUE),IF(AND(AL495&gt;=67,AL495&lt;=72),VLOOKUP(I495,'COP Look Up'!$E$13:$F$21,2,TRUE),IF(AND(AL495&gt;=73,AL495&lt;=78),VLOOKUP(I495,'COP Look Up'!$I$13:$J$21,2,TRUE),IF(AND(AL495&gt;=79),VLOOKUP(I495,'COP Look Up'!$M$13:$N$20,2,TRUE),"")))))</f>
        <v/>
      </c>
      <c r="K495" s="122"/>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c r="AH495" s="123"/>
      <c r="AL495" s="143" t="str">
        <f t="shared" si="16"/>
        <v/>
      </c>
    </row>
    <row r="496" spans="1:38" s="108" customFormat="1" ht="15.75">
      <c r="A496" s="119"/>
      <c r="B496" s="120"/>
      <c r="C496" s="111"/>
      <c r="D496" s="111"/>
      <c r="E496" s="121"/>
      <c r="F496" s="121"/>
      <c r="G496" s="113"/>
      <c r="H496" s="113"/>
      <c r="I496" s="144" t="str">
        <f t="shared" si="15"/>
        <v/>
      </c>
      <c r="J496" s="141" t="str">
        <f>IF(I496="","",IF(AND(AL496&lt;=66),VLOOKUP(I496,'COP Look Up'!$A$13:$B$21,2,TRUE),IF(AND(AL496&gt;=67,AL496&lt;=72),VLOOKUP(I496,'COP Look Up'!$E$13:$F$21,2,TRUE),IF(AND(AL496&gt;=73,AL496&lt;=78),VLOOKUP(I496,'COP Look Up'!$I$13:$J$21,2,TRUE),IF(AND(AL496&gt;=79),VLOOKUP(I496,'COP Look Up'!$M$13:$N$20,2,TRUE),"")))))</f>
        <v/>
      </c>
      <c r="K496" s="122"/>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c r="AH496" s="123"/>
      <c r="AL496" s="143" t="str">
        <f t="shared" si="16"/>
        <v/>
      </c>
    </row>
    <row r="497" spans="1:40" s="108" customFormat="1" ht="15.75">
      <c r="A497" s="119"/>
      <c r="B497" s="120"/>
      <c r="C497" s="111"/>
      <c r="D497" s="111"/>
      <c r="E497" s="121"/>
      <c r="F497" s="121"/>
      <c r="G497" s="113"/>
      <c r="H497" s="113"/>
      <c r="I497" s="144" t="str">
        <f t="shared" si="15"/>
        <v/>
      </c>
      <c r="J497" s="141" t="str">
        <f>IF(I497="","",IF(AND(AL497&lt;=66),VLOOKUP(I497,'COP Look Up'!$A$13:$B$21,2,TRUE),IF(AND(AL497&gt;=67,AL497&lt;=72),VLOOKUP(I497,'COP Look Up'!$E$13:$F$21,2,TRUE),IF(AND(AL497&gt;=73,AL497&lt;=78),VLOOKUP(I497,'COP Look Up'!$I$13:$J$21,2,TRUE),IF(AND(AL497&gt;=79),VLOOKUP(I497,'COP Look Up'!$M$13:$N$20,2,TRUE),"")))))</f>
        <v/>
      </c>
      <c r="K497" s="122"/>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c r="AH497" s="123"/>
      <c r="AL497" s="143" t="str">
        <f t="shared" si="16"/>
        <v/>
      </c>
    </row>
    <row r="498" spans="1:40" s="108" customFormat="1" ht="15.75">
      <c r="A498" s="119"/>
      <c r="B498" s="120"/>
      <c r="C498" s="111"/>
      <c r="D498" s="111"/>
      <c r="E498" s="121"/>
      <c r="F498" s="121"/>
      <c r="G498" s="113"/>
      <c r="H498" s="113"/>
      <c r="I498" s="144" t="str">
        <f t="shared" si="15"/>
        <v/>
      </c>
      <c r="J498" s="141" t="str">
        <f>IF(I498="","",IF(AND(AL498&lt;=66),VLOOKUP(I498,'COP Look Up'!$A$13:$B$21,2,TRUE),IF(AND(AL498&gt;=67,AL498&lt;=72),VLOOKUP(I498,'COP Look Up'!$E$13:$F$21,2,TRUE),IF(AND(AL498&gt;=73,AL498&lt;=78),VLOOKUP(I498,'COP Look Up'!$I$13:$J$21,2,TRUE),IF(AND(AL498&gt;=79),VLOOKUP(I498,'COP Look Up'!$M$13:$N$20,2,TRUE),"")))))</f>
        <v/>
      </c>
      <c r="K498" s="122"/>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c r="AH498" s="123"/>
      <c r="AL498" s="143" t="str">
        <f t="shared" si="16"/>
        <v/>
      </c>
    </row>
    <row r="499" spans="1:40" s="108" customFormat="1" ht="15.75">
      <c r="A499" s="119"/>
      <c r="B499" s="120"/>
      <c r="C499" s="111"/>
      <c r="D499" s="111"/>
      <c r="E499" s="121"/>
      <c r="F499" s="121"/>
      <c r="G499" s="113"/>
      <c r="H499" s="113"/>
      <c r="I499" s="144" t="str">
        <f t="shared" si="15"/>
        <v/>
      </c>
      <c r="J499" s="141" t="str">
        <f>IF(I499="","",IF(AND(AL499&lt;=66),VLOOKUP(I499,'COP Look Up'!$A$13:$B$21,2,TRUE),IF(AND(AL499&gt;=67,AL499&lt;=72),VLOOKUP(I499,'COP Look Up'!$E$13:$F$21,2,TRUE),IF(AND(AL499&gt;=73,AL499&lt;=78),VLOOKUP(I499,'COP Look Up'!$I$13:$J$21,2,TRUE),IF(AND(AL499&gt;=79),VLOOKUP(I499,'COP Look Up'!$M$13:$N$20,2,TRUE),"")))))</f>
        <v/>
      </c>
      <c r="K499" s="122"/>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23"/>
      <c r="AL499" s="143" t="str">
        <f t="shared" si="16"/>
        <v/>
      </c>
      <c r="AN499" s="99"/>
    </row>
    <row r="500" spans="1:40" s="108" customFormat="1" ht="16.5" thickBot="1">
      <c r="A500" s="124"/>
      <c r="B500" s="125"/>
      <c r="C500" s="126"/>
      <c r="D500" s="126"/>
      <c r="E500" s="127"/>
      <c r="F500" s="127"/>
      <c r="G500" s="128"/>
      <c r="H500" s="128"/>
      <c r="I500" s="145" t="str">
        <f t="shared" si="15"/>
        <v/>
      </c>
      <c r="J500" s="142" t="str">
        <f>IF(I500="","",IF(AND(AL500&lt;=66),VLOOKUP(I500,'COP Look Up'!$A$13:$B$21,2,TRUE),IF(AND(AL500&gt;=67,AL500&lt;=72),VLOOKUP(I500,'COP Look Up'!$E$13:$F$21,2,TRUE),IF(AND(AL500&gt;=73,AL500&lt;=78),VLOOKUP(I500,'COP Look Up'!$I$13:$J$21,2,TRUE),IF(AND(AL500&gt;=79),VLOOKUP(I500,'COP Look Up'!$M$13:$N$20,2,TRUE),"")))))</f>
        <v/>
      </c>
      <c r="K500" s="198"/>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242"/>
      <c r="AL500" s="268" t="str">
        <f t="shared" si="16"/>
        <v/>
      </c>
    </row>
    <row r="501" spans="1:40" s="108" customFormat="1" ht="15.75">
      <c r="A501" s="269"/>
      <c r="B501" s="269"/>
      <c r="C501" s="270"/>
      <c r="D501" s="270"/>
      <c r="E501" s="271"/>
      <c r="F501" s="271"/>
      <c r="G501" s="272"/>
      <c r="H501" s="272"/>
      <c r="I501" s="273"/>
      <c r="J501" s="221"/>
      <c r="K501" s="270"/>
      <c r="L501" s="270"/>
      <c r="M501" s="270"/>
      <c r="N501" s="270"/>
      <c r="O501" s="270"/>
      <c r="P501" s="270"/>
      <c r="Q501" s="270"/>
      <c r="R501" s="270"/>
      <c r="S501" s="270"/>
      <c r="T501" s="270"/>
      <c r="U501" s="270"/>
      <c r="V501" s="270"/>
      <c r="W501" s="270"/>
      <c r="X501" s="270"/>
      <c r="Y501" s="270"/>
      <c r="Z501" s="270"/>
      <c r="AA501" s="270"/>
      <c r="AB501" s="270"/>
      <c r="AC501" s="270"/>
      <c r="AD501" s="270"/>
      <c r="AE501" s="270"/>
      <c r="AF501" s="270"/>
      <c r="AG501" s="270"/>
      <c r="AH501" s="270"/>
      <c r="AL501" s="274"/>
    </row>
    <row r="502" spans="1:40" s="108" customFormat="1" ht="15.75">
      <c r="A502" s="269"/>
      <c r="B502" s="269"/>
      <c r="C502" s="270"/>
      <c r="D502" s="270"/>
      <c r="E502" s="271"/>
      <c r="F502" s="271"/>
      <c r="G502" s="272"/>
      <c r="H502" s="272"/>
      <c r="I502" s="273"/>
      <c r="J502" s="221"/>
      <c r="K502" s="270"/>
      <c r="L502" s="270"/>
      <c r="M502" s="270"/>
      <c r="N502" s="270"/>
      <c r="O502" s="270"/>
      <c r="P502" s="270"/>
      <c r="Q502" s="270"/>
      <c r="R502" s="270"/>
      <c r="S502" s="270"/>
      <c r="T502" s="270"/>
      <c r="U502" s="270"/>
      <c r="V502" s="270"/>
      <c r="W502" s="270"/>
      <c r="X502" s="270"/>
      <c r="Y502" s="270"/>
      <c r="Z502" s="270"/>
      <c r="AA502" s="270"/>
      <c r="AB502" s="270"/>
      <c r="AC502" s="270"/>
      <c r="AD502" s="270"/>
      <c r="AE502" s="270"/>
      <c r="AF502" s="270"/>
      <c r="AG502" s="270"/>
      <c r="AH502" s="270"/>
      <c r="AL502" s="274"/>
    </row>
    <row r="503" spans="1:40" s="108" customFormat="1" ht="15.75">
      <c r="A503" s="269"/>
      <c r="B503" s="269"/>
      <c r="C503" s="270"/>
      <c r="D503" s="270"/>
      <c r="E503" s="271"/>
      <c r="F503" s="271"/>
      <c r="G503" s="272"/>
      <c r="H503" s="272"/>
      <c r="I503" s="273"/>
      <c r="J503" s="221"/>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L503" s="274"/>
    </row>
    <row r="504" spans="1:40">
      <c r="J504" s="134"/>
    </row>
  </sheetData>
  <mergeCells count="30">
    <mergeCell ref="T6:T7"/>
    <mergeCell ref="F1:I1"/>
    <mergeCell ref="K1:AH1"/>
    <mergeCell ref="K3:AH3"/>
    <mergeCell ref="F4:I4"/>
    <mergeCell ref="K6:K7"/>
    <mergeCell ref="L6:L7"/>
    <mergeCell ref="M6:M7"/>
    <mergeCell ref="N6:N7"/>
    <mergeCell ref="O6:O7"/>
    <mergeCell ref="P6:P7"/>
    <mergeCell ref="U6:U7"/>
    <mergeCell ref="V6:V7"/>
    <mergeCell ref="W6:W7"/>
    <mergeCell ref="X6:X7"/>
    <mergeCell ref="Y6:Y7"/>
    <mergeCell ref="F5:I5"/>
    <mergeCell ref="F6:I6"/>
    <mergeCell ref="Q6:Q7"/>
    <mergeCell ref="R6:R7"/>
    <mergeCell ref="S6:S7"/>
    <mergeCell ref="Z6:Z7"/>
    <mergeCell ref="AA6:AA7"/>
    <mergeCell ref="AG6:AG7"/>
    <mergeCell ref="AH6:AH7"/>
    <mergeCell ref="AB6:AB7"/>
    <mergeCell ref="AC6:AC7"/>
    <mergeCell ref="AD6:AD7"/>
    <mergeCell ref="AE6:AE7"/>
    <mergeCell ref="AF6:AF7"/>
  </mergeCells>
  <conditionalFormatting sqref="K9:AH503">
    <cfRule type="cellIs" dxfId="9" priority="1" operator="equal">
      <formula>"y"</formula>
    </cfRule>
    <cfRule type="cellIs" dxfId="8" priority="2" stopIfTrue="1" operator="equal">
      <formula>"n"</formula>
    </cfRule>
  </conditionalFormatting>
  <pageMargins left="0.7" right="0.7" top="0.75" bottom="0.75" header="0.3" footer="0.3"/>
  <pageSetup paperSize="9" orientation="portrait" horizontalDpi="0" verticalDpi="0" r:id="rId1"/>
  <ignoredErrors>
    <ignoredError sqref="I9:I500"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05"/>
  <sheetViews>
    <sheetView zoomScale="80" zoomScaleNormal="80" workbookViewId="0">
      <selection activeCell="N20" sqref="N20"/>
    </sheetView>
  </sheetViews>
  <sheetFormatPr defaultRowHeight="15"/>
  <cols>
    <col min="1" max="1" width="38.28515625" style="1" customWidth="1"/>
    <col min="2" max="2" width="17.7109375" style="1" bestFit="1" customWidth="1"/>
    <col min="3" max="4" width="2" customWidth="1"/>
    <col min="5" max="5" width="38.28515625" bestFit="1" customWidth="1"/>
    <col min="6" max="6" width="17.7109375" bestFit="1" customWidth="1"/>
    <col min="7" max="8" width="2.7109375" customWidth="1"/>
    <col min="9" max="9" width="38.28515625" bestFit="1" customWidth="1"/>
    <col min="10" max="10" width="17.7109375" bestFit="1" customWidth="1"/>
    <col min="11" max="12" width="1.5703125" customWidth="1"/>
    <col min="13" max="13" width="38.28515625" bestFit="1" customWidth="1"/>
    <col min="14" max="14" width="17.7109375" bestFit="1" customWidth="1"/>
  </cols>
  <sheetData>
    <row r="1" spans="1:14" ht="27.75">
      <c r="A1" s="21"/>
      <c r="B1" s="21"/>
      <c r="C1" s="20"/>
      <c r="D1" s="20"/>
      <c r="E1" s="20"/>
      <c r="F1" s="20"/>
      <c r="G1" s="20"/>
      <c r="H1" s="20"/>
      <c r="I1" s="20"/>
      <c r="J1" s="20"/>
      <c r="K1" s="20"/>
      <c r="L1" s="20"/>
      <c r="M1" s="20"/>
      <c r="N1" s="20"/>
    </row>
    <row r="2" spans="1:14" ht="26.25">
      <c r="A2" s="19"/>
      <c r="B2" s="19"/>
      <c r="C2" s="10"/>
      <c r="D2" s="10"/>
      <c r="E2" s="10"/>
      <c r="F2" s="10"/>
      <c r="G2" s="10"/>
      <c r="H2" s="10"/>
      <c r="I2" s="10"/>
      <c r="J2" s="10"/>
      <c r="K2" s="10"/>
      <c r="L2" s="10"/>
      <c r="M2" s="10"/>
      <c r="N2" s="10"/>
    </row>
    <row r="3" spans="1:14">
      <c r="A3" s="16"/>
      <c r="B3" s="16"/>
      <c r="C3" s="7"/>
      <c r="D3" s="7"/>
      <c r="E3" s="7"/>
      <c r="F3" s="7"/>
      <c r="G3" s="7"/>
      <c r="H3" s="7"/>
      <c r="I3" s="7"/>
      <c r="J3" s="7"/>
      <c r="K3" s="7"/>
      <c r="L3" s="7"/>
      <c r="M3" s="7"/>
      <c r="N3" s="7"/>
    </row>
    <row r="4" spans="1:14" ht="20.25">
      <c r="A4" s="18"/>
      <c r="B4" s="18"/>
      <c r="C4" s="9"/>
      <c r="D4" s="9"/>
      <c r="E4" s="9"/>
      <c r="F4" s="9"/>
      <c r="G4" s="9"/>
      <c r="H4" s="9"/>
      <c r="I4" s="9"/>
      <c r="J4" s="9"/>
      <c r="K4" s="9"/>
      <c r="L4" s="9"/>
      <c r="M4" s="9"/>
      <c r="N4" s="9"/>
    </row>
    <row r="5" spans="1:14">
      <c r="A5" s="15"/>
      <c r="B5" s="15"/>
      <c r="C5" s="6"/>
      <c r="D5" s="6"/>
      <c r="E5" s="6"/>
      <c r="F5" s="6"/>
      <c r="G5" s="6"/>
      <c r="H5" s="6"/>
      <c r="I5" s="6"/>
      <c r="J5" s="6"/>
      <c r="K5" s="6"/>
      <c r="L5" s="6"/>
      <c r="M5" s="6"/>
      <c r="N5" s="6"/>
    </row>
    <row r="6" spans="1:14">
      <c r="A6" s="16"/>
      <c r="B6" s="16"/>
      <c r="C6" s="7"/>
      <c r="D6" s="7"/>
      <c r="E6" s="7"/>
      <c r="F6" s="7"/>
      <c r="G6" s="7"/>
      <c r="H6" s="7"/>
      <c r="I6" s="7"/>
      <c r="J6" s="7"/>
      <c r="K6" s="7"/>
      <c r="L6" s="7"/>
      <c r="M6" s="7"/>
      <c r="N6" s="7"/>
    </row>
    <row r="7" spans="1:14">
      <c r="A7" s="17"/>
      <c r="B7" s="17"/>
      <c r="C7" s="8"/>
      <c r="D7" s="8"/>
      <c r="E7" s="8"/>
      <c r="F7" s="8"/>
      <c r="G7" s="8"/>
      <c r="H7" s="8"/>
      <c r="I7" s="8"/>
      <c r="J7" s="8"/>
      <c r="K7" s="8"/>
      <c r="L7" s="8"/>
      <c r="M7" s="8"/>
      <c r="N7" s="8"/>
    </row>
    <row r="8" spans="1:14">
      <c r="A8" s="17"/>
      <c r="B8" s="17"/>
      <c r="C8" s="8"/>
      <c r="D8" s="8"/>
      <c r="E8" s="8"/>
      <c r="F8" s="8"/>
      <c r="G8" s="8"/>
      <c r="H8" s="8"/>
      <c r="I8" s="8"/>
      <c r="J8" s="8"/>
      <c r="K8" s="8"/>
      <c r="L8" s="8"/>
      <c r="M8" s="8"/>
      <c r="N8" s="8"/>
    </row>
    <row r="9" spans="1:14">
      <c r="A9" s="16" t="s">
        <v>48</v>
      </c>
      <c r="B9" s="16"/>
      <c r="C9" s="7"/>
      <c r="D9" s="7"/>
      <c r="E9" s="7"/>
      <c r="F9" s="7"/>
      <c r="G9" s="7"/>
      <c r="H9" s="7"/>
      <c r="I9" s="7"/>
      <c r="J9" s="7"/>
      <c r="K9" s="7"/>
      <c r="L9" s="7"/>
      <c r="M9" s="7"/>
      <c r="N9" s="7"/>
    </row>
    <row r="10" spans="1:14">
      <c r="A10" s="15"/>
      <c r="B10" s="15"/>
      <c r="C10" s="6"/>
      <c r="D10" s="6"/>
      <c r="E10" s="6"/>
      <c r="F10" s="6"/>
      <c r="G10" s="6"/>
      <c r="H10" s="6"/>
      <c r="I10" s="6"/>
      <c r="J10" s="6"/>
      <c r="K10" s="6"/>
      <c r="L10" s="6"/>
      <c r="M10" s="6"/>
      <c r="N10" s="6"/>
    </row>
    <row r="11" spans="1:14" ht="30.75">
      <c r="A11" s="14" t="s">
        <v>47</v>
      </c>
      <c r="B11" s="11"/>
      <c r="C11" s="2"/>
      <c r="D11" s="2"/>
      <c r="E11" s="14" t="s">
        <v>46</v>
      </c>
      <c r="F11" s="11"/>
      <c r="G11" s="5"/>
      <c r="H11" s="5"/>
      <c r="I11" s="14" t="s">
        <v>45</v>
      </c>
      <c r="J11" s="11"/>
      <c r="K11" s="5"/>
      <c r="L11" s="5"/>
      <c r="M11" s="14" t="s">
        <v>44</v>
      </c>
      <c r="N11" s="11"/>
    </row>
    <row r="12" spans="1:14" ht="15.75">
      <c r="A12" s="13" t="s">
        <v>43</v>
      </c>
      <c r="B12" s="13" t="s">
        <v>42</v>
      </c>
      <c r="C12" s="2"/>
      <c r="D12" s="2"/>
      <c r="E12" s="13" t="s">
        <v>43</v>
      </c>
      <c r="F12" s="13" t="s">
        <v>42</v>
      </c>
      <c r="G12" s="5"/>
      <c r="H12" s="5"/>
      <c r="I12" s="13" t="s">
        <v>43</v>
      </c>
      <c r="J12" s="13" t="s">
        <v>42</v>
      </c>
      <c r="K12" s="5"/>
      <c r="L12" s="5"/>
      <c r="M12" s="13" t="s">
        <v>43</v>
      </c>
      <c r="N12" s="13" t="s">
        <v>42</v>
      </c>
    </row>
    <row r="13" spans="1:14" ht="15.75">
      <c r="A13" s="3">
        <v>0</v>
      </c>
      <c r="B13" s="3">
        <v>1</v>
      </c>
      <c r="C13" s="2"/>
      <c r="D13" s="2"/>
      <c r="E13" s="3">
        <v>0</v>
      </c>
      <c r="F13" s="3">
        <v>1</v>
      </c>
      <c r="G13" s="4"/>
      <c r="H13" s="4"/>
      <c r="I13" s="3">
        <v>0</v>
      </c>
      <c r="J13" s="3">
        <v>1</v>
      </c>
      <c r="K13" s="4"/>
      <c r="L13" s="4"/>
      <c r="M13" s="3">
        <v>0</v>
      </c>
      <c r="N13" s="3">
        <v>1</v>
      </c>
    </row>
    <row r="14" spans="1:14" ht="15.75">
      <c r="A14" s="3">
        <v>8</v>
      </c>
      <c r="B14" s="3">
        <v>2</v>
      </c>
      <c r="C14" s="2"/>
      <c r="D14" s="2"/>
      <c r="E14" s="3">
        <v>9</v>
      </c>
      <c r="F14" s="3">
        <v>2</v>
      </c>
      <c r="G14" s="5"/>
      <c r="H14" s="5"/>
      <c r="I14" s="3">
        <v>12</v>
      </c>
      <c r="J14" s="3">
        <v>2</v>
      </c>
      <c r="K14" s="5"/>
      <c r="L14" s="5"/>
      <c r="M14" s="3">
        <v>14</v>
      </c>
      <c r="N14" s="3">
        <v>2</v>
      </c>
    </row>
    <row r="15" spans="1:14" ht="15.75">
      <c r="A15" s="3">
        <v>10</v>
      </c>
      <c r="B15" s="3">
        <v>3</v>
      </c>
      <c r="C15" s="2"/>
      <c r="D15" s="2"/>
      <c r="E15" s="3">
        <v>12</v>
      </c>
      <c r="F15" s="3">
        <v>3</v>
      </c>
      <c r="G15" s="5"/>
      <c r="H15" s="5"/>
      <c r="I15" s="3">
        <v>15</v>
      </c>
      <c r="J15" s="3">
        <v>3</v>
      </c>
      <c r="K15" s="5"/>
      <c r="L15" s="5"/>
      <c r="M15" s="3">
        <v>16</v>
      </c>
      <c r="N15" s="3">
        <v>3</v>
      </c>
    </row>
    <row r="16" spans="1:14" ht="15.75">
      <c r="A16" s="3">
        <v>12</v>
      </c>
      <c r="B16" s="3">
        <v>4</v>
      </c>
      <c r="C16" s="2"/>
      <c r="D16" s="2"/>
      <c r="E16" s="3">
        <v>14</v>
      </c>
      <c r="F16" s="3">
        <v>4</v>
      </c>
      <c r="G16" s="5"/>
      <c r="H16" s="5"/>
      <c r="I16" s="3">
        <v>17</v>
      </c>
      <c r="J16" s="3">
        <v>4</v>
      </c>
      <c r="K16" s="5"/>
      <c r="L16" s="5"/>
      <c r="M16" s="3">
        <v>18</v>
      </c>
      <c r="N16" s="3">
        <v>4</v>
      </c>
    </row>
    <row r="17" spans="1:14" ht="15.75">
      <c r="A17" s="3">
        <v>14</v>
      </c>
      <c r="B17" s="3">
        <v>5</v>
      </c>
      <c r="C17" s="2"/>
      <c r="D17" s="2"/>
      <c r="E17" s="3">
        <v>16</v>
      </c>
      <c r="F17" s="3">
        <v>5</v>
      </c>
      <c r="G17" s="5"/>
      <c r="H17" s="5"/>
      <c r="I17" s="3">
        <v>18</v>
      </c>
      <c r="J17" s="3">
        <v>5</v>
      </c>
      <c r="K17" s="5"/>
      <c r="L17" s="5"/>
      <c r="M17" s="3">
        <v>19</v>
      </c>
      <c r="N17" s="3">
        <v>5</v>
      </c>
    </row>
    <row r="18" spans="1:14" ht="15.75">
      <c r="A18" s="3">
        <v>15</v>
      </c>
      <c r="B18" s="3">
        <v>6</v>
      </c>
      <c r="C18" s="2"/>
      <c r="D18" s="2"/>
      <c r="E18" s="3">
        <v>18</v>
      </c>
      <c r="F18" s="3">
        <v>6</v>
      </c>
      <c r="G18" s="4"/>
      <c r="H18" s="4"/>
      <c r="I18" s="3">
        <v>20</v>
      </c>
      <c r="J18" s="3">
        <v>6</v>
      </c>
      <c r="K18" s="4"/>
      <c r="L18" s="4"/>
      <c r="M18" s="3">
        <v>21</v>
      </c>
      <c r="N18" s="3">
        <v>6</v>
      </c>
    </row>
    <row r="19" spans="1:14">
      <c r="A19" s="3">
        <v>17</v>
      </c>
      <c r="B19" s="3">
        <v>7</v>
      </c>
      <c r="C19" s="2"/>
      <c r="D19" s="2"/>
      <c r="E19" s="3">
        <v>19</v>
      </c>
      <c r="F19" s="3">
        <v>7</v>
      </c>
      <c r="G19" s="2"/>
      <c r="H19" s="2"/>
      <c r="I19" s="3">
        <v>21</v>
      </c>
      <c r="J19" s="3">
        <v>7</v>
      </c>
      <c r="K19" s="2"/>
      <c r="L19" s="2"/>
      <c r="M19" s="3">
        <v>22</v>
      </c>
      <c r="N19" s="3">
        <v>7</v>
      </c>
    </row>
    <row r="20" spans="1:14" ht="15.75">
      <c r="A20" s="3">
        <v>19</v>
      </c>
      <c r="B20" s="3">
        <v>8</v>
      </c>
      <c r="C20" s="2"/>
      <c r="D20" s="2"/>
      <c r="E20" s="3">
        <v>21</v>
      </c>
      <c r="F20" s="3">
        <v>8</v>
      </c>
      <c r="G20" s="5"/>
      <c r="H20" s="5"/>
      <c r="I20" s="3">
        <v>23</v>
      </c>
      <c r="J20" s="3">
        <v>8</v>
      </c>
      <c r="K20" s="5"/>
      <c r="L20" s="5"/>
      <c r="M20" s="3">
        <v>24</v>
      </c>
      <c r="N20" s="12" t="s">
        <v>41</v>
      </c>
    </row>
    <row r="21" spans="1:14" ht="15.75">
      <c r="A21" s="3">
        <v>20</v>
      </c>
      <c r="B21" s="3">
        <v>9</v>
      </c>
      <c r="C21" s="2"/>
      <c r="D21" s="2"/>
      <c r="E21" s="3">
        <v>23</v>
      </c>
      <c r="F21" s="3">
        <v>9</v>
      </c>
      <c r="G21" s="5"/>
      <c r="H21" s="5"/>
      <c r="I21" s="3">
        <v>24</v>
      </c>
      <c r="J21" s="3">
        <v>9</v>
      </c>
      <c r="K21" s="5"/>
      <c r="L21" s="5"/>
      <c r="M21" s="5"/>
      <c r="N21" s="5"/>
    </row>
    <row r="22" spans="1:14" ht="15.75">
      <c r="A22" s="11"/>
      <c r="B22" s="11"/>
      <c r="C22" s="2"/>
      <c r="D22" s="2"/>
      <c r="E22" s="11"/>
      <c r="F22" s="11"/>
      <c r="G22" s="4"/>
      <c r="H22" s="4"/>
      <c r="I22" s="4"/>
      <c r="J22" s="4"/>
      <c r="K22" s="4"/>
      <c r="L22" s="4"/>
      <c r="M22" s="4"/>
      <c r="N22" s="4"/>
    </row>
    <row r="23" spans="1:14">
      <c r="A23" s="11"/>
      <c r="B23" s="11"/>
      <c r="C23" s="2"/>
      <c r="D23" s="2"/>
      <c r="E23" s="11"/>
      <c r="F23" s="11"/>
      <c r="G23" s="2"/>
      <c r="H23" s="2"/>
      <c r="I23" s="2"/>
      <c r="J23" s="2"/>
      <c r="K23" s="2"/>
      <c r="L23" s="2"/>
      <c r="M23" s="2"/>
      <c r="N23" s="2"/>
    </row>
    <row r="24" spans="1:14" ht="15.75">
      <c r="A24" s="11"/>
      <c r="B24" s="11"/>
      <c r="C24" s="2"/>
      <c r="D24" s="2"/>
      <c r="E24" s="11"/>
      <c r="F24" s="11"/>
      <c r="G24" s="5"/>
      <c r="H24" s="5"/>
      <c r="I24" s="5"/>
      <c r="J24" s="5"/>
      <c r="K24" s="5"/>
      <c r="L24" s="5"/>
      <c r="M24" s="5"/>
      <c r="N24" s="5"/>
    </row>
    <row r="25" spans="1:14" ht="15.75">
      <c r="A25" s="11"/>
      <c r="B25" s="11"/>
      <c r="C25" s="2"/>
      <c r="D25" s="2"/>
      <c r="E25" s="11"/>
      <c r="F25" s="11"/>
      <c r="G25" s="5"/>
      <c r="H25" s="5"/>
      <c r="I25" s="5"/>
      <c r="J25" s="5"/>
      <c r="K25" s="5"/>
      <c r="L25" s="5"/>
      <c r="M25" s="5"/>
      <c r="N25" s="5"/>
    </row>
    <row r="26" spans="1:14" ht="15.75">
      <c r="A26" s="11"/>
      <c r="B26" s="11"/>
      <c r="C26" s="2"/>
      <c r="D26" s="2"/>
      <c r="E26" s="11"/>
      <c r="F26" s="11"/>
      <c r="G26" s="4"/>
      <c r="H26" s="4"/>
      <c r="I26" s="4"/>
      <c r="J26" s="4"/>
      <c r="K26" s="4"/>
      <c r="L26" s="4"/>
      <c r="M26" s="4"/>
      <c r="N26" s="4"/>
    </row>
    <row r="27" spans="1:14">
      <c r="A27" s="11"/>
      <c r="B27" s="11"/>
      <c r="C27" s="2"/>
      <c r="D27" s="2"/>
      <c r="E27" s="11"/>
      <c r="F27" s="11"/>
      <c r="G27" s="2"/>
      <c r="H27" s="2"/>
      <c r="I27" s="2"/>
      <c r="J27" s="2"/>
      <c r="K27" s="2"/>
      <c r="L27" s="2"/>
      <c r="M27" s="2"/>
      <c r="N27" s="2"/>
    </row>
    <row r="28" spans="1:14">
      <c r="A28" s="11"/>
      <c r="B28" s="11"/>
      <c r="C28" s="2"/>
      <c r="D28" s="2"/>
      <c r="E28" s="11"/>
      <c r="F28" s="11"/>
      <c r="G28" s="2"/>
      <c r="H28" s="2"/>
      <c r="I28" s="2"/>
      <c r="J28" s="2"/>
      <c r="K28" s="2"/>
      <c r="L28" s="2"/>
      <c r="M28" s="2"/>
      <c r="N28" s="2"/>
    </row>
    <row r="29" spans="1:14">
      <c r="A29" s="11"/>
      <c r="B29" s="11"/>
      <c r="C29" s="2"/>
      <c r="D29" s="2"/>
      <c r="E29" s="11"/>
      <c r="F29" s="11"/>
      <c r="G29" s="2"/>
      <c r="H29" s="2"/>
      <c r="I29" s="2"/>
      <c r="J29" s="2"/>
      <c r="K29" s="2"/>
      <c r="L29" s="2"/>
      <c r="M29" s="2"/>
      <c r="N29" s="2"/>
    </row>
    <row r="30" spans="1:14">
      <c r="A30" s="11"/>
      <c r="B30" s="11"/>
      <c r="C30" s="2"/>
      <c r="D30" s="2"/>
      <c r="E30" s="11"/>
      <c r="F30" s="11"/>
      <c r="G30" s="2"/>
      <c r="H30" s="2"/>
      <c r="I30" s="2"/>
      <c r="J30" s="2"/>
      <c r="K30" s="2"/>
      <c r="L30" s="2"/>
      <c r="M30" s="2"/>
      <c r="N30" s="2"/>
    </row>
    <row r="31" spans="1:14">
      <c r="A31" s="11"/>
      <c r="B31" s="11"/>
      <c r="C31" s="2"/>
      <c r="D31" s="2"/>
      <c r="E31" s="11"/>
      <c r="F31" s="11"/>
      <c r="G31" s="2"/>
      <c r="H31" s="2"/>
      <c r="I31" s="2"/>
      <c r="J31" s="2"/>
      <c r="K31" s="2"/>
      <c r="L31" s="2"/>
      <c r="M31" s="2"/>
      <c r="N31" s="2"/>
    </row>
    <row r="32" spans="1:14">
      <c r="A32" s="11"/>
      <c r="B32" s="11"/>
      <c r="C32" s="2"/>
      <c r="D32" s="2"/>
      <c r="E32" s="11"/>
      <c r="F32" s="11"/>
      <c r="G32" s="2"/>
      <c r="H32" s="2"/>
      <c r="I32" s="2"/>
      <c r="J32" s="2"/>
      <c r="K32" s="2"/>
      <c r="L32" s="2"/>
      <c r="M32" s="2"/>
      <c r="N32" s="2"/>
    </row>
    <row r="33" spans="1:14">
      <c r="A33" s="11"/>
      <c r="B33" s="11"/>
      <c r="C33" s="2"/>
      <c r="D33" s="2"/>
      <c r="E33" s="11"/>
      <c r="F33" s="11"/>
      <c r="G33" s="2"/>
      <c r="H33" s="2"/>
      <c r="I33" s="2"/>
      <c r="J33" s="2"/>
      <c r="K33" s="2"/>
      <c r="L33" s="2"/>
      <c r="M33" s="2"/>
      <c r="N33" s="2"/>
    </row>
    <row r="34" spans="1:14">
      <c r="A34" s="11"/>
      <c r="B34" s="11"/>
      <c r="C34" s="2"/>
      <c r="D34" s="2"/>
      <c r="E34" s="11"/>
      <c r="F34" s="11"/>
      <c r="G34" s="2"/>
      <c r="H34" s="2"/>
      <c r="I34" s="2"/>
      <c r="J34" s="2"/>
      <c r="K34" s="2"/>
      <c r="L34" s="2"/>
      <c r="M34" s="2"/>
      <c r="N34" s="2"/>
    </row>
    <row r="35" spans="1:14">
      <c r="A35" s="11"/>
      <c r="B35" s="11"/>
      <c r="C35" s="2"/>
      <c r="D35" s="2"/>
      <c r="E35" s="11"/>
      <c r="F35" s="11"/>
      <c r="G35" s="2"/>
      <c r="H35" s="2"/>
      <c r="I35" s="2"/>
      <c r="J35" s="2"/>
      <c r="K35" s="2"/>
      <c r="L35" s="2"/>
      <c r="M35" s="2"/>
      <c r="N35" s="2"/>
    </row>
    <row r="36" spans="1:14">
      <c r="A36" s="11"/>
      <c r="B36" s="11"/>
      <c r="C36" s="2"/>
      <c r="D36" s="2"/>
      <c r="E36" s="11"/>
      <c r="F36" s="11"/>
      <c r="G36" s="2"/>
      <c r="H36" s="2"/>
      <c r="I36" s="2"/>
      <c r="J36" s="2"/>
      <c r="K36" s="2"/>
      <c r="L36" s="2"/>
      <c r="M36" s="2"/>
      <c r="N36" s="2"/>
    </row>
    <row r="37" spans="1:14">
      <c r="A37" s="11"/>
      <c r="B37" s="11"/>
      <c r="C37" s="2"/>
      <c r="D37" s="2"/>
      <c r="E37" s="11"/>
      <c r="F37" s="11"/>
      <c r="G37" s="2"/>
      <c r="H37" s="2"/>
      <c r="I37" s="2"/>
      <c r="J37" s="2"/>
      <c r="K37" s="2"/>
      <c r="L37" s="2"/>
      <c r="M37" s="2"/>
      <c r="N37" s="2"/>
    </row>
    <row r="38" spans="1:14">
      <c r="A38" s="11"/>
      <c r="B38" s="11"/>
      <c r="C38" s="2"/>
      <c r="D38" s="2"/>
      <c r="E38" s="2"/>
      <c r="F38" s="2"/>
      <c r="G38" s="2"/>
      <c r="H38" s="2"/>
      <c r="I38" s="2"/>
      <c r="J38" s="2"/>
      <c r="K38" s="2"/>
      <c r="L38" s="2"/>
      <c r="M38" s="2"/>
      <c r="N38" s="2"/>
    </row>
    <row r="39" spans="1:14">
      <c r="A39" s="11"/>
      <c r="B39" s="11"/>
      <c r="C39" s="2"/>
      <c r="D39" s="2"/>
      <c r="E39" s="2"/>
      <c r="F39" s="2"/>
      <c r="G39" s="2"/>
      <c r="H39" s="2"/>
      <c r="I39" s="2"/>
      <c r="J39" s="2"/>
      <c r="K39" s="2"/>
      <c r="L39" s="2"/>
      <c r="M39" s="2"/>
      <c r="N39" s="2"/>
    </row>
    <row r="40" spans="1:14">
      <c r="A40" s="11"/>
      <c r="B40" s="11"/>
      <c r="C40" s="2"/>
      <c r="D40" s="2"/>
      <c r="E40" s="2"/>
      <c r="F40" s="2"/>
      <c r="G40" s="2"/>
      <c r="H40" s="2"/>
      <c r="I40" s="2"/>
      <c r="J40" s="2"/>
      <c r="K40" s="2"/>
      <c r="L40" s="2"/>
      <c r="M40" s="2"/>
      <c r="N40" s="2"/>
    </row>
    <row r="41" spans="1:14">
      <c r="A41" s="11"/>
      <c r="B41" s="11"/>
      <c r="C41" s="2"/>
      <c r="D41" s="2"/>
      <c r="E41" s="2"/>
      <c r="F41" s="2"/>
      <c r="G41" s="2"/>
      <c r="H41" s="2"/>
      <c r="I41" s="2"/>
      <c r="J41" s="2"/>
      <c r="K41" s="2"/>
      <c r="L41" s="2"/>
      <c r="M41" s="2"/>
      <c r="N41" s="2"/>
    </row>
    <row r="42" spans="1:14">
      <c r="A42" s="11"/>
      <c r="B42" s="11"/>
      <c r="C42" s="2"/>
      <c r="D42" s="2"/>
      <c r="E42" s="2"/>
      <c r="F42" s="2"/>
      <c r="G42" s="2"/>
      <c r="H42" s="2"/>
      <c r="I42" s="2"/>
      <c r="J42" s="2"/>
      <c r="K42" s="2"/>
      <c r="L42" s="2"/>
      <c r="M42" s="2"/>
      <c r="N42" s="2"/>
    </row>
    <row r="43" spans="1:14">
      <c r="A43" s="11"/>
      <c r="B43" s="11"/>
      <c r="C43" s="2"/>
      <c r="D43" s="2"/>
      <c r="E43" s="2"/>
      <c r="F43" s="2"/>
      <c r="G43" s="2"/>
      <c r="H43" s="2"/>
      <c r="I43" s="2"/>
      <c r="J43" s="2"/>
      <c r="K43" s="2"/>
      <c r="L43" s="2"/>
      <c r="M43" s="2"/>
      <c r="N43" s="2"/>
    </row>
    <row r="44" spans="1:14">
      <c r="A44" s="11"/>
      <c r="B44" s="11"/>
      <c r="C44" s="2"/>
      <c r="D44" s="2"/>
      <c r="E44" s="2"/>
      <c r="F44" s="2"/>
      <c r="G44" s="2"/>
      <c r="H44" s="2"/>
      <c r="I44" s="2"/>
      <c r="J44" s="2"/>
      <c r="K44" s="2"/>
      <c r="L44" s="2"/>
      <c r="M44" s="2"/>
      <c r="N44" s="2"/>
    </row>
    <row r="45" spans="1:14">
      <c r="A45" s="11"/>
      <c r="B45" s="11"/>
      <c r="C45" s="2"/>
      <c r="D45" s="2"/>
      <c r="E45" s="2"/>
      <c r="F45" s="2"/>
      <c r="G45" s="2"/>
      <c r="H45" s="2"/>
      <c r="I45" s="2"/>
      <c r="J45" s="2"/>
      <c r="K45" s="2"/>
      <c r="L45" s="2"/>
      <c r="M45" s="2"/>
      <c r="N45" s="2"/>
    </row>
    <row r="46" spans="1:14">
      <c r="A46" s="11"/>
      <c r="B46" s="11"/>
      <c r="C46" s="2"/>
      <c r="D46" s="2"/>
      <c r="E46" s="2"/>
      <c r="F46" s="2"/>
      <c r="G46" s="2"/>
      <c r="H46" s="2"/>
      <c r="I46" s="2"/>
      <c r="J46" s="2"/>
      <c r="K46" s="2"/>
      <c r="L46" s="2"/>
      <c r="M46" s="2"/>
      <c r="N46" s="2"/>
    </row>
    <row r="47" spans="1:14">
      <c r="A47" s="11"/>
      <c r="B47" s="11"/>
      <c r="C47" s="2"/>
      <c r="D47" s="2"/>
      <c r="E47" s="2"/>
      <c r="F47" s="2"/>
      <c r="G47" s="2"/>
      <c r="H47" s="2"/>
      <c r="I47" s="2"/>
      <c r="J47" s="2"/>
      <c r="K47" s="2"/>
      <c r="L47" s="2"/>
      <c r="M47" s="2"/>
      <c r="N47" s="2"/>
    </row>
    <row r="48" spans="1:14">
      <c r="A48" s="11"/>
      <c r="B48" s="11"/>
      <c r="C48" s="2"/>
      <c r="D48" s="2"/>
      <c r="E48" s="2"/>
      <c r="F48" s="2"/>
      <c r="G48" s="2"/>
      <c r="H48" s="2"/>
      <c r="I48" s="2"/>
      <c r="J48" s="2"/>
      <c r="K48" s="2"/>
      <c r="L48" s="2"/>
      <c r="M48" s="2"/>
      <c r="N48" s="2"/>
    </row>
    <row r="49" spans="1:14">
      <c r="A49" s="11"/>
      <c r="B49" s="11"/>
      <c r="C49" s="2"/>
      <c r="D49" s="2"/>
      <c r="E49" s="2"/>
      <c r="F49" s="2"/>
      <c r="G49" s="2"/>
      <c r="H49" s="2"/>
      <c r="I49" s="2"/>
      <c r="J49" s="2"/>
      <c r="K49" s="2"/>
      <c r="L49" s="2"/>
      <c r="M49" s="2"/>
      <c r="N49" s="2"/>
    </row>
    <row r="50" spans="1:14">
      <c r="A50" s="11"/>
      <c r="B50" s="11"/>
      <c r="C50" s="2"/>
      <c r="D50" s="2"/>
      <c r="E50" s="2"/>
      <c r="F50" s="2"/>
      <c r="G50" s="2"/>
      <c r="H50" s="2"/>
      <c r="I50" s="2"/>
      <c r="J50" s="2"/>
      <c r="K50" s="2"/>
      <c r="L50" s="2"/>
      <c r="M50" s="2"/>
      <c r="N50" s="2"/>
    </row>
    <row r="51" spans="1:14">
      <c r="A51" s="11"/>
      <c r="B51" s="11"/>
      <c r="C51" s="2"/>
      <c r="D51" s="2"/>
      <c r="E51" s="2"/>
      <c r="F51" s="2"/>
      <c r="G51" s="2"/>
      <c r="H51" s="2"/>
      <c r="I51" s="2"/>
      <c r="J51" s="2"/>
      <c r="K51" s="2"/>
      <c r="L51" s="2"/>
      <c r="M51" s="2"/>
      <c r="N51" s="2"/>
    </row>
    <row r="52" spans="1:14">
      <c r="A52" s="11"/>
      <c r="B52" s="11"/>
      <c r="C52" s="2"/>
      <c r="D52" s="2"/>
      <c r="E52" s="2"/>
      <c r="F52" s="2"/>
      <c r="G52" s="2"/>
      <c r="H52" s="2"/>
      <c r="I52" s="2"/>
      <c r="J52" s="2"/>
      <c r="K52" s="2"/>
      <c r="L52" s="2"/>
      <c r="M52" s="2"/>
      <c r="N52" s="2"/>
    </row>
    <row r="53" spans="1:14">
      <c r="A53" s="11"/>
      <c r="B53" s="11"/>
      <c r="C53" s="2"/>
      <c r="D53" s="2"/>
      <c r="E53" s="2"/>
      <c r="F53" s="2"/>
      <c r="G53" s="2"/>
      <c r="H53" s="2"/>
      <c r="I53" s="2"/>
      <c r="J53" s="2"/>
      <c r="K53" s="2"/>
      <c r="L53" s="2"/>
      <c r="M53" s="2"/>
      <c r="N53" s="2"/>
    </row>
    <row r="54" spans="1:14">
      <c r="A54" s="11"/>
      <c r="B54" s="11"/>
      <c r="C54" s="2"/>
      <c r="D54" s="2"/>
      <c r="E54" s="2"/>
      <c r="F54" s="2"/>
      <c r="G54" s="2"/>
      <c r="H54" s="2"/>
      <c r="I54" s="2"/>
      <c r="J54" s="2"/>
      <c r="K54" s="2"/>
      <c r="L54" s="2"/>
      <c r="M54" s="2"/>
      <c r="N54" s="2"/>
    </row>
    <row r="55" spans="1:14">
      <c r="A55" s="11"/>
      <c r="B55" s="11"/>
      <c r="C55" s="2"/>
      <c r="D55" s="2"/>
      <c r="E55" s="2"/>
      <c r="F55" s="2"/>
      <c r="G55" s="2"/>
      <c r="H55" s="2"/>
      <c r="I55" s="2"/>
      <c r="J55" s="2"/>
      <c r="K55" s="2"/>
      <c r="L55" s="2"/>
      <c r="M55" s="2"/>
      <c r="N55" s="2"/>
    </row>
    <row r="56" spans="1:14">
      <c r="A56" s="11"/>
      <c r="B56" s="11"/>
      <c r="C56" s="2"/>
      <c r="D56" s="2"/>
      <c r="E56" s="2"/>
      <c r="F56" s="2"/>
      <c r="G56" s="2"/>
      <c r="H56" s="2"/>
      <c r="I56" s="2"/>
      <c r="J56" s="2"/>
      <c r="K56" s="2"/>
      <c r="L56" s="2"/>
      <c r="M56" s="2"/>
      <c r="N56" s="2"/>
    </row>
    <row r="57" spans="1:14">
      <c r="A57" s="11"/>
      <c r="B57" s="11"/>
      <c r="C57" s="2"/>
      <c r="D57" s="2"/>
      <c r="E57" s="2"/>
      <c r="F57" s="2"/>
      <c r="G57" s="2"/>
      <c r="H57" s="2"/>
      <c r="I57" s="2"/>
      <c r="J57" s="2"/>
      <c r="K57" s="2"/>
      <c r="L57" s="2"/>
      <c r="M57" s="2"/>
      <c r="N57" s="2"/>
    </row>
    <row r="58" spans="1:14">
      <c r="A58" s="11"/>
      <c r="B58" s="11"/>
      <c r="C58" s="2"/>
      <c r="D58" s="2"/>
      <c r="E58" s="2"/>
      <c r="F58" s="2"/>
      <c r="G58" s="2"/>
      <c r="H58" s="2"/>
      <c r="I58" s="2"/>
      <c r="J58" s="2"/>
      <c r="K58" s="2"/>
      <c r="L58" s="2"/>
      <c r="M58" s="2"/>
      <c r="N58" s="2"/>
    </row>
    <row r="59" spans="1:14">
      <c r="A59" s="11"/>
      <c r="B59" s="11"/>
      <c r="C59" s="2"/>
      <c r="D59" s="2"/>
      <c r="E59" s="2"/>
      <c r="F59" s="2"/>
      <c r="G59" s="2"/>
      <c r="H59" s="2"/>
      <c r="I59" s="2"/>
      <c r="J59" s="2"/>
      <c r="K59" s="2"/>
      <c r="L59" s="2"/>
      <c r="M59" s="2"/>
      <c r="N59" s="2"/>
    </row>
    <row r="60" spans="1:14">
      <c r="A60" s="11"/>
      <c r="B60" s="11"/>
      <c r="C60" s="2"/>
      <c r="D60" s="2"/>
      <c r="E60" s="2"/>
      <c r="F60" s="2"/>
      <c r="G60" s="2"/>
      <c r="H60" s="2"/>
      <c r="I60" s="2"/>
      <c r="J60" s="2"/>
      <c r="K60" s="2"/>
      <c r="L60" s="2"/>
      <c r="M60" s="2"/>
      <c r="N60" s="2"/>
    </row>
    <row r="61" spans="1:14">
      <c r="A61" s="11"/>
      <c r="B61" s="11"/>
      <c r="C61" s="2"/>
      <c r="D61" s="2"/>
      <c r="E61" s="2"/>
      <c r="F61" s="2"/>
      <c r="G61" s="2"/>
      <c r="H61" s="2"/>
      <c r="I61" s="2"/>
      <c r="J61" s="2"/>
      <c r="K61" s="2"/>
      <c r="L61" s="2"/>
      <c r="M61" s="2"/>
      <c r="N61" s="2"/>
    </row>
    <row r="62" spans="1:14">
      <c r="A62" s="11"/>
      <c r="B62" s="11"/>
      <c r="C62" s="2"/>
      <c r="D62" s="2"/>
      <c r="E62" s="2"/>
      <c r="F62" s="2"/>
      <c r="G62" s="2"/>
      <c r="H62" s="2"/>
      <c r="I62" s="2"/>
      <c r="J62" s="2"/>
      <c r="K62" s="2"/>
      <c r="L62" s="2"/>
      <c r="M62" s="2"/>
      <c r="N62" s="2"/>
    </row>
    <row r="63" spans="1:14">
      <c r="A63" s="11"/>
      <c r="B63" s="11"/>
      <c r="C63" s="2"/>
      <c r="D63" s="2"/>
      <c r="E63" s="2"/>
      <c r="F63" s="2"/>
      <c r="G63" s="2"/>
      <c r="H63" s="2"/>
      <c r="I63" s="2"/>
      <c r="J63" s="2"/>
      <c r="K63" s="2"/>
      <c r="L63" s="2"/>
      <c r="M63" s="2"/>
      <c r="N63" s="2"/>
    </row>
    <row r="64" spans="1:14">
      <c r="A64" s="11"/>
      <c r="B64" s="11"/>
      <c r="C64" s="2"/>
      <c r="D64" s="2"/>
      <c r="E64" s="2"/>
      <c r="F64" s="2"/>
      <c r="G64" s="2"/>
      <c r="H64" s="2"/>
      <c r="I64" s="2"/>
      <c r="J64" s="2"/>
      <c r="K64" s="2"/>
      <c r="L64" s="2"/>
      <c r="M64" s="2"/>
      <c r="N64" s="2"/>
    </row>
    <row r="65" spans="1:14">
      <c r="A65" s="11"/>
      <c r="B65" s="11"/>
      <c r="C65" s="2"/>
      <c r="D65" s="2"/>
      <c r="E65" s="2"/>
      <c r="F65" s="2"/>
      <c r="G65" s="2"/>
      <c r="H65" s="2"/>
      <c r="I65" s="2"/>
      <c r="J65" s="2"/>
      <c r="K65" s="2"/>
      <c r="L65" s="2"/>
      <c r="M65" s="2"/>
      <c r="N65" s="2"/>
    </row>
    <row r="66" spans="1:14">
      <c r="A66" s="11"/>
      <c r="B66" s="11"/>
      <c r="C66" s="2"/>
      <c r="D66" s="2"/>
      <c r="E66" s="2"/>
      <c r="F66" s="2"/>
      <c r="G66" s="2"/>
      <c r="H66" s="2"/>
      <c r="I66" s="2"/>
      <c r="J66" s="2"/>
      <c r="K66" s="2"/>
      <c r="L66" s="2"/>
      <c r="M66" s="2"/>
      <c r="N66" s="2"/>
    </row>
    <row r="67" spans="1:14">
      <c r="A67" s="11"/>
      <c r="B67" s="11"/>
      <c r="C67" s="2"/>
      <c r="D67" s="2"/>
      <c r="E67" s="2"/>
      <c r="F67" s="2"/>
      <c r="G67" s="2"/>
      <c r="H67" s="2"/>
      <c r="I67" s="2"/>
      <c r="J67" s="2"/>
      <c r="K67" s="2"/>
      <c r="L67" s="2"/>
      <c r="M67" s="2"/>
      <c r="N67" s="2"/>
    </row>
    <row r="68" spans="1:14">
      <c r="A68" s="11"/>
      <c r="B68" s="11"/>
      <c r="C68" s="2"/>
      <c r="D68" s="2"/>
      <c r="E68" s="2"/>
      <c r="F68" s="2"/>
      <c r="G68" s="2"/>
      <c r="H68" s="2"/>
      <c r="I68" s="2"/>
      <c r="J68" s="2"/>
      <c r="K68" s="2"/>
      <c r="L68" s="2"/>
      <c r="M68" s="2"/>
      <c r="N68" s="2"/>
    </row>
    <row r="69" spans="1:14">
      <c r="A69" s="11"/>
      <c r="B69" s="11"/>
      <c r="C69" s="2"/>
      <c r="D69" s="2"/>
      <c r="E69" s="2"/>
      <c r="F69" s="2"/>
      <c r="G69" s="2"/>
      <c r="H69" s="2"/>
      <c r="I69" s="2"/>
      <c r="J69" s="2"/>
      <c r="K69" s="2"/>
      <c r="L69" s="2"/>
      <c r="M69" s="2"/>
      <c r="N69" s="2"/>
    </row>
    <row r="70" spans="1:14">
      <c r="A70" s="11"/>
      <c r="B70" s="11"/>
      <c r="C70" s="2"/>
      <c r="D70" s="2"/>
      <c r="E70" s="2"/>
      <c r="F70" s="2"/>
      <c r="G70" s="2"/>
      <c r="H70" s="2"/>
      <c r="I70" s="2"/>
      <c r="J70" s="2"/>
      <c r="K70" s="2"/>
      <c r="L70" s="2"/>
      <c r="M70" s="2"/>
      <c r="N70" s="2"/>
    </row>
    <row r="71" spans="1:14">
      <c r="A71" s="11"/>
      <c r="B71" s="11"/>
      <c r="C71" s="2"/>
      <c r="D71" s="2"/>
      <c r="E71" s="2"/>
      <c r="F71" s="2"/>
      <c r="G71" s="2"/>
      <c r="H71" s="2"/>
      <c r="I71" s="2"/>
      <c r="J71" s="2"/>
      <c r="K71" s="2"/>
      <c r="L71" s="2"/>
      <c r="M71" s="2"/>
      <c r="N71" s="2"/>
    </row>
    <row r="72" spans="1:14">
      <c r="A72" s="11"/>
      <c r="B72" s="11"/>
      <c r="C72" s="2"/>
      <c r="D72" s="2"/>
      <c r="E72" s="2"/>
      <c r="F72" s="2"/>
      <c r="G72" s="2"/>
      <c r="H72" s="2"/>
      <c r="I72" s="2"/>
      <c r="J72" s="2"/>
      <c r="K72" s="2"/>
      <c r="L72" s="2"/>
      <c r="M72" s="2"/>
      <c r="N72" s="2"/>
    </row>
    <row r="73" spans="1:14">
      <c r="A73" s="11"/>
      <c r="B73" s="11"/>
      <c r="C73" s="2"/>
      <c r="D73" s="2"/>
      <c r="E73" s="2"/>
      <c r="F73" s="2"/>
      <c r="G73" s="2"/>
      <c r="H73" s="2"/>
      <c r="I73" s="2"/>
      <c r="J73" s="2"/>
      <c r="K73" s="2"/>
      <c r="L73" s="2"/>
      <c r="M73" s="2"/>
      <c r="N73" s="2"/>
    </row>
    <row r="74" spans="1:14">
      <c r="A74" s="11"/>
      <c r="B74" s="11"/>
      <c r="C74" s="2"/>
      <c r="D74" s="2"/>
      <c r="E74" s="2"/>
      <c r="F74" s="2"/>
      <c r="G74" s="2"/>
      <c r="H74" s="2"/>
      <c r="I74" s="2"/>
      <c r="J74" s="2"/>
      <c r="K74" s="2"/>
      <c r="L74" s="2"/>
      <c r="M74" s="2"/>
      <c r="N74" s="2"/>
    </row>
    <row r="75" spans="1:14">
      <c r="A75" s="11"/>
      <c r="B75" s="11"/>
      <c r="C75" s="2"/>
      <c r="D75" s="2"/>
      <c r="E75" s="2"/>
      <c r="F75" s="2"/>
      <c r="G75" s="2"/>
      <c r="H75" s="2"/>
      <c r="I75" s="2"/>
      <c r="J75" s="2"/>
      <c r="K75" s="2"/>
      <c r="L75" s="2"/>
      <c r="M75" s="2"/>
      <c r="N75" s="2"/>
    </row>
    <row r="76" spans="1:14">
      <c r="A76" s="11"/>
      <c r="B76" s="11"/>
      <c r="C76" s="2"/>
      <c r="D76" s="2"/>
      <c r="E76" s="2"/>
      <c r="F76" s="2"/>
      <c r="G76" s="2"/>
      <c r="H76" s="2"/>
      <c r="I76" s="2"/>
      <c r="J76" s="2"/>
      <c r="K76" s="2"/>
      <c r="L76" s="2"/>
      <c r="M76" s="2"/>
      <c r="N76" s="2"/>
    </row>
    <row r="77" spans="1:14">
      <c r="A77" s="11"/>
      <c r="B77" s="11"/>
      <c r="C77" s="2"/>
      <c r="D77" s="2"/>
      <c r="E77" s="2"/>
      <c r="F77" s="2"/>
      <c r="G77" s="2"/>
      <c r="H77" s="2"/>
      <c r="I77" s="2"/>
      <c r="J77" s="2"/>
      <c r="K77" s="2"/>
      <c r="L77" s="2"/>
      <c r="M77" s="2"/>
      <c r="N77" s="2"/>
    </row>
    <row r="78" spans="1:14">
      <c r="A78" s="11"/>
      <c r="B78" s="11"/>
      <c r="C78" s="2"/>
      <c r="D78" s="2"/>
      <c r="E78" s="2"/>
      <c r="F78" s="2"/>
      <c r="G78" s="2"/>
      <c r="H78" s="2"/>
      <c r="I78" s="2"/>
      <c r="J78" s="2"/>
      <c r="K78" s="2"/>
      <c r="L78" s="2"/>
      <c r="M78" s="2"/>
      <c r="N78" s="2"/>
    </row>
    <row r="79" spans="1:14">
      <c r="A79" s="11"/>
      <c r="B79" s="11"/>
      <c r="C79" s="2"/>
      <c r="D79" s="2"/>
      <c r="E79" s="2"/>
      <c r="F79" s="2"/>
      <c r="G79" s="2"/>
      <c r="H79" s="2"/>
      <c r="I79" s="2"/>
      <c r="J79" s="2"/>
      <c r="K79" s="2"/>
      <c r="L79" s="2"/>
      <c r="M79" s="2"/>
      <c r="N79" s="2"/>
    </row>
    <row r="80" spans="1:14">
      <c r="A80" s="11"/>
      <c r="B80" s="11"/>
      <c r="C80" s="2"/>
      <c r="D80" s="2"/>
      <c r="E80" s="2"/>
      <c r="F80" s="2"/>
      <c r="G80" s="2"/>
      <c r="H80" s="2"/>
      <c r="I80" s="2"/>
      <c r="J80" s="2"/>
      <c r="K80" s="2"/>
      <c r="L80" s="2"/>
      <c r="M80" s="2"/>
      <c r="N80" s="2"/>
    </row>
    <row r="81" spans="1:14">
      <c r="A81" s="11"/>
      <c r="B81" s="11"/>
      <c r="C81" s="2"/>
      <c r="D81" s="2"/>
      <c r="E81" s="2"/>
      <c r="F81" s="2"/>
      <c r="G81" s="2"/>
      <c r="H81" s="2"/>
      <c r="I81" s="2"/>
      <c r="J81" s="2"/>
      <c r="K81" s="2"/>
      <c r="L81" s="2"/>
      <c r="M81" s="2"/>
      <c r="N81" s="2"/>
    </row>
    <row r="82" spans="1:14">
      <c r="A82" s="11"/>
      <c r="B82" s="11"/>
      <c r="C82" s="2"/>
      <c r="D82" s="2"/>
      <c r="E82" s="2"/>
      <c r="F82" s="2"/>
      <c r="G82" s="2"/>
      <c r="H82" s="2"/>
      <c r="I82" s="2"/>
      <c r="J82" s="2"/>
      <c r="K82" s="2"/>
      <c r="L82" s="2"/>
      <c r="M82" s="2"/>
      <c r="N82" s="2"/>
    </row>
    <row r="83" spans="1:14">
      <c r="A83" s="11"/>
      <c r="B83" s="11"/>
      <c r="C83" s="2"/>
      <c r="D83" s="2"/>
      <c r="E83" s="2"/>
      <c r="F83" s="2"/>
      <c r="G83" s="2"/>
      <c r="H83" s="2"/>
      <c r="I83" s="2"/>
      <c r="J83" s="2"/>
      <c r="K83" s="2"/>
      <c r="L83" s="2"/>
      <c r="M83" s="2"/>
      <c r="N83" s="2"/>
    </row>
    <row r="84" spans="1:14">
      <c r="A84" s="11"/>
      <c r="B84" s="11"/>
      <c r="C84" s="2"/>
      <c r="D84" s="2"/>
      <c r="E84" s="2"/>
      <c r="F84" s="2"/>
      <c r="G84" s="2"/>
      <c r="H84" s="2"/>
      <c r="I84" s="2"/>
      <c r="J84" s="2"/>
      <c r="K84" s="2"/>
      <c r="L84" s="2"/>
      <c r="M84" s="2"/>
      <c r="N84" s="2"/>
    </row>
    <row r="85" spans="1:14">
      <c r="A85" s="11"/>
      <c r="B85" s="11"/>
      <c r="C85" s="2"/>
      <c r="D85" s="2"/>
      <c r="E85" s="2"/>
      <c r="F85" s="2"/>
      <c r="G85" s="2"/>
      <c r="H85" s="2"/>
      <c r="I85" s="2"/>
      <c r="J85" s="2"/>
      <c r="K85" s="2"/>
      <c r="L85" s="2"/>
      <c r="M85" s="2"/>
      <c r="N85" s="2"/>
    </row>
    <row r="86" spans="1:14">
      <c r="A86" s="11"/>
      <c r="B86" s="11"/>
      <c r="C86" s="2"/>
      <c r="D86" s="2"/>
      <c r="E86" s="2"/>
      <c r="F86" s="2"/>
      <c r="G86" s="2"/>
      <c r="H86" s="2"/>
      <c r="I86" s="2"/>
      <c r="J86" s="2"/>
      <c r="K86" s="2"/>
      <c r="L86" s="2"/>
      <c r="M86" s="2"/>
      <c r="N86" s="2"/>
    </row>
    <row r="87" spans="1:14">
      <c r="A87" s="11"/>
      <c r="B87" s="11"/>
      <c r="C87" s="2"/>
      <c r="D87" s="2"/>
      <c r="E87" s="2"/>
      <c r="F87" s="2"/>
      <c r="G87" s="2"/>
      <c r="H87" s="2"/>
      <c r="I87" s="2"/>
      <c r="J87" s="2"/>
      <c r="K87" s="2"/>
      <c r="L87" s="2"/>
      <c r="M87" s="2"/>
      <c r="N87" s="2"/>
    </row>
    <row r="88" spans="1:14">
      <c r="A88" s="11"/>
      <c r="B88" s="11"/>
      <c r="C88" s="2"/>
      <c r="D88" s="2"/>
      <c r="E88" s="2"/>
      <c r="F88" s="2"/>
      <c r="G88" s="2"/>
      <c r="H88" s="2"/>
      <c r="I88" s="2"/>
      <c r="J88" s="2"/>
      <c r="K88" s="2"/>
      <c r="L88" s="2"/>
      <c r="M88" s="2"/>
      <c r="N88" s="2"/>
    </row>
    <row r="89" spans="1:14">
      <c r="A89" s="11"/>
      <c r="B89" s="11"/>
      <c r="C89" s="2"/>
      <c r="D89" s="2"/>
      <c r="E89" s="2"/>
      <c r="F89" s="2"/>
      <c r="G89" s="2"/>
      <c r="H89" s="2"/>
      <c r="I89" s="2"/>
      <c r="J89" s="2"/>
      <c r="K89" s="2"/>
      <c r="L89" s="2"/>
      <c r="M89" s="2"/>
      <c r="N89" s="2"/>
    </row>
    <row r="90" spans="1:14">
      <c r="A90" s="11"/>
      <c r="B90" s="11"/>
      <c r="C90" s="2"/>
      <c r="D90" s="2"/>
      <c r="E90" s="2"/>
      <c r="F90" s="2"/>
      <c r="G90" s="2"/>
      <c r="H90" s="2"/>
      <c r="I90" s="2"/>
      <c r="J90" s="2"/>
      <c r="K90" s="2"/>
      <c r="L90" s="2"/>
      <c r="M90" s="2"/>
      <c r="N90" s="2"/>
    </row>
    <row r="91" spans="1:14">
      <c r="A91" s="11"/>
      <c r="B91" s="11"/>
      <c r="C91" s="2"/>
      <c r="D91" s="2"/>
      <c r="E91" s="2"/>
      <c r="F91" s="2"/>
      <c r="G91" s="2"/>
      <c r="H91" s="2"/>
      <c r="I91" s="2"/>
      <c r="J91" s="2"/>
      <c r="K91" s="2"/>
      <c r="L91" s="2"/>
      <c r="M91" s="2"/>
      <c r="N91" s="2"/>
    </row>
    <row r="92" spans="1:14">
      <c r="A92" s="11"/>
      <c r="B92" s="11"/>
      <c r="C92" s="2"/>
      <c r="D92" s="2"/>
      <c r="E92" s="2"/>
      <c r="F92" s="2"/>
      <c r="G92" s="2"/>
      <c r="H92" s="2"/>
      <c r="I92" s="2"/>
      <c r="J92" s="2"/>
      <c r="K92" s="2"/>
      <c r="L92" s="2"/>
      <c r="M92" s="2"/>
      <c r="N92" s="2"/>
    </row>
    <row r="93" spans="1:14">
      <c r="A93" s="11"/>
      <c r="B93" s="11"/>
      <c r="C93" s="2"/>
      <c r="D93" s="2"/>
      <c r="E93" s="2"/>
      <c r="F93" s="2"/>
      <c r="G93" s="2"/>
      <c r="H93" s="2"/>
      <c r="I93" s="2"/>
      <c r="J93" s="2"/>
      <c r="K93" s="2"/>
      <c r="L93" s="2"/>
      <c r="M93" s="2"/>
      <c r="N93" s="2"/>
    </row>
    <row r="94" spans="1:14">
      <c r="A94" s="11"/>
      <c r="B94" s="11"/>
      <c r="C94" s="2"/>
      <c r="D94" s="2"/>
      <c r="E94" s="2"/>
      <c r="F94" s="2"/>
      <c r="G94" s="2"/>
      <c r="H94" s="2"/>
      <c r="I94" s="2"/>
      <c r="J94" s="2"/>
      <c r="K94" s="2"/>
      <c r="L94" s="2"/>
      <c r="M94" s="2"/>
      <c r="N94" s="2"/>
    </row>
    <row r="95" spans="1:14">
      <c r="A95" s="11"/>
      <c r="B95" s="11"/>
      <c r="C95" s="2"/>
      <c r="D95" s="2"/>
      <c r="E95" s="2"/>
      <c r="F95" s="2"/>
      <c r="G95" s="2"/>
      <c r="H95" s="2"/>
      <c r="I95" s="2"/>
      <c r="J95" s="2"/>
      <c r="K95" s="2"/>
      <c r="L95" s="2"/>
      <c r="M95" s="2"/>
      <c r="N95" s="2"/>
    </row>
    <row r="96" spans="1:14">
      <c r="A96" s="11"/>
      <c r="B96" s="11"/>
      <c r="C96" s="2"/>
      <c r="D96" s="2"/>
      <c r="E96" s="2"/>
      <c r="F96" s="2"/>
      <c r="G96" s="2"/>
      <c r="H96" s="2"/>
      <c r="I96" s="2"/>
      <c r="J96" s="2"/>
      <c r="K96" s="2"/>
      <c r="L96" s="2"/>
      <c r="M96" s="2"/>
      <c r="N96" s="2"/>
    </row>
    <row r="97" spans="1:14">
      <c r="A97" s="11"/>
      <c r="B97" s="11"/>
      <c r="C97" s="2"/>
      <c r="D97" s="2"/>
      <c r="E97" s="2"/>
      <c r="F97" s="2"/>
      <c r="G97" s="2"/>
      <c r="H97" s="2"/>
      <c r="I97" s="2"/>
      <c r="J97" s="2"/>
      <c r="K97" s="2"/>
      <c r="L97" s="2"/>
      <c r="M97" s="2"/>
      <c r="N97" s="2"/>
    </row>
    <row r="98" spans="1:14">
      <c r="A98" s="11"/>
      <c r="B98" s="11"/>
      <c r="C98" s="2"/>
      <c r="D98" s="2"/>
      <c r="E98" s="2"/>
      <c r="F98" s="2"/>
      <c r="G98" s="2"/>
      <c r="H98" s="2"/>
      <c r="I98" s="2"/>
      <c r="J98" s="2"/>
      <c r="K98" s="2"/>
      <c r="L98" s="2"/>
      <c r="M98" s="2"/>
      <c r="N98" s="2"/>
    </row>
    <row r="99" spans="1:14">
      <c r="A99" s="11"/>
      <c r="B99" s="11"/>
      <c r="C99" s="2"/>
      <c r="D99" s="2"/>
      <c r="E99" s="2"/>
      <c r="F99" s="2"/>
      <c r="G99" s="2"/>
      <c r="H99" s="2"/>
      <c r="I99" s="2"/>
      <c r="J99" s="2"/>
      <c r="K99" s="2"/>
      <c r="L99" s="2"/>
      <c r="M99" s="2"/>
      <c r="N99" s="2"/>
    </row>
    <row r="100" spans="1:14">
      <c r="A100" s="11"/>
      <c r="B100" s="11"/>
      <c r="C100" s="2"/>
      <c r="D100" s="2"/>
      <c r="E100" s="2"/>
      <c r="F100" s="2"/>
      <c r="G100" s="2"/>
      <c r="H100" s="2"/>
      <c r="I100" s="2"/>
      <c r="J100" s="2"/>
      <c r="K100" s="2"/>
      <c r="L100" s="2"/>
      <c r="M100" s="2"/>
      <c r="N100" s="2"/>
    </row>
    <row r="101" spans="1:14">
      <c r="A101" s="11"/>
      <c r="B101" s="11"/>
      <c r="C101" s="2"/>
      <c r="D101" s="2"/>
      <c r="E101" s="2"/>
      <c r="F101" s="2"/>
      <c r="G101" s="2"/>
      <c r="H101" s="2"/>
      <c r="I101" s="2"/>
      <c r="J101" s="2"/>
      <c r="K101" s="2"/>
      <c r="L101" s="2"/>
      <c r="M101" s="2"/>
      <c r="N101" s="2"/>
    </row>
    <row r="102" spans="1:14">
      <c r="A102" s="11"/>
      <c r="B102" s="11"/>
      <c r="C102" s="2"/>
      <c r="D102" s="2"/>
      <c r="E102" s="2"/>
      <c r="F102" s="2"/>
      <c r="G102" s="2"/>
      <c r="H102" s="2"/>
      <c r="I102" s="2"/>
      <c r="J102" s="2"/>
      <c r="K102" s="2"/>
      <c r="L102" s="2"/>
      <c r="M102" s="2"/>
      <c r="N102" s="2"/>
    </row>
    <row r="103" spans="1:14">
      <c r="A103" s="11"/>
      <c r="B103" s="11"/>
      <c r="C103" s="2"/>
      <c r="D103" s="2"/>
      <c r="E103" s="2"/>
      <c r="F103" s="2"/>
      <c r="G103" s="2"/>
      <c r="H103" s="2"/>
      <c r="I103" s="2"/>
      <c r="J103" s="2"/>
      <c r="K103" s="2"/>
      <c r="L103" s="2"/>
      <c r="M103" s="2"/>
      <c r="N103" s="2"/>
    </row>
    <row r="104" spans="1:14">
      <c r="A104" s="11"/>
      <c r="B104" s="11"/>
      <c r="C104" s="2"/>
      <c r="D104" s="2"/>
      <c r="E104" s="2"/>
      <c r="F104" s="2"/>
      <c r="G104" s="2"/>
      <c r="H104" s="2"/>
      <c r="I104" s="2"/>
      <c r="J104" s="2"/>
      <c r="K104" s="2"/>
      <c r="L104" s="2"/>
      <c r="M104" s="2"/>
      <c r="N104" s="2"/>
    </row>
    <row r="105" spans="1:14">
      <c r="A105" s="11"/>
      <c r="B105" s="11"/>
      <c r="C105" s="2"/>
      <c r="D105" s="2"/>
      <c r="E105" s="2"/>
      <c r="F105" s="2"/>
      <c r="G105" s="2"/>
      <c r="H105" s="2"/>
      <c r="I105" s="2"/>
      <c r="J105" s="2"/>
      <c r="K105" s="2"/>
      <c r="L105" s="2"/>
      <c r="M105" s="2"/>
      <c r="N105" s="2"/>
    </row>
    <row r="106" spans="1:14">
      <c r="A106" s="11"/>
      <c r="B106" s="11"/>
      <c r="C106" s="2"/>
      <c r="D106" s="2"/>
      <c r="E106" s="2"/>
      <c r="F106" s="2"/>
      <c r="G106" s="2"/>
      <c r="H106" s="2"/>
      <c r="I106" s="2"/>
      <c r="J106" s="2"/>
      <c r="K106" s="2"/>
      <c r="L106" s="2"/>
      <c r="M106" s="2"/>
      <c r="N106" s="2"/>
    </row>
    <row r="107" spans="1:14">
      <c r="A107" s="11"/>
      <c r="B107" s="11"/>
      <c r="C107" s="2"/>
      <c r="D107" s="2"/>
      <c r="E107" s="2"/>
      <c r="F107" s="2"/>
      <c r="G107" s="2"/>
      <c r="H107" s="2"/>
      <c r="I107" s="2"/>
      <c r="J107" s="2"/>
      <c r="K107" s="2"/>
      <c r="L107" s="2"/>
      <c r="M107" s="2"/>
      <c r="N107" s="2"/>
    </row>
    <row r="108" spans="1:14">
      <c r="A108" s="11"/>
      <c r="B108" s="11"/>
      <c r="C108" s="2"/>
      <c r="D108" s="2"/>
      <c r="E108" s="2"/>
      <c r="F108" s="2"/>
      <c r="G108" s="2"/>
      <c r="H108" s="2"/>
      <c r="I108" s="2"/>
      <c r="J108" s="2"/>
      <c r="K108" s="2"/>
      <c r="L108" s="2"/>
      <c r="M108" s="2"/>
      <c r="N108" s="2"/>
    </row>
    <row r="109" spans="1:14">
      <c r="A109" s="11"/>
      <c r="B109" s="11"/>
      <c r="C109" s="2"/>
      <c r="D109" s="2"/>
      <c r="E109" s="2"/>
      <c r="F109" s="2"/>
      <c r="G109" s="2"/>
      <c r="H109" s="2"/>
      <c r="I109" s="2"/>
      <c r="J109" s="2"/>
      <c r="K109" s="2"/>
      <c r="L109" s="2"/>
      <c r="M109" s="2"/>
      <c r="N109" s="2"/>
    </row>
    <row r="110" spans="1:14">
      <c r="A110" s="11"/>
      <c r="B110" s="11"/>
      <c r="C110" s="2"/>
      <c r="D110" s="2"/>
      <c r="E110" s="2"/>
      <c r="F110" s="2"/>
      <c r="G110" s="2"/>
      <c r="H110" s="2"/>
      <c r="I110" s="2"/>
      <c r="J110" s="2"/>
      <c r="K110" s="2"/>
      <c r="L110" s="2"/>
      <c r="M110" s="2"/>
      <c r="N110" s="2"/>
    </row>
    <row r="111" spans="1:14">
      <c r="A111" s="11"/>
      <c r="B111" s="11"/>
      <c r="C111" s="2"/>
      <c r="D111" s="2"/>
      <c r="E111" s="2"/>
      <c r="F111" s="2"/>
      <c r="G111" s="2"/>
      <c r="H111" s="2"/>
      <c r="I111" s="2"/>
      <c r="J111" s="2"/>
      <c r="K111" s="2"/>
      <c r="L111" s="2"/>
      <c r="M111" s="2"/>
      <c r="N111" s="2"/>
    </row>
    <row r="112" spans="1:14">
      <c r="A112" s="11"/>
      <c r="B112" s="11"/>
      <c r="C112" s="2"/>
      <c r="D112" s="2"/>
      <c r="E112" s="2"/>
      <c r="F112" s="2"/>
      <c r="G112" s="2"/>
      <c r="H112" s="2"/>
      <c r="I112" s="2"/>
      <c r="J112" s="2"/>
      <c r="K112" s="2"/>
      <c r="L112" s="2"/>
      <c r="M112" s="2"/>
      <c r="N112" s="2"/>
    </row>
    <row r="113" spans="1:14">
      <c r="A113" s="11"/>
      <c r="B113" s="11"/>
      <c r="C113" s="2"/>
      <c r="D113" s="2"/>
      <c r="E113" s="2"/>
      <c r="F113" s="2"/>
      <c r="G113" s="2"/>
      <c r="H113" s="2"/>
      <c r="I113" s="2"/>
      <c r="J113" s="2"/>
      <c r="K113" s="2"/>
      <c r="L113" s="2"/>
      <c r="M113" s="2"/>
      <c r="N113" s="2"/>
    </row>
    <row r="114" spans="1:14">
      <c r="A114" s="11"/>
      <c r="B114" s="11"/>
      <c r="C114" s="2"/>
      <c r="D114" s="2"/>
      <c r="E114" s="2"/>
      <c r="F114" s="2"/>
      <c r="G114" s="2"/>
      <c r="H114" s="2"/>
      <c r="I114" s="2"/>
      <c r="J114" s="2"/>
      <c r="K114" s="2"/>
      <c r="L114" s="2"/>
      <c r="M114" s="2"/>
      <c r="N114" s="2"/>
    </row>
    <row r="115" spans="1:14">
      <c r="A115" s="11"/>
      <c r="B115" s="11"/>
      <c r="C115" s="2"/>
      <c r="D115" s="2"/>
      <c r="E115" s="2"/>
      <c r="F115" s="2"/>
      <c r="G115" s="2"/>
      <c r="H115" s="2"/>
      <c r="I115" s="2"/>
      <c r="J115" s="2"/>
      <c r="K115" s="2"/>
      <c r="L115" s="2"/>
      <c r="M115" s="2"/>
      <c r="N115" s="2"/>
    </row>
    <row r="116" spans="1:14">
      <c r="A116" s="11"/>
      <c r="B116" s="11"/>
      <c r="C116" s="2"/>
      <c r="D116" s="2"/>
      <c r="E116" s="2"/>
      <c r="F116" s="2"/>
      <c r="G116" s="2"/>
      <c r="H116" s="2"/>
      <c r="I116" s="2"/>
      <c r="J116" s="2"/>
      <c r="K116" s="2"/>
      <c r="L116" s="2"/>
      <c r="M116" s="2"/>
      <c r="N116" s="2"/>
    </row>
    <row r="117" spans="1:14">
      <c r="A117" s="11"/>
      <c r="B117" s="11"/>
      <c r="C117" s="2"/>
      <c r="D117" s="2"/>
      <c r="E117" s="2"/>
      <c r="F117" s="2"/>
      <c r="G117" s="2"/>
      <c r="H117" s="2"/>
      <c r="I117" s="2"/>
      <c r="J117" s="2"/>
      <c r="K117" s="2"/>
      <c r="L117" s="2"/>
      <c r="M117" s="2"/>
      <c r="N117" s="2"/>
    </row>
    <row r="118" spans="1:14">
      <c r="A118" s="11"/>
      <c r="B118" s="11"/>
      <c r="C118" s="2"/>
      <c r="D118" s="2"/>
      <c r="E118" s="2"/>
      <c r="F118" s="2"/>
      <c r="G118" s="2"/>
      <c r="H118" s="2"/>
      <c r="I118" s="2"/>
      <c r="J118" s="2"/>
      <c r="K118" s="2"/>
      <c r="L118" s="2"/>
      <c r="M118" s="2"/>
      <c r="N118" s="2"/>
    </row>
    <row r="119" spans="1:14">
      <c r="A119" s="11"/>
      <c r="B119" s="11"/>
      <c r="C119" s="2"/>
      <c r="D119" s="2"/>
      <c r="E119" s="2"/>
      <c r="F119" s="2"/>
      <c r="G119" s="2"/>
      <c r="H119" s="2"/>
      <c r="I119" s="2"/>
      <c r="J119" s="2"/>
      <c r="K119" s="2"/>
      <c r="L119" s="2"/>
      <c r="M119" s="2"/>
      <c r="N119" s="2"/>
    </row>
    <row r="120" spans="1:14">
      <c r="A120" s="11"/>
      <c r="B120" s="11"/>
      <c r="C120" s="2"/>
      <c r="D120" s="2"/>
      <c r="E120" s="2"/>
      <c r="F120" s="2"/>
      <c r="G120" s="2"/>
      <c r="H120" s="2"/>
      <c r="I120" s="2"/>
      <c r="J120" s="2"/>
      <c r="K120" s="2"/>
      <c r="L120" s="2"/>
      <c r="M120" s="2"/>
      <c r="N120" s="2"/>
    </row>
    <row r="121" spans="1:14">
      <c r="A121" s="11"/>
      <c r="B121" s="11"/>
      <c r="C121" s="2"/>
      <c r="D121" s="2"/>
      <c r="E121" s="2"/>
      <c r="F121" s="2"/>
      <c r="G121" s="2"/>
      <c r="H121" s="2"/>
      <c r="I121" s="2"/>
      <c r="J121" s="2"/>
      <c r="K121" s="2"/>
      <c r="L121" s="2"/>
      <c r="M121" s="2"/>
      <c r="N121" s="2"/>
    </row>
    <row r="122" spans="1:14">
      <c r="A122" s="11"/>
      <c r="B122" s="11"/>
      <c r="C122" s="2"/>
      <c r="D122" s="2"/>
      <c r="E122" s="2"/>
      <c r="F122" s="2"/>
      <c r="G122" s="2"/>
      <c r="H122" s="2"/>
      <c r="I122" s="2"/>
      <c r="J122" s="2"/>
      <c r="K122" s="2"/>
      <c r="L122" s="2"/>
      <c r="M122" s="2"/>
      <c r="N122" s="2"/>
    </row>
    <row r="123" spans="1:14">
      <c r="A123" s="11"/>
      <c r="B123" s="11"/>
      <c r="C123" s="2"/>
      <c r="D123" s="2"/>
      <c r="E123" s="2"/>
      <c r="F123" s="2"/>
      <c r="G123" s="2"/>
      <c r="H123" s="2"/>
      <c r="I123" s="2"/>
      <c r="J123" s="2"/>
      <c r="K123" s="2"/>
      <c r="L123" s="2"/>
      <c r="M123" s="2"/>
      <c r="N123" s="2"/>
    </row>
    <row r="124" spans="1:14">
      <c r="A124" s="11"/>
      <c r="B124" s="11"/>
      <c r="C124" s="2"/>
      <c r="D124" s="2"/>
      <c r="E124" s="2"/>
      <c r="F124" s="2"/>
      <c r="G124" s="2"/>
      <c r="H124" s="2"/>
      <c r="I124" s="2"/>
      <c r="J124" s="2"/>
      <c r="K124" s="2"/>
      <c r="L124" s="2"/>
      <c r="M124" s="2"/>
      <c r="N124" s="2"/>
    </row>
    <row r="125" spans="1:14">
      <c r="A125" s="11"/>
      <c r="B125" s="11"/>
      <c r="C125" s="2"/>
      <c r="D125" s="2"/>
      <c r="E125" s="2"/>
      <c r="F125" s="2"/>
      <c r="G125" s="2"/>
      <c r="H125" s="2"/>
      <c r="I125" s="2"/>
      <c r="J125" s="2"/>
      <c r="K125" s="2"/>
      <c r="L125" s="2"/>
      <c r="M125" s="2"/>
      <c r="N125" s="2"/>
    </row>
    <row r="126" spans="1:14">
      <c r="A126" s="11"/>
      <c r="B126" s="11"/>
      <c r="C126" s="2"/>
      <c r="D126" s="2"/>
      <c r="E126" s="2"/>
      <c r="F126" s="2"/>
      <c r="G126" s="2"/>
      <c r="H126" s="2"/>
      <c r="I126" s="2"/>
      <c r="J126" s="2"/>
      <c r="K126" s="2"/>
      <c r="L126" s="2"/>
      <c r="M126" s="2"/>
      <c r="N126" s="2"/>
    </row>
    <row r="127" spans="1:14">
      <c r="A127" s="11"/>
      <c r="B127" s="11"/>
      <c r="C127" s="2"/>
      <c r="D127" s="2"/>
      <c r="E127" s="2"/>
      <c r="F127" s="2"/>
      <c r="G127" s="2"/>
      <c r="H127" s="2"/>
      <c r="I127" s="2"/>
      <c r="J127" s="2"/>
      <c r="K127" s="2"/>
      <c r="L127" s="2"/>
      <c r="M127" s="2"/>
      <c r="N127" s="2"/>
    </row>
    <row r="128" spans="1:14">
      <c r="A128" s="11"/>
      <c r="B128" s="11"/>
      <c r="C128" s="2"/>
      <c r="D128" s="2"/>
      <c r="E128" s="2"/>
      <c r="F128" s="2"/>
      <c r="G128" s="2"/>
      <c r="H128" s="2"/>
      <c r="I128" s="2"/>
      <c r="J128" s="2"/>
      <c r="K128" s="2"/>
      <c r="L128" s="2"/>
      <c r="M128" s="2"/>
      <c r="N128" s="2"/>
    </row>
    <row r="129" spans="1:14">
      <c r="A129" s="11"/>
      <c r="B129" s="11"/>
      <c r="C129" s="2"/>
      <c r="D129" s="2"/>
      <c r="E129" s="2"/>
      <c r="F129" s="2"/>
      <c r="G129" s="2"/>
      <c r="H129" s="2"/>
      <c r="I129" s="2"/>
      <c r="J129" s="2"/>
      <c r="K129" s="2"/>
      <c r="L129" s="2"/>
      <c r="M129" s="2"/>
      <c r="N129" s="2"/>
    </row>
    <row r="130" spans="1:14">
      <c r="A130" s="11"/>
      <c r="B130" s="11"/>
      <c r="C130" s="2"/>
      <c r="D130" s="2"/>
      <c r="E130" s="2"/>
      <c r="F130" s="2"/>
      <c r="G130" s="2"/>
      <c r="H130" s="2"/>
      <c r="I130" s="2"/>
      <c r="J130" s="2"/>
      <c r="K130" s="2"/>
      <c r="L130" s="2"/>
      <c r="M130" s="2"/>
      <c r="N130" s="2"/>
    </row>
    <row r="131" spans="1:14">
      <c r="A131" s="11"/>
      <c r="B131" s="11"/>
      <c r="C131" s="2"/>
      <c r="D131" s="2"/>
      <c r="E131" s="2"/>
      <c r="F131" s="2"/>
      <c r="G131" s="2"/>
      <c r="H131" s="2"/>
      <c r="I131" s="2"/>
      <c r="J131" s="2"/>
      <c r="K131" s="2"/>
      <c r="L131" s="2"/>
      <c r="M131" s="2"/>
      <c r="N131" s="2"/>
    </row>
    <row r="132" spans="1:14">
      <c r="A132" s="11"/>
      <c r="B132" s="11"/>
      <c r="C132" s="2"/>
      <c r="D132" s="2"/>
      <c r="E132" s="2"/>
      <c r="F132" s="2"/>
      <c r="G132" s="2"/>
      <c r="H132" s="2"/>
      <c r="I132" s="2"/>
      <c r="J132" s="2"/>
      <c r="K132" s="2"/>
      <c r="L132" s="2"/>
      <c r="M132" s="2"/>
      <c r="N132" s="2"/>
    </row>
    <row r="133" spans="1:14">
      <c r="A133" s="11"/>
      <c r="B133" s="11"/>
      <c r="C133" s="2"/>
      <c r="D133" s="2"/>
      <c r="E133" s="2"/>
      <c r="F133" s="2"/>
      <c r="G133" s="2"/>
      <c r="H133" s="2"/>
      <c r="I133" s="2"/>
      <c r="J133" s="2"/>
      <c r="K133" s="2"/>
      <c r="L133" s="2"/>
      <c r="M133" s="2"/>
      <c r="N133" s="2"/>
    </row>
    <row r="134" spans="1:14">
      <c r="A134" s="11"/>
      <c r="B134" s="11"/>
      <c r="C134" s="2"/>
      <c r="D134" s="2"/>
      <c r="E134" s="2"/>
      <c r="F134" s="2"/>
      <c r="G134" s="2"/>
      <c r="H134" s="2"/>
      <c r="I134" s="2"/>
      <c r="J134" s="2"/>
      <c r="K134" s="2"/>
      <c r="L134" s="2"/>
      <c r="M134" s="2"/>
      <c r="N134" s="2"/>
    </row>
    <row r="135" spans="1:14">
      <c r="A135" s="11"/>
      <c r="B135" s="11"/>
      <c r="C135" s="2"/>
      <c r="D135" s="2"/>
      <c r="E135" s="2"/>
      <c r="F135" s="2"/>
      <c r="G135" s="2"/>
      <c r="H135" s="2"/>
      <c r="I135" s="2"/>
      <c r="J135" s="2"/>
      <c r="K135" s="2"/>
      <c r="L135" s="2"/>
      <c r="M135" s="2"/>
      <c r="N135" s="2"/>
    </row>
    <row r="136" spans="1:14">
      <c r="A136" s="11"/>
      <c r="B136" s="11"/>
      <c r="C136" s="2"/>
      <c r="D136" s="2"/>
      <c r="E136" s="2"/>
      <c r="F136" s="2"/>
      <c r="G136" s="2"/>
      <c r="H136" s="2"/>
      <c r="I136" s="2"/>
      <c r="J136" s="2"/>
      <c r="K136" s="2"/>
      <c r="L136" s="2"/>
      <c r="M136" s="2"/>
      <c r="N136" s="2"/>
    </row>
    <row r="137" spans="1:14">
      <c r="A137" s="11"/>
      <c r="B137" s="11"/>
      <c r="C137" s="2"/>
      <c r="D137" s="2"/>
      <c r="E137" s="2"/>
      <c r="F137" s="2"/>
      <c r="G137" s="2"/>
      <c r="H137" s="2"/>
      <c r="I137" s="2"/>
      <c r="J137" s="2"/>
      <c r="K137" s="2"/>
      <c r="L137" s="2"/>
      <c r="M137" s="2"/>
      <c r="N137" s="2"/>
    </row>
    <row r="138" spans="1:14">
      <c r="A138" s="11"/>
      <c r="B138" s="11"/>
      <c r="C138" s="2"/>
      <c r="D138" s="2"/>
      <c r="E138" s="2"/>
      <c r="F138" s="2"/>
      <c r="G138" s="2"/>
      <c r="H138" s="2"/>
      <c r="I138" s="2"/>
      <c r="J138" s="2"/>
      <c r="K138" s="2"/>
      <c r="L138" s="2"/>
      <c r="M138" s="2"/>
      <c r="N138" s="2"/>
    </row>
    <row r="139" spans="1:14">
      <c r="A139" s="11"/>
      <c r="B139" s="11"/>
      <c r="C139" s="2"/>
      <c r="D139" s="2"/>
      <c r="E139" s="2"/>
      <c r="F139" s="2"/>
      <c r="G139" s="2"/>
      <c r="H139" s="2"/>
      <c r="I139" s="2"/>
      <c r="J139" s="2"/>
      <c r="K139" s="2"/>
      <c r="L139" s="2"/>
      <c r="M139" s="2"/>
      <c r="N139" s="2"/>
    </row>
    <row r="140" spans="1:14">
      <c r="A140" s="11"/>
      <c r="B140" s="11"/>
      <c r="C140" s="2"/>
      <c r="D140" s="2"/>
      <c r="E140" s="2"/>
      <c r="F140" s="2"/>
      <c r="G140" s="2"/>
      <c r="H140" s="2"/>
      <c r="I140" s="2"/>
      <c r="J140" s="2"/>
      <c r="K140" s="2"/>
      <c r="L140" s="2"/>
      <c r="M140" s="2"/>
      <c r="N140" s="2"/>
    </row>
    <row r="141" spans="1:14">
      <c r="A141" s="11"/>
      <c r="B141" s="11"/>
      <c r="C141" s="2"/>
      <c r="D141" s="2"/>
      <c r="E141" s="2"/>
      <c r="F141" s="2"/>
      <c r="G141" s="2"/>
      <c r="H141" s="2"/>
      <c r="I141" s="2"/>
      <c r="J141" s="2"/>
      <c r="K141" s="2"/>
      <c r="L141" s="2"/>
      <c r="M141" s="2"/>
      <c r="N141" s="2"/>
    </row>
    <row r="142" spans="1:14">
      <c r="A142" s="11"/>
      <c r="B142" s="11"/>
      <c r="C142" s="2"/>
      <c r="D142" s="2"/>
      <c r="E142" s="2"/>
      <c r="F142" s="2"/>
      <c r="G142" s="2"/>
      <c r="H142" s="2"/>
      <c r="I142" s="2"/>
      <c r="J142" s="2"/>
      <c r="K142" s="2"/>
      <c r="L142" s="2"/>
      <c r="M142" s="2"/>
      <c r="N142" s="2"/>
    </row>
    <row r="143" spans="1:14">
      <c r="A143" s="11"/>
      <c r="B143" s="11"/>
      <c r="C143" s="2"/>
      <c r="D143" s="2"/>
      <c r="E143" s="2"/>
      <c r="F143" s="2"/>
      <c r="G143" s="2"/>
      <c r="H143" s="2"/>
      <c r="I143" s="2"/>
      <c r="J143" s="2"/>
      <c r="K143" s="2"/>
      <c r="L143" s="2"/>
      <c r="M143" s="2"/>
      <c r="N143" s="2"/>
    </row>
    <row r="144" spans="1:14">
      <c r="A144" s="11"/>
      <c r="B144" s="11"/>
      <c r="C144" s="2"/>
      <c r="D144" s="2"/>
      <c r="E144" s="2"/>
      <c r="F144" s="2"/>
      <c r="G144" s="2"/>
      <c r="H144" s="2"/>
      <c r="I144" s="2"/>
      <c r="J144" s="2"/>
      <c r="K144" s="2"/>
      <c r="L144" s="2"/>
      <c r="M144" s="2"/>
      <c r="N144" s="2"/>
    </row>
    <row r="145" spans="1:14">
      <c r="A145" s="11"/>
      <c r="B145" s="11"/>
      <c r="C145" s="2"/>
      <c r="D145" s="2"/>
      <c r="E145" s="2"/>
      <c r="F145" s="2"/>
      <c r="G145" s="2"/>
      <c r="H145" s="2"/>
      <c r="I145" s="2"/>
      <c r="J145" s="2"/>
      <c r="K145" s="2"/>
      <c r="L145" s="2"/>
      <c r="M145" s="2"/>
      <c r="N145" s="2"/>
    </row>
    <row r="146" spans="1:14">
      <c r="A146" s="11"/>
      <c r="B146" s="11"/>
      <c r="C146" s="2"/>
      <c r="D146" s="2"/>
      <c r="E146" s="2"/>
      <c r="F146" s="2"/>
      <c r="G146" s="2"/>
      <c r="H146" s="2"/>
      <c r="I146" s="2"/>
      <c r="J146" s="2"/>
      <c r="K146" s="2"/>
      <c r="L146" s="2"/>
      <c r="M146" s="2"/>
      <c r="N146" s="2"/>
    </row>
    <row r="147" spans="1:14">
      <c r="A147" s="11"/>
      <c r="B147" s="11"/>
      <c r="C147" s="2"/>
      <c r="D147" s="2"/>
      <c r="E147" s="2"/>
      <c r="F147" s="2"/>
      <c r="G147" s="2"/>
      <c r="H147" s="2"/>
      <c r="I147" s="2"/>
      <c r="J147" s="2"/>
      <c r="K147" s="2"/>
      <c r="L147" s="2"/>
      <c r="M147" s="2"/>
      <c r="N147" s="2"/>
    </row>
    <row r="148" spans="1:14">
      <c r="A148" s="11"/>
      <c r="B148" s="11"/>
      <c r="C148" s="2"/>
      <c r="D148" s="2"/>
      <c r="E148" s="2"/>
      <c r="F148" s="2"/>
      <c r="G148" s="2"/>
      <c r="H148" s="2"/>
      <c r="I148" s="2"/>
      <c r="J148" s="2"/>
      <c r="K148" s="2"/>
      <c r="L148" s="2"/>
      <c r="M148" s="2"/>
      <c r="N148" s="2"/>
    </row>
    <row r="149" spans="1:14">
      <c r="A149" s="11"/>
      <c r="B149" s="11"/>
      <c r="C149" s="2"/>
      <c r="D149" s="2"/>
      <c r="E149" s="2"/>
      <c r="F149" s="2"/>
      <c r="G149" s="2"/>
      <c r="H149" s="2"/>
      <c r="I149" s="2"/>
      <c r="J149" s="2"/>
      <c r="K149" s="2"/>
      <c r="L149" s="2"/>
      <c r="M149" s="2"/>
      <c r="N149" s="2"/>
    </row>
    <row r="150" spans="1:14">
      <c r="A150" s="11"/>
      <c r="B150" s="11"/>
      <c r="C150" s="2"/>
      <c r="D150" s="2"/>
      <c r="E150" s="2"/>
      <c r="F150" s="2"/>
      <c r="G150" s="2"/>
      <c r="H150" s="2"/>
      <c r="I150" s="2"/>
      <c r="J150" s="2"/>
      <c r="K150" s="2"/>
      <c r="L150" s="2"/>
      <c r="M150" s="2"/>
      <c r="N150" s="2"/>
    </row>
    <row r="151" spans="1:14">
      <c r="A151" s="11"/>
      <c r="B151" s="11"/>
      <c r="C151" s="2"/>
      <c r="D151" s="2"/>
      <c r="E151" s="2"/>
      <c r="F151" s="2"/>
      <c r="G151" s="2"/>
      <c r="H151" s="2"/>
      <c r="I151" s="2"/>
      <c r="J151" s="2"/>
      <c r="K151" s="2"/>
      <c r="L151" s="2"/>
      <c r="M151" s="2"/>
      <c r="N151" s="2"/>
    </row>
    <row r="152" spans="1:14">
      <c r="A152" s="11"/>
      <c r="B152" s="11"/>
      <c r="C152" s="2"/>
      <c r="D152" s="2"/>
      <c r="E152" s="2"/>
      <c r="F152" s="2"/>
      <c r="G152" s="2"/>
      <c r="H152" s="2"/>
      <c r="I152" s="2"/>
      <c r="J152" s="2"/>
      <c r="K152" s="2"/>
      <c r="L152" s="2"/>
      <c r="M152" s="2"/>
      <c r="N152" s="2"/>
    </row>
    <row r="153" spans="1:14">
      <c r="A153" s="11"/>
      <c r="B153" s="11"/>
      <c r="C153" s="2"/>
      <c r="D153" s="2"/>
      <c r="E153" s="2"/>
      <c r="F153" s="2"/>
      <c r="G153" s="2"/>
      <c r="H153" s="2"/>
      <c r="I153" s="2"/>
      <c r="J153" s="2"/>
      <c r="K153" s="2"/>
      <c r="L153" s="2"/>
      <c r="M153" s="2"/>
      <c r="N153" s="2"/>
    </row>
    <row r="154" spans="1:14">
      <c r="A154" s="11"/>
      <c r="B154" s="11"/>
      <c r="C154" s="2"/>
      <c r="D154" s="2"/>
      <c r="E154" s="2"/>
      <c r="F154" s="2"/>
      <c r="G154" s="2"/>
      <c r="H154" s="2"/>
      <c r="I154" s="2"/>
      <c r="J154" s="2"/>
      <c r="K154" s="2"/>
      <c r="L154" s="2"/>
      <c r="M154" s="2"/>
      <c r="N154" s="2"/>
    </row>
    <row r="155" spans="1:14">
      <c r="A155" s="11"/>
      <c r="B155" s="11"/>
      <c r="C155" s="2"/>
      <c r="D155" s="2"/>
      <c r="E155" s="2"/>
      <c r="F155" s="2"/>
      <c r="G155" s="2"/>
      <c r="H155" s="2"/>
      <c r="I155" s="2"/>
      <c r="J155" s="2"/>
      <c r="K155" s="2"/>
      <c r="L155" s="2"/>
      <c r="M155" s="2"/>
      <c r="N155" s="2"/>
    </row>
    <row r="156" spans="1:14">
      <c r="A156" s="11"/>
      <c r="B156" s="11"/>
      <c r="C156" s="2"/>
      <c r="D156" s="2"/>
      <c r="E156" s="2"/>
      <c r="F156" s="2"/>
      <c r="G156" s="2"/>
      <c r="H156" s="2"/>
      <c r="I156" s="2"/>
      <c r="J156" s="2"/>
      <c r="K156" s="2"/>
      <c r="L156" s="2"/>
      <c r="M156" s="2"/>
      <c r="N156" s="2"/>
    </row>
    <row r="157" spans="1:14">
      <c r="A157" s="11"/>
      <c r="B157" s="11"/>
      <c r="C157" s="2"/>
      <c r="D157" s="2"/>
      <c r="E157" s="2"/>
      <c r="F157" s="2"/>
      <c r="G157" s="2"/>
      <c r="H157" s="2"/>
      <c r="I157" s="2"/>
      <c r="J157" s="2"/>
      <c r="K157" s="2"/>
      <c r="L157" s="2"/>
      <c r="M157" s="2"/>
      <c r="N157" s="2"/>
    </row>
    <row r="158" spans="1:14">
      <c r="A158" s="11"/>
      <c r="B158" s="11"/>
      <c r="C158" s="2"/>
      <c r="D158" s="2"/>
      <c r="E158" s="2"/>
      <c r="F158" s="2"/>
      <c r="G158" s="2"/>
      <c r="H158" s="2"/>
      <c r="I158" s="2"/>
      <c r="J158" s="2"/>
      <c r="K158" s="2"/>
      <c r="L158" s="2"/>
      <c r="M158" s="2"/>
      <c r="N158" s="2"/>
    </row>
    <row r="159" spans="1:14">
      <c r="A159" s="11"/>
      <c r="B159" s="11"/>
      <c r="C159" s="2"/>
      <c r="D159" s="2"/>
      <c r="E159" s="2"/>
      <c r="F159" s="2"/>
      <c r="G159" s="2"/>
      <c r="H159" s="2"/>
      <c r="I159" s="2"/>
      <c r="J159" s="2"/>
      <c r="K159" s="2"/>
      <c r="L159" s="2"/>
      <c r="M159" s="2"/>
      <c r="N159" s="2"/>
    </row>
    <row r="160" spans="1:14">
      <c r="A160" s="11"/>
      <c r="B160" s="11"/>
      <c r="C160" s="2"/>
      <c r="D160" s="2"/>
      <c r="E160" s="2"/>
      <c r="F160" s="2"/>
      <c r="G160" s="2"/>
      <c r="H160" s="2"/>
      <c r="I160" s="2"/>
      <c r="J160" s="2"/>
      <c r="K160" s="2"/>
      <c r="L160" s="2"/>
      <c r="M160" s="2"/>
      <c r="N160" s="2"/>
    </row>
    <row r="161" spans="1:14">
      <c r="A161" s="11"/>
      <c r="B161" s="11"/>
      <c r="C161" s="2"/>
      <c r="D161" s="2"/>
      <c r="E161" s="2"/>
      <c r="F161" s="2"/>
      <c r="G161" s="2"/>
      <c r="H161" s="2"/>
      <c r="I161" s="2"/>
      <c r="J161" s="2"/>
      <c r="K161" s="2"/>
      <c r="L161" s="2"/>
      <c r="M161" s="2"/>
      <c r="N161" s="2"/>
    </row>
    <row r="162" spans="1:14">
      <c r="A162" s="11"/>
      <c r="B162" s="11"/>
      <c r="C162" s="2"/>
      <c r="D162" s="2"/>
      <c r="E162" s="2"/>
      <c r="F162" s="2"/>
      <c r="G162" s="2"/>
      <c r="H162" s="2"/>
      <c r="I162" s="2"/>
      <c r="J162" s="2"/>
      <c r="K162" s="2"/>
      <c r="L162" s="2"/>
      <c r="M162" s="2"/>
      <c r="N162" s="2"/>
    </row>
    <row r="163" spans="1:14">
      <c r="A163" s="11"/>
      <c r="B163" s="11"/>
      <c r="C163" s="2"/>
      <c r="D163" s="2"/>
      <c r="E163" s="2"/>
      <c r="F163" s="2"/>
      <c r="G163" s="2"/>
      <c r="H163" s="2"/>
      <c r="I163" s="2"/>
      <c r="J163" s="2"/>
      <c r="K163" s="2"/>
      <c r="L163" s="2"/>
      <c r="M163" s="2"/>
      <c r="N163" s="2"/>
    </row>
    <row r="164" spans="1:14">
      <c r="A164" s="11"/>
      <c r="B164" s="11"/>
      <c r="C164" s="2"/>
      <c r="D164" s="2"/>
      <c r="E164" s="2"/>
      <c r="F164" s="2"/>
      <c r="G164" s="2"/>
      <c r="H164" s="2"/>
      <c r="I164" s="2"/>
      <c r="J164" s="2"/>
      <c r="K164" s="2"/>
      <c r="L164" s="2"/>
      <c r="M164" s="2"/>
      <c r="N164" s="2"/>
    </row>
    <row r="165" spans="1:14">
      <c r="A165" s="11"/>
      <c r="B165" s="11"/>
      <c r="C165" s="2"/>
      <c r="D165" s="2"/>
      <c r="E165" s="2"/>
      <c r="F165" s="2"/>
      <c r="G165" s="2"/>
      <c r="H165" s="2"/>
      <c r="I165" s="2"/>
      <c r="J165" s="2"/>
      <c r="K165" s="2"/>
      <c r="L165" s="2"/>
      <c r="M165" s="2"/>
      <c r="N165" s="2"/>
    </row>
    <row r="166" spans="1:14">
      <c r="A166" s="11"/>
      <c r="B166" s="11"/>
      <c r="C166" s="2"/>
      <c r="D166" s="2"/>
      <c r="E166" s="2"/>
      <c r="F166" s="2"/>
      <c r="G166" s="2"/>
      <c r="H166" s="2"/>
      <c r="I166" s="2"/>
      <c r="J166" s="2"/>
      <c r="K166" s="2"/>
      <c r="L166" s="2"/>
      <c r="M166" s="2"/>
      <c r="N166" s="2"/>
    </row>
    <row r="167" spans="1:14">
      <c r="A167" s="11"/>
      <c r="B167" s="11"/>
      <c r="C167" s="2"/>
      <c r="D167" s="2"/>
      <c r="E167" s="2"/>
      <c r="F167" s="2"/>
      <c r="G167" s="2"/>
      <c r="H167" s="2"/>
      <c r="I167" s="2"/>
      <c r="J167" s="2"/>
      <c r="K167" s="2"/>
      <c r="L167" s="2"/>
      <c r="M167" s="2"/>
      <c r="N167" s="2"/>
    </row>
    <row r="168" spans="1:14">
      <c r="A168" s="11"/>
      <c r="B168" s="11"/>
      <c r="C168" s="2"/>
      <c r="D168" s="2"/>
      <c r="E168" s="2"/>
      <c r="F168" s="2"/>
      <c r="G168" s="2"/>
      <c r="H168" s="2"/>
      <c r="I168" s="2"/>
      <c r="J168" s="2"/>
      <c r="K168" s="2"/>
      <c r="L168" s="2"/>
      <c r="M168" s="2"/>
      <c r="N168" s="2"/>
    </row>
    <row r="169" spans="1:14">
      <c r="A169" s="11"/>
      <c r="B169" s="11"/>
      <c r="C169" s="2"/>
      <c r="D169" s="2"/>
      <c r="E169" s="2"/>
      <c r="F169" s="2"/>
      <c r="G169" s="2"/>
      <c r="H169" s="2"/>
      <c r="I169" s="2"/>
      <c r="J169" s="2"/>
      <c r="K169" s="2"/>
      <c r="L169" s="2"/>
      <c r="M169" s="2"/>
      <c r="N169" s="2"/>
    </row>
    <row r="170" spans="1:14">
      <c r="A170" s="11"/>
      <c r="B170" s="11"/>
      <c r="C170" s="2"/>
      <c r="D170" s="2"/>
      <c r="E170" s="2"/>
      <c r="F170" s="2"/>
      <c r="G170" s="2"/>
      <c r="H170" s="2"/>
      <c r="I170" s="2"/>
      <c r="J170" s="2"/>
      <c r="K170" s="2"/>
      <c r="L170" s="2"/>
      <c r="M170" s="2"/>
      <c r="N170" s="2"/>
    </row>
    <row r="171" spans="1:14">
      <c r="A171" s="11"/>
      <c r="B171" s="11"/>
      <c r="C171" s="2"/>
      <c r="D171" s="2"/>
      <c r="E171" s="2"/>
      <c r="F171" s="2"/>
      <c r="G171" s="2"/>
      <c r="H171" s="2"/>
      <c r="I171" s="2"/>
      <c r="J171" s="2"/>
      <c r="K171" s="2"/>
      <c r="L171" s="2"/>
      <c r="M171" s="2"/>
      <c r="N171" s="2"/>
    </row>
    <row r="172" spans="1:14">
      <c r="A172" s="11"/>
      <c r="B172" s="11"/>
      <c r="C172" s="2"/>
      <c r="D172" s="2"/>
      <c r="E172" s="2"/>
      <c r="F172" s="2"/>
      <c r="G172" s="2"/>
      <c r="H172" s="2"/>
      <c r="I172" s="2"/>
      <c r="J172" s="2"/>
      <c r="K172" s="2"/>
      <c r="L172" s="2"/>
      <c r="M172" s="2"/>
      <c r="N172" s="2"/>
    </row>
    <row r="173" spans="1:14">
      <c r="A173" s="11"/>
      <c r="B173" s="11"/>
      <c r="C173" s="2"/>
      <c r="D173" s="2"/>
      <c r="E173" s="2"/>
      <c r="F173" s="2"/>
      <c r="G173" s="2"/>
      <c r="H173" s="2"/>
      <c r="I173" s="2"/>
      <c r="J173" s="2"/>
      <c r="K173" s="2"/>
      <c r="L173" s="2"/>
      <c r="M173" s="2"/>
      <c r="N173" s="2"/>
    </row>
    <row r="174" spans="1:14">
      <c r="A174" s="11"/>
      <c r="B174" s="11"/>
      <c r="C174" s="2"/>
      <c r="D174" s="2"/>
      <c r="E174" s="2"/>
      <c r="F174" s="2"/>
      <c r="G174" s="2"/>
      <c r="H174" s="2"/>
      <c r="I174" s="2"/>
      <c r="J174" s="2"/>
      <c r="K174" s="2"/>
      <c r="L174" s="2"/>
      <c r="M174" s="2"/>
      <c r="N174" s="2"/>
    </row>
    <row r="175" spans="1:14">
      <c r="A175" s="11"/>
      <c r="B175" s="11"/>
      <c r="C175" s="2"/>
      <c r="D175" s="2"/>
      <c r="E175" s="2"/>
      <c r="F175" s="2"/>
      <c r="G175" s="2"/>
      <c r="H175" s="2"/>
      <c r="I175" s="2"/>
      <c r="J175" s="2"/>
      <c r="K175" s="2"/>
      <c r="L175" s="2"/>
      <c r="M175" s="2"/>
      <c r="N175" s="2"/>
    </row>
    <row r="176" spans="1:14">
      <c r="A176" s="11"/>
      <c r="B176" s="11"/>
      <c r="C176" s="2"/>
      <c r="D176" s="2"/>
      <c r="E176" s="2"/>
      <c r="F176" s="2"/>
      <c r="G176" s="2"/>
      <c r="H176" s="2"/>
      <c r="I176" s="2"/>
      <c r="J176" s="2"/>
      <c r="K176" s="2"/>
      <c r="L176" s="2"/>
      <c r="M176" s="2"/>
      <c r="N176" s="2"/>
    </row>
    <row r="177" spans="1:14">
      <c r="A177" s="11"/>
      <c r="B177" s="11"/>
      <c r="C177" s="2"/>
      <c r="D177" s="2"/>
      <c r="E177" s="2"/>
      <c r="F177" s="2"/>
      <c r="G177" s="2"/>
      <c r="H177" s="2"/>
      <c r="I177" s="2"/>
      <c r="J177" s="2"/>
      <c r="K177" s="2"/>
      <c r="L177" s="2"/>
      <c r="M177" s="2"/>
      <c r="N177" s="2"/>
    </row>
    <row r="178" spans="1:14">
      <c r="A178" s="11"/>
      <c r="B178" s="11"/>
      <c r="C178" s="2"/>
      <c r="D178" s="2"/>
      <c r="E178" s="2"/>
      <c r="F178" s="2"/>
      <c r="G178" s="2"/>
      <c r="H178" s="2"/>
      <c r="I178" s="2"/>
      <c r="J178" s="2"/>
      <c r="K178" s="2"/>
      <c r="L178" s="2"/>
      <c r="M178" s="2"/>
      <c r="N178" s="2"/>
    </row>
    <row r="179" spans="1:14">
      <c r="A179" s="11"/>
      <c r="B179" s="11"/>
      <c r="C179" s="2"/>
      <c r="D179" s="2"/>
      <c r="E179" s="2"/>
      <c r="F179" s="2"/>
      <c r="G179" s="2"/>
      <c r="H179" s="2"/>
      <c r="I179" s="2"/>
      <c r="J179" s="2"/>
      <c r="K179" s="2"/>
      <c r="L179" s="2"/>
      <c r="M179" s="2"/>
      <c r="N179" s="2"/>
    </row>
    <row r="180" spans="1:14">
      <c r="A180" s="11"/>
      <c r="B180" s="11"/>
      <c r="C180" s="2"/>
      <c r="D180" s="2"/>
      <c r="E180" s="2"/>
      <c r="F180" s="2"/>
      <c r="G180" s="2"/>
      <c r="H180" s="2"/>
      <c r="I180" s="2"/>
      <c r="J180" s="2"/>
      <c r="K180" s="2"/>
      <c r="L180" s="2"/>
      <c r="M180" s="2"/>
      <c r="N180" s="2"/>
    </row>
    <row r="181" spans="1:14">
      <c r="A181" s="11"/>
      <c r="B181" s="11"/>
      <c r="C181" s="2"/>
      <c r="D181" s="2"/>
      <c r="E181" s="2"/>
      <c r="F181" s="2"/>
      <c r="G181" s="2"/>
      <c r="H181" s="2"/>
      <c r="I181" s="2"/>
      <c r="J181" s="2"/>
      <c r="K181" s="2"/>
      <c r="L181" s="2"/>
      <c r="M181" s="2"/>
      <c r="N181" s="2"/>
    </row>
    <row r="182" spans="1:14">
      <c r="A182" s="11"/>
      <c r="B182" s="11"/>
      <c r="C182" s="2"/>
      <c r="D182" s="2"/>
      <c r="E182" s="2"/>
      <c r="F182" s="2"/>
      <c r="G182" s="2"/>
      <c r="H182" s="2"/>
      <c r="I182" s="2"/>
      <c r="J182" s="2"/>
      <c r="K182" s="2"/>
      <c r="L182" s="2"/>
      <c r="M182" s="2"/>
      <c r="N182" s="2"/>
    </row>
    <row r="183" spans="1:14">
      <c r="A183" s="11"/>
      <c r="B183" s="11"/>
      <c r="C183" s="2"/>
      <c r="D183" s="2"/>
      <c r="E183" s="2"/>
      <c r="F183" s="2"/>
      <c r="G183" s="2"/>
      <c r="H183" s="2"/>
      <c r="I183" s="2"/>
      <c r="J183" s="2"/>
      <c r="K183" s="2"/>
      <c r="L183" s="2"/>
      <c r="M183" s="2"/>
      <c r="N183" s="2"/>
    </row>
    <row r="184" spans="1:14">
      <c r="A184" s="11"/>
      <c r="B184" s="11"/>
      <c r="C184" s="2"/>
      <c r="D184" s="2"/>
      <c r="E184" s="2"/>
      <c r="F184" s="2"/>
      <c r="G184" s="2"/>
      <c r="H184" s="2"/>
      <c r="I184" s="2"/>
      <c r="J184" s="2"/>
      <c r="K184" s="2"/>
      <c r="L184" s="2"/>
      <c r="M184" s="2"/>
      <c r="N184" s="2"/>
    </row>
    <row r="185" spans="1:14">
      <c r="A185" s="11"/>
      <c r="B185" s="11"/>
      <c r="C185" s="2"/>
      <c r="D185" s="2"/>
      <c r="E185" s="2"/>
      <c r="F185" s="2"/>
      <c r="G185" s="2"/>
      <c r="H185" s="2"/>
      <c r="I185" s="2"/>
      <c r="J185" s="2"/>
      <c r="K185" s="2"/>
      <c r="L185" s="2"/>
      <c r="M185" s="2"/>
      <c r="N185" s="2"/>
    </row>
    <row r="186" spans="1:14">
      <c r="A186" s="11"/>
      <c r="B186" s="11"/>
      <c r="C186" s="2"/>
      <c r="D186" s="2"/>
      <c r="E186" s="2"/>
      <c r="F186" s="2"/>
      <c r="G186" s="2"/>
      <c r="H186" s="2"/>
      <c r="I186" s="2"/>
      <c r="J186" s="2"/>
      <c r="K186" s="2"/>
      <c r="L186" s="2"/>
      <c r="M186" s="2"/>
      <c r="N186" s="2"/>
    </row>
    <row r="187" spans="1:14">
      <c r="A187" s="11"/>
      <c r="B187" s="11"/>
      <c r="C187" s="2"/>
      <c r="D187" s="2"/>
      <c r="E187" s="2"/>
      <c r="F187" s="2"/>
      <c r="G187" s="2"/>
      <c r="H187" s="2"/>
      <c r="I187" s="2"/>
      <c r="J187" s="2"/>
      <c r="K187" s="2"/>
      <c r="L187" s="2"/>
      <c r="M187" s="2"/>
      <c r="N187" s="2"/>
    </row>
    <row r="188" spans="1:14">
      <c r="A188" s="11"/>
      <c r="B188" s="11"/>
      <c r="C188" s="2"/>
      <c r="D188" s="2"/>
      <c r="E188" s="2"/>
      <c r="F188" s="2"/>
      <c r="G188" s="2"/>
      <c r="H188" s="2"/>
      <c r="I188" s="2"/>
      <c r="J188" s="2"/>
      <c r="K188" s="2"/>
      <c r="L188" s="2"/>
      <c r="M188" s="2"/>
      <c r="N188" s="2"/>
    </row>
    <row r="189" spans="1:14">
      <c r="A189" s="11"/>
      <c r="B189" s="11"/>
      <c r="C189" s="2"/>
      <c r="D189" s="2"/>
      <c r="E189" s="2"/>
      <c r="F189" s="2"/>
      <c r="G189" s="2"/>
      <c r="H189" s="2"/>
      <c r="I189" s="2"/>
      <c r="J189" s="2"/>
      <c r="K189" s="2"/>
      <c r="L189" s="2"/>
      <c r="M189" s="2"/>
      <c r="N189" s="2"/>
    </row>
    <row r="190" spans="1:14">
      <c r="A190" s="11"/>
      <c r="B190" s="11"/>
      <c r="C190" s="2"/>
      <c r="D190" s="2"/>
      <c r="E190" s="2"/>
      <c r="F190" s="2"/>
      <c r="G190" s="2"/>
      <c r="H190" s="2"/>
      <c r="I190" s="2"/>
      <c r="J190" s="2"/>
      <c r="K190" s="2"/>
      <c r="L190" s="2"/>
      <c r="M190" s="2"/>
      <c r="N190" s="2"/>
    </row>
    <row r="191" spans="1:14">
      <c r="A191" s="11"/>
      <c r="B191" s="11"/>
      <c r="C191" s="2"/>
      <c r="D191" s="2"/>
      <c r="E191" s="2"/>
      <c r="F191" s="2"/>
      <c r="G191" s="2"/>
      <c r="H191" s="2"/>
      <c r="I191" s="2"/>
      <c r="J191" s="2"/>
      <c r="K191" s="2"/>
      <c r="L191" s="2"/>
      <c r="M191" s="2"/>
      <c r="N191" s="2"/>
    </row>
    <row r="192" spans="1:14">
      <c r="A192" s="11"/>
      <c r="B192" s="11"/>
      <c r="C192" s="2"/>
      <c r="D192" s="2"/>
      <c r="E192" s="2"/>
      <c r="F192" s="2"/>
      <c r="G192" s="2"/>
      <c r="H192" s="2"/>
      <c r="I192" s="2"/>
      <c r="J192" s="2"/>
      <c r="K192" s="2"/>
      <c r="L192" s="2"/>
      <c r="M192" s="2"/>
      <c r="N192" s="2"/>
    </row>
    <row r="193" spans="1:14">
      <c r="A193" s="11"/>
      <c r="B193" s="11"/>
      <c r="C193" s="2"/>
      <c r="D193" s="2"/>
      <c r="E193" s="2"/>
      <c r="F193" s="2"/>
      <c r="G193" s="2"/>
      <c r="H193" s="2"/>
      <c r="I193" s="2"/>
      <c r="J193" s="2"/>
      <c r="K193" s="2"/>
      <c r="L193" s="2"/>
      <c r="M193" s="2"/>
      <c r="N193" s="2"/>
    </row>
    <row r="194" spans="1:14">
      <c r="A194" s="11"/>
      <c r="B194" s="11"/>
      <c r="C194" s="2"/>
      <c r="D194" s="2"/>
      <c r="E194" s="2"/>
      <c r="F194" s="2"/>
      <c r="G194" s="2"/>
      <c r="H194" s="2"/>
      <c r="I194" s="2"/>
      <c r="J194" s="2"/>
      <c r="K194" s="2"/>
      <c r="L194" s="2"/>
      <c r="M194" s="2"/>
      <c r="N194" s="2"/>
    </row>
    <row r="195" spans="1:14">
      <c r="A195" s="11"/>
      <c r="B195" s="11"/>
      <c r="C195" s="2"/>
      <c r="D195" s="2"/>
      <c r="E195" s="2"/>
      <c r="F195" s="2"/>
      <c r="G195" s="2"/>
      <c r="H195" s="2"/>
      <c r="I195" s="2"/>
      <c r="J195" s="2"/>
      <c r="K195" s="2"/>
      <c r="L195" s="2"/>
      <c r="M195" s="2"/>
      <c r="N195" s="2"/>
    </row>
    <row r="196" spans="1:14">
      <c r="A196" s="11"/>
      <c r="B196" s="11"/>
      <c r="C196" s="2"/>
      <c r="D196" s="2"/>
      <c r="E196" s="2"/>
      <c r="F196" s="2"/>
      <c r="G196" s="2"/>
      <c r="H196" s="2"/>
      <c r="I196" s="2"/>
      <c r="J196" s="2"/>
      <c r="K196" s="2"/>
      <c r="L196" s="2"/>
      <c r="M196" s="2"/>
      <c r="N196" s="2"/>
    </row>
    <row r="197" spans="1:14">
      <c r="A197" s="11"/>
      <c r="B197" s="11"/>
      <c r="C197" s="2"/>
      <c r="D197" s="2"/>
      <c r="E197" s="2"/>
      <c r="F197" s="2"/>
      <c r="G197" s="2"/>
      <c r="H197" s="2"/>
      <c r="I197" s="2"/>
      <c r="J197" s="2"/>
      <c r="K197" s="2"/>
      <c r="L197" s="2"/>
      <c r="M197" s="2"/>
      <c r="N197" s="2"/>
    </row>
    <row r="198" spans="1:14">
      <c r="A198" s="11"/>
      <c r="B198" s="11"/>
      <c r="C198" s="2"/>
      <c r="D198" s="2"/>
      <c r="E198" s="2"/>
      <c r="F198" s="2"/>
      <c r="G198" s="2"/>
      <c r="H198" s="2"/>
      <c r="I198" s="2"/>
      <c r="J198" s="2"/>
      <c r="K198" s="2"/>
      <c r="L198" s="2"/>
      <c r="M198" s="2"/>
      <c r="N198" s="2"/>
    </row>
    <row r="199" spans="1:14">
      <c r="A199" s="11"/>
      <c r="B199" s="11"/>
      <c r="C199" s="2"/>
      <c r="D199" s="2"/>
      <c r="E199" s="2"/>
      <c r="F199" s="2"/>
      <c r="G199" s="2"/>
      <c r="H199" s="2"/>
      <c r="I199" s="2"/>
      <c r="J199" s="2"/>
      <c r="K199" s="2"/>
      <c r="L199" s="2"/>
      <c r="M199" s="2"/>
      <c r="N199" s="2"/>
    </row>
    <row r="200" spans="1:14">
      <c r="A200" s="11"/>
      <c r="B200" s="11"/>
      <c r="C200" s="2"/>
      <c r="D200" s="2"/>
      <c r="E200" s="2"/>
      <c r="F200" s="2"/>
      <c r="G200" s="2"/>
      <c r="H200" s="2"/>
      <c r="I200" s="2"/>
      <c r="J200" s="2"/>
      <c r="K200" s="2"/>
      <c r="L200" s="2"/>
      <c r="M200" s="2"/>
      <c r="N200" s="2"/>
    </row>
    <row r="201" spans="1:14">
      <c r="A201" s="11"/>
      <c r="B201" s="11"/>
      <c r="C201" s="2"/>
      <c r="D201" s="2"/>
      <c r="E201" s="2"/>
      <c r="F201" s="2"/>
      <c r="G201" s="2"/>
      <c r="H201" s="2"/>
      <c r="I201" s="2"/>
      <c r="J201" s="2"/>
      <c r="K201" s="2"/>
      <c r="L201" s="2"/>
      <c r="M201" s="2"/>
      <c r="N201" s="2"/>
    </row>
    <row r="202" spans="1:14">
      <c r="A202" s="11"/>
      <c r="B202" s="11"/>
      <c r="C202" s="2"/>
      <c r="D202" s="2"/>
      <c r="E202" s="2"/>
      <c r="F202" s="2"/>
      <c r="G202" s="2"/>
      <c r="H202" s="2"/>
      <c r="I202" s="2"/>
      <c r="J202" s="2"/>
      <c r="K202" s="2"/>
      <c r="L202" s="2"/>
      <c r="M202" s="2"/>
      <c r="N202" s="2"/>
    </row>
    <row r="203" spans="1:14">
      <c r="A203" s="11"/>
      <c r="B203" s="11"/>
      <c r="C203" s="2"/>
      <c r="D203" s="2"/>
      <c r="E203" s="2"/>
      <c r="F203" s="2"/>
      <c r="G203" s="2"/>
      <c r="H203" s="2"/>
      <c r="I203" s="2"/>
      <c r="J203" s="2"/>
      <c r="K203" s="2"/>
      <c r="L203" s="2"/>
      <c r="M203" s="2"/>
      <c r="N203" s="2"/>
    </row>
    <row r="204" spans="1:14">
      <c r="A204" s="11"/>
      <c r="B204" s="11"/>
      <c r="C204" s="2"/>
      <c r="D204" s="2"/>
      <c r="E204" s="2"/>
      <c r="F204" s="2"/>
      <c r="G204" s="2"/>
      <c r="H204" s="2"/>
      <c r="I204" s="2"/>
      <c r="J204" s="2"/>
      <c r="K204" s="2"/>
      <c r="L204" s="2"/>
      <c r="M204" s="2"/>
      <c r="N204" s="2"/>
    </row>
    <row r="205" spans="1:14">
      <c r="A205" s="11"/>
      <c r="B205" s="11"/>
      <c r="C205" s="2"/>
      <c r="D205" s="2"/>
      <c r="E205" s="2"/>
      <c r="F205" s="2"/>
      <c r="G205" s="2"/>
      <c r="H205" s="2"/>
      <c r="I205" s="2"/>
      <c r="J205" s="2"/>
      <c r="K205" s="2"/>
      <c r="L205" s="2"/>
      <c r="M205" s="2"/>
      <c r="N205" s="2"/>
    </row>
    <row r="206" spans="1:14">
      <c r="A206" s="11"/>
      <c r="B206" s="11"/>
      <c r="C206" s="2"/>
      <c r="D206" s="2"/>
      <c r="E206" s="2"/>
      <c r="F206" s="2"/>
      <c r="G206" s="2"/>
      <c r="H206" s="2"/>
      <c r="I206" s="2"/>
      <c r="J206" s="2"/>
      <c r="K206" s="2"/>
      <c r="L206" s="2"/>
      <c r="M206" s="2"/>
      <c r="N206" s="2"/>
    </row>
    <row r="207" spans="1:14">
      <c r="A207" s="11"/>
      <c r="B207" s="11"/>
      <c r="C207" s="2"/>
      <c r="D207" s="2"/>
      <c r="E207" s="2"/>
      <c r="F207" s="2"/>
      <c r="G207" s="2"/>
      <c r="H207" s="2"/>
      <c r="I207" s="2"/>
      <c r="J207" s="2"/>
      <c r="K207" s="2"/>
      <c r="L207" s="2"/>
      <c r="M207" s="2"/>
      <c r="N207" s="2"/>
    </row>
    <row r="208" spans="1:14">
      <c r="A208" s="11"/>
      <c r="B208" s="11"/>
      <c r="C208" s="2"/>
      <c r="D208" s="2"/>
      <c r="E208" s="2"/>
      <c r="F208" s="2"/>
      <c r="G208" s="2"/>
      <c r="H208" s="2"/>
      <c r="I208" s="2"/>
      <c r="J208" s="2"/>
      <c r="K208" s="2"/>
      <c r="L208" s="2"/>
      <c r="M208" s="2"/>
      <c r="N208" s="2"/>
    </row>
    <row r="209" spans="1:14">
      <c r="A209" s="11"/>
      <c r="B209" s="11"/>
      <c r="C209" s="2"/>
      <c r="D209" s="2"/>
      <c r="E209" s="2"/>
      <c r="F209" s="2"/>
      <c r="G209" s="2"/>
      <c r="H209" s="2"/>
      <c r="I209" s="2"/>
      <c r="J209" s="2"/>
      <c r="K209" s="2"/>
      <c r="L209" s="2"/>
      <c r="M209" s="2"/>
      <c r="N209" s="2"/>
    </row>
    <row r="210" spans="1:14">
      <c r="A210" s="11"/>
      <c r="B210" s="11"/>
      <c r="C210" s="2"/>
      <c r="D210" s="2"/>
      <c r="E210" s="2"/>
      <c r="F210" s="2"/>
      <c r="G210" s="2"/>
      <c r="H210" s="2"/>
      <c r="I210" s="2"/>
      <c r="J210" s="2"/>
      <c r="K210" s="2"/>
      <c r="L210" s="2"/>
      <c r="M210" s="2"/>
      <c r="N210" s="2"/>
    </row>
    <row r="211" spans="1:14">
      <c r="A211" s="11"/>
      <c r="B211" s="11"/>
      <c r="C211" s="2"/>
      <c r="D211" s="2"/>
      <c r="E211" s="2"/>
      <c r="F211" s="2"/>
      <c r="G211" s="2"/>
      <c r="H211" s="2"/>
      <c r="I211" s="2"/>
      <c r="J211" s="2"/>
      <c r="K211" s="2"/>
      <c r="L211" s="2"/>
      <c r="M211" s="2"/>
      <c r="N211" s="2"/>
    </row>
    <row r="212" spans="1:14">
      <c r="A212" s="11"/>
      <c r="B212" s="11"/>
      <c r="C212" s="2"/>
      <c r="D212" s="2"/>
      <c r="E212" s="2"/>
      <c r="F212" s="2"/>
      <c r="G212" s="2"/>
      <c r="H212" s="2"/>
      <c r="I212" s="2"/>
      <c r="J212" s="2"/>
      <c r="K212" s="2"/>
      <c r="L212" s="2"/>
      <c r="M212" s="2"/>
      <c r="N212" s="2"/>
    </row>
    <row r="213" spans="1:14">
      <c r="A213" s="11"/>
      <c r="B213" s="11"/>
      <c r="C213" s="2"/>
      <c r="D213" s="2"/>
      <c r="E213" s="2"/>
      <c r="F213" s="2"/>
      <c r="G213" s="2"/>
      <c r="H213" s="2"/>
      <c r="I213" s="2"/>
      <c r="J213" s="2"/>
      <c r="K213" s="2"/>
      <c r="L213" s="2"/>
      <c r="M213" s="2"/>
      <c r="N213" s="2"/>
    </row>
    <row r="214" spans="1:14">
      <c r="A214" s="11"/>
      <c r="B214" s="11"/>
      <c r="C214" s="2"/>
      <c r="D214" s="2"/>
      <c r="E214" s="2"/>
      <c r="F214" s="2"/>
      <c r="G214" s="2"/>
      <c r="H214" s="2"/>
      <c r="I214" s="2"/>
      <c r="J214" s="2"/>
      <c r="K214" s="2"/>
      <c r="L214" s="2"/>
      <c r="M214" s="2"/>
      <c r="N214" s="2"/>
    </row>
    <row r="215" spans="1:14">
      <c r="A215" s="11"/>
      <c r="B215" s="11"/>
      <c r="C215" s="2"/>
      <c r="D215" s="2"/>
      <c r="E215" s="2"/>
      <c r="F215" s="2"/>
      <c r="G215" s="2"/>
      <c r="H215" s="2"/>
      <c r="I215" s="2"/>
      <c r="J215" s="2"/>
      <c r="K215" s="2"/>
      <c r="L215" s="2"/>
      <c r="M215" s="2"/>
      <c r="N215" s="2"/>
    </row>
    <row r="216" spans="1:14">
      <c r="A216" s="11"/>
      <c r="B216" s="11"/>
      <c r="C216" s="2"/>
      <c r="D216" s="2"/>
      <c r="E216" s="2"/>
      <c r="F216" s="2"/>
      <c r="G216" s="2"/>
      <c r="H216" s="2"/>
      <c r="I216" s="2"/>
      <c r="J216" s="2"/>
      <c r="K216" s="2"/>
      <c r="L216" s="2"/>
      <c r="M216" s="2"/>
      <c r="N216" s="2"/>
    </row>
    <row r="217" spans="1:14">
      <c r="A217" s="11"/>
      <c r="B217" s="11"/>
      <c r="C217" s="2"/>
      <c r="D217" s="2"/>
      <c r="E217" s="2"/>
      <c r="F217" s="2"/>
      <c r="G217" s="2"/>
      <c r="H217" s="2"/>
      <c r="I217" s="2"/>
      <c r="J217" s="2"/>
      <c r="K217" s="2"/>
      <c r="L217" s="2"/>
      <c r="M217" s="2"/>
      <c r="N217" s="2"/>
    </row>
    <row r="218" spans="1:14">
      <c r="A218" s="11"/>
      <c r="B218" s="11"/>
      <c r="C218" s="2"/>
      <c r="D218" s="2"/>
      <c r="E218" s="2"/>
      <c r="F218" s="2"/>
      <c r="G218" s="2"/>
      <c r="H218" s="2"/>
      <c r="I218" s="2"/>
      <c r="J218" s="2"/>
      <c r="K218" s="2"/>
      <c r="L218" s="2"/>
      <c r="M218" s="2"/>
      <c r="N218" s="2"/>
    </row>
    <row r="219" spans="1:14">
      <c r="A219" s="11"/>
      <c r="B219" s="11"/>
      <c r="C219" s="2"/>
      <c r="D219" s="2"/>
      <c r="E219" s="2"/>
      <c r="F219" s="2"/>
      <c r="G219" s="2"/>
      <c r="H219" s="2"/>
      <c r="I219" s="2"/>
      <c r="J219" s="2"/>
      <c r="K219" s="2"/>
      <c r="L219" s="2"/>
      <c r="M219" s="2"/>
      <c r="N219" s="2"/>
    </row>
    <row r="220" spans="1:14">
      <c r="A220" s="11"/>
      <c r="B220" s="11"/>
      <c r="C220" s="2"/>
      <c r="D220" s="2"/>
      <c r="E220" s="2"/>
      <c r="F220" s="2"/>
      <c r="G220" s="2"/>
      <c r="H220" s="2"/>
      <c r="I220" s="2"/>
      <c r="J220" s="2"/>
      <c r="K220" s="2"/>
      <c r="L220" s="2"/>
      <c r="M220" s="2"/>
      <c r="N220" s="2"/>
    </row>
    <row r="221" spans="1:14">
      <c r="A221" s="11"/>
      <c r="B221" s="11"/>
      <c r="C221" s="2"/>
      <c r="D221" s="2"/>
      <c r="E221" s="2"/>
      <c r="F221" s="2"/>
      <c r="G221" s="2"/>
      <c r="H221" s="2"/>
      <c r="I221" s="2"/>
      <c r="J221" s="2"/>
      <c r="K221" s="2"/>
      <c r="L221" s="2"/>
      <c r="M221" s="2"/>
      <c r="N221" s="2"/>
    </row>
    <row r="222" spans="1:14">
      <c r="A222" s="11"/>
      <c r="B222" s="11"/>
      <c r="C222" s="2"/>
      <c r="D222" s="2"/>
      <c r="E222" s="2"/>
      <c r="F222" s="2"/>
      <c r="G222" s="2"/>
      <c r="H222" s="2"/>
      <c r="I222" s="2"/>
      <c r="J222" s="2"/>
      <c r="K222" s="2"/>
      <c r="L222" s="2"/>
      <c r="M222" s="2"/>
      <c r="N222" s="2"/>
    </row>
    <row r="223" spans="1:14">
      <c r="A223" s="11"/>
      <c r="B223" s="11"/>
      <c r="C223" s="2"/>
      <c r="D223" s="2"/>
      <c r="E223" s="2"/>
      <c r="F223" s="2"/>
      <c r="G223" s="2"/>
      <c r="H223" s="2"/>
      <c r="I223" s="2"/>
      <c r="J223" s="2"/>
      <c r="K223" s="2"/>
      <c r="L223" s="2"/>
      <c r="M223" s="2"/>
      <c r="N223" s="2"/>
    </row>
    <row r="224" spans="1:14">
      <c r="A224" s="11"/>
      <c r="B224" s="11"/>
      <c r="C224" s="2"/>
      <c r="D224" s="2"/>
      <c r="E224" s="2"/>
      <c r="F224" s="2"/>
      <c r="G224" s="2"/>
      <c r="H224" s="2"/>
      <c r="I224" s="2"/>
      <c r="J224" s="2"/>
      <c r="K224" s="2"/>
      <c r="L224" s="2"/>
      <c r="M224" s="2"/>
      <c r="N224" s="2"/>
    </row>
    <row r="225" spans="1:14">
      <c r="A225" s="11"/>
      <c r="B225" s="11"/>
      <c r="C225" s="2"/>
      <c r="D225" s="2"/>
      <c r="E225" s="2"/>
      <c r="F225" s="2"/>
      <c r="G225" s="2"/>
      <c r="H225" s="2"/>
      <c r="I225" s="2"/>
      <c r="J225" s="2"/>
      <c r="K225" s="2"/>
      <c r="L225" s="2"/>
      <c r="M225" s="2"/>
      <c r="N225" s="2"/>
    </row>
    <row r="226" spans="1:14">
      <c r="A226" s="11"/>
      <c r="B226" s="11"/>
      <c r="C226" s="2"/>
      <c r="D226" s="2"/>
      <c r="E226" s="2"/>
      <c r="F226" s="2"/>
      <c r="G226" s="2"/>
      <c r="H226" s="2"/>
      <c r="I226" s="2"/>
      <c r="J226" s="2"/>
      <c r="K226" s="2"/>
      <c r="L226" s="2"/>
      <c r="M226" s="2"/>
      <c r="N226" s="2"/>
    </row>
    <row r="227" spans="1:14">
      <c r="A227" s="11"/>
      <c r="B227" s="11"/>
      <c r="C227" s="2"/>
      <c r="D227" s="2"/>
      <c r="E227" s="2"/>
      <c r="F227" s="2"/>
      <c r="G227" s="2"/>
      <c r="H227" s="2"/>
      <c r="I227" s="2"/>
      <c r="J227" s="2"/>
      <c r="K227" s="2"/>
      <c r="L227" s="2"/>
      <c r="M227" s="2"/>
      <c r="N227" s="2"/>
    </row>
    <row r="228" spans="1:14">
      <c r="A228" s="11"/>
      <c r="B228" s="11"/>
      <c r="C228" s="2"/>
      <c r="D228" s="2"/>
      <c r="E228" s="2"/>
      <c r="F228" s="2"/>
      <c r="G228" s="2"/>
      <c r="H228" s="2"/>
      <c r="I228" s="2"/>
      <c r="J228" s="2"/>
      <c r="K228" s="2"/>
      <c r="L228" s="2"/>
      <c r="M228" s="2"/>
      <c r="N228" s="2"/>
    </row>
    <row r="229" spans="1:14">
      <c r="A229" s="11"/>
      <c r="B229" s="11"/>
      <c r="C229" s="2"/>
      <c r="D229" s="2"/>
      <c r="E229" s="2"/>
      <c r="F229" s="2"/>
      <c r="G229" s="2"/>
      <c r="H229" s="2"/>
      <c r="I229" s="2"/>
      <c r="J229" s="2"/>
      <c r="K229" s="2"/>
      <c r="L229" s="2"/>
      <c r="M229" s="2"/>
      <c r="N229" s="2"/>
    </row>
    <row r="230" spans="1:14">
      <c r="A230" s="11"/>
      <c r="B230" s="11"/>
      <c r="C230" s="2"/>
      <c r="D230" s="2"/>
      <c r="E230" s="2"/>
      <c r="F230" s="2"/>
      <c r="G230" s="2"/>
      <c r="H230" s="2"/>
      <c r="I230" s="2"/>
      <c r="J230" s="2"/>
      <c r="K230" s="2"/>
      <c r="L230" s="2"/>
      <c r="M230" s="2"/>
      <c r="N230" s="2"/>
    </row>
    <row r="231" spans="1:14">
      <c r="A231" s="11"/>
      <c r="B231" s="11"/>
      <c r="C231" s="2"/>
      <c r="D231" s="2"/>
      <c r="E231" s="2"/>
      <c r="F231" s="2"/>
      <c r="G231" s="2"/>
      <c r="H231" s="2"/>
      <c r="I231" s="2"/>
      <c r="J231" s="2"/>
      <c r="K231" s="2"/>
      <c r="L231" s="2"/>
      <c r="M231" s="2"/>
      <c r="N231" s="2"/>
    </row>
    <row r="232" spans="1:14">
      <c r="A232" s="11"/>
      <c r="B232" s="11"/>
      <c r="C232" s="2"/>
      <c r="D232" s="2"/>
      <c r="E232" s="2"/>
      <c r="F232" s="2"/>
      <c r="G232" s="2"/>
      <c r="H232" s="2"/>
      <c r="I232" s="2"/>
      <c r="J232" s="2"/>
      <c r="K232" s="2"/>
      <c r="L232" s="2"/>
      <c r="M232" s="2"/>
      <c r="N232" s="2"/>
    </row>
    <row r="233" spans="1:14">
      <c r="A233" s="11"/>
      <c r="B233" s="11"/>
      <c r="C233" s="2"/>
      <c r="D233" s="2"/>
      <c r="E233" s="2"/>
      <c r="F233" s="2"/>
      <c r="G233" s="2"/>
      <c r="H233" s="2"/>
      <c r="I233" s="2"/>
      <c r="J233" s="2"/>
      <c r="K233" s="2"/>
      <c r="L233" s="2"/>
      <c r="M233" s="2"/>
      <c r="N233" s="2"/>
    </row>
    <row r="234" spans="1:14">
      <c r="A234" s="11"/>
      <c r="B234" s="11"/>
      <c r="C234" s="2"/>
      <c r="D234" s="2"/>
      <c r="E234" s="2"/>
      <c r="F234" s="2"/>
      <c r="G234" s="2"/>
      <c r="H234" s="2"/>
      <c r="I234" s="2"/>
      <c r="J234" s="2"/>
      <c r="K234" s="2"/>
      <c r="L234" s="2"/>
      <c r="M234" s="2"/>
      <c r="N234" s="2"/>
    </row>
    <row r="235" spans="1:14">
      <c r="A235" s="11"/>
      <c r="B235" s="11"/>
      <c r="C235" s="2"/>
      <c r="D235" s="2"/>
      <c r="E235" s="2"/>
      <c r="F235" s="2"/>
      <c r="G235" s="2"/>
      <c r="H235" s="2"/>
      <c r="I235" s="2"/>
      <c r="J235" s="2"/>
      <c r="K235" s="2"/>
      <c r="L235" s="2"/>
      <c r="M235" s="2"/>
      <c r="N235" s="2"/>
    </row>
    <row r="236" spans="1:14">
      <c r="A236" s="11"/>
      <c r="B236" s="11"/>
      <c r="C236" s="2"/>
      <c r="D236" s="2"/>
      <c r="E236" s="2"/>
      <c r="F236" s="2"/>
      <c r="G236" s="2"/>
      <c r="H236" s="2"/>
      <c r="I236" s="2"/>
      <c r="J236" s="2"/>
      <c r="K236" s="2"/>
      <c r="L236" s="2"/>
      <c r="M236" s="2"/>
      <c r="N236" s="2"/>
    </row>
    <row r="237" spans="1:14">
      <c r="A237" s="11"/>
      <c r="B237" s="11"/>
      <c r="C237" s="2"/>
      <c r="D237" s="2"/>
      <c r="E237" s="2"/>
      <c r="F237" s="2"/>
      <c r="G237" s="2"/>
      <c r="H237" s="2"/>
      <c r="I237" s="2"/>
      <c r="J237" s="2"/>
      <c r="K237" s="2"/>
      <c r="L237" s="2"/>
      <c r="M237" s="2"/>
      <c r="N237" s="2"/>
    </row>
    <row r="238" spans="1:14">
      <c r="A238" s="11"/>
      <c r="B238" s="11"/>
      <c r="C238" s="2"/>
      <c r="D238" s="2"/>
      <c r="E238" s="2"/>
      <c r="F238" s="2"/>
      <c r="G238" s="2"/>
      <c r="H238" s="2"/>
      <c r="I238" s="2"/>
      <c r="J238" s="2"/>
      <c r="K238" s="2"/>
      <c r="L238" s="2"/>
      <c r="M238" s="2"/>
      <c r="N238" s="2"/>
    </row>
    <row r="239" spans="1:14">
      <c r="A239" s="11"/>
      <c r="B239" s="11"/>
      <c r="C239" s="2"/>
      <c r="D239" s="2"/>
      <c r="E239" s="2"/>
      <c r="F239" s="2"/>
      <c r="G239" s="2"/>
      <c r="H239" s="2"/>
      <c r="I239" s="2"/>
      <c r="J239" s="2"/>
      <c r="K239" s="2"/>
      <c r="L239" s="2"/>
      <c r="M239" s="2"/>
      <c r="N239" s="2"/>
    </row>
    <row r="240" spans="1:14">
      <c r="A240" s="11"/>
      <c r="B240" s="11"/>
      <c r="C240" s="2"/>
      <c r="D240" s="2"/>
      <c r="E240" s="2"/>
      <c r="F240" s="2"/>
      <c r="G240" s="2"/>
      <c r="H240" s="2"/>
      <c r="I240" s="2"/>
      <c r="J240" s="2"/>
      <c r="K240" s="2"/>
      <c r="L240" s="2"/>
      <c r="M240" s="2"/>
      <c r="N240" s="2"/>
    </row>
    <row r="241" spans="1:14">
      <c r="A241" s="11"/>
      <c r="B241" s="11"/>
      <c r="C241" s="2"/>
      <c r="D241" s="2"/>
      <c r="E241" s="2"/>
      <c r="F241" s="2"/>
      <c r="G241" s="2"/>
      <c r="H241" s="2"/>
      <c r="I241" s="2"/>
      <c r="J241" s="2"/>
      <c r="K241" s="2"/>
      <c r="L241" s="2"/>
      <c r="M241" s="2"/>
      <c r="N241" s="2"/>
    </row>
    <row r="242" spans="1:14">
      <c r="A242" s="11"/>
      <c r="B242" s="11"/>
      <c r="C242" s="2"/>
      <c r="D242" s="2"/>
      <c r="E242" s="2"/>
      <c r="F242" s="2"/>
      <c r="G242" s="2"/>
      <c r="H242" s="2"/>
      <c r="I242" s="2"/>
      <c r="J242" s="2"/>
      <c r="K242" s="2"/>
      <c r="L242" s="2"/>
      <c r="M242" s="2"/>
      <c r="N242" s="2"/>
    </row>
    <row r="243" spans="1:14">
      <c r="A243" s="11"/>
      <c r="B243" s="11"/>
      <c r="C243" s="2"/>
      <c r="D243" s="2"/>
      <c r="E243" s="2"/>
      <c r="F243" s="2"/>
      <c r="G243" s="2"/>
      <c r="H243" s="2"/>
      <c r="I243" s="2"/>
      <c r="J243" s="2"/>
      <c r="K243" s="2"/>
      <c r="L243" s="2"/>
      <c r="M243" s="2"/>
      <c r="N243" s="2"/>
    </row>
    <row r="244" spans="1:14">
      <c r="A244" s="11"/>
      <c r="B244" s="11"/>
      <c r="C244" s="2"/>
      <c r="D244" s="2"/>
      <c r="E244" s="2"/>
      <c r="F244" s="2"/>
      <c r="G244" s="2"/>
      <c r="H244" s="2"/>
      <c r="I244" s="2"/>
      <c r="J244" s="2"/>
      <c r="K244" s="2"/>
      <c r="L244" s="2"/>
      <c r="M244" s="2"/>
      <c r="N244" s="2"/>
    </row>
    <row r="245" spans="1:14">
      <c r="A245" s="11"/>
      <c r="B245" s="11"/>
      <c r="C245" s="2"/>
      <c r="D245" s="2"/>
      <c r="E245" s="2"/>
      <c r="F245" s="2"/>
      <c r="G245" s="2"/>
      <c r="H245" s="2"/>
      <c r="I245" s="2"/>
      <c r="J245" s="2"/>
      <c r="K245" s="2"/>
      <c r="L245" s="2"/>
      <c r="M245" s="2"/>
      <c r="N245" s="2"/>
    </row>
    <row r="246" spans="1:14">
      <c r="A246" s="11"/>
      <c r="B246" s="11"/>
      <c r="C246" s="2"/>
      <c r="D246" s="2"/>
      <c r="E246" s="2"/>
      <c r="F246" s="2"/>
      <c r="G246" s="2"/>
      <c r="H246" s="2"/>
      <c r="I246" s="2"/>
      <c r="J246" s="2"/>
      <c r="K246" s="2"/>
      <c r="L246" s="2"/>
      <c r="M246" s="2"/>
      <c r="N246" s="2"/>
    </row>
    <row r="247" spans="1:14">
      <c r="A247" s="11"/>
      <c r="B247" s="11"/>
      <c r="C247" s="2"/>
      <c r="D247" s="2"/>
      <c r="E247" s="2"/>
      <c r="F247" s="2"/>
      <c r="G247" s="2"/>
      <c r="H247" s="2"/>
      <c r="I247" s="2"/>
      <c r="J247" s="2"/>
      <c r="K247" s="2"/>
      <c r="L247" s="2"/>
      <c r="M247" s="2"/>
      <c r="N247" s="2"/>
    </row>
    <row r="248" spans="1:14">
      <c r="A248" s="11"/>
      <c r="B248" s="11"/>
      <c r="C248" s="2"/>
      <c r="D248" s="2"/>
      <c r="E248" s="2"/>
      <c r="F248" s="2"/>
      <c r="G248" s="2"/>
      <c r="H248" s="2"/>
      <c r="I248" s="2"/>
      <c r="J248" s="2"/>
      <c r="K248" s="2"/>
      <c r="L248" s="2"/>
      <c r="M248" s="2"/>
      <c r="N248" s="2"/>
    </row>
    <row r="249" spans="1:14">
      <c r="A249" s="11"/>
      <c r="B249" s="11"/>
      <c r="C249" s="2"/>
      <c r="D249" s="2"/>
      <c r="E249" s="2"/>
      <c r="F249" s="2"/>
      <c r="G249" s="2"/>
      <c r="H249" s="2"/>
      <c r="I249" s="2"/>
      <c r="J249" s="2"/>
      <c r="K249" s="2"/>
      <c r="L249" s="2"/>
      <c r="M249" s="2"/>
      <c r="N249" s="2"/>
    </row>
    <row r="250" spans="1:14">
      <c r="A250" s="11"/>
      <c r="B250" s="11"/>
      <c r="C250" s="2"/>
      <c r="D250" s="2"/>
      <c r="E250" s="2"/>
      <c r="F250" s="2"/>
      <c r="G250" s="2"/>
      <c r="H250" s="2"/>
      <c r="I250" s="2"/>
      <c r="J250" s="2"/>
      <c r="K250" s="2"/>
      <c r="L250" s="2"/>
      <c r="M250" s="2"/>
      <c r="N250" s="2"/>
    </row>
    <row r="251" spans="1:14">
      <c r="A251" s="11"/>
      <c r="B251" s="11"/>
      <c r="C251" s="2"/>
      <c r="D251" s="2"/>
      <c r="E251" s="2"/>
      <c r="F251" s="2"/>
      <c r="G251" s="2"/>
      <c r="H251" s="2"/>
      <c r="I251" s="2"/>
      <c r="J251" s="2"/>
      <c r="K251" s="2"/>
      <c r="L251" s="2"/>
      <c r="M251" s="2"/>
      <c r="N251" s="2"/>
    </row>
    <row r="252" spans="1:14">
      <c r="A252" s="11"/>
      <c r="B252" s="11"/>
      <c r="C252" s="2"/>
      <c r="D252" s="2"/>
      <c r="E252" s="2"/>
      <c r="F252" s="2"/>
      <c r="G252" s="2"/>
      <c r="H252" s="2"/>
      <c r="I252" s="2"/>
      <c r="J252" s="2"/>
      <c r="K252" s="2"/>
      <c r="L252" s="2"/>
      <c r="M252" s="2"/>
      <c r="N252" s="2"/>
    </row>
    <row r="253" spans="1:14">
      <c r="A253" s="11"/>
      <c r="B253" s="11"/>
      <c r="C253" s="2"/>
      <c r="D253" s="2"/>
      <c r="E253" s="2"/>
      <c r="F253" s="2"/>
      <c r="G253" s="2"/>
      <c r="H253" s="2"/>
      <c r="I253" s="2"/>
      <c r="J253" s="2"/>
      <c r="K253" s="2"/>
      <c r="L253" s="2"/>
      <c r="M253" s="2"/>
      <c r="N253" s="2"/>
    </row>
    <row r="254" spans="1:14">
      <c r="A254" s="11"/>
      <c r="B254" s="11"/>
      <c r="C254" s="2"/>
      <c r="D254" s="2"/>
      <c r="E254" s="2"/>
      <c r="F254" s="2"/>
      <c r="G254" s="2"/>
      <c r="H254" s="2"/>
      <c r="I254" s="2"/>
      <c r="J254" s="2"/>
      <c r="K254" s="2"/>
      <c r="L254" s="2"/>
      <c r="M254" s="2"/>
      <c r="N254" s="2"/>
    </row>
    <row r="255" spans="1:14">
      <c r="A255" s="11"/>
      <c r="B255" s="11"/>
      <c r="C255" s="2"/>
      <c r="D255" s="2"/>
      <c r="E255" s="2"/>
      <c r="F255" s="2"/>
      <c r="G255" s="2"/>
      <c r="H255" s="2"/>
      <c r="I255" s="2"/>
      <c r="J255" s="2"/>
      <c r="K255" s="2"/>
      <c r="L255" s="2"/>
      <c r="M255" s="2"/>
      <c r="N255" s="2"/>
    </row>
    <row r="256" spans="1:14">
      <c r="A256" s="11"/>
      <c r="B256" s="11"/>
      <c r="C256" s="2"/>
      <c r="D256" s="2"/>
      <c r="E256" s="2"/>
      <c r="F256" s="2"/>
      <c r="G256" s="2"/>
      <c r="H256" s="2"/>
      <c r="I256" s="2"/>
      <c r="J256" s="2"/>
      <c r="K256" s="2"/>
      <c r="L256" s="2"/>
      <c r="M256" s="2"/>
      <c r="N256" s="2"/>
    </row>
    <row r="257" spans="1:14">
      <c r="A257" s="11"/>
      <c r="B257" s="11"/>
      <c r="C257" s="2"/>
      <c r="D257" s="2"/>
      <c r="E257" s="2"/>
      <c r="F257" s="2"/>
      <c r="G257" s="2"/>
      <c r="H257" s="2"/>
      <c r="I257" s="2"/>
      <c r="J257" s="2"/>
      <c r="K257" s="2"/>
      <c r="L257" s="2"/>
      <c r="M257" s="2"/>
      <c r="N257" s="2"/>
    </row>
    <row r="258" spans="1:14">
      <c r="A258" s="11"/>
      <c r="B258" s="11"/>
      <c r="C258" s="2"/>
      <c r="D258" s="2"/>
      <c r="E258" s="2"/>
      <c r="F258" s="2"/>
      <c r="G258" s="2"/>
      <c r="H258" s="2"/>
      <c r="I258" s="2"/>
      <c r="J258" s="2"/>
      <c r="K258" s="2"/>
      <c r="L258" s="2"/>
      <c r="M258" s="2"/>
      <c r="N258" s="2"/>
    </row>
    <row r="259" spans="1:14">
      <c r="A259" s="11"/>
      <c r="B259" s="11"/>
      <c r="C259" s="2"/>
      <c r="D259" s="2"/>
      <c r="E259" s="2"/>
      <c r="F259" s="2"/>
      <c r="G259" s="2"/>
      <c r="H259" s="2"/>
      <c r="I259" s="2"/>
      <c r="J259" s="2"/>
      <c r="K259" s="2"/>
      <c r="L259" s="2"/>
      <c r="M259" s="2"/>
      <c r="N259" s="2"/>
    </row>
    <row r="260" spans="1:14">
      <c r="A260" s="11"/>
      <c r="B260" s="11"/>
      <c r="C260" s="2"/>
      <c r="D260" s="2"/>
      <c r="E260" s="2"/>
      <c r="F260" s="2"/>
      <c r="G260" s="2"/>
      <c r="H260" s="2"/>
      <c r="I260" s="2"/>
      <c r="J260" s="2"/>
      <c r="K260" s="2"/>
      <c r="L260" s="2"/>
      <c r="M260" s="2"/>
      <c r="N260" s="2"/>
    </row>
    <row r="261" spans="1:14">
      <c r="A261" s="11"/>
      <c r="B261" s="11"/>
      <c r="C261" s="2"/>
      <c r="D261" s="2"/>
      <c r="E261" s="2"/>
      <c r="F261" s="2"/>
      <c r="G261" s="2"/>
      <c r="H261" s="2"/>
      <c r="I261" s="2"/>
      <c r="J261" s="2"/>
      <c r="K261" s="2"/>
      <c r="L261" s="2"/>
      <c r="M261" s="2"/>
      <c r="N261" s="2"/>
    </row>
    <row r="262" spans="1:14">
      <c r="A262" s="11"/>
      <c r="B262" s="11"/>
      <c r="C262" s="2"/>
      <c r="D262" s="2"/>
      <c r="E262" s="2"/>
      <c r="F262" s="2"/>
      <c r="G262" s="2"/>
      <c r="H262" s="2"/>
      <c r="I262" s="2"/>
      <c r="J262" s="2"/>
      <c r="K262" s="2"/>
      <c r="L262" s="2"/>
      <c r="M262" s="2"/>
      <c r="N262" s="2"/>
    </row>
    <row r="263" spans="1:14">
      <c r="A263" s="11"/>
      <c r="B263" s="11"/>
      <c r="C263" s="2"/>
      <c r="D263" s="2"/>
      <c r="E263" s="2"/>
      <c r="F263" s="2"/>
      <c r="G263" s="2"/>
      <c r="H263" s="2"/>
      <c r="I263" s="2"/>
      <c r="J263" s="2"/>
      <c r="K263" s="2"/>
      <c r="L263" s="2"/>
      <c r="M263" s="2"/>
      <c r="N263" s="2"/>
    </row>
    <row r="264" spans="1:14">
      <c r="A264" s="11"/>
      <c r="B264" s="11"/>
      <c r="C264" s="2"/>
      <c r="D264" s="2"/>
      <c r="E264" s="2"/>
      <c r="F264" s="2"/>
      <c r="G264" s="2"/>
      <c r="H264" s="2"/>
      <c r="I264" s="2"/>
      <c r="J264" s="2"/>
      <c r="K264" s="2"/>
      <c r="L264" s="2"/>
      <c r="M264" s="2"/>
      <c r="N264" s="2"/>
    </row>
    <row r="265" spans="1:14">
      <c r="A265" s="11"/>
      <c r="B265" s="11"/>
      <c r="C265" s="2"/>
      <c r="D265" s="2"/>
      <c r="E265" s="2"/>
      <c r="F265" s="2"/>
      <c r="G265" s="2"/>
      <c r="H265" s="2"/>
      <c r="I265" s="2"/>
      <c r="J265" s="2"/>
      <c r="K265" s="2"/>
      <c r="L265" s="2"/>
      <c r="M265" s="2"/>
      <c r="N265" s="2"/>
    </row>
    <row r="266" spans="1:14">
      <c r="A266" s="11"/>
      <c r="B266" s="11"/>
      <c r="C266" s="2"/>
      <c r="D266" s="2"/>
      <c r="E266" s="2"/>
      <c r="F266" s="2"/>
      <c r="G266" s="2"/>
      <c r="H266" s="2"/>
      <c r="I266" s="2"/>
      <c r="J266" s="2"/>
      <c r="K266" s="2"/>
      <c r="L266" s="2"/>
      <c r="M266" s="2"/>
      <c r="N266" s="2"/>
    </row>
    <row r="267" spans="1:14">
      <c r="A267" s="11"/>
      <c r="B267" s="11"/>
      <c r="C267" s="2"/>
      <c r="D267" s="2"/>
      <c r="E267" s="2"/>
      <c r="F267" s="2"/>
      <c r="G267" s="2"/>
      <c r="H267" s="2"/>
      <c r="I267" s="2"/>
      <c r="J267" s="2"/>
      <c r="K267" s="2"/>
      <c r="L267" s="2"/>
      <c r="M267" s="2"/>
      <c r="N267" s="2"/>
    </row>
    <row r="268" spans="1:14">
      <c r="A268" s="11"/>
      <c r="B268" s="11"/>
      <c r="C268" s="2"/>
      <c r="D268" s="2"/>
      <c r="E268" s="2"/>
      <c r="F268" s="2"/>
      <c r="G268" s="2"/>
      <c r="H268" s="2"/>
      <c r="I268" s="2"/>
      <c r="J268" s="2"/>
      <c r="K268" s="2"/>
      <c r="L268" s="2"/>
      <c r="M268" s="2"/>
      <c r="N268" s="2"/>
    </row>
    <row r="269" spans="1:14">
      <c r="A269" s="11"/>
      <c r="B269" s="11"/>
      <c r="C269" s="2"/>
      <c r="D269" s="2"/>
      <c r="E269" s="2"/>
      <c r="F269" s="2"/>
      <c r="G269" s="2"/>
      <c r="H269" s="2"/>
      <c r="I269" s="2"/>
      <c r="J269" s="2"/>
      <c r="K269" s="2"/>
      <c r="L269" s="2"/>
      <c r="M269" s="2"/>
      <c r="N269" s="2"/>
    </row>
    <row r="270" spans="1:14">
      <c r="A270" s="11"/>
      <c r="B270" s="11"/>
      <c r="C270" s="2"/>
      <c r="D270" s="2"/>
      <c r="E270" s="2"/>
      <c r="F270" s="2"/>
      <c r="G270" s="2"/>
      <c r="H270" s="2"/>
      <c r="I270" s="2"/>
      <c r="J270" s="2"/>
      <c r="K270" s="2"/>
      <c r="L270" s="2"/>
      <c r="M270" s="2"/>
      <c r="N270" s="2"/>
    </row>
    <row r="271" spans="1:14">
      <c r="A271" s="11"/>
      <c r="B271" s="11"/>
      <c r="C271" s="2"/>
      <c r="D271" s="2"/>
      <c r="E271" s="2"/>
      <c r="F271" s="2"/>
      <c r="G271" s="2"/>
      <c r="H271" s="2"/>
      <c r="I271" s="2"/>
      <c r="J271" s="2"/>
      <c r="K271" s="2"/>
      <c r="L271" s="2"/>
      <c r="M271" s="2"/>
      <c r="N271" s="2"/>
    </row>
    <row r="272" spans="1:14">
      <c r="A272" s="11"/>
      <c r="B272" s="11"/>
      <c r="C272" s="2"/>
      <c r="D272" s="2"/>
      <c r="E272" s="2"/>
      <c r="F272" s="2"/>
      <c r="G272" s="2"/>
      <c r="H272" s="2"/>
      <c r="I272" s="2"/>
      <c r="J272" s="2"/>
      <c r="K272" s="2"/>
      <c r="L272" s="2"/>
      <c r="M272" s="2"/>
      <c r="N272" s="2"/>
    </row>
    <row r="273" spans="1:14">
      <c r="A273" s="11"/>
      <c r="B273" s="11"/>
      <c r="C273" s="2"/>
      <c r="D273" s="2"/>
      <c r="E273" s="2"/>
      <c r="F273" s="2"/>
      <c r="G273" s="2"/>
      <c r="H273" s="2"/>
      <c r="I273" s="2"/>
      <c r="J273" s="2"/>
      <c r="K273" s="2"/>
      <c r="L273" s="2"/>
      <c r="M273" s="2"/>
      <c r="N273" s="2"/>
    </row>
    <row r="274" spans="1:14">
      <c r="A274" s="11"/>
      <c r="B274" s="11"/>
      <c r="C274" s="2"/>
      <c r="D274" s="2"/>
      <c r="E274" s="2"/>
      <c r="F274" s="2"/>
      <c r="G274" s="2"/>
      <c r="H274" s="2"/>
      <c r="I274" s="2"/>
      <c r="J274" s="2"/>
      <c r="K274" s="2"/>
      <c r="L274" s="2"/>
      <c r="M274" s="2"/>
      <c r="N274" s="2"/>
    </row>
    <row r="275" spans="1:14">
      <c r="A275" s="11"/>
      <c r="B275" s="11"/>
      <c r="C275" s="2"/>
      <c r="D275" s="2"/>
      <c r="E275" s="2"/>
      <c r="F275" s="2"/>
      <c r="G275" s="2"/>
      <c r="H275" s="2"/>
      <c r="I275" s="2"/>
      <c r="J275" s="2"/>
      <c r="K275" s="2"/>
      <c r="L275" s="2"/>
      <c r="M275" s="2"/>
      <c r="N275" s="2"/>
    </row>
    <row r="276" spans="1:14">
      <c r="A276" s="11"/>
      <c r="B276" s="11"/>
      <c r="C276" s="2"/>
      <c r="D276" s="2"/>
      <c r="E276" s="2"/>
      <c r="F276" s="2"/>
      <c r="G276" s="2"/>
      <c r="H276" s="2"/>
      <c r="I276" s="2"/>
      <c r="J276" s="2"/>
      <c r="K276" s="2"/>
      <c r="L276" s="2"/>
      <c r="M276" s="2"/>
      <c r="N276" s="2"/>
    </row>
    <row r="277" spans="1:14">
      <c r="A277" s="11"/>
      <c r="B277" s="11"/>
      <c r="C277" s="2"/>
      <c r="D277" s="2"/>
      <c r="E277" s="2"/>
      <c r="F277" s="2"/>
      <c r="G277" s="2"/>
      <c r="H277" s="2"/>
      <c r="I277" s="2"/>
      <c r="J277" s="2"/>
      <c r="K277" s="2"/>
      <c r="L277" s="2"/>
      <c r="M277" s="2"/>
      <c r="N277" s="2"/>
    </row>
    <row r="278" spans="1:14">
      <c r="A278" s="11"/>
      <c r="B278" s="11"/>
      <c r="C278" s="2"/>
      <c r="D278" s="2"/>
      <c r="E278" s="2"/>
      <c r="F278" s="2"/>
      <c r="G278" s="2"/>
      <c r="H278" s="2"/>
      <c r="I278" s="2"/>
      <c r="J278" s="2"/>
      <c r="K278" s="2"/>
      <c r="L278" s="2"/>
      <c r="M278" s="2"/>
      <c r="N278" s="2"/>
    </row>
    <row r="279" spans="1:14">
      <c r="A279" s="11"/>
      <c r="B279" s="11"/>
      <c r="C279" s="2"/>
      <c r="D279" s="2"/>
      <c r="E279" s="2"/>
      <c r="F279" s="2"/>
      <c r="G279" s="2"/>
      <c r="H279" s="2"/>
      <c r="I279" s="2"/>
      <c r="J279" s="2"/>
      <c r="K279" s="2"/>
      <c r="L279" s="2"/>
      <c r="M279" s="2"/>
      <c r="N279" s="2"/>
    </row>
    <row r="280" spans="1:14">
      <c r="A280" s="11"/>
      <c r="B280" s="11"/>
      <c r="C280" s="2"/>
      <c r="D280" s="2"/>
      <c r="E280" s="2"/>
      <c r="F280" s="2"/>
      <c r="G280" s="2"/>
      <c r="H280" s="2"/>
      <c r="I280" s="2"/>
      <c r="J280" s="2"/>
      <c r="K280" s="2"/>
      <c r="L280" s="2"/>
      <c r="M280" s="2"/>
      <c r="N280" s="2"/>
    </row>
    <row r="281" spans="1:14">
      <c r="A281" s="11"/>
      <c r="B281" s="11"/>
      <c r="C281" s="2"/>
      <c r="D281" s="2"/>
      <c r="E281" s="2"/>
      <c r="F281" s="2"/>
      <c r="G281" s="2"/>
      <c r="H281" s="2"/>
      <c r="I281" s="2"/>
      <c r="J281" s="2"/>
      <c r="K281" s="2"/>
      <c r="L281" s="2"/>
      <c r="M281" s="2"/>
      <c r="N281" s="2"/>
    </row>
    <row r="282" spans="1:14">
      <c r="A282" s="11"/>
      <c r="B282" s="11"/>
      <c r="C282" s="2"/>
      <c r="D282" s="2"/>
      <c r="E282" s="2"/>
      <c r="F282" s="2"/>
      <c r="G282" s="2"/>
      <c r="H282" s="2"/>
      <c r="I282" s="2"/>
      <c r="J282" s="2"/>
      <c r="K282" s="2"/>
      <c r="L282" s="2"/>
      <c r="M282" s="2"/>
      <c r="N282" s="2"/>
    </row>
    <row r="283" spans="1:14">
      <c r="A283" s="11"/>
      <c r="B283" s="11"/>
      <c r="C283" s="2"/>
      <c r="D283" s="2"/>
      <c r="E283" s="2"/>
      <c r="F283" s="2"/>
      <c r="G283" s="2"/>
      <c r="H283" s="2"/>
      <c r="I283" s="2"/>
      <c r="J283" s="2"/>
      <c r="K283" s="2"/>
      <c r="L283" s="2"/>
      <c r="M283" s="2"/>
      <c r="N283" s="2"/>
    </row>
    <row r="284" spans="1:14">
      <c r="A284" s="11"/>
      <c r="B284" s="11"/>
      <c r="C284" s="2"/>
      <c r="D284" s="2"/>
      <c r="E284" s="2"/>
      <c r="F284" s="2"/>
      <c r="G284" s="2"/>
      <c r="H284" s="2"/>
      <c r="I284" s="2"/>
      <c r="J284" s="2"/>
      <c r="K284" s="2"/>
      <c r="L284" s="2"/>
      <c r="M284" s="2"/>
      <c r="N284" s="2"/>
    </row>
    <row r="285" spans="1:14">
      <c r="A285" s="11"/>
      <c r="B285" s="11"/>
      <c r="C285" s="2"/>
      <c r="D285" s="2"/>
      <c r="E285" s="2"/>
      <c r="F285" s="2"/>
      <c r="G285" s="2"/>
      <c r="H285" s="2"/>
      <c r="I285" s="2"/>
      <c r="J285" s="2"/>
      <c r="K285" s="2"/>
      <c r="L285" s="2"/>
      <c r="M285" s="2"/>
      <c r="N285" s="2"/>
    </row>
    <row r="286" spans="1:14">
      <c r="A286" s="11"/>
      <c r="B286" s="11"/>
      <c r="C286" s="2"/>
      <c r="D286" s="2"/>
      <c r="E286" s="2"/>
      <c r="F286" s="2"/>
      <c r="G286" s="2"/>
      <c r="H286" s="2"/>
      <c r="I286" s="2"/>
      <c r="J286" s="2"/>
      <c r="K286" s="2"/>
      <c r="L286" s="2"/>
      <c r="M286" s="2"/>
      <c r="N286" s="2"/>
    </row>
    <row r="287" spans="1:14">
      <c r="A287" s="11"/>
      <c r="B287" s="11"/>
      <c r="C287" s="2"/>
      <c r="D287" s="2"/>
      <c r="E287" s="2"/>
      <c r="F287" s="2"/>
      <c r="G287" s="2"/>
      <c r="H287" s="2"/>
      <c r="I287" s="2"/>
      <c r="J287" s="2"/>
      <c r="K287" s="2"/>
      <c r="L287" s="2"/>
      <c r="M287" s="2"/>
      <c r="N287" s="2"/>
    </row>
    <row r="288" spans="1:14">
      <c r="A288" s="11"/>
      <c r="B288" s="11"/>
      <c r="C288" s="2"/>
      <c r="D288" s="2"/>
      <c r="E288" s="2"/>
      <c r="F288" s="2"/>
      <c r="G288" s="2"/>
      <c r="H288" s="2"/>
      <c r="I288" s="2"/>
      <c r="J288" s="2"/>
      <c r="K288" s="2"/>
      <c r="L288" s="2"/>
      <c r="M288" s="2"/>
      <c r="N288" s="2"/>
    </row>
    <row r="289" spans="1:14">
      <c r="A289" s="11"/>
      <c r="B289" s="11"/>
      <c r="C289" s="2"/>
      <c r="D289" s="2"/>
      <c r="E289" s="2"/>
      <c r="F289" s="2"/>
      <c r="G289" s="2"/>
      <c r="H289" s="2"/>
      <c r="I289" s="2"/>
      <c r="J289" s="2"/>
      <c r="K289" s="2"/>
      <c r="L289" s="2"/>
      <c r="M289" s="2"/>
      <c r="N289" s="2"/>
    </row>
    <row r="290" spans="1:14">
      <c r="A290" s="11"/>
      <c r="B290" s="11"/>
      <c r="C290" s="2"/>
      <c r="D290" s="2"/>
      <c r="E290" s="2"/>
      <c r="F290" s="2"/>
      <c r="G290" s="2"/>
      <c r="H290" s="2"/>
      <c r="I290" s="2"/>
      <c r="J290" s="2"/>
      <c r="K290" s="2"/>
      <c r="L290" s="2"/>
      <c r="M290" s="2"/>
      <c r="N290" s="2"/>
    </row>
    <row r="291" spans="1:14">
      <c r="A291" s="11"/>
      <c r="B291" s="11"/>
      <c r="C291" s="2"/>
      <c r="D291" s="2"/>
      <c r="E291" s="2"/>
      <c r="F291" s="2"/>
      <c r="G291" s="2"/>
      <c r="H291" s="2"/>
      <c r="I291" s="2"/>
      <c r="J291" s="2"/>
      <c r="K291" s="2"/>
      <c r="L291" s="2"/>
      <c r="M291" s="2"/>
      <c r="N291" s="2"/>
    </row>
    <row r="292" spans="1:14">
      <c r="A292" s="11"/>
      <c r="B292" s="11"/>
      <c r="C292" s="2"/>
      <c r="D292" s="2"/>
      <c r="E292" s="2"/>
      <c r="F292" s="2"/>
      <c r="G292" s="2"/>
      <c r="H292" s="2"/>
      <c r="I292" s="2"/>
      <c r="J292" s="2"/>
      <c r="K292" s="2"/>
      <c r="L292" s="2"/>
      <c r="M292" s="2"/>
      <c r="N292" s="2"/>
    </row>
    <row r="293" spans="1:14">
      <c r="A293" s="11"/>
      <c r="B293" s="11"/>
      <c r="C293" s="2"/>
      <c r="D293" s="2"/>
      <c r="E293" s="2"/>
      <c r="F293" s="2"/>
      <c r="G293" s="2"/>
      <c r="H293" s="2"/>
      <c r="I293" s="2"/>
      <c r="J293" s="2"/>
      <c r="K293" s="2"/>
      <c r="L293" s="2"/>
      <c r="M293" s="2"/>
      <c r="N293" s="2"/>
    </row>
    <row r="294" spans="1:14">
      <c r="A294" s="11"/>
      <c r="B294" s="11"/>
      <c r="C294" s="2"/>
      <c r="D294" s="2"/>
      <c r="E294" s="2"/>
      <c r="F294" s="2"/>
      <c r="G294" s="2"/>
      <c r="H294" s="2"/>
      <c r="I294" s="2"/>
      <c r="J294" s="2"/>
      <c r="K294" s="2"/>
      <c r="L294" s="2"/>
      <c r="M294" s="2"/>
      <c r="N294" s="2"/>
    </row>
    <row r="295" spans="1:14">
      <c r="A295" s="11"/>
      <c r="B295" s="11"/>
      <c r="C295" s="2"/>
      <c r="D295" s="2"/>
      <c r="E295" s="2"/>
      <c r="F295" s="2"/>
      <c r="G295" s="2"/>
      <c r="H295" s="2"/>
      <c r="I295" s="2"/>
      <c r="J295" s="2"/>
      <c r="K295" s="2"/>
      <c r="L295" s="2"/>
      <c r="M295" s="2"/>
      <c r="N295" s="2"/>
    </row>
    <row r="296" spans="1:14">
      <c r="A296" s="11"/>
      <c r="B296" s="11"/>
      <c r="C296" s="2"/>
      <c r="D296" s="2"/>
      <c r="E296" s="2"/>
      <c r="F296" s="2"/>
      <c r="G296" s="2"/>
      <c r="H296" s="2"/>
      <c r="I296" s="2"/>
      <c r="J296" s="2"/>
      <c r="K296" s="2"/>
      <c r="L296" s="2"/>
      <c r="M296" s="2"/>
      <c r="N296" s="2"/>
    </row>
    <row r="297" spans="1:14">
      <c r="A297" s="11"/>
      <c r="B297" s="11"/>
      <c r="C297" s="2"/>
      <c r="D297" s="2"/>
      <c r="E297" s="2"/>
      <c r="F297" s="2"/>
      <c r="G297" s="2"/>
      <c r="H297" s="2"/>
      <c r="I297" s="2"/>
      <c r="J297" s="2"/>
      <c r="K297" s="2"/>
      <c r="L297" s="2"/>
      <c r="M297" s="2"/>
      <c r="N297" s="2"/>
    </row>
    <row r="298" spans="1:14">
      <c r="A298" s="11"/>
      <c r="B298" s="11"/>
      <c r="C298" s="2"/>
      <c r="D298" s="2"/>
      <c r="E298" s="2"/>
      <c r="F298" s="2"/>
      <c r="G298" s="2"/>
      <c r="H298" s="2"/>
      <c r="I298" s="2"/>
      <c r="J298" s="2"/>
      <c r="K298" s="2"/>
      <c r="L298" s="2"/>
      <c r="M298" s="2"/>
      <c r="N298" s="2"/>
    </row>
    <row r="299" spans="1:14">
      <c r="A299" s="11"/>
      <c r="B299" s="11"/>
      <c r="C299" s="2"/>
      <c r="D299" s="2"/>
      <c r="E299" s="2"/>
      <c r="F299" s="2"/>
      <c r="G299" s="2"/>
      <c r="H299" s="2"/>
      <c r="I299" s="2"/>
      <c r="J299" s="2"/>
      <c r="K299" s="2"/>
      <c r="L299" s="2"/>
      <c r="M299" s="2"/>
      <c r="N299" s="2"/>
    </row>
    <row r="300" spans="1:14">
      <c r="A300" s="11"/>
      <c r="B300" s="11"/>
      <c r="C300" s="2"/>
      <c r="D300" s="2"/>
      <c r="E300" s="2"/>
      <c r="F300" s="2"/>
      <c r="G300" s="2"/>
      <c r="H300" s="2"/>
      <c r="I300" s="2"/>
      <c r="J300" s="2"/>
      <c r="K300" s="2"/>
      <c r="L300" s="2"/>
      <c r="M300" s="2"/>
      <c r="N300" s="2"/>
    </row>
    <row r="301" spans="1:14">
      <c r="A301" s="11"/>
      <c r="B301" s="11"/>
      <c r="C301" s="2"/>
      <c r="D301" s="2"/>
      <c r="E301" s="2"/>
      <c r="F301" s="2"/>
      <c r="G301" s="2"/>
      <c r="H301" s="2"/>
      <c r="I301" s="2"/>
      <c r="J301" s="2"/>
      <c r="K301" s="2"/>
      <c r="L301" s="2"/>
      <c r="M301" s="2"/>
      <c r="N301" s="2"/>
    </row>
    <row r="302" spans="1:14">
      <c r="A302" s="11"/>
      <c r="B302" s="11"/>
      <c r="C302" s="2"/>
      <c r="D302" s="2"/>
      <c r="E302" s="2"/>
      <c r="F302" s="2"/>
      <c r="G302" s="2"/>
      <c r="H302" s="2"/>
      <c r="I302" s="2"/>
      <c r="J302" s="2"/>
      <c r="K302" s="2"/>
      <c r="L302" s="2"/>
      <c r="M302" s="2"/>
      <c r="N302" s="2"/>
    </row>
    <row r="303" spans="1:14">
      <c r="A303" s="11"/>
      <c r="B303" s="11"/>
      <c r="C303" s="2"/>
      <c r="D303" s="2"/>
      <c r="E303" s="2"/>
      <c r="F303" s="2"/>
      <c r="G303" s="2"/>
      <c r="H303" s="2"/>
      <c r="I303" s="2"/>
      <c r="J303" s="2"/>
      <c r="K303" s="2"/>
      <c r="L303" s="2"/>
      <c r="M303" s="2"/>
      <c r="N303" s="2"/>
    </row>
    <row r="304" spans="1:14">
      <c r="A304" s="11"/>
      <c r="B304" s="11"/>
      <c r="C304" s="2"/>
      <c r="D304" s="2"/>
      <c r="E304" s="2"/>
      <c r="F304" s="2"/>
      <c r="G304" s="2"/>
      <c r="H304" s="2"/>
      <c r="I304" s="2"/>
      <c r="J304" s="2"/>
      <c r="K304" s="2"/>
      <c r="L304" s="2"/>
      <c r="M304" s="2"/>
      <c r="N304" s="2"/>
    </row>
    <row r="305" spans="1:14">
      <c r="A305" s="11"/>
      <c r="B305" s="11"/>
      <c r="C305" s="2"/>
      <c r="D305" s="2"/>
      <c r="E305" s="2"/>
      <c r="F305" s="2"/>
      <c r="G305" s="2"/>
      <c r="H305" s="2"/>
      <c r="I305" s="2"/>
      <c r="J305" s="2"/>
      <c r="K305" s="2"/>
      <c r="L305" s="2"/>
      <c r="M305" s="2"/>
      <c r="N305" s="2"/>
    </row>
    <row r="306" spans="1:14">
      <c r="A306" s="11"/>
      <c r="B306" s="11"/>
      <c r="C306" s="2"/>
      <c r="D306" s="2"/>
      <c r="E306" s="2"/>
      <c r="F306" s="2"/>
      <c r="G306" s="2"/>
      <c r="H306" s="2"/>
      <c r="I306" s="2"/>
      <c r="J306" s="2"/>
      <c r="K306" s="2"/>
      <c r="L306" s="2"/>
      <c r="M306" s="2"/>
      <c r="N306" s="2"/>
    </row>
    <row r="307" spans="1:14">
      <c r="A307" s="11"/>
      <c r="B307" s="11"/>
      <c r="C307" s="2"/>
      <c r="D307" s="2"/>
      <c r="E307" s="2"/>
      <c r="F307" s="2"/>
      <c r="G307" s="2"/>
      <c r="H307" s="2"/>
      <c r="I307" s="2"/>
      <c r="J307" s="2"/>
      <c r="K307" s="2"/>
      <c r="L307" s="2"/>
      <c r="M307" s="2"/>
      <c r="N307" s="2"/>
    </row>
    <row r="308" spans="1:14">
      <c r="A308" s="11"/>
      <c r="B308" s="11"/>
      <c r="C308" s="2"/>
      <c r="D308" s="2"/>
      <c r="E308" s="2"/>
      <c r="F308" s="2"/>
      <c r="G308" s="2"/>
      <c r="H308" s="2"/>
      <c r="I308" s="2"/>
      <c r="J308" s="2"/>
      <c r="K308" s="2"/>
      <c r="L308" s="2"/>
      <c r="M308" s="2"/>
      <c r="N308" s="2"/>
    </row>
    <row r="309" spans="1:14">
      <c r="A309" s="11"/>
      <c r="B309" s="11"/>
      <c r="C309" s="2"/>
      <c r="D309" s="2"/>
      <c r="E309" s="2"/>
      <c r="F309" s="2"/>
      <c r="G309" s="2"/>
      <c r="H309" s="2"/>
      <c r="I309" s="2"/>
      <c r="J309" s="2"/>
      <c r="K309" s="2"/>
      <c r="L309" s="2"/>
      <c r="M309" s="2"/>
      <c r="N309" s="2"/>
    </row>
    <row r="310" spans="1:14">
      <c r="A310" s="11"/>
      <c r="B310" s="11"/>
      <c r="C310" s="2"/>
      <c r="D310" s="2"/>
      <c r="E310" s="2"/>
      <c r="F310" s="2"/>
      <c r="G310" s="2"/>
      <c r="H310" s="2"/>
      <c r="I310" s="2"/>
      <c r="J310" s="2"/>
      <c r="K310" s="2"/>
      <c r="L310" s="2"/>
      <c r="M310" s="2"/>
      <c r="N310" s="2"/>
    </row>
    <row r="311" spans="1:14">
      <c r="A311" s="11"/>
      <c r="B311" s="11"/>
      <c r="C311" s="2"/>
      <c r="D311" s="2"/>
      <c r="E311" s="2"/>
      <c r="F311" s="2"/>
      <c r="G311" s="2"/>
      <c r="H311" s="2"/>
      <c r="I311" s="2"/>
      <c r="J311" s="2"/>
      <c r="K311" s="2"/>
      <c r="L311" s="2"/>
      <c r="M311" s="2"/>
      <c r="N311" s="2"/>
    </row>
    <row r="312" spans="1:14">
      <c r="A312" s="11"/>
      <c r="B312" s="11"/>
      <c r="C312" s="2"/>
      <c r="D312" s="2"/>
      <c r="E312" s="2"/>
      <c r="F312" s="2"/>
      <c r="G312" s="2"/>
      <c r="H312" s="2"/>
      <c r="I312" s="2"/>
      <c r="J312" s="2"/>
      <c r="K312" s="2"/>
      <c r="L312" s="2"/>
      <c r="M312" s="2"/>
      <c r="N312" s="2"/>
    </row>
    <row r="313" spans="1:14">
      <c r="A313" s="11"/>
      <c r="B313" s="11"/>
      <c r="C313" s="2"/>
      <c r="D313" s="2"/>
      <c r="E313" s="2"/>
      <c r="F313" s="2"/>
      <c r="G313" s="2"/>
      <c r="H313" s="2"/>
      <c r="I313" s="2"/>
      <c r="J313" s="2"/>
      <c r="K313" s="2"/>
      <c r="L313" s="2"/>
      <c r="M313" s="2"/>
      <c r="N313" s="2"/>
    </row>
    <row r="314" spans="1:14">
      <c r="A314" s="11"/>
      <c r="B314" s="11"/>
      <c r="C314" s="2"/>
      <c r="D314" s="2"/>
      <c r="E314" s="2"/>
      <c r="F314" s="2"/>
      <c r="G314" s="2"/>
      <c r="H314" s="2"/>
      <c r="I314" s="2"/>
      <c r="J314" s="2"/>
      <c r="K314" s="2"/>
      <c r="L314" s="2"/>
      <c r="M314" s="2"/>
      <c r="N314" s="2"/>
    </row>
    <row r="315" spans="1:14">
      <c r="A315" s="11"/>
      <c r="B315" s="11"/>
      <c r="C315" s="2"/>
      <c r="D315" s="2"/>
      <c r="E315" s="2"/>
      <c r="F315" s="2"/>
      <c r="G315" s="2"/>
      <c r="H315" s="2"/>
      <c r="I315" s="2"/>
      <c r="J315" s="2"/>
      <c r="K315" s="2"/>
      <c r="L315" s="2"/>
      <c r="M315" s="2"/>
      <c r="N315" s="2"/>
    </row>
    <row r="316" spans="1:14">
      <c r="A316" s="11"/>
      <c r="B316" s="11"/>
      <c r="C316" s="2"/>
      <c r="D316" s="2"/>
      <c r="E316" s="2"/>
      <c r="F316" s="2"/>
      <c r="G316" s="2"/>
      <c r="H316" s="2"/>
      <c r="I316" s="2"/>
      <c r="J316" s="2"/>
      <c r="K316" s="2"/>
      <c r="L316" s="2"/>
      <c r="M316" s="2"/>
      <c r="N316" s="2"/>
    </row>
    <row r="317" spans="1:14">
      <c r="A317" s="11"/>
      <c r="B317" s="11"/>
      <c r="C317" s="2"/>
      <c r="D317" s="2"/>
      <c r="E317" s="2"/>
      <c r="F317" s="2"/>
      <c r="G317" s="2"/>
      <c r="H317" s="2"/>
      <c r="I317" s="2"/>
      <c r="J317" s="2"/>
      <c r="K317" s="2"/>
      <c r="L317" s="2"/>
      <c r="M317" s="2"/>
      <c r="N317" s="2"/>
    </row>
    <row r="318" spans="1:14">
      <c r="A318" s="11"/>
      <c r="B318" s="11"/>
      <c r="C318" s="2"/>
      <c r="D318" s="2"/>
      <c r="E318" s="2"/>
      <c r="F318" s="2"/>
      <c r="G318" s="2"/>
      <c r="H318" s="2"/>
      <c r="I318" s="2"/>
      <c r="J318" s="2"/>
      <c r="K318" s="2"/>
      <c r="L318" s="2"/>
      <c r="M318" s="2"/>
      <c r="N318" s="2"/>
    </row>
    <row r="319" spans="1:14">
      <c r="A319" s="11"/>
      <c r="B319" s="11"/>
      <c r="C319" s="2"/>
      <c r="D319" s="2"/>
      <c r="E319" s="2"/>
      <c r="F319" s="2"/>
      <c r="G319" s="2"/>
      <c r="H319" s="2"/>
      <c r="I319" s="2"/>
      <c r="J319" s="2"/>
      <c r="K319" s="2"/>
      <c r="L319" s="2"/>
      <c r="M319" s="2"/>
      <c r="N319" s="2"/>
    </row>
    <row r="320" spans="1:14">
      <c r="A320" s="11"/>
      <c r="B320" s="11"/>
      <c r="C320" s="2"/>
      <c r="D320" s="2"/>
      <c r="E320" s="2"/>
      <c r="F320" s="2"/>
      <c r="G320" s="2"/>
      <c r="H320" s="2"/>
      <c r="I320" s="2"/>
      <c r="J320" s="2"/>
      <c r="K320" s="2"/>
      <c r="L320" s="2"/>
      <c r="M320" s="2"/>
      <c r="N320" s="2"/>
    </row>
    <row r="321" spans="1:14">
      <c r="A321" s="11"/>
      <c r="B321" s="11"/>
      <c r="C321" s="2"/>
      <c r="D321" s="2"/>
      <c r="E321" s="2"/>
      <c r="F321" s="2"/>
      <c r="G321" s="2"/>
      <c r="H321" s="2"/>
      <c r="I321" s="2"/>
      <c r="J321" s="2"/>
      <c r="K321" s="2"/>
      <c r="L321" s="2"/>
      <c r="M321" s="2"/>
      <c r="N321" s="2"/>
    </row>
    <row r="322" spans="1:14">
      <c r="A322" s="11"/>
      <c r="B322" s="11"/>
      <c r="C322" s="2"/>
      <c r="D322" s="2"/>
      <c r="E322" s="2"/>
      <c r="F322" s="2"/>
      <c r="G322" s="2"/>
      <c r="H322" s="2"/>
      <c r="I322" s="2"/>
      <c r="J322" s="2"/>
      <c r="K322" s="2"/>
      <c r="L322" s="2"/>
      <c r="M322" s="2"/>
      <c r="N322" s="2"/>
    </row>
    <row r="323" spans="1:14">
      <c r="A323" s="11"/>
      <c r="B323" s="11"/>
      <c r="C323" s="2"/>
      <c r="D323" s="2"/>
      <c r="E323" s="2"/>
      <c r="F323" s="2"/>
      <c r="G323" s="2"/>
      <c r="H323" s="2"/>
      <c r="I323" s="2"/>
      <c r="J323" s="2"/>
      <c r="K323" s="2"/>
      <c r="L323" s="2"/>
      <c r="M323" s="2"/>
      <c r="N323" s="2"/>
    </row>
    <row r="324" spans="1:14">
      <c r="A324" s="11"/>
      <c r="B324" s="11"/>
      <c r="C324" s="2"/>
      <c r="D324" s="2"/>
      <c r="E324" s="2"/>
      <c r="F324" s="2"/>
      <c r="G324" s="2"/>
      <c r="H324" s="2"/>
      <c r="I324" s="2"/>
      <c r="J324" s="2"/>
      <c r="K324" s="2"/>
      <c r="L324" s="2"/>
      <c r="M324" s="2"/>
      <c r="N324" s="2"/>
    </row>
    <row r="325" spans="1:14">
      <c r="A325" s="11"/>
      <c r="B325" s="11"/>
      <c r="C325" s="2"/>
      <c r="D325" s="2"/>
      <c r="E325" s="2"/>
      <c r="F325" s="2"/>
      <c r="G325" s="2"/>
      <c r="H325" s="2"/>
      <c r="I325" s="2"/>
      <c r="J325" s="2"/>
      <c r="K325" s="2"/>
      <c r="L325" s="2"/>
      <c r="M325" s="2"/>
      <c r="N325" s="2"/>
    </row>
    <row r="326" spans="1:14">
      <c r="A326" s="11"/>
      <c r="B326" s="11"/>
      <c r="C326" s="2"/>
      <c r="D326" s="2"/>
      <c r="E326" s="2"/>
      <c r="F326" s="2"/>
      <c r="G326" s="2"/>
      <c r="H326" s="2"/>
      <c r="I326" s="2"/>
      <c r="J326" s="2"/>
      <c r="K326" s="2"/>
      <c r="L326" s="2"/>
      <c r="M326" s="2"/>
      <c r="N326" s="2"/>
    </row>
    <row r="327" spans="1:14">
      <c r="A327" s="11"/>
      <c r="B327" s="11"/>
      <c r="C327" s="2"/>
      <c r="D327" s="2"/>
      <c r="E327" s="2"/>
      <c r="F327" s="2"/>
      <c r="G327" s="2"/>
      <c r="H327" s="2"/>
      <c r="I327" s="2"/>
      <c r="J327" s="2"/>
      <c r="K327" s="2"/>
      <c r="L327" s="2"/>
      <c r="M327" s="2"/>
      <c r="N327" s="2"/>
    </row>
    <row r="328" spans="1:14">
      <c r="A328" s="11"/>
      <c r="B328" s="11"/>
      <c r="C328" s="2"/>
      <c r="D328" s="2"/>
      <c r="E328" s="2"/>
      <c r="F328" s="2"/>
      <c r="G328" s="2"/>
      <c r="H328" s="2"/>
      <c r="I328" s="2"/>
      <c r="J328" s="2"/>
      <c r="K328" s="2"/>
      <c r="L328" s="2"/>
      <c r="M328" s="2"/>
      <c r="N328" s="2"/>
    </row>
    <row r="329" spans="1:14">
      <c r="A329" s="11"/>
      <c r="B329" s="11"/>
      <c r="C329" s="2"/>
      <c r="D329" s="2"/>
      <c r="E329" s="2"/>
      <c r="F329" s="2"/>
      <c r="G329" s="2"/>
      <c r="H329" s="2"/>
      <c r="I329" s="2"/>
      <c r="J329" s="2"/>
      <c r="K329" s="2"/>
      <c r="L329" s="2"/>
      <c r="M329" s="2"/>
      <c r="N329" s="2"/>
    </row>
    <row r="330" spans="1:14">
      <c r="A330" s="11"/>
      <c r="B330" s="11"/>
      <c r="C330" s="2"/>
      <c r="D330" s="2"/>
      <c r="E330" s="2"/>
      <c r="F330" s="2"/>
      <c r="G330" s="2"/>
      <c r="H330" s="2"/>
      <c r="I330" s="2"/>
      <c r="J330" s="2"/>
      <c r="K330" s="2"/>
      <c r="L330" s="2"/>
      <c r="M330" s="2"/>
      <c r="N330" s="2"/>
    </row>
    <row r="331" spans="1:14">
      <c r="A331" s="11"/>
      <c r="B331" s="11"/>
      <c r="C331" s="2"/>
      <c r="D331" s="2"/>
      <c r="E331" s="2"/>
      <c r="F331" s="2"/>
      <c r="G331" s="2"/>
      <c r="H331" s="2"/>
      <c r="I331" s="2"/>
      <c r="J331" s="2"/>
      <c r="K331" s="2"/>
      <c r="L331" s="2"/>
      <c r="M331" s="2"/>
      <c r="N331" s="2"/>
    </row>
    <row r="332" spans="1:14">
      <c r="A332" s="11"/>
      <c r="B332" s="11"/>
      <c r="C332" s="2"/>
      <c r="D332" s="2"/>
      <c r="E332" s="2"/>
      <c r="F332" s="2"/>
      <c r="G332" s="2"/>
      <c r="H332" s="2"/>
      <c r="I332" s="2"/>
      <c r="J332" s="2"/>
      <c r="K332" s="2"/>
      <c r="L332" s="2"/>
      <c r="M332" s="2"/>
      <c r="N332" s="2"/>
    </row>
    <row r="333" spans="1:14">
      <c r="A333" s="11"/>
      <c r="B333" s="11"/>
      <c r="C333" s="2"/>
      <c r="D333" s="2"/>
      <c r="E333" s="2"/>
      <c r="F333" s="2"/>
      <c r="G333" s="2"/>
      <c r="H333" s="2"/>
      <c r="I333" s="2"/>
      <c r="J333" s="2"/>
      <c r="K333" s="2"/>
      <c r="L333" s="2"/>
      <c r="M333" s="2"/>
      <c r="N333" s="2"/>
    </row>
    <row r="334" spans="1:14">
      <c r="A334" s="11"/>
      <c r="B334" s="11"/>
      <c r="C334" s="2"/>
      <c r="D334" s="2"/>
      <c r="E334" s="2"/>
      <c r="F334" s="2"/>
      <c r="G334" s="2"/>
      <c r="H334" s="2"/>
      <c r="I334" s="2"/>
      <c r="J334" s="2"/>
      <c r="K334" s="2"/>
      <c r="L334" s="2"/>
      <c r="M334" s="2"/>
      <c r="N334" s="2"/>
    </row>
    <row r="335" spans="1:14">
      <c r="A335" s="11"/>
      <c r="B335" s="11"/>
      <c r="C335" s="2"/>
      <c r="D335" s="2"/>
      <c r="E335" s="2"/>
      <c r="F335" s="2"/>
      <c r="G335" s="2"/>
      <c r="H335" s="2"/>
      <c r="I335" s="2"/>
      <c r="J335" s="2"/>
      <c r="K335" s="2"/>
      <c r="L335" s="2"/>
      <c r="M335" s="2"/>
      <c r="N335" s="2"/>
    </row>
    <row r="336" spans="1:14">
      <c r="A336" s="11"/>
      <c r="B336" s="11"/>
      <c r="C336" s="2"/>
      <c r="D336" s="2"/>
      <c r="E336" s="2"/>
      <c r="F336" s="2"/>
      <c r="G336" s="2"/>
      <c r="H336" s="2"/>
      <c r="I336" s="2"/>
      <c r="J336" s="2"/>
      <c r="K336" s="2"/>
      <c r="L336" s="2"/>
      <c r="M336" s="2"/>
      <c r="N336" s="2"/>
    </row>
    <row r="337" spans="1:14">
      <c r="A337" s="11"/>
      <c r="B337" s="11"/>
      <c r="C337" s="2"/>
      <c r="D337" s="2"/>
      <c r="E337" s="2"/>
      <c r="F337" s="2"/>
      <c r="G337" s="2"/>
      <c r="H337" s="2"/>
      <c r="I337" s="2"/>
      <c r="J337" s="2"/>
      <c r="K337" s="2"/>
      <c r="L337" s="2"/>
      <c r="M337" s="2"/>
      <c r="N337" s="2"/>
    </row>
    <row r="338" spans="1:14">
      <c r="A338" s="11"/>
      <c r="B338" s="11"/>
      <c r="C338" s="2"/>
      <c r="D338" s="2"/>
      <c r="E338" s="2"/>
      <c r="F338" s="2"/>
      <c r="G338" s="2"/>
      <c r="H338" s="2"/>
      <c r="I338" s="2"/>
      <c r="J338" s="2"/>
      <c r="K338" s="2"/>
      <c r="L338" s="2"/>
      <c r="M338" s="2"/>
      <c r="N338" s="2"/>
    </row>
    <row r="339" spans="1:14">
      <c r="A339" s="11"/>
      <c r="B339" s="11"/>
      <c r="C339" s="2"/>
      <c r="D339" s="2"/>
      <c r="E339" s="2"/>
      <c r="F339" s="2"/>
      <c r="G339" s="2"/>
      <c r="H339" s="2"/>
      <c r="I339" s="2"/>
      <c r="J339" s="2"/>
      <c r="K339" s="2"/>
      <c r="L339" s="2"/>
      <c r="M339" s="2"/>
      <c r="N339" s="2"/>
    </row>
    <row r="340" spans="1:14">
      <c r="A340" s="11"/>
      <c r="B340" s="11"/>
      <c r="C340" s="2"/>
      <c r="D340" s="2"/>
      <c r="E340" s="2"/>
      <c r="F340" s="2"/>
      <c r="G340" s="2"/>
      <c r="H340" s="2"/>
      <c r="I340" s="2"/>
      <c r="J340" s="2"/>
      <c r="K340" s="2"/>
      <c r="L340" s="2"/>
      <c r="M340" s="2"/>
      <c r="N340" s="2"/>
    </row>
    <row r="341" spans="1:14">
      <c r="A341" s="11"/>
      <c r="B341" s="11"/>
      <c r="C341" s="2"/>
      <c r="D341" s="2"/>
      <c r="E341" s="2"/>
      <c r="F341" s="2"/>
      <c r="G341" s="2"/>
      <c r="H341" s="2"/>
      <c r="I341" s="2"/>
      <c r="J341" s="2"/>
      <c r="K341" s="2"/>
      <c r="L341" s="2"/>
      <c r="M341" s="2"/>
      <c r="N341" s="2"/>
    </row>
    <row r="342" spans="1:14">
      <c r="A342" s="11"/>
      <c r="B342" s="11"/>
      <c r="C342" s="2"/>
      <c r="D342" s="2"/>
      <c r="E342" s="2"/>
      <c r="F342" s="2"/>
      <c r="G342" s="2"/>
      <c r="H342" s="2"/>
      <c r="I342" s="2"/>
      <c r="J342" s="2"/>
      <c r="K342" s="2"/>
      <c r="L342" s="2"/>
      <c r="M342" s="2"/>
      <c r="N342" s="2"/>
    </row>
    <row r="343" spans="1:14">
      <c r="A343" s="11"/>
      <c r="B343" s="11"/>
      <c r="C343" s="2"/>
      <c r="D343" s="2"/>
      <c r="E343" s="2"/>
      <c r="F343" s="2"/>
      <c r="G343" s="2"/>
      <c r="H343" s="2"/>
      <c r="I343" s="2"/>
      <c r="J343" s="2"/>
      <c r="K343" s="2"/>
      <c r="L343" s="2"/>
      <c r="M343" s="2"/>
      <c r="N343" s="2"/>
    </row>
    <row r="344" spans="1:14">
      <c r="A344" s="11"/>
      <c r="B344" s="11"/>
      <c r="C344" s="2"/>
      <c r="D344" s="2"/>
      <c r="E344" s="2"/>
      <c r="F344" s="2"/>
      <c r="G344" s="2"/>
      <c r="H344" s="2"/>
      <c r="I344" s="2"/>
      <c r="J344" s="2"/>
      <c r="K344" s="2"/>
      <c r="L344" s="2"/>
      <c r="M344" s="2"/>
      <c r="N344" s="2"/>
    </row>
    <row r="345" spans="1:14">
      <c r="A345" s="11"/>
      <c r="B345" s="11"/>
      <c r="C345" s="2"/>
      <c r="D345" s="2"/>
      <c r="E345" s="2"/>
      <c r="F345" s="2"/>
      <c r="G345" s="2"/>
      <c r="H345" s="2"/>
      <c r="I345" s="2"/>
      <c r="J345" s="2"/>
      <c r="K345" s="2"/>
      <c r="L345" s="2"/>
      <c r="M345" s="2"/>
      <c r="N345" s="2"/>
    </row>
    <row r="346" spans="1:14">
      <c r="A346" s="11"/>
      <c r="B346" s="11"/>
      <c r="C346" s="2"/>
      <c r="D346" s="2"/>
      <c r="E346" s="2"/>
      <c r="F346" s="2"/>
      <c r="G346" s="2"/>
      <c r="H346" s="2"/>
      <c r="I346" s="2"/>
      <c r="J346" s="2"/>
      <c r="K346" s="2"/>
      <c r="L346" s="2"/>
      <c r="M346" s="2"/>
      <c r="N346" s="2"/>
    </row>
    <row r="347" spans="1:14">
      <c r="A347" s="11"/>
      <c r="B347" s="11"/>
      <c r="C347" s="2"/>
      <c r="D347" s="2"/>
      <c r="E347" s="2"/>
      <c r="F347" s="2"/>
      <c r="G347" s="2"/>
      <c r="H347" s="2"/>
      <c r="I347" s="2"/>
      <c r="J347" s="2"/>
      <c r="K347" s="2"/>
      <c r="L347" s="2"/>
      <c r="M347" s="2"/>
      <c r="N347" s="2"/>
    </row>
    <row r="348" spans="1:14">
      <c r="A348" s="11"/>
      <c r="B348" s="11"/>
      <c r="C348" s="2"/>
      <c r="D348" s="2"/>
      <c r="E348" s="2"/>
      <c r="F348" s="2"/>
      <c r="G348" s="2"/>
      <c r="H348" s="2"/>
      <c r="I348" s="2"/>
      <c r="J348" s="2"/>
      <c r="K348" s="2"/>
      <c r="L348" s="2"/>
      <c r="M348" s="2"/>
      <c r="N348" s="2"/>
    </row>
    <row r="349" spans="1:14">
      <c r="A349" s="11"/>
      <c r="B349" s="11"/>
      <c r="C349" s="2"/>
      <c r="D349" s="2"/>
      <c r="E349" s="2"/>
      <c r="F349" s="2"/>
      <c r="G349" s="2"/>
      <c r="H349" s="2"/>
      <c r="I349" s="2"/>
      <c r="J349" s="2"/>
      <c r="K349" s="2"/>
      <c r="L349" s="2"/>
      <c r="M349" s="2"/>
      <c r="N349" s="2"/>
    </row>
    <row r="350" spans="1:14">
      <c r="A350" s="11"/>
      <c r="B350" s="11"/>
      <c r="C350" s="2"/>
      <c r="D350" s="2"/>
      <c r="E350" s="2"/>
      <c r="F350" s="2"/>
      <c r="G350" s="2"/>
      <c r="H350" s="2"/>
      <c r="I350" s="2"/>
      <c r="J350" s="2"/>
      <c r="K350" s="2"/>
      <c r="L350" s="2"/>
      <c r="M350" s="2"/>
      <c r="N350" s="2"/>
    </row>
    <row r="351" spans="1:14">
      <c r="A351" s="11"/>
      <c r="B351" s="11"/>
      <c r="C351" s="2"/>
      <c r="D351" s="2"/>
      <c r="E351" s="2"/>
      <c r="F351" s="2"/>
      <c r="G351" s="2"/>
      <c r="H351" s="2"/>
      <c r="I351" s="2"/>
      <c r="J351" s="2"/>
      <c r="K351" s="2"/>
      <c r="L351" s="2"/>
      <c r="M351" s="2"/>
      <c r="N351" s="2"/>
    </row>
    <row r="352" spans="1:14">
      <c r="A352" s="11"/>
      <c r="B352" s="11"/>
      <c r="C352" s="2"/>
      <c r="D352" s="2"/>
      <c r="E352" s="2"/>
      <c r="F352" s="2"/>
      <c r="G352" s="2"/>
      <c r="H352" s="2"/>
      <c r="I352" s="2"/>
      <c r="J352" s="2"/>
      <c r="K352" s="2"/>
      <c r="L352" s="2"/>
      <c r="M352" s="2"/>
      <c r="N352" s="2"/>
    </row>
    <row r="353" spans="1:14">
      <c r="A353" s="11"/>
      <c r="B353" s="11"/>
      <c r="C353" s="2"/>
      <c r="D353" s="2"/>
      <c r="E353" s="2"/>
      <c r="F353" s="2"/>
      <c r="G353" s="2"/>
      <c r="H353" s="2"/>
      <c r="I353" s="2"/>
      <c r="J353" s="2"/>
      <c r="K353" s="2"/>
      <c r="L353" s="2"/>
      <c r="M353" s="2"/>
      <c r="N353" s="2"/>
    </row>
    <row r="354" spans="1:14">
      <c r="A354" s="11"/>
      <c r="B354" s="11"/>
      <c r="C354" s="2"/>
      <c r="D354" s="2"/>
      <c r="E354" s="2"/>
      <c r="F354" s="2"/>
      <c r="G354" s="2"/>
      <c r="H354" s="2"/>
      <c r="I354" s="2"/>
      <c r="J354" s="2"/>
      <c r="K354" s="2"/>
      <c r="L354" s="2"/>
      <c r="M354" s="2"/>
      <c r="N354" s="2"/>
    </row>
    <row r="355" spans="1:14">
      <c r="A355" s="11"/>
      <c r="B355" s="11"/>
      <c r="C355" s="2"/>
      <c r="D355" s="2"/>
      <c r="E355" s="2"/>
      <c r="F355" s="2"/>
      <c r="G355" s="2"/>
      <c r="H355" s="2"/>
      <c r="I355" s="2"/>
      <c r="J355" s="2"/>
      <c r="K355" s="2"/>
      <c r="L355" s="2"/>
      <c r="M355" s="2"/>
      <c r="N355" s="2"/>
    </row>
    <row r="356" spans="1:14">
      <c r="A356" s="11"/>
      <c r="B356" s="11"/>
      <c r="C356" s="2"/>
      <c r="D356" s="2"/>
      <c r="E356" s="2"/>
      <c r="F356" s="2"/>
      <c r="G356" s="2"/>
      <c r="H356" s="2"/>
      <c r="I356" s="2"/>
      <c r="J356" s="2"/>
      <c r="K356" s="2"/>
      <c r="L356" s="2"/>
      <c r="M356" s="2"/>
      <c r="N356" s="2"/>
    </row>
    <row r="357" spans="1:14">
      <c r="A357" s="11"/>
      <c r="B357" s="11"/>
      <c r="C357" s="2"/>
      <c r="D357" s="2"/>
      <c r="E357" s="2"/>
      <c r="F357" s="2"/>
      <c r="G357" s="2"/>
      <c r="H357" s="2"/>
      <c r="I357" s="2"/>
      <c r="J357" s="2"/>
      <c r="K357" s="2"/>
      <c r="L357" s="2"/>
      <c r="M357" s="2"/>
      <c r="N357" s="2"/>
    </row>
    <row r="358" spans="1:14">
      <c r="A358" s="11"/>
      <c r="B358" s="11"/>
      <c r="C358" s="2"/>
      <c r="D358" s="2"/>
      <c r="E358" s="2"/>
      <c r="F358" s="2"/>
      <c r="G358" s="2"/>
      <c r="H358" s="2"/>
      <c r="I358" s="2"/>
      <c r="J358" s="2"/>
      <c r="K358" s="2"/>
      <c r="L358" s="2"/>
      <c r="M358" s="2"/>
      <c r="N358" s="2"/>
    </row>
    <row r="359" spans="1:14">
      <c r="A359" s="11"/>
      <c r="B359" s="11"/>
      <c r="C359" s="2"/>
      <c r="D359" s="2"/>
      <c r="E359" s="2"/>
      <c r="F359" s="2"/>
      <c r="G359" s="2"/>
      <c r="H359" s="2"/>
      <c r="I359" s="2"/>
      <c r="J359" s="2"/>
      <c r="K359" s="2"/>
      <c r="L359" s="2"/>
      <c r="M359" s="2"/>
      <c r="N359" s="2"/>
    </row>
    <row r="360" spans="1:14">
      <c r="A360" s="11"/>
      <c r="B360" s="11"/>
      <c r="C360" s="2"/>
      <c r="D360" s="2"/>
      <c r="E360" s="2"/>
      <c r="F360" s="2"/>
      <c r="G360" s="2"/>
      <c r="H360" s="2"/>
      <c r="I360" s="2"/>
      <c r="J360" s="2"/>
      <c r="K360" s="2"/>
      <c r="L360" s="2"/>
      <c r="M360" s="2"/>
      <c r="N360" s="2"/>
    </row>
    <row r="361" spans="1:14">
      <c r="A361" s="11"/>
      <c r="B361" s="11"/>
      <c r="C361" s="2"/>
      <c r="D361" s="2"/>
      <c r="E361" s="2"/>
      <c r="F361" s="2"/>
      <c r="G361" s="2"/>
      <c r="H361" s="2"/>
      <c r="I361" s="2"/>
      <c r="J361" s="2"/>
      <c r="K361" s="2"/>
      <c r="L361" s="2"/>
      <c r="M361" s="2"/>
      <c r="N361" s="2"/>
    </row>
    <row r="362" spans="1:14">
      <c r="A362" s="11"/>
      <c r="B362" s="11"/>
      <c r="C362" s="2"/>
      <c r="D362" s="2"/>
      <c r="E362" s="2"/>
      <c r="F362" s="2"/>
      <c r="G362" s="2"/>
      <c r="H362" s="2"/>
      <c r="I362" s="2"/>
      <c r="J362" s="2"/>
      <c r="K362" s="2"/>
      <c r="L362" s="2"/>
      <c r="M362" s="2"/>
      <c r="N362" s="2"/>
    </row>
    <row r="363" spans="1:14">
      <c r="A363" s="11"/>
      <c r="B363" s="11"/>
      <c r="C363" s="2"/>
      <c r="D363" s="2"/>
      <c r="E363" s="2"/>
      <c r="F363" s="2"/>
      <c r="G363" s="2"/>
      <c r="H363" s="2"/>
      <c r="I363" s="2"/>
      <c r="J363" s="2"/>
      <c r="K363" s="2"/>
      <c r="L363" s="2"/>
      <c r="M363" s="2"/>
      <c r="N363" s="2"/>
    </row>
    <row r="364" spans="1:14">
      <c r="A364" s="11"/>
      <c r="B364" s="11"/>
      <c r="C364" s="2"/>
      <c r="D364" s="2"/>
      <c r="E364" s="2"/>
      <c r="F364" s="2"/>
      <c r="G364" s="2"/>
      <c r="H364" s="2"/>
      <c r="I364" s="2"/>
      <c r="J364" s="2"/>
      <c r="K364" s="2"/>
      <c r="L364" s="2"/>
      <c r="M364" s="2"/>
      <c r="N364" s="2"/>
    </row>
    <row r="365" spans="1:14">
      <c r="A365" s="11"/>
      <c r="B365" s="11"/>
      <c r="C365" s="2"/>
      <c r="D365" s="2"/>
      <c r="E365" s="2"/>
      <c r="F365" s="2"/>
      <c r="G365" s="2"/>
      <c r="H365" s="2"/>
      <c r="I365" s="2"/>
      <c r="J365" s="2"/>
      <c r="K365" s="2"/>
      <c r="L365" s="2"/>
      <c r="M365" s="2"/>
      <c r="N365" s="2"/>
    </row>
    <row r="366" spans="1:14">
      <c r="A366" s="11"/>
      <c r="B366" s="11"/>
      <c r="C366" s="2"/>
      <c r="D366" s="2"/>
      <c r="E366" s="2"/>
      <c r="F366" s="2"/>
      <c r="G366" s="2"/>
      <c r="H366" s="2"/>
      <c r="I366" s="2"/>
      <c r="J366" s="2"/>
      <c r="K366" s="2"/>
      <c r="L366" s="2"/>
      <c r="M366" s="2"/>
      <c r="N366" s="2"/>
    </row>
    <row r="367" spans="1:14">
      <c r="A367" s="11"/>
      <c r="B367" s="11"/>
      <c r="C367" s="2"/>
      <c r="D367" s="2"/>
      <c r="E367" s="2"/>
      <c r="F367" s="2"/>
      <c r="G367" s="2"/>
      <c r="H367" s="2"/>
      <c r="I367" s="2"/>
      <c r="J367" s="2"/>
      <c r="K367" s="2"/>
      <c r="L367" s="2"/>
      <c r="M367" s="2"/>
      <c r="N367" s="2"/>
    </row>
    <row r="368" spans="1:14">
      <c r="A368" s="11"/>
      <c r="B368" s="11"/>
      <c r="C368" s="2"/>
      <c r="D368" s="2"/>
      <c r="E368" s="2"/>
      <c r="F368" s="2"/>
      <c r="G368" s="2"/>
      <c r="H368" s="2"/>
      <c r="I368" s="2"/>
      <c r="J368" s="2"/>
      <c r="K368" s="2"/>
      <c r="L368" s="2"/>
      <c r="M368" s="2"/>
      <c r="N368" s="2"/>
    </row>
    <row r="369" spans="1:14">
      <c r="A369" s="11"/>
      <c r="B369" s="11"/>
      <c r="C369" s="2"/>
      <c r="D369" s="2"/>
      <c r="E369" s="2"/>
      <c r="F369" s="2"/>
      <c r="G369" s="2"/>
      <c r="H369" s="2"/>
      <c r="I369" s="2"/>
      <c r="J369" s="2"/>
      <c r="K369" s="2"/>
      <c r="L369" s="2"/>
      <c r="M369" s="2"/>
      <c r="N369" s="2"/>
    </row>
    <row r="370" spans="1:14">
      <c r="A370" s="11"/>
      <c r="B370" s="11"/>
      <c r="C370" s="2"/>
      <c r="D370" s="2"/>
      <c r="E370" s="2"/>
      <c r="F370" s="2"/>
      <c r="G370" s="2"/>
      <c r="H370" s="2"/>
      <c r="I370" s="2"/>
      <c r="J370" s="2"/>
      <c r="K370" s="2"/>
      <c r="L370" s="2"/>
      <c r="M370" s="2"/>
      <c r="N370" s="2"/>
    </row>
    <row r="371" spans="1:14">
      <c r="A371" s="11"/>
      <c r="B371" s="11"/>
      <c r="C371" s="2"/>
      <c r="D371" s="2"/>
      <c r="E371" s="2"/>
      <c r="F371" s="2"/>
      <c r="G371" s="2"/>
      <c r="H371" s="2"/>
      <c r="I371" s="2"/>
      <c r="J371" s="2"/>
      <c r="K371" s="2"/>
      <c r="L371" s="2"/>
      <c r="M371" s="2"/>
      <c r="N371" s="2"/>
    </row>
    <row r="372" spans="1:14">
      <c r="A372" s="11"/>
      <c r="B372" s="11"/>
      <c r="C372" s="2"/>
      <c r="D372" s="2"/>
      <c r="E372" s="2"/>
      <c r="F372" s="2"/>
      <c r="G372" s="2"/>
      <c r="H372" s="2"/>
      <c r="I372" s="2"/>
      <c r="J372" s="2"/>
      <c r="K372" s="2"/>
      <c r="L372" s="2"/>
      <c r="M372" s="2"/>
      <c r="N372" s="2"/>
    </row>
    <row r="373" spans="1:14">
      <c r="A373" s="11"/>
      <c r="B373" s="11"/>
      <c r="C373" s="2"/>
      <c r="D373" s="2"/>
      <c r="E373" s="2"/>
      <c r="F373" s="2"/>
      <c r="G373" s="2"/>
      <c r="H373" s="2"/>
      <c r="I373" s="2"/>
      <c r="J373" s="2"/>
      <c r="K373" s="2"/>
      <c r="L373" s="2"/>
      <c r="M373" s="2"/>
      <c r="N373" s="2"/>
    </row>
    <row r="374" spans="1:14">
      <c r="A374" s="11"/>
      <c r="B374" s="11"/>
      <c r="C374" s="2"/>
      <c r="D374" s="2"/>
      <c r="E374" s="2"/>
      <c r="F374" s="2"/>
      <c r="G374" s="2"/>
      <c r="H374" s="2"/>
      <c r="I374" s="2"/>
      <c r="J374" s="2"/>
      <c r="K374" s="2"/>
      <c r="L374" s="2"/>
      <c r="M374" s="2"/>
      <c r="N374" s="2"/>
    </row>
    <row r="375" spans="1:14">
      <c r="A375" s="11"/>
      <c r="B375" s="11"/>
      <c r="C375" s="2"/>
      <c r="D375" s="2"/>
      <c r="E375" s="2"/>
      <c r="F375" s="2"/>
      <c r="G375" s="2"/>
      <c r="H375" s="2"/>
      <c r="I375" s="2"/>
      <c r="J375" s="2"/>
      <c r="K375" s="2"/>
      <c r="L375" s="2"/>
      <c r="M375" s="2"/>
      <c r="N375" s="2"/>
    </row>
    <row r="376" spans="1:14">
      <c r="A376" s="11"/>
      <c r="B376" s="11"/>
      <c r="C376" s="2"/>
      <c r="D376" s="2"/>
      <c r="E376" s="2"/>
      <c r="F376" s="2"/>
      <c r="G376" s="2"/>
      <c r="H376" s="2"/>
      <c r="I376" s="2"/>
      <c r="J376" s="2"/>
      <c r="K376" s="2"/>
      <c r="L376" s="2"/>
      <c r="M376" s="2"/>
      <c r="N376" s="2"/>
    </row>
    <row r="377" spans="1:14">
      <c r="A377" s="11"/>
      <c r="B377" s="11"/>
      <c r="C377" s="2"/>
      <c r="D377" s="2"/>
      <c r="E377" s="2"/>
      <c r="F377" s="2"/>
      <c r="G377" s="2"/>
      <c r="H377" s="2"/>
      <c r="I377" s="2"/>
      <c r="J377" s="2"/>
      <c r="K377" s="2"/>
      <c r="L377" s="2"/>
      <c r="M377" s="2"/>
      <c r="N377" s="2"/>
    </row>
    <row r="378" spans="1:14">
      <c r="A378" s="11"/>
      <c r="B378" s="11"/>
      <c r="C378" s="2"/>
      <c r="D378" s="2"/>
      <c r="E378" s="2"/>
      <c r="F378" s="2"/>
      <c r="G378" s="2"/>
      <c r="H378" s="2"/>
      <c r="I378" s="2"/>
      <c r="J378" s="2"/>
      <c r="K378" s="2"/>
      <c r="L378" s="2"/>
      <c r="M378" s="2"/>
      <c r="N378" s="2"/>
    </row>
    <row r="379" spans="1:14">
      <c r="A379" s="11"/>
      <c r="B379" s="11"/>
      <c r="C379" s="2"/>
      <c r="D379" s="2"/>
      <c r="E379" s="2"/>
      <c r="F379" s="2"/>
      <c r="G379" s="2"/>
      <c r="H379" s="2"/>
      <c r="I379" s="2"/>
      <c r="J379" s="2"/>
      <c r="K379" s="2"/>
      <c r="L379" s="2"/>
      <c r="M379" s="2"/>
      <c r="N379" s="2"/>
    </row>
    <row r="380" spans="1:14">
      <c r="A380" s="11"/>
      <c r="B380" s="11"/>
      <c r="C380" s="2"/>
      <c r="D380" s="2"/>
      <c r="E380" s="2"/>
      <c r="F380" s="2"/>
      <c r="G380" s="2"/>
      <c r="H380" s="2"/>
      <c r="I380" s="2"/>
      <c r="J380" s="2"/>
      <c r="K380" s="2"/>
      <c r="L380" s="2"/>
      <c r="M380" s="2"/>
      <c r="N380" s="2"/>
    </row>
    <row r="381" spans="1:14">
      <c r="A381" s="11"/>
      <c r="B381" s="11"/>
      <c r="C381" s="2"/>
      <c r="D381" s="2"/>
      <c r="E381" s="2"/>
      <c r="F381" s="2"/>
      <c r="G381" s="2"/>
      <c r="H381" s="2"/>
      <c r="I381" s="2"/>
      <c r="J381" s="2"/>
      <c r="K381" s="2"/>
      <c r="L381" s="2"/>
      <c r="M381" s="2"/>
      <c r="N381" s="2"/>
    </row>
    <row r="382" spans="1:14">
      <c r="A382" s="11"/>
      <c r="B382" s="11"/>
      <c r="C382" s="2"/>
      <c r="D382" s="2"/>
      <c r="E382" s="2"/>
      <c r="F382" s="2"/>
      <c r="G382" s="2"/>
      <c r="H382" s="2"/>
      <c r="I382" s="2"/>
      <c r="J382" s="2"/>
      <c r="K382" s="2"/>
      <c r="L382" s="2"/>
      <c r="M382" s="2"/>
      <c r="N382" s="2"/>
    </row>
    <row r="383" spans="1:14">
      <c r="A383" s="11"/>
      <c r="B383" s="11"/>
      <c r="C383" s="2"/>
      <c r="D383" s="2"/>
      <c r="E383" s="2"/>
      <c r="F383" s="2"/>
      <c r="G383" s="2"/>
      <c r="H383" s="2"/>
      <c r="I383" s="2"/>
      <c r="J383" s="2"/>
      <c r="K383" s="2"/>
      <c r="L383" s="2"/>
      <c r="M383" s="2"/>
      <c r="N383" s="2"/>
    </row>
    <row r="384" spans="1:14">
      <c r="A384" s="11"/>
      <c r="B384" s="11"/>
      <c r="C384" s="2"/>
      <c r="D384" s="2"/>
      <c r="E384" s="2"/>
      <c r="F384" s="2"/>
      <c r="G384" s="2"/>
      <c r="H384" s="2"/>
      <c r="I384" s="2"/>
      <c r="J384" s="2"/>
      <c r="K384" s="2"/>
      <c r="L384" s="2"/>
      <c r="M384" s="2"/>
      <c r="N384" s="2"/>
    </row>
    <row r="385" spans="1:14">
      <c r="A385" s="11"/>
      <c r="B385" s="11"/>
      <c r="C385" s="2"/>
      <c r="D385" s="2"/>
      <c r="E385" s="2"/>
      <c r="F385" s="2"/>
      <c r="G385" s="2"/>
      <c r="H385" s="2"/>
      <c r="I385" s="2"/>
      <c r="J385" s="2"/>
      <c r="K385" s="2"/>
      <c r="L385" s="2"/>
      <c r="M385" s="2"/>
      <c r="N385" s="2"/>
    </row>
    <row r="386" spans="1:14">
      <c r="A386" s="11"/>
      <c r="B386" s="11"/>
      <c r="C386" s="2"/>
      <c r="D386" s="2"/>
      <c r="E386" s="2"/>
      <c r="F386" s="2"/>
      <c r="G386" s="2"/>
      <c r="H386" s="2"/>
      <c r="I386" s="2"/>
      <c r="J386" s="2"/>
      <c r="K386" s="2"/>
      <c r="L386" s="2"/>
      <c r="M386" s="2"/>
      <c r="N386" s="2"/>
    </row>
    <row r="387" spans="1:14">
      <c r="A387" s="11"/>
      <c r="B387" s="11"/>
      <c r="C387" s="2"/>
      <c r="D387" s="2"/>
      <c r="E387" s="2"/>
      <c r="F387" s="2"/>
      <c r="G387" s="2"/>
      <c r="H387" s="2"/>
      <c r="I387" s="2"/>
      <c r="J387" s="2"/>
      <c r="K387" s="2"/>
      <c r="L387" s="2"/>
      <c r="M387" s="2"/>
      <c r="N387" s="2"/>
    </row>
    <row r="388" spans="1:14">
      <c r="A388" s="11"/>
      <c r="B388" s="11"/>
      <c r="C388" s="2"/>
      <c r="D388" s="2"/>
      <c r="E388" s="2"/>
      <c r="F388" s="2"/>
      <c r="G388" s="2"/>
      <c r="H388" s="2"/>
      <c r="I388" s="2"/>
      <c r="J388" s="2"/>
      <c r="K388" s="2"/>
      <c r="L388" s="2"/>
      <c r="M388" s="2"/>
      <c r="N388" s="2"/>
    </row>
    <row r="389" spans="1:14">
      <c r="A389" s="11"/>
      <c r="B389" s="11"/>
      <c r="C389" s="2"/>
      <c r="D389" s="2"/>
      <c r="E389" s="2"/>
      <c r="F389" s="2"/>
      <c r="G389" s="2"/>
      <c r="H389" s="2"/>
      <c r="I389" s="2"/>
      <c r="J389" s="2"/>
      <c r="K389" s="2"/>
      <c r="L389" s="2"/>
      <c r="M389" s="2"/>
      <c r="N389" s="2"/>
    </row>
    <row r="390" spans="1:14">
      <c r="A390" s="11"/>
      <c r="B390" s="11"/>
      <c r="C390" s="2"/>
      <c r="D390" s="2"/>
      <c r="E390" s="2"/>
      <c r="F390" s="2"/>
      <c r="G390" s="2"/>
      <c r="H390" s="2"/>
      <c r="I390" s="2"/>
      <c r="J390" s="2"/>
      <c r="K390" s="2"/>
      <c r="L390" s="2"/>
      <c r="M390" s="2"/>
      <c r="N390" s="2"/>
    </row>
    <row r="391" spans="1:14">
      <c r="A391" s="11"/>
      <c r="B391" s="11"/>
      <c r="C391" s="2"/>
      <c r="D391" s="2"/>
      <c r="E391" s="2"/>
      <c r="F391" s="2"/>
      <c r="G391" s="2"/>
      <c r="H391" s="2"/>
      <c r="I391" s="2"/>
      <c r="J391" s="2"/>
      <c r="K391" s="2"/>
      <c r="L391" s="2"/>
      <c r="M391" s="2"/>
      <c r="N391" s="2"/>
    </row>
    <row r="392" spans="1:14">
      <c r="A392" s="11"/>
      <c r="B392" s="11"/>
      <c r="C392" s="2"/>
      <c r="D392" s="2"/>
      <c r="E392" s="2"/>
      <c r="F392" s="2"/>
      <c r="G392" s="2"/>
      <c r="H392" s="2"/>
      <c r="I392" s="2"/>
      <c r="J392" s="2"/>
      <c r="K392" s="2"/>
      <c r="L392" s="2"/>
      <c r="M392" s="2"/>
      <c r="N392" s="2"/>
    </row>
    <row r="393" spans="1:14">
      <c r="A393" s="11"/>
      <c r="B393" s="11"/>
      <c r="C393" s="2"/>
      <c r="D393" s="2"/>
      <c r="E393" s="2"/>
      <c r="F393" s="2"/>
      <c r="G393" s="2"/>
      <c r="H393" s="2"/>
      <c r="I393" s="2"/>
      <c r="J393" s="2"/>
      <c r="K393" s="2"/>
      <c r="L393" s="2"/>
      <c r="M393" s="2"/>
      <c r="N393" s="2"/>
    </row>
    <row r="394" spans="1:14">
      <c r="A394" s="11"/>
      <c r="B394" s="11"/>
      <c r="C394" s="2"/>
      <c r="D394" s="2"/>
      <c r="E394" s="2"/>
      <c r="F394" s="2"/>
      <c r="G394" s="2"/>
      <c r="H394" s="2"/>
      <c r="I394" s="2"/>
      <c r="J394" s="2"/>
      <c r="K394" s="2"/>
      <c r="L394" s="2"/>
      <c r="M394" s="2"/>
      <c r="N394" s="2"/>
    </row>
    <row r="395" spans="1:14">
      <c r="A395" s="11"/>
      <c r="B395" s="11"/>
      <c r="C395" s="2"/>
      <c r="D395" s="2"/>
      <c r="E395" s="2"/>
      <c r="F395" s="2"/>
      <c r="G395" s="2"/>
      <c r="H395" s="2"/>
      <c r="I395" s="2"/>
      <c r="J395" s="2"/>
      <c r="K395" s="2"/>
      <c r="L395" s="2"/>
      <c r="M395" s="2"/>
      <c r="N395" s="2"/>
    </row>
    <row r="396" spans="1:14">
      <c r="A396" s="11"/>
      <c r="B396" s="11"/>
      <c r="C396" s="2"/>
      <c r="D396" s="2"/>
      <c r="E396" s="2"/>
      <c r="F396" s="2"/>
      <c r="G396" s="2"/>
      <c r="H396" s="2"/>
      <c r="I396" s="2"/>
      <c r="J396" s="2"/>
      <c r="K396" s="2"/>
      <c r="L396" s="2"/>
      <c r="M396" s="2"/>
      <c r="N396" s="2"/>
    </row>
    <row r="397" spans="1:14">
      <c r="A397" s="11"/>
      <c r="B397" s="11"/>
      <c r="C397" s="2"/>
      <c r="D397" s="2"/>
      <c r="E397" s="2"/>
      <c r="F397" s="2"/>
      <c r="G397" s="2"/>
      <c r="H397" s="2"/>
      <c r="I397" s="2"/>
      <c r="J397" s="2"/>
      <c r="K397" s="2"/>
      <c r="L397" s="2"/>
      <c r="M397" s="2"/>
      <c r="N397" s="2"/>
    </row>
    <row r="398" spans="1:14">
      <c r="A398" s="11"/>
      <c r="B398" s="11"/>
      <c r="C398" s="2"/>
      <c r="D398" s="2"/>
      <c r="E398" s="2"/>
      <c r="F398" s="2"/>
      <c r="G398" s="2"/>
      <c r="H398" s="2"/>
      <c r="I398" s="2"/>
      <c r="J398" s="2"/>
      <c r="K398" s="2"/>
      <c r="L398" s="2"/>
      <c r="M398" s="2"/>
      <c r="N398" s="2"/>
    </row>
    <row r="399" spans="1:14">
      <c r="A399" s="11"/>
      <c r="B399" s="11"/>
      <c r="C399" s="2"/>
      <c r="D399" s="2"/>
      <c r="E399" s="2"/>
      <c r="F399" s="2"/>
      <c r="G399" s="2"/>
      <c r="H399" s="2"/>
      <c r="I399" s="2"/>
      <c r="J399" s="2"/>
      <c r="K399" s="2"/>
      <c r="L399" s="2"/>
      <c r="M399" s="2"/>
      <c r="N399" s="2"/>
    </row>
    <row r="400" spans="1:14">
      <c r="A400" s="11"/>
      <c r="B400" s="11"/>
      <c r="C400" s="2"/>
      <c r="D400" s="2"/>
      <c r="E400" s="2"/>
      <c r="F400" s="2"/>
      <c r="G400" s="2"/>
      <c r="H400" s="2"/>
      <c r="I400" s="2"/>
      <c r="J400" s="2"/>
      <c r="K400" s="2"/>
      <c r="L400" s="2"/>
      <c r="M400" s="2"/>
      <c r="N400" s="2"/>
    </row>
    <row r="401" spans="1:14">
      <c r="A401" s="11"/>
      <c r="B401" s="11"/>
      <c r="C401" s="2"/>
      <c r="D401" s="2"/>
      <c r="E401" s="2"/>
      <c r="F401" s="2"/>
      <c r="G401" s="2"/>
      <c r="H401" s="2"/>
      <c r="I401" s="2"/>
      <c r="J401" s="2"/>
      <c r="K401" s="2"/>
      <c r="L401" s="2"/>
      <c r="M401" s="2"/>
      <c r="N401" s="2"/>
    </row>
    <row r="402" spans="1:14">
      <c r="A402" s="11"/>
      <c r="B402" s="11"/>
      <c r="C402" s="2"/>
      <c r="D402" s="2"/>
      <c r="E402" s="2"/>
      <c r="F402" s="2"/>
      <c r="G402" s="2"/>
      <c r="H402" s="2"/>
      <c r="I402" s="2"/>
      <c r="J402" s="2"/>
      <c r="K402" s="2"/>
      <c r="L402" s="2"/>
      <c r="M402" s="2"/>
      <c r="N402" s="2"/>
    </row>
    <row r="403" spans="1:14">
      <c r="A403" s="11"/>
      <c r="B403" s="11"/>
      <c r="C403" s="2"/>
      <c r="D403" s="2"/>
      <c r="E403" s="2"/>
      <c r="F403" s="2"/>
      <c r="G403" s="2"/>
      <c r="H403" s="2"/>
      <c r="I403" s="2"/>
      <c r="J403" s="2"/>
      <c r="K403" s="2"/>
      <c r="L403" s="2"/>
      <c r="M403" s="2"/>
      <c r="N403" s="2"/>
    </row>
    <row r="404" spans="1:14">
      <c r="A404" s="11"/>
      <c r="B404" s="11"/>
      <c r="C404" s="2"/>
      <c r="D404" s="2"/>
      <c r="E404" s="2"/>
      <c r="F404" s="2"/>
      <c r="G404" s="2"/>
      <c r="H404" s="2"/>
      <c r="I404" s="2"/>
      <c r="J404" s="2"/>
      <c r="K404" s="2"/>
      <c r="L404" s="2"/>
      <c r="M404" s="2"/>
      <c r="N404" s="2"/>
    </row>
    <row r="405" spans="1:14">
      <c r="A405" s="11"/>
      <c r="B405" s="11"/>
      <c r="C405" s="2"/>
      <c r="D405" s="2"/>
      <c r="E405" s="2"/>
      <c r="F405" s="2"/>
      <c r="G405" s="2"/>
      <c r="H405" s="2"/>
      <c r="I405" s="2"/>
      <c r="J405" s="2"/>
      <c r="K405" s="2"/>
      <c r="L405" s="2"/>
      <c r="M405" s="2"/>
      <c r="N405" s="2"/>
    </row>
    <row r="406" spans="1:14">
      <c r="A406" s="11"/>
      <c r="B406" s="11"/>
      <c r="C406" s="2"/>
      <c r="D406" s="2"/>
      <c r="E406" s="2"/>
      <c r="F406" s="2"/>
      <c r="G406" s="2"/>
      <c r="H406" s="2"/>
      <c r="I406" s="2"/>
      <c r="J406" s="2"/>
      <c r="K406" s="2"/>
      <c r="L406" s="2"/>
      <c r="M406" s="2"/>
      <c r="N406" s="2"/>
    </row>
    <row r="407" spans="1:14">
      <c r="A407" s="11"/>
      <c r="B407" s="11"/>
      <c r="C407" s="2"/>
      <c r="D407" s="2"/>
      <c r="E407" s="2"/>
      <c r="F407" s="2"/>
      <c r="G407" s="2"/>
      <c r="H407" s="2"/>
      <c r="I407" s="2"/>
      <c r="J407" s="2"/>
      <c r="K407" s="2"/>
      <c r="L407" s="2"/>
      <c r="M407" s="2"/>
      <c r="N407" s="2"/>
    </row>
    <row r="408" spans="1:14">
      <c r="A408" s="11"/>
      <c r="B408" s="11"/>
      <c r="C408" s="2"/>
      <c r="D408" s="2"/>
      <c r="E408" s="2"/>
      <c r="F408" s="2"/>
      <c r="G408" s="2"/>
      <c r="H408" s="2"/>
      <c r="I408" s="2"/>
      <c r="J408" s="2"/>
      <c r="K408" s="2"/>
      <c r="L408" s="2"/>
      <c r="M408" s="2"/>
      <c r="N408" s="2"/>
    </row>
    <row r="409" spans="1:14">
      <c r="A409" s="11"/>
      <c r="B409" s="11"/>
      <c r="C409" s="2"/>
      <c r="D409" s="2"/>
      <c r="E409" s="2"/>
      <c r="F409" s="2"/>
      <c r="G409" s="2"/>
      <c r="H409" s="2"/>
      <c r="I409" s="2"/>
      <c r="J409" s="2"/>
      <c r="K409" s="2"/>
      <c r="L409" s="2"/>
      <c r="M409" s="2"/>
      <c r="N409" s="2"/>
    </row>
    <row r="410" spans="1:14">
      <c r="A410" s="11"/>
      <c r="B410" s="11"/>
      <c r="C410" s="2"/>
      <c r="D410" s="2"/>
      <c r="E410" s="2"/>
      <c r="F410" s="2"/>
      <c r="G410" s="2"/>
      <c r="H410" s="2"/>
      <c r="I410" s="2"/>
      <c r="J410" s="2"/>
      <c r="K410" s="2"/>
      <c r="L410" s="2"/>
      <c r="M410" s="2"/>
      <c r="N410" s="2"/>
    </row>
    <row r="411" spans="1:14">
      <c r="A411" s="11"/>
      <c r="B411" s="11"/>
      <c r="C411" s="2"/>
      <c r="D411" s="2"/>
      <c r="E411" s="2"/>
      <c r="F411" s="2"/>
      <c r="G411" s="2"/>
      <c r="H411" s="2"/>
      <c r="I411" s="2"/>
      <c r="J411" s="2"/>
      <c r="K411" s="2"/>
      <c r="L411" s="2"/>
      <c r="M411" s="2"/>
      <c r="N411" s="2"/>
    </row>
    <row r="412" spans="1:14">
      <c r="A412" s="11"/>
      <c r="B412" s="11"/>
      <c r="C412" s="2"/>
      <c r="D412" s="2"/>
      <c r="E412" s="2"/>
      <c r="F412" s="2"/>
      <c r="G412" s="2"/>
      <c r="H412" s="2"/>
      <c r="I412" s="2"/>
      <c r="J412" s="2"/>
      <c r="K412" s="2"/>
      <c r="L412" s="2"/>
      <c r="M412" s="2"/>
      <c r="N412" s="2"/>
    </row>
    <row r="413" spans="1:14">
      <c r="A413" s="11"/>
      <c r="B413" s="11"/>
      <c r="C413" s="2"/>
      <c r="D413" s="2"/>
      <c r="E413" s="2"/>
      <c r="F413" s="2"/>
      <c r="G413" s="2"/>
      <c r="H413" s="2"/>
      <c r="I413" s="2"/>
      <c r="J413" s="2"/>
      <c r="K413" s="2"/>
      <c r="L413" s="2"/>
      <c r="M413" s="2"/>
      <c r="N413" s="2"/>
    </row>
    <row r="414" spans="1:14">
      <c r="A414" s="11"/>
      <c r="B414" s="11"/>
      <c r="C414" s="2"/>
      <c r="D414" s="2"/>
      <c r="E414" s="2"/>
      <c r="F414" s="2"/>
      <c r="G414" s="2"/>
      <c r="H414" s="2"/>
      <c r="I414" s="2"/>
      <c r="J414" s="2"/>
      <c r="K414" s="2"/>
      <c r="L414" s="2"/>
      <c r="M414" s="2"/>
      <c r="N414" s="2"/>
    </row>
    <row r="415" spans="1:14">
      <c r="A415" s="11"/>
      <c r="B415" s="11"/>
      <c r="C415" s="2"/>
      <c r="D415" s="2"/>
      <c r="E415" s="2"/>
      <c r="F415" s="2"/>
      <c r="G415" s="2"/>
      <c r="H415" s="2"/>
      <c r="I415" s="2"/>
      <c r="J415" s="2"/>
      <c r="K415" s="2"/>
      <c r="L415" s="2"/>
      <c r="M415" s="2"/>
      <c r="N415" s="2"/>
    </row>
    <row r="416" spans="1:14">
      <c r="A416" s="11"/>
      <c r="B416" s="11"/>
      <c r="C416" s="2"/>
      <c r="D416" s="2"/>
      <c r="E416" s="2"/>
      <c r="F416" s="2"/>
      <c r="G416" s="2"/>
      <c r="H416" s="2"/>
      <c r="I416" s="2"/>
      <c r="J416" s="2"/>
      <c r="K416" s="2"/>
      <c r="L416" s="2"/>
      <c r="M416" s="2"/>
      <c r="N416" s="2"/>
    </row>
    <row r="417" spans="1:14">
      <c r="A417" s="11"/>
      <c r="B417" s="11"/>
      <c r="C417" s="2"/>
      <c r="D417" s="2"/>
      <c r="E417" s="2"/>
      <c r="F417" s="2"/>
      <c r="G417" s="2"/>
      <c r="H417" s="2"/>
      <c r="I417" s="2"/>
      <c r="J417" s="2"/>
      <c r="K417" s="2"/>
      <c r="L417" s="2"/>
      <c r="M417" s="2"/>
      <c r="N417" s="2"/>
    </row>
    <row r="418" spans="1:14">
      <c r="A418" s="11"/>
      <c r="B418" s="11"/>
      <c r="C418" s="2"/>
      <c r="D418" s="2"/>
      <c r="E418" s="2"/>
      <c r="F418" s="2"/>
      <c r="G418" s="2"/>
      <c r="H418" s="2"/>
      <c r="I418" s="2"/>
      <c r="J418" s="2"/>
      <c r="K418" s="2"/>
      <c r="L418" s="2"/>
      <c r="M418" s="2"/>
      <c r="N418" s="2"/>
    </row>
    <row r="419" spans="1:14">
      <c r="A419" s="11"/>
      <c r="B419" s="11"/>
      <c r="C419" s="2"/>
      <c r="D419" s="2"/>
      <c r="E419" s="2"/>
      <c r="F419" s="2"/>
      <c r="G419" s="2"/>
      <c r="H419" s="2"/>
      <c r="I419" s="2"/>
      <c r="J419" s="2"/>
      <c r="K419" s="2"/>
      <c r="L419" s="2"/>
      <c r="M419" s="2"/>
      <c r="N419" s="2"/>
    </row>
    <row r="420" spans="1:14">
      <c r="A420" s="11"/>
      <c r="B420" s="11"/>
      <c r="C420" s="2"/>
      <c r="D420" s="2"/>
      <c r="E420" s="2"/>
      <c r="F420" s="2"/>
      <c r="G420" s="2"/>
      <c r="H420" s="2"/>
      <c r="I420" s="2"/>
      <c r="J420" s="2"/>
      <c r="K420" s="2"/>
      <c r="L420" s="2"/>
      <c r="M420" s="2"/>
      <c r="N420" s="2"/>
    </row>
    <row r="421" spans="1:14">
      <c r="A421" s="11"/>
      <c r="B421" s="11"/>
      <c r="C421" s="2"/>
      <c r="D421" s="2"/>
      <c r="E421" s="2"/>
      <c r="F421" s="2"/>
      <c r="G421" s="2"/>
      <c r="H421" s="2"/>
      <c r="I421" s="2"/>
      <c r="J421" s="2"/>
      <c r="K421" s="2"/>
      <c r="L421" s="2"/>
      <c r="M421" s="2"/>
      <c r="N421" s="2"/>
    </row>
    <row r="422" spans="1:14">
      <c r="A422" s="11"/>
      <c r="B422" s="11"/>
      <c r="C422" s="2"/>
      <c r="D422" s="2"/>
      <c r="E422" s="2"/>
      <c r="F422" s="2"/>
      <c r="G422" s="2"/>
      <c r="H422" s="2"/>
      <c r="I422" s="2"/>
      <c r="J422" s="2"/>
      <c r="K422" s="2"/>
      <c r="L422" s="2"/>
      <c r="M422" s="2"/>
      <c r="N422" s="2"/>
    </row>
    <row r="423" spans="1:14">
      <c r="A423" s="11"/>
      <c r="B423" s="11"/>
      <c r="C423" s="2"/>
      <c r="D423" s="2"/>
      <c r="E423" s="2"/>
      <c r="F423" s="2"/>
      <c r="G423" s="2"/>
      <c r="H423" s="2"/>
      <c r="I423" s="2"/>
      <c r="J423" s="2"/>
      <c r="K423" s="2"/>
      <c r="L423" s="2"/>
      <c r="M423" s="2"/>
      <c r="N423" s="2"/>
    </row>
    <row r="424" spans="1:14">
      <c r="A424" s="11"/>
      <c r="B424" s="11"/>
      <c r="C424" s="2"/>
      <c r="D424" s="2"/>
      <c r="E424" s="2"/>
      <c r="F424" s="2"/>
      <c r="G424" s="2"/>
      <c r="H424" s="2"/>
      <c r="I424" s="2"/>
      <c r="J424" s="2"/>
      <c r="K424" s="2"/>
      <c r="L424" s="2"/>
      <c r="M424" s="2"/>
      <c r="N424" s="2"/>
    </row>
    <row r="425" spans="1:14">
      <c r="A425" s="11"/>
      <c r="B425" s="11"/>
      <c r="C425" s="2"/>
      <c r="D425" s="2"/>
      <c r="E425" s="2"/>
      <c r="F425" s="2"/>
      <c r="G425" s="2"/>
      <c r="H425" s="2"/>
      <c r="I425" s="2"/>
      <c r="J425" s="2"/>
      <c r="K425" s="2"/>
      <c r="L425" s="2"/>
      <c r="M425" s="2"/>
      <c r="N425" s="2"/>
    </row>
    <row r="426" spans="1:14">
      <c r="A426" s="11"/>
      <c r="B426" s="11"/>
      <c r="C426" s="2"/>
      <c r="D426" s="2"/>
      <c r="E426" s="2"/>
      <c r="F426" s="2"/>
      <c r="G426" s="2"/>
      <c r="H426" s="2"/>
      <c r="I426" s="2"/>
      <c r="J426" s="2"/>
      <c r="K426" s="2"/>
      <c r="L426" s="2"/>
      <c r="M426" s="2"/>
      <c r="N426" s="2"/>
    </row>
    <row r="427" spans="1:14">
      <c r="A427" s="11"/>
      <c r="B427" s="11"/>
      <c r="C427" s="2"/>
      <c r="D427" s="2"/>
      <c r="E427" s="2"/>
      <c r="F427" s="2"/>
      <c r="G427" s="2"/>
      <c r="H427" s="2"/>
      <c r="I427" s="2"/>
      <c r="J427" s="2"/>
      <c r="K427" s="2"/>
      <c r="L427" s="2"/>
      <c r="M427" s="2"/>
      <c r="N427" s="2"/>
    </row>
    <row r="428" spans="1:14">
      <c r="A428" s="11"/>
      <c r="B428" s="11"/>
      <c r="C428" s="2"/>
      <c r="D428" s="2"/>
      <c r="E428" s="2"/>
      <c r="F428" s="2"/>
      <c r="G428" s="2"/>
      <c r="H428" s="2"/>
      <c r="I428" s="2"/>
      <c r="J428" s="2"/>
      <c r="K428" s="2"/>
      <c r="L428" s="2"/>
      <c r="M428" s="2"/>
      <c r="N428" s="2"/>
    </row>
    <row r="429" spans="1:14">
      <c r="A429" s="11"/>
      <c r="B429" s="11"/>
      <c r="C429" s="2"/>
      <c r="D429" s="2"/>
      <c r="E429" s="2"/>
      <c r="F429" s="2"/>
      <c r="G429" s="2"/>
      <c r="H429" s="2"/>
      <c r="I429" s="2"/>
      <c r="J429" s="2"/>
      <c r="K429" s="2"/>
      <c r="L429" s="2"/>
      <c r="M429" s="2"/>
      <c r="N429" s="2"/>
    </row>
    <row r="430" spans="1:14">
      <c r="A430" s="11"/>
      <c r="B430" s="11"/>
      <c r="C430" s="2"/>
      <c r="D430" s="2"/>
      <c r="E430" s="2"/>
      <c r="F430" s="2"/>
      <c r="G430" s="2"/>
      <c r="H430" s="2"/>
      <c r="I430" s="2"/>
      <c r="J430" s="2"/>
      <c r="K430" s="2"/>
      <c r="L430" s="2"/>
      <c r="M430" s="2"/>
      <c r="N430" s="2"/>
    </row>
    <row r="431" spans="1:14">
      <c r="A431" s="11"/>
      <c r="B431" s="11"/>
      <c r="C431" s="2"/>
      <c r="D431" s="2"/>
      <c r="E431" s="2"/>
      <c r="F431" s="2"/>
      <c r="G431" s="2"/>
      <c r="H431" s="2"/>
      <c r="I431" s="2"/>
      <c r="J431" s="2"/>
      <c r="K431" s="2"/>
      <c r="L431" s="2"/>
      <c r="M431" s="2"/>
      <c r="N431" s="2"/>
    </row>
    <row r="432" spans="1:14">
      <c r="A432" s="11"/>
      <c r="B432" s="11"/>
      <c r="C432" s="2"/>
      <c r="D432" s="2"/>
      <c r="E432" s="2"/>
      <c r="F432" s="2"/>
      <c r="G432" s="2"/>
      <c r="H432" s="2"/>
      <c r="I432" s="2"/>
      <c r="J432" s="2"/>
      <c r="K432" s="2"/>
      <c r="L432" s="2"/>
      <c r="M432" s="2"/>
      <c r="N432" s="2"/>
    </row>
    <row r="433" spans="1:14">
      <c r="A433" s="11"/>
      <c r="B433" s="11"/>
      <c r="C433" s="2"/>
      <c r="D433" s="2"/>
      <c r="E433" s="2"/>
      <c r="F433" s="2"/>
      <c r="G433" s="2"/>
      <c r="H433" s="2"/>
      <c r="I433" s="2"/>
      <c r="J433" s="2"/>
      <c r="K433" s="2"/>
      <c r="L433" s="2"/>
      <c r="M433" s="2"/>
      <c r="N433" s="2"/>
    </row>
    <row r="434" spans="1:14">
      <c r="A434" s="11"/>
      <c r="B434" s="11"/>
      <c r="C434" s="2"/>
      <c r="D434" s="2"/>
      <c r="E434" s="2"/>
      <c r="F434" s="2"/>
      <c r="G434" s="2"/>
      <c r="H434" s="2"/>
      <c r="I434" s="2"/>
      <c r="J434" s="2"/>
      <c r="K434" s="2"/>
      <c r="L434" s="2"/>
      <c r="M434" s="2"/>
      <c r="N434" s="2"/>
    </row>
    <row r="435" spans="1:14">
      <c r="A435" s="11"/>
      <c r="B435" s="11"/>
      <c r="C435" s="2"/>
      <c r="D435" s="2"/>
      <c r="E435" s="2"/>
      <c r="F435" s="2"/>
      <c r="G435" s="2"/>
      <c r="H435" s="2"/>
      <c r="I435" s="2"/>
      <c r="J435" s="2"/>
      <c r="K435" s="2"/>
      <c r="L435" s="2"/>
      <c r="M435" s="2"/>
      <c r="N435" s="2"/>
    </row>
    <row r="436" spans="1:14">
      <c r="A436" s="11"/>
      <c r="B436" s="11"/>
      <c r="C436" s="2"/>
      <c r="D436" s="2"/>
      <c r="E436" s="2"/>
      <c r="F436" s="2"/>
      <c r="G436" s="2"/>
      <c r="H436" s="2"/>
      <c r="I436" s="2"/>
      <c r="J436" s="2"/>
      <c r="K436" s="2"/>
      <c r="L436" s="2"/>
      <c r="M436" s="2"/>
      <c r="N436" s="2"/>
    </row>
    <row r="437" spans="1:14">
      <c r="A437" s="11"/>
      <c r="B437" s="11"/>
      <c r="C437" s="2"/>
      <c r="D437" s="2"/>
      <c r="E437" s="2"/>
      <c r="F437" s="2"/>
      <c r="G437" s="2"/>
      <c r="H437" s="2"/>
      <c r="I437" s="2"/>
      <c r="J437" s="2"/>
      <c r="K437" s="2"/>
      <c r="L437" s="2"/>
      <c r="M437" s="2"/>
      <c r="N437" s="2"/>
    </row>
    <row r="438" spans="1:14">
      <c r="A438" s="11"/>
      <c r="B438" s="11"/>
      <c r="C438" s="2"/>
      <c r="D438" s="2"/>
      <c r="E438" s="2"/>
      <c r="F438" s="2"/>
      <c r="G438" s="2"/>
      <c r="H438" s="2"/>
      <c r="I438" s="2"/>
      <c r="J438" s="2"/>
      <c r="K438" s="2"/>
      <c r="L438" s="2"/>
      <c r="M438" s="2"/>
      <c r="N438" s="2"/>
    </row>
    <row r="439" spans="1:14">
      <c r="A439" s="11"/>
      <c r="B439" s="11"/>
      <c r="C439" s="2"/>
      <c r="D439" s="2"/>
      <c r="E439" s="2"/>
      <c r="F439" s="2"/>
      <c r="G439" s="2"/>
      <c r="H439" s="2"/>
      <c r="I439" s="2"/>
      <c r="J439" s="2"/>
      <c r="K439" s="2"/>
      <c r="L439" s="2"/>
      <c r="M439" s="2"/>
      <c r="N439" s="2"/>
    </row>
    <row r="440" spans="1:14">
      <c r="A440" s="11"/>
      <c r="B440" s="11"/>
      <c r="C440" s="2"/>
      <c r="D440" s="2"/>
      <c r="E440" s="2"/>
      <c r="F440" s="2"/>
      <c r="G440" s="2"/>
      <c r="H440" s="2"/>
      <c r="I440" s="2"/>
      <c r="J440" s="2"/>
      <c r="K440" s="2"/>
      <c r="L440" s="2"/>
      <c r="M440" s="2"/>
      <c r="N440" s="2"/>
    </row>
    <row r="441" spans="1:14">
      <c r="A441" s="11"/>
      <c r="B441" s="11"/>
      <c r="C441" s="2"/>
      <c r="D441" s="2"/>
      <c r="E441" s="2"/>
      <c r="F441" s="2"/>
      <c r="G441" s="2"/>
      <c r="H441" s="2"/>
      <c r="I441" s="2"/>
      <c r="J441" s="2"/>
      <c r="K441" s="2"/>
      <c r="L441" s="2"/>
      <c r="M441" s="2"/>
      <c r="N441" s="2"/>
    </row>
    <row r="442" spans="1:14">
      <c r="A442" s="11"/>
      <c r="B442" s="11"/>
      <c r="C442" s="2"/>
      <c r="D442" s="2"/>
      <c r="E442" s="2"/>
      <c r="F442" s="2"/>
      <c r="G442" s="2"/>
      <c r="H442" s="2"/>
      <c r="I442" s="2"/>
      <c r="J442" s="2"/>
      <c r="K442" s="2"/>
      <c r="L442" s="2"/>
      <c r="M442" s="2"/>
      <c r="N442" s="2"/>
    </row>
    <row r="443" spans="1:14">
      <c r="A443" s="11"/>
      <c r="B443" s="11"/>
      <c r="C443" s="2"/>
      <c r="D443" s="2"/>
      <c r="E443" s="2"/>
      <c r="F443" s="2"/>
      <c r="G443" s="2"/>
      <c r="H443" s="2"/>
      <c r="I443" s="2"/>
      <c r="J443" s="2"/>
      <c r="K443" s="2"/>
      <c r="L443" s="2"/>
      <c r="M443" s="2"/>
      <c r="N443" s="2"/>
    </row>
    <row r="444" spans="1:14">
      <c r="A444" s="11"/>
      <c r="B444" s="11"/>
      <c r="C444" s="2"/>
      <c r="D444" s="2"/>
      <c r="E444" s="2"/>
      <c r="F444" s="2"/>
      <c r="G444" s="2"/>
      <c r="H444" s="2"/>
      <c r="I444" s="2"/>
      <c r="J444" s="2"/>
      <c r="K444" s="2"/>
      <c r="L444" s="2"/>
      <c r="M444" s="2"/>
      <c r="N444" s="2"/>
    </row>
    <row r="445" spans="1:14">
      <c r="A445" s="11"/>
      <c r="B445" s="11"/>
      <c r="C445" s="2"/>
      <c r="D445" s="2"/>
      <c r="E445" s="2"/>
      <c r="F445" s="2"/>
      <c r="G445" s="2"/>
      <c r="H445" s="2"/>
      <c r="I445" s="2"/>
      <c r="J445" s="2"/>
      <c r="K445" s="2"/>
      <c r="L445" s="2"/>
      <c r="M445" s="2"/>
      <c r="N445" s="2"/>
    </row>
    <row r="446" spans="1:14">
      <c r="A446" s="11"/>
      <c r="B446" s="11"/>
      <c r="C446" s="2"/>
      <c r="D446" s="2"/>
      <c r="E446" s="2"/>
      <c r="F446" s="2"/>
      <c r="G446" s="2"/>
      <c r="H446" s="2"/>
      <c r="I446" s="2"/>
      <c r="J446" s="2"/>
      <c r="K446" s="2"/>
      <c r="L446" s="2"/>
      <c r="M446" s="2"/>
      <c r="N446" s="2"/>
    </row>
    <row r="447" spans="1:14">
      <c r="A447" s="11"/>
      <c r="B447" s="11"/>
      <c r="C447" s="2"/>
      <c r="D447" s="2"/>
      <c r="E447" s="2"/>
      <c r="F447" s="2"/>
      <c r="G447" s="2"/>
      <c r="H447" s="2"/>
      <c r="I447" s="2"/>
      <c r="J447" s="2"/>
      <c r="K447" s="2"/>
      <c r="L447" s="2"/>
      <c r="M447" s="2"/>
      <c r="N447" s="2"/>
    </row>
    <row r="448" spans="1:14">
      <c r="A448" s="11"/>
      <c r="B448" s="11"/>
      <c r="C448" s="2"/>
      <c r="D448" s="2"/>
      <c r="E448" s="2"/>
      <c r="F448" s="2"/>
      <c r="G448" s="2"/>
      <c r="H448" s="2"/>
      <c r="I448" s="2"/>
      <c r="J448" s="2"/>
      <c r="K448" s="2"/>
      <c r="L448" s="2"/>
      <c r="M448" s="2"/>
      <c r="N448" s="2"/>
    </row>
    <row r="449" spans="1:14">
      <c r="A449" s="11"/>
      <c r="B449" s="11"/>
      <c r="C449" s="2"/>
      <c r="D449" s="2"/>
      <c r="E449" s="2"/>
      <c r="F449" s="2"/>
      <c r="G449" s="2"/>
      <c r="H449" s="2"/>
      <c r="I449" s="2"/>
      <c r="J449" s="2"/>
      <c r="K449" s="2"/>
      <c r="L449" s="2"/>
      <c r="M449" s="2"/>
      <c r="N449" s="2"/>
    </row>
    <row r="450" spans="1:14">
      <c r="A450" s="11"/>
      <c r="B450" s="11"/>
      <c r="C450" s="2"/>
      <c r="D450" s="2"/>
      <c r="E450" s="2"/>
      <c r="F450" s="2"/>
      <c r="G450" s="2"/>
      <c r="H450" s="2"/>
      <c r="I450" s="2"/>
      <c r="J450" s="2"/>
      <c r="K450" s="2"/>
      <c r="L450" s="2"/>
      <c r="M450" s="2"/>
      <c r="N450" s="2"/>
    </row>
    <row r="451" spans="1:14">
      <c r="A451" s="11"/>
      <c r="B451" s="11"/>
      <c r="C451" s="2"/>
      <c r="D451" s="2"/>
      <c r="E451" s="2"/>
      <c r="F451" s="2"/>
      <c r="G451" s="2"/>
      <c r="H451" s="2"/>
      <c r="I451" s="2"/>
      <c r="J451" s="2"/>
      <c r="K451" s="2"/>
      <c r="L451" s="2"/>
      <c r="M451" s="2"/>
      <c r="N451" s="2"/>
    </row>
    <row r="452" spans="1:14">
      <c r="A452" s="11"/>
      <c r="B452" s="11"/>
      <c r="C452" s="2"/>
      <c r="D452" s="2"/>
      <c r="E452" s="2"/>
      <c r="F452" s="2"/>
      <c r="G452" s="2"/>
      <c r="H452" s="2"/>
      <c r="I452" s="2"/>
      <c r="J452" s="2"/>
      <c r="K452" s="2"/>
      <c r="L452" s="2"/>
      <c r="M452" s="2"/>
      <c r="N452" s="2"/>
    </row>
    <row r="453" spans="1:14">
      <c r="A453" s="11"/>
      <c r="B453" s="11"/>
      <c r="C453" s="2"/>
      <c r="D453" s="2"/>
      <c r="E453" s="2"/>
      <c r="F453" s="2"/>
      <c r="G453" s="2"/>
      <c r="H453" s="2"/>
      <c r="I453" s="2"/>
      <c r="J453" s="2"/>
      <c r="K453" s="2"/>
      <c r="L453" s="2"/>
      <c r="M453" s="2"/>
      <c r="N453" s="2"/>
    </row>
    <row r="454" spans="1:14">
      <c r="A454" s="11"/>
      <c r="B454" s="11"/>
      <c r="C454" s="2"/>
      <c r="D454" s="2"/>
      <c r="E454" s="2"/>
      <c r="F454" s="2"/>
      <c r="G454" s="2"/>
      <c r="H454" s="2"/>
      <c r="I454" s="2"/>
      <c r="J454" s="2"/>
      <c r="K454" s="2"/>
      <c r="L454" s="2"/>
      <c r="M454" s="2"/>
      <c r="N454" s="2"/>
    </row>
    <row r="455" spans="1:14">
      <c r="A455" s="11"/>
      <c r="B455" s="11"/>
      <c r="C455" s="2"/>
      <c r="D455" s="2"/>
      <c r="E455" s="2"/>
      <c r="F455" s="2"/>
      <c r="G455" s="2"/>
      <c r="H455" s="2"/>
      <c r="I455" s="2"/>
      <c r="J455" s="2"/>
      <c r="K455" s="2"/>
      <c r="L455" s="2"/>
      <c r="M455" s="2"/>
      <c r="N455" s="2"/>
    </row>
    <row r="456" spans="1:14">
      <c r="A456" s="11"/>
      <c r="B456" s="11"/>
      <c r="C456" s="2"/>
      <c r="D456" s="2"/>
      <c r="E456" s="2"/>
      <c r="F456" s="2"/>
      <c r="G456" s="2"/>
      <c r="H456" s="2"/>
      <c r="I456" s="2"/>
      <c r="J456" s="2"/>
      <c r="K456" s="2"/>
      <c r="L456" s="2"/>
      <c r="M456" s="2"/>
      <c r="N456" s="2"/>
    </row>
    <row r="457" spans="1:14">
      <c r="A457" s="11"/>
      <c r="B457" s="11"/>
      <c r="C457" s="2"/>
      <c r="D457" s="2"/>
      <c r="E457" s="2"/>
      <c r="F457" s="2"/>
      <c r="G457" s="2"/>
      <c r="H457" s="2"/>
      <c r="I457" s="2"/>
      <c r="J457" s="2"/>
      <c r="K457" s="2"/>
      <c r="L457" s="2"/>
      <c r="M457" s="2"/>
      <c r="N457" s="2"/>
    </row>
    <row r="458" spans="1:14">
      <c r="A458" s="11"/>
      <c r="B458" s="11"/>
      <c r="C458" s="2"/>
      <c r="D458" s="2"/>
      <c r="E458" s="2"/>
      <c r="F458" s="2"/>
      <c r="G458" s="2"/>
      <c r="H458" s="2"/>
      <c r="I458" s="2"/>
      <c r="J458" s="2"/>
      <c r="K458" s="2"/>
      <c r="L458" s="2"/>
      <c r="M458" s="2"/>
      <c r="N458" s="2"/>
    </row>
    <row r="459" spans="1:14">
      <c r="A459" s="11"/>
      <c r="B459" s="11"/>
      <c r="C459" s="2"/>
      <c r="D459" s="2"/>
      <c r="E459" s="2"/>
      <c r="F459" s="2"/>
      <c r="G459" s="2"/>
      <c r="H459" s="2"/>
      <c r="I459" s="2"/>
      <c r="J459" s="2"/>
      <c r="K459" s="2"/>
      <c r="L459" s="2"/>
      <c r="M459" s="2"/>
      <c r="N459" s="2"/>
    </row>
    <row r="460" spans="1:14">
      <c r="A460" s="11"/>
      <c r="B460" s="11"/>
      <c r="C460" s="2"/>
      <c r="D460" s="2"/>
      <c r="E460" s="2"/>
      <c r="F460" s="2"/>
      <c r="G460" s="2"/>
      <c r="H460" s="2"/>
      <c r="I460" s="2"/>
      <c r="J460" s="2"/>
      <c r="K460" s="2"/>
      <c r="L460" s="2"/>
      <c r="M460" s="2"/>
      <c r="N460" s="2"/>
    </row>
    <row r="461" spans="1:14">
      <c r="A461" s="11"/>
      <c r="B461" s="11"/>
      <c r="C461" s="2"/>
      <c r="D461" s="2"/>
      <c r="E461" s="2"/>
      <c r="F461" s="2"/>
      <c r="G461" s="2"/>
      <c r="H461" s="2"/>
      <c r="I461" s="2"/>
      <c r="J461" s="2"/>
      <c r="K461" s="2"/>
      <c r="L461" s="2"/>
      <c r="M461" s="2"/>
      <c r="N461" s="2"/>
    </row>
    <row r="462" spans="1:14">
      <c r="A462" s="11"/>
      <c r="B462" s="11"/>
      <c r="C462" s="2"/>
      <c r="D462" s="2"/>
      <c r="E462" s="2"/>
      <c r="F462" s="2"/>
      <c r="G462" s="2"/>
      <c r="H462" s="2"/>
      <c r="I462" s="2"/>
      <c r="J462" s="2"/>
      <c r="K462" s="2"/>
      <c r="L462" s="2"/>
      <c r="M462" s="2"/>
      <c r="N462" s="2"/>
    </row>
    <row r="463" spans="1:14">
      <c r="A463" s="11"/>
      <c r="B463" s="11"/>
      <c r="C463" s="2"/>
      <c r="D463" s="2"/>
      <c r="E463" s="2"/>
      <c r="F463" s="2"/>
      <c r="G463" s="2"/>
      <c r="H463" s="2"/>
      <c r="I463" s="2"/>
      <c r="J463" s="2"/>
      <c r="K463" s="2"/>
      <c r="L463" s="2"/>
      <c r="M463" s="2"/>
      <c r="N463" s="2"/>
    </row>
    <row r="464" spans="1:14">
      <c r="A464" s="11"/>
      <c r="B464" s="11"/>
      <c r="C464" s="2"/>
      <c r="D464" s="2"/>
      <c r="E464" s="2"/>
      <c r="F464" s="2"/>
      <c r="G464" s="2"/>
      <c r="H464" s="2"/>
      <c r="I464" s="2"/>
      <c r="J464" s="2"/>
      <c r="K464" s="2"/>
      <c r="L464" s="2"/>
      <c r="M464" s="2"/>
      <c r="N464" s="2"/>
    </row>
    <row r="465" spans="1:14">
      <c r="A465" s="11"/>
      <c r="B465" s="11"/>
      <c r="C465" s="2"/>
      <c r="D465" s="2"/>
      <c r="E465" s="2"/>
      <c r="F465" s="2"/>
      <c r="G465" s="2"/>
      <c r="H465" s="2"/>
      <c r="I465" s="2"/>
      <c r="J465" s="2"/>
      <c r="K465" s="2"/>
      <c r="L465" s="2"/>
      <c r="M465" s="2"/>
      <c r="N465" s="2"/>
    </row>
    <row r="466" spans="1:14">
      <c r="A466" s="11"/>
      <c r="B466" s="11"/>
      <c r="C466" s="2"/>
      <c r="D466" s="2"/>
      <c r="E466" s="2"/>
      <c r="F466" s="2"/>
      <c r="G466" s="2"/>
      <c r="H466" s="2"/>
      <c r="I466" s="2"/>
      <c r="J466" s="2"/>
      <c r="K466" s="2"/>
      <c r="L466" s="2"/>
      <c r="M466" s="2"/>
      <c r="N466" s="2"/>
    </row>
    <row r="467" spans="1:14">
      <c r="A467" s="11"/>
      <c r="B467" s="11"/>
      <c r="C467" s="2"/>
      <c r="D467" s="2"/>
      <c r="E467" s="2"/>
      <c r="F467" s="2"/>
      <c r="G467" s="2"/>
      <c r="H467" s="2"/>
      <c r="I467" s="2"/>
      <c r="J467" s="2"/>
      <c r="K467" s="2"/>
      <c r="L467" s="2"/>
      <c r="M467" s="2"/>
      <c r="N467" s="2"/>
    </row>
    <row r="468" spans="1:14">
      <c r="A468" s="11"/>
      <c r="B468" s="11"/>
      <c r="C468" s="2"/>
      <c r="D468" s="2"/>
      <c r="E468" s="2"/>
      <c r="F468" s="2"/>
      <c r="G468" s="2"/>
      <c r="H468" s="2"/>
      <c r="I468" s="2"/>
      <c r="J468" s="2"/>
      <c r="K468" s="2"/>
      <c r="L468" s="2"/>
      <c r="M468" s="2"/>
      <c r="N468" s="2"/>
    </row>
    <row r="469" spans="1:14">
      <c r="A469" s="11"/>
      <c r="B469" s="11"/>
      <c r="C469" s="2"/>
      <c r="D469" s="2"/>
      <c r="E469" s="2"/>
      <c r="F469" s="2"/>
      <c r="G469" s="2"/>
      <c r="H469" s="2"/>
      <c r="I469" s="2"/>
      <c r="J469" s="2"/>
      <c r="K469" s="2"/>
      <c r="L469" s="2"/>
      <c r="M469" s="2"/>
      <c r="N469" s="2"/>
    </row>
    <row r="470" spans="1:14">
      <c r="A470" s="11"/>
      <c r="B470" s="11"/>
      <c r="C470" s="2"/>
      <c r="D470" s="2"/>
      <c r="E470" s="2"/>
      <c r="F470" s="2"/>
      <c r="G470" s="2"/>
      <c r="H470" s="2"/>
      <c r="I470" s="2"/>
      <c r="J470" s="2"/>
      <c r="K470" s="2"/>
      <c r="L470" s="2"/>
      <c r="M470" s="2"/>
      <c r="N470" s="2"/>
    </row>
    <row r="471" spans="1:14">
      <c r="A471" s="11"/>
      <c r="B471" s="11"/>
      <c r="C471" s="2"/>
      <c r="D471" s="2"/>
      <c r="E471" s="2"/>
      <c r="F471" s="2"/>
      <c r="G471" s="2"/>
      <c r="H471" s="2"/>
      <c r="I471" s="2"/>
      <c r="J471" s="2"/>
      <c r="K471" s="2"/>
      <c r="L471" s="2"/>
      <c r="M471" s="2"/>
      <c r="N471" s="2"/>
    </row>
    <row r="472" spans="1:14">
      <c r="A472" s="11"/>
      <c r="B472" s="11"/>
      <c r="C472" s="2"/>
      <c r="D472" s="2"/>
      <c r="E472" s="2"/>
      <c r="F472" s="2"/>
      <c r="G472" s="2"/>
      <c r="H472" s="2"/>
      <c r="I472" s="2"/>
      <c r="J472" s="2"/>
      <c r="K472" s="2"/>
      <c r="L472" s="2"/>
      <c r="M472" s="2"/>
      <c r="N472" s="2"/>
    </row>
    <row r="473" spans="1:14">
      <c r="A473" s="11"/>
      <c r="B473" s="11"/>
      <c r="C473" s="2"/>
      <c r="D473" s="2"/>
      <c r="E473" s="2"/>
      <c r="F473" s="2"/>
      <c r="G473" s="2"/>
      <c r="H473" s="2"/>
      <c r="I473" s="2"/>
      <c r="J473" s="2"/>
      <c r="K473" s="2"/>
      <c r="L473" s="2"/>
      <c r="M473" s="2"/>
      <c r="N473" s="2"/>
    </row>
    <row r="474" spans="1:14">
      <c r="A474" s="11"/>
      <c r="B474" s="11"/>
      <c r="C474" s="2"/>
      <c r="D474" s="2"/>
      <c r="E474" s="2"/>
      <c r="F474" s="2"/>
      <c r="G474" s="2"/>
      <c r="H474" s="2"/>
      <c r="I474" s="2"/>
      <c r="J474" s="2"/>
      <c r="K474" s="2"/>
      <c r="L474" s="2"/>
      <c r="M474" s="2"/>
      <c r="N474" s="2"/>
    </row>
    <row r="475" spans="1:14">
      <c r="A475" s="11"/>
      <c r="B475" s="11"/>
      <c r="C475" s="2"/>
      <c r="D475" s="2"/>
      <c r="E475" s="2"/>
      <c r="F475" s="2"/>
      <c r="G475" s="2"/>
      <c r="H475" s="2"/>
      <c r="I475" s="2"/>
      <c r="J475" s="2"/>
      <c r="K475" s="2"/>
      <c r="L475" s="2"/>
      <c r="M475" s="2"/>
      <c r="N475" s="2"/>
    </row>
    <row r="476" spans="1:14">
      <c r="A476" s="11"/>
      <c r="B476" s="11"/>
      <c r="C476" s="2"/>
      <c r="D476" s="2"/>
      <c r="E476" s="2"/>
      <c r="F476" s="2"/>
      <c r="G476" s="2"/>
      <c r="H476" s="2"/>
      <c r="I476" s="2"/>
      <c r="J476" s="2"/>
      <c r="K476" s="2"/>
      <c r="L476" s="2"/>
      <c r="M476" s="2"/>
      <c r="N476" s="2"/>
    </row>
    <row r="477" spans="1:14">
      <c r="A477" s="11"/>
      <c r="B477" s="11"/>
      <c r="C477" s="2"/>
      <c r="D477" s="2"/>
      <c r="E477" s="2"/>
      <c r="F477" s="2"/>
      <c r="G477" s="2"/>
      <c r="H477" s="2"/>
      <c r="I477" s="2"/>
      <c r="J477" s="2"/>
      <c r="K477" s="2"/>
      <c r="L477" s="2"/>
      <c r="M477" s="2"/>
      <c r="N477" s="2"/>
    </row>
    <row r="478" spans="1:14">
      <c r="A478" s="11"/>
      <c r="B478" s="11"/>
      <c r="C478" s="2"/>
      <c r="D478" s="2"/>
      <c r="E478" s="2"/>
      <c r="F478" s="2"/>
      <c r="G478" s="2"/>
      <c r="H478" s="2"/>
      <c r="I478" s="2"/>
      <c r="J478" s="2"/>
      <c r="K478" s="2"/>
      <c r="L478" s="2"/>
      <c r="M478" s="2"/>
      <c r="N478" s="2"/>
    </row>
    <row r="479" spans="1:14">
      <c r="A479" s="11"/>
      <c r="B479" s="11"/>
      <c r="C479" s="2"/>
      <c r="D479" s="2"/>
      <c r="E479" s="2"/>
      <c r="F479" s="2"/>
      <c r="G479" s="2"/>
      <c r="H479" s="2"/>
      <c r="I479" s="2"/>
      <c r="J479" s="2"/>
      <c r="K479" s="2"/>
      <c r="L479" s="2"/>
      <c r="M479" s="2"/>
      <c r="N479" s="2"/>
    </row>
    <row r="480" spans="1:14">
      <c r="A480" s="11"/>
      <c r="B480" s="11"/>
      <c r="C480" s="2"/>
      <c r="D480" s="2"/>
      <c r="E480" s="2"/>
      <c r="F480" s="2"/>
      <c r="G480" s="2"/>
      <c r="H480" s="2"/>
      <c r="I480" s="2"/>
      <c r="J480" s="2"/>
      <c r="K480" s="2"/>
      <c r="L480" s="2"/>
      <c r="M480" s="2"/>
      <c r="N480" s="2"/>
    </row>
    <row r="481" spans="1:14">
      <c r="A481" s="11"/>
      <c r="B481" s="11"/>
      <c r="C481" s="2"/>
      <c r="D481" s="2"/>
      <c r="E481" s="2"/>
      <c r="F481" s="2"/>
      <c r="G481" s="2"/>
      <c r="H481" s="2"/>
      <c r="I481" s="2"/>
      <c r="J481" s="2"/>
      <c r="K481" s="2"/>
      <c r="L481" s="2"/>
      <c r="M481" s="2"/>
      <c r="N481" s="2"/>
    </row>
    <row r="482" spans="1:14">
      <c r="A482" s="11"/>
      <c r="B482" s="11"/>
      <c r="C482" s="2"/>
      <c r="D482" s="2"/>
      <c r="E482" s="2"/>
      <c r="F482" s="2"/>
      <c r="G482" s="2"/>
      <c r="H482" s="2"/>
      <c r="I482" s="2"/>
      <c r="J482" s="2"/>
      <c r="K482" s="2"/>
      <c r="L482" s="2"/>
      <c r="M482" s="2"/>
      <c r="N482" s="2"/>
    </row>
    <row r="483" spans="1:14">
      <c r="A483" s="11"/>
      <c r="B483" s="11"/>
      <c r="C483" s="2"/>
      <c r="D483" s="2"/>
      <c r="E483" s="2"/>
      <c r="F483" s="2"/>
      <c r="G483" s="2"/>
      <c r="H483" s="2"/>
      <c r="I483" s="2"/>
      <c r="J483" s="2"/>
      <c r="K483" s="2"/>
      <c r="L483" s="2"/>
      <c r="M483" s="2"/>
      <c r="N483" s="2"/>
    </row>
    <row r="484" spans="1:14">
      <c r="A484" s="11"/>
      <c r="B484" s="11"/>
      <c r="C484" s="2"/>
      <c r="D484" s="2"/>
      <c r="E484" s="2"/>
      <c r="F484" s="2"/>
      <c r="G484" s="2"/>
      <c r="H484" s="2"/>
      <c r="I484" s="2"/>
      <c r="J484" s="2"/>
      <c r="K484" s="2"/>
      <c r="L484" s="2"/>
      <c r="M484" s="2"/>
      <c r="N484" s="2"/>
    </row>
    <row r="485" spans="1:14">
      <c r="A485" s="11"/>
      <c r="B485" s="11"/>
      <c r="C485" s="2"/>
      <c r="D485" s="2"/>
      <c r="E485" s="2"/>
      <c r="F485" s="2"/>
      <c r="G485" s="2"/>
      <c r="H485" s="2"/>
      <c r="I485" s="2"/>
      <c r="J485" s="2"/>
      <c r="K485" s="2"/>
      <c r="L485" s="2"/>
      <c r="M485" s="2"/>
      <c r="N485" s="2"/>
    </row>
    <row r="486" spans="1:14">
      <c r="A486" s="11"/>
      <c r="B486" s="11"/>
      <c r="C486" s="2"/>
      <c r="D486" s="2"/>
      <c r="E486" s="2"/>
      <c r="F486" s="2"/>
      <c r="G486" s="2"/>
      <c r="H486" s="2"/>
      <c r="I486" s="2"/>
      <c r="J486" s="2"/>
      <c r="K486" s="2"/>
      <c r="L486" s="2"/>
      <c r="M486" s="2"/>
      <c r="N486" s="2"/>
    </row>
    <row r="487" spans="1:14">
      <c r="A487" s="11"/>
      <c r="B487" s="11"/>
      <c r="C487" s="2"/>
      <c r="D487" s="2"/>
      <c r="E487" s="2"/>
      <c r="F487" s="2"/>
      <c r="G487" s="2"/>
      <c r="H487" s="2"/>
      <c r="I487" s="2"/>
      <c r="J487" s="2"/>
      <c r="K487" s="2"/>
      <c r="L487" s="2"/>
      <c r="M487" s="2"/>
      <c r="N487" s="2"/>
    </row>
    <row r="488" spans="1:14">
      <c r="A488" s="11"/>
      <c r="B488" s="11"/>
      <c r="C488" s="2"/>
      <c r="D488" s="2"/>
      <c r="E488" s="2"/>
      <c r="F488" s="2"/>
      <c r="G488" s="2"/>
      <c r="H488" s="2"/>
      <c r="I488" s="2"/>
      <c r="J488" s="2"/>
      <c r="K488" s="2"/>
      <c r="L488" s="2"/>
      <c r="M488" s="2"/>
      <c r="N488" s="2"/>
    </row>
    <row r="489" spans="1:14">
      <c r="A489" s="11"/>
      <c r="B489" s="11"/>
      <c r="C489" s="2"/>
      <c r="D489" s="2"/>
      <c r="E489" s="2"/>
      <c r="F489" s="2"/>
      <c r="G489" s="2"/>
      <c r="H489" s="2"/>
      <c r="I489" s="2"/>
      <c r="J489" s="2"/>
      <c r="K489" s="2"/>
      <c r="L489" s="2"/>
      <c r="M489" s="2"/>
      <c r="N489" s="2"/>
    </row>
    <row r="490" spans="1:14">
      <c r="A490" s="11"/>
      <c r="B490" s="11"/>
      <c r="C490" s="2"/>
      <c r="D490" s="2"/>
      <c r="E490" s="2"/>
      <c r="F490" s="2"/>
      <c r="G490" s="2"/>
      <c r="H490" s="2"/>
      <c r="I490" s="2"/>
      <c r="J490" s="2"/>
      <c r="K490" s="2"/>
      <c r="L490" s="2"/>
      <c r="M490" s="2"/>
      <c r="N490" s="2"/>
    </row>
    <row r="491" spans="1:14">
      <c r="A491" s="11"/>
      <c r="B491" s="11"/>
      <c r="C491" s="2"/>
      <c r="D491" s="2"/>
      <c r="E491" s="2"/>
      <c r="F491" s="2"/>
      <c r="G491" s="2"/>
      <c r="H491" s="2"/>
      <c r="I491" s="2"/>
      <c r="J491" s="2"/>
      <c r="K491" s="2"/>
      <c r="L491" s="2"/>
      <c r="M491" s="2"/>
      <c r="N491" s="2"/>
    </row>
    <row r="492" spans="1:14">
      <c r="A492" s="11"/>
      <c r="B492" s="11"/>
      <c r="C492" s="2"/>
      <c r="D492" s="2"/>
      <c r="E492" s="2"/>
      <c r="F492" s="2"/>
      <c r="G492" s="2"/>
      <c r="H492" s="2"/>
      <c r="I492" s="2"/>
      <c r="J492" s="2"/>
      <c r="K492" s="2"/>
      <c r="L492" s="2"/>
      <c r="M492" s="2"/>
      <c r="N492" s="2"/>
    </row>
    <row r="493" spans="1:14">
      <c r="A493" s="11"/>
      <c r="B493" s="11"/>
      <c r="C493" s="2"/>
      <c r="D493" s="2"/>
      <c r="E493" s="2"/>
      <c r="F493" s="2"/>
      <c r="G493" s="2"/>
      <c r="H493" s="2"/>
      <c r="I493" s="2"/>
      <c r="J493" s="2"/>
      <c r="K493" s="2"/>
      <c r="L493" s="2"/>
      <c r="M493" s="2"/>
      <c r="N493" s="2"/>
    </row>
    <row r="494" spans="1:14">
      <c r="A494" s="11"/>
      <c r="B494" s="11"/>
      <c r="C494" s="2"/>
      <c r="D494" s="2"/>
      <c r="E494" s="2"/>
      <c r="F494" s="2"/>
      <c r="G494" s="2"/>
      <c r="H494" s="2"/>
      <c r="I494" s="2"/>
      <c r="J494" s="2"/>
      <c r="K494" s="2"/>
      <c r="L494" s="2"/>
      <c r="M494" s="2"/>
      <c r="N494" s="2"/>
    </row>
    <row r="495" spans="1:14">
      <c r="A495" s="11"/>
      <c r="B495" s="11"/>
      <c r="C495" s="2"/>
      <c r="D495" s="2"/>
      <c r="E495" s="2"/>
      <c r="F495" s="2"/>
      <c r="G495" s="2"/>
      <c r="H495" s="2"/>
      <c r="I495" s="2"/>
      <c r="J495" s="2"/>
      <c r="K495" s="2"/>
      <c r="L495" s="2"/>
      <c r="M495" s="2"/>
      <c r="N495" s="2"/>
    </row>
    <row r="496" spans="1:14">
      <c r="A496" s="11"/>
      <c r="B496" s="11"/>
      <c r="C496" s="2"/>
      <c r="D496" s="2"/>
      <c r="E496" s="2"/>
      <c r="F496" s="2"/>
      <c r="G496" s="2"/>
      <c r="H496" s="2"/>
      <c r="I496" s="2"/>
      <c r="J496" s="2"/>
      <c r="K496" s="2"/>
      <c r="L496" s="2"/>
      <c r="M496" s="2"/>
      <c r="N496" s="2"/>
    </row>
    <row r="497" spans="1:14">
      <c r="A497" s="11"/>
      <c r="B497" s="11"/>
      <c r="C497" s="2"/>
      <c r="D497" s="2"/>
      <c r="E497" s="2"/>
      <c r="F497" s="2"/>
      <c r="G497" s="2"/>
      <c r="H497" s="2"/>
      <c r="I497" s="2"/>
      <c r="J497" s="2"/>
      <c r="K497" s="2"/>
      <c r="L497" s="2"/>
      <c r="M497" s="2"/>
      <c r="N497" s="2"/>
    </row>
    <row r="498" spans="1:14">
      <c r="A498" s="11"/>
      <c r="B498" s="11"/>
      <c r="C498" s="2"/>
      <c r="D498" s="2"/>
      <c r="E498" s="2"/>
      <c r="F498" s="2"/>
      <c r="G498" s="2"/>
      <c r="H498" s="2"/>
      <c r="I498" s="2"/>
      <c r="J498" s="2"/>
      <c r="K498" s="2"/>
      <c r="L498" s="2"/>
      <c r="M498" s="2"/>
      <c r="N498" s="2"/>
    </row>
    <row r="499" spans="1:14">
      <c r="A499" s="11"/>
      <c r="B499" s="11"/>
      <c r="C499" s="2"/>
      <c r="D499" s="2"/>
      <c r="E499" s="2"/>
      <c r="F499" s="2"/>
      <c r="G499" s="2"/>
      <c r="H499" s="2"/>
      <c r="I499" s="2"/>
      <c r="J499" s="2"/>
      <c r="K499" s="2"/>
      <c r="L499" s="2"/>
      <c r="M499" s="2"/>
      <c r="N499" s="2"/>
    </row>
    <row r="500" spans="1:14">
      <c r="A500" s="11"/>
      <c r="B500" s="11"/>
      <c r="C500" s="2"/>
      <c r="D500" s="2"/>
      <c r="E500" s="2"/>
      <c r="F500" s="2"/>
      <c r="G500" s="2"/>
      <c r="H500" s="2"/>
      <c r="I500" s="2"/>
      <c r="J500" s="2"/>
      <c r="K500" s="2"/>
      <c r="L500" s="2"/>
      <c r="M500" s="2"/>
      <c r="N500" s="2"/>
    </row>
    <row r="501" spans="1:14">
      <c r="A501" s="11"/>
      <c r="B501" s="11"/>
      <c r="C501" s="2"/>
      <c r="D501" s="2"/>
      <c r="E501" s="2"/>
      <c r="F501" s="2"/>
      <c r="G501" s="2"/>
      <c r="H501" s="2"/>
      <c r="I501" s="2"/>
      <c r="J501" s="2"/>
      <c r="K501" s="2"/>
      <c r="L501" s="2"/>
      <c r="M501" s="2"/>
      <c r="N501" s="2"/>
    </row>
    <row r="502" spans="1:14">
      <c r="A502" s="11"/>
      <c r="B502" s="11"/>
      <c r="C502" s="2"/>
      <c r="D502" s="2"/>
      <c r="E502" s="2"/>
      <c r="F502" s="2"/>
      <c r="G502" s="2"/>
      <c r="H502" s="2"/>
      <c r="I502" s="2"/>
      <c r="J502" s="2"/>
      <c r="K502" s="2"/>
      <c r="L502" s="2"/>
      <c r="M502" s="2"/>
      <c r="N502" s="2"/>
    </row>
    <row r="503" spans="1:14">
      <c r="A503" s="11"/>
      <c r="B503" s="11"/>
      <c r="C503" s="2"/>
      <c r="D503" s="2"/>
      <c r="E503" s="2"/>
      <c r="F503" s="2"/>
      <c r="G503" s="2"/>
      <c r="H503" s="2"/>
      <c r="I503" s="2"/>
      <c r="J503" s="2"/>
      <c r="K503" s="2"/>
      <c r="L503" s="2"/>
      <c r="M503" s="2"/>
      <c r="N503" s="2"/>
    </row>
    <row r="504" spans="1:14">
      <c r="A504" s="11"/>
      <c r="B504" s="11"/>
      <c r="C504" s="2"/>
      <c r="D504" s="2"/>
      <c r="E504" s="2"/>
      <c r="F504" s="2"/>
      <c r="G504" s="2"/>
      <c r="H504" s="2"/>
      <c r="I504" s="2"/>
      <c r="J504" s="2"/>
      <c r="K504" s="2"/>
      <c r="L504" s="2"/>
      <c r="M504" s="2"/>
      <c r="N504" s="2"/>
    </row>
    <row r="505" spans="1:14">
      <c r="A505" s="11"/>
      <c r="B505" s="11"/>
      <c r="C505" s="2"/>
      <c r="D505" s="2"/>
      <c r="E505" s="2"/>
      <c r="F505" s="2"/>
      <c r="G505" s="2"/>
      <c r="H505" s="2"/>
      <c r="I505" s="2"/>
      <c r="J505" s="2"/>
      <c r="K505" s="2"/>
      <c r="L505" s="2"/>
      <c r="M505" s="2"/>
      <c r="N50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V500"/>
  <sheetViews>
    <sheetView zoomScale="60" zoomScaleNormal="60" workbookViewId="0">
      <pane xSplit="9" topLeftCell="J1" activePane="topRight" state="frozen"/>
      <selection activeCell="I8" sqref="I8"/>
      <selection pane="topRight" activeCell="A8" sqref="A8:G18"/>
    </sheetView>
  </sheetViews>
  <sheetFormatPr defaultRowHeight="15"/>
  <cols>
    <col min="1" max="2" width="15.85546875" style="129" customWidth="1"/>
    <col min="3" max="3" width="10.7109375" style="130" customWidth="1"/>
    <col min="4" max="4" width="6.85546875" style="130" customWidth="1"/>
    <col min="5" max="6" width="13.85546875" style="131" customWidth="1"/>
    <col min="7" max="7" width="13.28515625" style="132" customWidth="1"/>
    <col min="8" max="8" width="9.85546875" style="133" customWidth="1"/>
    <col min="9" max="9" width="13.7109375" style="133" customWidth="1"/>
    <col min="10" max="33" width="4.5703125" style="130" customWidth="1"/>
    <col min="34" max="63" width="4.5703125" style="135" customWidth="1"/>
    <col min="64" max="64" width="7.5703125" style="135" customWidth="1"/>
    <col min="65" max="65" width="11.42578125" style="135" customWidth="1"/>
    <col min="66" max="72" width="9.140625" style="135"/>
    <col min="73" max="73" width="8.42578125" style="135" customWidth="1"/>
    <col min="74" max="74" width="12.28515625" style="136" hidden="1" customWidth="1"/>
    <col min="75" max="16384" width="9.140625" style="135"/>
  </cols>
  <sheetData>
    <row r="1" spans="1:74" s="45" customFormat="1" ht="27.6" customHeight="1" thickBot="1">
      <c r="A1" s="42"/>
      <c r="B1" s="42"/>
      <c r="C1" s="42"/>
      <c r="D1" s="42"/>
      <c r="E1" s="42"/>
      <c r="F1" s="347" t="s">
        <v>103</v>
      </c>
      <c r="G1" s="348"/>
      <c r="H1" s="348"/>
      <c r="I1" s="43"/>
      <c r="J1" s="349"/>
      <c r="K1" s="349"/>
      <c r="L1" s="349"/>
      <c r="M1" s="349"/>
      <c r="N1" s="349"/>
      <c r="O1" s="349"/>
      <c r="P1" s="349"/>
      <c r="Q1" s="349"/>
      <c r="R1" s="349"/>
      <c r="S1" s="349"/>
      <c r="T1" s="349"/>
      <c r="U1" s="349"/>
      <c r="V1" s="349"/>
      <c r="W1" s="349"/>
      <c r="X1" s="349"/>
      <c r="Y1" s="349"/>
      <c r="Z1" s="349"/>
      <c r="AA1" s="349"/>
      <c r="AB1" s="349"/>
      <c r="AC1" s="349"/>
      <c r="AD1" s="349"/>
      <c r="AE1" s="349"/>
      <c r="AF1" s="349"/>
      <c r="AG1" s="349"/>
      <c r="AH1" s="146"/>
      <c r="AI1" s="146"/>
      <c r="AJ1" s="146"/>
      <c r="AK1" s="146"/>
      <c r="AL1" s="146"/>
      <c r="AM1" s="146"/>
      <c r="AN1" s="146"/>
      <c r="AO1" s="146"/>
      <c r="AP1" s="146"/>
      <c r="AQ1" s="146"/>
      <c r="AR1" s="146"/>
      <c r="AS1" s="146"/>
      <c r="AT1" s="146"/>
      <c r="AU1" s="146"/>
      <c r="AV1" s="146"/>
      <c r="AW1" s="146"/>
      <c r="AX1" s="146"/>
      <c r="AY1" s="146"/>
      <c r="AZ1" s="146"/>
      <c r="BA1" s="146"/>
      <c r="BB1" s="146"/>
      <c r="BC1" s="146"/>
      <c r="BD1" s="146"/>
      <c r="BE1" s="146"/>
      <c r="BF1" s="146"/>
      <c r="BG1" s="146"/>
      <c r="BH1" s="146"/>
      <c r="BI1" s="146"/>
      <c r="BJ1" s="146"/>
      <c r="BK1" s="147"/>
      <c r="BL1" s="44"/>
      <c r="BV1" s="46"/>
    </row>
    <row r="2" spans="1:74" s="53" customFormat="1" ht="7.9" customHeight="1" thickBot="1">
      <c r="A2" s="47"/>
      <c r="B2" s="47"/>
      <c r="C2" s="48"/>
      <c r="D2" s="48"/>
      <c r="E2" s="49"/>
      <c r="F2" s="50"/>
      <c r="G2" s="50"/>
      <c r="H2" s="51"/>
      <c r="I2" s="51"/>
      <c r="J2" s="52"/>
      <c r="K2" s="52"/>
      <c r="L2" s="52"/>
      <c r="M2" s="52"/>
      <c r="N2" s="52"/>
      <c r="O2" s="52"/>
      <c r="P2" s="52"/>
      <c r="Q2" s="52"/>
      <c r="R2" s="52"/>
      <c r="S2" s="52"/>
      <c r="T2" s="52"/>
      <c r="U2" s="52"/>
      <c r="V2" s="52"/>
      <c r="W2" s="52"/>
      <c r="X2" s="52"/>
      <c r="Y2" s="52"/>
      <c r="Z2" s="52"/>
      <c r="AA2" s="52"/>
      <c r="AB2" s="52"/>
      <c r="AC2" s="52"/>
      <c r="AD2" s="52"/>
      <c r="AE2" s="52"/>
      <c r="AF2" s="52"/>
      <c r="AG2" s="52"/>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V2" s="54"/>
    </row>
    <row r="3" spans="1:74" s="58" customFormat="1" ht="111" customHeight="1" thickBot="1">
      <c r="A3" s="55"/>
      <c r="B3" s="55"/>
      <c r="C3" s="55"/>
      <c r="D3" s="56"/>
      <c r="E3" s="57"/>
      <c r="G3" s="59"/>
      <c r="H3" s="60"/>
      <c r="I3" s="61"/>
      <c r="J3" s="375" t="s">
        <v>188</v>
      </c>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1"/>
      <c r="BV3" s="62"/>
    </row>
    <row r="4" spans="1:74" s="67" customFormat="1" ht="23.25" customHeight="1" thickBot="1">
      <c r="A4" s="63"/>
      <c r="B4" s="63"/>
      <c r="C4" s="64"/>
      <c r="D4" s="64"/>
      <c r="E4" s="65"/>
      <c r="F4" s="149"/>
      <c r="G4" s="150"/>
      <c r="H4" s="369" t="s">
        <v>102</v>
      </c>
      <c r="I4" s="370"/>
      <c r="J4" s="151" t="s">
        <v>101</v>
      </c>
      <c r="K4" s="152">
        <v>2</v>
      </c>
      <c r="L4" s="152">
        <v>3</v>
      </c>
      <c r="M4" s="152">
        <v>4</v>
      </c>
      <c r="N4" s="153">
        <v>5</v>
      </c>
      <c r="O4" s="153">
        <v>6</v>
      </c>
      <c r="P4" s="153">
        <v>7</v>
      </c>
      <c r="Q4" s="153">
        <v>8</v>
      </c>
      <c r="R4" s="153">
        <v>9</v>
      </c>
      <c r="S4" s="153">
        <v>10</v>
      </c>
      <c r="T4" s="153">
        <v>11</v>
      </c>
      <c r="U4" s="153">
        <v>12</v>
      </c>
      <c r="V4" s="153">
        <v>13</v>
      </c>
      <c r="W4" s="153">
        <v>14</v>
      </c>
      <c r="X4" s="153">
        <v>15</v>
      </c>
      <c r="Y4" s="153">
        <v>16</v>
      </c>
      <c r="Z4" s="153">
        <v>17</v>
      </c>
      <c r="AA4" s="153">
        <v>18</v>
      </c>
      <c r="AB4" s="153">
        <v>19</v>
      </c>
      <c r="AC4" s="153">
        <v>20</v>
      </c>
      <c r="AD4" s="153">
        <v>21</v>
      </c>
      <c r="AE4" s="153">
        <v>22</v>
      </c>
      <c r="AF4" s="153">
        <v>23</v>
      </c>
      <c r="AG4" s="154">
        <v>24</v>
      </c>
      <c r="AH4" s="155">
        <v>25</v>
      </c>
      <c r="AI4" s="156">
        <v>26</v>
      </c>
      <c r="AJ4" s="157">
        <v>27</v>
      </c>
      <c r="AK4" s="155">
        <v>28</v>
      </c>
      <c r="AL4" s="155">
        <v>29</v>
      </c>
      <c r="AM4" s="155">
        <v>30</v>
      </c>
      <c r="AN4" s="155">
        <v>31</v>
      </c>
      <c r="AO4" s="155">
        <v>32</v>
      </c>
      <c r="AP4" s="155">
        <v>33</v>
      </c>
      <c r="AQ4" s="155">
        <v>34</v>
      </c>
      <c r="AR4" s="155">
        <v>35</v>
      </c>
      <c r="AS4" s="155">
        <v>36</v>
      </c>
      <c r="AT4" s="155">
        <v>37</v>
      </c>
      <c r="AU4" s="155">
        <v>38</v>
      </c>
      <c r="AV4" s="155">
        <v>39</v>
      </c>
      <c r="AW4" s="155">
        <v>40</v>
      </c>
      <c r="AX4" s="155">
        <v>41</v>
      </c>
      <c r="AY4" s="155">
        <v>42</v>
      </c>
      <c r="AZ4" s="155">
        <v>43</v>
      </c>
      <c r="BA4" s="155">
        <v>44</v>
      </c>
      <c r="BB4" s="155">
        <v>45</v>
      </c>
      <c r="BC4" s="155">
        <v>46</v>
      </c>
      <c r="BD4" s="155">
        <v>47</v>
      </c>
      <c r="BE4" s="155">
        <v>48</v>
      </c>
      <c r="BF4" s="155">
        <v>49</v>
      </c>
      <c r="BG4" s="155">
        <v>50</v>
      </c>
      <c r="BH4" s="155">
        <v>51</v>
      </c>
      <c r="BI4" s="155">
        <v>52</v>
      </c>
      <c r="BJ4" s="155">
        <v>53</v>
      </c>
      <c r="BK4" s="156">
        <v>54</v>
      </c>
      <c r="BV4" s="68"/>
    </row>
    <row r="5" spans="1:74" s="53" customFormat="1" ht="32.25" customHeight="1">
      <c r="A5" s="47"/>
      <c r="B5" s="47"/>
      <c r="C5" s="48"/>
      <c r="D5" s="48"/>
      <c r="E5" s="49"/>
      <c r="F5" s="158"/>
      <c r="G5" s="159"/>
      <c r="H5" s="371" t="s">
        <v>100</v>
      </c>
      <c r="I5" s="372"/>
      <c r="J5" s="373" t="s">
        <v>99</v>
      </c>
      <c r="K5" s="376" t="s">
        <v>98</v>
      </c>
      <c r="L5" s="376" t="s">
        <v>97</v>
      </c>
      <c r="M5" s="376" t="s">
        <v>96</v>
      </c>
      <c r="N5" s="368" t="s">
        <v>95</v>
      </c>
      <c r="O5" s="376" t="s">
        <v>94</v>
      </c>
      <c r="P5" s="368" t="s">
        <v>93</v>
      </c>
      <c r="Q5" s="368" t="s">
        <v>92</v>
      </c>
      <c r="R5" s="368" t="s">
        <v>91</v>
      </c>
      <c r="S5" s="368" t="s">
        <v>90</v>
      </c>
      <c r="T5" s="368" t="s">
        <v>89</v>
      </c>
      <c r="U5" s="368" t="s">
        <v>88</v>
      </c>
      <c r="V5" s="368" t="s">
        <v>4</v>
      </c>
      <c r="W5" s="368" t="s">
        <v>87</v>
      </c>
      <c r="X5" s="368" t="s">
        <v>86</v>
      </c>
      <c r="Y5" s="368" t="s">
        <v>85</v>
      </c>
      <c r="Z5" s="368" t="s">
        <v>84</v>
      </c>
      <c r="AA5" s="368" t="s">
        <v>83</v>
      </c>
      <c r="AB5" s="368" t="s">
        <v>82</v>
      </c>
      <c r="AC5" s="368" t="s">
        <v>81</v>
      </c>
      <c r="AD5" s="368" t="s">
        <v>80</v>
      </c>
      <c r="AE5" s="368" t="s">
        <v>79</v>
      </c>
      <c r="AF5" s="368" t="s">
        <v>78</v>
      </c>
      <c r="AG5" s="368" t="s">
        <v>77</v>
      </c>
      <c r="AH5" s="364" t="s">
        <v>76</v>
      </c>
      <c r="AI5" s="366" t="s">
        <v>75</v>
      </c>
      <c r="AJ5" s="362" t="s">
        <v>64</v>
      </c>
      <c r="AK5" s="356" t="s">
        <v>74</v>
      </c>
      <c r="AL5" s="356" t="s">
        <v>73</v>
      </c>
      <c r="AM5" s="356" t="s">
        <v>72</v>
      </c>
      <c r="AN5" s="356" t="s">
        <v>71</v>
      </c>
      <c r="AO5" s="356" t="s">
        <v>70</v>
      </c>
      <c r="AP5" s="356" t="s">
        <v>69</v>
      </c>
      <c r="AQ5" s="356" t="s">
        <v>68</v>
      </c>
      <c r="AR5" s="356" t="s">
        <v>67</v>
      </c>
      <c r="AS5" s="356" t="s">
        <v>66</v>
      </c>
      <c r="AT5" s="356" t="s">
        <v>65</v>
      </c>
      <c r="AU5" s="356" t="s">
        <v>64</v>
      </c>
      <c r="AV5" s="356" t="s">
        <v>63</v>
      </c>
      <c r="AW5" s="356" t="s">
        <v>62</v>
      </c>
      <c r="AX5" s="356" t="s">
        <v>61</v>
      </c>
      <c r="AY5" s="356" t="s">
        <v>60</v>
      </c>
      <c r="AZ5" s="356" t="s">
        <v>59</v>
      </c>
      <c r="BA5" s="356" t="s">
        <v>58</v>
      </c>
      <c r="BB5" s="356" t="s">
        <v>57</v>
      </c>
      <c r="BC5" s="356" t="s">
        <v>56</v>
      </c>
      <c r="BD5" s="356" t="s">
        <v>55</v>
      </c>
      <c r="BE5" s="356" t="s">
        <v>54</v>
      </c>
      <c r="BF5" s="356" t="s">
        <v>53</v>
      </c>
      <c r="BG5" s="360" t="s">
        <v>49</v>
      </c>
      <c r="BH5" s="356" t="s">
        <v>52</v>
      </c>
      <c r="BI5" s="356" t="s">
        <v>51</v>
      </c>
      <c r="BJ5" s="356" t="s">
        <v>50</v>
      </c>
      <c r="BK5" s="358" t="s">
        <v>49</v>
      </c>
    </row>
    <row r="6" spans="1:74" s="53" customFormat="1" ht="21.75" customHeight="1" thickBot="1">
      <c r="A6" s="80" t="s">
        <v>15</v>
      </c>
      <c r="B6" s="80" t="s">
        <v>15</v>
      </c>
      <c r="C6" s="81" t="s">
        <v>15</v>
      </c>
      <c r="D6" s="81"/>
      <c r="E6" s="81" t="s">
        <v>15</v>
      </c>
      <c r="F6" s="160" t="s">
        <v>15</v>
      </c>
      <c r="G6" s="160" t="s">
        <v>15</v>
      </c>
      <c r="H6" s="160"/>
      <c r="I6" s="161"/>
      <c r="J6" s="374"/>
      <c r="K6" s="377"/>
      <c r="L6" s="377"/>
      <c r="M6" s="377"/>
      <c r="N6" s="378"/>
      <c r="O6" s="377"/>
      <c r="P6" s="365"/>
      <c r="Q6" s="365"/>
      <c r="R6" s="365"/>
      <c r="S6" s="365"/>
      <c r="T6" s="365"/>
      <c r="U6" s="365"/>
      <c r="V6" s="365"/>
      <c r="W6" s="365"/>
      <c r="X6" s="365"/>
      <c r="Y6" s="365"/>
      <c r="Z6" s="365"/>
      <c r="AA6" s="365"/>
      <c r="AB6" s="365"/>
      <c r="AC6" s="365"/>
      <c r="AD6" s="365"/>
      <c r="AE6" s="365"/>
      <c r="AF6" s="365"/>
      <c r="AG6" s="365"/>
      <c r="AH6" s="365"/>
      <c r="AI6" s="367"/>
      <c r="AJ6" s="363"/>
      <c r="AK6" s="361"/>
      <c r="AL6" s="361"/>
      <c r="AM6" s="361"/>
      <c r="AN6" s="361"/>
      <c r="AO6" s="361"/>
      <c r="AP6" s="361"/>
      <c r="AQ6" s="361"/>
      <c r="AR6" s="361"/>
      <c r="AS6" s="361"/>
      <c r="AT6" s="361"/>
      <c r="AU6" s="361"/>
      <c r="AV6" s="361"/>
      <c r="AW6" s="361"/>
      <c r="AX6" s="361"/>
      <c r="AY6" s="357"/>
      <c r="AZ6" s="357"/>
      <c r="BA6" s="357"/>
      <c r="BB6" s="357"/>
      <c r="BC6" s="357"/>
      <c r="BD6" s="357"/>
      <c r="BE6" s="357"/>
      <c r="BF6" s="357"/>
      <c r="BG6" s="357"/>
      <c r="BH6" s="357"/>
      <c r="BI6" s="357"/>
      <c r="BJ6" s="357"/>
      <c r="BK6" s="359"/>
    </row>
    <row r="7" spans="1:74" s="99" customFormat="1" ht="30.75" thickBot="1">
      <c r="A7" s="162" t="s">
        <v>14</v>
      </c>
      <c r="B7" s="163" t="s">
        <v>13</v>
      </c>
      <c r="C7" s="164" t="s">
        <v>12</v>
      </c>
      <c r="D7" s="164" t="s">
        <v>11</v>
      </c>
      <c r="E7" s="165" t="s">
        <v>10</v>
      </c>
      <c r="F7" s="165" t="s">
        <v>9</v>
      </c>
      <c r="G7" s="166" t="s">
        <v>8</v>
      </c>
      <c r="H7" s="167" t="s">
        <v>6</v>
      </c>
      <c r="I7" s="168" t="s">
        <v>5</v>
      </c>
      <c r="J7" s="169" t="s">
        <v>4</v>
      </c>
      <c r="K7" s="170" t="s">
        <v>4</v>
      </c>
      <c r="L7" s="170" t="s">
        <v>4</v>
      </c>
      <c r="M7" s="170" t="s">
        <v>4</v>
      </c>
      <c r="N7" s="170" t="s">
        <v>4</v>
      </c>
      <c r="O7" s="170" t="s">
        <v>4</v>
      </c>
      <c r="P7" s="170" t="s">
        <v>4</v>
      </c>
      <c r="Q7" s="170" t="s">
        <v>4</v>
      </c>
      <c r="R7" s="170" t="s">
        <v>4</v>
      </c>
      <c r="S7" s="170" t="s">
        <v>4</v>
      </c>
      <c r="T7" s="170" t="s">
        <v>4</v>
      </c>
      <c r="U7" s="170" t="s">
        <v>4</v>
      </c>
      <c r="V7" s="170" t="s">
        <v>4</v>
      </c>
      <c r="W7" s="170" t="s">
        <v>4</v>
      </c>
      <c r="X7" s="170" t="s">
        <v>4</v>
      </c>
      <c r="Y7" s="170" t="s">
        <v>4</v>
      </c>
      <c r="Z7" s="170" t="s">
        <v>4</v>
      </c>
      <c r="AA7" s="170" t="s">
        <v>4</v>
      </c>
      <c r="AB7" s="170" t="s">
        <v>4</v>
      </c>
      <c r="AC7" s="170" t="s">
        <v>4</v>
      </c>
      <c r="AD7" s="170" t="s">
        <v>4</v>
      </c>
      <c r="AE7" s="170" t="s">
        <v>4</v>
      </c>
      <c r="AF7" s="170" t="s">
        <v>4</v>
      </c>
      <c r="AG7" s="171" t="s">
        <v>4</v>
      </c>
      <c r="AH7" s="170" t="s">
        <v>4</v>
      </c>
      <c r="AI7" s="172" t="s">
        <v>4</v>
      </c>
      <c r="AJ7" s="173" t="s">
        <v>4</v>
      </c>
      <c r="AK7" s="170" t="s">
        <v>4</v>
      </c>
      <c r="AL7" s="170" t="s">
        <v>4</v>
      </c>
      <c r="AM7" s="170" t="s">
        <v>4</v>
      </c>
      <c r="AN7" s="170" t="s">
        <v>4</v>
      </c>
      <c r="AO7" s="170" t="s">
        <v>4</v>
      </c>
      <c r="AP7" s="170" t="s">
        <v>4</v>
      </c>
      <c r="AQ7" s="170" t="s">
        <v>4</v>
      </c>
      <c r="AR7" s="170" t="s">
        <v>4</v>
      </c>
      <c r="AS7" s="170" t="s">
        <v>4</v>
      </c>
      <c r="AT7" s="170" t="s">
        <v>4</v>
      </c>
      <c r="AU7" s="170" t="s">
        <v>4</v>
      </c>
      <c r="AV7" s="170" t="s">
        <v>4</v>
      </c>
      <c r="AW7" s="170" t="s">
        <v>4</v>
      </c>
      <c r="AX7" s="170" t="s">
        <v>4</v>
      </c>
      <c r="AY7" s="170" t="s">
        <v>4</v>
      </c>
      <c r="AZ7" s="170" t="s">
        <v>4</v>
      </c>
      <c r="BA7" s="170" t="s">
        <v>4</v>
      </c>
      <c r="BB7" s="170" t="s">
        <v>4</v>
      </c>
      <c r="BC7" s="170" t="s">
        <v>4</v>
      </c>
      <c r="BD7" s="170" t="s">
        <v>4</v>
      </c>
      <c r="BE7" s="170" t="s">
        <v>4</v>
      </c>
      <c r="BF7" s="170" t="s">
        <v>4</v>
      </c>
      <c r="BG7" s="170" t="s">
        <v>4</v>
      </c>
      <c r="BH7" s="170" t="s">
        <v>4</v>
      </c>
      <c r="BI7" s="170" t="s">
        <v>4</v>
      </c>
      <c r="BJ7" s="170" t="s">
        <v>4</v>
      </c>
      <c r="BK7" s="172" t="s">
        <v>4</v>
      </c>
      <c r="BL7" s="174">
        <f>COUNTIF(J7:BK7,"y")</f>
        <v>54</v>
      </c>
      <c r="BM7" s="175" t="s">
        <v>3</v>
      </c>
      <c r="BN7" s="176"/>
      <c r="BV7" s="177" t="s">
        <v>2</v>
      </c>
    </row>
    <row r="8" spans="1:74" s="108" customFormat="1" ht="15.75">
      <c r="A8" s="178">
        <v>45950</v>
      </c>
      <c r="B8" s="178">
        <v>40959</v>
      </c>
      <c r="C8" s="179">
        <v>3</v>
      </c>
      <c r="D8" s="179"/>
      <c r="E8" s="180" t="s">
        <v>206</v>
      </c>
      <c r="F8" s="180" t="s">
        <v>207</v>
      </c>
      <c r="G8" s="181" t="s">
        <v>195</v>
      </c>
      <c r="H8" s="199">
        <f t="shared" ref="H8:H71" si="0">IF(E8="","",COUNTIF(J8:BK8,"y"))</f>
        <v>0</v>
      </c>
      <c r="I8" s="200">
        <f>IF(E8="","",IF(AND(BV8&lt;=66),VLOOKUP(H8,'LetterID Look Up'!$A$13:$B$20,2,TRUE),IF(AND(BV8&gt;=67,BV8&lt;=72),VLOOKUP(H8,'LetterID Look Up'!$E$13:$F$19,2,TRUE),IF(AND(BV8&gt;=73,BV8&lt;=78),VLOOKUP(H8,'LetterID Look Up'!$I$13:$J$19,2,TRUE),IF(AND(BV8&gt;=79),VLOOKUP(H8,'LetterID Look Up'!$M$13:$N$17,2,TRUE),"")))))</f>
        <v>1</v>
      </c>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182"/>
      <c r="AI8" s="183"/>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4"/>
      <c r="BT8" s="185"/>
      <c r="BU8" s="185"/>
      <c r="BV8" s="222">
        <f t="shared" ref="BV8:BV71" si="1">IF(E8="","",DATEDIF(B8,A8,"m"))</f>
        <v>164</v>
      </c>
    </row>
    <row r="9" spans="1:74" s="108" customFormat="1" ht="15.75">
      <c r="A9" s="178">
        <v>45950</v>
      </c>
      <c r="B9" s="178">
        <v>40960</v>
      </c>
      <c r="C9" s="186">
        <v>3</v>
      </c>
      <c r="D9" s="179"/>
      <c r="E9" s="187" t="s">
        <v>208</v>
      </c>
      <c r="F9" s="187" t="s">
        <v>209</v>
      </c>
      <c r="G9" s="188" t="s">
        <v>196</v>
      </c>
      <c r="H9" s="199">
        <f t="shared" si="0"/>
        <v>0</v>
      </c>
      <c r="I9" s="200">
        <f>IF(E9="","",IF(AND(BV9&lt;=66),VLOOKUP(H9,'LetterID Look Up'!$A$13:$B$20,2,TRUE),IF(AND(BV9&gt;=67,BV9&lt;=72),VLOOKUP(H9,'LetterID Look Up'!$E$13:$F$19,2,TRUE),IF(AND(BV9&gt;=73,BV9&lt;=78),VLOOKUP(H9,'LetterID Look Up'!$I$13:$J$19,2,TRUE),IF(AND(BV9&gt;=79),VLOOKUP(H9,'LetterID Look Up'!$M$13:$N$17,2,TRUE),"")))))</f>
        <v>1</v>
      </c>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3"/>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3"/>
      <c r="BT9" s="185"/>
      <c r="BU9" s="185"/>
      <c r="BV9" s="222">
        <f t="shared" si="1"/>
        <v>163</v>
      </c>
    </row>
    <row r="10" spans="1:74" s="108" customFormat="1" ht="15.75">
      <c r="A10" s="178">
        <v>45950</v>
      </c>
      <c r="B10" s="178">
        <v>40961</v>
      </c>
      <c r="C10" s="186">
        <v>3</v>
      </c>
      <c r="D10" s="179"/>
      <c r="E10" s="187" t="s">
        <v>210</v>
      </c>
      <c r="F10" s="187" t="s">
        <v>211</v>
      </c>
      <c r="G10" s="188" t="s">
        <v>197</v>
      </c>
      <c r="H10" s="199">
        <f t="shared" si="0"/>
        <v>0</v>
      </c>
      <c r="I10" s="200">
        <f>IF(E10="","",IF(AND(BV10&lt;=66),VLOOKUP(H10,'LetterID Look Up'!$A$13:$B$20,2,TRUE),IF(AND(BV10&gt;=67,BV10&lt;=72),VLOOKUP(H10,'LetterID Look Up'!$E$13:$F$19,2,TRUE),IF(AND(BV10&gt;=73,BV10&lt;=78),VLOOKUP(H10,'LetterID Look Up'!$I$13:$J$19,2,TRUE),IF(AND(BV10&gt;=79),VLOOKUP(H10,'LetterID Look Up'!$M$13:$N$17,2,TRUE),"")))))</f>
        <v>1</v>
      </c>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3"/>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3"/>
      <c r="BN10" s="99"/>
      <c r="BT10" s="185"/>
      <c r="BU10" s="185"/>
      <c r="BV10" s="222">
        <f t="shared" si="1"/>
        <v>163</v>
      </c>
    </row>
    <row r="11" spans="1:74" s="108" customFormat="1" ht="15.75">
      <c r="A11" s="178">
        <v>45950</v>
      </c>
      <c r="B11" s="178">
        <v>40962</v>
      </c>
      <c r="C11" s="186">
        <v>3</v>
      </c>
      <c r="D11" s="179"/>
      <c r="E11" s="187" t="s">
        <v>212</v>
      </c>
      <c r="F11" s="187" t="s">
        <v>213</v>
      </c>
      <c r="G11" s="188" t="s">
        <v>198</v>
      </c>
      <c r="H11" s="199">
        <f t="shared" si="0"/>
        <v>0</v>
      </c>
      <c r="I11" s="200">
        <f>IF(E11="","",IF(AND(BV11&lt;=66),VLOOKUP(H11,'LetterID Look Up'!$A$13:$B$20,2,TRUE),IF(AND(BV11&gt;=67,BV11&lt;=72),VLOOKUP(H11,'LetterID Look Up'!$E$13:$F$19,2,TRUE),IF(AND(BV11&gt;=73,BV11&lt;=78),VLOOKUP(H11,'LetterID Look Up'!$I$13:$J$19,2,TRUE),IF(AND(BV11&gt;=79),VLOOKUP(H11,'LetterID Look Up'!$M$13:$N$17,2,TRUE),"")))))</f>
        <v>1</v>
      </c>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3"/>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3"/>
      <c r="BT11" s="185"/>
      <c r="BU11" s="185"/>
      <c r="BV11" s="222">
        <f t="shared" si="1"/>
        <v>163</v>
      </c>
    </row>
    <row r="12" spans="1:74" s="108" customFormat="1" ht="15.75">
      <c r="A12" s="178">
        <v>45950</v>
      </c>
      <c r="B12" s="189">
        <v>40970</v>
      </c>
      <c r="C12" s="186">
        <v>3</v>
      </c>
      <c r="D12" s="179"/>
      <c r="E12" s="187" t="s">
        <v>214</v>
      </c>
      <c r="F12" s="187" t="s">
        <v>215</v>
      </c>
      <c r="G12" s="188" t="s">
        <v>199</v>
      </c>
      <c r="H12" s="199">
        <f t="shared" si="0"/>
        <v>0</v>
      </c>
      <c r="I12" s="200">
        <f>IF(E12="","",IF(AND(BV12&lt;=66),VLOOKUP(H12,'LetterID Look Up'!$A$13:$B$20,2,TRUE),IF(AND(BV12&gt;=67,BV12&lt;=72),VLOOKUP(H12,'LetterID Look Up'!$E$13:$F$19,2,TRUE),IF(AND(BV12&gt;=73,BV12&lt;=78),VLOOKUP(H12,'LetterID Look Up'!$I$13:$J$19,2,TRUE),IF(AND(BV12&gt;=79),VLOOKUP(H12,'LetterID Look Up'!$M$13:$N$17,2,TRUE),"")))))</f>
        <v>1</v>
      </c>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3"/>
      <c r="AJ12" s="182"/>
      <c r="AK12" s="182"/>
      <c r="AL12" s="182"/>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3"/>
      <c r="BT12" s="185"/>
      <c r="BU12" s="185"/>
      <c r="BV12" s="222">
        <f t="shared" si="1"/>
        <v>163</v>
      </c>
    </row>
    <row r="13" spans="1:74" s="108" customFormat="1" ht="15.75">
      <c r="A13" s="178">
        <v>45950</v>
      </c>
      <c r="B13" s="189">
        <v>40963</v>
      </c>
      <c r="C13" s="186">
        <v>3</v>
      </c>
      <c r="D13" s="179"/>
      <c r="E13" s="187" t="s">
        <v>216</v>
      </c>
      <c r="F13" s="187" t="s">
        <v>217</v>
      </c>
      <c r="G13" s="188" t="s">
        <v>200</v>
      </c>
      <c r="H13" s="199">
        <f t="shared" si="0"/>
        <v>0</v>
      </c>
      <c r="I13" s="200">
        <f>IF(E13="","",IF(AND(BV13&lt;=66),VLOOKUP(H13,'LetterID Look Up'!$A$13:$B$20,2,TRUE),IF(AND(BV13&gt;=67,BV13&lt;=72),VLOOKUP(H13,'LetterID Look Up'!$E$13:$F$19,2,TRUE),IF(AND(BV13&gt;=73,BV13&lt;=78),VLOOKUP(H13,'LetterID Look Up'!$I$13:$J$19,2,TRUE),IF(AND(BV13&gt;=79),VLOOKUP(H13,'LetterID Look Up'!$M$13:$N$17,2,TRUE),"")))))</f>
        <v>1</v>
      </c>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3"/>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3"/>
      <c r="BT13" s="185"/>
      <c r="BU13" s="185"/>
      <c r="BV13" s="222">
        <f t="shared" si="1"/>
        <v>163</v>
      </c>
    </row>
    <row r="14" spans="1:74" s="108" customFormat="1" ht="15.75">
      <c r="A14" s="178">
        <v>45950</v>
      </c>
      <c r="B14" s="189">
        <v>40964</v>
      </c>
      <c r="C14" s="186">
        <v>3</v>
      </c>
      <c r="D14" s="179"/>
      <c r="E14" s="187" t="s">
        <v>218</v>
      </c>
      <c r="F14" s="187" t="s">
        <v>219</v>
      </c>
      <c r="G14" s="188" t="s">
        <v>201</v>
      </c>
      <c r="H14" s="199">
        <f t="shared" si="0"/>
        <v>0</v>
      </c>
      <c r="I14" s="200">
        <f>IF(E14="","",IF(AND(BV14&lt;=66),VLOOKUP(H14,'LetterID Look Up'!$A$13:$B$20,2,TRUE),IF(AND(BV14&gt;=67,BV14&lt;=72),VLOOKUP(H14,'LetterID Look Up'!$E$13:$F$19,2,TRUE),IF(AND(BV14&gt;=73,BV14&lt;=78),VLOOKUP(H14,'LetterID Look Up'!$I$13:$J$19,2,TRUE),IF(AND(BV14&gt;=79),VLOOKUP(H14,'LetterID Look Up'!$M$13:$N$17,2,TRUE),"")))))</f>
        <v>1</v>
      </c>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3"/>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3"/>
      <c r="BT14" s="185"/>
      <c r="BU14" s="185"/>
      <c r="BV14" s="222">
        <f t="shared" si="1"/>
        <v>163</v>
      </c>
    </row>
    <row r="15" spans="1:74" s="108" customFormat="1" ht="15.75">
      <c r="A15" s="178">
        <v>45950</v>
      </c>
      <c r="B15" s="189">
        <v>40965</v>
      </c>
      <c r="C15" s="186">
        <v>3</v>
      </c>
      <c r="D15" s="186"/>
      <c r="E15" s="187" t="s">
        <v>220</v>
      </c>
      <c r="F15" s="187" t="s">
        <v>221</v>
      </c>
      <c r="G15" s="188" t="s">
        <v>202</v>
      </c>
      <c r="H15" s="199">
        <f t="shared" si="0"/>
        <v>0</v>
      </c>
      <c r="I15" s="200">
        <f>IF(E15="","",IF(AND(BV15&lt;=66),VLOOKUP(H15,'LetterID Look Up'!$A$13:$B$20,2,TRUE),IF(AND(BV15&gt;=67,BV15&lt;=72),VLOOKUP(H15,'LetterID Look Up'!$E$13:$F$19,2,TRUE),IF(AND(BV15&gt;=73,BV15&lt;=78),VLOOKUP(H15,'LetterID Look Up'!$I$13:$J$19,2,TRUE),IF(AND(BV15&gt;=79),VLOOKUP(H15,'LetterID Look Up'!$M$13:$N$17,2,TRUE),"")))))</f>
        <v>1</v>
      </c>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3"/>
      <c r="AJ15" s="182"/>
      <c r="AK15" s="182"/>
      <c r="AL15" s="182"/>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3"/>
      <c r="BT15" s="185"/>
      <c r="BU15" s="185"/>
      <c r="BV15" s="222">
        <f t="shared" si="1"/>
        <v>163</v>
      </c>
    </row>
    <row r="16" spans="1:74" s="108" customFormat="1" ht="15.75">
      <c r="A16" s="178">
        <v>45950</v>
      </c>
      <c r="B16" s="189">
        <v>40966</v>
      </c>
      <c r="C16" s="186">
        <v>3</v>
      </c>
      <c r="D16" s="186"/>
      <c r="E16" s="187" t="s">
        <v>222</v>
      </c>
      <c r="F16" s="187" t="s">
        <v>223</v>
      </c>
      <c r="G16" s="188" t="s">
        <v>203</v>
      </c>
      <c r="H16" s="199">
        <f t="shared" si="0"/>
        <v>0</v>
      </c>
      <c r="I16" s="200">
        <f>IF(E16="","",IF(AND(BV16&lt;=66),VLOOKUP(H16,'LetterID Look Up'!$A$13:$B$20,2,TRUE),IF(AND(BV16&gt;=67,BV16&lt;=72),VLOOKUP(H16,'LetterID Look Up'!$E$13:$F$19,2,TRUE),IF(AND(BV16&gt;=73,BV16&lt;=78),VLOOKUP(H16,'LetterID Look Up'!$I$13:$J$19,2,TRUE),IF(AND(BV16&gt;=79),VLOOKUP(H16,'LetterID Look Up'!$M$13:$N$17,2,TRUE),"")))))</f>
        <v>1</v>
      </c>
      <c r="J16" s="182"/>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3"/>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c r="BJ16" s="182"/>
      <c r="BK16" s="183"/>
      <c r="BT16" s="185"/>
      <c r="BU16" s="185"/>
      <c r="BV16" s="222">
        <f t="shared" si="1"/>
        <v>163</v>
      </c>
    </row>
    <row r="17" spans="1:74" s="108" customFormat="1" ht="15.75">
      <c r="A17" s="178">
        <v>45950</v>
      </c>
      <c r="B17" s="189">
        <v>40967</v>
      </c>
      <c r="C17" s="186">
        <v>3</v>
      </c>
      <c r="D17" s="186"/>
      <c r="E17" s="187" t="s">
        <v>224</v>
      </c>
      <c r="F17" s="187" t="s">
        <v>225</v>
      </c>
      <c r="G17" s="188" t="s">
        <v>204</v>
      </c>
      <c r="H17" s="199">
        <f t="shared" si="0"/>
        <v>0</v>
      </c>
      <c r="I17" s="200">
        <f>IF(E17="","",IF(AND(BV17&lt;=66),VLOOKUP(H17,'LetterID Look Up'!$A$13:$B$20,2,TRUE),IF(AND(BV17&gt;=67,BV17&lt;=72),VLOOKUP(H17,'LetterID Look Up'!$E$13:$F$19,2,TRUE),IF(AND(BV17&gt;=73,BV17&lt;=78),VLOOKUP(H17,'LetterID Look Up'!$I$13:$J$19,2,TRUE),IF(AND(BV17&gt;=79),VLOOKUP(H17,'LetterID Look Up'!$M$13:$N$17,2,TRUE),"")))))</f>
        <v>1</v>
      </c>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3"/>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3"/>
      <c r="BT17" s="185"/>
      <c r="BU17" s="185"/>
      <c r="BV17" s="222">
        <f t="shared" si="1"/>
        <v>163</v>
      </c>
    </row>
    <row r="18" spans="1:74" s="108" customFormat="1" ht="15.75">
      <c r="A18" s="178">
        <v>45950</v>
      </c>
      <c r="B18" s="189">
        <v>40968</v>
      </c>
      <c r="C18" s="186">
        <v>3</v>
      </c>
      <c r="D18" s="186"/>
      <c r="E18" s="187" t="s">
        <v>226</v>
      </c>
      <c r="F18" s="187" t="s">
        <v>227</v>
      </c>
      <c r="G18" s="188" t="s">
        <v>205</v>
      </c>
      <c r="H18" s="199">
        <f t="shared" si="0"/>
        <v>0</v>
      </c>
      <c r="I18" s="200">
        <f>IF(E18="","",IF(AND(BV18&lt;=66),VLOOKUP(H18,'LetterID Look Up'!$A$13:$B$20,2,TRUE),IF(AND(BV18&gt;=67,BV18&lt;=72),VLOOKUP(H18,'LetterID Look Up'!$E$13:$F$19,2,TRUE),IF(AND(BV18&gt;=73,BV18&lt;=78),VLOOKUP(H18,'LetterID Look Up'!$I$13:$J$19,2,TRUE),IF(AND(BV18&gt;=79),VLOOKUP(H18,'LetterID Look Up'!$M$13:$N$17,2,TRUE),"")))))</f>
        <v>1</v>
      </c>
      <c r="J18" s="182"/>
      <c r="K18" s="182"/>
      <c r="L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3"/>
      <c r="AJ18" s="182"/>
      <c r="AK18" s="182"/>
      <c r="AL18" s="182"/>
      <c r="AM18" s="182"/>
      <c r="AN18" s="182"/>
      <c r="AO18" s="182"/>
      <c r="AP18" s="182"/>
      <c r="AQ18" s="182"/>
      <c r="AR18" s="182"/>
      <c r="AS18" s="182"/>
      <c r="AT18" s="182"/>
      <c r="AU18" s="182"/>
      <c r="AV18" s="182"/>
      <c r="AW18" s="182"/>
      <c r="AX18" s="182"/>
      <c r="AY18" s="182"/>
      <c r="AZ18" s="182"/>
      <c r="BA18" s="182"/>
      <c r="BB18" s="182"/>
      <c r="BC18" s="182"/>
      <c r="BD18" s="182"/>
      <c r="BE18" s="182"/>
      <c r="BF18" s="182"/>
      <c r="BG18" s="182"/>
      <c r="BH18" s="182"/>
      <c r="BI18" s="182"/>
      <c r="BJ18" s="182"/>
      <c r="BK18" s="183"/>
      <c r="BT18" s="185"/>
      <c r="BU18" s="185"/>
      <c r="BV18" s="222">
        <f t="shared" si="1"/>
        <v>163</v>
      </c>
    </row>
    <row r="19" spans="1:74" s="108" customFormat="1" ht="15.75">
      <c r="A19" s="178"/>
      <c r="B19" s="189"/>
      <c r="C19" s="186"/>
      <c r="D19" s="186"/>
      <c r="E19" s="187"/>
      <c r="F19" s="187"/>
      <c r="G19" s="188"/>
      <c r="H19" s="199" t="str">
        <f t="shared" si="0"/>
        <v/>
      </c>
      <c r="I19" s="200" t="str">
        <f>IF(E19="","",IF(AND(BV19&lt;=66),VLOOKUP(H19,'LetterID Look Up'!$A$13:$B$20,2,TRUE),IF(AND(BV19&gt;=67,BV19&lt;=72),VLOOKUP(H19,'LetterID Look Up'!$E$13:$F$19,2,TRUE),IF(AND(BV19&gt;=73,BV19&lt;=78),VLOOKUP(H19,'LetterID Look Up'!$I$13:$J$19,2,TRUE),IF(AND(BV19&gt;=79),VLOOKUP(H19,'LetterID Look Up'!$M$13:$N$17,2,TRUE),"")))))</f>
        <v/>
      </c>
      <c r="J19" s="182"/>
      <c r="K19" s="182"/>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3"/>
      <c r="AJ19" s="182"/>
      <c r="AK19" s="182"/>
      <c r="AL19" s="182"/>
      <c r="AM19" s="182"/>
      <c r="AN19" s="182"/>
      <c r="AO19" s="182"/>
      <c r="AP19" s="182"/>
      <c r="AQ19" s="182"/>
      <c r="AR19" s="182"/>
      <c r="AS19" s="182"/>
      <c r="AT19" s="182"/>
      <c r="AU19" s="182"/>
      <c r="AV19" s="182"/>
      <c r="AW19" s="182"/>
      <c r="AX19" s="182"/>
      <c r="AY19" s="182"/>
      <c r="AZ19" s="182"/>
      <c r="BA19" s="182"/>
      <c r="BB19" s="182"/>
      <c r="BC19" s="182"/>
      <c r="BD19" s="182"/>
      <c r="BE19" s="182"/>
      <c r="BF19" s="182"/>
      <c r="BG19" s="182"/>
      <c r="BH19" s="182"/>
      <c r="BI19" s="182"/>
      <c r="BJ19" s="182"/>
      <c r="BK19" s="183"/>
      <c r="BT19" s="185"/>
      <c r="BU19" s="185"/>
      <c r="BV19" s="222" t="str">
        <f t="shared" si="1"/>
        <v/>
      </c>
    </row>
    <row r="20" spans="1:74" s="108" customFormat="1" ht="15.75">
      <c r="A20" s="178"/>
      <c r="B20" s="178"/>
      <c r="C20" s="186"/>
      <c r="D20" s="179"/>
      <c r="E20" s="187"/>
      <c r="F20" s="187"/>
      <c r="G20" s="188"/>
      <c r="H20" s="199" t="str">
        <f t="shared" si="0"/>
        <v/>
      </c>
      <c r="I20" s="200" t="str">
        <f>IF(E20="","",IF(AND(BV20&lt;=66),VLOOKUP(H20,'LetterID Look Up'!$A$13:$B$20,2,TRUE),IF(AND(BV20&gt;=67,BV20&lt;=72),VLOOKUP(H20,'LetterID Look Up'!$E$13:$F$19,2,TRUE),IF(AND(BV20&gt;=73,BV20&lt;=78),VLOOKUP(H20,'LetterID Look Up'!$I$13:$J$19,2,TRUE),IF(AND(BV20&gt;=79),VLOOKUP(H20,'LetterID Look Up'!$M$13:$N$17,2,TRUE),"")))))</f>
        <v/>
      </c>
      <c r="J20" s="182"/>
      <c r="K20" s="182"/>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3"/>
      <c r="AJ20" s="182"/>
      <c r="AK20" s="182"/>
      <c r="AL20" s="182"/>
      <c r="AM20" s="182"/>
      <c r="AN20" s="182"/>
      <c r="AO20" s="182"/>
      <c r="AP20" s="182"/>
      <c r="AQ20" s="182"/>
      <c r="AR20" s="182"/>
      <c r="AS20" s="182"/>
      <c r="AT20" s="182"/>
      <c r="AU20" s="182"/>
      <c r="AV20" s="182"/>
      <c r="AW20" s="182"/>
      <c r="AX20" s="182"/>
      <c r="AY20" s="182"/>
      <c r="AZ20" s="182"/>
      <c r="BA20" s="182"/>
      <c r="BB20" s="182"/>
      <c r="BC20" s="182"/>
      <c r="BD20" s="182"/>
      <c r="BE20" s="182"/>
      <c r="BF20" s="182"/>
      <c r="BG20" s="182"/>
      <c r="BH20" s="182"/>
      <c r="BI20" s="182"/>
      <c r="BJ20" s="182"/>
      <c r="BK20" s="183"/>
      <c r="BV20" s="222" t="str">
        <f t="shared" si="1"/>
        <v/>
      </c>
    </row>
    <row r="21" spans="1:74" s="108" customFormat="1" ht="15.75">
      <c r="A21" s="178"/>
      <c r="B21" s="178"/>
      <c r="C21" s="186"/>
      <c r="D21" s="179"/>
      <c r="E21" s="187"/>
      <c r="F21" s="187"/>
      <c r="G21" s="188"/>
      <c r="H21" s="199" t="str">
        <f t="shared" si="0"/>
        <v/>
      </c>
      <c r="I21" s="200" t="str">
        <f>IF(E21="","",IF(AND(BV21&lt;=66),VLOOKUP(H21,'LetterID Look Up'!$A$13:$B$20,2,TRUE),IF(AND(BV21&gt;=67,BV21&lt;=72),VLOOKUP(H21,'LetterID Look Up'!$E$13:$F$19,2,TRUE),IF(AND(BV21&gt;=73,BV21&lt;=78),VLOOKUP(H21,'LetterID Look Up'!$I$13:$J$19,2,TRUE),IF(AND(BV21&gt;=79),VLOOKUP(H21,'LetterID Look Up'!$M$13:$N$17,2,TRUE),"")))))</f>
        <v/>
      </c>
      <c r="J21" s="182"/>
      <c r="K21" s="182"/>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3"/>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3"/>
      <c r="BV21" s="222" t="str">
        <f t="shared" si="1"/>
        <v/>
      </c>
    </row>
    <row r="22" spans="1:74" s="108" customFormat="1" ht="15.75">
      <c r="A22" s="178"/>
      <c r="B22" s="178"/>
      <c r="C22" s="186"/>
      <c r="D22" s="179"/>
      <c r="E22" s="187"/>
      <c r="F22" s="187"/>
      <c r="G22" s="188"/>
      <c r="H22" s="199" t="str">
        <f t="shared" si="0"/>
        <v/>
      </c>
      <c r="I22" s="200" t="str">
        <f>IF(E22="","",IF(AND(BV22&lt;=66),VLOOKUP(H22,'LetterID Look Up'!$A$13:$B$20,2,TRUE),IF(AND(BV22&gt;=67,BV22&lt;=72),VLOOKUP(H22,'LetterID Look Up'!$E$13:$F$19,2,TRUE),IF(AND(BV22&gt;=73,BV22&lt;=78),VLOOKUP(H22,'LetterID Look Up'!$I$13:$J$19,2,TRUE),IF(AND(BV22&gt;=79),VLOOKUP(H22,'LetterID Look Up'!$M$13:$N$17,2,TRUE),"")))))</f>
        <v/>
      </c>
      <c r="J22" s="182"/>
      <c r="K22" s="182"/>
      <c r="L22" s="182"/>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3"/>
      <c r="AJ22" s="182"/>
      <c r="AK22" s="182"/>
      <c r="AL22" s="182"/>
      <c r="AM22" s="182"/>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182"/>
      <c r="BK22" s="183"/>
      <c r="BV22" s="222" t="str">
        <f t="shared" si="1"/>
        <v/>
      </c>
    </row>
    <row r="23" spans="1:74" s="108" customFormat="1" ht="15.75">
      <c r="A23" s="178"/>
      <c r="B23" s="189"/>
      <c r="C23" s="186"/>
      <c r="D23" s="179"/>
      <c r="E23" s="187"/>
      <c r="F23" s="187"/>
      <c r="G23" s="188"/>
      <c r="H23" s="199" t="str">
        <f t="shared" si="0"/>
        <v/>
      </c>
      <c r="I23" s="200" t="str">
        <f>IF(E23="","",IF(AND(BV23&lt;=66),VLOOKUP(H23,'LetterID Look Up'!$A$13:$B$20,2,TRUE),IF(AND(BV23&gt;=67,BV23&lt;=72),VLOOKUP(H23,'LetterID Look Up'!$E$13:$F$19,2,TRUE),IF(AND(BV23&gt;=73,BV23&lt;=78),VLOOKUP(H23,'LetterID Look Up'!$I$13:$J$19,2,TRUE),IF(AND(BV23&gt;=79),VLOOKUP(H23,'LetterID Look Up'!$M$13:$N$17,2,TRUE),"")))))</f>
        <v/>
      </c>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3"/>
      <c r="AJ23" s="182"/>
      <c r="AK23" s="182"/>
      <c r="AL23" s="182"/>
      <c r="AM23" s="182"/>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182"/>
      <c r="BK23" s="183"/>
      <c r="BV23" s="222" t="str">
        <f t="shared" si="1"/>
        <v/>
      </c>
    </row>
    <row r="24" spans="1:74" s="108" customFormat="1" ht="15.75">
      <c r="A24" s="178"/>
      <c r="B24" s="189"/>
      <c r="C24" s="186"/>
      <c r="D24" s="179"/>
      <c r="E24" s="187"/>
      <c r="F24" s="187"/>
      <c r="G24" s="188"/>
      <c r="H24" s="199" t="str">
        <f t="shared" si="0"/>
        <v/>
      </c>
      <c r="I24" s="200" t="str">
        <f>IF(E24="","",IF(AND(BV24&lt;=66),VLOOKUP(H24,'LetterID Look Up'!$A$13:$B$20,2,TRUE),IF(AND(BV24&gt;=67,BV24&lt;=72),VLOOKUP(H24,'LetterID Look Up'!$E$13:$F$19,2,TRUE),IF(AND(BV24&gt;=73,BV24&lt;=78),VLOOKUP(H24,'LetterID Look Up'!$I$13:$J$19,2,TRUE),IF(AND(BV24&gt;=79),VLOOKUP(H24,'LetterID Look Up'!$M$13:$N$17,2,TRUE),"")))))</f>
        <v/>
      </c>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3"/>
      <c r="AJ24" s="182"/>
      <c r="AK24" s="182"/>
      <c r="AL24" s="182"/>
      <c r="AM24" s="182"/>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c r="BJ24" s="182"/>
      <c r="BK24" s="183"/>
      <c r="BV24" s="222" t="str">
        <f t="shared" si="1"/>
        <v/>
      </c>
    </row>
    <row r="25" spans="1:74" s="108" customFormat="1" ht="15.75">
      <c r="A25" s="178"/>
      <c r="B25" s="189"/>
      <c r="C25" s="186"/>
      <c r="D25" s="179"/>
      <c r="E25" s="187"/>
      <c r="F25" s="187"/>
      <c r="G25" s="188"/>
      <c r="H25" s="199" t="str">
        <f t="shared" si="0"/>
        <v/>
      </c>
      <c r="I25" s="200" t="str">
        <f>IF(E25="","",IF(AND(BV25&lt;=66),VLOOKUP(H25,'LetterID Look Up'!$A$13:$B$20,2,TRUE),IF(AND(BV25&gt;=67,BV25&lt;=72),VLOOKUP(H25,'LetterID Look Up'!$E$13:$F$19,2,TRUE),IF(AND(BV25&gt;=73,BV25&lt;=78),VLOOKUP(H25,'LetterID Look Up'!$I$13:$J$19,2,TRUE),IF(AND(BV25&gt;=79),VLOOKUP(H25,'LetterID Look Up'!$M$13:$N$17,2,TRUE),"")))))</f>
        <v/>
      </c>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3"/>
      <c r="AJ25" s="182"/>
      <c r="AK25" s="182"/>
      <c r="AL25" s="182"/>
      <c r="AM25" s="182"/>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3"/>
      <c r="BV25" s="222" t="str">
        <f t="shared" si="1"/>
        <v/>
      </c>
    </row>
    <row r="26" spans="1:74" s="108" customFormat="1" ht="15.75">
      <c r="A26" s="178"/>
      <c r="B26" s="189"/>
      <c r="C26" s="186"/>
      <c r="D26" s="186"/>
      <c r="E26" s="187"/>
      <c r="F26" s="187"/>
      <c r="G26" s="188"/>
      <c r="H26" s="199" t="str">
        <f t="shared" si="0"/>
        <v/>
      </c>
      <c r="I26" s="200" t="str">
        <f>IF(E26="","",IF(AND(BV26&lt;=66),VLOOKUP(H26,'LetterID Look Up'!$A$13:$B$20,2,TRUE),IF(AND(BV26&gt;=67,BV26&lt;=72),VLOOKUP(H26,'LetterID Look Up'!$E$13:$F$19,2,TRUE),IF(AND(BV26&gt;=73,BV26&lt;=78),VLOOKUP(H26,'LetterID Look Up'!$I$13:$J$19,2,TRUE),IF(AND(BV26&gt;=79),VLOOKUP(H26,'LetterID Look Up'!$M$13:$N$17,2,TRUE),"")))))</f>
        <v/>
      </c>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3"/>
      <c r="AJ26" s="182"/>
      <c r="AK26" s="182"/>
      <c r="AL26" s="182"/>
      <c r="AM26" s="182"/>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3"/>
      <c r="BV26" s="222" t="str">
        <f t="shared" si="1"/>
        <v/>
      </c>
    </row>
    <row r="27" spans="1:74" s="108" customFormat="1" ht="15.75">
      <c r="A27" s="178"/>
      <c r="B27" s="189"/>
      <c r="C27" s="186"/>
      <c r="D27" s="186"/>
      <c r="E27" s="187"/>
      <c r="F27" s="187"/>
      <c r="G27" s="188"/>
      <c r="H27" s="199" t="str">
        <f t="shared" si="0"/>
        <v/>
      </c>
      <c r="I27" s="200" t="str">
        <f>IF(E27="","",IF(AND(BV27&lt;=66),VLOOKUP(H27,'LetterID Look Up'!$A$13:$B$20,2,TRUE),IF(AND(BV27&gt;=67,BV27&lt;=72),VLOOKUP(H27,'LetterID Look Up'!$E$13:$F$19,2,TRUE),IF(AND(BV27&gt;=73,BV27&lt;=78),VLOOKUP(H27,'LetterID Look Up'!$I$13:$J$19,2,TRUE),IF(AND(BV27&gt;=79),VLOOKUP(H27,'LetterID Look Up'!$M$13:$N$17,2,TRUE),"")))))</f>
        <v/>
      </c>
      <c r="J27" s="182"/>
      <c r="K27" s="182"/>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3"/>
      <c r="AJ27" s="182"/>
      <c r="AK27" s="182"/>
      <c r="AL27" s="182"/>
      <c r="AM27" s="182"/>
      <c r="AN27" s="182"/>
      <c r="AO27" s="182"/>
      <c r="AP27" s="182"/>
      <c r="AQ27" s="182"/>
      <c r="AR27" s="182"/>
      <c r="AS27" s="182"/>
      <c r="AT27" s="182"/>
      <c r="AU27" s="182"/>
      <c r="AV27" s="182"/>
      <c r="AW27" s="182"/>
      <c r="AX27" s="182"/>
      <c r="AY27" s="182"/>
      <c r="AZ27" s="182"/>
      <c r="BA27" s="182"/>
      <c r="BB27" s="182"/>
      <c r="BC27" s="182"/>
      <c r="BD27" s="182"/>
      <c r="BE27" s="182"/>
      <c r="BF27" s="182"/>
      <c r="BG27" s="182"/>
      <c r="BH27" s="182"/>
      <c r="BI27" s="182"/>
      <c r="BJ27" s="182"/>
      <c r="BK27" s="183"/>
      <c r="BV27" s="222" t="str">
        <f t="shared" si="1"/>
        <v/>
      </c>
    </row>
    <row r="28" spans="1:74" s="108" customFormat="1" ht="15.75">
      <c r="A28" s="178"/>
      <c r="B28" s="189"/>
      <c r="C28" s="186"/>
      <c r="D28" s="186"/>
      <c r="E28" s="187"/>
      <c r="F28" s="187"/>
      <c r="G28" s="188"/>
      <c r="H28" s="199" t="str">
        <f t="shared" si="0"/>
        <v/>
      </c>
      <c r="I28" s="200" t="str">
        <f>IF(E28="","",IF(AND(BV28&lt;=66),VLOOKUP(H28,'LetterID Look Up'!$A$13:$B$20,2,TRUE),IF(AND(BV28&gt;=67,BV28&lt;=72),VLOOKUP(H28,'LetterID Look Up'!$E$13:$F$19,2,TRUE),IF(AND(BV28&gt;=73,BV28&lt;=78),VLOOKUP(H28,'LetterID Look Up'!$I$13:$J$19,2,TRUE),IF(AND(BV28&gt;=79),VLOOKUP(H28,'LetterID Look Up'!$M$13:$N$17,2,TRUE),"")))))</f>
        <v/>
      </c>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3"/>
      <c r="AJ28" s="182"/>
      <c r="AK28" s="182"/>
      <c r="AL28" s="182"/>
      <c r="AM28" s="182"/>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182"/>
      <c r="BJ28" s="182"/>
      <c r="BK28" s="183"/>
      <c r="BV28" s="222" t="str">
        <f t="shared" si="1"/>
        <v/>
      </c>
    </row>
    <row r="29" spans="1:74" s="108" customFormat="1" ht="15.75">
      <c r="A29" s="178"/>
      <c r="B29" s="189"/>
      <c r="C29" s="186"/>
      <c r="D29" s="186"/>
      <c r="E29" s="187"/>
      <c r="F29" s="187"/>
      <c r="G29" s="188"/>
      <c r="H29" s="199" t="str">
        <f t="shared" si="0"/>
        <v/>
      </c>
      <c r="I29" s="200" t="str">
        <f>IF(E29="","",IF(AND(BV29&lt;=66),VLOOKUP(H29,'LetterID Look Up'!$A$13:$B$20,2,TRUE),IF(AND(BV29&gt;=67,BV29&lt;=72),VLOOKUP(H29,'LetterID Look Up'!$E$13:$F$19,2,TRUE),IF(AND(BV29&gt;=73,BV29&lt;=78),VLOOKUP(H29,'LetterID Look Up'!$I$13:$J$19,2,TRUE),IF(AND(BV29&gt;=79),VLOOKUP(H29,'LetterID Look Up'!$M$13:$N$17,2,TRUE),"")))))</f>
        <v/>
      </c>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3"/>
      <c r="AJ29" s="182"/>
      <c r="AK29" s="182"/>
      <c r="AL29" s="182"/>
      <c r="AM29" s="182"/>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82"/>
      <c r="BJ29" s="182"/>
      <c r="BK29" s="183"/>
      <c r="BV29" s="222" t="str">
        <f t="shared" si="1"/>
        <v/>
      </c>
    </row>
    <row r="30" spans="1:74" s="108" customFormat="1" ht="15.75">
      <c r="A30" s="178"/>
      <c r="B30" s="178"/>
      <c r="C30" s="186"/>
      <c r="D30" s="179"/>
      <c r="E30" s="187"/>
      <c r="F30" s="187"/>
      <c r="G30" s="188"/>
      <c r="H30" s="199" t="str">
        <f t="shared" si="0"/>
        <v/>
      </c>
      <c r="I30" s="200" t="str">
        <f>IF(E30="","",IF(AND(BV30&lt;=66),VLOOKUP(H30,'LetterID Look Up'!$A$13:$B$20,2,TRUE),IF(AND(BV30&gt;=67,BV30&lt;=72),VLOOKUP(H30,'LetterID Look Up'!$E$13:$F$19,2,TRUE),IF(AND(BV30&gt;=73,BV30&lt;=78),VLOOKUP(H30,'LetterID Look Up'!$I$13:$J$19,2,TRUE),IF(AND(BV30&gt;=79),VLOOKUP(H30,'LetterID Look Up'!$M$13:$N$17,2,TRUE),"")))))</f>
        <v/>
      </c>
      <c r="J30" s="190"/>
      <c r="K30" s="186"/>
      <c r="L30" s="186"/>
      <c r="M30" s="186"/>
      <c r="N30" s="186"/>
      <c r="O30" s="186"/>
      <c r="P30" s="186"/>
      <c r="Q30" s="186"/>
      <c r="R30" s="186"/>
      <c r="S30" s="186"/>
      <c r="T30" s="186"/>
      <c r="U30" s="186"/>
      <c r="V30" s="186"/>
      <c r="W30" s="186"/>
      <c r="X30" s="186"/>
      <c r="Y30" s="186"/>
      <c r="Z30" s="186"/>
      <c r="AA30" s="186"/>
      <c r="AB30" s="186"/>
      <c r="AC30" s="186"/>
      <c r="AD30" s="186"/>
      <c r="AE30" s="186"/>
      <c r="AF30" s="186"/>
      <c r="AG30" s="191"/>
      <c r="AH30" s="187"/>
      <c r="AI30" s="192"/>
      <c r="AJ30" s="193"/>
      <c r="AK30" s="187"/>
      <c r="AL30" s="187"/>
      <c r="AM30" s="187"/>
      <c r="AN30" s="187"/>
      <c r="AO30" s="187"/>
      <c r="AP30" s="187"/>
      <c r="AQ30" s="187"/>
      <c r="AR30" s="187"/>
      <c r="AS30" s="187"/>
      <c r="AT30" s="187"/>
      <c r="AU30" s="187"/>
      <c r="AV30" s="187"/>
      <c r="AW30" s="187"/>
      <c r="AX30" s="187"/>
      <c r="AY30" s="187"/>
      <c r="AZ30" s="187"/>
      <c r="BA30" s="187"/>
      <c r="BB30" s="187"/>
      <c r="BC30" s="187"/>
      <c r="BD30" s="187"/>
      <c r="BE30" s="187"/>
      <c r="BF30" s="187"/>
      <c r="BG30" s="187"/>
      <c r="BH30" s="187"/>
      <c r="BI30" s="187"/>
      <c r="BJ30" s="187"/>
      <c r="BK30" s="192"/>
      <c r="BV30" s="222" t="str">
        <f t="shared" si="1"/>
        <v/>
      </c>
    </row>
    <row r="31" spans="1:74" s="108" customFormat="1" ht="15.75">
      <c r="A31" s="178"/>
      <c r="B31" s="178"/>
      <c r="C31" s="186"/>
      <c r="D31" s="179"/>
      <c r="E31" s="187"/>
      <c r="F31" s="187"/>
      <c r="G31" s="188"/>
      <c r="H31" s="199" t="str">
        <f t="shared" si="0"/>
        <v/>
      </c>
      <c r="I31" s="200" t="str">
        <f>IF(E31="","",IF(AND(BV31&lt;=66),VLOOKUP(H31,'LetterID Look Up'!$A$13:$B$20,2,TRUE),IF(AND(BV31&gt;=67,BV31&lt;=72),VLOOKUP(H31,'LetterID Look Up'!$E$13:$F$19,2,TRUE),IF(AND(BV31&gt;=73,BV31&lt;=78),VLOOKUP(H31,'LetterID Look Up'!$I$13:$J$19,2,TRUE),IF(AND(BV31&gt;=79),VLOOKUP(H31,'LetterID Look Up'!$M$13:$N$17,2,TRUE),"")))))</f>
        <v/>
      </c>
      <c r="J31" s="190"/>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91"/>
      <c r="AH31" s="187"/>
      <c r="AI31" s="192"/>
      <c r="AJ31" s="193"/>
      <c r="AK31" s="187"/>
      <c r="AL31" s="187"/>
      <c r="AM31" s="187"/>
      <c r="AN31" s="187"/>
      <c r="AO31" s="187"/>
      <c r="AP31" s="187"/>
      <c r="AQ31" s="187"/>
      <c r="AR31" s="187"/>
      <c r="AS31" s="187"/>
      <c r="AT31" s="187"/>
      <c r="AU31" s="187"/>
      <c r="AV31" s="187"/>
      <c r="AW31" s="187"/>
      <c r="AX31" s="187"/>
      <c r="AY31" s="187"/>
      <c r="AZ31" s="187"/>
      <c r="BA31" s="187"/>
      <c r="BB31" s="187"/>
      <c r="BC31" s="187"/>
      <c r="BD31" s="187"/>
      <c r="BE31" s="187"/>
      <c r="BF31" s="187"/>
      <c r="BG31" s="187"/>
      <c r="BH31" s="187"/>
      <c r="BI31" s="187"/>
      <c r="BJ31" s="187"/>
      <c r="BK31" s="192"/>
      <c r="BV31" s="222" t="str">
        <f t="shared" si="1"/>
        <v/>
      </c>
    </row>
    <row r="32" spans="1:74" s="108" customFormat="1" ht="15.75">
      <c r="A32" s="178"/>
      <c r="B32" s="189"/>
      <c r="C32" s="186"/>
      <c r="D32" s="179"/>
      <c r="E32" s="187"/>
      <c r="F32" s="187"/>
      <c r="G32" s="188"/>
      <c r="H32" s="199" t="str">
        <f t="shared" si="0"/>
        <v/>
      </c>
      <c r="I32" s="200" t="str">
        <f>IF(E32="","",IF(AND(BV32&lt;=66),VLOOKUP(H32,'LetterID Look Up'!$A$13:$B$20,2,TRUE),IF(AND(BV32&gt;=67,BV32&lt;=72),VLOOKUP(H32,'LetterID Look Up'!$E$13:$F$19,2,TRUE),IF(AND(BV32&gt;=73,BV32&lt;=78),VLOOKUP(H32,'LetterID Look Up'!$I$13:$J$19,2,TRUE),IF(AND(BV32&gt;=79),VLOOKUP(H32,'LetterID Look Up'!$M$13:$N$17,2,TRUE),"")))))</f>
        <v/>
      </c>
      <c r="J32" s="190"/>
      <c r="K32" s="186"/>
      <c r="L32" s="186"/>
      <c r="M32" s="186"/>
      <c r="N32" s="186"/>
      <c r="O32" s="186"/>
      <c r="P32" s="186"/>
      <c r="Q32" s="186"/>
      <c r="R32" s="186"/>
      <c r="S32" s="186"/>
      <c r="T32" s="186"/>
      <c r="U32" s="186"/>
      <c r="V32" s="186"/>
      <c r="W32" s="186"/>
      <c r="X32" s="186"/>
      <c r="Y32" s="186"/>
      <c r="Z32" s="186"/>
      <c r="AA32" s="186"/>
      <c r="AB32" s="186"/>
      <c r="AC32" s="186"/>
      <c r="AD32" s="186"/>
      <c r="AE32" s="186"/>
      <c r="AF32" s="186"/>
      <c r="AG32" s="191"/>
      <c r="AH32" s="187"/>
      <c r="AI32" s="192"/>
      <c r="AJ32" s="193"/>
      <c r="AK32" s="187"/>
      <c r="AL32" s="187"/>
      <c r="AM32" s="187"/>
      <c r="AN32" s="187"/>
      <c r="AO32" s="187"/>
      <c r="AP32" s="187"/>
      <c r="AQ32" s="187"/>
      <c r="AR32" s="187"/>
      <c r="AS32" s="187"/>
      <c r="AT32" s="187"/>
      <c r="AU32" s="187"/>
      <c r="AV32" s="187"/>
      <c r="AW32" s="187"/>
      <c r="AX32" s="187"/>
      <c r="AY32" s="187"/>
      <c r="AZ32" s="187"/>
      <c r="BA32" s="187"/>
      <c r="BB32" s="187"/>
      <c r="BC32" s="187"/>
      <c r="BD32" s="187"/>
      <c r="BE32" s="187"/>
      <c r="BF32" s="187"/>
      <c r="BG32" s="187"/>
      <c r="BH32" s="187"/>
      <c r="BI32" s="187"/>
      <c r="BJ32" s="187"/>
      <c r="BK32" s="192"/>
      <c r="BV32" s="222" t="str">
        <f t="shared" si="1"/>
        <v/>
      </c>
    </row>
    <row r="33" spans="1:74" s="108" customFormat="1" ht="15.75">
      <c r="A33" s="178"/>
      <c r="B33" s="189"/>
      <c r="C33" s="186"/>
      <c r="D33" s="179"/>
      <c r="E33" s="187"/>
      <c r="F33" s="187"/>
      <c r="G33" s="188"/>
      <c r="H33" s="199" t="str">
        <f t="shared" si="0"/>
        <v/>
      </c>
      <c r="I33" s="200" t="str">
        <f>IF(E33="","",IF(AND(BV33&lt;=66),VLOOKUP(H33,'LetterID Look Up'!$A$13:$B$20,2,TRUE),IF(AND(BV33&gt;=67,BV33&lt;=72),VLOOKUP(H33,'LetterID Look Up'!$E$13:$F$19,2,TRUE),IF(AND(BV33&gt;=73,BV33&lt;=78),VLOOKUP(H33,'LetterID Look Up'!$I$13:$J$19,2,TRUE),IF(AND(BV33&gt;=79),VLOOKUP(H33,'LetterID Look Up'!$M$13:$N$17,2,TRUE),"")))))</f>
        <v/>
      </c>
      <c r="J33" s="190"/>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91"/>
      <c r="AH33" s="187"/>
      <c r="AI33" s="192"/>
      <c r="AJ33" s="193"/>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92"/>
      <c r="BV33" s="222" t="str">
        <f t="shared" si="1"/>
        <v/>
      </c>
    </row>
    <row r="34" spans="1:74" s="108" customFormat="1" ht="15.75">
      <c r="A34" s="178"/>
      <c r="B34" s="189"/>
      <c r="C34" s="186"/>
      <c r="D34" s="179"/>
      <c r="E34" s="187"/>
      <c r="F34" s="187"/>
      <c r="G34" s="188"/>
      <c r="H34" s="199" t="str">
        <f t="shared" si="0"/>
        <v/>
      </c>
      <c r="I34" s="200" t="str">
        <f>IF(E34="","",IF(AND(BV34&lt;=66),VLOOKUP(H34,'LetterID Look Up'!$A$13:$B$20,2,TRUE),IF(AND(BV34&gt;=67,BV34&lt;=72),VLOOKUP(H34,'LetterID Look Up'!$E$13:$F$19,2,TRUE),IF(AND(BV34&gt;=73,BV34&lt;=78),VLOOKUP(H34,'LetterID Look Up'!$I$13:$J$19,2,TRUE),IF(AND(BV34&gt;=79),VLOOKUP(H34,'LetterID Look Up'!$M$13:$N$17,2,TRUE),"")))))</f>
        <v/>
      </c>
      <c r="J34" s="190"/>
      <c r="K34" s="186"/>
      <c r="L34" s="186"/>
      <c r="M34" s="186"/>
      <c r="N34" s="186"/>
      <c r="O34" s="186"/>
      <c r="P34" s="186"/>
      <c r="Q34" s="186"/>
      <c r="R34" s="186"/>
      <c r="S34" s="186"/>
      <c r="T34" s="186"/>
      <c r="U34" s="186"/>
      <c r="V34" s="186"/>
      <c r="W34" s="186"/>
      <c r="X34" s="186"/>
      <c r="Y34" s="186"/>
      <c r="Z34" s="186"/>
      <c r="AA34" s="186"/>
      <c r="AB34" s="186"/>
      <c r="AC34" s="186"/>
      <c r="AD34" s="186"/>
      <c r="AE34" s="186"/>
      <c r="AF34" s="186"/>
      <c r="AG34" s="191"/>
      <c r="AH34" s="194"/>
      <c r="AI34" s="192"/>
      <c r="AJ34" s="193"/>
      <c r="AK34" s="187"/>
      <c r="AL34" s="187"/>
      <c r="AM34" s="187"/>
      <c r="AN34" s="187"/>
      <c r="AO34" s="187"/>
      <c r="AP34" s="187"/>
      <c r="AQ34" s="187"/>
      <c r="AR34" s="187"/>
      <c r="AS34" s="187"/>
      <c r="AT34" s="187"/>
      <c r="AU34" s="187"/>
      <c r="AV34" s="187"/>
      <c r="AW34" s="187"/>
      <c r="AX34" s="187"/>
      <c r="AY34" s="187"/>
      <c r="AZ34" s="187"/>
      <c r="BA34" s="187"/>
      <c r="BB34" s="187"/>
      <c r="BC34" s="187"/>
      <c r="BD34" s="187"/>
      <c r="BE34" s="187"/>
      <c r="BF34" s="187"/>
      <c r="BG34" s="187"/>
      <c r="BH34" s="187"/>
      <c r="BI34" s="187"/>
      <c r="BJ34" s="187"/>
      <c r="BK34" s="192"/>
      <c r="BV34" s="222" t="str">
        <f t="shared" si="1"/>
        <v/>
      </c>
    </row>
    <row r="35" spans="1:74" s="108" customFormat="1" ht="15.75">
      <c r="A35" s="178"/>
      <c r="B35" s="189"/>
      <c r="C35" s="186"/>
      <c r="D35" s="186"/>
      <c r="E35" s="187"/>
      <c r="F35" s="187"/>
      <c r="G35" s="188"/>
      <c r="H35" s="199" t="str">
        <f t="shared" si="0"/>
        <v/>
      </c>
      <c r="I35" s="200" t="str">
        <f>IF(E35="","",IF(AND(BV35&lt;=66),VLOOKUP(H35,'LetterID Look Up'!$A$13:$B$20,2,TRUE),IF(AND(BV35&gt;=67,BV35&lt;=72),VLOOKUP(H35,'LetterID Look Up'!$E$13:$F$19,2,TRUE),IF(AND(BV35&gt;=73,BV35&lt;=78),VLOOKUP(H35,'LetterID Look Up'!$I$13:$J$19,2,TRUE),IF(AND(BV35&gt;=79),VLOOKUP(H35,'LetterID Look Up'!$M$13:$N$17,2,TRUE),"")))))</f>
        <v/>
      </c>
      <c r="J35" s="190"/>
      <c r="K35" s="186"/>
      <c r="L35" s="186"/>
      <c r="M35" s="186"/>
      <c r="N35" s="186"/>
      <c r="O35" s="186"/>
      <c r="P35" s="186"/>
      <c r="Q35" s="186"/>
      <c r="R35" s="186"/>
      <c r="S35" s="186"/>
      <c r="T35" s="186"/>
      <c r="U35" s="186"/>
      <c r="V35" s="186"/>
      <c r="W35" s="186"/>
      <c r="X35" s="186"/>
      <c r="Y35" s="186"/>
      <c r="Z35" s="186"/>
      <c r="AA35" s="186"/>
      <c r="AB35" s="186"/>
      <c r="AC35" s="186"/>
      <c r="AD35" s="186"/>
      <c r="AE35" s="186"/>
      <c r="AF35" s="186"/>
      <c r="AG35" s="191"/>
      <c r="AH35" s="187"/>
      <c r="AI35" s="192"/>
      <c r="AJ35" s="193"/>
      <c r="AK35" s="187"/>
      <c r="AL35" s="187"/>
      <c r="AM35" s="187"/>
      <c r="AN35" s="187"/>
      <c r="AO35" s="187"/>
      <c r="AP35" s="187"/>
      <c r="AQ35" s="187"/>
      <c r="AR35" s="187"/>
      <c r="AS35" s="187"/>
      <c r="AT35" s="187"/>
      <c r="AU35" s="187"/>
      <c r="AV35" s="187"/>
      <c r="AW35" s="187"/>
      <c r="AX35" s="187"/>
      <c r="AY35" s="187"/>
      <c r="AZ35" s="187"/>
      <c r="BA35" s="187"/>
      <c r="BB35" s="187"/>
      <c r="BC35" s="187"/>
      <c r="BD35" s="187"/>
      <c r="BE35" s="187"/>
      <c r="BF35" s="187"/>
      <c r="BG35" s="187"/>
      <c r="BH35" s="187"/>
      <c r="BI35" s="187"/>
      <c r="BJ35" s="187"/>
      <c r="BK35" s="192"/>
      <c r="BV35" s="222" t="str">
        <f t="shared" si="1"/>
        <v/>
      </c>
    </row>
    <row r="36" spans="1:74" s="108" customFormat="1" ht="15.75">
      <c r="A36" s="178"/>
      <c r="B36" s="189"/>
      <c r="C36" s="186"/>
      <c r="D36" s="186"/>
      <c r="E36" s="187"/>
      <c r="F36" s="187"/>
      <c r="G36" s="188"/>
      <c r="H36" s="199" t="str">
        <f t="shared" si="0"/>
        <v/>
      </c>
      <c r="I36" s="200" t="str">
        <f>IF(E36="","",IF(AND(BV36&lt;=66),VLOOKUP(H36,'LetterID Look Up'!$A$13:$B$20,2,TRUE),IF(AND(BV36&gt;=67,BV36&lt;=72),VLOOKUP(H36,'LetterID Look Up'!$E$13:$F$19,2,TRUE),IF(AND(BV36&gt;=73,BV36&lt;=78),VLOOKUP(H36,'LetterID Look Up'!$I$13:$J$19,2,TRUE),IF(AND(BV36&gt;=79),VLOOKUP(H36,'LetterID Look Up'!$M$13:$N$17,2,TRUE),"")))))</f>
        <v/>
      </c>
      <c r="J36" s="190"/>
      <c r="K36" s="186"/>
      <c r="L36" s="186"/>
      <c r="M36" s="186"/>
      <c r="N36" s="186"/>
      <c r="O36" s="186"/>
      <c r="P36" s="186"/>
      <c r="Q36" s="186"/>
      <c r="R36" s="186"/>
      <c r="S36" s="186"/>
      <c r="T36" s="186"/>
      <c r="U36" s="186"/>
      <c r="V36" s="186"/>
      <c r="W36" s="186"/>
      <c r="X36" s="186"/>
      <c r="Y36" s="186"/>
      <c r="Z36" s="186"/>
      <c r="AA36" s="186"/>
      <c r="AB36" s="186"/>
      <c r="AC36" s="186"/>
      <c r="AD36" s="186"/>
      <c r="AE36" s="186"/>
      <c r="AF36" s="186"/>
      <c r="AG36" s="191"/>
      <c r="AH36" s="187"/>
      <c r="AI36" s="192"/>
      <c r="AJ36" s="193"/>
      <c r="AK36" s="187"/>
      <c r="AL36" s="187"/>
      <c r="AM36" s="187"/>
      <c r="AN36" s="187"/>
      <c r="AO36" s="187"/>
      <c r="AP36" s="187"/>
      <c r="AQ36" s="187"/>
      <c r="AR36" s="187"/>
      <c r="AS36" s="187"/>
      <c r="AT36" s="187"/>
      <c r="AU36" s="187"/>
      <c r="AV36" s="187"/>
      <c r="AW36" s="187"/>
      <c r="AX36" s="187"/>
      <c r="AY36" s="187"/>
      <c r="AZ36" s="187"/>
      <c r="BA36" s="187"/>
      <c r="BB36" s="187"/>
      <c r="BC36" s="187"/>
      <c r="BD36" s="187"/>
      <c r="BE36" s="187"/>
      <c r="BF36" s="187"/>
      <c r="BG36" s="187"/>
      <c r="BH36" s="187"/>
      <c r="BI36" s="187"/>
      <c r="BJ36" s="187"/>
      <c r="BK36" s="192"/>
      <c r="BV36" s="222" t="str">
        <f t="shared" si="1"/>
        <v/>
      </c>
    </row>
    <row r="37" spans="1:74" s="108" customFormat="1" ht="15.75">
      <c r="A37" s="178"/>
      <c r="B37" s="189"/>
      <c r="C37" s="186"/>
      <c r="D37" s="186"/>
      <c r="E37" s="187"/>
      <c r="F37" s="187"/>
      <c r="G37" s="188"/>
      <c r="H37" s="199" t="str">
        <f t="shared" si="0"/>
        <v/>
      </c>
      <c r="I37" s="200" t="str">
        <f>IF(E37="","",IF(AND(BV37&lt;=66),VLOOKUP(H37,'LetterID Look Up'!$A$13:$B$20,2,TRUE),IF(AND(BV37&gt;=67,BV37&lt;=72),VLOOKUP(H37,'LetterID Look Up'!$E$13:$F$19,2,TRUE),IF(AND(BV37&gt;=73,BV37&lt;=78),VLOOKUP(H37,'LetterID Look Up'!$I$13:$J$19,2,TRUE),IF(AND(BV37&gt;=79),VLOOKUP(H37,'LetterID Look Up'!$M$13:$N$17,2,TRUE),"")))))</f>
        <v/>
      </c>
      <c r="J37" s="190"/>
      <c r="K37" s="186"/>
      <c r="L37" s="186"/>
      <c r="M37" s="186"/>
      <c r="N37" s="186"/>
      <c r="O37" s="186"/>
      <c r="P37" s="186"/>
      <c r="Q37" s="186"/>
      <c r="R37" s="186"/>
      <c r="S37" s="186"/>
      <c r="T37" s="186"/>
      <c r="U37" s="186"/>
      <c r="V37" s="186"/>
      <c r="W37" s="186"/>
      <c r="X37" s="186"/>
      <c r="Y37" s="186"/>
      <c r="Z37" s="186"/>
      <c r="AA37" s="186"/>
      <c r="AB37" s="186"/>
      <c r="AC37" s="186"/>
      <c r="AD37" s="186"/>
      <c r="AE37" s="186"/>
      <c r="AF37" s="186"/>
      <c r="AG37" s="191"/>
      <c r="AH37" s="187"/>
      <c r="AI37" s="192"/>
      <c r="AJ37" s="193"/>
      <c r="AK37" s="187"/>
      <c r="AL37" s="187"/>
      <c r="AM37" s="187"/>
      <c r="AN37" s="187"/>
      <c r="AO37" s="187"/>
      <c r="AP37" s="187"/>
      <c r="AQ37" s="187"/>
      <c r="AR37" s="187"/>
      <c r="AS37" s="187"/>
      <c r="AT37" s="187"/>
      <c r="AU37" s="187"/>
      <c r="AV37" s="187"/>
      <c r="AW37" s="187"/>
      <c r="AX37" s="187"/>
      <c r="AY37" s="187"/>
      <c r="AZ37" s="187"/>
      <c r="BA37" s="187"/>
      <c r="BB37" s="187"/>
      <c r="BC37" s="187"/>
      <c r="BD37" s="187"/>
      <c r="BE37" s="187"/>
      <c r="BF37" s="187"/>
      <c r="BG37" s="187"/>
      <c r="BH37" s="187"/>
      <c r="BI37" s="187"/>
      <c r="BJ37" s="187"/>
      <c r="BK37" s="192"/>
      <c r="BV37" s="222" t="str">
        <f t="shared" si="1"/>
        <v/>
      </c>
    </row>
    <row r="38" spans="1:74" s="108" customFormat="1" ht="15.75">
      <c r="A38" s="178"/>
      <c r="B38" s="189"/>
      <c r="C38" s="186"/>
      <c r="D38" s="186"/>
      <c r="E38" s="187"/>
      <c r="F38" s="187"/>
      <c r="G38" s="188"/>
      <c r="H38" s="199" t="str">
        <f t="shared" si="0"/>
        <v/>
      </c>
      <c r="I38" s="200" t="str">
        <f>IF(E38="","",IF(AND(BV38&lt;=66),VLOOKUP(H38,'LetterID Look Up'!$A$13:$B$20,2,TRUE),IF(AND(BV38&gt;=67,BV38&lt;=72),VLOOKUP(H38,'LetterID Look Up'!$E$13:$F$19,2,TRUE),IF(AND(BV38&gt;=73,BV38&lt;=78),VLOOKUP(H38,'LetterID Look Up'!$I$13:$J$19,2,TRUE),IF(AND(BV38&gt;=79),VLOOKUP(H38,'LetterID Look Up'!$M$13:$N$17,2,TRUE),"")))))</f>
        <v/>
      </c>
      <c r="J38" s="190"/>
      <c r="K38" s="186"/>
      <c r="L38" s="186"/>
      <c r="M38" s="186"/>
      <c r="N38" s="186"/>
      <c r="O38" s="186"/>
      <c r="P38" s="186"/>
      <c r="Q38" s="186"/>
      <c r="R38" s="186"/>
      <c r="S38" s="186"/>
      <c r="T38" s="186"/>
      <c r="U38" s="186"/>
      <c r="V38" s="186"/>
      <c r="W38" s="186"/>
      <c r="X38" s="186"/>
      <c r="Y38" s="186"/>
      <c r="Z38" s="186"/>
      <c r="AA38" s="186"/>
      <c r="AB38" s="186"/>
      <c r="AC38" s="186"/>
      <c r="AD38" s="186"/>
      <c r="AE38" s="186"/>
      <c r="AF38" s="186"/>
      <c r="AG38" s="191"/>
      <c r="AH38" s="187"/>
      <c r="AI38" s="192"/>
      <c r="AJ38" s="193"/>
      <c r="AK38" s="187"/>
      <c r="AL38" s="187"/>
      <c r="AM38" s="187"/>
      <c r="AN38" s="187"/>
      <c r="AO38" s="187"/>
      <c r="AP38" s="187"/>
      <c r="AQ38" s="187"/>
      <c r="AR38" s="187"/>
      <c r="AS38" s="187"/>
      <c r="AT38" s="187"/>
      <c r="AU38" s="187"/>
      <c r="AV38" s="187"/>
      <c r="AW38" s="187"/>
      <c r="AX38" s="187"/>
      <c r="AY38" s="187"/>
      <c r="AZ38" s="187"/>
      <c r="BA38" s="187"/>
      <c r="BB38" s="187"/>
      <c r="BC38" s="187"/>
      <c r="BD38" s="187"/>
      <c r="BE38" s="187"/>
      <c r="BF38" s="187"/>
      <c r="BG38" s="187"/>
      <c r="BH38" s="187"/>
      <c r="BI38" s="187"/>
      <c r="BJ38" s="187"/>
      <c r="BK38" s="192"/>
      <c r="BV38" s="222" t="str">
        <f t="shared" si="1"/>
        <v/>
      </c>
    </row>
    <row r="39" spans="1:74" s="108" customFormat="1" ht="15.75">
      <c r="A39" s="101"/>
      <c r="B39" s="110"/>
      <c r="C39" s="111"/>
      <c r="D39" s="111"/>
      <c r="E39" s="112"/>
      <c r="F39" s="112"/>
      <c r="G39" s="113"/>
      <c r="H39" s="199" t="str">
        <f t="shared" si="0"/>
        <v/>
      </c>
      <c r="I39" s="200" t="str">
        <f>IF(E39="","",IF(AND(BV39&lt;=66),VLOOKUP(H39,'LetterID Look Up'!$A$13:$B$20,2,TRUE),IF(AND(BV39&gt;=67,BV39&lt;=72),VLOOKUP(H39,'LetterID Look Up'!$E$13:$F$19,2,TRUE),IF(AND(BV39&gt;=73,BV39&lt;=78),VLOOKUP(H39,'LetterID Look Up'!$I$13:$J$19,2,TRUE),IF(AND(BV39&gt;=79),VLOOKUP(H39,'LetterID Look Up'!$M$13:$N$17,2,TRUE),"")))))</f>
        <v/>
      </c>
      <c r="J39" s="190"/>
      <c r="K39" s="186"/>
      <c r="L39" s="186"/>
      <c r="M39" s="186"/>
      <c r="N39" s="186"/>
      <c r="O39" s="186"/>
      <c r="P39" s="186"/>
      <c r="Q39" s="186"/>
      <c r="R39" s="186"/>
      <c r="S39" s="186"/>
      <c r="T39" s="186"/>
      <c r="U39" s="186"/>
      <c r="V39" s="186"/>
      <c r="W39" s="186"/>
      <c r="X39" s="186"/>
      <c r="Y39" s="186"/>
      <c r="Z39" s="186"/>
      <c r="AA39" s="186"/>
      <c r="AB39" s="186"/>
      <c r="AC39" s="186"/>
      <c r="AD39" s="186"/>
      <c r="AE39" s="186"/>
      <c r="AF39" s="186"/>
      <c r="AG39" s="191"/>
      <c r="AH39" s="187"/>
      <c r="AI39" s="192"/>
      <c r="AJ39" s="193"/>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92"/>
      <c r="BV39" s="222" t="str">
        <f t="shared" si="1"/>
        <v/>
      </c>
    </row>
    <row r="40" spans="1:74" s="108" customFormat="1" ht="15.75">
      <c r="A40" s="119"/>
      <c r="B40" s="120"/>
      <c r="C40" s="111"/>
      <c r="D40" s="111"/>
      <c r="E40" s="121"/>
      <c r="F40" s="121"/>
      <c r="G40" s="113"/>
      <c r="H40" s="199" t="str">
        <f t="shared" si="0"/>
        <v/>
      </c>
      <c r="I40" s="200" t="str">
        <f>IF(E40="","",IF(AND(BV40&lt;=66),VLOOKUP(H40,'LetterID Look Up'!$A$13:$B$20,2,TRUE),IF(AND(BV40&gt;=67,BV40&lt;=72),VLOOKUP(H40,'LetterID Look Up'!$E$13:$F$19,2,TRUE),IF(AND(BV40&gt;=73,BV40&lt;=78),VLOOKUP(H40,'LetterID Look Up'!$I$13:$J$19,2,TRUE),IF(AND(BV40&gt;=79),VLOOKUP(H40,'LetterID Look Up'!$M$13:$N$17,2,TRUE),"")))))</f>
        <v/>
      </c>
      <c r="J40" s="190"/>
      <c r="K40" s="186"/>
      <c r="L40" s="186"/>
      <c r="M40" s="186"/>
      <c r="N40" s="186"/>
      <c r="O40" s="186"/>
      <c r="P40" s="186"/>
      <c r="Q40" s="186"/>
      <c r="R40" s="186"/>
      <c r="S40" s="186"/>
      <c r="T40" s="186"/>
      <c r="U40" s="186"/>
      <c r="V40" s="186"/>
      <c r="W40" s="186"/>
      <c r="X40" s="186"/>
      <c r="Y40" s="186"/>
      <c r="Z40" s="186"/>
      <c r="AA40" s="186"/>
      <c r="AB40" s="186"/>
      <c r="AC40" s="186"/>
      <c r="AD40" s="186"/>
      <c r="AE40" s="186"/>
      <c r="AF40" s="186"/>
      <c r="AG40" s="191"/>
      <c r="AH40" s="187"/>
      <c r="AI40" s="192"/>
      <c r="AJ40" s="193"/>
      <c r="AK40" s="187"/>
      <c r="AL40" s="187"/>
      <c r="AM40" s="187"/>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7"/>
      <c r="BK40" s="192"/>
      <c r="BV40" s="222" t="str">
        <f t="shared" si="1"/>
        <v/>
      </c>
    </row>
    <row r="41" spans="1:74" s="108" customFormat="1" ht="15.75">
      <c r="A41" s="119"/>
      <c r="B41" s="120"/>
      <c r="C41" s="111"/>
      <c r="D41" s="111"/>
      <c r="E41" s="121"/>
      <c r="F41" s="121"/>
      <c r="G41" s="113"/>
      <c r="H41" s="199" t="str">
        <f t="shared" si="0"/>
        <v/>
      </c>
      <c r="I41" s="200" t="str">
        <f>IF(E41="","",IF(AND(BV41&lt;=66),VLOOKUP(H41,'LetterID Look Up'!$A$13:$B$20,2,TRUE),IF(AND(BV41&gt;=67,BV41&lt;=72),VLOOKUP(H41,'LetterID Look Up'!$E$13:$F$19,2,TRUE),IF(AND(BV41&gt;=73,BV41&lt;=78),VLOOKUP(H41,'LetterID Look Up'!$I$13:$J$19,2,TRUE),IF(AND(BV41&gt;=79),VLOOKUP(H41,'LetterID Look Up'!$M$13:$N$17,2,TRUE),"")))))</f>
        <v/>
      </c>
      <c r="J41" s="190"/>
      <c r="K41" s="186"/>
      <c r="L41" s="186"/>
      <c r="M41" s="186"/>
      <c r="N41" s="186"/>
      <c r="O41" s="186"/>
      <c r="P41" s="186"/>
      <c r="Q41" s="186"/>
      <c r="R41" s="186"/>
      <c r="S41" s="186"/>
      <c r="T41" s="186"/>
      <c r="U41" s="186"/>
      <c r="V41" s="186"/>
      <c r="W41" s="186"/>
      <c r="X41" s="186"/>
      <c r="Y41" s="186"/>
      <c r="Z41" s="186"/>
      <c r="AA41" s="186"/>
      <c r="AB41" s="186"/>
      <c r="AC41" s="186"/>
      <c r="AD41" s="186"/>
      <c r="AE41" s="186"/>
      <c r="AF41" s="186"/>
      <c r="AG41" s="191"/>
      <c r="AH41" s="187"/>
      <c r="AI41" s="192"/>
      <c r="AJ41" s="193"/>
      <c r="AK41" s="187"/>
      <c r="AL41" s="187"/>
      <c r="AM41" s="187"/>
      <c r="AN41" s="187"/>
      <c r="AO41" s="187"/>
      <c r="AP41" s="187"/>
      <c r="AQ41" s="187"/>
      <c r="AR41" s="187"/>
      <c r="AS41" s="187"/>
      <c r="AT41" s="187"/>
      <c r="AU41" s="187"/>
      <c r="AV41" s="187"/>
      <c r="AW41" s="187"/>
      <c r="AX41" s="187"/>
      <c r="AY41" s="187"/>
      <c r="AZ41" s="187"/>
      <c r="BA41" s="187"/>
      <c r="BB41" s="187"/>
      <c r="BC41" s="187"/>
      <c r="BD41" s="187"/>
      <c r="BE41" s="187"/>
      <c r="BF41" s="187"/>
      <c r="BG41" s="187"/>
      <c r="BH41" s="187"/>
      <c r="BI41" s="187"/>
      <c r="BJ41" s="187"/>
      <c r="BK41" s="192"/>
      <c r="BV41" s="222" t="str">
        <f t="shared" si="1"/>
        <v/>
      </c>
    </row>
    <row r="42" spans="1:74" s="108" customFormat="1" ht="15.75">
      <c r="A42" s="119"/>
      <c r="B42" s="120"/>
      <c r="C42" s="111"/>
      <c r="D42" s="111"/>
      <c r="E42" s="121"/>
      <c r="F42" s="121"/>
      <c r="G42" s="113"/>
      <c r="H42" s="199" t="str">
        <f t="shared" si="0"/>
        <v/>
      </c>
      <c r="I42" s="200" t="str">
        <f>IF(E42="","",IF(AND(BV42&lt;=66),VLOOKUP(H42,'LetterID Look Up'!$A$13:$B$20,2,TRUE),IF(AND(BV42&gt;=67,BV42&lt;=72),VLOOKUP(H42,'LetterID Look Up'!$E$13:$F$19,2,TRUE),IF(AND(BV42&gt;=73,BV42&lt;=78),VLOOKUP(H42,'LetterID Look Up'!$I$13:$J$19,2,TRUE),IF(AND(BV42&gt;=79),VLOOKUP(H42,'LetterID Look Up'!$M$13:$N$17,2,TRUE),"")))))</f>
        <v/>
      </c>
      <c r="J42" s="190"/>
      <c r="K42" s="186"/>
      <c r="L42" s="186"/>
      <c r="M42" s="186"/>
      <c r="N42" s="186"/>
      <c r="O42" s="186"/>
      <c r="P42" s="186"/>
      <c r="Q42" s="186"/>
      <c r="R42" s="186"/>
      <c r="S42" s="186"/>
      <c r="T42" s="186"/>
      <c r="U42" s="186"/>
      <c r="V42" s="186"/>
      <c r="W42" s="186"/>
      <c r="X42" s="186"/>
      <c r="Y42" s="186"/>
      <c r="Z42" s="186"/>
      <c r="AA42" s="186"/>
      <c r="AB42" s="186"/>
      <c r="AC42" s="186"/>
      <c r="AD42" s="186"/>
      <c r="AE42" s="186"/>
      <c r="AF42" s="186"/>
      <c r="AG42" s="191"/>
      <c r="AH42" s="187"/>
      <c r="AI42" s="192"/>
      <c r="AJ42" s="193"/>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92"/>
      <c r="BV42" s="222" t="str">
        <f t="shared" si="1"/>
        <v/>
      </c>
    </row>
    <row r="43" spans="1:74" s="108" customFormat="1" ht="15.75">
      <c r="A43" s="119"/>
      <c r="B43" s="120"/>
      <c r="C43" s="111"/>
      <c r="D43" s="111"/>
      <c r="E43" s="121"/>
      <c r="F43" s="121"/>
      <c r="G43" s="113"/>
      <c r="H43" s="199" t="str">
        <f t="shared" si="0"/>
        <v/>
      </c>
      <c r="I43" s="200" t="str">
        <f>IF(E43="","",IF(AND(BV43&lt;=66),VLOOKUP(H43,'LetterID Look Up'!$A$13:$B$20,2,TRUE),IF(AND(BV43&gt;=67,BV43&lt;=72),VLOOKUP(H43,'LetterID Look Up'!$E$13:$F$19,2,TRUE),IF(AND(BV43&gt;=73,BV43&lt;=78),VLOOKUP(H43,'LetterID Look Up'!$I$13:$J$19,2,TRUE),IF(AND(BV43&gt;=79),VLOOKUP(H43,'LetterID Look Up'!$M$13:$N$17,2,TRUE),"")))))</f>
        <v/>
      </c>
      <c r="J43" s="190"/>
      <c r="K43" s="186"/>
      <c r="L43" s="186"/>
      <c r="M43" s="186"/>
      <c r="N43" s="186"/>
      <c r="O43" s="186"/>
      <c r="P43" s="186"/>
      <c r="Q43" s="186"/>
      <c r="R43" s="186"/>
      <c r="S43" s="186"/>
      <c r="T43" s="186"/>
      <c r="U43" s="186"/>
      <c r="V43" s="186"/>
      <c r="W43" s="186"/>
      <c r="X43" s="186"/>
      <c r="Y43" s="186"/>
      <c r="Z43" s="186"/>
      <c r="AA43" s="186"/>
      <c r="AB43" s="186"/>
      <c r="AC43" s="186"/>
      <c r="AD43" s="186"/>
      <c r="AE43" s="186"/>
      <c r="AF43" s="186"/>
      <c r="AG43" s="191"/>
      <c r="AH43" s="187"/>
      <c r="AI43" s="192"/>
      <c r="AJ43" s="193"/>
      <c r="AK43" s="187"/>
      <c r="AL43" s="187"/>
      <c r="AM43" s="187"/>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7"/>
      <c r="BK43" s="192"/>
      <c r="BV43" s="222" t="str">
        <f t="shared" si="1"/>
        <v/>
      </c>
    </row>
    <row r="44" spans="1:74" s="108" customFormat="1" ht="15.75">
      <c r="A44" s="119"/>
      <c r="B44" s="120"/>
      <c r="C44" s="111"/>
      <c r="D44" s="111"/>
      <c r="E44" s="121"/>
      <c r="F44" s="121"/>
      <c r="G44" s="113"/>
      <c r="H44" s="199" t="str">
        <f t="shared" si="0"/>
        <v/>
      </c>
      <c r="I44" s="200" t="str">
        <f>IF(E44="","",IF(AND(BV44&lt;=66),VLOOKUP(H44,'LetterID Look Up'!$A$13:$B$20,2,TRUE),IF(AND(BV44&gt;=67,BV44&lt;=72),VLOOKUP(H44,'LetterID Look Up'!$E$13:$F$19,2,TRUE),IF(AND(BV44&gt;=73,BV44&lt;=78),VLOOKUP(H44,'LetterID Look Up'!$I$13:$J$19,2,TRUE),IF(AND(BV44&gt;=79),VLOOKUP(H44,'LetterID Look Up'!$M$13:$N$17,2,TRUE),"")))))</f>
        <v/>
      </c>
      <c r="J44" s="190"/>
      <c r="K44" s="186"/>
      <c r="L44" s="186"/>
      <c r="M44" s="186"/>
      <c r="N44" s="186"/>
      <c r="O44" s="186"/>
      <c r="P44" s="186"/>
      <c r="Q44" s="186"/>
      <c r="R44" s="186"/>
      <c r="S44" s="186"/>
      <c r="T44" s="186"/>
      <c r="U44" s="186"/>
      <c r="V44" s="186"/>
      <c r="W44" s="186"/>
      <c r="X44" s="186"/>
      <c r="Y44" s="186"/>
      <c r="Z44" s="186"/>
      <c r="AA44" s="186"/>
      <c r="AB44" s="186"/>
      <c r="AC44" s="186"/>
      <c r="AD44" s="186"/>
      <c r="AE44" s="186"/>
      <c r="AF44" s="186"/>
      <c r="AG44" s="191"/>
      <c r="AH44" s="187"/>
      <c r="AI44" s="192"/>
      <c r="AJ44" s="193"/>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92"/>
      <c r="BV44" s="222" t="str">
        <f t="shared" si="1"/>
        <v/>
      </c>
    </row>
    <row r="45" spans="1:74" s="108" customFormat="1" ht="15.75">
      <c r="A45" s="119"/>
      <c r="B45" s="120"/>
      <c r="C45" s="111"/>
      <c r="D45" s="111"/>
      <c r="E45" s="121"/>
      <c r="F45" s="121"/>
      <c r="G45" s="113"/>
      <c r="H45" s="199" t="str">
        <f t="shared" si="0"/>
        <v/>
      </c>
      <c r="I45" s="200" t="str">
        <f>IF(E45="","",IF(AND(BV45&lt;=66),VLOOKUP(H45,'LetterID Look Up'!$A$13:$B$20,2,TRUE),IF(AND(BV45&gt;=67,BV45&lt;=72),VLOOKUP(H45,'LetterID Look Up'!$E$13:$F$19,2,TRUE),IF(AND(BV45&gt;=73,BV45&lt;=78),VLOOKUP(H45,'LetterID Look Up'!$I$13:$J$19,2,TRUE),IF(AND(BV45&gt;=79),VLOOKUP(H45,'LetterID Look Up'!$M$13:$N$17,2,TRUE),"")))))</f>
        <v/>
      </c>
      <c r="J45" s="122"/>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95"/>
      <c r="AH45" s="112"/>
      <c r="AI45" s="196"/>
      <c r="AJ45" s="197"/>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96"/>
      <c r="BV45" s="222" t="str">
        <f t="shared" si="1"/>
        <v/>
      </c>
    </row>
    <row r="46" spans="1:74" s="108" customFormat="1" ht="15.75">
      <c r="A46" s="119"/>
      <c r="B46" s="120"/>
      <c r="C46" s="111"/>
      <c r="D46" s="111"/>
      <c r="E46" s="121"/>
      <c r="F46" s="121"/>
      <c r="G46" s="113"/>
      <c r="H46" s="199" t="str">
        <f t="shared" si="0"/>
        <v/>
      </c>
      <c r="I46" s="200" t="str">
        <f>IF(E46="","",IF(AND(BV46&lt;=66),VLOOKUP(H46,'LetterID Look Up'!$A$13:$B$20,2,TRUE),IF(AND(BV46&gt;=67,BV46&lt;=72),VLOOKUP(H46,'LetterID Look Up'!$E$13:$F$19,2,TRUE),IF(AND(BV46&gt;=73,BV46&lt;=78),VLOOKUP(H46,'LetterID Look Up'!$I$13:$J$19,2,TRUE),IF(AND(BV46&gt;=79),VLOOKUP(H46,'LetterID Look Up'!$M$13:$N$17,2,TRUE),"")))))</f>
        <v/>
      </c>
      <c r="J46" s="122"/>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95"/>
      <c r="AH46" s="112"/>
      <c r="AI46" s="196"/>
      <c r="AJ46" s="197"/>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96"/>
      <c r="BV46" s="222" t="str">
        <f t="shared" si="1"/>
        <v/>
      </c>
    </row>
    <row r="47" spans="1:74" s="108" customFormat="1" ht="15.75">
      <c r="A47" s="119"/>
      <c r="B47" s="120"/>
      <c r="C47" s="111"/>
      <c r="D47" s="111"/>
      <c r="E47" s="121"/>
      <c r="F47" s="121"/>
      <c r="G47" s="113"/>
      <c r="H47" s="199" t="str">
        <f t="shared" si="0"/>
        <v/>
      </c>
      <c r="I47" s="200" t="str">
        <f>IF(E47="","",IF(AND(BV47&lt;=66),VLOOKUP(H47,'LetterID Look Up'!$A$13:$B$20,2,TRUE),IF(AND(BV47&gt;=67,BV47&lt;=72),VLOOKUP(H47,'LetterID Look Up'!$E$13:$F$19,2,TRUE),IF(AND(BV47&gt;=73,BV47&lt;=78),VLOOKUP(H47,'LetterID Look Up'!$I$13:$J$19,2,TRUE),IF(AND(BV47&gt;=79),VLOOKUP(H47,'LetterID Look Up'!$M$13:$N$17,2,TRUE),"")))))</f>
        <v/>
      </c>
      <c r="J47" s="122"/>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95"/>
      <c r="AH47" s="112"/>
      <c r="AI47" s="196"/>
      <c r="AJ47" s="197"/>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96"/>
      <c r="BV47" s="222" t="str">
        <f t="shared" si="1"/>
        <v/>
      </c>
    </row>
    <row r="48" spans="1:74" s="108" customFormat="1" ht="15.75">
      <c r="A48" s="119"/>
      <c r="B48" s="120"/>
      <c r="C48" s="111"/>
      <c r="D48" s="111"/>
      <c r="E48" s="121"/>
      <c r="F48" s="121"/>
      <c r="G48" s="113"/>
      <c r="H48" s="199" t="str">
        <f t="shared" si="0"/>
        <v/>
      </c>
      <c r="I48" s="200" t="str">
        <f>IF(E48="","",IF(AND(BV48&lt;=66),VLOOKUP(H48,'LetterID Look Up'!$A$13:$B$20,2,TRUE),IF(AND(BV48&gt;=67,BV48&lt;=72),VLOOKUP(H48,'LetterID Look Up'!$E$13:$F$19,2,TRUE),IF(AND(BV48&gt;=73,BV48&lt;=78),VLOOKUP(H48,'LetterID Look Up'!$I$13:$J$19,2,TRUE),IF(AND(BV48&gt;=79),VLOOKUP(H48,'LetterID Look Up'!$M$13:$N$17,2,TRUE),"")))))</f>
        <v/>
      </c>
      <c r="J48" s="122"/>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95"/>
      <c r="AH48" s="112"/>
      <c r="AI48" s="196"/>
      <c r="AJ48" s="197"/>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96"/>
      <c r="BV48" s="222" t="str">
        <f t="shared" si="1"/>
        <v/>
      </c>
    </row>
    <row r="49" spans="1:74" s="108" customFormat="1" ht="15.75">
      <c r="A49" s="119"/>
      <c r="B49" s="120"/>
      <c r="C49" s="111"/>
      <c r="D49" s="111"/>
      <c r="E49" s="121"/>
      <c r="F49" s="121"/>
      <c r="G49" s="113"/>
      <c r="H49" s="199" t="str">
        <f t="shared" si="0"/>
        <v/>
      </c>
      <c r="I49" s="200" t="str">
        <f>IF(E49="","",IF(AND(BV49&lt;=66),VLOOKUP(H49,'LetterID Look Up'!$A$13:$B$20,2,TRUE),IF(AND(BV49&gt;=67,BV49&lt;=72),VLOOKUP(H49,'LetterID Look Up'!$E$13:$F$19,2,TRUE),IF(AND(BV49&gt;=73,BV49&lt;=78),VLOOKUP(H49,'LetterID Look Up'!$I$13:$J$19,2,TRUE),IF(AND(BV49&gt;=79),VLOOKUP(H49,'LetterID Look Up'!$M$13:$N$17,2,TRUE),"")))))</f>
        <v/>
      </c>
      <c r="J49" s="122"/>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95"/>
      <c r="AH49" s="112"/>
      <c r="AI49" s="196"/>
      <c r="AJ49" s="197"/>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96"/>
      <c r="BV49" s="222" t="str">
        <f t="shared" si="1"/>
        <v/>
      </c>
    </row>
    <row r="50" spans="1:74" s="108" customFormat="1" ht="15.75">
      <c r="A50" s="119"/>
      <c r="B50" s="120"/>
      <c r="C50" s="111"/>
      <c r="D50" s="111"/>
      <c r="E50" s="121"/>
      <c r="F50" s="121"/>
      <c r="G50" s="113"/>
      <c r="H50" s="199" t="str">
        <f t="shared" si="0"/>
        <v/>
      </c>
      <c r="I50" s="200" t="str">
        <f>IF(E50="","",IF(AND(BV50&lt;=66),VLOOKUP(H50,'LetterID Look Up'!$A$13:$B$20,2,TRUE),IF(AND(BV50&gt;=67,BV50&lt;=72),VLOOKUP(H50,'LetterID Look Up'!$E$13:$F$19,2,TRUE),IF(AND(BV50&gt;=73,BV50&lt;=78),VLOOKUP(H50,'LetterID Look Up'!$I$13:$J$19,2,TRUE),IF(AND(BV50&gt;=79),VLOOKUP(H50,'LetterID Look Up'!$M$13:$N$17,2,TRUE),"")))))</f>
        <v/>
      </c>
      <c r="J50" s="122"/>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95"/>
      <c r="AH50" s="112"/>
      <c r="AI50" s="196"/>
      <c r="AJ50" s="197"/>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96"/>
      <c r="BV50" s="222" t="str">
        <f t="shared" si="1"/>
        <v/>
      </c>
    </row>
    <row r="51" spans="1:74" s="108" customFormat="1" ht="15.75">
      <c r="A51" s="119"/>
      <c r="B51" s="120"/>
      <c r="C51" s="111"/>
      <c r="D51" s="111"/>
      <c r="E51" s="121"/>
      <c r="F51" s="121"/>
      <c r="G51" s="113"/>
      <c r="H51" s="199" t="str">
        <f t="shared" si="0"/>
        <v/>
      </c>
      <c r="I51" s="200" t="str">
        <f>IF(E51="","",IF(AND(BV51&lt;=66),VLOOKUP(H51,'LetterID Look Up'!$A$13:$B$20,2,TRUE),IF(AND(BV51&gt;=67,BV51&lt;=72),VLOOKUP(H51,'LetterID Look Up'!$E$13:$F$19,2,TRUE),IF(AND(BV51&gt;=73,BV51&lt;=78),VLOOKUP(H51,'LetterID Look Up'!$I$13:$J$19,2,TRUE),IF(AND(BV51&gt;=79),VLOOKUP(H51,'LetterID Look Up'!$M$13:$N$17,2,TRUE),"")))))</f>
        <v/>
      </c>
      <c r="J51" s="122"/>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95"/>
      <c r="AH51" s="112"/>
      <c r="AI51" s="196"/>
      <c r="AJ51" s="197"/>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96"/>
      <c r="BV51" s="222" t="str">
        <f t="shared" si="1"/>
        <v/>
      </c>
    </row>
    <row r="52" spans="1:74" s="108" customFormat="1" ht="15.75">
      <c r="A52" s="119"/>
      <c r="B52" s="120"/>
      <c r="C52" s="111"/>
      <c r="D52" s="111"/>
      <c r="E52" s="121"/>
      <c r="F52" s="121"/>
      <c r="G52" s="113"/>
      <c r="H52" s="199" t="str">
        <f t="shared" si="0"/>
        <v/>
      </c>
      <c r="I52" s="200" t="str">
        <f>IF(E52="","",IF(AND(BV52&lt;=66),VLOOKUP(H52,'LetterID Look Up'!$A$13:$B$20,2,TRUE),IF(AND(BV52&gt;=67,BV52&lt;=72),VLOOKUP(H52,'LetterID Look Up'!$E$13:$F$19,2,TRUE),IF(AND(BV52&gt;=73,BV52&lt;=78),VLOOKUP(H52,'LetterID Look Up'!$I$13:$J$19,2,TRUE),IF(AND(BV52&gt;=79),VLOOKUP(H52,'LetterID Look Up'!$M$13:$N$17,2,TRUE),"")))))</f>
        <v/>
      </c>
      <c r="J52" s="122"/>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95"/>
      <c r="AH52" s="112"/>
      <c r="AI52" s="196"/>
      <c r="AJ52" s="197"/>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96"/>
      <c r="BV52" s="222" t="str">
        <f t="shared" si="1"/>
        <v/>
      </c>
    </row>
    <row r="53" spans="1:74" s="108" customFormat="1" ht="15.75">
      <c r="A53" s="119"/>
      <c r="B53" s="120"/>
      <c r="C53" s="111"/>
      <c r="D53" s="111"/>
      <c r="E53" s="121"/>
      <c r="F53" s="121"/>
      <c r="G53" s="113"/>
      <c r="H53" s="199" t="str">
        <f t="shared" si="0"/>
        <v/>
      </c>
      <c r="I53" s="200" t="str">
        <f>IF(E53="","",IF(AND(BV53&lt;=66),VLOOKUP(H53,'LetterID Look Up'!$A$13:$B$20,2,TRUE),IF(AND(BV53&gt;=67,BV53&lt;=72),VLOOKUP(H53,'LetterID Look Up'!$E$13:$F$19,2,TRUE),IF(AND(BV53&gt;=73,BV53&lt;=78),VLOOKUP(H53,'LetterID Look Up'!$I$13:$J$19,2,TRUE),IF(AND(BV53&gt;=79),VLOOKUP(H53,'LetterID Look Up'!$M$13:$N$17,2,TRUE),"")))))</f>
        <v/>
      </c>
      <c r="J53" s="122"/>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95"/>
      <c r="AH53" s="112"/>
      <c r="AI53" s="196"/>
      <c r="AJ53" s="197"/>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96"/>
      <c r="BV53" s="222" t="str">
        <f t="shared" si="1"/>
        <v/>
      </c>
    </row>
    <row r="54" spans="1:74" s="108" customFormat="1" ht="15.75">
      <c r="A54" s="119"/>
      <c r="B54" s="120"/>
      <c r="C54" s="111"/>
      <c r="D54" s="111"/>
      <c r="E54" s="121"/>
      <c r="F54" s="121"/>
      <c r="G54" s="113"/>
      <c r="H54" s="199" t="str">
        <f t="shared" si="0"/>
        <v/>
      </c>
      <c r="I54" s="200" t="str">
        <f>IF(E54="","",IF(AND(BV54&lt;=66),VLOOKUP(H54,'LetterID Look Up'!$A$13:$B$20,2,TRUE),IF(AND(BV54&gt;=67,BV54&lt;=72),VLOOKUP(H54,'LetterID Look Up'!$E$13:$F$19,2,TRUE),IF(AND(BV54&gt;=73,BV54&lt;=78),VLOOKUP(H54,'LetterID Look Up'!$I$13:$J$19,2,TRUE),IF(AND(BV54&gt;=79),VLOOKUP(H54,'LetterID Look Up'!$M$13:$N$17,2,TRUE),"")))))</f>
        <v/>
      </c>
      <c r="J54" s="122"/>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95"/>
      <c r="AH54" s="112"/>
      <c r="AI54" s="196"/>
      <c r="AJ54" s="197"/>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96"/>
      <c r="BV54" s="222" t="str">
        <f t="shared" si="1"/>
        <v/>
      </c>
    </row>
    <row r="55" spans="1:74" s="108" customFormat="1" ht="15.75">
      <c r="A55" s="119"/>
      <c r="B55" s="120"/>
      <c r="C55" s="111"/>
      <c r="D55" s="111"/>
      <c r="E55" s="121"/>
      <c r="F55" s="121"/>
      <c r="G55" s="113"/>
      <c r="H55" s="199" t="str">
        <f t="shared" si="0"/>
        <v/>
      </c>
      <c r="I55" s="200" t="str">
        <f>IF(E55="","",IF(AND(BV55&lt;=66),VLOOKUP(H55,'LetterID Look Up'!$A$13:$B$20,2,TRUE),IF(AND(BV55&gt;=67,BV55&lt;=72),VLOOKUP(H55,'LetterID Look Up'!$E$13:$F$19,2,TRUE),IF(AND(BV55&gt;=73,BV55&lt;=78),VLOOKUP(H55,'LetterID Look Up'!$I$13:$J$19,2,TRUE),IF(AND(BV55&gt;=79),VLOOKUP(H55,'LetterID Look Up'!$M$13:$N$17,2,TRUE),"")))))</f>
        <v/>
      </c>
      <c r="J55" s="122"/>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95"/>
      <c r="AH55" s="112"/>
      <c r="AI55" s="196"/>
      <c r="AJ55" s="197"/>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96"/>
      <c r="BV55" s="222" t="str">
        <f t="shared" si="1"/>
        <v/>
      </c>
    </row>
    <row r="56" spans="1:74" s="108" customFormat="1" ht="15.75">
      <c r="A56" s="119"/>
      <c r="B56" s="120"/>
      <c r="C56" s="111"/>
      <c r="D56" s="111"/>
      <c r="E56" s="121"/>
      <c r="F56" s="121"/>
      <c r="G56" s="113"/>
      <c r="H56" s="199" t="str">
        <f t="shared" si="0"/>
        <v/>
      </c>
      <c r="I56" s="200" t="str">
        <f>IF(E56="","",IF(AND(BV56&lt;=66),VLOOKUP(H56,'LetterID Look Up'!$A$13:$B$20,2,TRUE),IF(AND(BV56&gt;=67,BV56&lt;=72),VLOOKUP(H56,'LetterID Look Up'!$E$13:$F$19,2,TRUE),IF(AND(BV56&gt;=73,BV56&lt;=78),VLOOKUP(H56,'LetterID Look Up'!$I$13:$J$19,2,TRUE),IF(AND(BV56&gt;=79),VLOOKUP(H56,'LetterID Look Up'!$M$13:$N$17,2,TRUE),"")))))</f>
        <v/>
      </c>
      <c r="J56" s="122"/>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95"/>
      <c r="AH56" s="112"/>
      <c r="AI56" s="196"/>
      <c r="AJ56" s="197"/>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96"/>
      <c r="BV56" s="222" t="str">
        <f t="shared" si="1"/>
        <v/>
      </c>
    </row>
    <row r="57" spans="1:74" s="108" customFormat="1" ht="15.75">
      <c r="A57" s="119"/>
      <c r="B57" s="120"/>
      <c r="C57" s="111"/>
      <c r="D57" s="111"/>
      <c r="E57" s="121"/>
      <c r="F57" s="121"/>
      <c r="G57" s="113"/>
      <c r="H57" s="199" t="str">
        <f t="shared" si="0"/>
        <v/>
      </c>
      <c r="I57" s="200" t="str">
        <f>IF(E57="","",IF(AND(BV57&lt;=66),VLOOKUP(H57,'LetterID Look Up'!$A$13:$B$20,2,TRUE),IF(AND(BV57&gt;=67,BV57&lt;=72),VLOOKUP(H57,'LetterID Look Up'!$E$13:$F$19,2,TRUE),IF(AND(BV57&gt;=73,BV57&lt;=78),VLOOKUP(H57,'LetterID Look Up'!$I$13:$J$19,2,TRUE),IF(AND(BV57&gt;=79),VLOOKUP(H57,'LetterID Look Up'!$M$13:$N$17,2,TRUE),"")))))</f>
        <v/>
      </c>
      <c r="J57" s="122"/>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95"/>
      <c r="AH57" s="112"/>
      <c r="AI57" s="196"/>
      <c r="AJ57" s="197"/>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96"/>
      <c r="BV57" s="222" t="str">
        <f t="shared" si="1"/>
        <v/>
      </c>
    </row>
    <row r="58" spans="1:74" s="108" customFormat="1" ht="15.75">
      <c r="A58" s="119"/>
      <c r="B58" s="120"/>
      <c r="C58" s="111"/>
      <c r="D58" s="111"/>
      <c r="E58" s="121"/>
      <c r="F58" s="121"/>
      <c r="G58" s="113"/>
      <c r="H58" s="199" t="str">
        <f t="shared" si="0"/>
        <v/>
      </c>
      <c r="I58" s="200" t="str">
        <f>IF(E58="","",IF(AND(BV58&lt;=66),VLOOKUP(H58,'LetterID Look Up'!$A$13:$B$20,2,TRUE),IF(AND(BV58&gt;=67,BV58&lt;=72),VLOOKUP(H58,'LetterID Look Up'!$E$13:$F$19,2,TRUE),IF(AND(BV58&gt;=73,BV58&lt;=78),VLOOKUP(H58,'LetterID Look Up'!$I$13:$J$19,2,TRUE),IF(AND(BV58&gt;=79),VLOOKUP(H58,'LetterID Look Up'!$M$13:$N$17,2,TRUE),"")))))</f>
        <v/>
      </c>
      <c r="J58" s="122"/>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95"/>
      <c r="AH58" s="112"/>
      <c r="AI58" s="196"/>
      <c r="AJ58" s="197"/>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96"/>
      <c r="BV58" s="222" t="str">
        <f t="shared" si="1"/>
        <v/>
      </c>
    </row>
    <row r="59" spans="1:74" s="108" customFormat="1" ht="15.75">
      <c r="A59" s="119"/>
      <c r="B59" s="120"/>
      <c r="C59" s="111"/>
      <c r="D59" s="111"/>
      <c r="E59" s="121"/>
      <c r="F59" s="121"/>
      <c r="G59" s="113"/>
      <c r="H59" s="199" t="str">
        <f t="shared" si="0"/>
        <v/>
      </c>
      <c r="I59" s="200" t="str">
        <f>IF(E59="","",IF(AND(BV59&lt;=66),VLOOKUP(H59,'LetterID Look Up'!$A$13:$B$20,2,TRUE),IF(AND(BV59&gt;=67,BV59&lt;=72),VLOOKUP(H59,'LetterID Look Up'!$E$13:$F$19,2,TRUE),IF(AND(BV59&gt;=73,BV59&lt;=78),VLOOKUP(H59,'LetterID Look Up'!$I$13:$J$19,2,TRUE),IF(AND(BV59&gt;=79),VLOOKUP(H59,'LetterID Look Up'!$M$13:$N$17,2,TRUE),"")))))</f>
        <v/>
      </c>
      <c r="J59" s="122"/>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95"/>
      <c r="AH59" s="112"/>
      <c r="AI59" s="196"/>
      <c r="AJ59" s="197"/>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96"/>
      <c r="BV59" s="222" t="str">
        <f t="shared" si="1"/>
        <v/>
      </c>
    </row>
    <row r="60" spans="1:74" s="108" customFormat="1" ht="15.75">
      <c r="A60" s="119"/>
      <c r="B60" s="120"/>
      <c r="C60" s="111"/>
      <c r="D60" s="111"/>
      <c r="E60" s="121"/>
      <c r="F60" s="121"/>
      <c r="G60" s="113"/>
      <c r="H60" s="199" t="str">
        <f t="shared" si="0"/>
        <v/>
      </c>
      <c r="I60" s="200" t="str">
        <f>IF(E60="","",IF(AND(BV60&lt;=66),VLOOKUP(H60,'LetterID Look Up'!$A$13:$B$20,2,TRUE),IF(AND(BV60&gt;=67,BV60&lt;=72),VLOOKUP(H60,'LetterID Look Up'!$E$13:$F$19,2,TRUE),IF(AND(BV60&gt;=73,BV60&lt;=78),VLOOKUP(H60,'LetterID Look Up'!$I$13:$J$19,2,TRUE),IF(AND(BV60&gt;=79),VLOOKUP(H60,'LetterID Look Up'!$M$13:$N$17,2,TRUE),"")))))</f>
        <v/>
      </c>
      <c r="J60" s="122"/>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95"/>
      <c r="AH60" s="112"/>
      <c r="AI60" s="196"/>
      <c r="AJ60" s="197"/>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96"/>
      <c r="BV60" s="222" t="str">
        <f t="shared" si="1"/>
        <v/>
      </c>
    </row>
    <row r="61" spans="1:74" s="108" customFormat="1" ht="15.75">
      <c r="A61" s="119"/>
      <c r="B61" s="120"/>
      <c r="C61" s="111"/>
      <c r="D61" s="111"/>
      <c r="E61" s="121"/>
      <c r="F61" s="121"/>
      <c r="G61" s="113"/>
      <c r="H61" s="199" t="str">
        <f t="shared" si="0"/>
        <v/>
      </c>
      <c r="I61" s="200" t="str">
        <f>IF(E61="","",IF(AND(BV61&lt;=66),VLOOKUP(H61,'LetterID Look Up'!$A$13:$B$20,2,TRUE),IF(AND(BV61&gt;=67,BV61&lt;=72),VLOOKUP(H61,'LetterID Look Up'!$E$13:$F$19,2,TRUE),IF(AND(BV61&gt;=73,BV61&lt;=78),VLOOKUP(H61,'LetterID Look Up'!$I$13:$J$19,2,TRUE),IF(AND(BV61&gt;=79),VLOOKUP(H61,'LetterID Look Up'!$M$13:$N$17,2,TRUE),"")))))</f>
        <v/>
      </c>
      <c r="J61" s="122"/>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95"/>
      <c r="AH61" s="112"/>
      <c r="AI61" s="196"/>
      <c r="AJ61" s="197"/>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96"/>
      <c r="BV61" s="222" t="str">
        <f t="shared" si="1"/>
        <v/>
      </c>
    </row>
    <row r="62" spans="1:74" s="108" customFormat="1" ht="15.75">
      <c r="A62" s="119"/>
      <c r="B62" s="120"/>
      <c r="C62" s="111"/>
      <c r="D62" s="111"/>
      <c r="E62" s="121"/>
      <c r="F62" s="121"/>
      <c r="G62" s="113"/>
      <c r="H62" s="199" t="str">
        <f t="shared" si="0"/>
        <v/>
      </c>
      <c r="I62" s="200" t="str">
        <f>IF(E62="","",IF(AND(BV62&lt;=66),VLOOKUP(H62,'LetterID Look Up'!$A$13:$B$20,2,TRUE),IF(AND(BV62&gt;=67,BV62&lt;=72),VLOOKUP(H62,'LetterID Look Up'!$E$13:$F$19,2,TRUE),IF(AND(BV62&gt;=73,BV62&lt;=78),VLOOKUP(H62,'LetterID Look Up'!$I$13:$J$19,2,TRUE),IF(AND(BV62&gt;=79),VLOOKUP(H62,'LetterID Look Up'!$M$13:$N$17,2,TRUE),"")))))</f>
        <v/>
      </c>
      <c r="J62" s="122"/>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95"/>
      <c r="AH62" s="112"/>
      <c r="AI62" s="196"/>
      <c r="AJ62" s="197"/>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96"/>
      <c r="BV62" s="222" t="str">
        <f t="shared" si="1"/>
        <v/>
      </c>
    </row>
    <row r="63" spans="1:74" s="108" customFormat="1" ht="15.75">
      <c r="A63" s="119"/>
      <c r="B63" s="120"/>
      <c r="C63" s="111"/>
      <c r="D63" s="111"/>
      <c r="E63" s="121"/>
      <c r="F63" s="121"/>
      <c r="G63" s="113"/>
      <c r="H63" s="199" t="str">
        <f t="shared" si="0"/>
        <v/>
      </c>
      <c r="I63" s="200" t="str">
        <f>IF(E63="","",IF(AND(BV63&lt;=66),VLOOKUP(H63,'LetterID Look Up'!$A$13:$B$20,2,TRUE),IF(AND(BV63&gt;=67,BV63&lt;=72),VLOOKUP(H63,'LetterID Look Up'!$E$13:$F$19,2,TRUE),IF(AND(BV63&gt;=73,BV63&lt;=78),VLOOKUP(H63,'LetterID Look Up'!$I$13:$J$19,2,TRUE),IF(AND(BV63&gt;=79),VLOOKUP(H63,'LetterID Look Up'!$M$13:$N$17,2,TRUE),"")))))</f>
        <v/>
      </c>
      <c r="J63" s="122"/>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95"/>
      <c r="AH63" s="112"/>
      <c r="AI63" s="196"/>
      <c r="AJ63" s="197"/>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96"/>
      <c r="BV63" s="222" t="str">
        <f t="shared" si="1"/>
        <v/>
      </c>
    </row>
    <row r="64" spans="1:74" s="108" customFormat="1" ht="15.75">
      <c r="A64" s="119"/>
      <c r="B64" s="120"/>
      <c r="C64" s="111"/>
      <c r="D64" s="111"/>
      <c r="E64" s="121"/>
      <c r="F64" s="121"/>
      <c r="G64" s="113"/>
      <c r="H64" s="199" t="str">
        <f t="shared" si="0"/>
        <v/>
      </c>
      <c r="I64" s="200" t="str">
        <f>IF(E64="","",IF(AND(BV64&lt;=66),VLOOKUP(H64,'LetterID Look Up'!$A$13:$B$20,2,TRUE),IF(AND(BV64&gt;=67,BV64&lt;=72),VLOOKUP(H64,'LetterID Look Up'!$E$13:$F$19,2,TRUE),IF(AND(BV64&gt;=73,BV64&lt;=78),VLOOKUP(H64,'LetterID Look Up'!$I$13:$J$19,2,TRUE),IF(AND(BV64&gt;=79),VLOOKUP(H64,'LetterID Look Up'!$M$13:$N$17,2,TRUE),"")))))</f>
        <v/>
      </c>
      <c r="J64" s="122"/>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95"/>
      <c r="AH64" s="112"/>
      <c r="AI64" s="196"/>
      <c r="AJ64" s="197"/>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96"/>
      <c r="BV64" s="222" t="str">
        <f t="shared" si="1"/>
        <v/>
      </c>
    </row>
    <row r="65" spans="1:74" s="108" customFormat="1" ht="15.75">
      <c r="A65" s="119"/>
      <c r="B65" s="120"/>
      <c r="C65" s="111"/>
      <c r="D65" s="111"/>
      <c r="E65" s="121"/>
      <c r="F65" s="121"/>
      <c r="G65" s="113"/>
      <c r="H65" s="199" t="str">
        <f t="shared" si="0"/>
        <v/>
      </c>
      <c r="I65" s="200" t="str">
        <f>IF(E65="","",IF(AND(BV65&lt;=66),VLOOKUP(H65,'LetterID Look Up'!$A$13:$B$20,2,TRUE),IF(AND(BV65&gt;=67,BV65&lt;=72),VLOOKUP(H65,'LetterID Look Up'!$E$13:$F$19,2,TRUE),IF(AND(BV65&gt;=73,BV65&lt;=78),VLOOKUP(H65,'LetterID Look Up'!$I$13:$J$19,2,TRUE),IF(AND(BV65&gt;=79),VLOOKUP(H65,'LetterID Look Up'!$M$13:$N$17,2,TRUE),"")))))</f>
        <v/>
      </c>
      <c r="J65" s="122"/>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95"/>
      <c r="AH65" s="112"/>
      <c r="AI65" s="196"/>
      <c r="AJ65" s="197"/>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96"/>
      <c r="BV65" s="222" t="str">
        <f t="shared" si="1"/>
        <v/>
      </c>
    </row>
    <row r="66" spans="1:74" s="108" customFormat="1" ht="15.75">
      <c r="A66" s="119"/>
      <c r="B66" s="120"/>
      <c r="C66" s="111"/>
      <c r="D66" s="111"/>
      <c r="E66" s="121"/>
      <c r="F66" s="121"/>
      <c r="G66" s="113"/>
      <c r="H66" s="199" t="str">
        <f t="shared" si="0"/>
        <v/>
      </c>
      <c r="I66" s="200" t="str">
        <f>IF(E66="","",IF(AND(BV66&lt;=66),VLOOKUP(H66,'LetterID Look Up'!$A$13:$B$20,2,TRUE),IF(AND(BV66&gt;=67,BV66&lt;=72),VLOOKUP(H66,'LetterID Look Up'!$E$13:$F$19,2,TRUE),IF(AND(BV66&gt;=73,BV66&lt;=78),VLOOKUP(H66,'LetterID Look Up'!$I$13:$J$19,2,TRUE),IF(AND(BV66&gt;=79),VLOOKUP(H66,'LetterID Look Up'!$M$13:$N$17,2,TRUE),"")))))</f>
        <v/>
      </c>
      <c r="J66" s="122"/>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95"/>
      <c r="AH66" s="112"/>
      <c r="AI66" s="196"/>
      <c r="AJ66" s="197"/>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96"/>
      <c r="BV66" s="222" t="str">
        <f t="shared" si="1"/>
        <v/>
      </c>
    </row>
    <row r="67" spans="1:74" s="108" customFormat="1" ht="15.75">
      <c r="A67" s="119"/>
      <c r="B67" s="120"/>
      <c r="C67" s="111"/>
      <c r="D67" s="111"/>
      <c r="E67" s="121"/>
      <c r="F67" s="121"/>
      <c r="G67" s="113"/>
      <c r="H67" s="199" t="str">
        <f t="shared" si="0"/>
        <v/>
      </c>
      <c r="I67" s="200" t="str">
        <f>IF(E67="","",IF(AND(BV67&lt;=66),VLOOKUP(H67,'LetterID Look Up'!$A$13:$B$20,2,TRUE),IF(AND(BV67&gt;=67,BV67&lt;=72),VLOOKUP(H67,'LetterID Look Up'!$E$13:$F$19,2,TRUE),IF(AND(BV67&gt;=73,BV67&lt;=78),VLOOKUP(H67,'LetterID Look Up'!$I$13:$J$19,2,TRUE),IF(AND(BV67&gt;=79),VLOOKUP(H67,'LetterID Look Up'!$M$13:$N$17,2,TRUE),"")))))</f>
        <v/>
      </c>
      <c r="J67" s="122"/>
      <c r="K67" s="111"/>
      <c r="L67" s="111"/>
      <c r="M67" s="111"/>
      <c r="N67" s="111"/>
      <c r="O67" s="111"/>
      <c r="P67" s="111"/>
      <c r="Q67" s="111"/>
      <c r="R67" s="111"/>
      <c r="S67" s="111"/>
      <c r="T67" s="111"/>
      <c r="U67" s="111"/>
      <c r="V67" s="111"/>
      <c r="W67" s="111"/>
      <c r="X67" s="111"/>
      <c r="Y67" s="111"/>
      <c r="Z67" s="111"/>
      <c r="AA67" s="111"/>
      <c r="AB67" s="111"/>
      <c r="AC67" s="111"/>
      <c r="AD67" s="111"/>
      <c r="AE67" s="111"/>
      <c r="AF67" s="111"/>
      <c r="AG67" s="195"/>
      <c r="AH67" s="112"/>
      <c r="AI67" s="196"/>
      <c r="AJ67" s="197"/>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96"/>
      <c r="BV67" s="222" t="str">
        <f t="shared" si="1"/>
        <v/>
      </c>
    </row>
    <row r="68" spans="1:74" s="108" customFormat="1" ht="15.75">
      <c r="A68" s="119"/>
      <c r="B68" s="120"/>
      <c r="C68" s="111"/>
      <c r="D68" s="111"/>
      <c r="E68" s="121"/>
      <c r="F68" s="121"/>
      <c r="G68" s="113"/>
      <c r="H68" s="199" t="str">
        <f t="shared" si="0"/>
        <v/>
      </c>
      <c r="I68" s="200" t="str">
        <f>IF(E68="","",IF(AND(BV68&lt;=66),VLOOKUP(H68,'LetterID Look Up'!$A$13:$B$20,2,TRUE),IF(AND(BV68&gt;=67,BV68&lt;=72),VLOOKUP(H68,'LetterID Look Up'!$E$13:$F$19,2,TRUE),IF(AND(BV68&gt;=73,BV68&lt;=78),VLOOKUP(H68,'LetterID Look Up'!$I$13:$J$19,2,TRUE),IF(AND(BV68&gt;=79),VLOOKUP(H68,'LetterID Look Up'!$M$13:$N$17,2,TRUE),"")))))</f>
        <v/>
      </c>
      <c r="J68" s="122"/>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95"/>
      <c r="AH68" s="112"/>
      <c r="AI68" s="196"/>
      <c r="AJ68" s="197"/>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96"/>
      <c r="BV68" s="222" t="str">
        <f t="shared" si="1"/>
        <v/>
      </c>
    </row>
    <row r="69" spans="1:74" s="108" customFormat="1" ht="15.75">
      <c r="A69" s="119"/>
      <c r="B69" s="120"/>
      <c r="C69" s="111"/>
      <c r="D69" s="111"/>
      <c r="E69" s="121"/>
      <c r="F69" s="121"/>
      <c r="G69" s="113"/>
      <c r="H69" s="199" t="str">
        <f t="shared" si="0"/>
        <v/>
      </c>
      <c r="I69" s="200" t="str">
        <f>IF(E69="","",IF(AND(BV69&lt;=66),VLOOKUP(H69,'LetterID Look Up'!$A$13:$B$20,2,TRUE),IF(AND(BV69&gt;=67,BV69&lt;=72),VLOOKUP(H69,'LetterID Look Up'!$E$13:$F$19,2,TRUE),IF(AND(BV69&gt;=73,BV69&lt;=78),VLOOKUP(H69,'LetterID Look Up'!$I$13:$J$19,2,TRUE),IF(AND(BV69&gt;=79),VLOOKUP(H69,'LetterID Look Up'!$M$13:$N$17,2,TRUE),"")))))</f>
        <v/>
      </c>
      <c r="J69" s="122"/>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95"/>
      <c r="AH69" s="112"/>
      <c r="AI69" s="196"/>
      <c r="AJ69" s="197"/>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96"/>
      <c r="BV69" s="222" t="str">
        <f t="shared" si="1"/>
        <v/>
      </c>
    </row>
    <row r="70" spans="1:74" s="108" customFormat="1" ht="15.75">
      <c r="A70" s="119"/>
      <c r="B70" s="120"/>
      <c r="C70" s="111"/>
      <c r="D70" s="111"/>
      <c r="E70" s="121"/>
      <c r="F70" s="121"/>
      <c r="G70" s="113"/>
      <c r="H70" s="199" t="str">
        <f t="shared" si="0"/>
        <v/>
      </c>
      <c r="I70" s="200" t="str">
        <f>IF(E70="","",IF(AND(BV70&lt;=66),VLOOKUP(H70,'LetterID Look Up'!$A$13:$B$20,2,TRUE),IF(AND(BV70&gt;=67,BV70&lt;=72),VLOOKUP(H70,'LetterID Look Up'!$E$13:$F$19,2,TRUE),IF(AND(BV70&gt;=73,BV70&lt;=78),VLOOKUP(H70,'LetterID Look Up'!$I$13:$J$19,2,TRUE),IF(AND(BV70&gt;=79),VLOOKUP(H70,'LetterID Look Up'!$M$13:$N$17,2,TRUE),"")))))</f>
        <v/>
      </c>
      <c r="J70" s="122"/>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95"/>
      <c r="AH70" s="112"/>
      <c r="AI70" s="196"/>
      <c r="AJ70" s="197"/>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96"/>
      <c r="BV70" s="222" t="str">
        <f t="shared" si="1"/>
        <v/>
      </c>
    </row>
    <row r="71" spans="1:74" s="108" customFormat="1" ht="15.75">
      <c r="A71" s="119"/>
      <c r="B71" s="120"/>
      <c r="C71" s="111"/>
      <c r="D71" s="111"/>
      <c r="E71" s="121"/>
      <c r="F71" s="121"/>
      <c r="G71" s="113"/>
      <c r="H71" s="199" t="str">
        <f t="shared" si="0"/>
        <v/>
      </c>
      <c r="I71" s="200" t="str">
        <f>IF(E71="","",IF(AND(BV71&lt;=66),VLOOKUP(H71,'LetterID Look Up'!$A$13:$B$20,2,TRUE),IF(AND(BV71&gt;=67,BV71&lt;=72),VLOOKUP(H71,'LetterID Look Up'!$E$13:$F$19,2,TRUE),IF(AND(BV71&gt;=73,BV71&lt;=78),VLOOKUP(H71,'LetterID Look Up'!$I$13:$J$19,2,TRUE),IF(AND(BV71&gt;=79),VLOOKUP(H71,'LetterID Look Up'!$M$13:$N$17,2,TRUE),"")))))</f>
        <v/>
      </c>
      <c r="J71" s="122"/>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95"/>
      <c r="AH71" s="112"/>
      <c r="AI71" s="196"/>
      <c r="AJ71" s="197"/>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96"/>
      <c r="BV71" s="222" t="str">
        <f t="shared" si="1"/>
        <v/>
      </c>
    </row>
    <row r="72" spans="1:74" s="108" customFormat="1" ht="15.75">
      <c r="A72" s="119"/>
      <c r="B72" s="120"/>
      <c r="C72" s="111"/>
      <c r="D72" s="111"/>
      <c r="E72" s="121"/>
      <c r="F72" s="121"/>
      <c r="G72" s="113"/>
      <c r="H72" s="199" t="str">
        <f t="shared" ref="H72:H135" si="2">IF(E72="","",COUNTIF(J72:BK72,"y"))</f>
        <v/>
      </c>
      <c r="I72" s="200" t="str">
        <f>IF(E72="","",IF(AND(BV72&lt;=66),VLOOKUP(H72,'LetterID Look Up'!$A$13:$B$20,2,TRUE),IF(AND(BV72&gt;=67,BV72&lt;=72),VLOOKUP(H72,'LetterID Look Up'!$E$13:$F$19,2,TRUE),IF(AND(BV72&gt;=73,BV72&lt;=78),VLOOKUP(H72,'LetterID Look Up'!$I$13:$J$19,2,TRUE),IF(AND(BV72&gt;=79),VLOOKUP(H72,'LetterID Look Up'!$M$13:$N$17,2,TRUE),"")))))</f>
        <v/>
      </c>
      <c r="J72" s="122"/>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95"/>
      <c r="AH72" s="112"/>
      <c r="AI72" s="196"/>
      <c r="AJ72" s="197"/>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96"/>
      <c r="BV72" s="222" t="str">
        <f t="shared" ref="BV72:BV135" si="3">IF(E72="","",DATEDIF(B72,A72,"m"))</f>
        <v/>
      </c>
    </row>
    <row r="73" spans="1:74" s="108" customFormat="1" ht="15.75">
      <c r="A73" s="119"/>
      <c r="B73" s="120"/>
      <c r="C73" s="111"/>
      <c r="D73" s="111"/>
      <c r="E73" s="121"/>
      <c r="F73" s="121"/>
      <c r="G73" s="113"/>
      <c r="H73" s="199" t="str">
        <f t="shared" si="2"/>
        <v/>
      </c>
      <c r="I73" s="200" t="str">
        <f>IF(E73="","",IF(AND(BV73&lt;=66),VLOOKUP(H73,'LetterID Look Up'!$A$13:$B$20,2,TRUE),IF(AND(BV73&gt;=67,BV73&lt;=72),VLOOKUP(H73,'LetterID Look Up'!$E$13:$F$19,2,TRUE),IF(AND(BV73&gt;=73,BV73&lt;=78),VLOOKUP(H73,'LetterID Look Up'!$I$13:$J$19,2,TRUE),IF(AND(BV73&gt;=79),VLOOKUP(H73,'LetterID Look Up'!$M$13:$N$17,2,TRUE),"")))))</f>
        <v/>
      </c>
      <c r="J73" s="122"/>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95"/>
      <c r="AH73" s="112"/>
      <c r="AI73" s="196"/>
      <c r="AJ73" s="197"/>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96"/>
      <c r="BV73" s="222" t="str">
        <f t="shared" si="3"/>
        <v/>
      </c>
    </row>
    <row r="74" spans="1:74" s="108" customFormat="1" ht="15.75">
      <c r="A74" s="119"/>
      <c r="B74" s="120"/>
      <c r="C74" s="111"/>
      <c r="D74" s="111"/>
      <c r="E74" s="121"/>
      <c r="F74" s="121"/>
      <c r="G74" s="113"/>
      <c r="H74" s="199" t="str">
        <f t="shared" si="2"/>
        <v/>
      </c>
      <c r="I74" s="200" t="str">
        <f>IF(E74="","",IF(AND(BV74&lt;=66),VLOOKUP(H74,'LetterID Look Up'!$A$13:$B$20,2,TRUE),IF(AND(BV74&gt;=67,BV74&lt;=72),VLOOKUP(H74,'LetterID Look Up'!$E$13:$F$19,2,TRUE),IF(AND(BV74&gt;=73,BV74&lt;=78),VLOOKUP(H74,'LetterID Look Up'!$I$13:$J$19,2,TRUE),IF(AND(BV74&gt;=79),VLOOKUP(H74,'LetterID Look Up'!$M$13:$N$17,2,TRUE),"")))))</f>
        <v/>
      </c>
      <c r="J74" s="122"/>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95"/>
      <c r="AH74" s="112"/>
      <c r="AI74" s="196"/>
      <c r="AJ74" s="197"/>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96"/>
      <c r="BV74" s="222" t="str">
        <f t="shared" si="3"/>
        <v/>
      </c>
    </row>
    <row r="75" spans="1:74" s="108" customFormat="1" ht="15.75">
      <c r="A75" s="119"/>
      <c r="B75" s="120"/>
      <c r="C75" s="111"/>
      <c r="D75" s="111"/>
      <c r="E75" s="121"/>
      <c r="F75" s="121"/>
      <c r="G75" s="113"/>
      <c r="H75" s="199" t="str">
        <f t="shared" si="2"/>
        <v/>
      </c>
      <c r="I75" s="200" t="str">
        <f>IF(E75="","",IF(AND(BV75&lt;=66),VLOOKUP(H75,'LetterID Look Up'!$A$13:$B$20,2,TRUE),IF(AND(BV75&gt;=67,BV75&lt;=72),VLOOKUP(H75,'LetterID Look Up'!$E$13:$F$19,2,TRUE),IF(AND(BV75&gt;=73,BV75&lt;=78),VLOOKUP(H75,'LetterID Look Up'!$I$13:$J$19,2,TRUE),IF(AND(BV75&gt;=79),VLOOKUP(H75,'LetterID Look Up'!$M$13:$N$17,2,TRUE),"")))))</f>
        <v/>
      </c>
      <c r="J75" s="122"/>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95"/>
      <c r="AH75" s="112"/>
      <c r="AI75" s="196"/>
      <c r="AJ75" s="197"/>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96"/>
      <c r="BV75" s="222" t="str">
        <f t="shared" si="3"/>
        <v/>
      </c>
    </row>
    <row r="76" spans="1:74" s="108" customFormat="1" ht="15.75">
      <c r="A76" s="119"/>
      <c r="B76" s="120"/>
      <c r="C76" s="111"/>
      <c r="D76" s="111"/>
      <c r="E76" s="121"/>
      <c r="F76" s="121"/>
      <c r="G76" s="113"/>
      <c r="H76" s="199" t="str">
        <f t="shared" si="2"/>
        <v/>
      </c>
      <c r="I76" s="200" t="str">
        <f>IF(E76="","",IF(AND(BV76&lt;=66),VLOOKUP(H76,'LetterID Look Up'!$A$13:$B$20,2,TRUE),IF(AND(BV76&gt;=67,BV76&lt;=72),VLOOKUP(H76,'LetterID Look Up'!$E$13:$F$19,2,TRUE),IF(AND(BV76&gt;=73,BV76&lt;=78),VLOOKUP(H76,'LetterID Look Up'!$I$13:$J$19,2,TRUE),IF(AND(BV76&gt;=79),VLOOKUP(H76,'LetterID Look Up'!$M$13:$N$17,2,TRUE),"")))))</f>
        <v/>
      </c>
      <c r="J76" s="122"/>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95"/>
      <c r="AH76" s="112"/>
      <c r="AI76" s="196"/>
      <c r="AJ76" s="197"/>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96"/>
      <c r="BV76" s="222" t="str">
        <f t="shared" si="3"/>
        <v/>
      </c>
    </row>
    <row r="77" spans="1:74" s="108" customFormat="1" ht="15.75">
      <c r="A77" s="119"/>
      <c r="B77" s="120"/>
      <c r="C77" s="111"/>
      <c r="D77" s="111"/>
      <c r="E77" s="121"/>
      <c r="F77" s="121"/>
      <c r="G77" s="113"/>
      <c r="H77" s="199" t="str">
        <f t="shared" si="2"/>
        <v/>
      </c>
      <c r="I77" s="200" t="str">
        <f>IF(E77="","",IF(AND(BV77&lt;=66),VLOOKUP(H77,'LetterID Look Up'!$A$13:$B$20,2,TRUE),IF(AND(BV77&gt;=67,BV77&lt;=72),VLOOKUP(H77,'LetterID Look Up'!$E$13:$F$19,2,TRUE),IF(AND(BV77&gt;=73,BV77&lt;=78),VLOOKUP(H77,'LetterID Look Up'!$I$13:$J$19,2,TRUE),IF(AND(BV77&gt;=79),VLOOKUP(H77,'LetterID Look Up'!$M$13:$N$17,2,TRUE),"")))))</f>
        <v/>
      </c>
      <c r="J77" s="122"/>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95"/>
      <c r="AH77" s="112"/>
      <c r="AI77" s="196"/>
      <c r="AJ77" s="197"/>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96"/>
      <c r="BV77" s="222" t="str">
        <f t="shared" si="3"/>
        <v/>
      </c>
    </row>
    <row r="78" spans="1:74" s="108" customFormat="1" ht="15.75">
      <c r="A78" s="119"/>
      <c r="B78" s="120"/>
      <c r="C78" s="111"/>
      <c r="D78" s="111"/>
      <c r="E78" s="121"/>
      <c r="F78" s="121"/>
      <c r="G78" s="113"/>
      <c r="H78" s="199" t="str">
        <f t="shared" si="2"/>
        <v/>
      </c>
      <c r="I78" s="200" t="str">
        <f>IF(E78="","",IF(AND(BV78&lt;=66),VLOOKUP(H78,'LetterID Look Up'!$A$13:$B$20,2,TRUE),IF(AND(BV78&gt;=67,BV78&lt;=72),VLOOKUP(H78,'LetterID Look Up'!$E$13:$F$19,2,TRUE),IF(AND(BV78&gt;=73,BV78&lt;=78),VLOOKUP(H78,'LetterID Look Up'!$I$13:$J$19,2,TRUE),IF(AND(BV78&gt;=79),VLOOKUP(H78,'LetterID Look Up'!$M$13:$N$17,2,TRUE),"")))))</f>
        <v/>
      </c>
      <c r="J78" s="122"/>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95"/>
      <c r="AH78" s="112"/>
      <c r="AI78" s="196"/>
      <c r="AJ78" s="197"/>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96"/>
      <c r="BV78" s="222" t="str">
        <f t="shared" si="3"/>
        <v/>
      </c>
    </row>
    <row r="79" spans="1:74" s="108" customFormat="1" ht="15.75">
      <c r="A79" s="119"/>
      <c r="B79" s="120"/>
      <c r="C79" s="111"/>
      <c r="D79" s="111"/>
      <c r="E79" s="121"/>
      <c r="F79" s="121"/>
      <c r="G79" s="113"/>
      <c r="H79" s="199" t="str">
        <f t="shared" si="2"/>
        <v/>
      </c>
      <c r="I79" s="200" t="str">
        <f>IF(E79="","",IF(AND(BV79&lt;=66),VLOOKUP(H79,'LetterID Look Up'!$A$13:$B$20,2,TRUE),IF(AND(BV79&gt;=67,BV79&lt;=72),VLOOKUP(H79,'LetterID Look Up'!$E$13:$F$19,2,TRUE),IF(AND(BV79&gt;=73,BV79&lt;=78),VLOOKUP(H79,'LetterID Look Up'!$I$13:$J$19,2,TRUE),IF(AND(BV79&gt;=79),VLOOKUP(H79,'LetterID Look Up'!$M$13:$N$17,2,TRUE),"")))))</f>
        <v/>
      </c>
      <c r="J79" s="122"/>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95"/>
      <c r="AH79" s="112"/>
      <c r="AI79" s="196"/>
      <c r="AJ79" s="197"/>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96"/>
      <c r="BV79" s="222" t="str">
        <f t="shared" si="3"/>
        <v/>
      </c>
    </row>
    <row r="80" spans="1:74" s="108" customFormat="1" ht="15.75">
      <c r="A80" s="119"/>
      <c r="B80" s="120"/>
      <c r="C80" s="111"/>
      <c r="D80" s="111"/>
      <c r="E80" s="121"/>
      <c r="F80" s="121"/>
      <c r="G80" s="113"/>
      <c r="H80" s="199" t="str">
        <f t="shared" si="2"/>
        <v/>
      </c>
      <c r="I80" s="200" t="str">
        <f>IF(E80="","",IF(AND(BV80&lt;=66),VLOOKUP(H80,'LetterID Look Up'!$A$13:$B$20,2,TRUE),IF(AND(BV80&gt;=67,BV80&lt;=72),VLOOKUP(H80,'LetterID Look Up'!$E$13:$F$19,2,TRUE),IF(AND(BV80&gt;=73,BV80&lt;=78),VLOOKUP(H80,'LetterID Look Up'!$I$13:$J$19,2,TRUE),IF(AND(BV80&gt;=79),VLOOKUP(H80,'LetterID Look Up'!$M$13:$N$17,2,TRUE),"")))))</f>
        <v/>
      </c>
      <c r="J80" s="122"/>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95"/>
      <c r="AH80" s="112"/>
      <c r="AI80" s="196"/>
      <c r="AJ80" s="197"/>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96"/>
      <c r="BV80" s="222" t="str">
        <f t="shared" si="3"/>
        <v/>
      </c>
    </row>
    <row r="81" spans="1:74" s="108" customFormat="1" ht="15.75">
      <c r="A81" s="119"/>
      <c r="B81" s="120"/>
      <c r="C81" s="111"/>
      <c r="D81" s="111"/>
      <c r="E81" s="121"/>
      <c r="F81" s="121"/>
      <c r="G81" s="113"/>
      <c r="H81" s="199" t="str">
        <f t="shared" si="2"/>
        <v/>
      </c>
      <c r="I81" s="200" t="str">
        <f>IF(E81="","",IF(AND(BV81&lt;=66),VLOOKUP(H81,'LetterID Look Up'!$A$13:$B$20,2,TRUE),IF(AND(BV81&gt;=67,BV81&lt;=72),VLOOKUP(H81,'LetterID Look Up'!$E$13:$F$19,2,TRUE),IF(AND(BV81&gt;=73,BV81&lt;=78),VLOOKUP(H81,'LetterID Look Up'!$I$13:$J$19,2,TRUE),IF(AND(BV81&gt;=79),VLOOKUP(H81,'LetterID Look Up'!$M$13:$N$17,2,TRUE),"")))))</f>
        <v/>
      </c>
      <c r="J81" s="122"/>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95"/>
      <c r="AH81" s="112"/>
      <c r="AI81" s="196"/>
      <c r="AJ81" s="197"/>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96"/>
      <c r="BV81" s="222" t="str">
        <f t="shared" si="3"/>
        <v/>
      </c>
    </row>
    <row r="82" spans="1:74" s="108" customFormat="1" ht="15.75">
      <c r="A82" s="119"/>
      <c r="B82" s="120"/>
      <c r="C82" s="111"/>
      <c r="D82" s="111"/>
      <c r="E82" s="121"/>
      <c r="F82" s="121"/>
      <c r="G82" s="113"/>
      <c r="H82" s="199" t="str">
        <f t="shared" si="2"/>
        <v/>
      </c>
      <c r="I82" s="200" t="str">
        <f>IF(E82="","",IF(AND(BV82&lt;=66),VLOOKUP(H82,'LetterID Look Up'!$A$13:$B$20,2,TRUE),IF(AND(BV82&gt;=67,BV82&lt;=72),VLOOKUP(H82,'LetterID Look Up'!$E$13:$F$19,2,TRUE),IF(AND(BV82&gt;=73,BV82&lt;=78),VLOOKUP(H82,'LetterID Look Up'!$I$13:$J$19,2,TRUE),IF(AND(BV82&gt;=79),VLOOKUP(H82,'LetterID Look Up'!$M$13:$N$17,2,TRUE),"")))))</f>
        <v/>
      </c>
      <c r="J82" s="122"/>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95"/>
      <c r="AH82" s="112"/>
      <c r="AI82" s="196"/>
      <c r="AJ82" s="197"/>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96"/>
      <c r="BV82" s="222" t="str">
        <f t="shared" si="3"/>
        <v/>
      </c>
    </row>
    <row r="83" spans="1:74" s="108" customFormat="1" ht="15.75">
      <c r="A83" s="119"/>
      <c r="B83" s="120"/>
      <c r="C83" s="111"/>
      <c r="D83" s="111"/>
      <c r="E83" s="121"/>
      <c r="F83" s="121"/>
      <c r="G83" s="113"/>
      <c r="H83" s="199" t="str">
        <f t="shared" si="2"/>
        <v/>
      </c>
      <c r="I83" s="200" t="str">
        <f>IF(E83="","",IF(AND(BV83&lt;=66),VLOOKUP(H83,'LetterID Look Up'!$A$13:$B$20,2,TRUE),IF(AND(BV83&gt;=67,BV83&lt;=72),VLOOKUP(H83,'LetterID Look Up'!$E$13:$F$19,2,TRUE),IF(AND(BV83&gt;=73,BV83&lt;=78),VLOOKUP(H83,'LetterID Look Up'!$I$13:$J$19,2,TRUE),IF(AND(BV83&gt;=79),VLOOKUP(H83,'LetterID Look Up'!$M$13:$N$17,2,TRUE),"")))))</f>
        <v/>
      </c>
      <c r="J83" s="122"/>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95"/>
      <c r="AH83" s="112"/>
      <c r="AI83" s="196"/>
      <c r="AJ83" s="197"/>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96"/>
      <c r="BV83" s="222" t="str">
        <f t="shared" si="3"/>
        <v/>
      </c>
    </row>
    <row r="84" spans="1:74" s="108" customFormat="1" ht="15.75">
      <c r="A84" s="119"/>
      <c r="B84" s="120"/>
      <c r="C84" s="111"/>
      <c r="D84" s="111"/>
      <c r="E84" s="121"/>
      <c r="F84" s="121"/>
      <c r="G84" s="113"/>
      <c r="H84" s="199" t="str">
        <f t="shared" si="2"/>
        <v/>
      </c>
      <c r="I84" s="200" t="str">
        <f>IF(E84="","",IF(AND(BV84&lt;=66),VLOOKUP(H84,'LetterID Look Up'!$A$13:$B$20,2,TRUE),IF(AND(BV84&gt;=67,BV84&lt;=72),VLOOKUP(H84,'LetterID Look Up'!$E$13:$F$19,2,TRUE),IF(AND(BV84&gt;=73,BV84&lt;=78),VLOOKUP(H84,'LetterID Look Up'!$I$13:$J$19,2,TRUE),IF(AND(BV84&gt;=79),VLOOKUP(H84,'LetterID Look Up'!$M$13:$N$17,2,TRUE),"")))))</f>
        <v/>
      </c>
      <c r="J84" s="122"/>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95"/>
      <c r="AH84" s="112"/>
      <c r="AI84" s="196"/>
      <c r="AJ84" s="197"/>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96"/>
      <c r="BV84" s="222" t="str">
        <f t="shared" si="3"/>
        <v/>
      </c>
    </row>
    <row r="85" spans="1:74" s="108" customFormat="1" ht="15.75">
      <c r="A85" s="119"/>
      <c r="B85" s="120"/>
      <c r="C85" s="111"/>
      <c r="D85" s="111"/>
      <c r="E85" s="121"/>
      <c r="F85" s="121"/>
      <c r="G85" s="113"/>
      <c r="H85" s="199" t="str">
        <f t="shared" si="2"/>
        <v/>
      </c>
      <c r="I85" s="200" t="str">
        <f>IF(E85="","",IF(AND(BV85&lt;=66),VLOOKUP(H85,'LetterID Look Up'!$A$13:$B$20,2,TRUE),IF(AND(BV85&gt;=67,BV85&lt;=72),VLOOKUP(H85,'LetterID Look Up'!$E$13:$F$19,2,TRUE),IF(AND(BV85&gt;=73,BV85&lt;=78),VLOOKUP(H85,'LetterID Look Up'!$I$13:$J$19,2,TRUE),IF(AND(BV85&gt;=79),VLOOKUP(H85,'LetterID Look Up'!$M$13:$N$17,2,TRUE),"")))))</f>
        <v/>
      </c>
      <c r="J85" s="122"/>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95"/>
      <c r="AH85" s="112"/>
      <c r="AI85" s="196"/>
      <c r="AJ85" s="197"/>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96"/>
      <c r="BV85" s="222" t="str">
        <f t="shared" si="3"/>
        <v/>
      </c>
    </row>
    <row r="86" spans="1:74" s="108" customFormat="1" ht="15.75">
      <c r="A86" s="119"/>
      <c r="B86" s="120"/>
      <c r="C86" s="111"/>
      <c r="D86" s="111"/>
      <c r="E86" s="121"/>
      <c r="F86" s="121"/>
      <c r="G86" s="113"/>
      <c r="H86" s="199" t="str">
        <f t="shared" si="2"/>
        <v/>
      </c>
      <c r="I86" s="200" t="str">
        <f>IF(E86="","",IF(AND(BV86&lt;=66),VLOOKUP(H86,'LetterID Look Up'!$A$13:$B$20,2,TRUE),IF(AND(BV86&gt;=67,BV86&lt;=72),VLOOKUP(H86,'LetterID Look Up'!$E$13:$F$19,2,TRUE),IF(AND(BV86&gt;=73,BV86&lt;=78),VLOOKUP(H86,'LetterID Look Up'!$I$13:$J$19,2,TRUE),IF(AND(BV86&gt;=79),VLOOKUP(H86,'LetterID Look Up'!$M$13:$N$17,2,TRUE),"")))))</f>
        <v/>
      </c>
      <c r="J86" s="122"/>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95"/>
      <c r="AH86" s="112"/>
      <c r="AI86" s="196"/>
      <c r="AJ86" s="197"/>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96"/>
      <c r="BV86" s="222" t="str">
        <f t="shared" si="3"/>
        <v/>
      </c>
    </row>
    <row r="87" spans="1:74" s="108" customFormat="1" ht="15.75">
      <c r="A87" s="119"/>
      <c r="B87" s="120"/>
      <c r="C87" s="111"/>
      <c r="D87" s="111"/>
      <c r="E87" s="121"/>
      <c r="F87" s="121"/>
      <c r="G87" s="113"/>
      <c r="H87" s="199" t="str">
        <f t="shared" si="2"/>
        <v/>
      </c>
      <c r="I87" s="200" t="str">
        <f>IF(E87="","",IF(AND(BV87&lt;=66),VLOOKUP(H87,'LetterID Look Up'!$A$13:$B$20,2,TRUE),IF(AND(BV87&gt;=67,BV87&lt;=72),VLOOKUP(H87,'LetterID Look Up'!$E$13:$F$19,2,TRUE),IF(AND(BV87&gt;=73,BV87&lt;=78),VLOOKUP(H87,'LetterID Look Up'!$I$13:$J$19,2,TRUE),IF(AND(BV87&gt;=79),VLOOKUP(H87,'LetterID Look Up'!$M$13:$N$17,2,TRUE),"")))))</f>
        <v/>
      </c>
      <c r="J87" s="122"/>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95"/>
      <c r="AH87" s="112"/>
      <c r="AI87" s="196"/>
      <c r="AJ87" s="197"/>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96"/>
      <c r="BV87" s="222" t="str">
        <f t="shared" si="3"/>
        <v/>
      </c>
    </row>
    <row r="88" spans="1:74" s="108" customFormat="1" ht="15.75">
      <c r="A88" s="119"/>
      <c r="B88" s="120"/>
      <c r="C88" s="111"/>
      <c r="D88" s="111"/>
      <c r="E88" s="121"/>
      <c r="F88" s="121"/>
      <c r="G88" s="113"/>
      <c r="H88" s="199" t="str">
        <f t="shared" si="2"/>
        <v/>
      </c>
      <c r="I88" s="200" t="str">
        <f>IF(E88="","",IF(AND(BV88&lt;=66),VLOOKUP(H88,'LetterID Look Up'!$A$13:$B$20,2,TRUE),IF(AND(BV88&gt;=67,BV88&lt;=72),VLOOKUP(H88,'LetterID Look Up'!$E$13:$F$19,2,TRUE),IF(AND(BV88&gt;=73,BV88&lt;=78),VLOOKUP(H88,'LetterID Look Up'!$I$13:$J$19,2,TRUE),IF(AND(BV88&gt;=79),VLOOKUP(H88,'LetterID Look Up'!$M$13:$N$17,2,TRUE),"")))))</f>
        <v/>
      </c>
      <c r="J88" s="122"/>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95"/>
      <c r="AH88" s="112"/>
      <c r="AI88" s="196"/>
      <c r="AJ88" s="197"/>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96"/>
      <c r="BV88" s="222" t="str">
        <f t="shared" si="3"/>
        <v/>
      </c>
    </row>
    <row r="89" spans="1:74" s="108" customFormat="1" ht="15.75">
      <c r="A89" s="119"/>
      <c r="B89" s="120"/>
      <c r="C89" s="111"/>
      <c r="D89" s="111"/>
      <c r="E89" s="121"/>
      <c r="F89" s="121"/>
      <c r="G89" s="113"/>
      <c r="H89" s="199" t="str">
        <f t="shared" si="2"/>
        <v/>
      </c>
      <c r="I89" s="200" t="str">
        <f>IF(E89="","",IF(AND(BV89&lt;=66),VLOOKUP(H89,'LetterID Look Up'!$A$13:$B$20,2,TRUE),IF(AND(BV89&gt;=67,BV89&lt;=72),VLOOKUP(H89,'LetterID Look Up'!$E$13:$F$19,2,TRUE),IF(AND(BV89&gt;=73,BV89&lt;=78),VLOOKUP(H89,'LetterID Look Up'!$I$13:$J$19,2,TRUE),IF(AND(BV89&gt;=79),VLOOKUP(H89,'LetterID Look Up'!$M$13:$N$17,2,TRUE),"")))))</f>
        <v/>
      </c>
      <c r="J89" s="122"/>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95"/>
      <c r="AH89" s="112"/>
      <c r="AI89" s="196"/>
      <c r="AJ89" s="197"/>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96"/>
      <c r="BV89" s="222" t="str">
        <f t="shared" si="3"/>
        <v/>
      </c>
    </row>
    <row r="90" spans="1:74" s="108" customFormat="1" ht="15.75">
      <c r="A90" s="119"/>
      <c r="B90" s="120"/>
      <c r="C90" s="111"/>
      <c r="D90" s="111"/>
      <c r="E90" s="121"/>
      <c r="F90" s="121"/>
      <c r="G90" s="113"/>
      <c r="H90" s="199" t="str">
        <f t="shared" si="2"/>
        <v/>
      </c>
      <c r="I90" s="200" t="str">
        <f>IF(E90="","",IF(AND(BV90&lt;=66),VLOOKUP(H90,'LetterID Look Up'!$A$13:$B$20,2,TRUE),IF(AND(BV90&gt;=67,BV90&lt;=72),VLOOKUP(H90,'LetterID Look Up'!$E$13:$F$19,2,TRUE),IF(AND(BV90&gt;=73,BV90&lt;=78),VLOOKUP(H90,'LetterID Look Up'!$I$13:$J$19,2,TRUE),IF(AND(BV90&gt;=79),VLOOKUP(H90,'LetterID Look Up'!$M$13:$N$17,2,TRUE),"")))))</f>
        <v/>
      </c>
      <c r="J90" s="122"/>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95"/>
      <c r="AH90" s="112"/>
      <c r="AI90" s="196"/>
      <c r="AJ90" s="197"/>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96"/>
      <c r="BV90" s="222" t="str">
        <f t="shared" si="3"/>
        <v/>
      </c>
    </row>
    <row r="91" spans="1:74" s="108" customFormat="1" ht="15.75">
      <c r="A91" s="119"/>
      <c r="B91" s="120"/>
      <c r="C91" s="111"/>
      <c r="D91" s="111"/>
      <c r="E91" s="121"/>
      <c r="F91" s="121"/>
      <c r="G91" s="113"/>
      <c r="H91" s="199" t="str">
        <f t="shared" si="2"/>
        <v/>
      </c>
      <c r="I91" s="200" t="str">
        <f>IF(E91="","",IF(AND(BV91&lt;=66),VLOOKUP(H91,'LetterID Look Up'!$A$13:$B$20,2,TRUE),IF(AND(BV91&gt;=67,BV91&lt;=72),VLOOKUP(H91,'LetterID Look Up'!$E$13:$F$19,2,TRUE),IF(AND(BV91&gt;=73,BV91&lt;=78),VLOOKUP(H91,'LetterID Look Up'!$I$13:$J$19,2,TRUE),IF(AND(BV91&gt;=79),VLOOKUP(H91,'LetterID Look Up'!$M$13:$N$17,2,TRUE),"")))))</f>
        <v/>
      </c>
      <c r="J91" s="122"/>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95"/>
      <c r="AH91" s="112"/>
      <c r="AI91" s="196"/>
      <c r="AJ91" s="197"/>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96"/>
      <c r="BV91" s="222" t="str">
        <f t="shared" si="3"/>
        <v/>
      </c>
    </row>
    <row r="92" spans="1:74" s="108" customFormat="1" ht="15.75">
      <c r="A92" s="119"/>
      <c r="B92" s="120"/>
      <c r="C92" s="111"/>
      <c r="D92" s="111"/>
      <c r="E92" s="121"/>
      <c r="F92" s="121"/>
      <c r="G92" s="113"/>
      <c r="H92" s="199" t="str">
        <f t="shared" si="2"/>
        <v/>
      </c>
      <c r="I92" s="200" t="str">
        <f>IF(E92="","",IF(AND(BV92&lt;=66),VLOOKUP(H92,'LetterID Look Up'!$A$13:$B$20,2,TRUE),IF(AND(BV92&gt;=67,BV92&lt;=72),VLOOKUP(H92,'LetterID Look Up'!$E$13:$F$19,2,TRUE),IF(AND(BV92&gt;=73,BV92&lt;=78),VLOOKUP(H92,'LetterID Look Up'!$I$13:$J$19,2,TRUE),IF(AND(BV92&gt;=79),VLOOKUP(H92,'LetterID Look Up'!$M$13:$N$17,2,TRUE),"")))))</f>
        <v/>
      </c>
      <c r="J92" s="122"/>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95"/>
      <c r="AH92" s="112"/>
      <c r="AI92" s="196"/>
      <c r="AJ92" s="197"/>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96"/>
      <c r="BV92" s="222" t="str">
        <f t="shared" si="3"/>
        <v/>
      </c>
    </row>
    <row r="93" spans="1:74" s="108" customFormat="1" ht="15.75">
      <c r="A93" s="119"/>
      <c r="B93" s="120"/>
      <c r="C93" s="111"/>
      <c r="D93" s="111"/>
      <c r="E93" s="121"/>
      <c r="F93" s="121"/>
      <c r="G93" s="113"/>
      <c r="H93" s="199" t="str">
        <f t="shared" si="2"/>
        <v/>
      </c>
      <c r="I93" s="200" t="str">
        <f>IF(E93="","",IF(AND(BV93&lt;=66),VLOOKUP(H93,'LetterID Look Up'!$A$13:$B$20,2,TRUE),IF(AND(BV93&gt;=67,BV93&lt;=72),VLOOKUP(H93,'LetterID Look Up'!$E$13:$F$19,2,TRUE),IF(AND(BV93&gt;=73,BV93&lt;=78),VLOOKUP(H93,'LetterID Look Up'!$I$13:$J$19,2,TRUE),IF(AND(BV93&gt;=79),VLOOKUP(H93,'LetterID Look Up'!$M$13:$N$17,2,TRUE),"")))))</f>
        <v/>
      </c>
      <c r="J93" s="122"/>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95"/>
      <c r="AH93" s="112"/>
      <c r="AI93" s="196"/>
      <c r="AJ93" s="197"/>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96"/>
      <c r="BV93" s="222" t="str">
        <f t="shared" si="3"/>
        <v/>
      </c>
    </row>
    <row r="94" spans="1:74" s="108" customFormat="1" ht="15.75">
      <c r="A94" s="119"/>
      <c r="B94" s="120"/>
      <c r="C94" s="111"/>
      <c r="D94" s="111"/>
      <c r="E94" s="121"/>
      <c r="F94" s="121"/>
      <c r="G94" s="113"/>
      <c r="H94" s="199" t="str">
        <f t="shared" si="2"/>
        <v/>
      </c>
      <c r="I94" s="200" t="str">
        <f>IF(E94="","",IF(AND(BV94&lt;=66),VLOOKUP(H94,'LetterID Look Up'!$A$13:$B$20,2,TRUE),IF(AND(BV94&gt;=67,BV94&lt;=72),VLOOKUP(H94,'LetterID Look Up'!$E$13:$F$19,2,TRUE),IF(AND(BV94&gt;=73,BV94&lt;=78),VLOOKUP(H94,'LetterID Look Up'!$I$13:$J$19,2,TRUE),IF(AND(BV94&gt;=79),VLOOKUP(H94,'LetterID Look Up'!$M$13:$N$17,2,TRUE),"")))))</f>
        <v/>
      </c>
      <c r="J94" s="122"/>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95"/>
      <c r="AH94" s="112"/>
      <c r="AI94" s="196"/>
      <c r="AJ94" s="197"/>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96"/>
      <c r="BV94" s="222" t="str">
        <f t="shared" si="3"/>
        <v/>
      </c>
    </row>
    <row r="95" spans="1:74" s="108" customFormat="1" ht="15.75">
      <c r="A95" s="119"/>
      <c r="B95" s="120"/>
      <c r="C95" s="111"/>
      <c r="D95" s="111"/>
      <c r="E95" s="121"/>
      <c r="F95" s="121"/>
      <c r="G95" s="113"/>
      <c r="H95" s="199" t="str">
        <f t="shared" si="2"/>
        <v/>
      </c>
      <c r="I95" s="200" t="str">
        <f>IF(E95="","",IF(AND(BV95&lt;=66),VLOOKUP(H95,'LetterID Look Up'!$A$13:$B$20,2,TRUE),IF(AND(BV95&gt;=67,BV95&lt;=72),VLOOKUP(H95,'LetterID Look Up'!$E$13:$F$19,2,TRUE),IF(AND(BV95&gt;=73,BV95&lt;=78),VLOOKUP(H95,'LetterID Look Up'!$I$13:$J$19,2,TRUE),IF(AND(BV95&gt;=79),VLOOKUP(H95,'LetterID Look Up'!$M$13:$N$17,2,TRUE),"")))))</f>
        <v/>
      </c>
      <c r="J95" s="122"/>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95"/>
      <c r="AH95" s="112"/>
      <c r="AI95" s="196"/>
      <c r="AJ95" s="197"/>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96"/>
      <c r="BV95" s="222" t="str">
        <f t="shared" si="3"/>
        <v/>
      </c>
    </row>
    <row r="96" spans="1:74" s="108" customFormat="1" ht="15.75">
      <c r="A96" s="119"/>
      <c r="B96" s="120"/>
      <c r="C96" s="111"/>
      <c r="D96" s="111"/>
      <c r="E96" s="121"/>
      <c r="F96" s="121"/>
      <c r="G96" s="113"/>
      <c r="H96" s="199" t="str">
        <f t="shared" si="2"/>
        <v/>
      </c>
      <c r="I96" s="200" t="str">
        <f>IF(E96="","",IF(AND(BV96&lt;=66),VLOOKUP(H96,'LetterID Look Up'!$A$13:$B$20,2,TRUE),IF(AND(BV96&gt;=67,BV96&lt;=72),VLOOKUP(H96,'LetterID Look Up'!$E$13:$F$19,2,TRUE),IF(AND(BV96&gt;=73,BV96&lt;=78),VLOOKUP(H96,'LetterID Look Up'!$I$13:$J$19,2,TRUE),IF(AND(BV96&gt;=79),VLOOKUP(H96,'LetterID Look Up'!$M$13:$N$17,2,TRUE),"")))))</f>
        <v/>
      </c>
      <c r="J96" s="122"/>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95"/>
      <c r="AH96" s="112"/>
      <c r="AI96" s="196"/>
      <c r="AJ96" s="197"/>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96"/>
      <c r="BV96" s="222" t="str">
        <f t="shared" si="3"/>
        <v/>
      </c>
    </row>
    <row r="97" spans="1:74" s="108" customFormat="1" ht="15.75">
      <c r="A97" s="119"/>
      <c r="B97" s="120"/>
      <c r="C97" s="111"/>
      <c r="D97" s="111"/>
      <c r="E97" s="121"/>
      <c r="F97" s="121"/>
      <c r="G97" s="113"/>
      <c r="H97" s="199" t="str">
        <f t="shared" si="2"/>
        <v/>
      </c>
      <c r="I97" s="200" t="str">
        <f>IF(E97="","",IF(AND(BV97&lt;=66),VLOOKUP(H97,'LetterID Look Up'!$A$13:$B$20,2,TRUE),IF(AND(BV97&gt;=67,BV97&lt;=72),VLOOKUP(H97,'LetterID Look Up'!$E$13:$F$19,2,TRUE),IF(AND(BV97&gt;=73,BV97&lt;=78),VLOOKUP(H97,'LetterID Look Up'!$I$13:$J$19,2,TRUE),IF(AND(BV97&gt;=79),VLOOKUP(H97,'LetterID Look Up'!$M$13:$N$17,2,TRUE),"")))))</f>
        <v/>
      </c>
      <c r="J97" s="122"/>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95"/>
      <c r="AH97" s="112"/>
      <c r="AI97" s="196"/>
      <c r="AJ97" s="197"/>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96"/>
      <c r="BV97" s="222" t="str">
        <f t="shared" si="3"/>
        <v/>
      </c>
    </row>
    <row r="98" spans="1:74" s="108" customFormat="1" ht="15.75">
      <c r="A98" s="119"/>
      <c r="B98" s="120"/>
      <c r="C98" s="111"/>
      <c r="D98" s="111"/>
      <c r="E98" s="121"/>
      <c r="F98" s="121"/>
      <c r="G98" s="113"/>
      <c r="H98" s="199" t="str">
        <f t="shared" si="2"/>
        <v/>
      </c>
      <c r="I98" s="200" t="str">
        <f>IF(E98="","",IF(AND(BV98&lt;=66),VLOOKUP(H98,'LetterID Look Up'!$A$13:$B$20,2,TRUE),IF(AND(BV98&gt;=67,BV98&lt;=72),VLOOKUP(H98,'LetterID Look Up'!$E$13:$F$19,2,TRUE),IF(AND(BV98&gt;=73,BV98&lt;=78),VLOOKUP(H98,'LetterID Look Up'!$I$13:$J$19,2,TRUE),IF(AND(BV98&gt;=79),VLOOKUP(H98,'LetterID Look Up'!$M$13:$N$17,2,TRUE),"")))))</f>
        <v/>
      </c>
      <c r="J98" s="122"/>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95"/>
      <c r="AH98" s="112"/>
      <c r="AI98" s="196"/>
      <c r="AJ98" s="197"/>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96"/>
      <c r="BV98" s="222" t="str">
        <f t="shared" si="3"/>
        <v/>
      </c>
    </row>
    <row r="99" spans="1:74" s="108" customFormat="1" ht="15.75">
      <c r="A99" s="119"/>
      <c r="B99" s="120"/>
      <c r="C99" s="111"/>
      <c r="D99" s="111"/>
      <c r="E99" s="121"/>
      <c r="F99" s="121"/>
      <c r="G99" s="113"/>
      <c r="H99" s="199" t="str">
        <f t="shared" si="2"/>
        <v/>
      </c>
      <c r="I99" s="200" t="str">
        <f>IF(E99="","",IF(AND(BV99&lt;=66),VLOOKUP(H99,'LetterID Look Up'!$A$13:$B$20,2,TRUE),IF(AND(BV99&gt;=67,BV99&lt;=72),VLOOKUP(H99,'LetterID Look Up'!$E$13:$F$19,2,TRUE),IF(AND(BV99&gt;=73,BV99&lt;=78),VLOOKUP(H99,'LetterID Look Up'!$I$13:$J$19,2,TRUE),IF(AND(BV99&gt;=79),VLOOKUP(H99,'LetterID Look Up'!$M$13:$N$17,2,TRUE),"")))))</f>
        <v/>
      </c>
      <c r="J99" s="122"/>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95"/>
      <c r="AH99" s="112"/>
      <c r="AI99" s="196"/>
      <c r="AJ99" s="197"/>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96"/>
      <c r="BV99" s="222" t="str">
        <f t="shared" si="3"/>
        <v/>
      </c>
    </row>
    <row r="100" spans="1:74" s="108" customFormat="1" ht="15.75">
      <c r="A100" s="119"/>
      <c r="B100" s="120"/>
      <c r="C100" s="111"/>
      <c r="D100" s="111"/>
      <c r="E100" s="121"/>
      <c r="F100" s="121"/>
      <c r="G100" s="113"/>
      <c r="H100" s="199" t="str">
        <f t="shared" si="2"/>
        <v/>
      </c>
      <c r="I100" s="200" t="str">
        <f>IF(E100="","",IF(AND(BV100&lt;=66),VLOOKUP(H100,'LetterID Look Up'!$A$13:$B$20,2,TRUE),IF(AND(BV100&gt;=67,BV100&lt;=72),VLOOKUP(H100,'LetterID Look Up'!$E$13:$F$19,2,TRUE),IF(AND(BV100&gt;=73,BV100&lt;=78),VLOOKUP(H100,'LetterID Look Up'!$I$13:$J$19,2,TRUE),IF(AND(BV100&gt;=79),VLOOKUP(H100,'LetterID Look Up'!$M$13:$N$17,2,TRUE),"")))))</f>
        <v/>
      </c>
      <c r="J100" s="122"/>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95"/>
      <c r="AH100" s="112"/>
      <c r="AI100" s="196"/>
      <c r="AJ100" s="197"/>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96"/>
      <c r="BV100" s="222" t="str">
        <f t="shared" si="3"/>
        <v/>
      </c>
    </row>
    <row r="101" spans="1:74" s="108" customFormat="1" ht="15.75">
      <c r="A101" s="119"/>
      <c r="B101" s="120"/>
      <c r="C101" s="111"/>
      <c r="D101" s="111"/>
      <c r="E101" s="121"/>
      <c r="F101" s="121"/>
      <c r="G101" s="113"/>
      <c r="H101" s="199" t="str">
        <f t="shared" si="2"/>
        <v/>
      </c>
      <c r="I101" s="200" t="str">
        <f>IF(E101="","",IF(AND(BV101&lt;=66),VLOOKUP(H101,'LetterID Look Up'!$A$13:$B$20,2,TRUE),IF(AND(BV101&gt;=67,BV101&lt;=72),VLOOKUP(H101,'LetterID Look Up'!$E$13:$F$19,2,TRUE),IF(AND(BV101&gt;=73,BV101&lt;=78),VLOOKUP(H101,'LetterID Look Up'!$I$13:$J$19,2,TRUE),IF(AND(BV101&gt;=79),VLOOKUP(H101,'LetterID Look Up'!$M$13:$N$17,2,TRUE),"")))))</f>
        <v/>
      </c>
      <c r="J101" s="122"/>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95"/>
      <c r="AH101" s="112"/>
      <c r="AI101" s="196"/>
      <c r="AJ101" s="197"/>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96"/>
      <c r="BV101" s="222" t="str">
        <f t="shared" si="3"/>
        <v/>
      </c>
    </row>
    <row r="102" spans="1:74" s="108" customFormat="1" ht="15.75">
      <c r="A102" s="119"/>
      <c r="B102" s="120"/>
      <c r="C102" s="111"/>
      <c r="D102" s="111"/>
      <c r="E102" s="121"/>
      <c r="F102" s="121"/>
      <c r="G102" s="113"/>
      <c r="H102" s="199" t="str">
        <f t="shared" si="2"/>
        <v/>
      </c>
      <c r="I102" s="200" t="str">
        <f>IF(E102="","",IF(AND(BV102&lt;=66),VLOOKUP(H102,'LetterID Look Up'!$A$13:$B$20,2,TRUE),IF(AND(BV102&gt;=67,BV102&lt;=72),VLOOKUP(H102,'LetterID Look Up'!$E$13:$F$19,2,TRUE),IF(AND(BV102&gt;=73,BV102&lt;=78),VLOOKUP(H102,'LetterID Look Up'!$I$13:$J$19,2,TRUE),IF(AND(BV102&gt;=79),VLOOKUP(H102,'LetterID Look Up'!$M$13:$N$17,2,TRUE),"")))))</f>
        <v/>
      </c>
      <c r="J102" s="122"/>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95"/>
      <c r="AH102" s="112"/>
      <c r="AI102" s="196"/>
      <c r="AJ102" s="197"/>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96"/>
      <c r="BV102" s="222" t="str">
        <f t="shared" si="3"/>
        <v/>
      </c>
    </row>
    <row r="103" spans="1:74" s="108" customFormat="1" ht="15.75">
      <c r="A103" s="119"/>
      <c r="B103" s="120"/>
      <c r="C103" s="111"/>
      <c r="D103" s="111"/>
      <c r="E103" s="121"/>
      <c r="F103" s="121"/>
      <c r="G103" s="113"/>
      <c r="H103" s="199" t="str">
        <f t="shared" si="2"/>
        <v/>
      </c>
      <c r="I103" s="200" t="str">
        <f>IF(E103="","",IF(AND(BV103&lt;=66),VLOOKUP(H103,'LetterID Look Up'!$A$13:$B$20,2,TRUE),IF(AND(BV103&gt;=67,BV103&lt;=72),VLOOKUP(H103,'LetterID Look Up'!$E$13:$F$19,2,TRUE),IF(AND(BV103&gt;=73,BV103&lt;=78),VLOOKUP(H103,'LetterID Look Up'!$I$13:$J$19,2,TRUE),IF(AND(BV103&gt;=79),VLOOKUP(H103,'LetterID Look Up'!$M$13:$N$17,2,TRUE),"")))))</f>
        <v/>
      </c>
      <c r="J103" s="122"/>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95"/>
      <c r="AH103" s="112"/>
      <c r="AI103" s="196"/>
      <c r="AJ103" s="197"/>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96"/>
      <c r="BV103" s="222" t="str">
        <f t="shared" si="3"/>
        <v/>
      </c>
    </row>
    <row r="104" spans="1:74" s="108" customFormat="1" ht="15.75">
      <c r="A104" s="119"/>
      <c r="B104" s="120"/>
      <c r="C104" s="111"/>
      <c r="D104" s="111"/>
      <c r="E104" s="121"/>
      <c r="F104" s="121"/>
      <c r="G104" s="113"/>
      <c r="H104" s="199" t="str">
        <f t="shared" si="2"/>
        <v/>
      </c>
      <c r="I104" s="200" t="str">
        <f>IF(E104="","",IF(AND(BV104&lt;=66),VLOOKUP(H104,'LetterID Look Up'!$A$13:$B$20,2,TRUE),IF(AND(BV104&gt;=67,BV104&lt;=72),VLOOKUP(H104,'LetterID Look Up'!$E$13:$F$19,2,TRUE),IF(AND(BV104&gt;=73,BV104&lt;=78),VLOOKUP(H104,'LetterID Look Up'!$I$13:$J$19,2,TRUE),IF(AND(BV104&gt;=79),VLOOKUP(H104,'LetterID Look Up'!$M$13:$N$17,2,TRUE),"")))))</f>
        <v/>
      </c>
      <c r="J104" s="122"/>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95"/>
      <c r="AH104" s="112"/>
      <c r="AI104" s="196"/>
      <c r="AJ104" s="197"/>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96"/>
      <c r="BV104" s="222" t="str">
        <f t="shared" si="3"/>
        <v/>
      </c>
    </row>
    <row r="105" spans="1:74" s="108" customFormat="1" ht="15.75">
      <c r="A105" s="119"/>
      <c r="B105" s="120"/>
      <c r="C105" s="111"/>
      <c r="D105" s="111"/>
      <c r="E105" s="121"/>
      <c r="F105" s="121"/>
      <c r="G105" s="113"/>
      <c r="H105" s="199" t="str">
        <f t="shared" si="2"/>
        <v/>
      </c>
      <c r="I105" s="200" t="str">
        <f>IF(E105="","",IF(AND(BV105&lt;=66),VLOOKUP(H105,'LetterID Look Up'!$A$13:$B$20,2,TRUE),IF(AND(BV105&gt;=67,BV105&lt;=72),VLOOKUP(H105,'LetterID Look Up'!$E$13:$F$19,2,TRUE),IF(AND(BV105&gt;=73,BV105&lt;=78),VLOOKUP(H105,'LetterID Look Up'!$I$13:$J$19,2,TRUE),IF(AND(BV105&gt;=79),VLOOKUP(H105,'LetterID Look Up'!$M$13:$N$17,2,TRUE),"")))))</f>
        <v/>
      </c>
      <c r="J105" s="122"/>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95"/>
      <c r="AH105" s="112"/>
      <c r="AI105" s="196"/>
      <c r="AJ105" s="197"/>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96"/>
      <c r="BV105" s="222" t="str">
        <f t="shared" si="3"/>
        <v/>
      </c>
    </row>
    <row r="106" spans="1:74" s="108" customFormat="1" ht="15.75">
      <c r="A106" s="119"/>
      <c r="B106" s="120"/>
      <c r="C106" s="111"/>
      <c r="D106" s="111"/>
      <c r="E106" s="121"/>
      <c r="F106" s="121"/>
      <c r="G106" s="113"/>
      <c r="H106" s="199" t="str">
        <f t="shared" si="2"/>
        <v/>
      </c>
      <c r="I106" s="200" t="str">
        <f>IF(E106="","",IF(AND(BV106&lt;=66),VLOOKUP(H106,'LetterID Look Up'!$A$13:$B$20,2,TRUE),IF(AND(BV106&gt;=67,BV106&lt;=72),VLOOKUP(H106,'LetterID Look Up'!$E$13:$F$19,2,TRUE),IF(AND(BV106&gt;=73,BV106&lt;=78),VLOOKUP(H106,'LetterID Look Up'!$I$13:$J$19,2,TRUE),IF(AND(BV106&gt;=79),VLOOKUP(H106,'LetterID Look Up'!$M$13:$N$17,2,TRUE),"")))))</f>
        <v/>
      </c>
      <c r="J106" s="122"/>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95"/>
      <c r="AH106" s="112"/>
      <c r="AI106" s="196"/>
      <c r="AJ106" s="197"/>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96"/>
      <c r="BV106" s="222" t="str">
        <f t="shared" si="3"/>
        <v/>
      </c>
    </row>
    <row r="107" spans="1:74" s="108" customFormat="1" ht="15.75">
      <c r="A107" s="119"/>
      <c r="B107" s="120"/>
      <c r="C107" s="111"/>
      <c r="D107" s="111"/>
      <c r="E107" s="121"/>
      <c r="F107" s="121"/>
      <c r="G107" s="113"/>
      <c r="H107" s="199" t="str">
        <f t="shared" si="2"/>
        <v/>
      </c>
      <c r="I107" s="200" t="str">
        <f>IF(E107="","",IF(AND(BV107&lt;=66),VLOOKUP(H107,'LetterID Look Up'!$A$13:$B$20,2,TRUE),IF(AND(BV107&gt;=67,BV107&lt;=72),VLOOKUP(H107,'LetterID Look Up'!$E$13:$F$19,2,TRUE),IF(AND(BV107&gt;=73,BV107&lt;=78),VLOOKUP(H107,'LetterID Look Up'!$I$13:$J$19,2,TRUE),IF(AND(BV107&gt;=79),VLOOKUP(H107,'LetterID Look Up'!$M$13:$N$17,2,TRUE),"")))))</f>
        <v/>
      </c>
      <c r="J107" s="122"/>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95"/>
      <c r="AH107" s="112"/>
      <c r="AI107" s="196"/>
      <c r="AJ107" s="197"/>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96"/>
      <c r="BV107" s="222" t="str">
        <f t="shared" si="3"/>
        <v/>
      </c>
    </row>
    <row r="108" spans="1:74" s="108" customFormat="1" ht="15.75">
      <c r="A108" s="119"/>
      <c r="B108" s="120"/>
      <c r="C108" s="111"/>
      <c r="D108" s="111"/>
      <c r="E108" s="121"/>
      <c r="F108" s="121"/>
      <c r="G108" s="113"/>
      <c r="H108" s="199" t="str">
        <f t="shared" si="2"/>
        <v/>
      </c>
      <c r="I108" s="200" t="str">
        <f>IF(E108="","",IF(AND(BV108&lt;=66),VLOOKUP(H108,'LetterID Look Up'!$A$13:$B$20,2,TRUE),IF(AND(BV108&gt;=67,BV108&lt;=72),VLOOKUP(H108,'LetterID Look Up'!$E$13:$F$19,2,TRUE),IF(AND(BV108&gt;=73,BV108&lt;=78),VLOOKUP(H108,'LetterID Look Up'!$I$13:$J$19,2,TRUE),IF(AND(BV108&gt;=79),VLOOKUP(H108,'LetterID Look Up'!$M$13:$N$17,2,TRUE),"")))))</f>
        <v/>
      </c>
      <c r="J108" s="122"/>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95"/>
      <c r="AH108" s="112"/>
      <c r="AI108" s="196"/>
      <c r="AJ108" s="197"/>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96"/>
      <c r="BV108" s="222" t="str">
        <f t="shared" si="3"/>
        <v/>
      </c>
    </row>
    <row r="109" spans="1:74" s="108" customFormat="1" ht="15.75">
      <c r="A109" s="119"/>
      <c r="B109" s="120"/>
      <c r="C109" s="111"/>
      <c r="D109" s="111"/>
      <c r="E109" s="121"/>
      <c r="F109" s="121"/>
      <c r="G109" s="113"/>
      <c r="H109" s="199" t="str">
        <f t="shared" si="2"/>
        <v/>
      </c>
      <c r="I109" s="200" t="str">
        <f>IF(E109="","",IF(AND(BV109&lt;=66),VLOOKUP(H109,'LetterID Look Up'!$A$13:$B$20,2,TRUE),IF(AND(BV109&gt;=67,BV109&lt;=72),VLOOKUP(H109,'LetterID Look Up'!$E$13:$F$19,2,TRUE),IF(AND(BV109&gt;=73,BV109&lt;=78),VLOOKUP(H109,'LetterID Look Up'!$I$13:$J$19,2,TRUE),IF(AND(BV109&gt;=79),VLOOKUP(H109,'LetterID Look Up'!$M$13:$N$17,2,TRUE),"")))))</f>
        <v/>
      </c>
      <c r="J109" s="122"/>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95"/>
      <c r="AH109" s="112"/>
      <c r="AI109" s="196"/>
      <c r="AJ109" s="197"/>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96"/>
      <c r="BV109" s="222" t="str">
        <f t="shared" si="3"/>
        <v/>
      </c>
    </row>
    <row r="110" spans="1:74" s="108" customFormat="1" ht="15.75">
      <c r="A110" s="119"/>
      <c r="B110" s="120"/>
      <c r="C110" s="111"/>
      <c r="D110" s="111"/>
      <c r="E110" s="121"/>
      <c r="F110" s="121"/>
      <c r="G110" s="113"/>
      <c r="H110" s="199" t="str">
        <f t="shared" si="2"/>
        <v/>
      </c>
      <c r="I110" s="200" t="str">
        <f>IF(E110="","",IF(AND(BV110&lt;=66),VLOOKUP(H110,'LetterID Look Up'!$A$13:$B$20,2,TRUE),IF(AND(BV110&gt;=67,BV110&lt;=72),VLOOKUP(H110,'LetterID Look Up'!$E$13:$F$19,2,TRUE),IF(AND(BV110&gt;=73,BV110&lt;=78),VLOOKUP(H110,'LetterID Look Up'!$I$13:$J$19,2,TRUE),IF(AND(BV110&gt;=79),VLOOKUP(H110,'LetterID Look Up'!$M$13:$N$17,2,TRUE),"")))))</f>
        <v/>
      </c>
      <c r="J110" s="122"/>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95"/>
      <c r="AH110" s="112"/>
      <c r="AI110" s="196"/>
      <c r="AJ110" s="197"/>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96"/>
      <c r="BV110" s="222" t="str">
        <f t="shared" si="3"/>
        <v/>
      </c>
    </row>
    <row r="111" spans="1:74" s="108" customFormat="1" ht="15.75">
      <c r="A111" s="119"/>
      <c r="B111" s="120"/>
      <c r="C111" s="111"/>
      <c r="D111" s="111"/>
      <c r="E111" s="121"/>
      <c r="F111" s="121"/>
      <c r="G111" s="113"/>
      <c r="H111" s="199" t="str">
        <f t="shared" si="2"/>
        <v/>
      </c>
      <c r="I111" s="200" t="str">
        <f>IF(E111="","",IF(AND(BV111&lt;=66),VLOOKUP(H111,'LetterID Look Up'!$A$13:$B$20,2,TRUE),IF(AND(BV111&gt;=67,BV111&lt;=72),VLOOKUP(H111,'LetterID Look Up'!$E$13:$F$19,2,TRUE),IF(AND(BV111&gt;=73,BV111&lt;=78),VLOOKUP(H111,'LetterID Look Up'!$I$13:$J$19,2,TRUE),IF(AND(BV111&gt;=79),VLOOKUP(H111,'LetterID Look Up'!$M$13:$N$17,2,TRUE),"")))))</f>
        <v/>
      </c>
      <c r="J111" s="122"/>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95"/>
      <c r="AH111" s="112"/>
      <c r="AI111" s="196"/>
      <c r="AJ111" s="197"/>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96"/>
      <c r="BV111" s="222" t="str">
        <f t="shared" si="3"/>
        <v/>
      </c>
    </row>
    <row r="112" spans="1:74" s="108" customFormat="1" ht="15.75">
      <c r="A112" s="119"/>
      <c r="B112" s="120"/>
      <c r="C112" s="111"/>
      <c r="D112" s="111"/>
      <c r="E112" s="121"/>
      <c r="F112" s="121"/>
      <c r="G112" s="113"/>
      <c r="H112" s="199" t="str">
        <f t="shared" si="2"/>
        <v/>
      </c>
      <c r="I112" s="200" t="str">
        <f>IF(E112="","",IF(AND(BV112&lt;=66),VLOOKUP(H112,'LetterID Look Up'!$A$13:$B$20,2,TRUE),IF(AND(BV112&gt;=67,BV112&lt;=72),VLOOKUP(H112,'LetterID Look Up'!$E$13:$F$19,2,TRUE),IF(AND(BV112&gt;=73,BV112&lt;=78),VLOOKUP(H112,'LetterID Look Up'!$I$13:$J$19,2,TRUE),IF(AND(BV112&gt;=79),VLOOKUP(H112,'LetterID Look Up'!$M$13:$N$17,2,TRUE),"")))))</f>
        <v/>
      </c>
      <c r="J112" s="122"/>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95"/>
      <c r="AH112" s="112"/>
      <c r="AI112" s="196"/>
      <c r="AJ112" s="197"/>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96"/>
      <c r="BV112" s="222" t="str">
        <f t="shared" si="3"/>
        <v/>
      </c>
    </row>
    <row r="113" spans="1:74" s="108" customFormat="1" ht="15.75">
      <c r="A113" s="119"/>
      <c r="B113" s="120"/>
      <c r="C113" s="111"/>
      <c r="D113" s="111"/>
      <c r="E113" s="121"/>
      <c r="F113" s="121"/>
      <c r="G113" s="113"/>
      <c r="H113" s="199" t="str">
        <f t="shared" si="2"/>
        <v/>
      </c>
      <c r="I113" s="200" t="str">
        <f>IF(E113="","",IF(AND(BV113&lt;=66),VLOOKUP(H113,'LetterID Look Up'!$A$13:$B$20,2,TRUE),IF(AND(BV113&gt;=67,BV113&lt;=72),VLOOKUP(H113,'LetterID Look Up'!$E$13:$F$19,2,TRUE),IF(AND(BV113&gt;=73,BV113&lt;=78),VLOOKUP(H113,'LetterID Look Up'!$I$13:$J$19,2,TRUE),IF(AND(BV113&gt;=79),VLOOKUP(H113,'LetterID Look Up'!$M$13:$N$17,2,TRUE),"")))))</f>
        <v/>
      </c>
      <c r="J113" s="122"/>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95"/>
      <c r="AH113" s="112"/>
      <c r="AI113" s="196"/>
      <c r="AJ113" s="197"/>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96"/>
      <c r="BV113" s="222" t="str">
        <f t="shared" si="3"/>
        <v/>
      </c>
    </row>
    <row r="114" spans="1:74" s="108" customFormat="1" ht="15.75">
      <c r="A114" s="119"/>
      <c r="B114" s="120"/>
      <c r="C114" s="111"/>
      <c r="D114" s="111"/>
      <c r="E114" s="121"/>
      <c r="F114" s="121"/>
      <c r="G114" s="113"/>
      <c r="H114" s="199" t="str">
        <f t="shared" si="2"/>
        <v/>
      </c>
      <c r="I114" s="200" t="str">
        <f>IF(E114="","",IF(AND(BV114&lt;=66),VLOOKUP(H114,'LetterID Look Up'!$A$13:$B$20,2,TRUE),IF(AND(BV114&gt;=67,BV114&lt;=72),VLOOKUP(H114,'LetterID Look Up'!$E$13:$F$19,2,TRUE),IF(AND(BV114&gt;=73,BV114&lt;=78),VLOOKUP(H114,'LetterID Look Up'!$I$13:$J$19,2,TRUE),IF(AND(BV114&gt;=79),VLOOKUP(H114,'LetterID Look Up'!$M$13:$N$17,2,TRUE),"")))))</f>
        <v/>
      </c>
      <c r="J114" s="122"/>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95"/>
      <c r="AH114" s="112"/>
      <c r="AI114" s="196"/>
      <c r="AJ114" s="197"/>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96"/>
      <c r="BV114" s="222" t="str">
        <f t="shared" si="3"/>
        <v/>
      </c>
    </row>
    <row r="115" spans="1:74" s="108" customFormat="1" ht="15.75">
      <c r="A115" s="119"/>
      <c r="B115" s="120"/>
      <c r="C115" s="111"/>
      <c r="D115" s="111"/>
      <c r="E115" s="121"/>
      <c r="F115" s="121"/>
      <c r="G115" s="113"/>
      <c r="H115" s="199" t="str">
        <f t="shared" si="2"/>
        <v/>
      </c>
      <c r="I115" s="200" t="str">
        <f>IF(E115="","",IF(AND(BV115&lt;=66),VLOOKUP(H115,'LetterID Look Up'!$A$13:$B$20,2,TRUE),IF(AND(BV115&gt;=67,BV115&lt;=72),VLOOKUP(H115,'LetterID Look Up'!$E$13:$F$19,2,TRUE),IF(AND(BV115&gt;=73,BV115&lt;=78),VLOOKUP(H115,'LetterID Look Up'!$I$13:$J$19,2,TRUE),IF(AND(BV115&gt;=79),VLOOKUP(H115,'LetterID Look Up'!$M$13:$N$17,2,TRUE),"")))))</f>
        <v/>
      </c>
      <c r="J115" s="122"/>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95"/>
      <c r="AH115" s="112"/>
      <c r="AI115" s="196"/>
      <c r="AJ115" s="197"/>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96"/>
      <c r="BV115" s="222" t="str">
        <f t="shared" si="3"/>
        <v/>
      </c>
    </row>
    <row r="116" spans="1:74" s="108" customFormat="1" ht="15.75">
      <c r="A116" s="119"/>
      <c r="B116" s="120"/>
      <c r="C116" s="111"/>
      <c r="D116" s="111"/>
      <c r="E116" s="121"/>
      <c r="F116" s="121"/>
      <c r="G116" s="113"/>
      <c r="H116" s="199" t="str">
        <f t="shared" si="2"/>
        <v/>
      </c>
      <c r="I116" s="200" t="str">
        <f>IF(E116="","",IF(AND(BV116&lt;=66),VLOOKUP(H116,'LetterID Look Up'!$A$13:$B$20,2,TRUE),IF(AND(BV116&gt;=67,BV116&lt;=72),VLOOKUP(H116,'LetterID Look Up'!$E$13:$F$19,2,TRUE),IF(AND(BV116&gt;=73,BV116&lt;=78),VLOOKUP(H116,'LetterID Look Up'!$I$13:$J$19,2,TRUE),IF(AND(BV116&gt;=79),VLOOKUP(H116,'LetterID Look Up'!$M$13:$N$17,2,TRUE),"")))))</f>
        <v/>
      </c>
      <c r="J116" s="122"/>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95"/>
      <c r="AH116" s="112"/>
      <c r="AI116" s="196"/>
      <c r="AJ116" s="197"/>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96"/>
      <c r="BV116" s="222" t="str">
        <f t="shared" si="3"/>
        <v/>
      </c>
    </row>
    <row r="117" spans="1:74" s="108" customFormat="1" ht="15.75">
      <c r="A117" s="119"/>
      <c r="B117" s="120"/>
      <c r="C117" s="111"/>
      <c r="D117" s="111"/>
      <c r="E117" s="121"/>
      <c r="F117" s="121"/>
      <c r="G117" s="113"/>
      <c r="H117" s="199" t="str">
        <f t="shared" si="2"/>
        <v/>
      </c>
      <c r="I117" s="200" t="str">
        <f>IF(E117="","",IF(AND(BV117&lt;=66),VLOOKUP(H117,'LetterID Look Up'!$A$13:$B$20,2,TRUE),IF(AND(BV117&gt;=67,BV117&lt;=72),VLOOKUP(H117,'LetterID Look Up'!$E$13:$F$19,2,TRUE),IF(AND(BV117&gt;=73,BV117&lt;=78),VLOOKUP(H117,'LetterID Look Up'!$I$13:$J$19,2,TRUE),IF(AND(BV117&gt;=79),VLOOKUP(H117,'LetterID Look Up'!$M$13:$N$17,2,TRUE),"")))))</f>
        <v/>
      </c>
      <c r="J117" s="122"/>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95"/>
      <c r="AH117" s="112"/>
      <c r="AI117" s="196"/>
      <c r="AJ117" s="197"/>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96"/>
      <c r="BV117" s="222" t="str">
        <f t="shared" si="3"/>
        <v/>
      </c>
    </row>
    <row r="118" spans="1:74" s="108" customFormat="1" ht="15.75">
      <c r="A118" s="119"/>
      <c r="B118" s="120"/>
      <c r="C118" s="111"/>
      <c r="D118" s="111"/>
      <c r="E118" s="121"/>
      <c r="F118" s="121"/>
      <c r="G118" s="113"/>
      <c r="H118" s="199" t="str">
        <f t="shared" si="2"/>
        <v/>
      </c>
      <c r="I118" s="200" t="str">
        <f>IF(E118="","",IF(AND(BV118&lt;=66),VLOOKUP(H118,'LetterID Look Up'!$A$13:$B$20,2,TRUE),IF(AND(BV118&gt;=67,BV118&lt;=72),VLOOKUP(H118,'LetterID Look Up'!$E$13:$F$19,2,TRUE),IF(AND(BV118&gt;=73,BV118&lt;=78),VLOOKUP(H118,'LetterID Look Up'!$I$13:$J$19,2,TRUE),IF(AND(BV118&gt;=79),VLOOKUP(H118,'LetterID Look Up'!$M$13:$N$17,2,TRUE),"")))))</f>
        <v/>
      </c>
      <c r="J118" s="122"/>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95"/>
      <c r="AH118" s="112"/>
      <c r="AI118" s="196"/>
      <c r="AJ118" s="197"/>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96"/>
      <c r="BV118" s="222" t="str">
        <f t="shared" si="3"/>
        <v/>
      </c>
    </row>
    <row r="119" spans="1:74" s="108" customFormat="1" ht="15.75">
      <c r="A119" s="119"/>
      <c r="B119" s="120"/>
      <c r="C119" s="111"/>
      <c r="D119" s="111"/>
      <c r="E119" s="121"/>
      <c r="F119" s="121"/>
      <c r="G119" s="113"/>
      <c r="H119" s="199" t="str">
        <f t="shared" si="2"/>
        <v/>
      </c>
      <c r="I119" s="200" t="str">
        <f>IF(E119="","",IF(AND(BV119&lt;=66),VLOOKUP(H119,'LetterID Look Up'!$A$13:$B$20,2,TRUE),IF(AND(BV119&gt;=67,BV119&lt;=72),VLOOKUP(H119,'LetterID Look Up'!$E$13:$F$19,2,TRUE),IF(AND(BV119&gt;=73,BV119&lt;=78),VLOOKUP(H119,'LetterID Look Up'!$I$13:$J$19,2,TRUE),IF(AND(BV119&gt;=79),VLOOKUP(H119,'LetterID Look Up'!$M$13:$N$17,2,TRUE),"")))))</f>
        <v/>
      </c>
      <c r="J119" s="122"/>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95"/>
      <c r="AH119" s="112"/>
      <c r="AI119" s="196"/>
      <c r="AJ119" s="197"/>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96"/>
      <c r="BV119" s="222" t="str">
        <f t="shared" si="3"/>
        <v/>
      </c>
    </row>
    <row r="120" spans="1:74" s="108" customFormat="1" ht="15.75">
      <c r="A120" s="119"/>
      <c r="B120" s="120"/>
      <c r="C120" s="111"/>
      <c r="D120" s="111"/>
      <c r="E120" s="121"/>
      <c r="F120" s="121"/>
      <c r="G120" s="113"/>
      <c r="H120" s="199" t="str">
        <f t="shared" si="2"/>
        <v/>
      </c>
      <c r="I120" s="200" t="str">
        <f>IF(E120="","",IF(AND(BV120&lt;=66),VLOOKUP(H120,'LetterID Look Up'!$A$13:$B$20,2,TRUE),IF(AND(BV120&gt;=67,BV120&lt;=72),VLOOKUP(H120,'LetterID Look Up'!$E$13:$F$19,2,TRUE),IF(AND(BV120&gt;=73,BV120&lt;=78),VLOOKUP(H120,'LetterID Look Up'!$I$13:$J$19,2,TRUE),IF(AND(BV120&gt;=79),VLOOKUP(H120,'LetterID Look Up'!$M$13:$N$17,2,TRUE),"")))))</f>
        <v/>
      </c>
      <c r="J120" s="122"/>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95"/>
      <c r="AH120" s="112"/>
      <c r="AI120" s="196"/>
      <c r="AJ120" s="197"/>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96"/>
      <c r="BV120" s="222" t="str">
        <f t="shared" si="3"/>
        <v/>
      </c>
    </row>
    <row r="121" spans="1:74" s="108" customFormat="1" ht="15.75">
      <c r="A121" s="119"/>
      <c r="B121" s="120"/>
      <c r="C121" s="111"/>
      <c r="D121" s="111"/>
      <c r="E121" s="121"/>
      <c r="F121" s="121"/>
      <c r="G121" s="113"/>
      <c r="H121" s="199" t="str">
        <f t="shared" si="2"/>
        <v/>
      </c>
      <c r="I121" s="200" t="str">
        <f>IF(E121="","",IF(AND(BV121&lt;=66),VLOOKUP(H121,'LetterID Look Up'!$A$13:$B$20,2,TRUE),IF(AND(BV121&gt;=67,BV121&lt;=72),VLOOKUP(H121,'LetterID Look Up'!$E$13:$F$19,2,TRUE),IF(AND(BV121&gt;=73,BV121&lt;=78),VLOOKUP(H121,'LetterID Look Up'!$I$13:$J$19,2,TRUE),IF(AND(BV121&gt;=79),VLOOKUP(H121,'LetterID Look Up'!$M$13:$N$17,2,TRUE),"")))))</f>
        <v/>
      </c>
      <c r="J121" s="122"/>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95"/>
      <c r="AH121" s="112"/>
      <c r="AI121" s="196"/>
      <c r="AJ121" s="197"/>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96"/>
      <c r="BV121" s="222" t="str">
        <f t="shared" si="3"/>
        <v/>
      </c>
    </row>
    <row r="122" spans="1:74" s="108" customFormat="1" ht="15.75">
      <c r="A122" s="119"/>
      <c r="B122" s="120"/>
      <c r="C122" s="111"/>
      <c r="D122" s="111"/>
      <c r="E122" s="121"/>
      <c r="F122" s="121"/>
      <c r="G122" s="113"/>
      <c r="H122" s="199" t="str">
        <f t="shared" si="2"/>
        <v/>
      </c>
      <c r="I122" s="200" t="str">
        <f>IF(E122="","",IF(AND(BV122&lt;=66),VLOOKUP(H122,'LetterID Look Up'!$A$13:$B$20,2,TRUE),IF(AND(BV122&gt;=67,BV122&lt;=72),VLOOKUP(H122,'LetterID Look Up'!$E$13:$F$19,2,TRUE),IF(AND(BV122&gt;=73,BV122&lt;=78),VLOOKUP(H122,'LetterID Look Up'!$I$13:$J$19,2,TRUE),IF(AND(BV122&gt;=79),VLOOKUP(H122,'LetterID Look Up'!$M$13:$N$17,2,TRUE),"")))))</f>
        <v/>
      </c>
      <c r="J122" s="122"/>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95"/>
      <c r="AH122" s="112"/>
      <c r="AI122" s="196"/>
      <c r="AJ122" s="197"/>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96"/>
      <c r="BV122" s="222" t="str">
        <f t="shared" si="3"/>
        <v/>
      </c>
    </row>
    <row r="123" spans="1:74" s="108" customFormat="1" ht="15.75">
      <c r="A123" s="119"/>
      <c r="B123" s="120"/>
      <c r="C123" s="111"/>
      <c r="D123" s="111"/>
      <c r="E123" s="121"/>
      <c r="F123" s="121"/>
      <c r="G123" s="113"/>
      <c r="H123" s="199" t="str">
        <f t="shared" si="2"/>
        <v/>
      </c>
      <c r="I123" s="200" t="str">
        <f>IF(E123="","",IF(AND(BV123&lt;=66),VLOOKUP(H123,'LetterID Look Up'!$A$13:$B$20,2,TRUE),IF(AND(BV123&gt;=67,BV123&lt;=72),VLOOKUP(H123,'LetterID Look Up'!$E$13:$F$19,2,TRUE),IF(AND(BV123&gt;=73,BV123&lt;=78),VLOOKUP(H123,'LetterID Look Up'!$I$13:$J$19,2,TRUE),IF(AND(BV123&gt;=79),VLOOKUP(H123,'LetterID Look Up'!$M$13:$N$17,2,TRUE),"")))))</f>
        <v/>
      </c>
      <c r="J123" s="122"/>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95"/>
      <c r="AH123" s="112"/>
      <c r="AI123" s="196"/>
      <c r="AJ123" s="197"/>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96"/>
      <c r="BV123" s="222" t="str">
        <f t="shared" si="3"/>
        <v/>
      </c>
    </row>
    <row r="124" spans="1:74" s="108" customFormat="1" ht="15.75">
      <c r="A124" s="119"/>
      <c r="B124" s="120"/>
      <c r="C124" s="111"/>
      <c r="D124" s="111"/>
      <c r="E124" s="121"/>
      <c r="F124" s="121"/>
      <c r="G124" s="113"/>
      <c r="H124" s="199" t="str">
        <f t="shared" si="2"/>
        <v/>
      </c>
      <c r="I124" s="200" t="str">
        <f>IF(E124="","",IF(AND(BV124&lt;=66),VLOOKUP(H124,'LetterID Look Up'!$A$13:$B$20,2,TRUE),IF(AND(BV124&gt;=67,BV124&lt;=72),VLOOKUP(H124,'LetterID Look Up'!$E$13:$F$19,2,TRUE),IF(AND(BV124&gt;=73,BV124&lt;=78),VLOOKUP(H124,'LetterID Look Up'!$I$13:$J$19,2,TRUE),IF(AND(BV124&gt;=79),VLOOKUP(H124,'LetterID Look Up'!$M$13:$N$17,2,TRUE),"")))))</f>
        <v/>
      </c>
      <c r="J124" s="122"/>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95"/>
      <c r="AH124" s="112"/>
      <c r="AI124" s="196"/>
      <c r="AJ124" s="197"/>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96"/>
      <c r="BV124" s="222" t="str">
        <f t="shared" si="3"/>
        <v/>
      </c>
    </row>
    <row r="125" spans="1:74" s="108" customFormat="1" ht="15.75">
      <c r="A125" s="119"/>
      <c r="B125" s="120"/>
      <c r="C125" s="111"/>
      <c r="D125" s="111"/>
      <c r="E125" s="121"/>
      <c r="F125" s="121"/>
      <c r="G125" s="113"/>
      <c r="H125" s="199" t="str">
        <f t="shared" si="2"/>
        <v/>
      </c>
      <c r="I125" s="200" t="str">
        <f>IF(E125="","",IF(AND(BV125&lt;=66),VLOOKUP(H125,'LetterID Look Up'!$A$13:$B$20,2,TRUE),IF(AND(BV125&gt;=67,BV125&lt;=72),VLOOKUP(H125,'LetterID Look Up'!$E$13:$F$19,2,TRUE),IF(AND(BV125&gt;=73,BV125&lt;=78),VLOOKUP(H125,'LetterID Look Up'!$I$13:$J$19,2,TRUE),IF(AND(BV125&gt;=79),VLOOKUP(H125,'LetterID Look Up'!$M$13:$N$17,2,TRUE),"")))))</f>
        <v/>
      </c>
      <c r="J125" s="122"/>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95"/>
      <c r="AH125" s="112"/>
      <c r="AI125" s="196"/>
      <c r="AJ125" s="197"/>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96"/>
      <c r="BV125" s="222" t="str">
        <f t="shared" si="3"/>
        <v/>
      </c>
    </row>
    <row r="126" spans="1:74" s="108" customFormat="1" ht="15.75">
      <c r="A126" s="119"/>
      <c r="B126" s="120"/>
      <c r="C126" s="111"/>
      <c r="D126" s="111"/>
      <c r="E126" s="121"/>
      <c r="F126" s="121"/>
      <c r="G126" s="113"/>
      <c r="H126" s="199" t="str">
        <f t="shared" si="2"/>
        <v/>
      </c>
      <c r="I126" s="200" t="str">
        <f>IF(E126="","",IF(AND(BV126&lt;=66),VLOOKUP(H126,'LetterID Look Up'!$A$13:$B$20,2,TRUE),IF(AND(BV126&gt;=67,BV126&lt;=72),VLOOKUP(H126,'LetterID Look Up'!$E$13:$F$19,2,TRUE),IF(AND(BV126&gt;=73,BV126&lt;=78),VLOOKUP(H126,'LetterID Look Up'!$I$13:$J$19,2,TRUE),IF(AND(BV126&gt;=79),VLOOKUP(H126,'LetterID Look Up'!$M$13:$N$17,2,TRUE),"")))))</f>
        <v/>
      </c>
      <c r="J126" s="122"/>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95"/>
      <c r="AH126" s="112"/>
      <c r="AI126" s="196"/>
      <c r="AJ126" s="197"/>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96"/>
      <c r="BV126" s="222" t="str">
        <f t="shared" si="3"/>
        <v/>
      </c>
    </row>
    <row r="127" spans="1:74" s="108" customFormat="1" ht="15.75">
      <c r="A127" s="119"/>
      <c r="B127" s="120"/>
      <c r="C127" s="111"/>
      <c r="D127" s="111"/>
      <c r="E127" s="121"/>
      <c r="F127" s="121"/>
      <c r="G127" s="113"/>
      <c r="H127" s="199" t="str">
        <f t="shared" si="2"/>
        <v/>
      </c>
      <c r="I127" s="200" t="str">
        <f>IF(E127="","",IF(AND(BV127&lt;=66),VLOOKUP(H127,'LetterID Look Up'!$A$13:$B$20,2,TRUE),IF(AND(BV127&gt;=67,BV127&lt;=72),VLOOKUP(H127,'LetterID Look Up'!$E$13:$F$19,2,TRUE),IF(AND(BV127&gt;=73,BV127&lt;=78),VLOOKUP(H127,'LetterID Look Up'!$I$13:$J$19,2,TRUE),IF(AND(BV127&gt;=79),VLOOKUP(H127,'LetterID Look Up'!$M$13:$N$17,2,TRUE),"")))))</f>
        <v/>
      </c>
      <c r="J127" s="122"/>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95"/>
      <c r="AH127" s="112"/>
      <c r="AI127" s="196"/>
      <c r="AJ127" s="197"/>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96"/>
      <c r="BV127" s="222" t="str">
        <f t="shared" si="3"/>
        <v/>
      </c>
    </row>
    <row r="128" spans="1:74" s="108" customFormat="1" ht="15.75">
      <c r="A128" s="119"/>
      <c r="B128" s="120"/>
      <c r="C128" s="111"/>
      <c r="D128" s="111"/>
      <c r="E128" s="121"/>
      <c r="F128" s="121"/>
      <c r="G128" s="113"/>
      <c r="H128" s="199" t="str">
        <f t="shared" si="2"/>
        <v/>
      </c>
      <c r="I128" s="200" t="str">
        <f>IF(E128="","",IF(AND(BV128&lt;=66),VLOOKUP(H128,'LetterID Look Up'!$A$13:$B$20,2,TRUE),IF(AND(BV128&gt;=67,BV128&lt;=72),VLOOKUP(H128,'LetterID Look Up'!$E$13:$F$19,2,TRUE),IF(AND(BV128&gt;=73,BV128&lt;=78),VLOOKUP(H128,'LetterID Look Up'!$I$13:$J$19,2,TRUE),IF(AND(BV128&gt;=79),VLOOKUP(H128,'LetterID Look Up'!$M$13:$N$17,2,TRUE),"")))))</f>
        <v/>
      </c>
      <c r="J128" s="122"/>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95"/>
      <c r="AH128" s="112"/>
      <c r="AI128" s="196"/>
      <c r="AJ128" s="197"/>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96"/>
      <c r="BV128" s="222" t="str">
        <f t="shared" si="3"/>
        <v/>
      </c>
    </row>
    <row r="129" spans="1:74" s="108" customFormat="1" ht="15.75">
      <c r="A129" s="119"/>
      <c r="B129" s="120"/>
      <c r="C129" s="111"/>
      <c r="D129" s="111"/>
      <c r="E129" s="121"/>
      <c r="F129" s="121"/>
      <c r="G129" s="113"/>
      <c r="H129" s="199" t="str">
        <f t="shared" si="2"/>
        <v/>
      </c>
      <c r="I129" s="200" t="str">
        <f>IF(E129="","",IF(AND(BV129&lt;=66),VLOOKUP(H129,'LetterID Look Up'!$A$13:$B$20,2,TRUE),IF(AND(BV129&gt;=67,BV129&lt;=72),VLOOKUP(H129,'LetterID Look Up'!$E$13:$F$19,2,TRUE),IF(AND(BV129&gt;=73,BV129&lt;=78),VLOOKUP(H129,'LetterID Look Up'!$I$13:$J$19,2,TRUE),IF(AND(BV129&gt;=79),VLOOKUP(H129,'LetterID Look Up'!$M$13:$N$17,2,TRUE),"")))))</f>
        <v/>
      </c>
      <c r="J129" s="122"/>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95"/>
      <c r="AH129" s="112"/>
      <c r="AI129" s="196"/>
      <c r="AJ129" s="197"/>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96"/>
      <c r="BV129" s="222" t="str">
        <f t="shared" si="3"/>
        <v/>
      </c>
    </row>
    <row r="130" spans="1:74" s="108" customFormat="1" ht="15.75">
      <c r="A130" s="119"/>
      <c r="B130" s="120"/>
      <c r="C130" s="111"/>
      <c r="D130" s="111"/>
      <c r="E130" s="121"/>
      <c r="F130" s="121"/>
      <c r="G130" s="113"/>
      <c r="H130" s="199" t="str">
        <f t="shared" si="2"/>
        <v/>
      </c>
      <c r="I130" s="200" t="str">
        <f>IF(E130="","",IF(AND(BV130&lt;=66),VLOOKUP(H130,'LetterID Look Up'!$A$13:$B$20,2,TRUE),IF(AND(BV130&gt;=67,BV130&lt;=72),VLOOKUP(H130,'LetterID Look Up'!$E$13:$F$19,2,TRUE),IF(AND(BV130&gt;=73,BV130&lt;=78),VLOOKUP(H130,'LetterID Look Up'!$I$13:$J$19,2,TRUE),IF(AND(BV130&gt;=79),VLOOKUP(H130,'LetterID Look Up'!$M$13:$N$17,2,TRUE),"")))))</f>
        <v/>
      </c>
      <c r="J130" s="122"/>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95"/>
      <c r="AH130" s="112"/>
      <c r="AI130" s="196"/>
      <c r="AJ130" s="197"/>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96"/>
      <c r="BV130" s="222" t="str">
        <f t="shared" si="3"/>
        <v/>
      </c>
    </row>
    <row r="131" spans="1:74" s="108" customFormat="1" ht="15.75">
      <c r="A131" s="119"/>
      <c r="B131" s="120"/>
      <c r="C131" s="111"/>
      <c r="D131" s="111"/>
      <c r="E131" s="121"/>
      <c r="F131" s="121"/>
      <c r="G131" s="113"/>
      <c r="H131" s="199" t="str">
        <f t="shared" si="2"/>
        <v/>
      </c>
      <c r="I131" s="200" t="str">
        <f>IF(E131="","",IF(AND(BV131&lt;=66),VLOOKUP(H131,'LetterID Look Up'!$A$13:$B$20,2,TRUE),IF(AND(BV131&gt;=67,BV131&lt;=72),VLOOKUP(H131,'LetterID Look Up'!$E$13:$F$19,2,TRUE),IF(AND(BV131&gt;=73,BV131&lt;=78),VLOOKUP(H131,'LetterID Look Up'!$I$13:$J$19,2,TRUE),IF(AND(BV131&gt;=79),VLOOKUP(H131,'LetterID Look Up'!$M$13:$N$17,2,TRUE),"")))))</f>
        <v/>
      </c>
      <c r="J131" s="122"/>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95"/>
      <c r="AH131" s="112"/>
      <c r="AI131" s="196"/>
      <c r="AJ131" s="197"/>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96"/>
      <c r="BV131" s="222" t="str">
        <f t="shared" si="3"/>
        <v/>
      </c>
    </row>
    <row r="132" spans="1:74" s="108" customFormat="1" ht="15.75">
      <c r="A132" s="119"/>
      <c r="B132" s="120"/>
      <c r="C132" s="111"/>
      <c r="D132" s="111"/>
      <c r="E132" s="121"/>
      <c r="F132" s="121"/>
      <c r="G132" s="113"/>
      <c r="H132" s="199" t="str">
        <f t="shared" si="2"/>
        <v/>
      </c>
      <c r="I132" s="200" t="str">
        <f>IF(E132="","",IF(AND(BV132&lt;=66),VLOOKUP(H132,'LetterID Look Up'!$A$13:$B$20,2,TRUE),IF(AND(BV132&gt;=67,BV132&lt;=72),VLOOKUP(H132,'LetterID Look Up'!$E$13:$F$19,2,TRUE),IF(AND(BV132&gt;=73,BV132&lt;=78),VLOOKUP(H132,'LetterID Look Up'!$I$13:$J$19,2,TRUE),IF(AND(BV132&gt;=79),VLOOKUP(H132,'LetterID Look Up'!$M$13:$N$17,2,TRUE),"")))))</f>
        <v/>
      </c>
      <c r="J132" s="122"/>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95"/>
      <c r="AH132" s="112"/>
      <c r="AI132" s="196"/>
      <c r="AJ132" s="197"/>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96"/>
      <c r="BV132" s="222" t="str">
        <f t="shared" si="3"/>
        <v/>
      </c>
    </row>
    <row r="133" spans="1:74" s="108" customFormat="1" ht="15.75">
      <c r="A133" s="119"/>
      <c r="B133" s="120"/>
      <c r="C133" s="111"/>
      <c r="D133" s="111"/>
      <c r="E133" s="121"/>
      <c r="F133" s="121"/>
      <c r="G133" s="113"/>
      <c r="H133" s="199" t="str">
        <f t="shared" si="2"/>
        <v/>
      </c>
      <c r="I133" s="200" t="str">
        <f>IF(E133="","",IF(AND(BV133&lt;=66),VLOOKUP(H133,'LetterID Look Up'!$A$13:$B$20,2,TRUE),IF(AND(BV133&gt;=67,BV133&lt;=72),VLOOKUP(H133,'LetterID Look Up'!$E$13:$F$19,2,TRUE),IF(AND(BV133&gt;=73,BV133&lt;=78),VLOOKUP(H133,'LetterID Look Up'!$I$13:$J$19,2,TRUE),IF(AND(BV133&gt;=79),VLOOKUP(H133,'LetterID Look Up'!$M$13:$N$17,2,TRUE),"")))))</f>
        <v/>
      </c>
      <c r="J133" s="122"/>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95"/>
      <c r="AH133" s="112"/>
      <c r="AI133" s="196"/>
      <c r="AJ133" s="197"/>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96"/>
      <c r="BV133" s="222" t="str">
        <f t="shared" si="3"/>
        <v/>
      </c>
    </row>
    <row r="134" spans="1:74" s="108" customFormat="1" ht="15.75">
      <c r="A134" s="119"/>
      <c r="B134" s="120"/>
      <c r="C134" s="111"/>
      <c r="D134" s="111"/>
      <c r="E134" s="121"/>
      <c r="F134" s="121"/>
      <c r="G134" s="113"/>
      <c r="H134" s="199" t="str">
        <f t="shared" si="2"/>
        <v/>
      </c>
      <c r="I134" s="200" t="str">
        <f>IF(E134="","",IF(AND(BV134&lt;=66),VLOOKUP(H134,'LetterID Look Up'!$A$13:$B$20,2,TRUE),IF(AND(BV134&gt;=67,BV134&lt;=72),VLOOKUP(H134,'LetterID Look Up'!$E$13:$F$19,2,TRUE),IF(AND(BV134&gt;=73,BV134&lt;=78),VLOOKUP(H134,'LetterID Look Up'!$I$13:$J$19,2,TRUE),IF(AND(BV134&gt;=79),VLOOKUP(H134,'LetterID Look Up'!$M$13:$N$17,2,TRUE),"")))))</f>
        <v/>
      </c>
      <c r="J134" s="122"/>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95"/>
      <c r="AH134" s="112"/>
      <c r="AI134" s="196"/>
      <c r="AJ134" s="197"/>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96"/>
      <c r="BV134" s="222" t="str">
        <f t="shared" si="3"/>
        <v/>
      </c>
    </row>
    <row r="135" spans="1:74" s="108" customFormat="1" ht="15.75">
      <c r="A135" s="119"/>
      <c r="B135" s="120"/>
      <c r="C135" s="111"/>
      <c r="D135" s="111"/>
      <c r="E135" s="121"/>
      <c r="F135" s="121"/>
      <c r="G135" s="113"/>
      <c r="H135" s="199" t="str">
        <f t="shared" si="2"/>
        <v/>
      </c>
      <c r="I135" s="200" t="str">
        <f>IF(E135="","",IF(AND(BV135&lt;=66),VLOOKUP(H135,'LetterID Look Up'!$A$13:$B$20,2,TRUE),IF(AND(BV135&gt;=67,BV135&lt;=72),VLOOKUP(H135,'LetterID Look Up'!$E$13:$F$19,2,TRUE),IF(AND(BV135&gt;=73,BV135&lt;=78),VLOOKUP(H135,'LetterID Look Up'!$I$13:$J$19,2,TRUE),IF(AND(BV135&gt;=79),VLOOKUP(H135,'LetterID Look Up'!$M$13:$N$17,2,TRUE),"")))))</f>
        <v/>
      </c>
      <c r="J135" s="122"/>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95"/>
      <c r="AH135" s="112"/>
      <c r="AI135" s="196"/>
      <c r="AJ135" s="197"/>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96"/>
      <c r="BV135" s="222" t="str">
        <f t="shared" si="3"/>
        <v/>
      </c>
    </row>
    <row r="136" spans="1:74" s="108" customFormat="1" ht="15.75">
      <c r="A136" s="119"/>
      <c r="B136" s="120"/>
      <c r="C136" s="111"/>
      <c r="D136" s="111"/>
      <c r="E136" s="121"/>
      <c r="F136" s="121"/>
      <c r="G136" s="113"/>
      <c r="H136" s="199" t="str">
        <f t="shared" ref="H136:H199" si="4">IF(E136="","",COUNTIF(J136:BK136,"y"))</f>
        <v/>
      </c>
      <c r="I136" s="200" t="str">
        <f>IF(E136="","",IF(AND(BV136&lt;=66),VLOOKUP(H136,'LetterID Look Up'!$A$13:$B$20,2,TRUE),IF(AND(BV136&gt;=67,BV136&lt;=72),VLOOKUP(H136,'LetterID Look Up'!$E$13:$F$19,2,TRUE),IF(AND(BV136&gt;=73,BV136&lt;=78),VLOOKUP(H136,'LetterID Look Up'!$I$13:$J$19,2,TRUE),IF(AND(BV136&gt;=79),VLOOKUP(H136,'LetterID Look Up'!$M$13:$N$17,2,TRUE),"")))))</f>
        <v/>
      </c>
      <c r="J136" s="122"/>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95"/>
      <c r="AH136" s="112"/>
      <c r="AI136" s="196"/>
      <c r="AJ136" s="197"/>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96"/>
      <c r="BV136" s="222" t="str">
        <f t="shared" ref="BV136:BV199" si="5">IF(E136="","",DATEDIF(B136,A136,"m"))</f>
        <v/>
      </c>
    </row>
    <row r="137" spans="1:74" s="108" customFormat="1" ht="15.75">
      <c r="A137" s="119"/>
      <c r="B137" s="120"/>
      <c r="C137" s="111"/>
      <c r="D137" s="111"/>
      <c r="E137" s="121"/>
      <c r="F137" s="121"/>
      <c r="G137" s="113"/>
      <c r="H137" s="199" t="str">
        <f t="shared" si="4"/>
        <v/>
      </c>
      <c r="I137" s="200" t="str">
        <f>IF(E137="","",IF(AND(BV137&lt;=66),VLOOKUP(H137,'LetterID Look Up'!$A$13:$B$20,2,TRUE),IF(AND(BV137&gt;=67,BV137&lt;=72),VLOOKUP(H137,'LetterID Look Up'!$E$13:$F$19,2,TRUE),IF(AND(BV137&gt;=73,BV137&lt;=78),VLOOKUP(H137,'LetterID Look Up'!$I$13:$J$19,2,TRUE),IF(AND(BV137&gt;=79),VLOOKUP(H137,'LetterID Look Up'!$M$13:$N$17,2,TRUE),"")))))</f>
        <v/>
      </c>
      <c r="J137" s="122"/>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95"/>
      <c r="AH137" s="112"/>
      <c r="AI137" s="196"/>
      <c r="AJ137" s="197"/>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96"/>
      <c r="BV137" s="222" t="str">
        <f t="shared" si="5"/>
        <v/>
      </c>
    </row>
    <row r="138" spans="1:74" s="108" customFormat="1" ht="15.75">
      <c r="A138" s="119"/>
      <c r="B138" s="120"/>
      <c r="C138" s="111"/>
      <c r="D138" s="111"/>
      <c r="E138" s="121"/>
      <c r="F138" s="121"/>
      <c r="G138" s="113"/>
      <c r="H138" s="199" t="str">
        <f t="shared" si="4"/>
        <v/>
      </c>
      <c r="I138" s="200" t="str">
        <f>IF(E138="","",IF(AND(BV138&lt;=66),VLOOKUP(H138,'LetterID Look Up'!$A$13:$B$20,2,TRUE),IF(AND(BV138&gt;=67,BV138&lt;=72),VLOOKUP(H138,'LetterID Look Up'!$E$13:$F$19,2,TRUE),IF(AND(BV138&gt;=73,BV138&lt;=78),VLOOKUP(H138,'LetterID Look Up'!$I$13:$J$19,2,TRUE),IF(AND(BV138&gt;=79),VLOOKUP(H138,'LetterID Look Up'!$M$13:$N$17,2,TRUE),"")))))</f>
        <v/>
      </c>
      <c r="J138" s="122"/>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95"/>
      <c r="AH138" s="112"/>
      <c r="AI138" s="196"/>
      <c r="AJ138" s="197"/>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96"/>
      <c r="BV138" s="222" t="str">
        <f t="shared" si="5"/>
        <v/>
      </c>
    </row>
    <row r="139" spans="1:74" s="108" customFormat="1" ht="15.75">
      <c r="A139" s="119"/>
      <c r="B139" s="120"/>
      <c r="C139" s="111"/>
      <c r="D139" s="111"/>
      <c r="E139" s="121"/>
      <c r="F139" s="121"/>
      <c r="G139" s="113"/>
      <c r="H139" s="199" t="str">
        <f t="shared" si="4"/>
        <v/>
      </c>
      <c r="I139" s="200" t="str">
        <f>IF(E139="","",IF(AND(BV139&lt;=66),VLOOKUP(H139,'LetterID Look Up'!$A$13:$B$20,2,TRUE),IF(AND(BV139&gt;=67,BV139&lt;=72),VLOOKUP(H139,'LetterID Look Up'!$E$13:$F$19,2,TRUE),IF(AND(BV139&gt;=73,BV139&lt;=78),VLOOKUP(H139,'LetterID Look Up'!$I$13:$J$19,2,TRUE),IF(AND(BV139&gt;=79),VLOOKUP(H139,'LetterID Look Up'!$M$13:$N$17,2,TRUE),"")))))</f>
        <v/>
      </c>
      <c r="J139" s="122"/>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95"/>
      <c r="AH139" s="112"/>
      <c r="AI139" s="196"/>
      <c r="AJ139" s="197"/>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96"/>
      <c r="BV139" s="222" t="str">
        <f t="shared" si="5"/>
        <v/>
      </c>
    </row>
    <row r="140" spans="1:74" s="108" customFormat="1" ht="15.75">
      <c r="A140" s="119"/>
      <c r="B140" s="120"/>
      <c r="C140" s="111"/>
      <c r="D140" s="111"/>
      <c r="E140" s="121"/>
      <c r="F140" s="121"/>
      <c r="G140" s="113"/>
      <c r="H140" s="199" t="str">
        <f t="shared" si="4"/>
        <v/>
      </c>
      <c r="I140" s="200" t="str">
        <f>IF(E140="","",IF(AND(BV140&lt;=66),VLOOKUP(H140,'LetterID Look Up'!$A$13:$B$20,2,TRUE),IF(AND(BV140&gt;=67,BV140&lt;=72),VLOOKUP(H140,'LetterID Look Up'!$E$13:$F$19,2,TRUE),IF(AND(BV140&gt;=73,BV140&lt;=78),VLOOKUP(H140,'LetterID Look Up'!$I$13:$J$19,2,TRUE),IF(AND(BV140&gt;=79),VLOOKUP(H140,'LetterID Look Up'!$M$13:$N$17,2,TRUE),"")))))</f>
        <v/>
      </c>
      <c r="J140" s="122"/>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95"/>
      <c r="AH140" s="112"/>
      <c r="AI140" s="196"/>
      <c r="AJ140" s="197"/>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96"/>
      <c r="BV140" s="222" t="str">
        <f t="shared" si="5"/>
        <v/>
      </c>
    </row>
    <row r="141" spans="1:74" s="108" customFormat="1" ht="15.75">
      <c r="A141" s="119"/>
      <c r="B141" s="120"/>
      <c r="C141" s="111"/>
      <c r="D141" s="111"/>
      <c r="E141" s="121"/>
      <c r="F141" s="121"/>
      <c r="G141" s="113"/>
      <c r="H141" s="199" t="str">
        <f t="shared" si="4"/>
        <v/>
      </c>
      <c r="I141" s="200" t="str">
        <f>IF(E141="","",IF(AND(BV141&lt;=66),VLOOKUP(H141,'LetterID Look Up'!$A$13:$B$20,2,TRUE),IF(AND(BV141&gt;=67,BV141&lt;=72),VLOOKUP(H141,'LetterID Look Up'!$E$13:$F$19,2,TRUE),IF(AND(BV141&gt;=73,BV141&lt;=78),VLOOKUP(H141,'LetterID Look Up'!$I$13:$J$19,2,TRUE),IF(AND(BV141&gt;=79),VLOOKUP(H141,'LetterID Look Up'!$M$13:$N$17,2,TRUE),"")))))</f>
        <v/>
      </c>
      <c r="J141" s="122"/>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95"/>
      <c r="AH141" s="112"/>
      <c r="AI141" s="196"/>
      <c r="AJ141" s="197"/>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96"/>
      <c r="BV141" s="222" t="str">
        <f t="shared" si="5"/>
        <v/>
      </c>
    </row>
    <row r="142" spans="1:74" s="108" customFormat="1" ht="15.75">
      <c r="A142" s="119"/>
      <c r="B142" s="120"/>
      <c r="C142" s="111"/>
      <c r="D142" s="111"/>
      <c r="E142" s="121"/>
      <c r="F142" s="121"/>
      <c r="G142" s="113"/>
      <c r="H142" s="199" t="str">
        <f t="shared" si="4"/>
        <v/>
      </c>
      <c r="I142" s="200" t="str">
        <f>IF(E142="","",IF(AND(BV142&lt;=66),VLOOKUP(H142,'LetterID Look Up'!$A$13:$B$20,2,TRUE),IF(AND(BV142&gt;=67,BV142&lt;=72),VLOOKUP(H142,'LetterID Look Up'!$E$13:$F$19,2,TRUE),IF(AND(BV142&gt;=73,BV142&lt;=78),VLOOKUP(H142,'LetterID Look Up'!$I$13:$J$19,2,TRUE),IF(AND(BV142&gt;=79),VLOOKUP(H142,'LetterID Look Up'!$M$13:$N$17,2,TRUE),"")))))</f>
        <v/>
      </c>
      <c r="J142" s="122"/>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95"/>
      <c r="AH142" s="112"/>
      <c r="AI142" s="196"/>
      <c r="AJ142" s="197"/>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96"/>
      <c r="BV142" s="222" t="str">
        <f t="shared" si="5"/>
        <v/>
      </c>
    </row>
    <row r="143" spans="1:74" s="108" customFormat="1" ht="15.75">
      <c r="A143" s="119"/>
      <c r="B143" s="120"/>
      <c r="C143" s="111"/>
      <c r="D143" s="111"/>
      <c r="E143" s="121"/>
      <c r="F143" s="121"/>
      <c r="G143" s="113"/>
      <c r="H143" s="199" t="str">
        <f t="shared" si="4"/>
        <v/>
      </c>
      <c r="I143" s="200" t="str">
        <f>IF(E143="","",IF(AND(BV143&lt;=66),VLOOKUP(H143,'LetterID Look Up'!$A$13:$B$20,2,TRUE),IF(AND(BV143&gt;=67,BV143&lt;=72),VLOOKUP(H143,'LetterID Look Up'!$E$13:$F$19,2,TRUE),IF(AND(BV143&gt;=73,BV143&lt;=78),VLOOKUP(H143,'LetterID Look Up'!$I$13:$J$19,2,TRUE),IF(AND(BV143&gt;=79),VLOOKUP(H143,'LetterID Look Up'!$M$13:$N$17,2,TRUE),"")))))</f>
        <v/>
      </c>
      <c r="J143" s="122"/>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95"/>
      <c r="AH143" s="112"/>
      <c r="AI143" s="196"/>
      <c r="AJ143" s="197"/>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96"/>
      <c r="BV143" s="222" t="str">
        <f t="shared" si="5"/>
        <v/>
      </c>
    </row>
    <row r="144" spans="1:74" s="108" customFormat="1" ht="15.75">
      <c r="A144" s="119"/>
      <c r="B144" s="120"/>
      <c r="C144" s="111"/>
      <c r="D144" s="111"/>
      <c r="E144" s="121"/>
      <c r="F144" s="121"/>
      <c r="G144" s="113"/>
      <c r="H144" s="199" t="str">
        <f t="shared" si="4"/>
        <v/>
      </c>
      <c r="I144" s="200" t="str">
        <f>IF(E144="","",IF(AND(BV144&lt;=66),VLOOKUP(H144,'LetterID Look Up'!$A$13:$B$20,2,TRUE),IF(AND(BV144&gt;=67,BV144&lt;=72),VLOOKUP(H144,'LetterID Look Up'!$E$13:$F$19,2,TRUE),IF(AND(BV144&gt;=73,BV144&lt;=78),VLOOKUP(H144,'LetterID Look Up'!$I$13:$J$19,2,TRUE),IF(AND(BV144&gt;=79),VLOOKUP(H144,'LetterID Look Up'!$M$13:$N$17,2,TRUE),"")))))</f>
        <v/>
      </c>
      <c r="J144" s="122"/>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95"/>
      <c r="AH144" s="112"/>
      <c r="AI144" s="196"/>
      <c r="AJ144" s="197"/>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96"/>
      <c r="BV144" s="222" t="str">
        <f t="shared" si="5"/>
        <v/>
      </c>
    </row>
    <row r="145" spans="1:74" s="108" customFormat="1" ht="15.75">
      <c r="A145" s="119"/>
      <c r="B145" s="120"/>
      <c r="C145" s="111"/>
      <c r="D145" s="111"/>
      <c r="E145" s="121"/>
      <c r="F145" s="121"/>
      <c r="G145" s="113"/>
      <c r="H145" s="199" t="str">
        <f t="shared" si="4"/>
        <v/>
      </c>
      <c r="I145" s="200" t="str">
        <f>IF(E145="","",IF(AND(BV145&lt;=66),VLOOKUP(H145,'LetterID Look Up'!$A$13:$B$20,2,TRUE),IF(AND(BV145&gt;=67,BV145&lt;=72),VLOOKUP(H145,'LetterID Look Up'!$E$13:$F$19,2,TRUE),IF(AND(BV145&gt;=73,BV145&lt;=78),VLOOKUP(H145,'LetterID Look Up'!$I$13:$J$19,2,TRUE),IF(AND(BV145&gt;=79),VLOOKUP(H145,'LetterID Look Up'!$M$13:$N$17,2,TRUE),"")))))</f>
        <v/>
      </c>
      <c r="J145" s="122"/>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95"/>
      <c r="AH145" s="112"/>
      <c r="AI145" s="196"/>
      <c r="AJ145" s="197"/>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96"/>
      <c r="BV145" s="222" t="str">
        <f t="shared" si="5"/>
        <v/>
      </c>
    </row>
    <row r="146" spans="1:74" s="108" customFormat="1" ht="15.75">
      <c r="A146" s="119"/>
      <c r="B146" s="120"/>
      <c r="C146" s="111"/>
      <c r="D146" s="111"/>
      <c r="E146" s="121"/>
      <c r="F146" s="121"/>
      <c r="G146" s="113"/>
      <c r="H146" s="199" t="str">
        <f t="shared" si="4"/>
        <v/>
      </c>
      <c r="I146" s="200" t="str">
        <f>IF(E146="","",IF(AND(BV146&lt;=66),VLOOKUP(H146,'LetterID Look Up'!$A$13:$B$20,2,TRUE),IF(AND(BV146&gt;=67,BV146&lt;=72),VLOOKUP(H146,'LetterID Look Up'!$E$13:$F$19,2,TRUE),IF(AND(BV146&gt;=73,BV146&lt;=78),VLOOKUP(H146,'LetterID Look Up'!$I$13:$J$19,2,TRUE),IF(AND(BV146&gt;=79),VLOOKUP(H146,'LetterID Look Up'!$M$13:$N$17,2,TRUE),"")))))</f>
        <v/>
      </c>
      <c r="J146" s="122"/>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95"/>
      <c r="AH146" s="112"/>
      <c r="AI146" s="196"/>
      <c r="AJ146" s="197"/>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96"/>
      <c r="BV146" s="222" t="str">
        <f t="shared" si="5"/>
        <v/>
      </c>
    </row>
    <row r="147" spans="1:74" s="108" customFormat="1" ht="15.75">
      <c r="A147" s="119"/>
      <c r="B147" s="120"/>
      <c r="C147" s="111"/>
      <c r="D147" s="111"/>
      <c r="E147" s="121"/>
      <c r="F147" s="121"/>
      <c r="G147" s="113"/>
      <c r="H147" s="199" t="str">
        <f t="shared" si="4"/>
        <v/>
      </c>
      <c r="I147" s="200" t="str">
        <f>IF(E147="","",IF(AND(BV147&lt;=66),VLOOKUP(H147,'LetterID Look Up'!$A$13:$B$20,2,TRUE),IF(AND(BV147&gt;=67,BV147&lt;=72),VLOOKUP(H147,'LetterID Look Up'!$E$13:$F$19,2,TRUE),IF(AND(BV147&gt;=73,BV147&lt;=78),VLOOKUP(H147,'LetterID Look Up'!$I$13:$J$19,2,TRUE),IF(AND(BV147&gt;=79),VLOOKUP(H147,'LetterID Look Up'!$M$13:$N$17,2,TRUE),"")))))</f>
        <v/>
      </c>
      <c r="J147" s="122"/>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95"/>
      <c r="AH147" s="112"/>
      <c r="AI147" s="196"/>
      <c r="AJ147" s="197"/>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96"/>
      <c r="BV147" s="222" t="str">
        <f t="shared" si="5"/>
        <v/>
      </c>
    </row>
    <row r="148" spans="1:74" s="108" customFormat="1" ht="15.75">
      <c r="A148" s="119"/>
      <c r="B148" s="120"/>
      <c r="C148" s="111"/>
      <c r="D148" s="111"/>
      <c r="E148" s="121"/>
      <c r="F148" s="121"/>
      <c r="G148" s="113"/>
      <c r="H148" s="199" t="str">
        <f t="shared" si="4"/>
        <v/>
      </c>
      <c r="I148" s="200" t="str">
        <f>IF(E148="","",IF(AND(BV148&lt;=66),VLOOKUP(H148,'LetterID Look Up'!$A$13:$B$20,2,TRUE),IF(AND(BV148&gt;=67,BV148&lt;=72),VLOOKUP(H148,'LetterID Look Up'!$E$13:$F$19,2,TRUE),IF(AND(BV148&gt;=73,BV148&lt;=78),VLOOKUP(H148,'LetterID Look Up'!$I$13:$J$19,2,TRUE),IF(AND(BV148&gt;=79),VLOOKUP(H148,'LetterID Look Up'!$M$13:$N$17,2,TRUE),"")))))</f>
        <v/>
      </c>
      <c r="J148" s="122"/>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95"/>
      <c r="AH148" s="112"/>
      <c r="AI148" s="196"/>
      <c r="AJ148" s="197"/>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96"/>
      <c r="BV148" s="222" t="str">
        <f t="shared" si="5"/>
        <v/>
      </c>
    </row>
    <row r="149" spans="1:74" s="108" customFormat="1" ht="15.75">
      <c r="A149" s="119"/>
      <c r="B149" s="120"/>
      <c r="C149" s="111"/>
      <c r="D149" s="111"/>
      <c r="E149" s="121"/>
      <c r="F149" s="121"/>
      <c r="G149" s="113"/>
      <c r="H149" s="199" t="str">
        <f t="shared" si="4"/>
        <v/>
      </c>
      <c r="I149" s="200" t="str">
        <f>IF(E149="","",IF(AND(BV149&lt;=66),VLOOKUP(H149,'LetterID Look Up'!$A$13:$B$20,2,TRUE),IF(AND(BV149&gt;=67,BV149&lt;=72),VLOOKUP(H149,'LetterID Look Up'!$E$13:$F$19,2,TRUE),IF(AND(BV149&gt;=73,BV149&lt;=78),VLOOKUP(H149,'LetterID Look Up'!$I$13:$J$19,2,TRUE),IF(AND(BV149&gt;=79),VLOOKUP(H149,'LetterID Look Up'!$M$13:$N$17,2,TRUE),"")))))</f>
        <v/>
      </c>
      <c r="J149" s="122"/>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95"/>
      <c r="AH149" s="112"/>
      <c r="AI149" s="196"/>
      <c r="AJ149" s="197"/>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96"/>
      <c r="BV149" s="222" t="str">
        <f t="shared" si="5"/>
        <v/>
      </c>
    </row>
    <row r="150" spans="1:74" s="108" customFormat="1" ht="15.75">
      <c r="A150" s="119"/>
      <c r="B150" s="120"/>
      <c r="C150" s="111"/>
      <c r="D150" s="111"/>
      <c r="E150" s="121"/>
      <c r="F150" s="121"/>
      <c r="G150" s="113"/>
      <c r="H150" s="199" t="str">
        <f t="shared" si="4"/>
        <v/>
      </c>
      <c r="I150" s="200" t="str">
        <f>IF(E150="","",IF(AND(BV150&lt;=66),VLOOKUP(H150,'LetterID Look Up'!$A$13:$B$20,2,TRUE),IF(AND(BV150&gt;=67,BV150&lt;=72),VLOOKUP(H150,'LetterID Look Up'!$E$13:$F$19,2,TRUE),IF(AND(BV150&gt;=73,BV150&lt;=78),VLOOKUP(H150,'LetterID Look Up'!$I$13:$J$19,2,TRUE),IF(AND(BV150&gt;=79),VLOOKUP(H150,'LetterID Look Up'!$M$13:$N$17,2,TRUE),"")))))</f>
        <v/>
      </c>
      <c r="J150" s="122"/>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95"/>
      <c r="AH150" s="112"/>
      <c r="AI150" s="196"/>
      <c r="AJ150" s="197"/>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96"/>
      <c r="BV150" s="222" t="str">
        <f t="shared" si="5"/>
        <v/>
      </c>
    </row>
    <row r="151" spans="1:74" s="108" customFormat="1" ht="15.75">
      <c r="A151" s="119"/>
      <c r="B151" s="120"/>
      <c r="C151" s="111"/>
      <c r="D151" s="111"/>
      <c r="E151" s="121"/>
      <c r="F151" s="121"/>
      <c r="G151" s="113"/>
      <c r="H151" s="199" t="str">
        <f t="shared" si="4"/>
        <v/>
      </c>
      <c r="I151" s="200" t="str">
        <f>IF(E151="","",IF(AND(BV151&lt;=66),VLOOKUP(H151,'LetterID Look Up'!$A$13:$B$20,2,TRUE),IF(AND(BV151&gt;=67,BV151&lt;=72),VLOOKUP(H151,'LetterID Look Up'!$E$13:$F$19,2,TRUE),IF(AND(BV151&gt;=73,BV151&lt;=78),VLOOKUP(H151,'LetterID Look Up'!$I$13:$J$19,2,TRUE),IF(AND(BV151&gt;=79),VLOOKUP(H151,'LetterID Look Up'!$M$13:$N$17,2,TRUE),"")))))</f>
        <v/>
      </c>
      <c r="J151" s="122"/>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95"/>
      <c r="AH151" s="112"/>
      <c r="AI151" s="196"/>
      <c r="AJ151" s="197"/>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96"/>
      <c r="BV151" s="222" t="str">
        <f t="shared" si="5"/>
        <v/>
      </c>
    </row>
    <row r="152" spans="1:74" s="108" customFormat="1" ht="15.75">
      <c r="A152" s="119"/>
      <c r="B152" s="120"/>
      <c r="C152" s="111"/>
      <c r="D152" s="111"/>
      <c r="E152" s="121"/>
      <c r="F152" s="121"/>
      <c r="G152" s="113"/>
      <c r="H152" s="199" t="str">
        <f t="shared" si="4"/>
        <v/>
      </c>
      <c r="I152" s="200" t="str">
        <f>IF(E152="","",IF(AND(BV152&lt;=66),VLOOKUP(H152,'LetterID Look Up'!$A$13:$B$20,2,TRUE),IF(AND(BV152&gt;=67,BV152&lt;=72),VLOOKUP(H152,'LetterID Look Up'!$E$13:$F$19,2,TRUE),IF(AND(BV152&gt;=73,BV152&lt;=78),VLOOKUP(H152,'LetterID Look Up'!$I$13:$J$19,2,TRUE),IF(AND(BV152&gt;=79),VLOOKUP(H152,'LetterID Look Up'!$M$13:$N$17,2,TRUE),"")))))</f>
        <v/>
      </c>
      <c r="J152" s="122"/>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95"/>
      <c r="AH152" s="112"/>
      <c r="AI152" s="196"/>
      <c r="AJ152" s="197"/>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96"/>
      <c r="BV152" s="222" t="str">
        <f t="shared" si="5"/>
        <v/>
      </c>
    </row>
    <row r="153" spans="1:74" s="108" customFormat="1" ht="15.75">
      <c r="A153" s="119"/>
      <c r="B153" s="120"/>
      <c r="C153" s="111"/>
      <c r="D153" s="111"/>
      <c r="E153" s="121"/>
      <c r="F153" s="121"/>
      <c r="G153" s="113"/>
      <c r="H153" s="199" t="str">
        <f t="shared" si="4"/>
        <v/>
      </c>
      <c r="I153" s="200" t="str">
        <f>IF(E153="","",IF(AND(BV153&lt;=66),VLOOKUP(H153,'LetterID Look Up'!$A$13:$B$20,2,TRUE),IF(AND(BV153&gt;=67,BV153&lt;=72),VLOOKUP(H153,'LetterID Look Up'!$E$13:$F$19,2,TRUE),IF(AND(BV153&gt;=73,BV153&lt;=78),VLOOKUP(H153,'LetterID Look Up'!$I$13:$J$19,2,TRUE),IF(AND(BV153&gt;=79),VLOOKUP(H153,'LetterID Look Up'!$M$13:$N$17,2,TRUE),"")))))</f>
        <v/>
      </c>
      <c r="J153" s="122"/>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95"/>
      <c r="AH153" s="112"/>
      <c r="AI153" s="196"/>
      <c r="AJ153" s="197"/>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96"/>
      <c r="BV153" s="222" t="str">
        <f t="shared" si="5"/>
        <v/>
      </c>
    </row>
    <row r="154" spans="1:74" s="108" customFormat="1" ht="15.75">
      <c r="A154" s="119"/>
      <c r="B154" s="120"/>
      <c r="C154" s="111"/>
      <c r="D154" s="111"/>
      <c r="E154" s="121"/>
      <c r="F154" s="121"/>
      <c r="G154" s="113"/>
      <c r="H154" s="199" t="str">
        <f t="shared" si="4"/>
        <v/>
      </c>
      <c r="I154" s="200" t="str">
        <f>IF(E154="","",IF(AND(BV154&lt;=66),VLOOKUP(H154,'LetterID Look Up'!$A$13:$B$20,2,TRUE),IF(AND(BV154&gt;=67,BV154&lt;=72),VLOOKUP(H154,'LetterID Look Up'!$E$13:$F$19,2,TRUE),IF(AND(BV154&gt;=73,BV154&lt;=78),VLOOKUP(H154,'LetterID Look Up'!$I$13:$J$19,2,TRUE),IF(AND(BV154&gt;=79),VLOOKUP(H154,'LetterID Look Up'!$M$13:$N$17,2,TRUE),"")))))</f>
        <v/>
      </c>
      <c r="J154" s="122"/>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95"/>
      <c r="AH154" s="112"/>
      <c r="AI154" s="196"/>
      <c r="AJ154" s="197"/>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96"/>
      <c r="BV154" s="222" t="str">
        <f t="shared" si="5"/>
        <v/>
      </c>
    </row>
    <row r="155" spans="1:74" s="108" customFormat="1" ht="15.75">
      <c r="A155" s="119"/>
      <c r="B155" s="120"/>
      <c r="C155" s="111"/>
      <c r="D155" s="111"/>
      <c r="E155" s="121"/>
      <c r="F155" s="121"/>
      <c r="G155" s="113"/>
      <c r="H155" s="199" t="str">
        <f t="shared" si="4"/>
        <v/>
      </c>
      <c r="I155" s="200" t="str">
        <f>IF(E155="","",IF(AND(BV155&lt;=66),VLOOKUP(H155,'LetterID Look Up'!$A$13:$B$20,2,TRUE),IF(AND(BV155&gt;=67,BV155&lt;=72),VLOOKUP(H155,'LetterID Look Up'!$E$13:$F$19,2,TRUE),IF(AND(BV155&gt;=73,BV155&lt;=78),VLOOKUP(H155,'LetterID Look Up'!$I$13:$J$19,2,TRUE),IF(AND(BV155&gt;=79),VLOOKUP(H155,'LetterID Look Up'!$M$13:$N$17,2,TRUE),"")))))</f>
        <v/>
      </c>
      <c r="J155" s="122"/>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95"/>
      <c r="AH155" s="112"/>
      <c r="AI155" s="196"/>
      <c r="AJ155" s="197"/>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96"/>
      <c r="BV155" s="222" t="str">
        <f t="shared" si="5"/>
        <v/>
      </c>
    </row>
    <row r="156" spans="1:74" s="108" customFormat="1" ht="15.75">
      <c r="A156" s="119"/>
      <c r="B156" s="120"/>
      <c r="C156" s="111"/>
      <c r="D156" s="111"/>
      <c r="E156" s="121"/>
      <c r="F156" s="121"/>
      <c r="G156" s="113"/>
      <c r="H156" s="199" t="str">
        <f t="shared" si="4"/>
        <v/>
      </c>
      <c r="I156" s="200" t="str">
        <f>IF(E156="","",IF(AND(BV156&lt;=66),VLOOKUP(H156,'LetterID Look Up'!$A$13:$B$20,2,TRUE),IF(AND(BV156&gt;=67,BV156&lt;=72),VLOOKUP(H156,'LetterID Look Up'!$E$13:$F$19,2,TRUE),IF(AND(BV156&gt;=73,BV156&lt;=78),VLOOKUP(H156,'LetterID Look Up'!$I$13:$J$19,2,TRUE),IF(AND(BV156&gt;=79),VLOOKUP(H156,'LetterID Look Up'!$M$13:$N$17,2,TRUE),"")))))</f>
        <v/>
      </c>
      <c r="J156" s="122"/>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95"/>
      <c r="AH156" s="112"/>
      <c r="AI156" s="196"/>
      <c r="AJ156" s="197"/>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96"/>
      <c r="BV156" s="222" t="str">
        <f t="shared" si="5"/>
        <v/>
      </c>
    </row>
    <row r="157" spans="1:74" s="108" customFormat="1" ht="15.75">
      <c r="A157" s="119"/>
      <c r="B157" s="120"/>
      <c r="C157" s="111"/>
      <c r="D157" s="111"/>
      <c r="E157" s="121"/>
      <c r="F157" s="121"/>
      <c r="G157" s="113"/>
      <c r="H157" s="199" t="str">
        <f t="shared" si="4"/>
        <v/>
      </c>
      <c r="I157" s="200" t="str">
        <f>IF(E157="","",IF(AND(BV157&lt;=66),VLOOKUP(H157,'LetterID Look Up'!$A$13:$B$20,2,TRUE),IF(AND(BV157&gt;=67,BV157&lt;=72),VLOOKUP(H157,'LetterID Look Up'!$E$13:$F$19,2,TRUE),IF(AND(BV157&gt;=73,BV157&lt;=78),VLOOKUP(H157,'LetterID Look Up'!$I$13:$J$19,2,TRUE),IF(AND(BV157&gt;=79),VLOOKUP(H157,'LetterID Look Up'!$M$13:$N$17,2,TRUE),"")))))</f>
        <v/>
      </c>
      <c r="J157" s="122"/>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95"/>
      <c r="AH157" s="112"/>
      <c r="AI157" s="196"/>
      <c r="AJ157" s="197"/>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96"/>
      <c r="BV157" s="222" t="str">
        <f t="shared" si="5"/>
        <v/>
      </c>
    </row>
    <row r="158" spans="1:74" s="108" customFormat="1" ht="15.75">
      <c r="A158" s="119"/>
      <c r="B158" s="120"/>
      <c r="C158" s="111"/>
      <c r="D158" s="111"/>
      <c r="E158" s="121"/>
      <c r="F158" s="121"/>
      <c r="G158" s="113"/>
      <c r="H158" s="199" t="str">
        <f t="shared" si="4"/>
        <v/>
      </c>
      <c r="I158" s="200" t="str">
        <f>IF(E158="","",IF(AND(BV158&lt;=66),VLOOKUP(H158,'LetterID Look Up'!$A$13:$B$20,2,TRUE),IF(AND(BV158&gt;=67,BV158&lt;=72),VLOOKUP(H158,'LetterID Look Up'!$E$13:$F$19,2,TRUE),IF(AND(BV158&gt;=73,BV158&lt;=78),VLOOKUP(H158,'LetterID Look Up'!$I$13:$J$19,2,TRUE),IF(AND(BV158&gt;=79),VLOOKUP(H158,'LetterID Look Up'!$M$13:$N$17,2,TRUE),"")))))</f>
        <v/>
      </c>
      <c r="J158" s="122"/>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95"/>
      <c r="AH158" s="112"/>
      <c r="AI158" s="196"/>
      <c r="AJ158" s="197"/>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96"/>
      <c r="BV158" s="222" t="str">
        <f t="shared" si="5"/>
        <v/>
      </c>
    </row>
    <row r="159" spans="1:74" s="108" customFormat="1" ht="15.75">
      <c r="A159" s="119"/>
      <c r="B159" s="120"/>
      <c r="C159" s="111"/>
      <c r="D159" s="111"/>
      <c r="E159" s="121"/>
      <c r="F159" s="121"/>
      <c r="G159" s="113"/>
      <c r="H159" s="199" t="str">
        <f t="shared" si="4"/>
        <v/>
      </c>
      <c r="I159" s="200" t="str">
        <f>IF(E159="","",IF(AND(BV159&lt;=66),VLOOKUP(H159,'LetterID Look Up'!$A$13:$B$20,2,TRUE),IF(AND(BV159&gt;=67,BV159&lt;=72),VLOOKUP(H159,'LetterID Look Up'!$E$13:$F$19,2,TRUE),IF(AND(BV159&gt;=73,BV159&lt;=78),VLOOKUP(H159,'LetterID Look Up'!$I$13:$J$19,2,TRUE),IF(AND(BV159&gt;=79),VLOOKUP(H159,'LetterID Look Up'!$M$13:$N$17,2,TRUE),"")))))</f>
        <v/>
      </c>
      <c r="J159" s="122"/>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95"/>
      <c r="AH159" s="112"/>
      <c r="AI159" s="196"/>
      <c r="AJ159" s="197"/>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96"/>
      <c r="BV159" s="222" t="str">
        <f t="shared" si="5"/>
        <v/>
      </c>
    </row>
    <row r="160" spans="1:74" s="108" customFormat="1" ht="15.75">
      <c r="A160" s="119"/>
      <c r="B160" s="120"/>
      <c r="C160" s="111"/>
      <c r="D160" s="111"/>
      <c r="E160" s="121"/>
      <c r="F160" s="121"/>
      <c r="G160" s="113"/>
      <c r="H160" s="199" t="str">
        <f t="shared" si="4"/>
        <v/>
      </c>
      <c r="I160" s="200" t="str">
        <f>IF(E160="","",IF(AND(BV160&lt;=66),VLOOKUP(H160,'LetterID Look Up'!$A$13:$B$20,2,TRUE),IF(AND(BV160&gt;=67,BV160&lt;=72),VLOOKUP(H160,'LetterID Look Up'!$E$13:$F$19,2,TRUE),IF(AND(BV160&gt;=73,BV160&lt;=78),VLOOKUP(H160,'LetterID Look Up'!$I$13:$J$19,2,TRUE),IF(AND(BV160&gt;=79),VLOOKUP(H160,'LetterID Look Up'!$M$13:$N$17,2,TRUE),"")))))</f>
        <v/>
      </c>
      <c r="J160" s="122"/>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95"/>
      <c r="AH160" s="112"/>
      <c r="AI160" s="196"/>
      <c r="AJ160" s="197"/>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96"/>
      <c r="BV160" s="222" t="str">
        <f t="shared" si="5"/>
        <v/>
      </c>
    </row>
    <row r="161" spans="1:74" s="108" customFormat="1" ht="15.75">
      <c r="A161" s="119"/>
      <c r="B161" s="120"/>
      <c r="C161" s="111"/>
      <c r="D161" s="111"/>
      <c r="E161" s="121"/>
      <c r="F161" s="121"/>
      <c r="G161" s="113"/>
      <c r="H161" s="199" t="str">
        <f t="shared" si="4"/>
        <v/>
      </c>
      <c r="I161" s="200" t="str">
        <f>IF(E161="","",IF(AND(BV161&lt;=66),VLOOKUP(H161,'LetterID Look Up'!$A$13:$B$20,2,TRUE),IF(AND(BV161&gt;=67,BV161&lt;=72),VLOOKUP(H161,'LetterID Look Up'!$E$13:$F$19,2,TRUE),IF(AND(BV161&gt;=73,BV161&lt;=78),VLOOKUP(H161,'LetterID Look Up'!$I$13:$J$19,2,TRUE),IF(AND(BV161&gt;=79),VLOOKUP(H161,'LetterID Look Up'!$M$13:$N$17,2,TRUE),"")))))</f>
        <v/>
      </c>
      <c r="J161" s="122"/>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95"/>
      <c r="AH161" s="112"/>
      <c r="AI161" s="196"/>
      <c r="AJ161" s="197"/>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96"/>
      <c r="BV161" s="222" t="str">
        <f t="shared" si="5"/>
        <v/>
      </c>
    </row>
    <row r="162" spans="1:74" s="108" customFormat="1" ht="15.75">
      <c r="A162" s="119"/>
      <c r="B162" s="120"/>
      <c r="C162" s="111"/>
      <c r="D162" s="111"/>
      <c r="E162" s="121"/>
      <c r="F162" s="121"/>
      <c r="G162" s="113"/>
      <c r="H162" s="199" t="str">
        <f t="shared" si="4"/>
        <v/>
      </c>
      <c r="I162" s="200" t="str">
        <f>IF(E162="","",IF(AND(BV162&lt;=66),VLOOKUP(H162,'LetterID Look Up'!$A$13:$B$20,2,TRUE),IF(AND(BV162&gt;=67,BV162&lt;=72),VLOOKUP(H162,'LetterID Look Up'!$E$13:$F$19,2,TRUE),IF(AND(BV162&gt;=73,BV162&lt;=78),VLOOKUP(H162,'LetterID Look Up'!$I$13:$J$19,2,TRUE),IF(AND(BV162&gt;=79),VLOOKUP(H162,'LetterID Look Up'!$M$13:$N$17,2,TRUE),"")))))</f>
        <v/>
      </c>
      <c r="J162" s="122"/>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95"/>
      <c r="AH162" s="112"/>
      <c r="AI162" s="196"/>
      <c r="AJ162" s="197"/>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96"/>
      <c r="BV162" s="222" t="str">
        <f t="shared" si="5"/>
        <v/>
      </c>
    </row>
    <row r="163" spans="1:74" s="108" customFormat="1" ht="15.75">
      <c r="A163" s="119"/>
      <c r="B163" s="120"/>
      <c r="C163" s="111"/>
      <c r="D163" s="111"/>
      <c r="E163" s="121"/>
      <c r="F163" s="121"/>
      <c r="G163" s="113"/>
      <c r="H163" s="199" t="str">
        <f t="shared" si="4"/>
        <v/>
      </c>
      <c r="I163" s="200" t="str">
        <f>IF(E163="","",IF(AND(BV163&lt;=66),VLOOKUP(H163,'LetterID Look Up'!$A$13:$B$20,2,TRUE),IF(AND(BV163&gt;=67,BV163&lt;=72),VLOOKUP(H163,'LetterID Look Up'!$E$13:$F$19,2,TRUE),IF(AND(BV163&gt;=73,BV163&lt;=78),VLOOKUP(H163,'LetterID Look Up'!$I$13:$J$19,2,TRUE),IF(AND(BV163&gt;=79),VLOOKUP(H163,'LetterID Look Up'!$M$13:$N$17,2,TRUE),"")))))</f>
        <v/>
      </c>
      <c r="J163" s="122"/>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95"/>
      <c r="AH163" s="112"/>
      <c r="AI163" s="196"/>
      <c r="AJ163" s="197"/>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96"/>
      <c r="BV163" s="222" t="str">
        <f t="shared" si="5"/>
        <v/>
      </c>
    </row>
    <row r="164" spans="1:74" s="108" customFormat="1" ht="15.75">
      <c r="A164" s="119"/>
      <c r="B164" s="120"/>
      <c r="C164" s="111"/>
      <c r="D164" s="111"/>
      <c r="E164" s="121"/>
      <c r="F164" s="121"/>
      <c r="G164" s="113"/>
      <c r="H164" s="199" t="str">
        <f t="shared" si="4"/>
        <v/>
      </c>
      <c r="I164" s="200" t="str">
        <f>IF(E164="","",IF(AND(BV164&lt;=66),VLOOKUP(H164,'LetterID Look Up'!$A$13:$B$20,2,TRUE),IF(AND(BV164&gt;=67,BV164&lt;=72),VLOOKUP(H164,'LetterID Look Up'!$E$13:$F$19,2,TRUE),IF(AND(BV164&gt;=73,BV164&lt;=78),VLOOKUP(H164,'LetterID Look Up'!$I$13:$J$19,2,TRUE),IF(AND(BV164&gt;=79),VLOOKUP(H164,'LetterID Look Up'!$M$13:$N$17,2,TRUE),"")))))</f>
        <v/>
      </c>
      <c r="J164" s="122"/>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95"/>
      <c r="AH164" s="112"/>
      <c r="AI164" s="196"/>
      <c r="AJ164" s="197"/>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96"/>
      <c r="BV164" s="222" t="str">
        <f t="shared" si="5"/>
        <v/>
      </c>
    </row>
    <row r="165" spans="1:74" s="108" customFormat="1" ht="15.75">
      <c r="A165" s="119"/>
      <c r="B165" s="120"/>
      <c r="C165" s="111"/>
      <c r="D165" s="111"/>
      <c r="E165" s="121"/>
      <c r="F165" s="121"/>
      <c r="G165" s="113"/>
      <c r="H165" s="199" t="str">
        <f t="shared" si="4"/>
        <v/>
      </c>
      <c r="I165" s="200" t="str">
        <f>IF(E165="","",IF(AND(BV165&lt;=66),VLOOKUP(H165,'LetterID Look Up'!$A$13:$B$20,2,TRUE),IF(AND(BV165&gt;=67,BV165&lt;=72),VLOOKUP(H165,'LetterID Look Up'!$E$13:$F$19,2,TRUE),IF(AND(BV165&gt;=73,BV165&lt;=78),VLOOKUP(H165,'LetterID Look Up'!$I$13:$J$19,2,TRUE),IF(AND(BV165&gt;=79),VLOOKUP(H165,'LetterID Look Up'!$M$13:$N$17,2,TRUE),"")))))</f>
        <v/>
      </c>
      <c r="J165" s="122"/>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95"/>
      <c r="AH165" s="112"/>
      <c r="AI165" s="196"/>
      <c r="AJ165" s="197"/>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96"/>
      <c r="BV165" s="222" t="str">
        <f t="shared" si="5"/>
        <v/>
      </c>
    </row>
    <row r="166" spans="1:74" s="108" customFormat="1" ht="15.75">
      <c r="A166" s="119"/>
      <c r="B166" s="120"/>
      <c r="C166" s="111"/>
      <c r="D166" s="111"/>
      <c r="E166" s="121"/>
      <c r="F166" s="121"/>
      <c r="G166" s="113"/>
      <c r="H166" s="199" t="str">
        <f t="shared" si="4"/>
        <v/>
      </c>
      <c r="I166" s="200" t="str">
        <f>IF(E166="","",IF(AND(BV166&lt;=66),VLOOKUP(H166,'LetterID Look Up'!$A$13:$B$20,2,TRUE),IF(AND(BV166&gt;=67,BV166&lt;=72),VLOOKUP(H166,'LetterID Look Up'!$E$13:$F$19,2,TRUE),IF(AND(BV166&gt;=73,BV166&lt;=78),VLOOKUP(H166,'LetterID Look Up'!$I$13:$J$19,2,TRUE),IF(AND(BV166&gt;=79),VLOOKUP(H166,'LetterID Look Up'!$M$13:$N$17,2,TRUE),"")))))</f>
        <v/>
      </c>
      <c r="J166" s="122"/>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95"/>
      <c r="AH166" s="112"/>
      <c r="AI166" s="196"/>
      <c r="AJ166" s="197"/>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96"/>
      <c r="BV166" s="222" t="str">
        <f t="shared" si="5"/>
        <v/>
      </c>
    </row>
    <row r="167" spans="1:74" s="108" customFormat="1" ht="15.75">
      <c r="A167" s="119"/>
      <c r="B167" s="120"/>
      <c r="C167" s="111"/>
      <c r="D167" s="111"/>
      <c r="E167" s="121"/>
      <c r="F167" s="121"/>
      <c r="G167" s="113"/>
      <c r="H167" s="199" t="str">
        <f t="shared" si="4"/>
        <v/>
      </c>
      <c r="I167" s="200" t="str">
        <f>IF(E167="","",IF(AND(BV167&lt;=66),VLOOKUP(H167,'LetterID Look Up'!$A$13:$B$20,2,TRUE),IF(AND(BV167&gt;=67,BV167&lt;=72),VLOOKUP(H167,'LetterID Look Up'!$E$13:$F$19,2,TRUE),IF(AND(BV167&gt;=73,BV167&lt;=78),VLOOKUP(H167,'LetterID Look Up'!$I$13:$J$19,2,TRUE),IF(AND(BV167&gt;=79),VLOOKUP(H167,'LetterID Look Up'!$M$13:$N$17,2,TRUE),"")))))</f>
        <v/>
      </c>
      <c r="J167" s="122"/>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95"/>
      <c r="AH167" s="112"/>
      <c r="AI167" s="196"/>
      <c r="AJ167" s="197"/>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96"/>
      <c r="BV167" s="222" t="str">
        <f t="shared" si="5"/>
        <v/>
      </c>
    </row>
    <row r="168" spans="1:74" s="108" customFormat="1" ht="15.75">
      <c r="A168" s="119"/>
      <c r="B168" s="120"/>
      <c r="C168" s="111"/>
      <c r="D168" s="111"/>
      <c r="E168" s="121"/>
      <c r="F168" s="121"/>
      <c r="G168" s="113"/>
      <c r="H168" s="199" t="str">
        <f t="shared" si="4"/>
        <v/>
      </c>
      <c r="I168" s="200" t="str">
        <f>IF(E168="","",IF(AND(BV168&lt;=66),VLOOKUP(H168,'LetterID Look Up'!$A$13:$B$20,2,TRUE),IF(AND(BV168&gt;=67,BV168&lt;=72),VLOOKUP(H168,'LetterID Look Up'!$E$13:$F$19,2,TRUE),IF(AND(BV168&gt;=73,BV168&lt;=78),VLOOKUP(H168,'LetterID Look Up'!$I$13:$J$19,2,TRUE),IF(AND(BV168&gt;=79),VLOOKUP(H168,'LetterID Look Up'!$M$13:$N$17,2,TRUE),"")))))</f>
        <v/>
      </c>
      <c r="J168" s="122"/>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95"/>
      <c r="AH168" s="112"/>
      <c r="AI168" s="196"/>
      <c r="AJ168" s="197"/>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96"/>
      <c r="BV168" s="222" t="str">
        <f t="shared" si="5"/>
        <v/>
      </c>
    </row>
    <row r="169" spans="1:74" s="108" customFormat="1" ht="15.75">
      <c r="A169" s="119"/>
      <c r="B169" s="120"/>
      <c r="C169" s="111"/>
      <c r="D169" s="111"/>
      <c r="E169" s="121"/>
      <c r="F169" s="121"/>
      <c r="G169" s="113"/>
      <c r="H169" s="199" t="str">
        <f t="shared" si="4"/>
        <v/>
      </c>
      <c r="I169" s="200" t="str">
        <f>IF(E169="","",IF(AND(BV169&lt;=66),VLOOKUP(H169,'LetterID Look Up'!$A$13:$B$20,2,TRUE),IF(AND(BV169&gt;=67,BV169&lt;=72),VLOOKUP(H169,'LetterID Look Up'!$E$13:$F$19,2,TRUE),IF(AND(BV169&gt;=73,BV169&lt;=78),VLOOKUP(H169,'LetterID Look Up'!$I$13:$J$19,2,TRUE),IF(AND(BV169&gt;=79),VLOOKUP(H169,'LetterID Look Up'!$M$13:$N$17,2,TRUE),"")))))</f>
        <v/>
      </c>
      <c r="J169" s="122"/>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95"/>
      <c r="AH169" s="112"/>
      <c r="AI169" s="196"/>
      <c r="AJ169" s="197"/>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96"/>
      <c r="BV169" s="222" t="str">
        <f t="shared" si="5"/>
        <v/>
      </c>
    </row>
    <row r="170" spans="1:74" s="108" customFormat="1" ht="15.75">
      <c r="A170" s="119"/>
      <c r="B170" s="120"/>
      <c r="C170" s="111"/>
      <c r="D170" s="111"/>
      <c r="E170" s="121"/>
      <c r="F170" s="121"/>
      <c r="G170" s="113"/>
      <c r="H170" s="199" t="str">
        <f t="shared" si="4"/>
        <v/>
      </c>
      <c r="I170" s="200" t="str">
        <f>IF(E170="","",IF(AND(BV170&lt;=66),VLOOKUP(H170,'LetterID Look Up'!$A$13:$B$20,2,TRUE),IF(AND(BV170&gt;=67,BV170&lt;=72),VLOOKUP(H170,'LetterID Look Up'!$E$13:$F$19,2,TRUE),IF(AND(BV170&gt;=73,BV170&lt;=78),VLOOKUP(H170,'LetterID Look Up'!$I$13:$J$19,2,TRUE),IF(AND(BV170&gt;=79),VLOOKUP(H170,'LetterID Look Up'!$M$13:$N$17,2,TRUE),"")))))</f>
        <v/>
      </c>
      <c r="J170" s="122"/>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95"/>
      <c r="AH170" s="112"/>
      <c r="AI170" s="196"/>
      <c r="AJ170" s="197"/>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96"/>
      <c r="BV170" s="222" t="str">
        <f t="shared" si="5"/>
        <v/>
      </c>
    </row>
    <row r="171" spans="1:74" s="108" customFormat="1" ht="15.75">
      <c r="A171" s="119"/>
      <c r="B171" s="120"/>
      <c r="C171" s="111"/>
      <c r="D171" s="111"/>
      <c r="E171" s="121"/>
      <c r="F171" s="121"/>
      <c r="G171" s="113"/>
      <c r="H171" s="199" t="str">
        <f t="shared" si="4"/>
        <v/>
      </c>
      <c r="I171" s="200" t="str">
        <f>IF(E171="","",IF(AND(BV171&lt;=66),VLOOKUP(H171,'LetterID Look Up'!$A$13:$B$20,2,TRUE),IF(AND(BV171&gt;=67,BV171&lt;=72),VLOOKUP(H171,'LetterID Look Up'!$E$13:$F$19,2,TRUE),IF(AND(BV171&gt;=73,BV171&lt;=78),VLOOKUP(H171,'LetterID Look Up'!$I$13:$J$19,2,TRUE),IF(AND(BV171&gt;=79),VLOOKUP(H171,'LetterID Look Up'!$M$13:$N$17,2,TRUE),"")))))</f>
        <v/>
      </c>
      <c r="J171" s="122"/>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95"/>
      <c r="AH171" s="112"/>
      <c r="AI171" s="196"/>
      <c r="AJ171" s="197"/>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96"/>
      <c r="BV171" s="222" t="str">
        <f t="shared" si="5"/>
        <v/>
      </c>
    </row>
    <row r="172" spans="1:74" s="108" customFormat="1" ht="15.75">
      <c r="A172" s="119"/>
      <c r="B172" s="120"/>
      <c r="C172" s="111"/>
      <c r="D172" s="111"/>
      <c r="E172" s="121"/>
      <c r="F172" s="121"/>
      <c r="G172" s="113"/>
      <c r="H172" s="199" t="str">
        <f t="shared" si="4"/>
        <v/>
      </c>
      <c r="I172" s="200" t="str">
        <f>IF(E172="","",IF(AND(BV172&lt;=66),VLOOKUP(H172,'LetterID Look Up'!$A$13:$B$20,2,TRUE),IF(AND(BV172&gt;=67,BV172&lt;=72),VLOOKUP(H172,'LetterID Look Up'!$E$13:$F$19,2,TRUE),IF(AND(BV172&gt;=73,BV172&lt;=78),VLOOKUP(H172,'LetterID Look Up'!$I$13:$J$19,2,TRUE),IF(AND(BV172&gt;=79),VLOOKUP(H172,'LetterID Look Up'!$M$13:$N$17,2,TRUE),"")))))</f>
        <v/>
      </c>
      <c r="J172" s="122"/>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95"/>
      <c r="AH172" s="112"/>
      <c r="AI172" s="196"/>
      <c r="AJ172" s="197"/>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96"/>
      <c r="BV172" s="222" t="str">
        <f t="shared" si="5"/>
        <v/>
      </c>
    </row>
    <row r="173" spans="1:74" s="108" customFormat="1" ht="15.75">
      <c r="A173" s="119"/>
      <c r="B173" s="120"/>
      <c r="C173" s="111"/>
      <c r="D173" s="111"/>
      <c r="E173" s="121"/>
      <c r="F173" s="121"/>
      <c r="G173" s="113"/>
      <c r="H173" s="199" t="str">
        <f t="shared" si="4"/>
        <v/>
      </c>
      <c r="I173" s="200" t="str">
        <f>IF(E173="","",IF(AND(BV173&lt;=66),VLOOKUP(H173,'LetterID Look Up'!$A$13:$B$20,2,TRUE),IF(AND(BV173&gt;=67,BV173&lt;=72),VLOOKUP(H173,'LetterID Look Up'!$E$13:$F$19,2,TRUE),IF(AND(BV173&gt;=73,BV173&lt;=78),VLOOKUP(H173,'LetterID Look Up'!$I$13:$J$19,2,TRUE),IF(AND(BV173&gt;=79),VLOOKUP(H173,'LetterID Look Up'!$M$13:$N$17,2,TRUE),"")))))</f>
        <v/>
      </c>
      <c r="J173" s="122"/>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95"/>
      <c r="AH173" s="112"/>
      <c r="AI173" s="196"/>
      <c r="AJ173" s="197"/>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96"/>
      <c r="BV173" s="222" t="str">
        <f t="shared" si="5"/>
        <v/>
      </c>
    </row>
    <row r="174" spans="1:74" s="108" customFormat="1" ht="15.75">
      <c r="A174" s="119"/>
      <c r="B174" s="120"/>
      <c r="C174" s="111"/>
      <c r="D174" s="111"/>
      <c r="E174" s="121"/>
      <c r="F174" s="121"/>
      <c r="G174" s="113"/>
      <c r="H174" s="199" t="str">
        <f t="shared" si="4"/>
        <v/>
      </c>
      <c r="I174" s="200" t="str">
        <f>IF(E174="","",IF(AND(BV174&lt;=66),VLOOKUP(H174,'LetterID Look Up'!$A$13:$B$20,2,TRUE),IF(AND(BV174&gt;=67,BV174&lt;=72),VLOOKUP(H174,'LetterID Look Up'!$E$13:$F$19,2,TRUE),IF(AND(BV174&gt;=73,BV174&lt;=78),VLOOKUP(H174,'LetterID Look Up'!$I$13:$J$19,2,TRUE),IF(AND(BV174&gt;=79),VLOOKUP(H174,'LetterID Look Up'!$M$13:$N$17,2,TRUE),"")))))</f>
        <v/>
      </c>
      <c r="J174" s="122"/>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95"/>
      <c r="AH174" s="112"/>
      <c r="AI174" s="196"/>
      <c r="AJ174" s="197"/>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96"/>
      <c r="BV174" s="222" t="str">
        <f t="shared" si="5"/>
        <v/>
      </c>
    </row>
    <row r="175" spans="1:74" s="108" customFormat="1" ht="15.75">
      <c r="A175" s="119"/>
      <c r="B175" s="120"/>
      <c r="C175" s="111"/>
      <c r="D175" s="111"/>
      <c r="E175" s="121"/>
      <c r="F175" s="121"/>
      <c r="G175" s="113"/>
      <c r="H175" s="199" t="str">
        <f t="shared" si="4"/>
        <v/>
      </c>
      <c r="I175" s="200" t="str">
        <f>IF(E175="","",IF(AND(BV175&lt;=66),VLOOKUP(H175,'LetterID Look Up'!$A$13:$B$20,2,TRUE),IF(AND(BV175&gt;=67,BV175&lt;=72),VLOOKUP(H175,'LetterID Look Up'!$E$13:$F$19,2,TRUE),IF(AND(BV175&gt;=73,BV175&lt;=78),VLOOKUP(H175,'LetterID Look Up'!$I$13:$J$19,2,TRUE),IF(AND(BV175&gt;=79),VLOOKUP(H175,'LetterID Look Up'!$M$13:$N$17,2,TRUE),"")))))</f>
        <v/>
      </c>
      <c r="J175" s="122"/>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95"/>
      <c r="AH175" s="112"/>
      <c r="AI175" s="196"/>
      <c r="AJ175" s="197"/>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96"/>
      <c r="BV175" s="222" t="str">
        <f t="shared" si="5"/>
        <v/>
      </c>
    </row>
    <row r="176" spans="1:74" s="108" customFormat="1" ht="15.75">
      <c r="A176" s="119"/>
      <c r="B176" s="120"/>
      <c r="C176" s="111"/>
      <c r="D176" s="111"/>
      <c r="E176" s="121"/>
      <c r="F176" s="121"/>
      <c r="G176" s="113"/>
      <c r="H176" s="199" t="str">
        <f t="shared" si="4"/>
        <v/>
      </c>
      <c r="I176" s="200" t="str">
        <f>IF(E176="","",IF(AND(BV176&lt;=66),VLOOKUP(H176,'LetterID Look Up'!$A$13:$B$20,2,TRUE),IF(AND(BV176&gt;=67,BV176&lt;=72),VLOOKUP(H176,'LetterID Look Up'!$E$13:$F$19,2,TRUE),IF(AND(BV176&gt;=73,BV176&lt;=78),VLOOKUP(H176,'LetterID Look Up'!$I$13:$J$19,2,TRUE),IF(AND(BV176&gt;=79),VLOOKUP(H176,'LetterID Look Up'!$M$13:$N$17,2,TRUE),"")))))</f>
        <v/>
      </c>
      <c r="J176" s="122"/>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95"/>
      <c r="AH176" s="112"/>
      <c r="AI176" s="196"/>
      <c r="AJ176" s="197"/>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96"/>
      <c r="BV176" s="222" t="str">
        <f t="shared" si="5"/>
        <v/>
      </c>
    </row>
    <row r="177" spans="1:74" s="108" customFormat="1" ht="15.75">
      <c r="A177" s="119"/>
      <c r="B177" s="120"/>
      <c r="C177" s="111"/>
      <c r="D177" s="111"/>
      <c r="E177" s="121"/>
      <c r="F177" s="121"/>
      <c r="G177" s="113"/>
      <c r="H177" s="199" t="str">
        <f t="shared" si="4"/>
        <v/>
      </c>
      <c r="I177" s="200" t="str">
        <f>IF(E177="","",IF(AND(BV177&lt;=66),VLOOKUP(H177,'LetterID Look Up'!$A$13:$B$20,2,TRUE),IF(AND(BV177&gt;=67,BV177&lt;=72),VLOOKUP(H177,'LetterID Look Up'!$E$13:$F$19,2,TRUE),IF(AND(BV177&gt;=73,BV177&lt;=78),VLOOKUP(H177,'LetterID Look Up'!$I$13:$J$19,2,TRUE),IF(AND(BV177&gt;=79),VLOOKUP(H177,'LetterID Look Up'!$M$13:$N$17,2,TRUE),"")))))</f>
        <v/>
      </c>
      <c r="J177" s="122"/>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95"/>
      <c r="AH177" s="112"/>
      <c r="AI177" s="196"/>
      <c r="AJ177" s="197"/>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96"/>
      <c r="BV177" s="222" t="str">
        <f t="shared" si="5"/>
        <v/>
      </c>
    </row>
    <row r="178" spans="1:74" s="108" customFormat="1" ht="15.75">
      <c r="A178" s="119"/>
      <c r="B178" s="120"/>
      <c r="C178" s="111"/>
      <c r="D178" s="111"/>
      <c r="E178" s="121"/>
      <c r="F178" s="121"/>
      <c r="G178" s="113"/>
      <c r="H178" s="199" t="str">
        <f t="shared" si="4"/>
        <v/>
      </c>
      <c r="I178" s="200" t="str">
        <f>IF(E178="","",IF(AND(BV178&lt;=66),VLOOKUP(H178,'LetterID Look Up'!$A$13:$B$20,2,TRUE),IF(AND(BV178&gt;=67,BV178&lt;=72),VLOOKUP(H178,'LetterID Look Up'!$E$13:$F$19,2,TRUE),IF(AND(BV178&gt;=73,BV178&lt;=78),VLOOKUP(H178,'LetterID Look Up'!$I$13:$J$19,2,TRUE),IF(AND(BV178&gt;=79),VLOOKUP(H178,'LetterID Look Up'!$M$13:$N$17,2,TRUE),"")))))</f>
        <v/>
      </c>
      <c r="J178" s="122"/>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95"/>
      <c r="AH178" s="112"/>
      <c r="AI178" s="196"/>
      <c r="AJ178" s="197"/>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96"/>
      <c r="BV178" s="222" t="str">
        <f t="shared" si="5"/>
        <v/>
      </c>
    </row>
    <row r="179" spans="1:74" s="108" customFormat="1" ht="15.75">
      <c r="A179" s="119"/>
      <c r="B179" s="120"/>
      <c r="C179" s="111"/>
      <c r="D179" s="111"/>
      <c r="E179" s="121"/>
      <c r="F179" s="121"/>
      <c r="G179" s="113"/>
      <c r="H179" s="199" t="str">
        <f t="shared" si="4"/>
        <v/>
      </c>
      <c r="I179" s="200" t="str">
        <f>IF(E179="","",IF(AND(BV179&lt;=66),VLOOKUP(H179,'LetterID Look Up'!$A$13:$B$20,2,TRUE),IF(AND(BV179&gt;=67,BV179&lt;=72),VLOOKUP(H179,'LetterID Look Up'!$E$13:$F$19,2,TRUE),IF(AND(BV179&gt;=73,BV179&lt;=78),VLOOKUP(H179,'LetterID Look Up'!$I$13:$J$19,2,TRUE),IF(AND(BV179&gt;=79),VLOOKUP(H179,'LetterID Look Up'!$M$13:$N$17,2,TRUE),"")))))</f>
        <v/>
      </c>
      <c r="J179" s="122"/>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95"/>
      <c r="AH179" s="112"/>
      <c r="AI179" s="196"/>
      <c r="AJ179" s="197"/>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96"/>
      <c r="BV179" s="222" t="str">
        <f t="shared" si="5"/>
        <v/>
      </c>
    </row>
    <row r="180" spans="1:74" s="108" customFormat="1" ht="15.75">
      <c r="A180" s="119"/>
      <c r="B180" s="120"/>
      <c r="C180" s="111"/>
      <c r="D180" s="111"/>
      <c r="E180" s="121"/>
      <c r="F180" s="121"/>
      <c r="G180" s="113"/>
      <c r="H180" s="199" t="str">
        <f t="shared" si="4"/>
        <v/>
      </c>
      <c r="I180" s="200" t="str">
        <f>IF(E180="","",IF(AND(BV180&lt;=66),VLOOKUP(H180,'LetterID Look Up'!$A$13:$B$20,2,TRUE),IF(AND(BV180&gt;=67,BV180&lt;=72),VLOOKUP(H180,'LetterID Look Up'!$E$13:$F$19,2,TRUE),IF(AND(BV180&gt;=73,BV180&lt;=78),VLOOKUP(H180,'LetterID Look Up'!$I$13:$J$19,2,TRUE),IF(AND(BV180&gt;=79),VLOOKUP(H180,'LetterID Look Up'!$M$13:$N$17,2,TRUE),"")))))</f>
        <v/>
      </c>
      <c r="J180" s="122"/>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95"/>
      <c r="AH180" s="112"/>
      <c r="AI180" s="196"/>
      <c r="AJ180" s="197"/>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96"/>
      <c r="BV180" s="222" t="str">
        <f t="shared" si="5"/>
        <v/>
      </c>
    </row>
    <row r="181" spans="1:74" s="108" customFormat="1" ht="15.75">
      <c r="A181" s="119"/>
      <c r="B181" s="120"/>
      <c r="C181" s="111"/>
      <c r="D181" s="111"/>
      <c r="E181" s="121"/>
      <c r="F181" s="121"/>
      <c r="G181" s="113"/>
      <c r="H181" s="199" t="str">
        <f t="shared" si="4"/>
        <v/>
      </c>
      <c r="I181" s="200" t="str">
        <f>IF(E181="","",IF(AND(BV181&lt;=66),VLOOKUP(H181,'LetterID Look Up'!$A$13:$B$20,2,TRUE),IF(AND(BV181&gt;=67,BV181&lt;=72),VLOOKUP(H181,'LetterID Look Up'!$E$13:$F$19,2,TRUE),IF(AND(BV181&gt;=73,BV181&lt;=78),VLOOKUP(H181,'LetterID Look Up'!$I$13:$J$19,2,TRUE),IF(AND(BV181&gt;=79),VLOOKUP(H181,'LetterID Look Up'!$M$13:$N$17,2,TRUE),"")))))</f>
        <v/>
      </c>
      <c r="J181" s="122"/>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95"/>
      <c r="AH181" s="112"/>
      <c r="AI181" s="196"/>
      <c r="AJ181" s="197"/>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96"/>
      <c r="BV181" s="222" t="str">
        <f t="shared" si="5"/>
        <v/>
      </c>
    </row>
    <row r="182" spans="1:74" s="108" customFormat="1" ht="15.75">
      <c r="A182" s="119"/>
      <c r="B182" s="120"/>
      <c r="C182" s="111"/>
      <c r="D182" s="111"/>
      <c r="E182" s="121"/>
      <c r="F182" s="121"/>
      <c r="G182" s="113"/>
      <c r="H182" s="199" t="str">
        <f t="shared" si="4"/>
        <v/>
      </c>
      <c r="I182" s="200" t="str">
        <f>IF(E182="","",IF(AND(BV182&lt;=66),VLOOKUP(H182,'LetterID Look Up'!$A$13:$B$20,2,TRUE),IF(AND(BV182&gt;=67,BV182&lt;=72),VLOOKUP(H182,'LetterID Look Up'!$E$13:$F$19,2,TRUE),IF(AND(BV182&gt;=73,BV182&lt;=78),VLOOKUP(H182,'LetterID Look Up'!$I$13:$J$19,2,TRUE),IF(AND(BV182&gt;=79),VLOOKUP(H182,'LetterID Look Up'!$M$13:$N$17,2,TRUE),"")))))</f>
        <v/>
      </c>
      <c r="J182" s="122"/>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95"/>
      <c r="AH182" s="112"/>
      <c r="AI182" s="196"/>
      <c r="AJ182" s="197"/>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96"/>
      <c r="BV182" s="222" t="str">
        <f t="shared" si="5"/>
        <v/>
      </c>
    </row>
    <row r="183" spans="1:74" s="108" customFormat="1" ht="15.75">
      <c r="A183" s="119"/>
      <c r="B183" s="120"/>
      <c r="C183" s="111"/>
      <c r="D183" s="111"/>
      <c r="E183" s="121"/>
      <c r="F183" s="121"/>
      <c r="G183" s="113"/>
      <c r="H183" s="199" t="str">
        <f t="shared" si="4"/>
        <v/>
      </c>
      <c r="I183" s="200" t="str">
        <f>IF(E183="","",IF(AND(BV183&lt;=66),VLOOKUP(H183,'LetterID Look Up'!$A$13:$B$20,2,TRUE),IF(AND(BV183&gt;=67,BV183&lt;=72),VLOOKUP(H183,'LetterID Look Up'!$E$13:$F$19,2,TRUE),IF(AND(BV183&gt;=73,BV183&lt;=78),VLOOKUP(H183,'LetterID Look Up'!$I$13:$J$19,2,TRUE),IF(AND(BV183&gt;=79),VLOOKUP(H183,'LetterID Look Up'!$M$13:$N$17,2,TRUE),"")))))</f>
        <v/>
      </c>
      <c r="J183" s="122"/>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95"/>
      <c r="AH183" s="112"/>
      <c r="AI183" s="196"/>
      <c r="AJ183" s="197"/>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96"/>
      <c r="BV183" s="222" t="str">
        <f t="shared" si="5"/>
        <v/>
      </c>
    </row>
    <row r="184" spans="1:74" s="108" customFormat="1" ht="15.75">
      <c r="A184" s="119"/>
      <c r="B184" s="120"/>
      <c r="C184" s="111"/>
      <c r="D184" s="111"/>
      <c r="E184" s="121"/>
      <c r="F184" s="121"/>
      <c r="G184" s="113"/>
      <c r="H184" s="199" t="str">
        <f t="shared" si="4"/>
        <v/>
      </c>
      <c r="I184" s="200" t="str">
        <f>IF(E184="","",IF(AND(BV184&lt;=66),VLOOKUP(H184,'LetterID Look Up'!$A$13:$B$20,2,TRUE),IF(AND(BV184&gt;=67,BV184&lt;=72),VLOOKUP(H184,'LetterID Look Up'!$E$13:$F$19,2,TRUE),IF(AND(BV184&gt;=73,BV184&lt;=78),VLOOKUP(H184,'LetterID Look Up'!$I$13:$J$19,2,TRUE),IF(AND(BV184&gt;=79),VLOOKUP(H184,'LetterID Look Up'!$M$13:$N$17,2,TRUE),"")))))</f>
        <v/>
      </c>
      <c r="J184" s="122"/>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95"/>
      <c r="AH184" s="112"/>
      <c r="AI184" s="196"/>
      <c r="AJ184" s="197"/>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96"/>
      <c r="BV184" s="222" t="str">
        <f t="shared" si="5"/>
        <v/>
      </c>
    </row>
    <row r="185" spans="1:74" s="108" customFormat="1" ht="15.75">
      <c r="A185" s="119"/>
      <c r="B185" s="120"/>
      <c r="C185" s="111"/>
      <c r="D185" s="111"/>
      <c r="E185" s="121"/>
      <c r="F185" s="121"/>
      <c r="G185" s="113"/>
      <c r="H185" s="199" t="str">
        <f t="shared" si="4"/>
        <v/>
      </c>
      <c r="I185" s="200" t="str">
        <f>IF(E185="","",IF(AND(BV185&lt;=66),VLOOKUP(H185,'LetterID Look Up'!$A$13:$B$20,2,TRUE),IF(AND(BV185&gt;=67,BV185&lt;=72),VLOOKUP(H185,'LetterID Look Up'!$E$13:$F$19,2,TRUE),IF(AND(BV185&gt;=73,BV185&lt;=78),VLOOKUP(H185,'LetterID Look Up'!$I$13:$J$19,2,TRUE),IF(AND(BV185&gt;=79),VLOOKUP(H185,'LetterID Look Up'!$M$13:$N$17,2,TRUE),"")))))</f>
        <v/>
      </c>
      <c r="J185" s="122"/>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95"/>
      <c r="AH185" s="112"/>
      <c r="AI185" s="196"/>
      <c r="AJ185" s="197"/>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96"/>
      <c r="BV185" s="222" t="str">
        <f t="shared" si="5"/>
        <v/>
      </c>
    </row>
    <row r="186" spans="1:74" s="108" customFormat="1" ht="15.75">
      <c r="A186" s="119"/>
      <c r="B186" s="120"/>
      <c r="C186" s="111"/>
      <c r="D186" s="111"/>
      <c r="E186" s="121"/>
      <c r="F186" s="121"/>
      <c r="G186" s="113"/>
      <c r="H186" s="199" t="str">
        <f t="shared" si="4"/>
        <v/>
      </c>
      <c r="I186" s="200" t="str">
        <f>IF(E186="","",IF(AND(BV186&lt;=66),VLOOKUP(H186,'LetterID Look Up'!$A$13:$B$20,2,TRUE),IF(AND(BV186&gt;=67,BV186&lt;=72),VLOOKUP(H186,'LetterID Look Up'!$E$13:$F$19,2,TRUE),IF(AND(BV186&gt;=73,BV186&lt;=78),VLOOKUP(H186,'LetterID Look Up'!$I$13:$J$19,2,TRUE),IF(AND(BV186&gt;=79),VLOOKUP(H186,'LetterID Look Up'!$M$13:$N$17,2,TRUE),"")))))</f>
        <v/>
      </c>
      <c r="J186" s="122"/>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95"/>
      <c r="AH186" s="112"/>
      <c r="AI186" s="196"/>
      <c r="AJ186" s="197"/>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96"/>
      <c r="BV186" s="222" t="str">
        <f t="shared" si="5"/>
        <v/>
      </c>
    </row>
    <row r="187" spans="1:74" s="108" customFormat="1" ht="15.75">
      <c r="A187" s="119"/>
      <c r="B187" s="120"/>
      <c r="C187" s="111"/>
      <c r="D187" s="111"/>
      <c r="E187" s="121"/>
      <c r="F187" s="121"/>
      <c r="G187" s="113"/>
      <c r="H187" s="199" t="str">
        <f t="shared" si="4"/>
        <v/>
      </c>
      <c r="I187" s="200" t="str">
        <f>IF(E187="","",IF(AND(BV187&lt;=66),VLOOKUP(H187,'LetterID Look Up'!$A$13:$B$20,2,TRUE),IF(AND(BV187&gt;=67,BV187&lt;=72),VLOOKUP(H187,'LetterID Look Up'!$E$13:$F$19,2,TRUE),IF(AND(BV187&gt;=73,BV187&lt;=78),VLOOKUP(H187,'LetterID Look Up'!$I$13:$J$19,2,TRUE),IF(AND(BV187&gt;=79),VLOOKUP(H187,'LetterID Look Up'!$M$13:$N$17,2,TRUE),"")))))</f>
        <v/>
      </c>
      <c r="J187" s="122"/>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95"/>
      <c r="AH187" s="112"/>
      <c r="AI187" s="196"/>
      <c r="AJ187" s="197"/>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96"/>
      <c r="BV187" s="222" t="str">
        <f t="shared" si="5"/>
        <v/>
      </c>
    </row>
    <row r="188" spans="1:74" s="108" customFormat="1" ht="15.75">
      <c r="A188" s="119"/>
      <c r="B188" s="120"/>
      <c r="C188" s="111"/>
      <c r="D188" s="111"/>
      <c r="E188" s="121"/>
      <c r="F188" s="121"/>
      <c r="G188" s="113"/>
      <c r="H188" s="199" t="str">
        <f t="shared" si="4"/>
        <v/>
      </c>
      <c r="I188" s="200" t="str">
        <f>IF(E188="","",IF(AND(BV188&lt;=66),VLOOKUP(H188,'LetterID Look Up'!$A$13:$B$20,2,TRUE),IF(AND(BV188&gt;=67,BV188&lt;=72),VLOOKUP(H188,'LetterID Look Up'!$E$13:$F$19,2,TRUE),IF(AND(BV188&gt;=73,BV188&lt;=78),VLOOKUP(H188,'LetterID Look Up'!$I$13:$J$19,2,TRUE),IF(AND(BV188&gt;=79),VLOOKUP(H188,'LetterID Look Up'!$M$13:$N$17,2,TRUE),"")))))</f>
        <v/>
      </c>
      <c r="J188" s="122"/>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95"/>
      <c r="AH188" s="112"/>
      <c r="AI188" s="196"/>
      <c r="AJ188" s="197"/>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96"/>
      <c r="BV188" s="222" t="str">
        <f t="shared" si="5"/>
        <v/>
      </c>
    </row>
    <row r="189" spans="1:74" s="108" customFormat="1" ht="15.75">
      <c r="A189" s="119"/>
      <c r="B189" s="120"/>
      <c r="C189" s="111"/>
      <c r="D189" s="111"/>
      <c r="E189" s="121"/>
      <c r="F189" s="121"/>
      <c r="G189" s="113"/>
      <c r="H189" s="199" t="str">
        <f t="shared" si="4"/>
        <v/>
      </c>
      <c r="I189" s="200" t="str">
        <f>IF(E189="","",IF(AND(BV189&lt;=66),VLOOKUP(H189,'LetterID Look Up'!$A$13:$B$20,2,TRUE),IF(AND(BV189&gt;=67,BV189&lt;=72),VLOOKUP(H189,'LetterID Look Up'!$E$13:$F$19,2,TRUE),IF(AND(BV189&gt;=73,BV189&lt;=78),VLOOKUP(H189,'LetterID Look Up'!$I$13:$J$19,2,TRUE),IF(AND(BV189&gt;=79),VLOOKUP(H189,'LetterID Look Up'!$M$13:$N$17,2,TRUE),"")))))</f>
        <v/>
      </c>
      <c r="J189" s="122"/>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95"/>
      <c r="AH189" s="112"/>
      <c r="AI189" s="196"/>
      <c r="AJ189" s="197"/>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96"/>
      <c r="BV189" s="222" t="str">
        <f t="shared" si="5"/>
        <v/>
      </c>
    </row>
    <row r="190" spans="1:74" s="108" customFormat="1" ht="15.75">
      <c r="A190" s="119"/>
      <c r="B190" s="120"/>
      <c r="C190" s="111"/>
      <c r="D190" s="111"/>
      <c r="E190" s="121"/>
      <c r="F190" s="121"/>
      <c r="G190" s="113"/>
      <c r="H190" s="199" t="str">
        <f t="shared" si="4"/>
        <v/>
      </c>
      <c r="I190" s="200" t="str">
        <f>IF(E190="","",IF(AND(BV190&lt;=66),VLOOKUP(H190,'LetterID Look Up'!$A$13:$B$20,2,TRUE),IF(AND(BV190&gt;=67,BV190&lt;=72),VLOOKUP(H190,'LetterID Look Up'!$E$13:$F$19,2,TRUE),IF(AND(BV190&gt;=73,BV190&lt;=78),VLOOKUP(H190,'LetterID Look Up'!$I$13:$J$19,2,TRUE),IF(AND(BV190&gt;=79),VLOOKUP(H190,'LetterID Look Up'!$M$13:$N$17,2,TRUE),"")))))</f>
        <v/>
      </c>
      <c r="J190" s="122"/>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95"/>
      <c r="AH190" s="112"/>
      <c r="AI190" s="196"/>
      <c r="AJ190" s="197"/>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96"/>
      <c r="BV190" s="222" t="str">
        <f t="shared" si="5"/>
        <v/>
      </c>
    </row>
    <row r="191" spans="1:74" s="108" customFormat="1" ht="15.75">
      <c r="A191" s="119"/>
      <c r="B191" s="120"/>
      <c r="C191" s="111"/>
      <c r="D191" s="111"/>
      <c r="E191" s="121"/>
      <c r="F191" s="121"/>
      <c r="G191" s="113"/>
      <c r="H191" s="199" t="str">
        <f t="shared" si="4"/>
        <v/>
      </c>
      <c r="I191" s="200" t="str">
        <f>IF(E191="","",IF(AND(BV191&lt;=66),VLOOKUP(H191,'LetterID Look Up'!$A$13:$B$20,2,TRUE),IF(AND(BV191&gt;=67,BV191&lt;=72),VLOOKUP(H191,'LetterID Look Up'!$E$13:$F$19,2,TRUE),IF(AND(BV191&gt;=73,BV191&lt;=78),VLOOKUP(H191,'LetterID Look Up'!$I$13:$J$19,2,TRUE),IF(AND(BV191&gt;=79),VLOOKUP(H191,'LetterID Look Up'!$M$13:$N$17,2,TRUE),"")))))</f>
        <v/>
      </c>
      <c r="J191" s="122"/>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95"/>
      <c r="AH191" s="112"/>
      <c r="AI191" s="196"/>
      <c r="AJ191" s="197"/>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96"/>
      <c r="BV191" s="222" t="str">
        <f t="shared" si="5"/>
        <v/>
      </c>
    </row>
    <row r="192" spans="1:74" s="108" customFormat="1" ht="15.75">
      <c r="A192" s="119"/>
      <c r="B192" s="120"/>
      <c r="C192" s="111"/>
      <c r="D192" s="111"/>
      <c r="E192" s="121"/>
      <c r="F192" s="121"/>
      <c r="G192" s="113"/>
      <c r="H192" s="199" t="str">
        <f t="shared" si="4"/>
        <v/>
      </c>
      <c r="I192" s="200" t="str">
        <f>IF(E192="","",IF(AND(BV192&lt;=66),VLOOKUP(H192,'LetterID Look Up'!$A$13:$B$20,2,TRUE),IF(AND(BV192&gt;=67,BV192&lt;=72),VLOOKUP(H192,'LetterID Look Up'!$E$13:$F$19,2,TRUE),IF(AND(BV192&gt;=73,BV192&lt;=78),VLOOKUP(H192,'LetterID Look Up'!$I$13:$J$19,2,TRUE),IF(AND(BV192&gt;=79),VLOOKUP(H192,'LetterID Look Up'!$M$13:$N$17,2,TRUE),"")))))</f>
        <v/>
      </c>
      <c r="J192" s="122"/>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95"/>
      <c r="AH192" s="112"/>
      <c r="AI192" s="196"/>
      <c r="AJ192" s="197"/>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96"/>
      <c r="BV192" s="222" t="str">
        <f t="shared" si="5"/>
        <v/>
      </c>
    </row>
    <row r="193" spans="1:74" s="108" customFormat="1" ht="15.75">
      <c r="A193" s="119"/>
      <c r="B193" s="120"/>
      <c r="C193" s="111"/>
      <c r="D193" s="111"/>
      <c r="E193" s="121"/>
      <c r="F193" s="121"/>
      <c r="G193" s="113"/>
      <c r="H193" s="199" t="str">
        <f t="shared" si="4"/>
        <v/>
      </c>
      <c r="I193" s="200" t="str">
        <f>IF(E193="","",IF(AND(BV193&lt;=66),VLOOKUP(H193,'LetterID Look Up'!$A$13:$B$20,2,TRUE),IF(AND(BV193&gt;=67,BV193&lt;=72),VLOOKUP(H193,'LetterID Look Up'!$E$13:$F$19,2,TRUE),IF(AND(BV193&gt;=73,BV193&lt;=78),VLOOKUP(H193,'LetterID Look Up'!$I$13:$J$19,2,TRUE),IF(AND(BV193&gt;=79),VLOOKUP(H193,'LetterID Look Up'!$M$13:$N$17,2,TRUE),"")))))</f>
        <v/>
      </c>
      <c r="J193" s="122"/>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95"/>
      <c r="AH193" s="112"/>
      <c r="AI193" s="196"/>
      <c r="AJ193" s="197"/>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96"/>
      <c r="BV193" s="222" t="str">
        <f t="shared" si="5"/>
        <v/>
      </c>
    </row>
    <row r="194" spans="1:74" s="108" customFormat="1" ht="15.75">
      <c r="A194" s="119"/>
      <c r="B194" s="120"/>
      <c r="C194" s="111"/>
      <c r="D194" s="111"/>
      <c r="E194" s="121"/>
      <c r="F194" s="121"/>
      <c r="G194" s="113"/>
      <c r="H194" s="199" t="str">
        <f t="shared" si="4"/>
        <v/>
      </c>
      <c r="I194" s="200" t="str">
        <f>IF(E194="","",IF(AND(BV194&lt;=66),VLOOKUP(H194,'LetterID Look Up'!$A$13:$B$20,2,TRUE),IF(AND(BV194&gt;=67,BV194&lt;=72),VLOOKUP(H194,'LetterID Look Up'!$E$13:$F$19,2,TRUE),IF(AND(BV194&gt;=73,BV194&lt;=78),VLOOKUP(H194,'LetterID Look Up'!$I$13:$J$19,2,TRUE),IF(AND(BV194&gt;=79),VLOOKUP(H194,'LetterID Look Up'!$M$13:$N$17,2,TRUE),"")))))</f>
        <v/>
      </c>
      <c r="J194" s="122"/>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95"/>
      <c r="AH194" s="112"/>
      <c r="AI194" s="196"/>
      <c r="AJ194" s="197"/>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96"/>
      <c r="BV194" s="222" t="str">
        <f t="shared" si="5"/>
        <v/>
      </c>
    </row>
    <row r="195" spans="1:74" s="108" customFormat="1" ht="15.75">
      <c r="A195" s="119"/>
      <c r="B195" s="120"/>
      <c r="C195" s="111"/>
      <c r="D195" s="111"/>
      <c r="E195" s="121"/>
      <c r="F195" s="121"/>
      <c r="G195" s="113"/>
      <c r="H195" s="199" t="str">
        <f t="shared" si="4"/>
        <v/>
      </c>
      <c r="I195" s="200" t="str">
        <f>IF(E195="","",IF(AND(BV195&lt;=66),VLOOKUP(H195,'LetterID Look Up'!$A$13:$B$20,2,TRUE),IF(AND(BV195&gt;=67,BV195&lt;=72),VLOOKUP(H195,'LetterID Look Up'!$E$13:$F$19,2,TRUE),IF(AND(BV195&gt;=73,BV195&lt;=78),VLOOKUP(H195,'LetterID Look Up'!$I$13:$J$19,2,TRUE),IF(AND(BV195&gt;=79),VLOOKUP(H195,'LetterID Look Up'!$M$13:$N$17,2,TRUE),"")))))</f>
        <v/>
      </c>
      <c r="J195" s="122"/>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95"/>
      <c r="AH195" s="112"/>
      <c r="AI195" s="196"/>
      <c r="AJ195" s="197"/>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96"/>
      <c r="BV195" s="222" t="str">
        <f t="shared" si="5"/>
        <v/>
      </c>
    </row>
    <row r="196" spans="1:74" s="108" customFormat="1" ht="15.75">
      <c r="A196" s="119"/>
      <c r="B196" s="120"/>
      <c r="C196" s="111"/>
      <c r="D196" s="111"/>
      <c r="E196" s="121"/>
      <c r="F196" s="121"/>
      <c r="G196" s="113"/>
      <c r="H196" s="199" t="str">
        <f t="shared" si="4"/>
        <v/>
      </c>
      <c r="I196" s="200" t="str">
        <f>IF(E196="","",IF(AND(BV196&lt;=66),VLOOKUP(H196,'LetterID Look Up'!$A$13:$B$20,2,TRUE),IF(AND(BV196&gt;=67,BV196&lt;=72),VLOOKUP(H196,'LetterID Look Up'!$E$13:$F$19,2,TRUE),IF(AND(BV196&gt;=73,BV196&lt;=78),VLOOKUP(H196,'LetterID Look Up'!$I$13:$J$19,2,TRUE),IF(AND(BV196&gt;=79),VLOOKUP(H196,'LetterID Look Up'!$M$13:$N$17,2,TRUE),"")))))</f>
        <v/>
      </c>
      <c r="J196" s="122"/>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95"/>
      <c r="AH196" s="112"/>
      <c r="AI196" s="196"/>
      <c r="AJ196" s="197"/>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96"/>
      <c r="BV196" s="222" t="str">
        <f t="shared" si="5"/>
        <v/>
      </c>
    </row>
    <row r="197" spans="1:74" s="108" customFormat="1" ht="15.75">
      <c r="A197" s="119"/>
      <c r="B197" s="120"/>
      <c r="C197" s="111"/>
      <c r="D197" s="111"/>
      <c r="E197" s="121"/>
      <c r="F197" s="121"/>
      <c r="G197" s="113"/>
      <c r="H197" s="199" t="str">
        <f t="shared" si="4"/>
        <v/>
      </c>
      <c r="I197" s="200" t="str">
        <f>IF(E197="","",IF(AND(BV197&lt;=66),VLOOKUP(H197,'LetterID Look Up'!$A$13:$B$20,2,TRUE),IF(AND(BV197&gt;=67,BV197&lt;=72),VLOOKUP(H197,'LetterID Look Up'!$E$13:$F$19,2,TRUE),IF(AND(BV197&gt;=73,BV197&lt;=78),VLOOKUP(H197,'LetterID Look Up'!$I$13:$J$19,2,TRUE),IF(AND(BV197&gt;=79),VLOOKUP(H197,'LetterID Look Up'!$M$13:$N$17,2,TRUE),"")))))</f>
        <v/>
      </c>
      <c r="J197" s="122"/>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95"/>
      <c r="AH197" s="112"/>
      <c r="AI197" s="196"/>
      <c r="AJ197" s="197"/>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96"/>
      <c r="BV197" s="222" t="str">
        <f t="shared" si="5"/>
        <v/>
      </c>
    </row>
    <row r="198" spans="1:74" s="108" customFormat="1" ht="15.75">
      <c r="A198" s="119"/>
      <c r="B198" s="120"/>
      <c r="C198" s="111"/>
      <c r="D198" s="111"/>
      <c r="E198" s="121"/>
      <c r="F198" s="121"/>
      <c r="G198" s="113"/>
      <c r="H198" s="199" t="str">
        <f t="shared" si="4"/>
        <v/>
      </c>
      <c r="I198" s="200" t="str">
        <f>IF(E198="","",IF(AND(BV198&lt;=66),VLOOKUP(H198,'LetterID Look Up'!$A$13:$B$20,2,TRUE),IF(AND(BV198&gt;=67,BV198&lt;=72),VLOOKUP(H198,'LetterID Look Up'!$E$13:$F$19,2,TRUE),IF(AND(BV198&gt;=73,BV198&lt;=78),VLOOKUP(H198,'LetterID Look Up'!$I$13:$J$19,2,TRUE),IF(AND(BV198&gt;=79),VLOOKUP(H198,'LetterID Look Up'!$M$13:$N$17,2,TRUE),"")))))</f>
        <v/>
      </c>
      <c r="J198" s="122"/>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95"/>
      <c r="AH198" s="112"/>
      <c r="AI198" s="196"/>
      <c r="AJ198" s="197"/>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96"/>
      <c r="BV198" s="222" t="str">
        <f t="shared" si="5"/>
        <v/>
      </c>
    </row>
    <row r="199" spans="1:74" s="108" customFormat="1" ht="15.75">
      <c r="A199" s="119"/>
      <c r="B199" s="120"/>
      <c r="C199" s="111"/>
      <c r="D199" s="111"/>
      <c r="E199" s="121"/>
      <c r="F199" s="121"/>
      <c r="G199" s="113"/>
      <c r="H199" s="199" t="str">
        <f t="shared" si="4"/>
        <v/>
      </c>
      <c r="I199" s="200" t="str">
        <f>IF(E199="","",IF(AND(BV199&lt;=66),VLOOKUP(H199,'LetterID Look Up'!$A$13:$B$20,2,TRUE),IF(AND(BV199&gt;=67,BV199&lt;=72),VLOOKUP(H199,'LetterID Look Up'!$E$13:$F$19,2,TRUE),IF(AND(BV199&gt;=73,BV199&lt;=78),VLOOKUP(H199,'LetterID Look Up'!$I$13:$J$19,2,TRUE),IF(AND(BV199&gt;=79),VLOOKUP(H199,'LetterID Look Up'!$M$13:$N$17,2,TRUE),"")))))</f>
        <v/>
      </c>
      <c r="J199" s="122"/>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95"/>
      <c r="AH199" s="112"/>
      <c r="AI199" s="196"/>
      <c r="AJ199" s="197"/>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96"/>
      <c r="BV199" s="222" t="str">
        <f t="shared" si="5"/>
        <v/>
      </c>
    </row>
    <row r="200" spans="1:74" s="108" customFormat="1" ht="15.75">
      <c r="A200" s="119"/>
      <c r="B200" s="120"/>
      <c r="C200" s="111"/>
      <c r="D200" s="111"/>
      <c r="E200" s="121"/>
      <c r="F200" s="121"/>
      <c r="G200" s="113"/>
      <c r="H200" s="199" t="str">
        <f t="shared" ref="H200:H263" si="6">IF(E200="","",COUNTIF(J200:BK200,"y"))</f>
        <v/>
      </c>
      <c r="I200" s="200" t="str">
        <f>IF(E200="","",IF(AND(BV200&lt;=66),VLOOKUP(H200,'LetterID Look Up'!$A$13:$B$20,2,TRUE),IF(AND(BV200&gt;=67,BV200&lt;=72),VLOOKUP(H200,'LetterID Look Up'!$E$13:$F$19,2,TRUE),IF(AND(BV200&gt;=73,BV200&lt;=78),VLOOKUP(H200,'LetterID Look Up'!$I$13:$J$19,2,TRUE),IF(AND(BV200&gt;=79),VLOOKUP(H200,'LetterID Look Up'!$M$13:$N$17,2,TRUE),"")))))</f>
        <v/>
      </c>
      <c r="J200" s="122"/>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95"/>
      <c r="AH200" s="112"/>
      <c r="AI200" s="196"/>
      <c r="AJ200" s="197"/>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96"/>
      <c r="BV200" s="222" t="str">
        <f t="shared" ref="BV200:BV263" si="7">IF(E200="","",DATEDIF(B200,A200,"m"))</f>
        <v/>
      </c>
    </row>
    <row r="201" spans="1:74" s="108" customFormat="1" ht="15.75">
      <c r="A201" s="119"/>
      <c r="B201" s="120"/>
      <c r="C201" s="111"/>
      <c r="D201" s="111"/>
      <c r="E201" s="121"/>
      <c r="F201" s="121"/>
      <c r="G201" s="113"/>
      <c r="H201" s="199" t="str">
        <f t="shared" si="6"/>
        <v/>
      </c>
      <c r="I201" s="200" t="str">
        <f>IF(E201="","",IF(AND(BV201&lt;=66),VLOOKUP(H201,'LetterID Look Up'!$A$13:$B$20,2,TRUE),IF(AND(BV201&gt;=67,BV201&lt;=72),VLOOKUP(H201,'LetterID Look Up'!$E$13:$F$19,2,TRUE),IF(AND(BV201&gt;=73,BV201&lt;=78),VLOOKUP(H201,'LetterID Look Up'!$I$13:$J$19,2,TRUE),IF(AND(BV201&gt;=79),VLOOKUP(H201,'LetterID Look Up'!$M$13:$N$17,2,TRUE),"")))))</f>
        <v/>
      </c>
      <c r="J201" s="122"/>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95"/>
      <c r="AH201" s="112"/>
      <c r="AI201" s="196"/>
      <c r="AJ201" s="197"/>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96"/>
      <c r="BV201" s="222" t="str">
        <f t="shared" si="7"/>
        <v/>
      </c>
    </row>
    <row r="202" spans="1:74" s="108" customFormat="1" ht="15.75">
      <c r="A202" s="119"/>
      <c r="B202" s="120"/>
      <c r="C202" s="111"/>
      <c r="D202" s="111"/>
      <c r="E202" s="121"/>
      <c r="F202" s="121"/>
      <c r="G202" s="113"/>
      <c r="H202" s="199" t="str">
        <f t="shared" si="6"/>
        <v/>
      </c>
      <c r="I202" s="200" t="str">
        <f>IF(E202="","",IF(AND(BV202&lt;=66),VLOOKUP(H202,'LetterID Look Up'!$A$13:$B$20,2,TRUE),IF(AND(BV202&gt;=67,BV202&lt;=72),VLOOKUP(H202,'LetterID Look Up'!$E$13:$F$19,2,TRUE),IF(AND(BV202&gt;=73,BV202&lt;=78),VLOOKUP(H202,'LetterID Look Up'!$I$13:$J$19,2,TRUE),IF(AND(BV202&gt;=79),VLOOKUP(H202,'LetterID Look Up'!$M$13:$N$17,2,TRUE),"")))))</f>
        <v/>
      </c>
      <c r="J202" s="122"/>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95"/>
      <c r="AH202" s="112"/>
      <c r="AI202" s="196"/>
      <c r="AJ202" s="197"/>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96"/>
      <c r="BV202" s="222" t="str">
        <f t="shared" si="7"/>
        <v/>
      </c>
    </row>
    <row r="203" spans="1:74" s="108" customFormat="1" ht="15.75">
      <c r="A203" s="119"/>
      <c r="B203" s="120"/>
      <c r="C203" s="111"/>
      <c r="D203" s="111"/>
      <c r="E203" s="121"/>
      <c r="F203" s="121"/>
      <c r="G203" s="113"/>
      <c r="H203" s="199" t="str">
        <f t="shared" si="6"/>
        <v/>
      </c>
      <c r="I203" s="200" t="str">
        <f>IF(E203="","",IF(AND(BV203&lt;=66),VLOOKUP(H203,'LetterID Look Up'!$A$13:$B$20,2,TRUE),IF(AND(BV203&gt;=67,BV203&lt;=72),VLOOKUP(H203,'LetterID Look Up'!$E$13:$F$19,2,TRUE),IF(AND(BV203&gt;=73,BV203&lt;=78),VLOOKUP(H203,'LetterID Look Up'!$I$13:$J$19,2,TRUE),IF(AND(BV203&gt;=79),VLOOKUP(H203,'LetterID Look Up'!$M$13:$N$17,2,TRUE),"")))))</f>
        <v/>
      </c>
      <c r="J203" s="122"/>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95"/>
      <c r="AH203" s="112"/>
      <c r="AI203" s="196"/>
      <c r="AJ203" s="197"/>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96"/>
      <c r="BV203" s="222" t="str">
        <f t="shared" si="7"/>
        <v/>
      </c>
    </row>
    <row r="204" spans="1:74" s="108" customFormat="1" ht="15.75">
      <c r="A204" s="119"/>
      <c r="B204" s="120"/>
      <c r="C204" s="111"/>
      <c r="D204" s="111"/>
      <c r="E204" s="121"/>
      <c r="F204" s="121"/>
      <c r="G204" s="113"/>
      <c r="H204" s="199" t="str">
        <f t="shared" si="6"/>
        <v/>
      </c>
      <c r="I204" s="200" t="str">
        <f>IF(E204="","",IF(AND(BV204&lt;=66),VLOOKUP(H204,'LetterID Look Up'!$A$13:$B$20,2,TRUE),IF(AND(BV204&gt;=67,BV204&lt;=72),VLOOKUP(H204,'LetterID Look Up'!$E$13:$F$19,2,TRUE),IF(AND(BV204&gt;=73,BV204&lt;=78),VLOOKUP(H204,'LetterID Look Up'!$I$13:$J$19,2,TRUE),IF(AND(BV204&gt;=79),VLOOKUP(H204,'LetterID Look Up'!$M$13:$N$17,2,TRUE),"")))))</f>
        <v/>
      </c>
      <c r="J204" s="122"/>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95"/>
      <c r="AH204" s="112"/>
      <c r="AI204" s="196"/>
      <c r="AJ204" s="197"/>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96"/>
      <c r="BV204" s="222" t="str">
        <f t="shared" si="7"/>
        <v/>
      </c>
    </row>
    <row r="205" spans="1:74" s="108" customFormat="1" ht="15.75">
      <c r="A205" s="119"/>
      <c r="B205" s="120"/>
      <c r="C205" s="111"/>
      <c r="D205" s="111"/>
      <c r="E205" s="121"/>
      <c r="F205" s="121"/>
      <c r="G205" s="113"/>
      <c r="H205" s="199" t="str">
        <f t="shared" si="6"/>
        <v/>
      </c>
      <c r="I205" s="200" t="str">
        <f>IF(E205="","",IF(AND(BV205&lt;=66),VLOOKUP(H205,'LetterID Look Up'!$A$13:$B$20,2,TRUE),IF(AND(BV205&gt;=67,BV205&lt;=72),VLOOKUP(H205,'LetterID Look Up'!$E$13:$F$19,2,TRUE),IF(AND(BV205&gt;=73,BV205&lt;=78),VLOOKUP(H205,'LetterID Look Up'!$I$13:$J$19,2,TRUE),IF(AND(BV205&gt;=79),VLOOKUP(H205,'LetterID Look Up'!$M$13:$N$17,2,TRUE),"")))))</f>
        <v/>
      </c>
      <c r="J205" s="122"/>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95"/>
      <c r="AH205" s="112"/>
      <c r="AI205" s="196"/>
      <c r="AJ205" s="197"/>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96"/>
      <c r="BV205" s="222" t="str">
        <f t="shared" si="7"/>
        <v/>
      </c>
    </row>
    <row r="206" spans="1:74" s="108" customFormat="1" ht="15.75">
      <c r="A206" s="119"/>
      <c r="B206" s="120"/>
      <c r="C206" s="111"/>
      <c r="D206" s="111"/>
      <c r="E206" s="121"/>
      <c r="F206" s="121"/>
      <c r="G206" s="113"/>
      <c r="H206" s="199" t="str">
        <f t="shared" si="6"/>
        <v/>
      </c>
      <c r="I206" s="200" t="str">
        <f>IF(E206="","",IF(AND(BV206&lt;=66),VLOOKUP(H206,'LetterID Look Up'!$A$13:$B$20,2,TRUE),IF(AND(BV206&gt;=67,BV206&lt;=72),VLOOKUP(H206,'LetterID Look Up'!$E$13:$F$19,2,TRUE),IF(AND(BV206&gt;=73,BV206&lt;=78),VLOOKUP(H206,'LetterID Look Up'!$I$13:$J$19,2,TRUE),IF(AND(BV206&gt;=79),VLOOKUP(H206,'LetterID Look Up'!$M$13:$N$17,2,TRUE),"")))))</f>
        <v/>
      </c>
      <c r="J206" s="122"/>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95"/>
      <c r="AH206" s="112"/>
      <c r="AI206" s="196"/>
      <c r="AJ206" s="197"/>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96"/>
      <c r="BV206" s="222" t="str">
        <f t="shared" si="7"/>
        <v/>
      </c>
    </row>
    <row r="207" spans="1:74" s="108" customFormat="1" ht="15.75">
      <c r="A207" s="119"/>
      <c r="B207" s="120"/>
      <c r="C207" s="111"/>
      <c r="D207" s="111"/>
      <c r="E207" s="121"/>
      <c r="F207" s="121"/>
      <c r="G207" s="113"/>
      <c r="H207" s="199" t="str">
        <f t="shared" si="6"/>
        <v/>
      </c>
      <c r="I207" s="200" t="str">
        <f>IF(E207="","",IF(AND(BV207&lt;=66),VLOOKUP(H207,'LetterID Look Up'!$A$13:$B$20,2,TRUE),IF(AND(BV207&gt;=67,BV207&lt;=72),VLOOKUP(H207,'LetterID Look Up'!$E$13:$F$19,2,TRUE),IF(AND(BV207&gt;=73,BV207&lt;=78),VLOOKUP(H207,'LetterID Look Up'!$I$13:$J$19,2,TRUE),IF(AND(BV207&gt;=79),VLOOKUP(H207,'LetterID Look Up'!$M$13:$N$17,2,TRUE),"")))))</f>
        <v/>
      </c>
      <c r="J207" s="122"/>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95"/>
      <c r="AH207" s="112"/>
      <c r="AI207" s="196"/>
      <c r="AJ207" s="197"/>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96"/>
      <c r="BV207" s="222" t="str">
        <f t="shared" si="7"/>
        <v/>
      </c>
    </row>
    <row r="208" spans="1:74" s="108" customFormat="1" ht="15.75">
      <c r="A208" s="119"/>
      <c r="B208" s="120"/>
      <c r="C208" s="111"/>
      <c r="D208" s="111"/>
      <c r="E208" s="121"/>
      <c r="F208" s="121"/>
      <c r="G208" s="113"/>
      <c r="H208" s="199" t="str">
        <f t="shared" si="6"/>
        <v/>
      </c>
      <c r="I208" s="200" t="str">
        <f>IF(E208="","",IF(AND(BV208&lt;=66),VLOOKUP(H208,'LetterID Look Up'!$A$13:$B$20,2,TRUE),IF(AND(BV208&gt;=67,BV208&lt;=72),VLOOKUP(H208,'LetterID Look Up'!$E$13:$F$19,2,TRUE),IF(AND(BV208&gt;=73,BV208&lt;=78),VLOOKUP(H208,'LetterID Look Up'!$I$13:$J$19,2,TRUE),IF(AND(BV208&gt;=79),VLOOKUP(H208,'LetterID Look Up'!$M$13:$N$17,2,TRUE),"")))))</f>
        <v/>
      </c>
      <c r="J208" s="122"/>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95"/>
      <c r="AH208" s="112"/>
      <c r="AI208" s="196"/>
      <c r="AJ208" s="197"/>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96"/>
      <c r="BV208" s="222" t="str">
        <f t="shared" si="7"/>
        <v/>
      </c>
    </row>
    <row r="209" spans="1:74" s="108" customFormat="1" ht="15.75">
      <c r="A209" s="119"/>
      <c r="B209" s="120"/>
      <c r="C209" s="111"/>
      <c r="D209" s="111"/>
      <c r="E209" s="121"/>
      <c r="F209" s="121"/>
      <c r="G209" s="113"/>
      <c r="H209" s="199" t="str">
        <f t="shared" si="6"/>
        <v/>
      </c>
      <c r="I209" s="200" t="str">
        <f>IF(E209="","",IF(AND(BV209&lt;=66),VLOOKUP(H209,'LetterID Look Up'!$A$13:$B$20,2,TRUE),IF(AND(BV209&gt;=67,BV209&lt;=72),VLOOKUP(H209,'LetterID Look Up'!$E$13:$F$19,2,TRUE),IF(AND(BV209&gt;=73,BV209&lt;=78),VLOOKUP(H209,'LetterID Look Up'!$I$13:$J$19,2,TRUE),IF(AND(BV209&gt;=79),VLOOKUP(H209,'LetterID Look Up'!$M$13:$N$17,2,TRUE),"")))))</f>
        <v/>
      </c>
      <c r="J209" s="122"/>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95"/>
      <c r="AH209" s="112"/>
      <c r="AI209" s="196"/>
      <c r="AJ209" s="197"/>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96"/>
      <c r="BV209" s="222" t="str">
        <f t="shared" si="7"/>
        <v/>
      </c>
    </row>
    <row r="210" spans="1:74" s="108" customFormat="1" ht="15.75">
      <c r="A210" s="119"/>
      <c r="B210" s="120"/>
      <c r="C210" s="111"/>
      <c r="D210" s="111"/>
      <c r="E210" s="121"/>
      <c r="F210" s="121"/>
      <c r="G210" s="113"/>
      <c r="H210" s="199" t="str">
        <f t="shared" si="6"/>
        <v/>
      </c>
      <c r="I210" s="200" t="str">
        <f>IF(E210="","",IF(AND(BV210&lt;=66),VLOOKUP(H210,'LetterID Look Up'!$A$13:$B$20,2,TRUE),IF(AND(BV210&gt;=67,BV210&lt;=72),VLOOKUP(H210,'LetterID Look Up'!$E$13:$F$19,2,TRUE),IF(AND(BV210&gt;=73,BV210&lt;=78),VLOOKUP(H210,'LetterID Look Up'!$I$13:$J$19,2,TRUE),IF(AND(BV210&gt;=79),VLOOKUP(H210,'LetterID Look Up'!$M$13:$N$17,2,TRUE),"")))))</f>
        <v/>
      </c>
      <c r="J210" s="122"/>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95"/>
      <c r="AH210" s="112"/>
      <c r="AI210" s="196"/>
      <c r="AJ210" s="197"/>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96"/>
      <c r="BV210" s="222" t="str">
        <f t="shared" si="7"/>
        <v/>
      </c>
    </row>
    <row r="211" spans="1:74" s="108" customFormat="1" ht="15.75">
      <c r="A211" s="119"/>
      <c r="B211" s="120"/>
      <c r="C211" s="111"/>
      <c r="D211" s="111"/>
      <c r="E211" s="121"/>
      <c r="F211" s="121"/>
      <c r="G211" s="113"/>
      <c r="H211" s="199" t="str">
        <f t="shared" si="6"/>
        <v/>
      </c>
      <c r="I211" s="200" t="str">
        <f>IF(E211="","",IF(AND(BV211&lt;=66),VLOOKUP(H211,'LetterID Look Up'!$A$13:$B$20,2,TRUE),IF(AND(BV211&gt;=67,BV211&lt;=72),VLOOKUP(H211,'LetterID Look Up'!$E$13:$F$19,2,TRUE),IF(AND(BV211&gt;=73,BV211&lt;=78),VLOOKUP(H211,'LetterID Look Up'!$I$13:$J$19,2,TRUE),IF(AND(BV211&gt;=79),VLOOKUP(H211,'LetterID Look Up'!$M$13:$N$17,2,TRUE),"")))))</f>
        <v/>
      </c>
      <c r="J211" s="122"/>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95"/>
      <c r="AH211" s="112"/>
      <c r="AI211" s="196"/>
      <c r="AJ211" s="197"/>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96"/>
      <c r="BV211" s="222" t="str">
        <f t="shared" si="7"/>
        <v/>
      </c>
    </row>
    <row r="212" spans="1:74" s="108" customFormat="1" ht="15.75">
      <c r="A212" s="119"/>
      <c r="B212" s="120"/>
      <c r="C212" s="111"/>
      <c r="D212" s="111"/>
      <c r="E212" s="121"/>
      <c r="F212" s="121"/>
      <c r="G212" s="113"/>
      <c r="H212" s="199" t="str">
        <f t="shared" si="6"/>
        <v/>
      </c>
      <c r="I212" s="200" t="str">
        <f>IF(E212="","",IF(AND(BV212&lt;=66),VLOOKUP(H212,'LetterID Look Up'!$A$13:$B$20,2,TRUE),IF(AND(BV212&gt;=67,BV212&lt;=72),VLOOKUP(H212,'LetterID Look Up'!$E$13:$F$19,2,TRUE),IF(AND(BV212&gt;=73,BV212&lt;=78),VLOOKUP(H212,'LetterID Look Up'!$I$13:$J$19,2,TRUE),IF(AND(BV212&gt;=79),VLOOKUP(H212,'LetterID Look Up'!$M$13:$N$17,2,TRUE),"")))))</f>
        <v/>
      </c>
      <c r="J212" s="122"/>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95"/>
      <c r="AH212" s="112"/>
      <c r="AI212" s="196"/>
      <c r="AJ212" s="197"/>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96"/>
      <c r="BV212" s="222" t="str">
        <f t="shared" si="7"/>
        <v/>
      </c>
    </row>
    <row r="213" spans="1:74" s="108" customFormat="1" ht="15.75">
      <c r="A213" s="119"/>
      <c r="B213" s="120"/>
      <c r="C213" s="111"/>
      <c r="D213" s="111"/>
      <c r="E213" s="121"/>
      <c r="F213" s="121"/>
      <c r="G213" s="113"/>
      <c r="H213" s="199" t="str">
        <f t="shared" si="6"/>
        <v/>
      </c>
      <c r="I213" s="200" t="str">
        <f>IF(E213="","",IF(AND(BV213&lt;=66),VLOOKUP(H213,'LetterID Look Up'!$A$13:$B$20,2,TRUE),IF(AND(BV213&gt;=67,BV213&lt;=72),VLOOKUP(H213,'LetterID Look Up'!$E$13:$F$19,2,TRUE),IF(AND(BV213&gt;=73,BV213&lt;=78),VLOOKUP(H213,'LetterID Look Up'!$I$13:$J$19,2,TRUE),IF(AND(BV213&gt;=79),VLOOKUP(H213,'LetterID Look Up'!$M$13:$N$17,2,TRUE),"")))))</f>
        <v/>
      </c>
      <c r="J213" s="122"/>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95"/>
      <c r="AH213" s="112"/>
      <c r="AI213" s="196"/>
      <c r="AJ213" s="197"/>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96"/>
      <c r="BV213" s="222" t="str">
        <f t="shared" si="7"/>
        <v/>
      </c>
    </row>
    <row r="214" spans="1:74" s="108" customFormat="1" ht="15.75">
      <c r="A214" s="119"/>
      <c r="B214" s="120"/>
      <c r="C214" s="111"/>
      <c r="D214" s="111"/>
      <c r="E214" s="121"/>
      <c r="F214" s="121"/>
      <c r="G214" s="113"/>
      <c r="H214" s="199" t="str">
        <f t="shared" si="6"/>
        <v/>
      </c>
      <c r="I214" s="200" t="str">
        <f>IF(E214="","",IF(AND(BV214&lt;=66),VLOOKUP(H214,'LetterID Look Up'!$A$13:$B$20,2,TRUE),IF(AND(BV214&gt;=67,BV214&lt;=72),VLOOKUP(H214,'LetterID Look Up'!$E$13:$F$19,2,TRUE),IF(AND(BV214&gt;=73,BV214&lt;=78),VLOOKUP(H214,'LetterID Look Up'!$I$13:$J$19,2,TRUE),IF(AND(BV214&gt;=79),VLOOKUP(H214,'LetterID Look Up'!$M$13:$N$17,2,TRUE),"")))))</f>
        <v/>
      </c>
      <c r="J214" s="122"/>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95"/>
      <c r="AH214" s="112"/>
      <c r="AI214" s="196"/>
      <c r="AJ214" s="197"/>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96"/>
      <c r="BV214" s="222" t="str">
        <f t="shared" si="7"/>
        <v/>
      </c>
    </row>
    <row r="215" spans="1:74" s="108" customFormat="1" ht="15.75">
      <c r="A215" s="119"/>
      <c r="B215" s="120"/>
      <c r="C215" s="111"/>
      <c r="D215" s="111"/>
      <c r="E215" s="121"/>
      <c r="F215" s="121"/>
      <c r="G215" s="113"/>
      <c r="H215" s="199" t="str">
        <f t="shared" si="6"/>
        <v/>
      </c>
      <c r="I215" s="200" t="str">
        <f>IF(E215="","",IF(AND(BV215&lt;=66),VLOOKUP(H215,'LetterID Look Up'!$A$13:$B$20,2,TRUE),IF(AND(BV215&gt;=67,BV215&lt;=72),VLOOKUP(H215,'LetterID Look Up'!$E$13:$F$19,2,TRUE),IF(AND(BV215&gt;=73,BV215&lt;=78),VLOOKUP(H215,'LetterID Look Up'!$I$13:$J$19,2,TRUE),IF(AND(BV215&gt;=79),VLOOKUP(H215,'LetterID Look Up'!$M$13:$N$17,2,TRUE),"")))))</f>
        <v/>
      </c>
      <c r="J215" s="122"/>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95"/>
      <c r="AH215" s="112"/>
      <c r="AI215" s="196"/>
      <c r="AJ215" s="197"/>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96"/>
      <c r="BV215" s="222" t="str">
        <f t="shared" si="7"/>
        <v/>
      </c>
    </row>
    <row r="216" spans="1:74" s="108" customFormat="1" ht="15.75">
      <c r="A216" s="119"/>
      <c r="B216" s="120"/>
      <c r="C216" s="111"/>
      <c r="D216" s="111"/>
      <c r="E216" s="121"/>
      <c r="F216" s="121"/>
      <c r="G216" s="113"/>
      <c r="H216" s="199" t="str">
        <f t="shared" si="6"/>
        <v/>
      </c>
      <c r="I216" s="200" t="str">
        <f>IF(E216="","",IF(AND(BV216&lt;=66),VLOOKUP(H216,'LetterID Look Up'!$A$13:$B$20,2,TRUE),IF(AND(BV216&gt;=67,BV216&lt;=72),VLOOKUP(H216,'LetterID Look Up'!$E$13:$F$19,2,TRUE),IF(AND(BV216&gt;=73,BV216&lt;=78),VLOOKUP(H216,'LetterID Look Up'!$I$13:$J$19,2,TRUE),IF(AND(BV216&gt;=79),VLOOKUP(H216,'LetterID Look Up'!$M$13:$N$17,2,TRUE),"")))))</f>
        <v/>
      </c>
      <c r="J216" s="122"/>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95"/>
      <c r="AH216" s="112"/>
      <c r="AI216" s="196"/>
      <c r="AJ216" s="197"/>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96"/>
      <c r="BV216" s="222" t="str">
        <f t="shared" si="7"/>
        <v/>
      </c>
    </row>
    <row r="217" spans="1:74" s="108" customFormat="1" ht="15.75">
      <c r="A217" s="119"/>
      <c r="B217" s="120"/>
      <c r="C217" s="111"/>
      <c r="D217" s="111"/>
      <c r="E217" s="121"/>
      <c r="F217" s="121"/>
      <c r="G217" s="113"/>
      <c r="H217" s="199" t="str">
        <f t="shared" si="6"/>
        <v/>
      </c>
      <c r="I217" s="200" t="str">
        <f>IF(E217="","",IF(AND(BV217&lt;=66),VLOOKUP(H217,'LetterID Look Up'!$A$13:$B$20,2,TRUE),IF(AND(BV217&gt;=67,BV217&lt;=72),VLOOKUP(H217,'LetterID Look Up'!$E$13:$F$19,2,TRUE),IF(AND(BV217&gt;=73,BV217&lt;=78),VLOOKUP(H217,'LetterID Look Up'!$I$13:$J$19,2,TRUE),IF(AND(BV217&gt;=79),VLOOKUP(H217,'LetterID Look Up'!$M$13:$N$17,2,TRUE),"")))))</f>
        <v/>
      </c>
      <c r="J217" s="122"/>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95"/>
      <c r="AH217" s="112"/>
      <c r="AI217" s="196"/>
      <c r="AJ217" s="197"/>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96"/>
      <c r="BV217" s="222" t="str">
        <f t="shared" si="7"/>
        <v/>
      </c>
    </row>
    <row r="218" spans="1:74" s="108" customFormat="1" ht="15.75">
      <c r="A218" s="119"/>
      <c r="B218" s="120"/>
      <c r="C218" s="111"/>
      <c r="D218" s="111"/>
      <c r="E218" s="121"/>
      <c r="F218" s="121"/>
      <c r="G218" s="113"/>
      <c r="H218" s="199" t="str">
        <f t="shared" si="6"/>
        <v/>
      </c>
      <c r="I218" s="200" t="str">
        <f>IF(E218="","",IF(AND(BV218&lt;=66),VLOOKUP(H218,'LetterID Look Up'!$A$13:$B$20,2,TRUE),IF(AND(BV218&gt;=67,BV218&lt;=72),VLOOKUP(H218,'LetterID Look Up'!$E$13:$F$19,2,TRUE),IF(AND(BV218&gt;=73,BV218&lt;=78),VLOOKUP(H218,'LetterID Look Up'!$I$13:$J$19,2,TRUE),IF(AND(BV218&gt;=79),VLOOKUP(H218,'LetterID Look Up'!$M$13:$N$17,2,TRUE),"")))))</f>
        <v/>
      </c>
      <c r="J218" s="122"/>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95"/>
      <c r="AH218" s="112"/>
      <c r="AI218" s="196"/>
      <c r="AJ218" s="197"/>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96"/>
      <c r="BV218" s="222" t="str">
        <f t="shared" si="7"/>
        <v/>
      </c>
    </row>
    <row r="219" spans="1:74" s="108" customFormat="1" ht="15.75">
      <c r="A219" s="119"/>
      <c r="B219" s="120"/>
      <c r="C219" s="111"/>
      <c r="D219" s="111"/>
      <c r="E219" s="121"/>
      <c r="F219" s="121"/>
      <c r="G219" s="113"/>
      <c r="H219" s="199" t="str">
        <f t="shared" si="6"/>
        <v/>
      </c>
      <c r="I219" s="200" t="str">
        <f>IF(E219="","",IF(AND(BV219&lt;=66),VLOOKUP(H219,'LetterID Look Up'!$A$13:$B$20,2,TRUE),IF(AND(BV219&gt;=67,BV219&lt;=72),VLOOKUP(H219,'LetterID Look Up'!$E$13:$F$19,2,TRUE),IF(AND(BV219&gt;=73,BV219&lt;=78),VLOOKUP(H219,'LetterID Look Up'!$I$13:$J$19,2,TRUE),IF(AND(BV219&gt;=79),VLOOKUP(H219,'LetterID Look Up'!$M$13:$N$17,2,TRUE),"")))))</f>
        <v/>
      </c>
      <c r="J219" s="122"/>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95"/>
      <c r="AH219" s="112"/>
      <c r="AI219" s="196"/>
      <c r="AJ219" s="197"/>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96"/>
      <c r="BV219" s="222" t="str">
        <f t="shared" si="7"/>
        <v/>
      </c>
    </row>
    <row r="220" spans="1:74" s="108" customFormat="1" ht="15.75">
      <c r="A220" s="119"/>
      <c r="B220" s="120"/>
      <c r="C220" s="111"/>
      <c r="D220" s="111"/>
      <c r="E220" s="121"/>
      <c r="F220" s="121"/>
      <c r="G220" s="113"/>
      <c r="H220" s="199" t="str">
        <f t="shared" si="6"/>
        <v/>
      </c>
      <c r="I220" s="200" t="str">
        <f>IF(E220="","",IF(AND(BV220&lt;=66),VLOOKUP(H220,'LetterID Look Up'!$A$13:$B$20,2,TRUE),IF(AND(BV220&gt;=67,BV220&lt;=72),VLOOKUP(H220,'LetterID Look Up'!$E$13:$F$19,2,TRUE),IF(AND(BV220&gt;=73,BV220&lt;=78),VLOOKUP(H220,'LetterID Look Up'!$I$13:$J$19,2,TRUE),IF(AND(BV220&gt;=79),VLOOKUP(H220,'LetterID Look Up'!$M$13:$N$17,2,TRUE),"")))))</f>
        <v/>
      </c>
      <c r="J220" s="122"/>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95"/>
      <c r="AH220" s="112"/>
      <c r="AI220" s="196"/>
      <c r="AJ220" s="197"/>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96"/>
      <c r="BV220" s="222" t="str">
        <f t="shared" si="7"/>
        <v/>
      </c>
    </row>
    <row r="221" spans="1:74" s="108" customFormat="1" ht="15.75">
      <c r="A221" s="119"/>
      <c r="B221" s="120"/>
      <c r="C221" s="111"/>
      <c r="D221" s="111"/>
      <c r="E221" s="121"/>
      <c r="F221" s="121"/>
      <c r="G221" s="113"/>
      <c r="H221" s="199" t="str">
        <f t="shared" si="6"/>
        <v/>
      </c>
      <c r="I221" s="200" t="str">
        <f>IF(E221="","",IF(AND(BV221&lt;=66),VLOOKUP(H221,'LetterID Look Up'!$A$13:$B$20,2,TRUE),IF(AND(BV221&gt;=67,BV221&lt;=72),VLOOKUP(H221,'LetterID Look Up'!$E$13:$F$19,2,TRUE),IF(AND(BV221&gt;=73,BV221&lt;=78),VLOOKUP(H221,'LetterID Look Up'!$I$13:$J$19,2,TRUE),IF(AND(BV221&gt;=79),VLOOKUP(H221,'LetterID Look Up'!$M$13:$N$17,2,TRUE),"")))))</f>
        <v/>
      </c>
      <c r="J221" s="122"/>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95"/>
      <c r="AH221" s="112"/>
      <c r="AI221" s="196"/>
      <c r="AJ221" s="197"/>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96"/>
      <c r="BV221" s="222" t="str">
        <f t="shared" si="7"/>
        <v/>
      </c>
    </row>
    <row r="222" spans="1:74" s="108" customFormat="1" ht="15.75">
      <c r="A222" s="119"/>
      <c r="B222" s="120"/>
      <c r="C222" s="111"/>
      <c r="D222" s="111"/>
      <c r="E222" s="121"/>
      <c r="F222" s="121"/>
      <c r="G222" s="113"/>
      <c r="H222" s="199" t="str">
        <f t="shared" si="6"/>
        <v/>
      </c>
      <c r="I222" s="200" t="str">
        <f>IF(E222="","",IF(AND(BV222&lt;=66),VLOOKUP(H222,'LetterID Look Up'!$A$13:$B$20,2,TRUE),IF(AND(BV222&gt;=67,BV222&lt;=72),VLOOKUP(H222,'LetterID Look Up'!$E$13:$F$19,2,TRUE),IF(AND(BV222&gt;=73,BV222&lt;=78),VLOOKUP(H222,'LetterID Look Up'!$I$13:$J$19,2,TRUE),IF(AND(BV222&gt;=79),VLOOKUP(H222,'LetterID Look Up'!$M$13:$N$17,2,TRUE),"")))))</f>
        <v/>
      </c>
      <c r="J222" s="122"/>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95"/>
      <c r="AH222" s="112"/>
      <c r="AI222" s="196"/>
      <c r="AJ222" s="197"/>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96"/>
      <c r="BV222" s="222" t="str">
        <f t="shared" si="7"/>
        <v/>
      </c>
    </row>
    <row r="223" spans="1:74" s="108" customFormat="1" ht="15.75">
      <c r="A223" s="119"/>
      <c r="B223" s="120"/>
      <c r="C223" s="111"/>
      <c r="D223" s="111"/>
      <c r="E223" s="121"/>
      <c r="F223" s="121"/>
      <c r="G223" s="113"/>
      <c r="H223" s="199" t="str">
        <f t="shared" si="6"/>
        <v/>
      </c>
      <c r="I223" s="200" t="str">
        <f>IF(E223="","",IF(AND(BV223&lt;=66),VLOOKUP(H223,'LetterID Look Up'!$A$13:$B$20,2,TRUE),IF(AND(BV223&gt;=67,BV223&lt;=72),VLOOKUP(H223,'LetterID Look Up'!$E$13:$F$19,2,TRUE),IF(AND(BV223&gt;=73,BV223&lt;=78),VLOOKUP(H223,'LetterID Look Up'!$I$13:$J$19,2,TRUE),IF(AND(BV223&gt;=79),VLOOKUP(H223,'LetterID Look Up'!$M$13:$N$17,2,TRUE),"")))))</f>
        <v/>
      </c>
      <c r="J223" s="122"/>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95"/>
      <c r="AH223" s="112"/>
      <c r="AI223" s="196"/>
      <c r="AJ223" s="197"/>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96"/>
      <c r="BV223" s="222" t="str">
        <f t="shared" si="7"/>
        <v/>
      </c>
    </row>
    <row r="224" spans="1:74" s="108" customFormat="1" ht="15.75">
      <c r="A224" s="119"/>
      <c r="B224" s="120"/>
      <c r="C224" s="111"/>
      <c r="D224" s="111"/>
      <c r="E224" s="121"/>
      <c r="F224" s="121"/>
      <c r="G224" s="113"/>
      <c r="H224" s="199" t="str">
        <f t="shared" si="6"/>
        <v/>
      </c>
      <c r="I224" s="200" t="str">
        <f>IF(E224="","",IF(AND(BV224&lt;=66),VLOOKUP(H224,'LetterID Look Up'!$A$13:$B$20,2,TRUE),IF(AND(BV224&gt;=67,BV224&lt;=72),VLOOKUP(H224,'LetterID Look Up'!$E$13:$F$19,2,TRUE),IF(AND(BV224&gt;=73,BV224&lt;=78),VLOOKUP(H224,'LetterID Look Up'!$I$13:$J$19,2,TRUE),IF(AND(BV224&gt;=79),VLOOKUP(H224,'LetterID Look Up'!$M$13:$N$17,2,TRUE),"")))))</f>
        <v/>
      </c>
      <c r="J224" s="122"/>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95"/>
      <c r="AH224" s="112"/>
      <c r="AI224" s="196"/>
      <c r="AJ224" s="197"/>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96"/>
      <c r="BV224" s="222" t="str">
        <f t="shared" si="7"/>
        <v/>
      </c>
    </row>
    <row r="225" spans="1:74" s="108" customFormat="1" ht="15.75">
      <c r="A225" s="119"/>
      <c r="B225" s="120"/>
      <c r="C225" s="111"/>
      <c r="D225" s="111"/>
      <c r="E225" s="121"/>
      <c r="F225" s="121"/>
      <c r="G225" s="113"/>
      <c r="H225" s="199" t="str">
        <f t="shared" si="6"/>
        <v/>
      </c>
      <c r="I225" s="200" t="str">
        <f>IF(E225="","",IF(AND(BV225&lt;=66),VLOOKUP(H225,'LetterID Look Up'!$A$13:$B$20,2,TRUE),IF(AND(BV225&gt;=67,BV225&lt;=72),VLOOKUP(H225,'LetterID Look Up'!$E$13:$F$19,2,TRUE),IF(AND(BV225&gt;=73,BV225&lt;=78),VLOOKUP(H225,'LetterID Look Up'!$I$13:$J$19,2,TRUE),IF(AND(BV225&gt;=79),VLOOKUP(H225,'LetterID Look Up'!$M$13:$N$17,2,TRUE),"")))))</f>
        <v/>
      </c>
      <c r="J225" s="122"/>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95"/>
      <c r="AH225" s="112"/>
      <c r="AI225" s="196"/>
      <c r="AJ225" s="197"/>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96"/>
      <c r="BV225" s="222" t="str">
        <f t="shared" si="7"/>
        <v/>
      </c>
    </row>
    <row r="226" spans="1:74" s="108" customFormat="1" ht="15.75">
      <c r="A226" s="119"/>
      <c r="B226" s="120"/>
      <c r="C226" s="111"/>
      <c r="D226" s="111"/>
      <c r="E226" s="121"/>
      <c r="F226" s="121"/>
      <c r="G226" s="113"/>
      <c r="H226" s="199" t="str">
        <f t="shared" si="6"/>
        <v/>
      </c>
      <c r="I226" s="200" t="str">
        <f>IF(E226="","",IF(AND(BV226&lt;=66),VLOOKUP(H226,'LetterID Look Up'!$A$13:$B$20,2,TRUE),IF(AND(BV226&gt;=67,BV226&lt;=72),VLOOKUP(H226,'LetterID Look Up'!$E$13:$F$19,2,TRUE),IF(AND(BV226&gt;=73,BV226&lt;=78),VLOOKUP(H226,'LetterID Look Up'!$I$13:$J$19,2,TRUE),IF(AND(BV226&gt;=79),VLOOKUP(H226,'LetterID Look Up'!$M$13:$N$17,2,TRUE),"")))))</f>
        <v/>
      </c>
      <c r="J226" s="122"/>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95"/>
      <c r="AH226" s="112"/>
      <c r="AI226" s="196"/>
      <c r="AJ226" s="197"/>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96"/>
      <c r="BV226" s="222" t="str">
        <f t="shared" si="7"/>
        <v/>
      </c>
    </row>
    <row r="227" spans="1:74" s="108" customFormat="1" ht="15.75">
      <c r="A227" s="119"/>
      <c r="B227" s="120"/>
      <c r="C227" s="111"/>
      <c r="D227" s="111"/>
      <c r="E227" s="121"/>
      <c r="F227" s="121"/>
      <c r="G227" s="113"/>
      <c r="H227" s="199" t="str">
        <f t="shared" si="6"/>
        <v/>
      </c>
      <c r="I227" s="200" t="str">
        <f>IF(E227="","",IF(AND(BV227&lt;=66),VLOOKUP(H227,'LetterID Look Up'!$A$13:$B$20,2,TRUE),IF(AND(BV227&gt;=67,BV227&lt;=72),VLOOKUP(H227,'LetterID Look Up'!$E$13:$F$19,2,TRUE),IF(AND(BV227&gt;=73,BV227&lt;=78),VLOOKUP(H227,'LetterID Look Up'!$I$13:$J$19,2,TRUE),IF(AND(BV227&gt;=79),VLOOKUP(H227,'LetterID Look Up'!$M$13:$N$17,2,TRUE),"")))))</f>
        <v/>
      </c>
      <c r="J227" s="122"/>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95"/>
      <c r="AH227" s="112"/>
      <c r="AI227" s="196"/>
      <c r="AJ227" s="197"/>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96"/>
      <c r="BV227" s="222" t="str">
        <f t="shared" si="7"/>
        <v/>
      </c>
    </row>
    <row r="228" spans="1:74" s="108" customFormat="1" ht="15.75">
      <c r="A228" s="119"/>
      <c r="B228" s="120"/>
      <c r="C228" s="111"/>
      <c r="D228" s="111"/>
      <c r="E228" s="121"/>
      <c r="F228" s="121"/>
      <c r="G228" s="113"/>
      <c r="H228" s="199" t="str">
        <f t="shared" si="6"/>
        <v/>
      </c>
      <c r="I228" s="200" t="str">
        <f>IF(E228="","",IF(AND(BV228&lt;=66),VLOOKUP(H228,'LetterID Look Up'!$A$13:$B$20,2,TRUE),IF(AND(BV228&gt;=67,BV228&lt;=72),VLOOKUP(H228,'LetterID Look Up'!$E$13:$F$19,2,TRUE),IF(AND(BV228&gt;=73,BV228&lt;=78),VLOOKUP(H228,'LetterID Look Up'!$I$13:$J$19,2,TRUE),IF(AND(BV228&gt;=79),VLOOKUP(H228,'LetterID Look Up'!$M$13:$N$17,2,TRUE),"")))))</f>
        <v/>
      </c>
      <c r="J228" s="122"/>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95"/>
      <c r="AH228" s="112"/>
      <c r="AI228" s="196"/>
      <c r="AJ228" s="197"/>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96"/>
      <c r="BV228" s="222" t="str">
        <f t="shared" si="7"/>
        <v/>
      </c>
    </row>
    <row r="229" spans="1:74" s="108" customFormat="1" ht="15.75">
      <c r="A229" s="119"/>
      <c r="B229" s="120"/>
      <c r="C229" s="111"/>
      <c r="D229" s="111"/>
      <c r="E229" s="121"/>
      <c r="F229" s="121"/>
      <c r="G229" s="113"/>
      <c r="H229" s="199" t="str">
        <f t="shared" si="6"/>
        <v/>
      </c>
      <c r="I229" s="200" t="str">
        <f>IF(E229="","",IF(AND(BV229&lt;=66),VLOOKUP(H229,'LetterID Look Up'!$A$13:$B$20,2,TRUE),IF(AND(BV229&gt;=67,BV229&lt;=72),VLOOKUP(H229,'LetterID Look Up'!$E$13:$F$19,2,TRUE),IF(AND(BV229&gt;=73,BV229&lt;=78),VLOOKUP(H229,'LetterID Look Up'!$I$13:$J$19,2,TRUE),IF(AND(BV229&gt;=79),VLOOKUP(H229,'LetterID Look Up'!$M$13:$N$17,2,TRUE),"")))))</f>
        <v/>
      </c>
      <c r="J229" s="122"/>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95"/>
      <c r="AH229" s="112"/>
      <c r="AI229" s="196"/>
      <c r="AJ229" s="197"/>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96"/>
      <c r="BV229" s="222" t="str">
        <f t="shared" si="7"/>
        <v/>
      </c>
    </row>
    <row r="230" spans="1:74" s="108" customFormat="1" ht="15.75">
      <c r="A230" s="119"/>
      <c r="B230" s="120"/>
      <c r="C230" s="111"/>
      <c r="D230" s="111"/>
      <c r="E230" s="121"/>
      <c r="F230" s="121"/>
      <c r="G230" s="113"/>
      <c r="H230" s="199" t="str">
        <f t="shared" si="6"/>
        <v/>
      </c>
      <c r="I230" s="200" t="str">
        <f>IF(E230="","",IF(AND(BV230&lt;=66),VLOOKUP(H230,'LetterID Look Up'!$A$13:$B$20,2,TRUE),IF(AND(BV230&gt;=67,BV230&lt;=72),VLOOKUP(H230,'LetterID Look Up'!$E$13:$F$19,2,TRUE),IF(AND(BV230&gt;=73,BV230&lt;=78),VLOOKUP(H230,'LetterID Look Up'!$I$13:$J$19,2,TRUE),IF(AND(BV230&gt;=79),VLOOKUP(H230,'LetterID Look Up'!$M$13:$N$17,2,TRUE),"")))))</f>
        <v/>
      </c>
      <c r="J230" s="122"/>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95"/>
      <c r="AH230" s="112"/>
      <c r="AI230" s="196"/>
      <c r="AJ230" s="197"/>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96"/>
      <c r="BV230" s="222" t="str">
        <f t="shared" si="7"/>
        <v/>
      </c>
    </row>
    <row r="231" spans="1:74" s="108" customFormat="1" ht="15.75">
      <c r="A231" s="119"/>
      <c r="B231" s="120"/>
      <c r="C231" s="111"/>
      <c r="D231" s="111"/>
      <c r="E231" s="121"/>
      <c r="F231" s="121"/>
      <c r="G231" s="113"/>
      <c r="H231" s="199" t="str">
        <f t="shared" si="6"/>
        <v/>
      </c>
      <c r="I231" s="200" t="str">
        <f>IF(E231="","",IF(AND(BV231&lt;=66),VLOOKUP(H231,'LetterID Look Up'!$A$13:$B$20,2,TRUE),IF(AND(BV231&gt;=67,BV231&lt;=72),VLOOKUP(H231,'LetterID Look Up'!$E$13:$F$19,2,TRUE),IF(AND(BV231&gt;=73,BV231&lt;=78),VLOOKUP(H231,'LetterID Look Up'!$I$13:$J$19,2,TRUE),IF(AND(BV231&gt;=79),VLOOKUP(H231,'LetterID Look Up'!$M$13:$N$17,2,TRUE),"")))))</f>
        <v/>
      </c>
      <c r="J231" s="122"/>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95"/>
      <c r="AH231" s="112"/>
      <c r="AI231" s="196"/>
      <c r="AJ231" s="197"/>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96"/>
      <c r="BV231" s="222" t="str">
        <f t="shared" si="7"/>
        <v/>
      </c>
    </row>
    <row r="232" spans="1:74" s="108" customFormat="1" ht="15.75">
      <c r="A232" s="119"/>
      <c r="B232" s="120"/>
      <c r="C232" s="111"/>
      <c r="D232" s="111"/>
      <c r="E232" s="121"/>
      <c r="F232" s="121"/>
      <c r="G232" s="113"/>
      <c r="H232" s="199" t="str">
        <f t="shared" si="6"/>
        <v/>
      </c>
      <c r="I232" s="200" t="str">
        <f>IF(E232="","",IF(AND(BV232&lt;=66),VLOOKUP(H232,'LetterID Look Up'!$A$13:$B$20,2,TRUE),IF(AND(BV232&gt;=67,BV232&lt;=72),VLOOKUP(H232,'LetterID Look Up'!$E$13:$F$19,2,TRUE),IF(AND(BV232&gt;=73,BV232&lt;=78),VLOOKUP(H232,'LetterID Look Up'!$I$13:$J$19,2,TRUE),IF(AND(BV232&gt;=79),VLOOKUP(H232,'LetterID Look Up'!$M$13:$N$17,2,TRUE),"")))))</f>
        <v/>
      </c>
      <c r="J232" s="122"/>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95"/>
      <c r="AH232" s="112"/>
      <c r="AI232" s="196"/>
      <c r="AJ232" s="197"/>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96"/>
      <c r="BV232" s="222" t="str">
        <f t="shared" si="7"/>
        <v/>
      </c>
    </row>
    <row r="233" spans="1:74" s="108" customFormat="1" ht="15.75">
      <c r="A233" s="119"/>
      <c r="B233" s="120"/>
      <c r="C233" s="111"/>
      <c r="D233" s="111"/>
      <c r="E233" s="121"/>
      <c r="F233" s="121"/>
      <c r="G233" s="113"/>
      <c r="H233" s="199" t="str">
        <f t="shared" si="6"/>
        <v/>
      </c>
      <c r="I233" s="200" t="str">
        <f>IF(E233="","",IF(AND(BV233&lt;=66),VLOOKUP(H233,'LetterID Look Up'!$A$13:$B$20,2,TRUE),IF(AND(BV233&gt;=67,BV233&lt;=72),VLOOKUP(H233,'LetterID Look Up'!$E$13:$F$19,2,TRUE),IF(AND(BV233&gt;=73,BV233&lt;=78),VLOOKUP(H233,'LetterID Look Up'!$I$13:$J$19,2,TRUE),IF(AND(BV233&gt;=79),VLOOKUP(H233,'LetterID Look Up'!$M$13:$N$17,2,TRUE),"")))))</f>
        <v/>
      </c>
      <c r="J233" s="122"/>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95"/>
      <c r="AH233" s="112"/>
      <c r="AI233" s="196"/>
      <c r="AJ233" s="197"/>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96"/>
      <c r="BV233" s="222" t="str">
        <f t="shared" si="7"/>
        <v/>
      </c>
    </row>
    <row r="234" spans="1:74" s="108" customFormat="1" ht="15.75">
      <c r="A234" s="119"/>
      <c r="B234" s="120"/>
      <c r="C234" s="111"/>
      <c r="D234" s="111"/>
      <c r="E234" s="121"/>
      <c r="F234" s="121"/>
      <c r="G234" s="113"/>
      <c r="H234" s="199" t="str">
        <f t="shared" si="6"/>
        <v/>
      </c>
      <c r="I234" s="200" t="str">
        <f>IF(E234="","",IF(AND(BV234&lt;=66),VLOOKUP(H234,'LetterID Look Up'!$A$13:$B$20,2,TRUE),IF(AND(BV234&gt;=67,BV234&lt;=72),VLOOKUP(H234,'LetterID Look Up'!$E$13:$F$19,2,TRUE),IF(AND(BV234&gt;=73,BV234&lt;=78),VLOOKUP(H234,'LetterID Look Up'!$I$13:$J$19,2,TRUE),IF(AND(BV234&gt;=79),VLOOKUP(H234,'LetterID Look Up'!$M$13:$N$17,2,TRUE),"")))))</f>
        <v/>
      </c>
      <c r="J234" s="122"/>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95"/>
      <c r="AH234" s="112"/>
      <c r="AI234" s="196"/>
      <c r="AJ234" s="197"/>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96"/>
      <c r="BV234" s="222" t="str">
        <f t="shared" si="7"/>
        <v/>
      </c>
    </row>
    <row r="235" spans="1:74" s="108" customFormat="1" ht="15.75">
      <c r="A235" s="119"/>
      <c r="B235" s="120"/>
      <c r="C235" s="111"/>
      <c r="D235" s="111"/>
      <c r="E235" s="121"/>
      <c r="F235" s="121"/>
      <c r="G235" s="113"/>
      <c r="H235" s="199" t="str">
        <f t="shared" si="6"/>
        <v/>
      </c>
      <c r="I235" s="200" t="str">
        <f>IF(E235="","",IF(AND(BV235&lt;=66),VLOOKUP(H235,'LetterID Look Up'!$A$13:$B$20,2,TRUE),IF(AND(BV235&gt;=67,BV235&lt;=72),VLOOKUP(H235,'LetterID Look Up'!$E$13:$F$19,2,TRUE),IF(AND(BV235&gt;=73,BV235&lt;=78),VLOOKUP(H235,'LetterID Look Up'!$I$13:$J$19,2,TRUE),IF(AND(BV235&gt;=79),VLOOKUP(H235,'LetterID Look Up'!$M$13:$N$17,2,TRUE),"")))))</f>
        <v/>
      </c>
      <c r="J235" s="122"/>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95"/>
      <c r="AH235" s="112"/>
      <c r="AI235" s="196"/>
      <c r="AJ235" s="197"/>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96"/>
      <c r="BV235" s="222" t="str">
        <f t="shared" si="7"/>
        <v/>
      </c>
    </row>
    <row r="236" spans="1:74" s="108" customFormat="1" ht="15.75">
      <c r="A236" s="119"/>
      <c r="B236" s="120"/>
      <c r="C236" s="111"/>
      <c r="D236" s="111"/>
      <c r="E236" s="121"/>
      <c r="F236" s="121"/>
      <c r="G236" s="113"/>
      <c r="H236" s="199" t="str">
        <f t="shared" si="6"/>
        <v/>
      </c>
      <c r="I236" s="200" t="str">
        <f>IF(E236="","",IF(AND(BV236&lt;=66),VLOOKUP(H236,'LetterID Look Up'!$A$13:$B$20,2,TRUE),IF(AND(BV236&gt;=67,BV236&lt;=72),VLOOKUP(H236,'LetterID Look Up'!$E$13:$F$19,2,TRUE),IF(AND(BV236&gt;=73,BV236&lt;=78),VLOOKUP(H236,'LetterID Look Up'!$I$13:$J$19,2,TRUE),IF(AND(BV236&gt;=79),VLOOKUP(H236,'LetterID Look Up'!$M$13:$N$17,2,TRUE),"")))))</f>
        <v/>
      </c>
      <c r="J236" s="122"/>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95"/>
      <c r="AH236" s="112"/>
      <c r="AI236" s="196"/>
      <c r="AJ236" s="197"/>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96"/>
      <c r="BV236" s="222" t="str">
        <f t="shared" si="7"/>
        <v/>
      </c>
    </row>
    <row r="237" spans="1:74" s="108" customFormat="1" ht="15.75">
      <c r="A237" s="119"/>
      <c r="B237" s="120"/>
      <c r="C237" s="111"/>
      <c r="D237" s="111"/>
      <c r="E237" s="121"/>
      <c r="F237" s="121"/>
      <c r="G237" s="113"/>
      <c r="H237" s="199" t="str">
        <f t="shared" si="6"/>
        <v/>
      </c>
      <c r="I237" s="200" t="str">
        <f>IF(E237="","",IF(AND(BV237&lt;=66),VLOOKUP(H237,'LetterID Look Up'!$A$13:$B$20,2,TRUE),IF(AND(BV237&gt;=67,BV237&lt;=72),VLOOKUP(H237,'LetterID Look Up'!$E$13:$F$19,2,TRUE),IF(AND(BV237&gt;=73,BV237&lt;=78),VLOOKUP(H237,'LetterID Look Up'!$I$13:$J$19,2,TRUE),IF(AND(BV237&gt;=79),VLOOKUP(H237,'LetterID Look Up'!$M$13:$N$17,2,TRUE),"")))))</f>
        <v/>
      </c>
      <c r="J237" s="122"/>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95"/>
      <c r="AH237" s="112"/>
      <c r="AI237" s="196"/>
      <c r="AJ237" s="197"/>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96"/>
      <c r="BV237" s="222" t="str">
        <f t="shared" si="7"/>
        <v/>
      </c>
    </row>
    <row r="238" spans="1:74" s="108" customFormat="1" ht="15.75">
      <c r="A238" s="119"/>
      <c r="B238" s="120"/>
      <c r="C238" s="111"/>
      <c r="D238" s="111"/>
      <c r="E238" s="121"/>
      <c r="F238" s="121"/>
      <c r="G238" s="113"/>
      <c r="H238" s="199" t="str">
        <f t="shared" si="6"/>
        <v/>
      </c>
      <c r="I238" s="200" t="str">
        <f>IF(E238="","",IF(AND(BV238&lt;=66),VLOOKUP(H238,'LetterID Look Up'!$A$13:$B$20,2,TRUE),IF(AND(BV238&gt;=67,BV238&lt;=72),VLOOKUP(H238,'LetterID Look Up'!$E$13:$F$19,2,TRUE),IF(AND(BV238&gt;=73,BV238&lt;=78),VLOOKUP(H238,'LetterID Look Up'!$I$13:$J$19,2,TRUE),IF(AND(BV238&gt;=79),VLOOKUP(H238,'LetterID Look Up'!$M$13:$N$17,2,TRUE),"")))))</f>
        <v/>
      </c>
      <c r="J238" s="122"/>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95"/>
      <c r="AH238" s="112"/>
      <c r="AI238" s="196"/>
      <c r="AJ238" s="197"/>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96"/>
      <c r="BV238" s="222" t="str">
        <f t="shared" si="7"/>
        <v/>
      </c>
    </row>
    <row r="239" spans="1:74" s="108" customFormat="1" ht="15.75">
      <c r="A239" s="119"/>
      <c r="B239" s="120"/>
      <c r="C239" s="111"/>
      <c r="D239" s="111"/>
      <c r="E239" s="121"/>
      <c r="F239" s="121"/>
      <c r="G239" s="113"/>
      <c r="H239" s="199" t="str">
        <f t="shared" si="6"/>
        <v/>
      </c>
      <c r="I239" s="200" t="str">
        <f>IF(E239="","",IF(AND(BV239&lt;=66),VLOOKUP(H239,'LetterID Look Up'!$A$13:$B$20,2,TRUE),IF(AND(BV239&gt;=67,BV239&lt;=72),VLOOKUP(H239,'LetterID Look Up'!$E$13:$F$19,2,TRUE),IF(AND(BV239&gt;=73,BV239&lt;=78),VLOOKUP(H239,'LetterID Look Up'!$I$13:$J$19,2,TRUE),IF(AND(BV239&gt;=79),VLOOKUP(H239,'LetterID Look Up'!$M$13:$N$17,2,TRUE),"")))))</f>
        <v/>
      </c>
      <c r="J239" s="122"/>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95"/>
      <c r="AH239" s="112"/>
      <c r="AI239" s="196"/>
      <c r="AJ239" s="197"/>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96"/>
      <c r="BV239" s="222" t="str">
        <f t="shared" si="7"/>
        <v/>
      </c>
    </row>
    <row r="240" spans="1:74" s="108" customFormat="1" ht="15.75">
      <c r="A240" s="119"/>
      <c r="B240" s="120"/>
      <c r="C240" s="111"/>
      <c r="D240" s="111"/>
      <c r="E240" s="121"/>
      <c r="F240" s="121"/>
      <c r="G240" s="113"/>
      <c r="H240" s="199" t="str">
        <f t="shared" si="6"/>
        <v/>
      </c>
      <c r="I240" s="200" t="str">
        <f>IF(E240="","",IF(AND(BV240&lt;=66),VLOOKUP(H240,'LetterID Look Up'!$A$13:$B$20,2,TRUE),IF(AND(BV240&gt;=67,BV240&lt;=72),VLOOKUP(H240,'LetterID Look Up'!$E$13:$F$19,2,TRUE),IF(AND(BV240&gt;=73,BV240&lt;=78),VLOOKUP(H240,'LetterID Look Up'!$I$13:$J$19,2,TRUE),IF(AND(BV240&gt;=79),VLOOKUP(H240,'LetterID Look Up'!$M$13:$N$17,2,TRUE),"")))))</f>
        <v/>
      </c>
      <c r="J240" s="122"/>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95"/>
      <c r="AH240" s="112"/>
      <c r="AI240" s="196"/>
      <c r="AJ240" s="197"/>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96"/>
      <c r="BV240" s="222" t="str">
        <f t="shared" si="7"/>
        <v/>
      </c>
    </row>
    <row r="241" spans="1:74" s="108" customFormat="1" ht="15.75">
      <c r="A241" s="119"/>
      <c r="B241" s="120"/>
      <c r="C241" s="111"/>
      <c r="D241" s="111"/>
      <c r="E241" s="121"/>
      <c r="F241" s="121"/>
      <c r="G241" s="113"/>
      <c r="H241" s="199" t="str">
        <f t="shared" si="6"/>
        <v/>
      </c>
      <c r="I241" s="200" t="str">
        <f>IF(E241="","",IF(AND(BV241&lt;=66),VLOOKUP(H241,'LetterID Look Up'!$A$13:$B$20,2,TRUE),IF(AND(BV241&gt;=67,BV241&lt;=72),VLOOKUP(H241,'LetterID Look Up'!$E$13:$F$19,2,TRUE),IF(AND(BV241&gt;=73,BV241&lt;=78),VLOOKUP(H241,'LetterID Look Up'!$I$13:$J$19,2,TRUE),IF(AND(BV241&gt;=79),VLOOKUP(H241,'LetterID Look Up'!$M$13:$N$17,2,TRUE),"")))))</f>
        <v/>
      </c>
      <c r="J241" s="122"/>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95"/>
      <c r="AH241" s="112"/>
      <c r="AI241" s="196"/>
      <c r="AJ241" s="197"/>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96"/>
      <c r="BV241" s="222" t="str">
        <f t="shared" si="7"/>
        <v/>
      </c>
    </row>
    <row r="242" spans="1:74" s="108" customFormat="1" ht="15.75">
      <c r="A242" s="119"/>
      <c r="B242" s="120"/>
      <c r="C242" s="111"/>
      <c r="D242" s="111"/>
      <c r="E242" s="121"/>
      <c r="F242" s="121"/>
      <c r="G242" s="113"/>
      <c r="H242" s="199" t="str">
        <f t="shared" si="6"/>
        <v/>
      </c>
      <c r="I242" s="200" t="str">
        <f>IF(E242="","",IF(AND(BV242&lt;=66),VLOOKUP(H242,'LetterID Look Up'!$A$13:$B$20,2,TRUE),IF(AND(BV242&gt;=67,BV242&lt;=72),VLOOKUP(H242,'LetterID Look Up'!$E$13:$F$19,2,TRUE),IF(AND(BV242&gt;=73,BV242&lt;=78),VLOOKUP(H242,'LetterID Look Up'!$I$13:$J$19,2,TRUE),IF(AND(BV242&gt;=79),VLOOKUP(H242,'LetterID Look Up'!$M$13:$N$17,2,TRUE),"")))))</f>
        <v/>
      </c>
      <c r="J242" s="122"/>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95"/>
      <c r="AH242" s="112"/>
      <c r="AI242" s="196"/>
      <c r="AJ242" s="197"/>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96"/>
      <c r="BV242" s="222" t="str">
        <f t="shared" si="7"/>
        <v/>
      </c>
    </row>
    <row r="243" spans="1:74" s="108" customFormat="1" ht="15.75">
      <c r="A243" s="119"/>
      <c r="B243" s="120"/>
      <c r="C243" s="111"/>
      <c r="D243" s="111"/>
      <c r="E243" s="121"/>
      <c r="F243" s="121"/>
      <c r="G243" s="113"/>
      <c r="H243" s="199" t="str">
        <f t="shared" si="6"/>
        <v/>
      </c>
      <c r="I243" s="200" t="str">
        <f>IF(E243="","",IF(AND(BV243&lt;=66),VLOOKUP(H243,'LetterID Look Up'!$A$13:$B$20,2,TRUE),IF(AND(BV243&gt;=67,BV243&lt;=72),VLOOKUP(H243,'LetterID Look Up'!$E$13:$F$19,2,TRUE),IF(AND(BV243&gt;=73,BV243&lt;=78),VLOOKUP(H243,'LetterID Look Up'!$I$13:$J$19,2,TRUE),IF(AND(BV243&gt;=79),VLOOKUP(H243,'LetterID Look Up'!$M$13:$N$17,2,TRUE),"")))))</f>
        <v/>
      </c>
      <c r="J243" s="122"/>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95"/>
      <c r="AH243" s="112"/>
      <c r="AI243" s="196"/>
      <c r="AJ243" s="197"/>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96"/>
      <c r="BV243" s="222" t="str">
        <f t="shared" si="7"/>
        <v/>
      </c>
    </row>
    <row r="244" spans="1:74" s="108" customFormat="1" ht="15.75">
      <c r="A244" s="119"/>
      <c r="B244" s="120"/>
      <c r="C244" s="111"/>
      <c r="D244" s="111"/>
      <c r="E244" s="121"/>
      <c r="F244" s="121"/>
      <c r="G244" s="113"/>
      <c r="H244" s="199" t="str">
        <f t="shared" si="6"/>
        <v/>
      </c>
      <c r="I244" s="200" t="str">
        <f>IF(E244="","",IF(AND(BV244&lt;=66),VLOOKUP(H244,'LetterID Look Up'!$A$13:$B$20,2,TRUE),IF(AND(BV244&gt;=67,BV244&lt;=72),VLOOKUP(H244,'LetterID Look Up'!$E$13:$F$19,2,TRUE),IF(AND(BV244&gt;=73,BV244&lt;=78),VLOOKUP(H244,'LetterID Look Up'!$I$13:$J$19,2,TRUE),IF(AND(BV244&gt;=79),VLOOKUP(H244,'LetterID Look Up'!$M$13:$N$17,2,TRUE),"")))))</f>
        <v/>
      </c>
      <c r="J244" s="122"/>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95"/>
      <c r="AH244" s="112"/>
      <c r="AI244" s="196"/>
      <c r="AJ244" s="197"/>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96"/>
      <c r="BV244" s="222" t="str">
        <f t="shared" si="7"/>
        <v/>
      </c>
    </row>
    <row r="245" spans="1:74" s="108" customFormat="1" ht="15.75">
      <c r="A245" s="119"/>
      <c r="B245" s="120"/>
      <c r="C245" s="111"/>
      <c r="D245" s="111"/>
      <c r="E245" s="121"/>
      <c r="F245" s="121"/>
      <c r="G245" s="113"/>
      <c r="H245" s="199" t="str">
        <f t="shared" si="6"/>
        <v/>
      </c>
      <c r="I245" s="200" t="str">
        <f>IF(E245="","",IF(AND(BV245&lt;=66),VLOOKUP(H245,'LetterID Look Up'!$A$13:$B$20,2,TRUE),IF(AND(BV245&gt;=67,BV245&lt;=72),VLOOKUP(H245,'LetterID Look Up'!$E$13:$F$19,2,TRUE),IF(AND(BV245&gt;=73,BV245&lt;=78),VLOOKUP(H245,'LetterID Look Up'!$I$13:$J$19,2,TRUE),IF(AND(BV245&gt;=79),VLOOKUP(H245,'LetterID Look Up'!$M$13:$N$17,2,TRUE),"")))))</f>
        <v/>
      </c>
      <c r="J245" s="122"/>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95"/>
      <c r="AH245" s="112"/>
      <c r="AI245" s="196"/>
      <c r="AJ245" s="197"/>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96"/>
      <c r="BV245" s="222" t="str">
        <f t="shared" si="7"/>
        <v/>
      </c>
    </row>
    <row r="246" spans="1:74" s="108" customFormat="1" ht="15.75">
      <c r="A246" s="119"/>
      <c r="B246" s="120"/>
      <c r="C246" s="111"/>
      <c r="D246" s="111"/>
      <c r="E246" s="121"/>
      <c r="F246" s="121"/>
      <c r="G246" s="113"/>
      <c r="H246" s="199" t="str">
        <f t="shared" si="6"/>
        <v/>
      </c>
      <c r="I246" s="200" t="str">
        <f>IF(E246="","",IF(AND(BV246&lt;=66),VLOOKUP(H246,'LetterID Look Up'!$A$13:$B$20,2,TRUE),IF(AND(BV246&gt;=67,BV246&lt;=72),VLOOKUP(H246,'LetterID Look Up'!$E$13:$F$19,2,TRUE),IF(AND(BV246&gt;=73,BV246&lt;=78),VLOOKUP(H246,'LetterID Look Up'!$I$13:$J$19,2,TRUE),IF(AND(BV246&gt;=79),VLOOKUP(H246,'LetterID Look Up'!$M$13:$N$17,2,TRUE),"")))))</f>
        <v/>
      </c>
      <c r="J246" s="122"/>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95"/>
      <c r="AH246" s="112"/>
      <c r="AI246" s="196"/>
      <c r="AJ246" s="197"/>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96"/>
      <c r="BV246" s="222" t="str">
        <f t="shared" si="7"/>
        <v/>
      </c>
    </row>
    <row r="247" spans="1:74" s="108" customFormat="1" ht="15.75">
      <c r="A247" s="119"/>
      <c r="B247" s="120"/>
      <c r="C247" s="111"/>
      <c r="D247" s="111"/>
      <c r="E247" s="121"/>
      <c r="F247" s="121"/>
      <c r="G247" s="113"/>
      <c r="H247" s="199" t="str">
        <f t="shared" si="6"/>
        <v/>
      </c>
      <c r="I247" s="200" t="str">
        <f>IF(E247="","",IF(AND(BV247&lt;=66),VLOOKUP(H247,'LetterID Look Up'!$A$13:$B$20,2,TRUE),IF(AND(BV247&gt;=67,BV247&lt;=72),VLOOKUP(H247,'LetterID Look Up'!$E$13:$F$19,2,TRUE),IF(AND(BV247&gt;=73,BV247&lt;=78),VLOOKUP(H247,'LetterID Look Up'!$I$13:$J$19,2,TRUE),IF(AND(BV247&gt;=79),VLOOKUP(H247,'LetterID Look Up'!$M$13:$N$17,2,TRUE),"")))))</f>
        <v/>
      </c>
      <c r="J247" s="122"/>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95"/>
      <c r="AH247" s="112"/>
      <c r="AI247" s="196"/>
      <c r="AJ247" s="197"/>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96"/>
      <c r="BV247" s="222" t="str">
        <f t="shared" si="7"/>
        <v/>
      </c>
    </row>
    <row r="248" spans="1:74" s="108" customFormat="1" ht="15.75">
      <c r="A248" s="119"/>
      <c r="B248" s="120"/>
      <c r="C248" s="111"/>
      <c r="D248" s="111"/>
      <c r="E248" s="121"/>
      <c r="F248" s="121"/>
      <c r="G248" s="113"/>
      <c r="H248" s="199" t="str">
        <f t="shared" si="6"/>
        <v/>
      </c>
      <c r="I248" s="200" t="str">
        <f>IF(E248="","",IF(AND(BV248&lt;=66),VLOOKUP(H248,'LetterID Look Up'!$A$13:$B$20,2,TRUE),IF(AND(BV248&gt;=67,BV248&lt;=72),VLOOKUP(H248,'LetterID Look Up'!$E$13:$F$19,2,TRUE),IF(AND(BV248&gt;=73,BV248&lt;=78),VLOOKUP(H248,'LetterID Look Up'!$I$13:$J$19,2,TRUE),IF(AND(BV248&gt;=79),VLOOKUP(H248,'LetterID Look Up'!$M$13:$N$17,2,TRUE),"")))))</f>
        <v/>
      </c>
      <c r="J248" s="122"/>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95"/>
      <c r="AH248" s="112"/>
      <c r="AI248" s="196"/>
      <c r="AJ248" s="197"/>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96"/>
      <c r="BV248" s="222" t="str">
        <f t="shared" si="7"/>
        <v/>
      </c>
    </row>
    <row r="249" spans="1:74" s="108" customFormat="1" ht="15.75">
      <c r="A249" s="119"/>
      <c r="B249" s="120"/>
      <c r="C249" s="111"/>
      <c r="D249" s="111"/>
      <c r="E249" s="121"/>
      <c r="F249" s="121"/>
      <c r="G249" s="113"/>
      <c r="H249" s="199" t="str">
        <f t="shared" si="6"/>
        <v/>
      </c>
      <c r="I249" s="200" t="str">
        <f>IF(E249="","",IF(AND(BV249&lt;=66),VLOOKUP(H249,'LetterID Look Up'!$A$13:$B$20,2,TRUE),IF(AND(BV249&gt;=67,BV249&lt;=72),VLOOKUP(H249,'LetterID Look Up'!$E$13:$F$19,2,TRUE),IF(AND(BV249&gt;=73,BV249&lt;=78),VLOOKUP(H249,'LetterID Look Up'!$I$13:$J$19,2,TRUE),IF(AND(BV249&gt;=79),VLOOKUP(H249,'LetterID Look Up'!$M$13:$N$17,2,TRUE),"")))))</f>
        <v/>
      </c>
      <c r="J249" s="122"/>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95"/>
      <c r="AH249" s="112"/>
      <c r="AI249" s="196"/>
      <c r="AJ249" s="197"/>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96"/>
      <c r="BV249" s="222" t="str">
        <f t="shared" si="7"/>
        <v/>
      </c>
    </row>
    <row r="250" spans="1:74" s="108" customFormat="1" ht="15.75">
      <c r="A250" s="119"/>
      <c r="B250" s="120"/>
      <c r="C250" s="111"/>
      <c r="D250" s="111"/>
      <c r="E250" s="121"/>
      <c r="F250" s="121"/>
      <c r="G250" s="113"/>
      <c r="H250" s="199" t="str">
        <f t="shared" si="6"/>
        <v/>
      </c>
      <c r="I250" s="200" t="str">
        <f>IF(E250="","",IF(AND(BV250&lt;=66),VLOOKUP(H250,'LetterID Look Up'!$A$13:$B$20,2,TRUE),IF(AND(BV250&gt;=67,BV250&lt;=72),VLOOKUP(H250,'LetterID Look Up'!$E$13:$F$19,2,TRUE),IF(AND(BV250&gt;=73,BV250&lt;=78),VLOOKUP(H250,'LetterID Look Up'!$I$13:$J$19,2,TRUE),IF(AND(BV250&gt;=79),VLOOKUP(H250,'LetterID Look Up'!$M$13:$N$17,2,TRUE),"")))))</f>
        <v/>
      </c>
      <c r="J250" s="122"/>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95"/>
      <c r="AH250" s="112"/>
      <c r="AI250" s="196"/>
      <c r="AJ250" s="197"/>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96"/>
      <c r="BV250" s="222" t="str">
        <f t="shared" si="7"/>
        <v/>
      </c>
    </row>
    <row r="251" spans="1:74" s="108" customFormat="1" ht="15.75">
      <c r="A251" s="119"/>
      <c r="B251" s="120"/>
      <c r="C251" s="111"/>
      <c r="D251" s="111"/>
      <c r="E251" s="121"/>
      <c r="F251" s="121"/>
      <c r="G251" s="113"/>
      <c r="H251" s="199" t="str">
        <f t="shared" si="6"/>
        <v/>
      </c>
      <c r="I251" s="200" t="str">
        <f>IF(E251="","",IF(AND(BV251&lt;=66),VLOOKUP(H251,'LetterID Look Up'!$A$13:$B$20,2,TRUE),IF(AND(BV251&gt;=67,BV251&lt;=72),VLOOKUP(H251,'LetterID Look Up'!$E$13:$F$19,2,TRUE),IF(AND(BV251&gt;=73,BV251&lt;=78),VLOOKUP(H251,'LetterID Look Up'!$I$13:$J$19,2,TRUE),IF(AND(BV251&gt;=79),VLOOKUP(H251,'LetterID Look Up'!$M$13:$N$17,2,TRUE),"")))))</f>
        <v/>
      </c>
      <c r="J251" s="122"/>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95"/>
      <c r="AH251" s="112"/>
      <c r="AI251" s="196"/>
      <c r="AJ251" s="197"/>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96"/>
      <c r="BV251" s="222" t="str">
        <f t="shared" si="7"/>
        <v/>
      </c>
    </row>
    <row r="252" spans="1:74" s="108" customFormat="1" ht="15.75">
      <c r="A252" s="119"/>
      <c r="B252" s="120"/>
      <c r="C252" s="111"/>
      <c r="D252" s="111"/>
      <c r="E252" s="121"/>
      <c r="F252" s="121"/>
      <c r="G252" s="113"/>
      <c r="H252" s="199" t="str">
        <f t="shared" si="6"/>
        <v/>
      </c>
      <c r="I252" s="200" t="str">
        <f>IF(E252="","",IF(AND(BV252&lt;=66),VLOOKUP(H252,'LetterID Look Up'!$A$13:$B$20,2,TRUE),IF(AND(BV252&gt;=67,BV252&lt;=72),VLOOKUP(H252,'LetterID Look Up'!$E$13:$F$19,2,TRUE),IF(AND(BV252&gt;=73,BV252&lt;=78),VLOOKUP(H252,'LetterID Look Up'!$I$13:$J$19,2,TRUE),IF(AND(BV252&gt;=79),VLOOKUP(H252,'LetterID Look Up'!$M$13:$N$17,2,TRUE),"")))))</f>
        <v/>
      </c>
      <c r="J252" s="122"/>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95"/>
      <c r="AH252" s="112"/>
      <c r="AI252" s="196"/>
      <c r="AJ252" s="197"/>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96"/>
      <c r="BV252" s="222" t="str">
        <f t="shared" si="7"/>
        <v/>
      </c>
    </row>
    <row r="253" spans="1:74" s="108" customFormat="1" ht="15.75">
      <c r="A253" s="119"/>
      <c r="B253" s="120"/>
      <c r="C253" s="111"/>
      <c r="D253" s="111"/>
      <c r="E253" s="121"/>
      <c r="F253" s="121"/>
      <c r="G253" s="113"/>
      <c r="H253" s="199" t="str">
        <f t="shared" si="6"/>
        <v/>
      </c>
      <c r="I253" s="200" t="str">
        <f>IF(E253="","",IF(AND(BV253&lt;=66),VLOOKUP(H253,'LetterID Look Up'!$A$13:$B$20,2,TRUE),IF(AND(BV253&gt;=67,BV253&lt;=72),VLOOKUP(H253,'LetterID Look Up'!$E$13:$F$19,2,TRUE),IF(AND(BV253&gt;=73,BV253&lt;=78),VLOOKUP(H253,'LetterID Look Up'!$I$13:$J$19,2,TRUE),IF(AND(BV253&gt;=79),VLOOKUP(H253,'LetterID Look Up'!$M$13:$N$17,2,TRUE),"")))))</f>
        <v/>
      </c>
      <c r="J253" s="122"/>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95"/>
      <c r="AH253" s="112"/>
      <c r="AI253" s="196"/>
      <c r="AJ253" s="197"/>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96"/>
      <c r="BV253" s="222" t="str">
        <f t="shared" si="7"/>
        <v/>
      </c>
    </row>
    <row r="254" spans="1:74" s="108" customFormat="1" ht="15.75">
      <c r="A254" s="119"/>
      <c r="B254" s="120"/>
      <c r="C254" s="111"/>
      <c r="D254" s="111"/>
      <c r="E254" s="121"/>
      <c r="F254" s="121"/>
      <c r="G254" s="113"/>
      <c r="H254" s="199" t="str">
        <f t="shared" si="6"/>
        <v/>
      </c>
      <c r="I254" s="200" t="str">
        <f>IF(E254="","",IF(AND(BV254&lt;=66),VLOOKUP(H254,'LetterID Look Up'!$A$13:$B$20,2,TRUE),IF(AND(BV254&gt;=67,BV254&lt;=72),VLOOKUP(H254,'LetterID Look Up'!$E$13:$F$19,2,TRUE),IF(AND(BV254&gt;=73,BV254&lt;=78),VLOOKUP(H254,'LetterID Look Up'!$I$13:$J$19,2,TRUE),IF(AND(BV254&gt;=79),VLOOKUP(H254,'LetterID Look Up'!$M$13:$N$17,2,TRUE),"")))))</f>
        <v/>
      </c>
      <c r="J254" s="122"/>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95"/>
      <c r="AH254" s="112"/>
      <c r="AI254" s="196"/>
      <c r="AJ254" s="197"/>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96"/>
      <c r="BV254" s="222" t="str">
        <f t="shared" si="7"/>
        <v/>
      </c>
    </row>
    <row r="255" spans="1:74" s="108" customFormat="1" ht="15.75">
      <c r="A255" s="119"/>
      <c r="B255" s="120"/>
      <c r="C255" s="111"/>
      <c r="D255" s="111"/>
      <c r="E255" s="121"/>
      <c r="F255" s="121"/>
      <c r="G255" s="113"/>
      <c r="H255" s="199" t="str">
        <f t="shared" si="6"/>
        <v/>
      </c>
      <c r="I255" s="200" t="str">
        <f>IF(E255="","",IF(AND(BV255&lt;=66),VLOOKUP(H255,'LetterID Look Up'!$A$13:$B$20,2,TRUE),IF(AND(BV255&gt;=67,BV255&lt;=72),VLOOKUP(H255,'LetterID Look Up'!$E$13:$F$19,2,TRUE),IF(AND(BV255&gt;=73,BV255&lt;=78),VLOOKUP(H255,'LetterID Look Up'!$I$13:$J$19,2,TRUE),IF(AND(BV255&gt;=79),VLOOKUP(H255,'LetterID Look Up'!$M$13:$N$17,2,TRUE),"")))))</f>
        <v/>
      </c>
      <c r="J255" s="122"/>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95"/>
      <c r="AH255" s="112"/>
      <c r="AI255" s="196"/>
      <c r="AJ255" s="197"/>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96"/>
      <c r="BV255" s="222" t="str">
        <f t="shared" si="7"/>
        <v/>
      </c>
    </row>
    <row r="256" spans="1:74" s="108" customFormat="1" ht="15.75">
      <c r="A256" s="119"/>
      <c r="B256" s="120"/>
      <c r="C256" s="111"/>
      <c r="D256" s="111"/>
      <c r="E256" s="121"/>
      <c r="F256" s="121"/>
      <c r="G256" s="113"/>
      <c r="H256" s="199" t="str">
        <f t="shared" si="6"/>
        <v/>
      </c>
      <c r="I256" s="200" t="str">
        <f>IF(E256="","",IF(AND(BV256&lt;=66),VLOOKUP(H256,'LetterID Look Up'!$A$13:$B$20,2,TRUE),IF(AND(BV256&gt;=67,BV256&lt;=72),VLOOKUP(H256,'LetterID Look Up'!$E$13:$F$19,2,TRUE),IF(AND(BV256&gt;=73,BV256&lt;=78),VLOOKUP(H256,'LetterID Look Up'!$I$13:$J$19,2,TRUE),IF(AND(BV256&gt;=79),VLOOKUP(H256,'LetterID Look Up'!$M$13:$N$17,2,TRUE),"")))))</f>
        <v/>
      </c>
      <c r="J256" s="122"/>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95"/>
      <c r="AH256" s="112"/>
      <c r="AI256" s="196"/>
      <c r="AJ256" s="197"/>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96"/>
      <c r="BV256" s="222" t="str">
        <f t="shared" si="7"/>
        <v/>
      </c>
    </row>
    <row r="257" spans="1:74" s="108" customFormat="1" ht="15.75">
      <c r="A257" s="119"/>
      <c r="B257" s="120"/>
      <c r="C257" s="111"/>
      <c r="D257" s="111"/>
      <c r="E257" s="121"/>
      <c r="F257" s="121"/>
      <c r="G257" s="113"/>
      <c r="H257" s="199" t="str">
        <f t="shared" si="6"/>
        <v/>
      </c>
      <c r="I257" s="200" t="str">
        <f>IF(E257="","",IF(AND(BV257&lt;=66),VLOOKUP(H257,'LetterID Look Up'!$A$13:$B$20,2,TRUE),IF(AND(BV257&gt;=67,BV257&lt;=72),VLOOKUP(H257,'LetterID Look Up'!$E$13:$F$19,2,TRUE),IF(AND(BV257&gt;=73,BV257&lt;=78),VLOOKUP(H257,'LetterID Look Up'!$I$13:$J$19,2,TRUE),IF(AND(BV257&gt;=79),VLOOKUP(H257,'LetterID Look Up'!$M$13:$N$17,2,TRUE),"")))))</f>
        <v/>
      </c>
      <c r="J257" s="122"/>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95"/>
      <c r="AH257" s="112"/>
      <c r="AI257" s="196"/>
      <c r="AJ257" s="197"/>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96"/>
      <c r="BV257" s="222" t="str">
        <f t="shared" si="7"/>
        <v/>
      </c>
    </row>
    <row r="258" spans="1:74" s="108" customFormat="1" ht="15.75">
      <c r="A258" s="119"/>
      <c r="B258" s="120"/>
      <c r="C258" s="111"/>
      <c r="D258" s="111"/>
      <c r="E258" s="121"/>
      <c r="F258" s="121"/>
      <c r="G258" s="113"/>
      <c r="H258" s="199" t="str">
        <f t="shared" si="6"/>
        <v/>
      </c>
      <c r="I258" s="200" t="str">
        <f>IF(E258="","",IF(AND(BV258&lt;=66),VLOOKUP(H258,'LetterID Look Up'!$A$13:$B$20,2,TRUE),IF(AND(BV258&gt;=67,BV258&lt;=72),VLOOKUP(H258,'LetterID Look Up'!$E$13:$F$19,2,TRUE),IF(AND(BV258&gt;=73,BV258&lt;=78),VLOOKUP(H258,'LetterID Look Up'!$I$13:$J$19,2,TRUE),IF(AND(BV258&gt;=79),VLOOKUP(H258,'LetterID Look Up'!$M$13:$N$17,2,TRUE),"")))))</f>
        <v/>
      </c>
      <c r="J258" s="122"/>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95"/>
      <c r="AH258" s="112"/>
      <c r="AI258" s="196"/>
      <c r="AJ258" s="197"/>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96"/>
      <c r="BV258" s="222" t="str">
        <f t="shared" si="7"/>
        <v/>
      </c>
    </row>
    <row r="259" spans="1:74" s="108" customFormat="1" ht="15.75">
      <c r="A259" s="119"/>
      <c r="B259" s="120"/>
      <c r="C259" s="111"/>
      <c r="D259" s="111"/>
      <c r="E259" s="121"/>
      <c r="F259" s="121"/>
      <c r="G259" s="113"/>
      <c r="H259" s="199" t="str">
        <f t="shared" si="6"/>
        <v/>
      </c>
      <c r="I259" s="200" t="str">
        <f>IF(E259="","",IF(AND(BV259&lt;=66),VLOOKUP(H259,'LetterID Look Up'!$A$13:$B$20,2,TRUE),IF(AND(BV259&gt;=67,BV259&lt;=72),VLOOKUP(H259,'LetterID Look Up'!$E$13:$F$19,2,TRUE),IF(AND(BV259&gt;=73,BV259&lt;=78),VLOOKUP(H259,'LetterID Look Up'!$I$13:$J$19,2,TRUE),IF(AND(BV259&gt;=79),VLOOKUP(H259,'LetterID Look Up'!$M$13:$N$17,2,TRUE),"")))))</f>
        <v/>
      </c>
      <c r="J259" s="122"/>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95"/>
      <c r="AH259" s="112"/>
      <c r="AI259" s="196"/>
      <c r="AJ259" s="197"/>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96"/>
      <c r="BV259" s="222" t="str">
        <f t="shared" si="7"/>
        <v/>
      </c>
    </row>
    <row r="260" spans="1:74" s="108" customFormat="1" ht="15.75">
      <c r="A260" s="119"/>
      <c r="B260" s="120"/>
      <c r="C260" s="111"/>
      <c r="D260" s="111"/>
      <c r="E260" s="121"/>
      <c r="F260" s="121"/>
      <c r="G260" s="113"/>
      <c r="H260" s="199" t="str">
        <f t="shared" si="6"/>
        <v/>
      </c>
      <c r="I260" s="200" t="str">
        <f>IF(E260="","",IF(AND(BV260&lt;=66),VLOOKUP(H260,'LetterID Look Up'!$A$13:$B$20,2,TRUE),IF(AND(BV260&gt;=67,BV260&lt;=72),VLOOKUP(H260,'LetterID Look Up'!$E$13:$F$19,2,TRUE),IF(AND(BV260&gt;=73,BV260&lt;=78),VLOOKUP(H260,'LetterID Look Up'!$I$13:$J$19,2,TRUE),IF(AND(BV260&gt;=79),VLOOKUP(H260,'LetterID Look Up'!$M$13:$N$17,2,TRUE),"")))))</f>
        <v/>
      </c>
      <c r="J260" s="122"/>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95"/>
      <c r="AH260" s="112"/>
      <c r="AI260" s="196"/>
      <c r="AJ260" s="197"/>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96"/>
      <c r="BV260" s="222" t="str">
        <f t="shared" si="7"/>
        <v/>
      </c>
    </row>
    <row r="261" spans="1:74" s="108" customFormat="1" ht="15.75">
      <c r="A261" s="119"/>
      <c r="B261" s="120"/>
      <c r="C261" s="111"/>
      <c r="D261" s="111"/>
      <c r="E261" s="121"/>
      <c r="F261" s="121"/>
      <c r="G261" s="113"/>
      <c r="H261" s="199" t="str">
        <f t="shared" si="6"/>
        <v/>
      </c>
      <c r="I261" s="200" t="str">
        <f>IF(E261="","",IF(AND(BV261&lt;=66),VLOOKUP(H261,'LetterID Look Up'!$A$13:$B$20,2,TRUE),IF(AND(BV261&gt;=67,BV261&lt;=72),VLOOKUP(H261,'LetterID Look Up'!$E$13:$F$19,2,TRUE),IF(AND(BV261&gt;=73,BV261&lt;=78),VLOOKUP(H261,'LetterID Look Up'!$I$13:$J$19,2,TRUE),IF(AND(BV261&gt;=79),VLOOKUP(H261,'LetterID Look Up'!$M$13:$N$17,2,TRUE),"")))))</f>
        <v/>
      </c>
      <c r="J261" s="122"/>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95"/>
      <c r="AH261" s="112"/>
      <c r="AI261" s="196"/>
      <c r="AJ261" s="197"/>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96"/>
      <c r="BV261" s="222" t="str">
        <f t="shared" si="7"/>
        <v/>
      </c>
    </row>
    <row r="262" spans="1:74" s="108" customFormat="1" ht="15.75">
      <c r="A262" s="119"/>
      <c r="B262" s="120"/>
      <c r="C262" s="111"/>
      <c r="D262" s="111"/>
      <c r="E262" s="121"/>
      <c r="F262" s="121"/>
      <c r="G262" s="113"/>
      <c r="H262" s="199" t="str">
        <f t="shared" si="6"/>
        <v/>
      </c>
      <c r="I262" s="200" t="str">
        <f>IF(E262="","",IF(AND(BV262&lt;=66),VLOOKUP(H262,'LetterID Look Up'!$A$13:$B$20,2,TRUE),IF(AND(BV262&gt;=67,BV262&lt;=72),VLOOKUP(H262,'LetterID Look Up'!$E$13:$F$19,2,TRUE),IF(AND(BV262&gt;=73,BV262&lt;=78),VLOOKUP(H262,'LetterID Look Up'!$I$13:$J$19,2,TRUE),IF(AND(BV262&gt;=79),VLOOKUP(H262,'LetterID Look Up'!$M$13:$N$17,2,TRUE),"")))))</f>
        <v/>
      </c>
      <c r="J262" s="122"/>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95"/>
      <c r="AH262" s="112"/>
      <c r="AI262" s="196"/>
      <c r="AJ262" s="197"/>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96"/>
      <c r="BV262" s="222" t="str">
        <f t="shared" si="7"/>
        <v/>
      </c>
    </row>
    <row r="263" spans="1:74" s="108" customFormat="1" ht="15.75">
      <c r="A263" s="119"/>
      <c r="B263" s="120"/>
      <c r="C263" s="111"/>
      <c r="D263" s="111"/>
      <c r="E263" s="121"/>
      <c r="F263" s="121"/>
      <c r="G263" s="113"/>
      <c r="H263" s="199" t="str">
        <f t="shared" si="6"/>
        <v/>
      </c>
      <c r="I263" s="200" t="str">
        <f>IF(E263="","",IF(AND(BV263&lt;=66),VLOOKUP(H263,'LetterID Look Up'!$A$13:$B$20,2,TRUE),IF(AND(BV263&gt;=67,BV263&lt;=72),VLOOKUP(H263,'LetterID Look Up'!$E$13:$F$19,2,TRUE),IF(AND(BV263&gt;=73,BV263&lt;=78),VLOOKUP(H263,'LetterID Look Up'!$I$13:$J$19,2,TRUE),IF(AND(BV263&gt;=79),VLOOKUP(H263,'LetterID Look Up'!$M$13:$N$17,2,TRUE),"")))))</f>
        <v/>
      </c>
      <c r="J263" s="122"/>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95"/>
      <c r="AH263" s="112"/>
      <c r="AI263" s="196"/>
      <c r="AJ263" s="197"/>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96"/>
      <c r="BV263" s="222" t="str">
        <f t="shared" si="7"/>
        <v/>
      </c>
    </row>
    <row r="264" spans="1:74" s="108" customFormat="1" ht="15.75">
      <c r="A264" s="119"/>
      <c r="B264" s="120"/>
      <c r="C264" s="111"/>
      <c r="D264" s="111"/>
      <c r="E264" s="121"/>
      <c r="F264" s="121"/>
      <c r="G264" s="113"/>
      <c r="H264" s="199" t="str">
        <f t="shared" ref="H264:H327" si="8">IF(E264="","",COUNTIF(J264:BK264,"y"))</f>
        <v/>
      </c>
      <c r="I264" s="200" t="str">
        <f>IF(E264="","",IF(AND(BV264&lt;=66),VLOOKUP(H264,'LetterID Look Up'!$A$13:$B$20,2,TRUE),IF(AND(BV264&gt;=67,BV264&lt;=72),VLOOKUP(H264,'LetterID Look Up'!$E$13:$F$19,2,TRUE),IF(AND(BV264&gt;=73,BV264&lt;=78),VLOOKUP(H264,'LetterID Look Up'!$I$13:$J$19,2,TRUE),IF(AND(BV264&gt;=79),VLOOKUP(H264,'LetterID Look Up'!$M$13:$N$17,2,TRUE),"")))))</f>
        <v/>
      </c>
      <c r="J264" s="122"/>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95"/>
      <c r="AH264" s="112"/>
      <c r="AI264" s="196"/>
      <c r="AJ264" s="197"/>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96"/>
      <c r="BV264" s="222" t="str">
        <f t="shared" ref="BV264:BV327" si="9">IF(E264="","",DATEDIF(B264,A264,"m"))</f>
        <v/>
      </c>
    </row>
    <row r="265" spans="1:74" s="108" customFormat="1" ht="15.75">
      <c r="A265" s="119"/>
      <c r="B265" s="120"/>
      <c r="C265" s="111"/>
      <c r="D265" s="111"/>
      <c r="E265" s="121"/>
      <c r="F265" s="121"/>
      <c r="G265" s="113"/>
      <c r="H265" s="199" t="str">
        <f t="shared" si="8"/>
        <v/>
      </c>
      <c r="I265" s="200" t="str">
        <f>IF(E265="","",IF(AND(BV265&lt;=66),VLOOKUP(H265,'LetterID Look Up'!$A$13:$B$20,2,TRUE),IF(AND(BV265&gt;=67,BV265&lt;=72),VLOOKUP(H265,'LetterID Look Up'!$E$13:$F$19,2,TRUE),IF(AND(BV265&gt;=73,BV265&lt;=78),VLOOKUP(H265,'LetterID Look Up'!$I$13:$J$19,2,TRUE),IF(AND(BV265&gt;=79),VLOOKUP(H265,'LetterID Look Up'!$M$13:$N$17,2,TRUE),"")))))</f>
        <v/>
      </c>
      <c r="J265" s="122"/>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95"/>
      <c r="AH265" s="112"/>
      <c r="AI265" s="196"/>
      <c r="AJ265" s="197"/>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96"/>
      <c r="BV265" s="222" t="str">
        <f t="shared" si="9"/>
        <v/>
      </c>
    </row>
    <row r="266" spans="1:74" s="108" customFormat="1" ht="15.75">
      <c r="A266" s="119"/>
      <c r="B266" s="120"/>
      <c r="C266" s="111"/>
      <c r="D266" s="111"/>
      <c r="E266" s="121"/>
      <c r="F266" s="121"/>
      <c r="G266" s="113"/>
      <c r="H266" s="199" t="str">
        <f t="shared" si="8"/>
        <v/>
      </c>
      <c r="I266" s="200" t="str">
        <f>IF(E266="","",IF(AND(BV266&lt;=66),VLOOKUP(H266,'LetterID Look Up'!$A$13:$B$20,2,TRUE),IF(AND(BV266&gt;=67,BV266&lt;=72),VLOOKUP(H266,'LetterID Look Up'!$E$13:$F$19,2,TRUE),IF(AND(BV266&gt;=73,BV266&lt;=78),VLOOKUP(H266,'LetterID Look Up'!$I$13:$J$19,2,TRUE),IF(AND(BV266&gt;=79),VLOOKUP(H266,'LetterID Look Up'!$M$13:$N$17,2,TRUE),"")))))</f>
        <v/>
      </c>
      <c r="J266" s="122"/>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95"/>
      <c r="AH266" s="112"/>
      <c r="AI266" s="196"/>
      <c r="AJ266" s="197"/>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96"/>
      <c r="BV266" s="222" t="str">
        <f t="shared" si="9"/>
        <v/>
      </c>
    </row>
    <row r="267" spans="1:74" s="108" customFormat="1" ht="15.75">
      <c r="A267" s="119"/>
      <c r="B267" s="120"/>
      <c r="C267" s="111"/>
      <c r="D267" s="111"/>
      <c r="E267" s="121"/>
      <c r="F267" s="121"/>
      <c r="G267" s="113"/>
      <c r="H267" s="199" t="str">
        <f t="shared" si="8"/>
        <v/>
      </c>
      <c r="I267" s="200" t="str">
        <f>IF(E267="","",IF(AND(BV267&lt;=66),VLOOKUP(H267,'LetterID Look Up'!$A$13:$B$20,2,TRUE),IF(AND(BV267&gt;=67,BV267&lt;=72),VLOOKUP(H267,'LetterID Look Up'!$E$13:$F$19,2,TRUE),IF(AND(BV267&gt;=73,BV267&lt;=78),VLOOKUP(H267,'LetterID Look Up'!$I$13:$J$19,2,TRUE),IF(AND(BV267&gt;=79),VLOOKUP(H267,'LetterID Look Up'!$M$13:$N$17,2,TRUE),"")))))</f>
        <v/>
      </c>
      <c r="J267" s="122"/>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95"/>
      <c r="AH267" s="112"/>
      <c r="AI267" s="196"/>
      <c r="AJ267" s="197"/>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96"/>
      <c r="BV267" s="222" t="str">
        <f t="shared" si="9"/>
        <v/>
      </c>
    </row>
    <row r="268" spans="1:74" s="108" customFormat="1" ht="15.75">
      <c r="A268" s="119"/>
      <c r="B268" s="120"/>
      <c r="C268" s="111"/>
      <c r="D268" s="111"/>
      <c r="E268" s="121"/>
      <c r="F268" s="121"/>
      <c r="G268" s="113"/>
      <c r="H268" s="199" t="str">
        <f t="shared" si="8"/>
        <v/>
      </c>
      <c r="I268" s="200" t="str">
        <f>IF(E268="","",IF(AND(BV268&lt;=66),VLOOKUP(H268,'LetterID Look Up'!$A$13:$B$20,2,TRUE),IF(AND(BV268&gt;=67,BV268&lt;=72),VLOOKUP(H268,'LetterID Look Up'!$E$13:$F$19,2,TRUE),IF(AND(BV268&gt;=73,BV268&lt;=78),VLOOKUP(H268,'LetterID Look Up'!$I$13:$J$19,2,TRUE),IF(AND(BV268&gt;=79),VLOOKUP(H268,'LetterID Look Up'!$M$13:$N$17,2,TRUE),"")))))</f>
        <v/>
      </c>
      <c r="J268" s="122"/>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95"/>
      <c r="AH268" s="112"/>
      <c r="AI268" s="196"/>
      <c r="AJ268" s="197"/>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96"/>
      <c r="BV268" s="222" t="str">
        <f t="shared" si="9"/>
        <v/>
      </c>
    </row>
    <row r="269" spans="1:74" s="108" customFormat="1" ht="15.75">
      <c r="A269" s="119"/>
      <c r="B269" s="120"/>
      <c r="C269" s="111"/>
      <c r="D269" s="111"/>
      <c r="E269" s="121"/>
      <c r="F269" s="121"/>
      <c r="G269" s="113"/>
      <c r="H269" s="199" t="str">
        <f t="shared" si="8"/>
        <v/>
      </c>
      <c r="I269" s="200" t="str">
        <f>IF(E269="","",IF(AND(BV269&lt;=66),VLOOKUP(H269,'LetterID Look Up'!$A$13:$B$20,2,TRUE),IF(AND(BV269&gt;=67,BV269&lt;=72),VLOOKUP(H269,'LetterID Look Up'!$E$13:$F$19,2,TRUE),IF(AND(BV269&gt;=73,BV269&lt;=78),VLOOKUP(H269,'LetterID Look Up'!$I$13:$J$19,2,TRUE),IF(AND(BV269&gt;=79),VLOOKUP(H269,'LetterID Look Up'!$M$13:$N$17,2,TRUE),"")))))</f>
        <v/>
      </c>
      <c r="J269" s="122"/>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95"/>
      <c r="AH269" s="112"/>
      <c r="AI269" s="196"/>
      <c r="AJ269" s="197"/>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96"/>
      <c r="BV269" s="222" t="str">
        <f t="shared" si="9"/>
        <v/>
      </c>
    </row>
    <row r="270" spans="1:74" s="108" customFormat="1" ht="15.75">
      <c r="A270" s="119"/>
      <c r="B270" s="120"/>
      <c r="C270" s="111"/>
      <c r="D270" s="111"/>
      <c r="E270" s="121"/>
      <c r="F270" s="121"/>
      <c r="G270" s="113"/>
      <c r="H270" s="199" t="str">
        <f t="shared" si="8"/>
        <v/>
      </c>
      <c r="I270" s="200" t="str">
        <f>IF(E270="","",IF(AND(BV270&lt;=66),VLOOKUP(H270,'LetterID Look Up'!$A$13:$B$20,2,TRUE),IF(AND(BV270&gt;=67,BV270&lt;=72),VLOOKUP(H270,'LetterID Look Up'!$E$13:$F$19,2,TRUE),IF(AND(BV270&gt;=73,BV270&lt;=78),VLOOKUP(H270,'LetterID Look Up'!$I$13:$J$19,2,TRUE),IF(AND(BV270&gt;=79),VLOOKUP(H270,'LetterID Look Up'!$M$13:$N$17,2,TRUE),"")))))</f>
        <v/>
      </c>
      <c r="J270" s="122"/>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95"/>
      <c r="AH270" s="112"/>
      <c r="AI270" s="196"/>
      <c r="AJ270" s="197"/>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96"/>
      <c r="BV270" s="222" t="str">
        <f t="shared" si="9"/>
        <v/>
      </c>
    </row>
    <row r="271" spans="1:74" s="108" customFormat="1" ht="15.75">
      <c r="A271" s="119"/>
      <c r="B271" s="120"/>
      <c r="C271" s="111"/>
      <c r="D271" s="111"/>
      <c r="E271" s="121"/>
      <c r="F271" s="121"/>
      <c r="G271" s="113"/>
      <c r="H271" s="199" t="str">
        <f t="shared" si="8"/>
        <v/>
      </c>
      <c r="I271" s="200" t="str">
        <f>IF(E271="","",IF(AND(BV271&lt;=66),VLOOKUP(H271,'LetterID Look Up'!$A$13:$B$20,2,TRUE),IF(AND(BV271&gt;=67,BV271&lt;=72),VLOOKUP(H271,'LetterID Look Up'!$E$13:$F$19,2,TRUE),IF(AND(BV271&gt;=73,BV271&lt;=78),VLOOKUP(H271,'LetterID Look Up'!$I$13:$J$19,2,TRUE),IF(AND(BV271&gt;=79),VLOOKUP(H271,'LetterID Look Up'!$M$13:$N$17,2,TRUE),"")))))</f>
        <v/>
      </c>
      <c r="J271" s="122"/>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95"/>
      <c r="AH271" s="112"/>
      <c r="AI271" s="196"/>
      <c r="AJ271" s="197"/>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96"/>
      <c r="BV271" s="222" t="str">
        <f t="shared" si="9"/>
        <v/>
      </c>
    </row>
    <row r="272" spans="1:74" s="108" customFormat="1" ht="15.75">
      <c r="A272" s="119"/>
      <c r="B272" s="120"/>
      <c r="C272" s="111"/>
      <c r="D272" s="111"/>
      <c r="E272" s="121"/>
      <c r="F272" s="121"/>
      <c r="G272" s="113"/>
      <c r="H272" s="199" t="str">
        <f t="shared" si="8"/>
        <v/>
      </c>
      <c r="I272" s="200" t="str">
        <f>IF(E272="","",IF(AND(BV272&lt;=66),VLOOKUP(H272,'LetterID Look Up'!$A$13:$B$20,2,TRUE),IF(AND(BV272&gt;=67,BV272&lt;=72),VLOOKUP(H272,'LetterID Look Up'!$E$13:$F$19,2,TRUE),IF(AND(BV272&gt;=73,BV272&lt;=78),VLOOKUP(H272,'LetterID Look Up'!$I$13:$J$19,2,TRUE),IF(AND(BV272&gt;=79),VLOOKUP(H272,'LetterID Look Up'!$M$13:$N$17,2,TRUE),"")))))</f>
        <v/>
      </c>
      <c r="J272" s="122"/>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95"/>
      <c r="AH272" s="112"/>
      <c r="AI272" s="196"/>
      <c r="AJ272" s="197"/>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96"/>
      <c r="BV272" s="222" t="str">
        <f t="shared" si="9"/>
        <v/>
      </c>
    </row>
    <row r="273" spans="1:74" s="108" customFormat="1" ht="15.75">
      <c r="A273" s="119"/>
      <c r="B273" s="120"/>
      <c r="C273" s="111"/>
      <c r="D273" s="111"/>
      <c r="E273" s="121"/>
      <c r="F273" s="121"/>
      <c r="G273" s="113"/>
      <c r="H273" s="199" t="str">
        <f t="shared" si="8"/>
        <v/>
      </c>
      <c r="I273" s="200" t="str">
        <f>IF(E273="","",IF(AND(BV273&lt;=66),VLOOKUP(H273,'LetterID Look Up'!$A$13:$B$20,2,TRUE),IF(AND(BV273&gt;=67,BV273&lt;=72),VLOOKUP(H273,'LetterID Look Up'!$E$13:$F$19,2,TRUE),IF(AND(BV273&gt;=73,BV273&lt;=78),VLOOKUP(H273,'LetterID Look Up'!$I$13:$J$19,2,TRUE),IF(AND(BV273&gt;=79),VLOOKUP(H273,'LetterID Look Up'!$M$13:$N$17,2,TRUE),"")))))</f>
        <v/>
      </c>
      <c r="J273" s="122"/>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95"/>
      <c r="AH273" s="112"/>
      <c r="AI273" s="196"/>
      <c r="AJ273" s="197"/>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96"/>
      <c r="BV273" s="222" t="str">
        <f t="shared" si="9"/>
        <v/>
      </c>
    </row>
    <row r="274" spans="1:74" s="108" customFormat="1" ht="15.75">
      <c r="A274" s="119"/>
      <c r="B274" s="120"/>
      <c r="C274" s="111"/>
      <c r="D274" s="111"/>
      <c r="E274" s="121"/>
      <c r="F274" s="121"/>
      <c r="G274" s="113"/>
      <c r="H274" s="199" t="str">
        <f t="shared" si="8"/>
        <v/>
      </c>
      <c r="I274" s="200" t="str">
        <f>IF(E274="","",IF(AND(BV274&lt;=66),VLOOKUP(H274,'LetterID Look Up'!$A$13:$B$20,2,TRUE),IF(AND(BV274&gt;=67,BV274&lt;=72),VLOOKUP(H274,'LetterID Look Up'!$E$13:$F$19,2,TRUE),IF(AND(BV274&gt;=73,BV274&lt;=78),VLOOKUP(H274,'LetterID Look Up'!$I$13:$J$19,2,TRUE),IF(AND(BV274&gt;=79),VLOOKUP(H274,'LetterID Look Up'!$M$13:$N$17,2,TRUE),"")))))</f>
        <v/>
      </c>
      <c r="J274" s="122"/>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95"/>
      <c r="AH274" s="112"/>
      <c r="AI274" s="196"/>
      <c r="AJ274" s="197"/>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96"/>
      <c r="BV274" s="222" t="str">
        <f t="shared" si="9"/>
        <v/>
      </c>
    </row>
    <row r="275" spans="1:74" s="108" customFormat="1" ht="15.75">
      <c r="A275" s="119"/>
      <c r="B275" s="120"/>
      <c r="C275" s="111"/>
      <c r="D275" s="111"/>
      <c r="E275" s="121"/>
      <c r="F275" s="121"/>
      <c r="G275" s="113"/>
      <c r="H275" s="199" t="str">
        <f t="shared" si="8"/>
        <v/>
      </c>
      <c r="I275" s="200" t="str">
        <f>IF(E275="","",IF(AND(BV275&lt;=66),VLOOKUP(H275,'LetterID Look Up'!$A$13:$B$20,2,TRUE),IF(AND(BV275&gt;=67,BV275&lt;=72),VLOOKUP(H275,'LetterID Look Up'!$E$13:$F$19,2,TRUE),IF(AND(BV275&gt;=73,BV275&lt;=78),VLOOKUP(H275,'LetterID Look Up'!$I$13:$J$19,2,TRUE),IF(AND(BV275&gt;=79),VLOOKUP(H275,'LetterID Look Up'!$M$13:$N$17,2,TRUE),"")))))</f>
        <v/>
      </c>
      <c r="J275" s="122"/>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95"/>
      <c r="AH275" s="112"/>
      <c r="AI275" s="196"/>
      <c r="AJ275" s="197"/>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96"/>
      <c r="BV275" s="222" t="str">
        <f t="shared" si="9"/>
        <v/>
      </c>
    </row>
    <row r="276" spans="1:74" s="108" customFormat="1" ht="15.75">
      <c r="A276" s="119"/>
      <c r="B276" s="120"/>
      <c r="C276" s="111"/>
      <c r="D276" s="111"/>
      <c r="E276" s="121"/>
      <c r="F276" s="121"/>
      <c r="G276" s="113"/>
      <c r="H276" s="199" t="str">
        <f t="shared" si="8"/>
        <v/>
      </c>
      <c r="I276" s="200" t="str">
        <f>IF(E276="","",IF(AND(BV276&lt;=66),VLOOKUP(H276,'LetterID Look Up'!$A$13:$B$20,2,TRUE),IF(AND(BV276&gt;=67,BV276&lt;=72),VLOOKUP(H276,'LetterID Look Up'!$E$13:$F$19,2,TRUE),IF(AND(BV276&gt;=73,BV276&lt;=78),VLOOKUP(H276,'LetterID Look Up'!$I$13:$J$19,2,TRUE),IF(AND(BV276&gt;=79),VLOOKUP(H276,'LetterID Look Up'!$M$13:$N$17,2,TRUE),"")))))</f>
        <v/>
      </c>
      <c r="J276" s="122"/>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95"/>
      <c r="AH276" s="112"/>
      <c r="AI276" s="196"/>
      <c r="AJ276" s="197"/>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96"/>
      <c r="BV276" s="222" t="str">
        <f t="shared" si="9"/>
        <v/>
      </c>
    </row>
    <row r="277" spans="1:74" s="108" customFormat="1" ht="15.75">
      <c r="A277" s="119"/>
      <c r="B277" s="120"/>
      <c r="C277" s="111"/>
      <c r="D277" s="111"/>
      <c r="E277" s="121"/>
      <c r="F277" s="121"/>
      <c r="G277" s="113"/>
      <c r="H277" s="199" t="str">
        <f t="shared" si="8"/>
        <v/>
      </c>
      <c r="I277" s="200" t="str">
        <f>IF(E277="","",IF(AND(BV277&lt;=66),VLOOKUP(H277,'LetterID Look Up'!$A$13:$B$20,2,TRUE),IF(AND(BV277&gt;=67,BV277&lt;=72),VLOOKUP(H277,'LetterID Look Up'!$E$13:$F$19,2,TRUE),IF(AND(BV277&gt;=73,BV277&lt;=78),VLOOKUP(H277,'LetterID Look Up'!$I$13:$J$19,2,TRUE),IF(AND(BV277&gt;=79),VLOOKUP(H277,'LetterID Look Up'!$M$13:$N$17,2,TRUE),"")))))</f>
        <v/>
      </c>
      <c r="J277" s="122"/>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95"/>
      <c r="AH277" s="112"/>
      <c r="AI277" s="196"/>
      <c r="AJ277" s="197"/>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96"/>
      <c r="BV277" s="222" t="str">
        <f t="shared" si="9"/>
        <v/>
      </c>
    </row>
    <row r="278" spans="1:74" s="108" customFormat="1" ht="15.75">
      <c r="A278" s="119"/>
      <c r="B278" s="120"/>
      <c r="C278" s="111"/>
      <c r="D278" s="111"/>
      <c r="E278" s="121"/>
      <c r="F278" s="121"/>
      <c r="G278" s="113"/>
      <c r="H278" s="199" t="str">
        <f t="shared" si="8"/>
        <v/>
      </c>
      <c r="I278" s="200" t="str">
        <f>IF(E278="","",IF(AND(BV278&lt;=66),VLOOKUP(H278,'LetterID Look Up'!$A$13:$B$20,2,TRUE),IF(AND(BV278&gt;=67,BV278&lt;=72),VLOOKUP(H278,'LetterID Look Up'!$E$13:$F$19,2,TRUE),IF(AND(BV278&gt;=73,BV278&lt;=78),VLOOKUP(H278,'LetterID Look Up'!$I$13:$J$19,2,TRUE),IF(AND(BV278&gt;=79),VLOOKUP(H278,'LetterID Look Up'!$M$13:$N$17,2,TRUE),"")))))</f>
        <v/>
      </c>
      <c r="J278" s="122"/>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95"/>
      <c r="AH278" s="112"/>
      <c r="AI278" s="196"/>
      <c r="AJ278" s="197"/>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96"/>
      <c r="BV278" s="222" t="str">
        <f t="shared" si="9"/>
        <v/>
      </c>
    </row>
    <row r="279" spans="1:74" s="108" customFormat="1" ht="15.75">
      <c r="A279" s="119"/>
      <c r="B279" s="120"/>
      <c r="C279" s="111"/>
      <c r="D279" s="111"/>
      <c r="E279" s="121"/>
      <c r="F279" s="121"/>
      <c r="G279" s="113"/>
      <c r="H279" s="199" t="str">
        <f t="shared" si="8"/>
        <v/>
      </c>
      <c r="I279" s="200" t="str">
        <f>IF(E279="","",IF(AND(BV279&lt;=66),VLOOKUP(H279,'LetterID Look Up'!$A$13:$B$20,2,TRUE),IF(AND(BV279&gt;=67,BV279&lt;=72),VLOOKUP(H279,'LetterID Look Up'!$E$13:$F$19,2,TRUE),IF(AND(BV279&gt;=73,BV279&lt;=78),VLOOKUP(H279,'LetterID Look Up'!$I$13:$J$19,2,TRUE),IF(AND(BV279&gt;=79),VLOOKUP(H279,'LetterID Look Up'!$M$13:$N$17,2,TRUE),"")))))</f>
        <v/>
      </c>
      <c r="J279" s="122"/>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95"/>
      <c r="AH279" s="112"/>
      <c r="AI279" s="196"/>
      <c r="AJ279" s="197"/>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96"/>
      <c r="BV279" s="222" t="str">
        <f t="shared" si="9"/>
        <v/>
      </c>
    </row>
    <row r="280" spans="1:74" s="108" customFormat="1" ht="15.75">
      <c r="A280" s="119"/>
      <c r="B280" s="120"/>
      <c r="C280" s="111"/>
      <c r="D280" s="111"/>
      <c r="E280" s="121"/>
      <c r="F280" s="121"/>
      <c r="G280" s="113"/>
      <c r="H280" s="199" t="str">
        <f t="shared" si="8"/>
        <v/>
      </c>
      <c r="I280" s="200" t="str">
        <f>IF(E280="","",IF(AND(BV280&lt;=66),VLOOKUP(H280,'LetterID Look Up'!$A$13:$B$20,2,TRUE),IF(AND(BV280&gt;=67,BV280&lt;=72),VLOOKUP(H280,'LetterID Look Up'!$E$13:$F$19,2,TRUE),IF(AND(BV280&gt;=73,BV280&lt;=78),VLOOKUP(H280,'LetterID Look Up'!$I$13:$J$19,2,TRUE),IF(AND(BV280&gt;=79),VLOOKUP(H280,'LetterID Look Up'!$M$13:$N$17,2,TRUE),"")))))</f>
        <v/>
      </c>
      <c r="J280" s="122"/>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95"/>
      <c r="AH280" s="112"/>
      <c r="AI280" s="196"/>
      <c r="AJ280" s="197"/>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96"/>
      <c r="BV280" s="222" t="str">
        <f t="shared" si="9"/>
        <v/>
      </c>
    </row>
    <row r="281" spans="1:74" s="108" customFormat="1" ht="15.75">
      <c r="A281" s="119"/>
      <c r="B281" s="120"/>
      <c r="C281" s="111"/>
      <c r="D281" s="111"/>
      <c r="E281" s="121"/>
      <c r="F281" s="121"/>
      <c r="G281" s="113"/>
      <c r="H281" s="199" t="str">
        <f t="shared" si="8"/>
        <v/>
      </c>
      <c r="I281" s="200" t="str">
        <f>IF(E281="","",IF(AND(BV281&lt;=66),VLOOKUP(H281,'LetterID Look Up'!$A$13:$B$20,2,TRUE),IF(AND(BV281&gt;=67,BV281&lt;=72),VLOOKUP(H281,'LetterID Look Up'!$E$13:$F$19,2,TRUE),IF(AND(BV281&gt;=73,BV281&lt;=78),VLOOKUP(H281,'LetterID Look Up'!$I$13:$J$19,2,TRUE),IF(AND(BV281&gt;=79),VLOOKUP(H281,'LetterID Look Up'!$M$13:$N$17,2,TRUE),"")))))</f>
        <v/>
      </c>
      <c r="J281" s="122"/>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95"/>
      <c r="AH281" s="112"/>
      <c r="AI281" s="196"/>
      <c r="AJ281" s="197"/>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96"/>
      <c r="BV281" s="222" t="str">
        <f t="shared" si="9"/>
        <v/>
      </c>
    </row>
    <row r="282" spans="1:74" s="108" customFormat="1" ht="15.75">
      <c r="A282" s="119"/>
      <c r="B282" s="120"/>
      <c r="C282" s="111"/>
      <c r="D282" s="111"/>
      <c r="E282" s="121"/>
      <c r="F282" s="121"/>
      <c r="G282" s="113"/>
      <c r="H282" s="199" t="str">
        <f t="shared" si="8"/>
        <v/>
      </c>
      <c r="I282" s="200" t="str">
        <f>IF(E282="","",IF(AND(BV282&lt;=66),VLOOKUP(H282,'LetterID Look Up'!$A$13:$B$20,2,TRUE),IF(AND(BV282&gt;=67,BV282&lt;=72),VLOOKUP(H282,'LetterID Look Up'!$E$13:$F$19,2,TRUE),IF(AND(BV282&gt;=73,BV282&lt;=78),VLOOKUP(H282,'LetterID Look Up'!$I$13:$J$19,2,TRUE),IF(AND(BV282&gt;=79),VLOOKUP(H282,'LetterID Look Up'!$M$13:$N$17,2,TRUE),"")))))</f>
        <v/>
      </c>
      <c r="J282" s="122"/>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95"/>
      <c r="AH282" s="112"/>
      <c r="AI282" s="196"/>
      <c r="AJ282" s="197"/>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96"/>
      <c r="BV282" s="222" t="str">
        <f t="shared" si="9"/>
        <v/>
      </c>
    </row>
    <row r="283" spans="1:74" s="108" customFormat="1" ht="15.75">
      <c r="A283" s="119"/>
      <c r="B283" s="120"/>
      <c r="C283" s="111"/>
      <c r="D283" s="111"/>
      <c r="E283" s="121"/>
      <c r="F283" s="121"/>
      <c r="G283" s="113"/>
      <c r="H283" s="199" t="str">
        <f t="shared" si="8"/>
        <v/>
      </c>
      <c r="I283" s="200" t="str">
        <f>IF(E283="","",IF(AND(BV283&lt;=66),VLOOKUP(H283,'LetterID Look Up'!$A$13:$B$20,2,TRUE),IF(AND(BV283&gt;=67,BV283&lt;=72),VLOOKUP(H283,'LetterID Look Up'!$E$13:$F$19,2,TRUE),IF(AND(BV283&gt;=73,BV283&lt;=78),VLOOKUP(H283,'LetterID Look Up'!$I$13:$J$19,2,TRUE),IF(AND(BV283&gt;=79),VLOOKUP(H283,'LetterID Look Up'!$M$13:$N$17,2,TRUE),"")))))</f>
        <v/>
      </c>
      <c r="J283" s="122"/>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95"/>
      <c r="AH283" s="112"/>
      <c r="AI283" s="196"/>
      <c r="AJ283" s="197"/>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96"/>
      <c r="BV283" s="222" t="str">
        <f t="shared" si="9"/>
        <v/>
      </c>
    </row>
    <row r="284" spans="1:74" s="108" customFormat="1" ht="15.75">
      <c r="A284" s="119"/>
      <c r="B284" s="120"/>
      <c r="C284" s="111"/>
      <c r="D284" s="111"/>
      <c r="E284" s="121"/>
      <c r="F284" s="121"/>
      <c r="G284" s="113"/>
      <c r="H284" s="199" t="str">
        <f t="shared" si="8"/>
        <v/>
      </c>
      <c r="I284" s="200" t="str">
        <f>IF(E284="","",IF(AND(BV284&lt;=66),VLOOKUP(H284,'LetterID Look Up'!$A$13:$B$20,2,TRUE),IF(AND(BV284&gt;=67,BV284&lt;=72),VLOOKUP(H284,'LetterID Look Up'!$E$13:$F$19,2,TRUE),IF(AND(BV284&gt;=73,BV284&lt;=78),VLOOKUP(H284,'LetterID Look Up'!$I$13:$J$19,2,TRUE),IF(AND(BV284&gt;=79),VLOOKUP(H284,'LetterID Look Up'!$M$13:$N$17,2,TRUE),"")))))</f>
        <v/>
      </c>
      <c r="J284" s="122"/>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95"/>
      <c r="AH284" s="112"/>
      <c r="AI284" s="196"/>
      <c r="AJ284" s="197"/>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96"/>
      <c r="BV284" s="222" t="str">
        <f t="shared" si="9"/>
        <v/>
      </c>
    </row>
    <row r="285" spans="1:74" s="108" customFormat="1" ht="15.75">
      <c r="A285" s="119"/>
      <c r="B285" s="120"/>
      <c r="C285" s="111"/>
      <c r="D285" s="111"/>
      <c r="E285" s="121"/>
      <c r="F285" s="121"/>
      <c r="G285" s="113"/>
      <c r="H285" s="199" t="str">
        <f t="shared" si="8"/>
        <v/>
      </c>
      <c r="I285" s="200" t="str">
        <f>IF(E285="","",IF(AND(BV285&lt;=66),VLOOKUP(H285,'LetterID Look Up'!$A$13:$B$20,2,TRUE),IF(AND(BV285&gt;=67,BV285&lt;=72),VLOOKUP(H285,'LetterID Look Up'!$E$13:$F$19,2,TRUE),IF(AND(BV285&gt;=73,BV285&lt;=78),VLOOKUP(H285,'LetterID Look Up'!$I$13:$J$19,2,TRUE),IF(AND(BV285&gt;=79),VLOOKUP(H285,'LetterID Look Up'!$M$13:$N$17,2,TRUE),"")))))</f>
        <v/>
      </c>
      <c r="J285" s="122"/>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95"/>
      <c r="AH285" s="112"/>
      <c r="AI285" s="196"/>
      <c r="AJ285" s="197"/>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96"/>
      <c r="BV285" s="222" t="str">
        <f t="shared" si="9"/>
        <v/>
      </c>
    </row>
    <row r="286" spans="1:74" s="108" customFormat="1" ht="15.75">
      <c r="A286" s="119"/>
      <c r="B286" s="120"/>
      <c r="C286" s="111"/>
      <c r="D286" s="111"/>
      <c r="E286" s="121"/>
      <c r="F286" s="121"/>
      <c r="G286" s="113"/>
      <c r="H286" s="199" t="str">
        <f t="shared" si="8"/>
        <v/>
      </c>
      <c r="I286" s="200" t="str">
        <f>IF(E286="","",IF(AND(BV286&lt;=66),VLOOKUP(H286,'LetterID Look Up'!$A$13:$B$20,2,TRUE),IF(AND(BV286&gt;=67,BV286&lt;=72),VLOOKUP(H286,'LetterID Look Up'!$E$13:$F$19,2,TRUE),IF(AND(BV286&gt;=73,BV286&lt;=78),VLOOKUP(H286,'LetterID Look Up'!$I$13:$J$19,2,TRUE),IF(AND(BV286&gt;=79),VLOOKUP(H286,'LetterID Look Up'!$M$13:$N$17,2,TRUE),"")))))</f>
        <v/>
      </c>
      <c r="J286" s="122"/>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95"/>
      <c r="AH286" s="112"/>
      <c r="AI286" s="196"/>
      <c r="AJ286" s="197"/>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96"/>
      <c r="BV286" s="222" t="str">
        <f t="shared" si="9"/>
        <v/>
      </c>
    </row>
    <row r="287" spans="1:74" s="108" customFormat="1" ht="15.75">
      <c r="A287" s="119"/>
      <c r="B287" s="120"/>
      <c r="C287" s="111"/>
      <c r="D287" s="111"/>
      <c r="E287" s="121"/>
      <c r="F287" s="121"/>
      <c r="G287" s="113"/>
      <c r="H287" s="199" t="str">
        <f t="shared" si="8"/>
        <v/>
      </c>
      <c r="I287" s="200" t="str">
        <f>IF(E287="","",IF(AND(BV287&lt;=66),VLOOKUP(H287,'LetterID Look Up'!$A$13:$B$20,2,TRUE),IF(AND(BV287&gt;=67,BV287&lt;=72),VLOOKUP(H287,'LetterID Look Up'!$E$13:$F$19,2,TRUE),IF(AND(BV287&gt;=73,BV287&lt;=78),VLOOKUP(H287,'LetterID Look Up'!$I$13:$J$19,2,TRUE),IF(AND(BV287&gt;=79),VLOOKUP(H287,'LetterID Look Up'!$M$13:$N$17,2,TRUE),"")))))</f>
        <v/>
      </c>
      <c r="J287" s="122"/>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95"/>
      <c r="AH287" s="112"/>
      <c r="AI287" s="196"/>
      <c r="AJ287" s="197"/>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96"/>
      <c r="BV287" s="222" t="str">
        <f t="shared" si="9"/>
        <v/>
      </c>
    </row>
    <row r="288" spans="1:74" s="108" customFormat="1" ht="15.75">
      <c r="A288" s="119"/>
      <c r="B288" s="120"/>
      <c r="C288" s="111"/>
      <c r="D288" s="111"/>
      <c r="E288" s="121"/>
      <c r="F288" s="121"/>
      <c r="G288" s="113"/>
      <c r="H288" s="199" t="str">
        <f t="shared" si="8"/>
        <v/>
      </c>
      <c r="I288" s="200" t="str">
        <f>IF(E288="","",IF(AND(BV288&lt;=66),VLOOKUP(H288,'LetterID Look Up'!$A$13:$B$20,2,TRUE),IF(AND(BV288&gt;=67,BV288&lt;=72),VLOOKUP(H288,'LetterID Look Up'!$E$13:$F$19,2,TRUE),IF(AND(BV288&gt;=73,BV288&lt;=78),VLOOKUP(H288,'LetterID Look Up'!$I$13:$J$19,2,TRUE),IF(AND(BV288&gt;=79),VLOOKUP(H288,'LetterID Look Up'!$M$13:$N$17,2,TRUE),"")))))</f>
        <v/>
      </c>
      <c r="J288" s="122"/>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95"/>
      <c r="AH288" s="112"/>
      <c r="AI288" s="196"/>
      <c r="AJ288" s="197"/>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96"/>
      <c r="BV288" s="222" t="str">
        <f t="shared" si="9"/>
        <v/>
      </c>
    </row>
    <row r="289" spans="1:74" s="108" customFormat="1" ht="15.75">
      <c r="A289" s="119"/>
      <c r="B289" s="120"/>
      <c r="C289" s="111"/>
      <c r="D289" s="111"/>
      <c r="E289" s="121"/>
      <c r="F289" s="121"/>
      <c r="G289" s="113"/>
      <c r="H289" s="199" t="str">
        <f t="shared" si="8"/>
        <v/>
      </c>
      <c r="I289" s="200" t="str">
        <f>IF(E289="","",IF(AND(BV289&lt;=66),VLOOKUP(H289,'LetterID Look Up'!$A$13:$B$20,2,TRUE),IF(AND(BV289&gt;=67,BV289&lt;=72),VLOOKUP(H289,'LetterID Look Up'!$E$13:$F$19,2,TRUE),IF(AND(BV289&gt;=73,BV289&lt;=78),VLOOKUP(H289,'LetterID Look Up'!$I$13:$J$19,2,TRUE),IF(AND(BV289&gt;=79),VLOOKUP(H289,'LetterID Look Up'!$M$13:$N$17,2,TRUE),"")))))</f>
        <v/>
      </c>
      <c r="J289" s="122"/>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95"/>
      <c r="AH289" s="112"/>
      <c r="AI289" s="196"/>
      <c r="AJ289" s="197"/>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96"/>
      <c r="BV289" s="222" t="str">
        <f t="shared" si="9"/>
        <v/>
      </c>
    </row>
    <row r="290" spans="1:74" s="108" customFormat="1" ht="15.75">
      <c r="A290" s="119"/>
      <c r="B290" s="120"/>
      <c r="C290" s="111"/>
      <c r="D290" s="111"/>
      <c r="E290" s="121"/>
      <c r="F290" s="121"/>
      <c r="G290" s="113"/>
      <c r="H290" s="199" t="str">
        <f t="shared" si="8"/>
        <v/>
      </c>
      <c r="I290" s="200" t="str">
        <f>IF(E290="","",IF(AND(BV290&lt;=66),VLOOKUP(H290,'LetterID Look Up'!$A$13:$B$20,2,TRUE),IF(AND(BV290&gt;=67,BV290&lt;=72),VLOOKUP(H290,'LetterID Look Up'!$E$13:$F$19,2,TRUE),IF(AND(BV290&gt;=73,BV290&lt;=78),VLOOKUP(H290,'LetterID Look Up'!$I$13:$J$19,2,TRUE),IF(AND(BV290&gt;=79),VLOOKUP(H290,'LetterID Look Up'!$M$13:$N$17,2,TRUE),"")))))</f>
        <v/>
      </c>
      <c r="J290" s="122"/>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95"/>
      <c r="AH290" s="112"/>
      <c r="AI290" s="196"/>
      <c r="AJ290" s="197"/>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96"/>
      <c r="BV290" s="222" t="str">
        <f t="shared" si="9"/>
        <v/>
      </c>
    </row>
    <row r="291" spans="1:74" s="108" customFormat="1" ht="15.75">
      <c r="A291" s="119"/>
      <c r="B291" s="120"/>
      <c r="C291" s="111"/>
      <c r="D291" s="111"/>
      <c r="E291" s="121"/>
      <c r="F291" s="121"/>
      <c r="G291" s="113"/>
      <c r="H291" s="199" t="str">
        <f t="shared" si="8"/>
        <v/>
      </c>
      <c r="I291" s="200" t="str">
        <f>IF(E291="","",IF(AND(BV291&lt;=66),VLOOKUP(H291,'LetterID Look Up'!$A$13:$B$20,2,TRUE),IF(AND(BV291&gt;=67,BV291&lt;=72),VLOOKUP(H291,'LetterID Look Up'!$E$13:$F$19,2,TRUE),IF(AND(BV291&gt;=73,BV291&lt;=78),VLOOKUP(H291,'LetterID Look Up'!$I$13:$J$19,2,TRUE),IF(AND(BV291&gt;=79),VLOOKUP(H291,'LetterID Look Up'!$M$13:$N$17,2,TRUE),"")))))</f>
        <v/>
      </c>
      <c r="J291" s="122"/>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95"/>
      <c r="AH291" s="112"/>
      <c r="AI291" s="196"/>
      <c r="AJ291" s="197"/>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96"/>
      <c r="BV291" s="222" t="str">
        <f t="shared" si="9"/>
        <v/>
      </c>
    </row>
    <row r="292" spans="1:74" s="108" customFormat="1" ht="15.75">
      <c r="A292" s="119"/>
      <c r="B292" s="120"/>
      <c r="C292" s="111"/>
      <c r="D292" s="111"/>
      <c r="E292" s="121"/>
      <c r="F292" s="121"/>
      <c r="G292" s="113"/>
      <c r="H292" s="199" t="str">
        <f t="shared" si="8"/>
        <v/>
      </c>
      <c r="I292" s="200" t="str">
        <f>IF(E292="","",IF(AND(BV292&lt;=66),VLOOKUP(H292,'LetterID Look Up'!$A$13:$B$20,2,TRUE),IF(AND(BV292&gt;=67,BV292&lt;=72),VLOOKUP(H292,'LetterID Look Up'!$E$13:$F$19,2,TRUE),IF(AND(BV292&gt;=73,BV292&lt;=78),VLOOKUP(H292,'LetterID Look Up'!$I$13:$J$19,2,TRUE),IF(AND(BV292&gt;=79),VLOOKUP(H292,'LetterID Look Up'!$M$13:$N$17,2,TRUE),"")))))</f>
        <v/>
      </c>
      <c r="J292" s="122"/>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95"/>
      <c r="AH292" s="112"/>
      <c r="AI292" s="196"/>
      <c r="AJ292" s="197"/>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96"/>
      <c r="BV292" s="222" t="str">
        <f t="shared" si="9"/>
        <v/>
      </c>
    </row>
    <row r="293" spans="1:74" s="108" customFormat="1" ht="15.75">
      <c r="A293" s="119"/>
      <c r="B293" s="120"/>
      <c r="C293" s="111"/>
      <c r="D293" s="111"/>
      <c r="E293" s="121"/>
      <c r="F293" s="121"/>
      <c r="G293" s="113"/>
      <c r="H293" s="199" t="str">
        <f t="shared" si="8"/>
        <v/>
      </c>
      <c r="I293" s="200" t="str">
        <f>IF(E293="","",IF(AND(BV293&lt;=66),VLOOKUP(H293,'LetterID Look Up'!$A$13:$B$20,2,TRUE),IF(AND(BV293&gt;=67,BV293&lt;=72),VLOOKUP(H293,'LetterID Look Up'!$E$13:$F$19,2,TRUE),IF(AND(BV293&gt;=73,BV293&lt;=78),VLOOKUP(H293,'LetterID Look Up'!$I$13:$J$19,2,TRUE),IF(AND(BV293&gt;=79),VLOOKUP(H293,'LetterID Look Up'!$M$13:$N$17,2,TRUE),"")))))</f>
        <v/>
      </c>
      <c r="J293" s="122"/>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95"/>
      <c r="AH293" s="112"/>
      <c r="AI293" s="196"/>
      <c r="AJ293" s="197"/>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96"/>
      <c r="BV293" s="222" t="str">
        <f t="shared" si="9"/>
        <v/>
      </c>
    </row>
    <row r="294" spans="1:74" s="108" customFormat="1" ht="15.75">
      <c r="A294" s="119"/>
      <c r="B294" s="120"/>
      <c r="C294" s="111"/>
      <c r="D294" s="111"/>
      <c r="E294" s="121"/>
      <c r="F294" s="121"/>
      <c r="G294" s="113"/>
      <c r="H294" s="199" t="str">
        <f t="shared" si="8"/>
        <v/>
      </c>
      <c r="I294" s="200" t="str">
        <f>IF(E294="","",IF(AND(BV294&lt;=66),VLOOKUP(H294,'LetterID Look Up'!$A$13:$B$20,2,TRUE),IF(AND(BV294&gt;=67,BV294&lt;=72),VLOOKUP(H294,'LetterID Look Up'!$E$13:$F$19,2,TRUE),IF(AND(BV294&gt;=73,BV294&lt;=78),VLOOKUP(H294,'LetterID Look Up'!$I$13:$J$19,2,TRUE),IF(AND(BV294&gt;=79),VLOOKUP(H294,'LetterID Look Up'!$M$13:$N$17,2,TRUE),"")))))</f>
        <v/>
      </c>
      <c r="J294" s="122"/>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95"/>
      <c r="AH294" s="112"/>
      <c r="AI294" s="196"/>
      <c r="AJ294" s="197"/>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96"/>
      <c r="BV294" s="222" t="str">
        <f t="shared" si="9"/>
        <v/>
      </c>
    </row>
    <row r="295" spans="1:74" s="108" customFormat="1" ht="15.75">
      <c r="A295" s="119"/>
      <c r="B295" s="120"/>
      <c r="C295" s="111"/>
      <c r="D295" s="111"/>
      <c r="E295" s="121"/>
      <c r="F295" s="121"/>
      <c r="G295" s="113"/>
      <c r="H295" s="199" t="str">
        <f t="shared" si="8"/>
        <v/>
      </c>
      <c r="I295" s="200" t="str">
        <f>IF(E295="","",IF(AND(BV295&lt;=66),VLOOKUP(H295,'LetterID Look Up'!$A$13:$B$20,2,TRUE),IF(AND(BV295&gt;=67,BV295&lt;=72),VLOOKUP(H295,'LetterID Look Up'!$E$13:$F$19,2,TRUE),IF(AND(BV295&gt;=73,BV295&lt;=78),VLOOKUP(H295,'LetterID Look Up'!$I$13:$J$19,2,TRUE),IF(AND(BV295&gt;=79),VLOOKUP(H295,'LetterID Look Up'!$M$13:$N$17,2,TRUE),"")))))</f>
        <v/>
      </c>
      <c r="J295" s="122"/>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95"/>
      <c r="AH295" s="112"/>
      <c r="AI295" s="196"/>
      <c r="AJ295" s="197"/>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96"/>
      <c r="BV295" s="222" t="str">
        <f t="shared" si="9"/>
        <v/>
      </c>
    </row>
    <row r="296" spans="1:74" s="108" customFormat="1" ht="15.75">
      <c r="A296" s="119"/>
      <c r="B296" s="120"/>
      <c r="C296" s="111"/>
      <c r="D296" s="111"/>
      <c r="E296" s="121"/>
      <c r="F296" s="121"/>
      <c r="G296" s="113"/>
      <c r="H296" s="199" t="str">
        <f t="shared" si="8"/>
        <v/>
      </c>
      <c r="I296" s="200" t="str">
        <f>IF(E296="","",IF(AND(BV296&lt;=66),VLOOKUP(H296,'LetterID Look Up'!$A$13:$B$20,2,TRUE),IF(AND(BV296&gt;=67,BV296&lt;=72),VLOOKUP(H296,'LetterID Look Up'!$E$13:$F$19,2,TRUE),IF(AND(BV296&gt;=73,BV296&lt;=78),VLOOKUP(H296,'LetterID Look Up'!$I$13:$J$19,2,TRUE),IF(AND(BV296&gt;=79),VLOOKUP(H296,'LetterID Look Up'!$M$13:$N$17,2,TRUE),"")))))</f>
        <v/>
      </c>
      <c r="J296" s="122"/>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95"/>
      <c r="AH296" s="112"/>
      <c r="AI296" s="196"/>
      <c r="AJ296" s="197"/>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96"/>
      <c r="BV296" s="222" t="str">
        <f t="shared" si="9"/>
        <v/>
      </c>
    </row>
    <row r="297" spans="1:74" s="108" customFormat="1" ht="15.75">
      <c r="A297" s="119"/>
      <c r="B297" s="120"/>
      <c r="C297" s="111"/>
      <c r="D297" s="111"/>
      <c r="E297" s="121"/>
      <c r="F297" s="121"/>
      <c r="G297" s="113"/>
      <c r="H297" s="199" t="str">
        <f t="shared" si="8"/>
        <v/>
      </c>
      <c r="I297" s="200" t="str">
        <f>IF(E297="","",IF(AND(BV297&lt;=66),VLOOKUP(H297,'LetterID Look Up'!$A$13:$B$20,2,TRUE),IF(AND(BV297&gt;=67,BV297&lt;=72),VLOOKUP(H297,'LetterID Look Up'!$E$13:$F$19,2,TRUE),IF(AND(BV297&gt;=73,BV297&lt;=78),VLOOKUP(H297,'LetterID Look Up'!$I$13:$J$19,2,TRUE),IF(AND(BV297&gt;=79),VLOOKUP(H297,'LetterID Look Up'!$M$13:$N$17,2,TRUE),"")))))</f>
        <v/>
      </c>
      <c r="J297" s="122"/>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95"/>
      <c r="AH297" s="112"/>
      <c r="AI297" s="196"/>
      <c r="AJ297" s="197"/>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96"/>
      <c r="BV297" s="222" t="str">
        <f t="shared" si="9"/>
        <v/>
      </c>
    </row>
    <row r="298" spans="1:74" s="108" customFormat="1" ht="15.75">
      <c r="A298" s="119"/>
      <c r="B298" s="120"/>
      <c r="C298" s="111"/>
      <c r="D298" s="111"/>
      <c r="E298" s="121"/>
      <c r="F298" s="121"/>
      <c r="G298" s="113"/>
      <c r="H298" s="199" t="str">
        <f t="shared" si="8"/>
        <v/>
      </c>
      <c r="I298" s="200" t="str">
        <f>IF(E298="","",IF(AND(BV298&lt;=66),VLOOKUP(H298,'LetterID Look Up'!$A$13:$B$20,2,TRUE),IF(AND(BV298&gt;=67,BV298&lt;=72),VLOOKUP(H298,'LetterID Look Up'!$E$13:$F$19,2,TRUE),IF(AND(BV298&gt;=73,BV298&lt;=78),VLOOKUP(H298,'LetterID Look Up'!$I$13:$J$19,2,TRUE),IF(AND(BV298&gt;=79),VLOOKUP(H298,'LetterID Look Up'!$M$13:$N$17,2,TRUE),"")))))</f>
        <v/>
      </c>
      <c r="J298" s="122"/>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95"/>
      <c r="AH298" s="112"/>
      <c r="AI298" s="196"/>
      <c r="AJ298" s="197"/>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96"/>
      <c r="BV298" s="222" t="str">
        <f t="shared" si="9"/>
        <v/>
      </c>
    </row>
    <row r="299" spans="1:74" s="108" customFormat="1" ht="15.75">
      <c r="A299" s="119"/>
      <c r="B299" s="120"/>
      <c r="C299" s="111"/>
      <c r="D299" s="111"/>
      <c r="E299" s="121"/>
      <c r="F299" s="121"/>
      <c r="G299" s="113"/>
      <c r="H299" s="199" t="str">
        <f t="shared" si="8"/>
        <v/>
      </c>
      <c r="I299" s="200" t="str">
        <f>IF(E299="","",IF(AND(BV299&lt;=66),VLOOKUP(H299,'LetterID Look Up'!$A$13:$B$20,2,TRUE),IF(AND(BV299&gt;=67,BV299&lt;=72),VLOOKUP(H299,'LetterID Look Up'!$E$13:$F$19,2,TRUE),IF(AND(BV299&gt;=73,BV299&lt;=78),VLOOKUP(H299,'LetterID Look Up'!$I$13:$J$19,2,TRUE),IF(AND(BV299&gt;=79),VLOOKUP(H299,'LetterID Look Up'!$M$13:$N$17,2,TRUE),"")))))</f>
        <v/>
      </c>
      <c r="J299" s="122"/>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95"/>
      <c r="AH299" s="112"/>
      <c r="AI299" s="196"/>
      <c r="AJ299" s="197"/>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96"/>
      <c r="BV299" s="222" t="str">
        <f t="shared" si="9"/>
        <v/>
      </c>
    </row>
    <row r="300" spans="1:74" s="108" customFormat="1" ht="15.75">
      <c r="A300" s="119"/>
      <c r="B300" s="120"/>
      <c r="C300" s="111"/>
      <c r="D300" s="111"/>
      <c r="E300" s="121"/>
      <c r="F300" s="121"/>
      <c r="G300" s="113"/>
      <c r="H300" s="199" t="str">
        <f t="shared" si="8"/>
        <v/>
      </c>
      <c r="I300" s="200" t="str">
        <f>IF(E300="","",IF(AND(BV300&lt;=66),VLOOKUP(H300,'LetterID Look Up'!$A$13:$B$20,2,TRUE),IF(AND(BV300&gt;=67,BV300&lt;=72),VLOOKUP(H300,'LetterID Look Up'!$E$13:$F$19,2,TRUE),IF(AND(BV300&gt;=73,BV300&lt;=78),VLOOKUP(H300,'LetterID Look Up'!$I$13:$J$19,2,TRUE),IF(AND(BV300&gt;=79),VLOOKUP(H300,'LetterID Look Up'!$M$13:$N$17,2,TRUE),"")))))</f>
        <v/>
      </c>
      <c r="J300" s="122"/>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95"/>
      <c r="AH300" s="112"/>
      <c r="AI300" s="196"/>
      <c r="AJ300" s="197"/>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96"/>
      <c r="BV300" s="222" t="str">
        <f t="shared" si="9"/>
        <v/>
      </c>
    </row>
    <row r="301" spans="1:74" s="108" customFormat="1" ht="15.75">
      <c r="A301" s="119"/>
      <c r="B301" s="120"/>
      <c r="C301" s="111"/>
      <c r="D301" s="111"/>
      <c r="E301" s="121"/>
      <c r="F301" s="121"/>
      <c r="G301" s="113"/>
      <c r="H301" s="199" t="str">
        <f t="shared" si="8"/>
        <v/>
      </c>
      <c r="I301" s="200" t="str">
        <f>IF(E301="","",IF(AND(BV301&lt;=66),VLOOKUP(H301,'LetterID Look Up'!$A$13:$B$20,2,TRUE),IF(AND(BV301&gt;=67,BV301&lt;=72),VLOOKUP(H301,'LetterID Look Up'!$E$13:$F$19,2,TRUE),IF(AND(BV301&gt;=73,BV301&lt;=78),VLOOKUP(H301,'LetterID Look Up'!$I$13:$J$19,2,TRUE),IF(AND(BV301&gt;=79),VLOOKUP(H301,'LetterID Look Up'!$M$13:$N$17,2,TRUE),"")))))</f>
        <v/>
      </c>
      <c r="J301" s="122"/>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95"/>
      <c r="AH301" s="112"/>
      <c r="AI301" s="196"/>
      <c r="AJ301" s="197"/>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96"/>
      <c r="BV301" s="222" t="str">
        <f t="shared" si="9"/>
        <v/>
      </c>
    </row>
    <row r="302" spans="1:74" s="108" customFormat="1" ht="15.75">
      <c r="A302" s="119"/>
      <c r="B302" s="120"/>
      <c r="C302" s="111"/>
      <c r="D302" s="111"/>
      <c r="E302" s="121"/>
      <c r="F302" s="121"/>
      <c r="G302" s="113"/>
      <c r="H302" s="199" t="str">
        <f t="shared" si="8"/>
        <v/>
      </c>
      <c r="I302" s="200" t="str">
        <f>IF(E302="","",IF(AND(BV302&lt;=66),VLOOKUP(H302,'LetterID Look Up'!$A$13:$B$20,2,TRUE),IF(AND(BV302&gt;=67,BV302&lt;=72),VLOOKUP(H302,'LetterID Look Up'!$E$13:$F$19,2,TRUE),IF(AND(BV302&gt;=73,BV302&lt;=78),VLOOKUP(H302,'LetterID Look Up'!$I$13:$J$19,2,TRUE),IF(AND(BV302&gt;=79),VLOOKUP(H302,'LetterID Look Up'!$M$13:$N$17,2,TRUE),"")))))</f>
        <v/>
      </c>
      <c r="J302" s="122"/>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95"/>
      <c r="AH302" s="112"/>
      <c r="AI302" s="196"/>
      <c r="AJ302" s="197"/>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96"/>
      <c r="BV302" s="222" t="str">
        <f t="shared" si="9"/>
        <v/>
      </c>
    </row>
    <row r="303" spans="1:74" s="108" customFormat="1" ht="15.75">
      <c r="A303" s="119"/>
      <c r="B303" s="120"/>
      <c r="C303" s="111"/>
      <c r="D303" s="111"/>
      <c r="E303" s="121"/>
      <c r="F303" s="121"/>
      <c r="G303" s="113"/>
      <c r="H303" s="199" t="str">
        <f t="shared" si="8"/>
        <v/>
      </c>
      <c r="I303" s="200" t="str">
        <f>IF(E303="","",IF(AND(BV303&lt;=66),VLOOKUP(H303,'LetterID Look Up'!$A$13:$B$20,2,TRUE),IF(AND(BV303&gt;=67,BV303&lt;=72),VLOOKUP(H303,'LetterID Look Up'!$E$13:$F$19,2,TRUE),IF(AND(BV303&gt;=73,BV303&lt;=78),VLOOKUP(H303,'LetterID Look Up'!$I$13:$J$19,2,TRUE),IF(AND(BV303&gt;=79),VLOOKUP(H303,'LetterID Look Up'!$M$13:$N$17,2,TRUE),"")))))</f>
        <v/>
      </c>
      <c r="J303" s="122"/>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95"/>
      <c r="AH303" s="112"/>
      <c r="AI303" s="196"/>
      <c r="AJ303" s="197"/>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96"/>
      <c r="BV303" s="222" t="str">
        <f t="shared" si="9"/>
        <v/>
      </c>
    </row>
    <row r="304" spans="1:74" s="108" customFormat="1" ht="15.75">
      <c r="A304" s="119"/>
      <c r="B304" s="120"/>
      <c r="C304" s="111"/>
      <c r="D304" s="111"/>
      <c r="E304" s="121"/>
      <c r="F304" s="121"/>
      <c r="G304" s="113"/>
      <c r="H304" s="199" t="str">
        <f t="shared" si="8"/>
        <v/>
      </c>
      <c r="I304" s="200" t="str">
        <f>IF(E304="","",IF(AND(BV304&lt;=66),VLOOKUP(H304,'LetterID Look Up'!$A$13:$B$20,2,TRUE),IF(AND(BV304&gt;=67,BV304&lt;=72),VLOOKUP(H304,'LetterID Look Up'!$E$13:$F$19,2,TRUE),IF(AND(BV304&gt;=73,BV304&lt;=78),VLOOKUP(H304,'LetterID Look Up'!$I$13:$J$19,2,TRUE),IF(AND(BV304&gt;=79),VLOOKUP(H304,'LetterID Look Up'!$M$13:$N$17,2,TRUE),"")))))</f>
        <v/>
      </c>
      <c r="J304" s="122"/>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95"/>
      <c r="AH304" s="112"/>
      <c r="AI304" s="196"/>
      <c r="AJ304" s="197"/>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96"/>
      <c r="BV304" s="222" t="str">
        <f t="shared" si="9"/>
        <v/>
      </c>
    </row>
    <row r="305" spans="1:74" s="108" customFormat="1" ht="15.75">
      <c r="A305" s="119"/>
      <c r="B305" s="120"/>
      <c r="C305" s="111"/>
      <c r="D305" s="111"/>
      <c r="E305" s="121"/>
      <c r="F305" s="121"/>
      <c r="G305" s="113"/>
      <c r="H305" s="199" t="str">
        <f t="shared" si="8"/>
        <v/>
      </c>
      <c r="I305" s="200" t="str">
        <f>IF(E305="","",IF(AND(BV305&lt;=66),VLOOKUP(H305,'LetterID Look Up'!$A$13:$B$20,2,TRUE),IF(AND(BV305&gt;=67,BV305&lt;=72),VLOOKUP(H305,'LetterID Look Up'!$E$13:$F$19,2,TRUE),IF(AND(BV305&gt;=73,BV305&lt;=78),VLOOKUP(H305,'LetterID Look Up'!$I$13:$J$19,2,TRUE),IF(AND(BV305&gt;=79),VLOOKUP(H305,'LetterID Look Up'!$M$13:$N$17,2,TRUE),"")))))</f>
        <v/>
      </c>
      <c r="J305" s="122"/>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95"/>
      <c r="AH305" s="112"/>
      <c r="AI305" s="196"/>
      <c r="AJ305" s="197"/>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96"/>
      <c r="BV305" s="222" t="str">
        <f t="shared" si="9"/>
        <v/>
      </c>
    </row>
    <row r="306" spans="1:74" s="108" customFormat="1" ht="15.75">
      <c r="A306" s="119"/>
      <c r="B306" s="120"/>
      <c r="C306" s="111"/>
      <c r="D306" s="111"/>
      <c r="E306" s="121"/>
      <c r="F306" s="121"/>
      <c r="G306" s="113"/>
      <c r="H306" s="199" t="str">
        <f t="shared" si="8"/>
        <v/>
      </c>
      <c r="I306" s="200" t="str">
        <f>IF(E306="","",IF(AND(BV306&lt;=66),VLOOKUP(H306,'LetterID Look Up'!$A$13:$B$20,2,TRUE),IF(AND(BV306&gt;=67,BV306&lt;=72),VLOOKUP(H306,'LetterID Look Up'!$E$13:$F$19,2,TRUE),IF(AND(BV306&gt;=73,BV306&lt;=78),VLOOKUP(H306,'LetterID Look Up'!$I$13:$J$19,2,TRUE),IF(AND(BV306&gt;=79),VLOOKUP(H306,'LetterID Look Up'!$M$13:$N$17,2,TRUE),"")))))</f>
        <v/>
      </c>
      <c r="J306" s="122"/>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95"/>
      <c r="AH306" s="112"/>
      <c r="AI306" s="196"/>
      <c r="AJ306" s="197"/>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96"/>
      <c r="BV306" s="222" t="str">
        <f t="shared" si="9"/>
        <v/>
      </c>
    </row>
    <row r="307" spans="1:74" s="108" customFormat="1" ht="15.75">
      <c r="A307" s="119"/>
      <c r="B307" s="120"/>
      <c r="C307" s="111"/>
      <c r="D307" s="111"/>
      <c r="E307" s="121"/>
      <c r="F307" s="121"/>
      <c r="G307" s="113"/>
      <c r="H307" s="199" t="str">
        <f t="shared" si="8"/>
        <v/>
      </c>
      <c r="I307" s="200" t="str">
        <f>IF(E307="","",IF(AND(BV307&lt;=66),VLOOKUP(H307,'LetterID Look Up'!$A$13:$B$20,2,TRUE),IF(AND(BV307&gt;=67,BV307&lt;=72),VLOOKUP(H307,'LetterID Look Up'!$E$13:$F$19,2,TRUE),IF(AND(BV307&gt;=73,BV307&lt;=78),VLOOKUP(H307,'LetterID Look Up'!$I$13:$J$19,2,TRUE),IF(AND(BV307&gt;=79),VLOOKUP(H307,'LetterID Look Up'!$M$13:$N$17,2,TRUE),"")))))</f>
        <v/>
      </c>
      <c r="J307" s="122"/>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95"/>
      <c r="AH307" s="112"/>
      <c r="AI307" s="196"/>
      <c r="AJ307" s="197"/>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96"/>
      <c r="BV307" s="222" t="str">
        <f t="shared" si="9"/>
        <v/>
      </c>
    </row>
    <row r="308" spans="1:74" s="108" customFormat="1" ht="15.75">
      <c r="A308" s="119"/>
      <c r="B308" s="120"/>
      <c r="C308" s="111"/>
      <c r="D308" s="111"/>
      <c r="E308" s="121"/>
      <c r="F308" s="121"/>
      <c r="G308" s="113"/>
      <c r="H308" s="199" t="str">
        <f t="shared" si="8"/>
        <v/>
      </c>
      <c r="I308" s="200" t="str">
        <f>IF(E308="","",IF(AND(BV308&lt;=66),VLOOKUP(H308,'LetterID Look Up'!$A$13:$B$20,2,TRUE),IF(AND(BV308&gt;=67,BV308&lt;=72),VLOOKUP(H308,'LetterID Look Up'!$E$13:$F$19,2,TRUE),IF(AND(BV308&gt;=73,BV308&lt;=78),VLOOKUP(H308,'LetterID Look Up'!$I$13:$J$19,2,TRUE),IF(AND(BV308&gt;=79),VLOOKUP(H308,'LetterID Look Up'!$M$13:$N$17,2,TRUE),"")))))</f>
        <v/>
      </c>
      <c r="J308" s="122"/>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95"/>
      <c r="AH308" s="112"/>
      <c r="AI308" s="196"/>
      <c r="AJ308" s="197"/>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96"/>
      <c r="BV308" s="222" t="str">
        <f t="shared" si="9"/>
        <v/>
      </c>
    </row>
    <row r="309" spans="1:74" s="108" customFormat="1" ht="15.75">
      <c r="A309" s="119"/>
      <c r="B309" s="120"/>
      <c r="C309" s="111"/>
      <c r="D309" s="111"/>
      <c r="E309" s="121"/>
      <c r="F309" s="121"/>
      <c r="G309" s="113"/>
      <c r="H309" s="199" t="str">
        <f t="shared" si="8"/>
        <v/>
      </c>
      <c r="I309" s="200" t="str">
        <f>IF(E309="","",IF(AND(BV309&lt;=66),VLOOKUP(H309,'LetterID Look Up'!$A$13:$B$20,2,TRUE),IF(AND(BV309&gt;=67,BV309&lt;=72),VLOOKUP(H309,'LetterID Look Up'!$E$13:$F$19,2,TRUE),IF(AND(BV309&gt;=73,BV309&lt;=78),VLOOKUP(H309,'LetterID Look Up'!$I$13:$J$19,2,TRUE),IF(AND(BV309&gt;=79),VLOOKUP(H309,'LetterID Look Up'!$M$13:$N$17,2,TRUE),"")))))</f>
        <v/>
      </c>
      <c r="J309" s="122"/>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95"/>
      <c r="AH309" s="112"/>
      <c r="AI309" s="196"/>
      <c r="AJ309" s="197"/>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96"/>
      <c r="BV309" s="222" t="str">
        <f t="shared" si="9"/>
        <v/>
      </c>
    </row>
    <row r="310" spans="1:74" s="108" customFormat="1" ht="15.75">
      <c r="A310" s="119"/>
      <c r="B310" s="120"/>
      <c r="C310" s="111"/>
      <c r="D310" s="111"/>
      <c r="E310" s="121"/>
      <c r="F310" s="121"/>
      <c r="G310" s="113"/>
      <c r="H310" s="199" t="str">
        <f t="shared" si="8"/>
        <v/>
      </c>
      <c r="I310" s="200" t="str">
        <f>IF(E310="","",IF(AND(BV310&lt;=66),VLOOKUP(H310,'LetterID Look Up'!$A$13:$B$20,2,TRUE),IF(AND(BV310&gt;=67,BV310&lt;=72),VLOOKUP(H310,'LetterID Look Up'!$E$13:$F$19,2,TRUE),IF(AND(BV310&gt;=73,BV310&lt;=78),VLOOKUP(H310,'LetterID Look Up'!$I$13:$J$19,2,TRUE),IF(AND(BV310&gt;=79),VLOOKUP(H310,'LetterID Look Up'!$M$13:$N$17,2,TRUE),"")))))</f>
        <v/>
      </c>
      <c r="J310" s="122"/>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95"/>
      <c r="AH310" s="112"/>
      <c r="AI310" s="196"/>
      <c r="AJ310" s="197"/>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96"/>
      <c r="BV310" s="222" t="str">
        <f t="shared" si="9"/>
        <v/>
      </c>
    </row>
    <row r="311" spans="1:74" s="108" customFormat="1" ht="15.75">
      <c r="A311" s="119"/>
      <c r="B311" s="120"/>
      <c r="C311" s="111"/>
      <c r="D311" s="111"/>
      <c r="E311" s="121"/>
      <c r="F311" s="121"/>
      <c r="G311" s="113"/>
      <c r="H311" s="199" t="str">
        <f t="shared" si="8"/>
        <v/>
      </c>
      <c r="I311" s="200" t="str">
        <f>IF(E311="","",IF(AND(BV311&lt;=66),VLOOKUP(H311,'LetterID Look Up'!$A$13:$B$20,2,TRUE),IF(AND(BV311&gt;=67,BV311&lt;=72),VLOOKUP(H311,'LetterID Look Up'!$E$13:$F$19,2,TRUE),IF(AND(BV311&gt;=73,BV311&lt;=78),VLOOKUP(H311,'LetterID Look Up'!$I$13:$J$19,2,TRUE),IF(AND(BV311&gt;=79),VLOOKUP(H311,'LetterID Look Up'!$M$13:$N$17,2,TRUE),"")))))</f>
        <v/>
      </c>
      <c r="J311" s="122"/>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95"/>
      <c r="AH311" s="112"/>
      <c r="AI311" s="196"/>
      <c r="AJ311" s="197"/>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96"/>
      <c r="BV311" s="222" t="str">
        <f t="shared" si="9"/>
        <v/>
      </c>
    </row>
    <row r="312" spans="1:74" s="108" customFormat="1" ht="15.75">
      <c r="A312" s="119"/>
      <c r="B312" s="120"/>
      <c r="C312" s="111"/>
      <c r="D312" s="111"/>
      <c r="E312" s="121"/>
      <c r="F312" s="121"/>
      <c r="G312" s="113"/>
      <c r="H312" s="199" t="str">
        <f t="shared" si="8"/>
        <v/>
      </c>
      <c r="I312" s="200" t="str">
        <f>IF(E312="","",IF(AND(BV312&lt;=66),VLOOKUP(H312,'LetterID Look Up'!$A$13:$B$20,2,TRUE),IF(AND(BV312&gt;=67,BV312&lt;=72),VLOOKUP(H312,'LetterID Look Up'!$E$13:$F$19,2,TRUE),IF(AND(BV312&gt;=73,BV312&lt;=78),VLOOKUP(H312,'LetterID Look Up'!$I$13:$J$19,2,TRUE),IF(AND(BV312&gt;=79),VLOOKUP(H312,'LetterID Look Up'!$M$13:$N$17,2,TRUE),"")))))</f>
        <v/>
      </c>
      <c r="J312" s="122"/>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95"/>
      <c r="AH312" s="112"/>
      <c r="AI312" s="196"/>
      <c r="AJ312" s="197"/>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96"/>
      <c r="BV312" s="222" t="str">
        <f t="shared" si="9"/>
        <v/>
      </c>
    </row>
    <row r="313" spans="1:74" s="108" customFormat="1" ht="15.75">
      <c r="A313" s="119"/>
      <c r="B313" s="120"/>
      <c r="C313" s="111"/>
      <c r="D313" s="111"/>
      <c r="E313" s="121"/>
      <c r="F313" s="121"/>
      <c r="G313" s="113"/>
      <c r="H313" s="199" t="str">
        <f t="shared" si="8"/>
        <v/>
      </c>
      <c r="I313" s="200" t="str">
        <f>IF(E313="","",IF(AND(BV313&lt;=66),VLOOKUP(H313,'LetterID Look Up'!$A$13:$B$20,2,TRUE),IF(AND(BV313&gt;=67,BV313&lt;=72),VLOOKUP(H313,'LetterID Look Up'!$E$13:$F$19,2,TRUE),IF(AND(BV313&gt;=73,BV313&lt;=78),VLOOKUP(H313,'LetterID Look Up'!$I$13:$J$19,2,TRUE),IF(AND(BV313&gt;=79),VLOOKUP(H313,'LetterID Look Up'!$M$13:$N$17,2,TRUE),"")))))</f>
        <v/>
      </c>
      <c r="J313" s="122"/>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95"/>
      <c r="AH313" s="112"/>
      <c r="AI313" s="196"/>
      <c r="AJ313" s="197"/>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96"/>
      <c r="BV313" s="222" t="str">
        <f t="shared" si="9"/>
        <v/>
      </c>
    </row>
    <row r="314" spans="1:74" s="108" customFormat="1" ht="15.75">
      <c r="A314" s="119"/>
      <c r="B314" s="120"/>
      <c r="C314" s="111"/>
      <c r="D314" s="111"/>
      <c r="E314" s="121"/>
      <c r="F314" s="121"/>
      <c r="G314" s="113"/>
      <c r="H314" s="199" t="str">
        <f t="shared" si="8"/>
        <v/>
      </c>
      <c r="I314" s="200" t="str">
        <f>IF(E314="","",IF(AND(BV314&lt;=66),VLOOKUP(H314,'LetterID Look Up'!$A$13:$B$20,2,TRUE),IF(AND(BV314&gt;=67,BV314&lt;=72),VLOOKUP(H314,'LetterID Look Up'!$E$13:$F$19,2,TRUE),IF(AND(BV314&gt;=73,BV314&lt;=78),VLOOKUP(H314,'LetterID Look Up'!$I$13:$J$19,2,TRUE),IF(AND(BV314&gt;=79),VLOOKUP(H314,'LetterID Look Up'!$M$13:$N$17,2,TRUE),"")))))</f>
        <v/>
      </c>
      <c r="J314" s="122"/>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95"/>
      <c r="AH314" s="112"/>
      <c r="AI314" s="196"/>
      <c r="AJ314" s="197"/>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96"/>
      <c r="BV314" s="222" t="str">
        <f t="shared" si="9"/>
        <v/>
      </c>
    </row>
    <row r="315" spans="1:74" s="108" customFormat="1" ht="15.75">
      <c r="A315" s="119"/>
      <c r="B315" s="120"/>
      <c r="C315" s="111"/>
      <c r="D315" s="111"/>
      <c r="E315" s="121"/>
      <c r="F315" s="121"/>
      <c r="G315" s="113"/>
      <c r="H315" s="199" t="str">
        <f t="shared" si="8"/>
        <v/>
      </c>
      <c r="I315" s="200" t="str">
        <f>IF(E315="","",IF(AND(BV315&lt;=66),VLOOKUP(H315,'LetterID Look Up'!$A$13:$B$20,2,TRUE),IF(AND(BV315&gt;=67,BV315&lt;=72),VLOOKUP(H315,'LetterID Look Up'!$E$13:$F$19,2,TRUE),IF(AND(BV315&gt;=73,BV315&lt;=78),VLOOKUP(H315,'LetterID Look Up'!$I$13:$J$19,2,TRUE),IF(AND(BV315&gt;=79),VLOOKUP(H315,'LetterID Look Up'!$M$13:$N$17,2,TRUE),"")))))</f>
        <v/>
      </c>
      <c r="J315" s="122"/>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95"/>
      <c r="AH315" s="112"/>
      <c r="AI315" s="196"/>
      <c r="AJ315" s="197"/>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96"/>
      <c r="BV315" s="222" t="str">
        <f t="shared" si="9"/>
        <v/>
      </c>
    </row>
    <row r="316" spans="1:74" s="108" customFormat="1" ht="15.75">
      <c r="A316" s="119"/>
      <c r="B316" s="120"/>
      <c r="C316" s="111"/>
      <c r="D316" s="111"/>
      <c r="E316" s="121"/>
      <c r="F316" s="121"/>
      <c r="G316" s="113"/>
      <c r="H316" s="199" t="str">
        <f t="shared" si="8"/>
        <v/>
      </c>
      <c r="I316" s="200" t="str">
        <f>IF(E316="","",IF(AND(BV316&lt;=66),VLOOKUP(H316,'LetterID Look Up'!$A$13:$B$20,2,TRUE),IF(AND(BV316&gt;=67,BV316&lt;=72),VLOOKUP(H316,'LetterID Look Up'!$E$13:$F$19,2,TRUE),IF(AND(BV316&gt;=73,BV316&lt;=78),VLOOKUP(H316,'LetterID Look Up'!$I$13:$J$19,2,TRUE),IF(AND(BV316&gt;=79),VLOOKUP(H316,'LetterID Look Up'!$M$13:$N$17,2,TRUE),"")))))</f>
        <v/>
      </c>
      <c r="J316" s="122"/>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95"/>
      <c r="AH316" s="112"/>
      <c r="AI316" s="196"/>
      <c r="AJ316" s="197"/>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96"/>
      <c r="BV316" s="222" t="str">
        <f t="shared" si="9"/>
        <v/>
      </c>
    </row>
    <row r="317" spans="1:74" s="108" customFormat="1" ht="15.75">
      <c r="A317" s="119"/>
      <c r="B317" s="120"/>
      <c r="C317" s="111"/>
      <c r="D317" s="111"/>
      <c r="E317" s="121"/>
      <c r="F317" s="121"/>
      <c r="G317" s="113"/>
      <c r="H317" s="199" t="str">
        <f t="shared" si="8"/>
        <v/>
      </c>
      <c r="I317" s="200" t="str">
        <f>IF(E317="","",IF(AND(BV317&lt;=66),VLOOKUP(H317,'LetterID Look Up'!$A$13:$B$20,2,TRUE),IF(AND(BV317&gt;=67,BV317&lt;=72),VLOOKUP(H317,'LetterID Look Up'!$E$13:$F$19,2,TRUE),IF(AND(BV317&gt;=73,BV317&lt;=78),VLOOKUP(H317,'LetterID Look Up'!$I$13:$J$19,2,TRUE),IF(AND(BV317&gt;=79),VLOOKUP(H317,'LetterID Look Up'!$M$13:$N$17,2,TRUE),"")))))</f>
        <v/>
      </c>
      <c r="J317" s="122"/>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95"/>
      <c r="AH317" s="112"/>
      <c r="AI317" s="196"/>
      <c r="AJ317" s="197"/>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96"/>
      <c r="BV317" s="222" t="str">
        <f t="shared" si="9"/>
        <v/>
      </c>
    </row>
    <row r="318" spans="1:74" s="108" customFormat="1" ht="15.75">
      <c r="A318" s="119"/>
      <c r="B318" s="120"/>
      <c r="C318" s="111"/>
      <c r="D318" s="111"/>
      <c r="E318" s="121"/>
      <c r="F318" s="121"/>
      <c r="G318" s="113"/>
      <c r="H318" s="199" t="str">
        <f t="shared" si="8"/>
        <v/>
      </c>
      <c r="I318" s="200" t="str">
        <f>IF(E318="","",IF(AND(BV318&lt;=66),VLOOKUP(H318,'LetterID Look Up'!$A$13:$B$20,2,TRUE),IF(AND(BV318&gt;=67,BV318&lt;=72),VLOOKUP(H318,'LetterID Look Up'!$E$13:$F$19,2,TRUE),IF(AND(BV318&gt;=73,BV318&lt;=78),VLOOKUP(H318,'LetterID Look Up'!$I$13:$J$19,2,TRUE),IF(AND(BV318&gt;=79),VLOOKUP(H318,'LetterID Look Up'!$M$13:$N$17,2,TRUE),"")))))</f>
        <v/>
      </c>
      <c r="J318" s="122"/>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95"/>
      <c r="AH318" s="112"/>
      <c r="AI318" s="196"/>
      <c r="AJ318" s="197"/>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96"/>
      <c r="BV318" s="222" t="str">
        <f t="shared" si="9"/>
        <v/>
      </c>
    </row>
    <row r="319" spans="1:74" s="108" customFormat="1" ht="15.75">
      <c r="A319" s="119"/>
      <c r="B319" s="120"/>
      <c r="C319" s="111"/>
      <c r="D319" s="111"/>
      <c r="E319" s="121"/>
      <c r="F319" s="121"/>
      <c r="G319" s="113"/>
      <c r="H319" s="199" t="str">
        <f t="shared" si="8"/>
        <v/>
      </c>
      <c r="I319" s="200" t="str">
        <f>IF(E319="","",IF(AND(BV319&lt;=66),VLOOKUP(H319,'LetterID Look Up'!$A$13:$B$20,2,TRUE),IF(AND(BV319&gt;=67,BV319&lt;=72),VLOOKUP(H319,'LetterID Look Up'!$E$13:$F$19,2,TRUE),IF(AND(BV319&gt;=73,BV319&lt;=78),VLOOKUP(H319,'LetterID Look Up'!$I$13:$J$19,2,TRUE),IF(AND(BV319&gt;=79),VLOOKUP(H319,'LetterID Look Up'!$M$13:$N$17,2,TRUE),"")))))</f>
        <v/>
      </c>
      <c r="J319" s="122"/>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95"/>
      <c r="AH319" s="112"/>
      <c r="AI319" s="196"/>
      <c r="AJ319" s="197"/>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96"/>
      <c r="BV319" s="222" t="str">
        <f t="shared" si="9"/>
        <v/>
      </c>
    </row>
    <row r="320" spans="1:74" s="108" customFormat="1" ht="15.75">
      <c r="A320" s="119"/>
      <c r="B320" s="120"/>
      <c r="C320" s="111"/>
      <c r="D320" s="111"/>
      <c r="E320" s="121"/>
      <c r="F320" s="121"/>
      <c r="G320" s="113"/>
      <c r="H320" s="199" t="str">
        <f t="shared" si="8"/>
        <v/>
      </c>
      <c r="I320" s="200" t="str">
        <f>IF(E320="","",IF(AND(BV320&lt;=66),VLOOKUP(H320,'LetterID Look Up'!$A$13:$B$20,2,TRUE),IF(AND(BV320&gt;=67,BV320&lt;=72),VLOOKUP(H320,'LetterID Look Up'!$E$13:$F$19,2,TRUE),IF(AND(BV320&gt;=73,BV320&lt;=78),VLOOKUP(H320,'LetterID Look Up'!$I$13:$J$19,2,TRUE),IF(AND(BV320&gt;=79),VLOOKUP(H320,'LetterID Look Up'!$M$13:$N$17,2,TRUE),"")))))</f>
        <v/>
      </c>
      <c r="J320" s="122"/>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95"/>
      <c r="AH320" s="112"/>
      <c r="AI320" s="196"/>
      <c r="AJ320" s="197"/>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96"/>
      <c r="BV320" s="222" t="str">
        <f t="shared" si="9"/>
        <v/>
      </c>
    </row>
    <row r="321" spans="1:74" s="108" customFormat="1" ht="15.75">
      <c r="A321" s="119"/>
      <c r="B321" s="120"/>
      <c r="C321" s="111"/>
      <c r="D321" s="111"/>
      <c r="E321" s="121"/>
      <c r="F321" s="121"/>
      <c r="G321" s="113"/>
      <c r="H321" s="199" t="str">
        <f t="shared" si="8"/>
        <v/>
      </c>
      <c r="I321" s="200" t="str">
        <f>IF(E321="","",IF(AND(BV321&lt;=66),VLOOKUP(H321,'LetterID Look Up'!$A$13:$B$20,2,TRUE),IF(AND(BV321&gt;=67,BV321&lt;=72),VLOOKUP(H321,'LetterID Look Up'!$E$13:$F$19,2,TRUE),IF(AND(BV321&gt;=73,BV321&lt;=78),VLOOKUP(H321,'LetterID Look Up'!$I$13:$J$19,2,TRUE),IF(AND(BV321&gt;=79),VLOOKUP(H321,'LetterID Look Up'!$M$13:$N$17,2,TRUE),"")))))</f>
        <v/>
      </c>
      <c r="J321" s="122"/>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95"/>
      <c r="AH321" s="112"/>
      <c r="AI321" s="196"/>
      <c r="AJ321" s="197"/>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96"/>
      <c r="BV321" s="222" t="str">
        <f t="shared" si="9"/>
        <v/>
      </c>
    </row>
    <row r="322" spans="1:74" s="108" customFormat="1" ht="15.75">
      <c r="A322" s="119"/>
      <c r="B322" s="120"/>
      <c r="C322" s="111"/>
      <c r="D322" s="111"/>
      <c r="E322" s="121"/>
      <c r="F322" s="121"/>
      <c r="G322" s="113"/>
      <c r="H322" s="199" t="str">
        <f t="shared" si="8"/>
        <v/>
      </c>
      <c r="I322" s="200" t="str">
        <f>IF(E322="","",IF(AND(BV322&lt;=66),VLOOKUP(H322,'LetterID Look Up'!$A$13:$B$20,2,TRUE),IF(AND(BV322&gt;=67,BV322&lt;=72),VLOOKUP(H322,'LetterID Look Up'!$E$13:$F$19,2,TRUE),IF(AND(BV322&gt;=73,BV322&lt;=78),VLOOKUP(H322,'LetterID Look Up'!$I$13:$J$19,2,TRUE),IF(AND(BV322&gt;=79),VLOOKUP(H322,'LetterID Look Up'!$M$13:$N$17,2,TRUE),"")))))</f>
        <v/>
      </c>
      <c r="J322" s="122"/>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95"/>
      <c r="AH322" s="112"/>
      <c r="AI322" s="196"/>
      <c r="AJ322" s="197"/>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96"/>
      <c r="BV322" s="222" t="str">
        <f t="shared" si="9"/>
        <v/>
      </c>
    </row>
    <row r="323" spans="1:74" s="108" customFormat="1" ht="15.75">
      <c r="A323" s="119"/>
      <c r="B323" s="120"/>
      <c r="C323" s="111"/>
      <c r="D323" s="111"/>
      <c r="E323" s="121"/>
      <c r="F323" s="121"/>
      <c r="G323" s="113"/>
      <c r="H323" s="199" t="str">
        <f t="shared" si="8"/>
        <v/>
      </c>
      <c r="I323" s="200" t="str">
        <f>IF(E323="","",IF(AND(BV323&lt;=66),VLOOKUP(H323,'LetterID Look Up'!$A$13:$B$20,2,TRUE),IF(AND(BV323&gt;=67,BV323&lt;=72),VLOOKUP(H323,'LetterID Look Up'!$E$13:$F$19,2,TRUE),IF(AND(BV323&gt;=73,BV323&lt;=78),VLOOKUP(H323,'LetterID Look Up'!$I$13:$J$19,2,TRUE),IF(AND(BV323&gt;=79),VLOOKUP(H323,'LetterID Look Up'!$M$13:$N$17,2,TRUE),"")))))</f>
        <v/>
      </c>
      <c r="J323" s="122"/>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95"/>
      <c r="AH323" s="112"/>
      <c r="AI323" s="196"/>
      <c r="AJ323" s="197"/>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96"/>
      <c r="BV323" s="222" t="str">
        <f t="shared" si="9"/>
        <v/>
      </c>
    </row>
    <row r="324" spans="1:74" s="108" customFormat="1" ht="15.75">
      <c r="A324" s="119"/>
      <c r="B324" s="120"/>
      <c r="C324" s="111"/>
      <c r="D324" s="111"/>
      <c r="E324" s="121"/>
      <c r="F324" s="121"/>
      <c r="G324" s="113"/>
      <c r="H324" s="199" t="str">
        <f t="shared" si="8"/>
        <v/>
      </c>
      <c r="I324" s="200" t="str">
        <f>IF(E324="","",IF(AND(BV324&lt;=66),VLOOKUP(H324,'LetterID Look Up'!$A$13:$B$20,2,TRUE),IF(AND(BV324&gt;=67,BV324&lt;=72),VLOOKUP(H324,'LetterID Look Up'!$E$13:$F$19,2,TRUE),IF(AND(BV324&gt;=73,BV324&lt;=78),VLOOKUP(H324,'LetterID Look Up'!$I$13:$J$19,2,TRUE),IF(AND(BV324&gt;=79),VLOOKUP(H324,'LetterID Look Up'!$M$13:$N$17,2,TRUE),"")))))</f>
        <v/>
      </c>
      <c r="J324" s="122"/>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95"/>
      <c r="AH324" s="112"/>
      <c r="AI324" s="196"/>
      <c r="AJ324" s="197"/>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96"/>
      <c r="BV324" s="222" t="str">
        <f t="shared" si="9"/>
        <v/>
      </c>
    </row>
    <row r="325" spans="1:74" s="108" customFormat="1" ht="15.75">
      <c r="A325" s="119"/>
      <c r="B325" s="120"/>
      <c r="C325" s="111"/>
      <c r="D325" s="111"/>
      <c r="E325" s="121"/>
      <c r="F325" s="121"/>
      <c r="G325" s="113"/>
      <c r="H325" s="199" t="str">
        <f t="shared" si="8"/>
        <v/>
      </c>
      <c r="I325" s="200" t="str">
        <f>IF(E325="","",IF(AND(BV325&lt;=66),VLOOKUP(H325,'LetterID Look Up'!$A$13:$B$20,2,TRUE),IF(AND(BV325&gt;=67,BV325&lt;=72),VLOOKUP(H325,'LetterID Look Up'!$E$13:$F$19,2,TRUE),IF(AND(BV325&gt;=73,BV325&lt;=78),VLOOKUP(H325,'LetterID Look Up'!$I$13:$J$19,2,TRUE),IF(AND(BV325&gt;=79),VLOOKUP(H325,'LetterID Look Up'!$M$13:$N$17,2,TRUE),"")))))</f>
        <v/>
      </c>
      <c r="J325" s="122"/>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95"/>
      <c r="AH325" s="112"/>
      <c r="AI325" s="196"/>
      <c r="AJ325" s="197"/>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96"/>
      <c r="BV325" s="222" t="str">
        <f t="shared" si="9"/>
        <v/>
      </c>
    </row>
    <row r="326" spans="1:74" s="108" customFormat="1" ht="15.75">
      <c r="A326" s="119"/>
      <c r="B326" s="120"/>
      <c r="C326" s="111"/>
      <c r="D326" s="111"/>
      <c r="E326" s="121"/>
      <c r="F326" s="121"/>
      <c r="G326" s="113"/>
      <c r="H326" s="199" t="str">
        <f t="shared" si="8"/>
        <v/>
      </c>
      <c r="I326" s="200" t="str">
        <f>IF(E326="","",IF(AND(BV326&lt;=66),VLOOKUP(H326,'LetterID Look Up'!$A$13:$B$20,2,TRUE),IF(AND(BV326&gt;=67,BV326&lt;=72),VLOOKUP(H326,'LetterID Look Up'!$E$13:$F$19,2,TRUE),IF(AND(BV326&gt;=73,BV326&lt;=78),VLOOKUP(H326,'LetterID Look Up'!$I$13:$J$19,2,TRUE),IF(AND(BV326&gt;=79),VLOOKUP(H326,'LetterID Look Up'!$M$13:$N$17,2,TRUE),"")))))</f>
        <v/>
      </c>
      <c r="J326" s="122"/>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95"/>
      <c r="AH326" s="112"/>
      <c r="AI326" s="196"/>
      <c r="AJ326" s="197"/>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96"/>
      <c r="BV326" s="222" t="str">
        <f t="shared" si="9"/>
        <v/>
      </c>
    </row>
    <row r="327" spans="1:74" s="108" customFormat="1" ht="15.75">
      <c r="A327" s="119"/>
      <c r="B327" s="120"/>
      <c r="C327" s="111"/>
      <c r="D327" s="111"/>
      <c r="E327" s="121"/>
      <c r="F327" s="121"/>
      <c r="G327" s="113"/>
      <c r="H327" s="199" t="str">
        <f t="shared" si="8"/>
        <v/>
      </c>
      <c r="I327" s="200" t="str">
        <f>IF(E327="","",IF(AND(BV327&lt;=66),VLOOKUP(H327,'LetterID Look Up'!$A$13:$B$20,2,TRUE),IF(AND(BV327&gt;=67,BV327&lt;=72),VLOOKUP(H327,'LetterID Look Up'!$E$13:$F$19,2,TRUE),IF(AND(BV327&gt;=73,BV327&lt;=78),VLOOKUP(H327,'LetterID Look Up'!$I$13:$J$19,2,TRUE),IF(AND(BV327&gt;=79),VLOOKUP(H327,'LetterID Look Up'!$M$13:$N$17,2,TRUE),"")))))</f>
        <v/>
      </c>
      <c r="J327" s="122"/>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95"/>
      <c r="AH327" s="112"/>
      <c r="AI327" s="196"/>
      <c r="AJ327" s="197"/>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96"/>
      <c r="BV327" s="222" t="str">
        <f t="shared" si="9"/>
        <v/>
      </c>
    </row>
    <row r="328" spans="1:74" s="108" customFormat="1" ht="15.75">
      <c r="A328" s="119"/>
      <c r="B328" s="120"/>
      <c r="C328" s="111"/>
      <c r="D328" s="111"/>
      <c r="E328" s="121"/>
      <c r="F328" s="121"/>
      <c r="G328" s="113"/>
      <c r="H328" s="199" t="str">
        <f t="shared" ref="H328:H391" si="10">IF(E328="","",COUNTIF(J328:BK328,"y"))</f>
        <v/>
      </c>
      <c r="I328" s="200" t="str">
        <f>IF(E328="","",IF(AND(BV328&lt;=66),VLOOKUP(H328,'LetterID Look Up'!$A$13:$B$20,2,TRUE),IF(AND(BV328&gt;=67,BV328&lt;=72),VLOOKUP(H328,'LetterID Look Up'!$E$13:$F$19,2,TRUE),IF(AND(BV328&gt;=73,BV328&lt;=78),VLOOKUP(H328,'LetterID Look Up'!$I$13:$J$19,2,TRUE),IF(AND(BV328&gt;=79),VLOOKUP(H328,'LetterID Look Up'!$M$13:$N$17,2,TRUE),"")))))</f>
        <v/>
      </c>
      <c r="J328" s="122"/>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95"/>
      <c r="AH328" s="112"/>
      <c r="AI328" s="196"/>
      <c r="AJ328" s="197"/>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96"/>
      <c r="BV328" s="222" t="str">
        <f t="shared" ref="BV328:BV391" si="11">IF(E328="","",DATEDIF(B328,A328,"m"))</f>
        <v/>
      </c>
    </row>
    <row r="329" spans="1:74" s="108" customFormat="1" ht="15.75">
      <c r="A329" s="119"/>
      <c r="B329" s="120"/>
      <c r="C329" s="111"/>
      <c r="D329" s="111"/>
      <c r="E329" s="121"/>
      <c r="F329" s="121"/>
      <c r="G329" s="113"/>
      <c r="H329" s="199" t="str">
        <f t="shared" si="10"/>
        <v/>
      </c>
      <c r="I329" s="200" t="str">
        <f>IF(E329="","",IF(AND(BV329&lt;=66),VLOOKUP(H329,'LetterID Look Up'!$A$13:$B$20,2,TRUE),IF(AND(BV329&gt;=67,BV329&lt;=72),VLOOKUP(H329,'LetterID Look Up'!$E$13:$F$19,2,TRUE),IF(AND(BV329&gt;=73,BV329&lt;=78),VLOOKUP(H329,'LetterID Look Up'!$I$13:$J$19,2,TRUE),IF(AND(BV329&gt;=79),VLOOKUP(H329,'LetterID Look Up'!$M$13:$N$17,2,TRUE),"")))))</f>
        <v/>
      </c>
      <c r="J329" s="122"/>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95"/>
      <c r="AH329" s="112"/>
      <c r="AI329" s="196"/>
      <c r="AJ329" s="197"/>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96"/>
      <c r="BV329" s="222" t="str">
        <f t="shared" si="11"/>
        <v/>
      </c>
    </row>
    <row r="330" spans="1:74" s="108" customFormat="1" ht="15.75">
      <c r="A330" s="119"/>
      <c r="B330" s="120"/>
      <c r="C330" s="111"/>
      <c r="D330" s="111"/>
      <c r="E330" s="121"/>
      <c r="F330" s="121"/>
      <c r="G330" s="113"/>
      <c r="H330" s="199" t="str">
        <f t="shared" si="10"/>
        <v/>
      </c>
      <c r="I330" s="200" t="str">
        <f>IF(E330="","",IF(AND(BV330&lt;=66),VLOOKUP(H330,'LetterID Look Up'!$A$13:$B$20,2,TRUE),IF(AND(BV330&gt;=67,BV330&lt;=72),VLOOKUP(H330,'LetterID Look Up'!$E$13:$F$19,2,TRUE),IF(AND(BV330&gt;=73,BV330&lt;=78),VLOOKUP(H330,'LetterID Look Up'!$I$13:$J$19,2,TRUE),IF(AND(BV330&gt;=79),VLOOKUP(H330,'LetterID Look Up'!$M$13:$N$17,2,TRUE),"")))))</f>
        <v/>
      </c>
      <c r="J330" s="122"/>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95"/>
      <c r="AH330" s="112"/>
      <c r="AI330" s="196"/>
      <c r="AJ330" s="197"/>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96"/>
      <c r="BV330" s="222" t="str">
        <f t="shared" si="11"/>
        <v/>
      </c>
    </row>
    <row r="331" spans="1:74" s="108" customFormat="1" ht="15.75">
      <c r="A331" s="119"/>
      <c r="B331" s="120"/>
      <c r="C331" s="111"/>
      <c r="D331" s="111"/>
      <c r="E331" s="121"/>
      <c r="F331" s="121"/>
      <c r="G331" s="113"/>
      <c r="H331" s="199" t="str">
        <f t="shared" si="10"/>
        <v/>
      </c>
      <c r="I331" s="200" t="str">
        <f>IF(E331="","",IF(AND(BV331&lt;=66),VLOOKUP(H331,'LetterID Look Up'!$A$13:$B$20,2,TRUE),IF(AND(BV331&gt;=67,BV331&lt;=72),VLOOKUP(H331,'LetterID Look Up'!$E$13:$F$19,2,TRUE),IF(AND(BV331&gt;=73,BV331&lt;=78),VLOOKUP(H331,'LetterID Look Up'!$I$13:$J$19,2,TRUE),IF(AND(BV331&gt;=79),VLOOKUP(H331,'LetterID Look Up'!$M$13:$N$17,2,TRUE),"")))))</f>
        <v/>
      </c>
      <c r="J331" s="122"/>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95"/>
      <c r="AH331" s="112"/>
      <c r="AI331" s="196"/>
      <c r="AJ331" s="197"/>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96"/>
      <c r="BV331" s="222" t="str">
        <f t="shared" si="11"/>
        <v/>
      </c>
    </row>
    <row r="332" spans="1:74" s="108" customFormat="1" ht="15.75">
      <c r="A332" s="119"/>
      <c r="B332" s="120"/>
      <c r="C332" s="111"/>
      <c r="D332" s="111"/>
      <c r="E332" s="121"/>
      <c r="F332" s="121"/>
      <c r="G332" s="113"/>
      <c r="H332" s="199" t="str">
        <f t="shared" si="10"/>
        <v/>
      </c>
      <c r="I332" s="200" t="str">
        <f>IF(E332="","",IF(AND(BV332&lt;=66),VLOOKUP(H332,'LetterID Look Up'!$A$13:$B$20,2,TRUE),IF(AND(BV332&gt;=67,BV332&lt;=72),VLOOKUP(H332,'LetterID Look Up'!$E$13:$F$19,2,TRUE),IF(AND(BV332&gt;=73,BV332&lt;=78),VLOOKUP(H332,'LetterID Look Up'!$I$13:$J$19,2,TRUE),IF(AND(BV332&gt;=79),VLOOKUP(H332,'LetterID Look Up'!$M$13:$N$17,2,TRUE),"")))))</f>
        <v/>
      </c>
      <c r="J332" s="122"/>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95"/>
      <c r="AH332" s="112"/>
      <c r="AI332" s="196"/>
      <c r="AJ332" s="197"/>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96"/>
      <c r="BV332" s="222" t="str">
        <f t="shared" si="11"/>
        <v/>
      </c>
    </row>
    <row r="333" spans="1:74" s="108" customFormat="1" ht="15.75">
      <c r="A333" s="119"/>
      <c r="B333" s="120"/>
      <c r="C333" s="111"/>
      <c r="D333" s="111"/>
      <c r="E333" s="121"/>
      <c r="F333" s="121"/>
      <c r="G333" s="113"/>
      <c r="H333" s="199" t="str">
        <f t="shared" si="10"/>
        <v/>
      </c>
      <c r="I333" s="200" t="str">
        <f>IF(E333="","",IF(AND(BV333&lt;=66),VLOOKUP(H333,'LetterID Look Up'!$A$13:$B$20,2,TRUE),IF(AND(BV333&gt;=67,BV333&lt;=72),VLOOKUP(H333,'LetterID Look Up'!$E$13:$F$19,2,TRUE),IF(AND(BV333&gt;=73,BV333&lt;=78),VLOOKUP(H333,'LetterID Look Up'!$I$13:$J$19,2,TRUE),IF(AND(BV333&gt;=79),VLOOKUP(H333,'LetterID Look Up'!$M$13:$N$17,2,TRUE),"")))))</f>
        <v/>
      </c>
      <c r="J333" s="122"/>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95"/>
      <c r="AH333" s="112"/>
      <c r="AI333" s="196"/>
      <c r="AJ333" s="197"/>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96"/>
      <c r="BV333" s="222" t="str">
        <f t="shared" si="11"/>
        <v/>
      </c>
    </row>
    <row r="334" spans="1:74" s="108" customFormat="1" ht="15.75">
      <c r="A334" s="119"/>
      <c r="B334" s="120"/>
      <c r="C334" s="111"/>
      <c r="D334" s="111"/>
      <c r="E334" s="121"/>
      <c r="F334" s="121"/>
      <c r="G334" s="113"/>
      <c r="H334" s="199" t="str">
        <f t="shared" si="10"/>
        <v/>
      </c>
      <c r="I334" s="200" t="str">
        <f>IF(E334="","",IF(AND(BV334&lt;=66),VLOOKUP(H334,'LetterID Look Up'!$A$13:$B$20,2,TRUE),IF(AND(BV334&gt;=67,BV334&lt;=72),VLOOKUP(H334,'LetterID Look Up'!$E$13:$F$19,2,TRUE),IF(AND(BV334&gt;=73,BV334&lt;=78),VLOOKUP(H334,'LetterID Look Up'!$I$13:$J$19,2,TRUE),IF(AND(BV334&gt;=79),VLOOKUP(H334,'LetterID Look Up'!$M$13:$N$17,2,TRUE),"")))))</f>
        <v/>
      </c>
      <c r="J334" s="122"/>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95"/>
      <c r="AH334" s="112"/>
      <c r="AI334" s="196"/>
      <c r="AJ334" s="197"/>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96"/>
      <c r="BV334" s="222" t="str">
        <f t="shared" si="11"/>
        <v/>
      </c>
    </row>
    <row r="335" spans="1:74" s="108" customFormat="1" ht="15.75">
      <c r="A335" s="119"/>
      <c r="B335" s="120"/>
      <c r="C335" s="111"/>
      <c r="D335" s="111"/>
      <c r="E335" s="121"/>
      <c r="F335" s="121"/>
      <c r="G335" s="113"/>
      <c r="H335" s="199" t="str">
        <f t="shared" si="10"/>
        <v/>
      </c>
      <c r="I335" s="200" t="str">
        <f>IF(E335="","",IF(AND(BV335&lt;=66),VLOOKUP(H335,'LetterID Look Up'!$A$13:$B$20,2,TRUE),IF(AND(BV335&gt;=67,BV335&lt;=72),VLOOKUP(H335,'LetterID Look Up'!$E$13:$F$19,2,TRUE),IF(AND(BV335&gt;=73,BV335&lt;=78),VLOOKUP(H335,'LetterID Look Up'!$I$13:$J$19,2,TRUE),IF(AND(BV335&gt;=79),VLOOKUP(H335,'LetterID Look Up'!$M$13:$N$17,2,TRUE),"")))))</f>
        <v/>
      </c>
      <c r="J335" s="122"/>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95"/>
      <c r="AH335" s="112"/>
      <c r="AI335" s="196"/>
      <c r="AJ335" s="197"/>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96"/>
      <c r="BV335" s="222" t="str">
        <f t="shared" si="11"/>
        <v/>
      </c>
    </row>
    <row r="336" spans="1:74" s="108" customFormat="1" ht="15.75">
      <c r="A336" s="119"/>
      <c r="B336" s="120"/>
      <c r="C336" s="111"/>
      <c r="D336" s="111"/>
      <c r="E336" s="121"/>
      <c r="F336" s="121"/>
      <c r="G336" s="113"/>
      <c r="H336" s="199" t="str">
        <f t="shared" si="10"/>
        <v/>
      </c>
      <c r="I336" s="200" t="str">
        <f>IF(E336="","",IF(AND(BV336&lt;=66),VLOOKUP(H336,'LetterID Look Up'!$A$13:$B$20,2,TRUE),IF(AND(BV336&gt;=67,BV336&lt;=72),VLOOKUP(H336,'LetterID Look Up'!$E$13:$F$19,2,TRUE),IF(AND(BV336&gt;=73,BV336&lt;=78),VLOOKUP(H336,'LetterID Look Up'!$I$13:$J$19,2,TRUE),IF(AND(BV336&gt;=79),VLOOKUP(H336,'LetterID Look Up'!$M$13:$N$17,2,TRUE),"")))))</f>
        <v/>
      </c>
      <c r="J336" s="122"/>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95"/>
      <c r="AH336" s="112"/>
      <c r="AI336" s="196"/>
      <c r="AJ336" s="197"/>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96"/>
      <c r="BV336" s="222" t="str">
        <f t="shared" si="11"/>
        <v/>
      </c>
    </row>
    <row r="337" spans="1:74" s="108" customFormat="1" ht="15.75">
      <c r="A337" s="119"/>
      <c r="B337" s="120"/>
      <c r="C337" s="111"/>
      <c r="D337" s="111"/>
      <c r="E337" s="121"/>
      <c r="F337" s="121"/>
      <c r="G337" s="113"/>
      <c r="H337" s="199" t="str">
        <f t="shared" si="10"/>
        <v/>
      </c>
      <c r="I337" s="200" t="str">
        <f>IF(E337="","",IF(AND(BV337&lt;=66),VLOOKUP(H337,'LetterID Look Up'!$A$13:$B$20,2,TRUE),IF(AND(BV337&gt;=67,BV337&lt;=72),VLOOKUP(H337,'LetterID Look Up'!$E$13:$F$19,2,TRUE),IF(AND(BV337&gt;=73,BV337&lt;=78),VLOOKUP(H337,'LetterID Look Up'!$I$13:$J$19,2,TRUE),IF(AND(BV337&gt;=79),VLOOKUP(H337,'LetterID Look Up'!$M$13:$N$17,2,TRUE),"")))))</f>
        <v/>
      </c>
      <c r="J337" s="122"/>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95"/>
      <c r="AH337" s="112"/>
      <c r="AI337" s="196"/>
      <c r="AJ337" s="197"/>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96"/>
      <c r="BV337" s="222" t="str">
        <f t="shared" si="11"/>
        <v/>
      </c>
    </row>
    <row r="338" spans="1:74" s="108" customFormat="1" ht="15.75">
      <c r="A338" s="119"/>
      <c r="B338" s="120"/>
      <c r="C338" s="111"/>
      <c r="D338" s="111"/>
      <c r="E338" s="121"/>
      <c r="F338" s="121"/>
      <c r="G338" s="113"/>
      <c r="H338" s="199" t="str">
        <f t="shared" si="10"/>
        <v/>
      </c>
      <c r="I338" s="200" t="str">
        <f>IF(E338="","",IF(AND(BV338&lt;=66),VLOOKUP(H338,'LetterID Look Up'!$A$13:$B$20,2,TRUE),IF(AND(BV338&gt;=67,BV338&lt;=72),VLOOKUP(H338,'LetterID Look Up'!$E$13:$F$19,2,TRUE),IF(AND(BV338&gt;=73,BV338&lt;=78),VLOOKUP(H338,'LetterID Look Up'!$I$13:$J$19,2,TRUE),IF(AND(BV338&gt;=79),VLOOKUP(H338,'LetterID Look Up'!$M$13:$N$17,2,TRUE),"")))))</f>
        <v/>
      </c>
      <c r="J338" s="122"/>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95"/>
      <c r="AH338" s="112"/>
      <c r="AI338" s="196"/>
      <c r="AJ338" s="197"/>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96"/>
      <c r="BV338" s="222" t="str">
        <f t="shared" si="11"/>
        <v/>
      </c>
    </row>
    <row r="339" spans="1:74" s="108" customFormat="1" ht="15.75">
      <c r="A339" s="119"/>
      <c r="B339" s="120"/>
      <c r="C339" s="111"/>
      <c r="D339" s="111"/>
      <c r="E339" s="121"/>
      <c r="F339" s="121"/>
      <c r="G339" s="113"/>
      <c r="H339" s="199" t="str">
        <f t="shared" si="10"/>
        <v/>
      </c>
      <c r="I339" s="200" t="str">
        <f>IF(E339="","",IF(AND(BV339&lt;=66),VLOOKUP(H339,'LetterID Look Up'!$A$13:$B$20,2,TRUE),IF(AND(BV339&gt;=67,BV339&lt;=72),VLOOKUP(H339,'LetterID Look Up'!$E$13:$F$19,2,TRUE),IF(AND(BV339&gt;=73,BV339&lt;=78),VLOOKUP(H339,'LetterID Look Up'!$I$13:$J$19,2,TRUE),IF(AND(BV339&gt;=79),VLOOKUP(H339,'LetterID Look Up'!$M$13:$N$17,2,TRUE),"")))))</f>
        <v/>
      </c>
      <c r="J339" s="122"/>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95"/>
      <c r="AH339" s="112"/>
      <c r="AI339" s="196"/>
      <c r="AJ339" s="197"/>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96"/>
      <c r="BV339" s="222" t="str">
        <f t="shared" si="11"/>
        <v/>
      </c>
    </row>
    <row r="340" spans="1:74" s="108" customFormat="1" ht="15.75">
      <c r="A340" s="119"/>
      <c r="B340" s="120"/>
      <c r="C340" s="111"/>
      <c r="D340" s="111"/>
      <c r="E340" s="121"/>
      <c r="F340" s="121"/>
      <c r="G340" s="113"/>
      <c r="H340" s="199" t="str">
        <f t="shared" si="10"/>
        <v/>
      </c>
      <c r="I340" s="200" t="str">
        <f>IF(E340="","",IF(AND(BV340&lt;=66),VLOOKUP(H340,'LetterID Look Up'!$A$13:$B$20,2,TRUE),IF(AND(BV340&gt;=67,BV340&lt;=72),VLOOKUP(H340,'LetterID Look Up'!$E$13:$F$19,2,TRUE),IF(AND(BV340&gt;=73,BV340&lt;=78),VLOOKUP(H340,'LetterID Look Up'!$I$13:$J$19,2,TRUE),IF(AND(BV340&gt;=79),VLOOKUP(H340,'LetterID Look Up'!$M$13:$N$17,2,TRUE),"")))))</f>
        <v/>
      </c>
      <c r="J340" s="122"/>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95"/>
      <c r="AH340" s="112"/>
      <c r="AI340" s="196"/>
      <c r="AJ340" s="197"/>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96"/>
      <c r="BV340" s="222" t="str">
        <f t="shared" si="11"/>
        <v/>
      </c>
    </row>
    <row r="341" spans="1:74" s="108" customFormat="1" ht="15.75">
      <c r="A341" s="119"/>
      <c r="B341" s="120"/>
      <c r="C341" s="111"/>
      <c r="D341" s="111"/>
      <c r="E341" s="121"/>
      <c r="F341" s="121"/>
      <c r="G341" s="113"/>
      <c r="H341" s="199" t="str">
        <f t="shared" si="10"/>
        <v/>
      </c>
      <c r="I341" s="200" t="str">
        <f>IF(E341="","",IF(AND(BV341&lt;=66),VLOOKUP(H341,'LetterID Look Up'!$A$13:$B$20,2,TRUE),IF(AND(BV341&gt;=67,BV341&lt;=72),VLOOKUP(H341,'LetterID Look Up'!$E$13:$F$19,2,TRUE),IF(AND(BV341&gt;=73,BV341&lt;=78),VLOOKUP(H341,'LetterID Look Up'!$I$13:$J$19,2,TRUE),IF(AND(BV341&gt;=79),VLOOKUP(H341,'LetterID Look Up'!$M$13:$N$17,2,TRUE),"")))))</f>
        <v/>
      </c>
      <c r="J341" s="122"/>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95"/>
      <c r="AH341" s="112"/>
      <c r="AI341" s="196"/>
      <c r="AJ341" s="197"/>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96"/>
      <c r="BV341" s="222" t="str">
        <f t="shared" si="11"/>
        <v/>
      </c>
    </row>
    <row r="342" spans="1:74" s="108" customFormat="1" ht="15.75">
      <c r="A342" s="119"/>
      <c r="B342" s="120"/>
      <c r="C342" s="111"/>
      <c r="D342" s="111"/>
      <c r="E342" s="121"/>
      <c r="F342" s="121"/>
      <c r="G342" s="113"/>
      <c r="H342" s="199" t="str">
        <f t="shared" si="10"/>
        <v/>
      </c>
      <c r="I342" s="200" t="str">
        <f>IF(E342="","",IF(AND(BV342&lt;=66),VLOOKUP(H342,'LetterID Look Up'!$A$13:$B$20,2,TRUE),IF(AND(BV342&gt;=67,BV342&lt;=72),VLOOKUP(H342,'LetterID Look Up'!$E$13:$F$19,2,TRUE),IF(AND(BV342&gt;=73,BV342&lt;=78),VLOOKUP(H342,'LetterID Look Up'!$I$13:$J$19,2,TRUE),IF(AND(BV342&gt;=79),VLOOKUP(H342,'LetterID Look Up'!$M$13:$N$17,2,TRUE),"")))))</f>
        <v/>
      </c>
      <c r="J342" s="122"/>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95"/>
      <c r="AH342" s="112"/>
      <c r="AI342" s="196"/>
      <c r="AJ342" s="197"/>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96"/>
      <c r="BV342" s="222" t="str">
        <f t="shared" si="11"/>
        <v/>
      </c>
    </row>
    <row r="343" spans="1:74" s="108" customFormat="1" ht="15.75">
      <c r="A343" s="119"/>
      <c r="B343" s="120"/>
      <c r="C343" s="111"/>
      <c r="D343" s="111"/>
      <c r="E343" s="121"/>
      <c r="F343" s="121"/>
      <c r="G343" s="113"/>
      <c r="H343" s="199" t="str">
        <f t="shared" si="10"/>
        <v/>
      </c>
      <c r="I343" s="200" t="str">
        <f>IF(E343="","",IF(AND(BV343&lt;=66),VLOOKUP(H343,'LetterID Look Up'!$A$13:$B$20,2,TRUE),IF(AND(BV343&gt;=67,BV343&lt;=72),VLOOKUP(H343,'LetterID Look Up'!$E$13:$F$19,2,TRUE),IF(AND(BV343&gt;=73,BV343&lt;=78),VLOOKUP(H343,'LetterID Look Up'!$I$13:$J$19,2,TRUE),IF(AND(BV343&gt;=79),VLOOKUP(H343,'LetterID Look Up'!$M$13:$N$17,2,TRUE),"")))))</f>
        <v/>
      </c>
      <c r="J343" s="122"/>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95"/>
      <c r="AH343" s="112"/>
      <c r="AI343" s="196"/>
      <c r="AJ343" s="197"/>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96"/>
      <c r="BV343" s="222" t="str">
        <f t="shared" si="11"/>
        <v/>
      </c>
    </row>
    <row r="344" spans="1:74" s="108" customFormat="1" ht="15.75">
      <c r="A344" s="119"/>
      <c r="B344" s="120"/>
      <c r="C344" s="111"/>
      <c r="D344" s="111"/>
      <c r="E344" s="121"/>
      <c r="F344" s="121"/>
      <c r="G344" s="113"/>
      <c r="H344" s="199" t="str">
        <f t="shared" si="10"/>
        <v/>
      </c>
      <c r="I344" s="200" t="str">
        <f>IF(E344="","",IF(AND(BV344&lt;=66),VLOOKUP(H344,'LetterID Look Up'!$A$13:$B$20,2,TRUE),IF(AND(BV344&gt;=67,BV344&lt;=72),VLOOKUP(H344,'LetterID Look Up'!$E$13:$F$19,2,TRUE),IF(AND(BV344&gt;=73,BV344&lt;=78),VLOOKUP(H344,'LetterID Look Up'!$I$13:$J$19,2,TRUE),IF(AND(BV344&gt;=79),VLOOKUP(H344,'LetterID Look Up'!$M$13:$N$17,2,TRUE),"")))))</f>
        <v/>
      </c>
      <c r="J344" s="122"/>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95"/>
      <c r="AH344" s="112"/>
      <c r="AI344" s="196"/>
      <c r="AJ344" s="197"/>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96"/>
      <c r="BV344" s="222" t="str">
        <f t="shared" si="11"/>
        <v/>
      </c>
    </row>
    <row r="345" spans="1:74" s="108" customFormat="1" ht="15.75">
      <c r="A345" s="119"/>
      <c r="B345" s="120"/>
      <c r="C345" s="111"/>
      <c r="D345" s="111"/>
      <c r="E345" s="121"/>
      <c r="F345" s="121"/>
      <c r="G345" s="113"/>
      <c r="H345" s="199" t="str">
        <f t="shared" si="10"/>
        <v/>
      </c>
      <c r="I345" s="200" t="str">
        <f>IF(E345="","",IF(AND(BV345&lt;=66),VLOOKUP(H345,'LetterID Look Up'!$A$13:$B$20,2,TRUE),IF(AND(BV345&gt;=67,BV345&lt;=72),VLOOKUP(H345,'LetterID Look Up'!$E$13:$F$19,2,TRUE),IF(AND(BV345&gt;=73,BV345&lt;=78),VLOOKUP(H345,'LetterID Look Up'!$I$13:$J$19,2,TRUE),IF(AND(BV345&gt;=79),VLOOKUP(H345,'LetterID Look Up'!$M$13:$N$17,2,TRUE),"")))))</f>
        <v/>
      </c>
      <c r="J345" s="122"/>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95"/>
      <c r="AH345" s="112"/>
      <c r="AI345" s="196"/>
      <c r="AJ345" s="197"/>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96"/>
      <c r="BV345" s="222" t="str">
        <f t="shared" si="11"/>
        <v/>
      </c>
    </row>
    <row r="346" spans="1:74" s="108" customFormat="1" ht="15.75">
      <c r="A346" s="119"/>
      <c r="B346" s="120"/>
      <c r="C346" s="111"/>
      <c r="D346" s="111"/>
      <c r="E346" s="121"/>
      <c r="F346" s="121"/>
      <c r="G346" s="113"/>
      <c r="H346" s="199" t="str">
        <f t="shared" si="10"/>
        <v/>
      </c>
      <c r="I346" s="200" t="str">
        <f>IF(E346="","",IF(AND(BV346&lt;=66),VLOOKUP(H346,'LetterID Look Up'!$A$13:$B$20,2,TRUE),IF(AND(BV346&gt;=67,BV346&lt;=72),VLOOKUP(H346,'LetterID Look Up'!$E$13:$F$19,2,TRUE),IF(AND(BV346&gt;=73,BV346&lt;=78),VLOOKUP(H346,'LetterID Look Up'!$I$13:$J$19,2,TRUE),IF(AND(BV346&gt;=79),VLOOKUP(H346,'LetterID Look Up'!$M$13:$N$17,2,TRUE),"")))))</f>
        <v/>
      </c>
      <c r="J346" s="122"/>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95"/>
      <c r="AH346" s="112"/>
      <c r="AI346" s="196"/>
      <c r="AJ346" s="197"/>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96"/>
      <c r="BV346" s="222" t="str">
        <f t="shared" si="11"/>
        <v/>
      </c>
    </row>
    <row r="347" spans="1:74" s="108" customFormat="1" ht="15.75">
      <c r="A347" s="119"/>
      <c r="B347" s="120"/>
      <c r="C347" s="111"/>
      <c r="D347" s="111"/>
      <c r="E347" s="121"/>
      <c r="F347" s="121"/>
      <c r="G347" s="113"/>
      <c r="H347" s="199" t="str">
        <f t="shared" si="10"/>
        <v/>
      </c>
      <c r="I347" s="200" t="str">
        <f>IF(E347="","",IF(AND(BV347&lt;=66),VLOOKUP(H347,'LetterID Look Up'!$A$13:$B$20,2,TRUE),IF(AND(BV347&gt;=67,BV347&lt;=72),VLOOKUP(H347,'LetterID Look Up'!$E$13:$F$19,2,TRUE),IF(AND(BV347&gt;=73,BV347&lt;=78),VLOOKUP(H347,'LetterID Look Up'!$I$13:$J$19,2,TRUE),IF(AND(BV347&gt;=79),VLOOKUP(H347,'LetterID Look Up'!$M$13:$N$17,2,TRUE),"")))))</f>
        <v/>
      </c>
      <c r="J347" s="122"/>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95"/>
      <c r="AH347" s="112"/>
      <c r="AI347" s="196"/>
      <c r="AJ347" s="197"/>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96"/>
      <c r="BV347" s="222" t="str">
        <f t="shared" si="11"/>
        <v/>
      </c>
    </row>
    <row r="348" spans="1:74" s="108" customFormat="1" ht="15.75">
      <c r="A348" s="119"/>
      <c r="B348" s="120"/>
      <c r="C348" s="111"/>
      <c r="D348" s="111"/>
      <c r="E348" s="121"/>
      <c r="F348" s="121"/>
      <c r="G348" s="113"/>
      <c r="H348" s="199" t="str">
        <f t="shared" si="10"/>
        <v/>
      </c>
      <c r="I348" s="200" t="str">
        <f>IF(E348="","",IF(AND(BV348&lt;=66),VLOOKUP(H348,'LetterID Look Up'!$A$13:$B$20,2,TRUE),IF(AND(BV348&gt;=67,BV348&lt;=72),VLOOKUP(H348,'LetterID Look Up'!$E$13:$F$19,2,TRUE),IF(AND(BV348&gt;=73,BV348&lt;=78),VLOOKUP(H348,'LetterID Look Up'!$I$13:$J$19,2,TRUE),IF(AND(BV348&gt;=79),VLOOKUP(H348,'LetterID Look Up'!$M$13:$N$17,2,TRUE),"")))))</f>
        <v/>
      </c>
      <c r="J348" s="122"/>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95"/>
      <c r="AH348" s="112"/>
      <c r="AI348" s="196"/>
      <c r="AJ348" s="197"/>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96"/>
      <c r="BV348" s="222" t="str">
        <f t="shared" si="11"/>
        <v/>
      </c>
    </row>
    <row r="349" spans="1:74" s="108" customFormat="1" ht="15.75">
      <c r="A349" s="119"/>
      <c r="B349" s="120"/>
      <c r="C349" s="111"/>
      <c r="D349" s="111"/>
      <c r="E349" s="121"/>
      <c r="F349" s="121"/>
      <c r="G349" s="113"/>
      <c r="H349" s="199" t="str">
        <f t="shared" si="10"/>
        <v/>
      </c>
      <c r="I349" s="200" t="str">
        <f>IF(E349="","",IF(AND(BV349&lt;=66),VLOOKUP(H349,'LetterID Look Up'!$A$13:$B$20,2,TRUE),IF(AND(BV349&gt;=67,BV349&lt;=72),VLOOKUP(H349,'LetterID Look Up'!$E$13:$F$19,2,TRUE),IF(AND(BV349&gt;=73,BV349&lt;=78),VLOOKUP(H349,'LetterID Look Up'!$I$13:$J$19,2,TRUE),IF(AND(BV349&gt;=79),VLOOKUP(H349,'LetterID Look Up'!$M$13:$N$17,2,TRUE),"")))))</f>
        <v/>
      </c>
      <c r="J349" s="122"/>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95"/>
      <c r="AH349" s="112"/>
      <c r="AI349" s="196"/>
      <c r="AJ349" s="197"/>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96"/>
      <c r="BV349" s="222" t="str">
        <f t="shared" si="11"/>
        <v/>
      </c>
    </row>
    <row r="350" spans="1:74" s="108" customFormat="1" ht="15.75">
      <c r="A350" s="119"/>
      <c r="B350" s="120"/>
      <c r="C350" s="111"/>
      <c r="D350" s="111"/>
      <c r="E350" s="121"/>
      <c r="F350" s="121"/>
      <c r="G350" s="113"/>
      <c r="H350" s="199" t="str">
        <f t="shared" si="10"/>
        <v/>
      </c>
      <c r="I350" s="200" t="str">
        <f>IF(E350="","",IF(AND(BV350&lt;=66),VLOOKUP(H350,'LetterID Look Up'!$A$13:$B$20,2,TRUE),IF(AND(BV350&gt;=67,BV350&lt;=72),VLOOKUP(H350,'LetterID Look Up'!$E$13:$F$19,2,TRUE),IF(AND(BV350&gt;=73,BV350&lt;=78),VLOOKUP(H350,'LetterID Look Up'!$I$13:$J$19,2,TRUE),IF(AND(BV350&gt;=79),VLOOKUP(H350,'LetterID Look Up'!$M$13:$N$17,2,TRUE),"")))))</f>
        <v/>
      </c>
      <c r="J350" s="122"/>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95"/>
      <c r="AH350" s="112"/>
      <c r="AI350" s="196"/>
      <c r="AJ350" s="197"/>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96"/>
      <c r="BV350" s="222" t="str">
        <f t="shared" si="11"/>
        <v/>
      </c>
    </row>
    <row r="351" spans="1:74" s="108" customFormat="1" ht="15.75">
      <c r="A351" s="119"/>
      <c r="B351" s="120"/>
      <c r="C351" s="111"/>
      <c r="D351" s="111"/>
      <c r="E351" s="121"/>
      <c r="F351" s="121"/>
      <c r="G351" s="113"/>
      <c r="H351" s="199" t="str">
        <f t="shared" si="10"/>
        <v/>
      </c>
      <c r="I351" s="200" t="str">
        <f>IF(E351="","",IF(AND(BV351&lt;=66),VLOOKUP(H351,'LetterID Look Up'!$A$13:$B$20,2,TRUE),IF(AND(BV351&gt;=67,BV351&lt;=72),VLOOKUP(H351,'LetterID Look Up'!$E$13:$F$19,2,TRUE),IF(AND(BV351&gt;=73,BV351&lt;=78),VLOOKUP(H351,'LetterID Look Up'!$I$13:$J$19,2,TRUE),IF(AND(BV351&gt;=79),VLOOKUP(H351,'LetterID Look Up'!$M$13:$N$17,2,TRUE),"")))))</f>
        <v/>
      </c>
      <c r="J351" s="122"/>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95"/>
      <c r="AH351" s="112"/>
      <c r="AI351" s="196"/>
      <c r="AJ351" s="197"/>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96"/>
      <c r="BV351" s="222" t="str">
        <f t="shared" si="11"/>
        <v/>
      </c>
    </row>
    <row r="352" spans="1:74" s="108" customFormat="1" ht="15.75">
      <c r="A352" s="119"/>
      <c r="B352" s="120"/>
      <c r="C352" s="111"/>
      <c r="D352" s="111"/>
      <c r="E352" s="121"/>
      <c r="F352" s="121"/>
      <c r="G352" s="113"/>
      <c r="H352" s="199" t="str">
        <f t="shared" si="10"/>
        <v/>
      </c>
      <c r="I352" s="200" t="str">
        <f>IF(E352="","",IF(AND(BV352&lt;=66),VLOOKUP(H352,'LetterID Look Up'!$A$13:$B$20,2,TRUE),IF(AND(BV352&gt;=67,BV352&lt;=72),VLOOKUP(H352,'LetterID Look Up'!$E$13:$F$19,2,TRUE),IF(AND(BV352&gt;=73,BV352&lt;=78),VLOOKUP(H352,'LetterID Look Up'!$I$13:$J$19,2,TRUE),IF(AND(BV352&gt;=79),VLOOKUP(H352,'LetterID Look Up'!$M$13:$N$17,2,TRUE),"")))))</f>
        <v/>
      </c>
      <c r="J352" s="122"/>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95"/>
      <c r="AH352" s="112"/>
      <c r="AI352" s="196"/>
      <c r="AJ352" s="197"/>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96"/>
      <c r="BV352" s="222" t="str">
        <f t="shared" si="11"/>
        <v/>
      </c>
    </row>
    <row r="353" spans="1:74" s="108" customFormat="1" ht="15.75">
      <c r="A353" s="119"/>
      <c r="B353" s="120"/>
      <c r="C353" s="111"/>
      <c r="D353" s="111"/>
      <c r="E353" s="121"/>
      <c r="F353" s="121"/>
      <c r="G353" s="113"/>
      <c r="H353" s="199" t="str">
        <f t="shared" si="10"/>
        <v/>
      </c>
      <c r="I353" s="200" t="str">
        <f>IF(E353="","",IF(AND(BV353&lt;=66),VLOOKUP(H353,'LetterID Look Up'!$A$13:$B$20,2,TRUE),IF(AND(BV353&gt;=67,BV353&lt;=72),VLOOKUP(H353,'LetterID Look Up'!$E$13:$F$19,2,TRUE),IF(AND(BV353&gt;=73,BV353&lt;=78),VLOOKUP(H353,'LetterID Look Up'!$I$13:$J$19,2,TRUE),IF(AND(BV353&gt;=79),VLOOKUP(H353,'LetterID Look Up'!$M$13:$N$17,2,TRUE),"")))))</f>
        <v/>
      </c>
      <c r="J353" s="122"/>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95"/>
      <c r="AH353" s="112"/>
      <c r="AI353" s="196"/>
      <c r="AJ353" s="197"/>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96"/>
      <c r="BV353" s="222" t="str">
        <f t="shared" si="11"/>
        <v/>
      </c>
    </row>
    <row r="354" spans="1:74" s="108" customFormat="1" ht="15.75">
      <c r="A354" s="119"/>
      <c r="B354" s="120"/>
      <c r="C354" s="111"/>
      <c r="D354" s="111"/>
      <c r="E354" s="121"/>
      <c r="F354" s="121"/>
      <c r="G354" s="113"/>
      <c r="H354" s="199" t="str">
        <f t="shared" si="10"/>
        <v/>
      </c>
      <c r="I354" s="200" t="str">
        <f>IF(E354="","",IF(AND(BV354&lt;=66),VLOOKUP(H354,'LetterID Look Up'!$A$13:$B$20,2,TRUE),IF(AND(BV354&gt;=67,BV354&lt;=72),VLOOKUP(H354,'LetterID Look Up'!$E$13:$F$19,2,TRUE),IF(AND(BV354&gt;=73,BV354&lt;=78),VLOOKUP(H354,'LetterID Look Up'!$I$13:$J$19,2,TRUE),IF(AND(BV354&gt;=79),VLOOKUP(H354,'LetterID Look Up'!$M$13:$N$17,2,TRUE),"")))))</f>
        <v/>
      </c>
      <c r="J354" s="122"/>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95"/>
      <c r="AH354" s="112"/>
      <c r="AI354" s="196"/>
      <c r="AJ354" s="197"/>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96"/>
      <c r="BV354" s="222" t="str">
        <f t="shared" si="11"/>
        <v/>
      </c>
    </row>
    <row r="355" spans="1:74" s="108" customFormat="1" ht="15.75">
      <c r="A355" s="119"/>
      <c r="B355" s="120"/>
      <c r="C355" s="111"/>
      <c r="D355" s="111"/>
      <c r="E355" s="121"/>
      <c r="F355" s="121"/>
      <c r="G355" s="113"/>
      <c r="H355" s="199" t="str">
        <f t="shared" si="10"/>
        <v/>
      </c>
      <c r="I355" s="200" t="str">
        <f>IF(E355="","",IF(AND(BV355&lt;=66),VLOOKUP(H355,'LetterID Look Up'!$A$13:$B$20,2,TRUE),IF(AND(BV355&gt;=67,BV355&lt;=72),VLOOKUP(H355,'LetterID Look Up'!$E$13:$F$19,2,TRUE),IF(AND(BV355&gt;=73,BV355&lt;=78),VLOOKUP(H355,'LetterID Look Up'!$I$13:$J$19,2,TRUE),IF(AND(BV355&gt;=79),VLOOKUP(H355,'LetterID Look Up'!$M$13:$N$17,2,TRUE),"")))))</f>
        <v/>
      </c>
      <c r="J355" s="122"/>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95"/>
      <c r="AH355" s="112"/>
      <c r="AI355" s="196"/>
      <c r="AJ355" s="197"/>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96"/>
      <c r="BV355" s="222" t="str">
        <f t="shared" si="11"/>
        <v/>
      </c>
    </row>
    <row r="356" spans="1:74" s="108" customFormat="1" ht="15.75">
      <c r="A356" s="119"/>
      <c r="B356" s="120"/>
      <c r="C356" s="111"/>
      <c r="D356" s="111"/>
      <c r="E356" s="121"/>
      <c r="F356" s="121"/>
      <c r="G356" s="113"/>
      <c r="H356" s="199" t="str">
        <f t="shared" si="10"/>
        <v/>
      </c>
      <c r="I356" s="200" t="str">
        <f>IF(E356="","",IF(AND(BV356&lt;=66),VLOOKUP(H356,'LetterID Look Up'!$A$13:$B$20,2,TRUE),IF(AND(BV356&gt;=67,BV356&lt;=72),VLOOKUP(H356,'LetterID Look Up'!$E$13:$F$19,2,TRUE),IF(AND(BV356&gt;=73,BV356&lt;=78),VLOOKUP(H356,'LetterID Look Up'!$I$13:$J$19,2,TRUE),IF(AND(BV356&gt;=79),VLOOKUP(H356,'LetterID Look Up'!$M$13:$N$17,2,TRUE),"")))))</f>
        <v/>
      </c>
      <c r="J356" s="122"/>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95"/>
      <c r="AH356" s="112"/>
      <c r="AI356" s="196"/>
      <c r="AJ356" s="197"/>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96"/>
      <c r="BV356" s="222" t="str">
        <f t="shared" si="11"/>
        <v/>
      </c>
    </row>
    <row r="357" spans="1:74" s="108" customFormat="1" ht="15.75">
      <c r="A357" s="119"/>
      <c r="B357" s="120"/>
      <c r="C357" s="111"/>
      <c r="D357" s="111"/>
      <c r="E357" s="121"/>
      <c r="F357" s="121"/>
      <c r="G357" s="113"/>
      <c r="H357" s="199" t="str">
        <f t="shared" si="10"/>
        <v/>
      </c>
      <c r="I357" s="200" t="str">
        <f>IF(E357="","",IF(AND(BV357&lt;=66),VLOOKUP(H357,'LetterID Look Up'!$A$13:$B$20,2,TRUE),IF(AND(BV357&gt;=67,BV357&lt;=72),VLOOKUP(H357,'LetterID Look Up'!$E$13:$F$19,2,TRUE),IF(AND(BV357&gt;=73,BV357&lt;=78),VLOOKUP(H357,'LetterID Look Up'!$I$13:$J$19,2,TRUE),IF(AND(BV357&gt;=79),VLOOKUP(H357,'LetterID Look Up'!$M$13:$N$17,2,TRUE),"")))))</f>
        <v/>
      </c>
      <c r="J357" s="122"/>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95"/>
      <c r="AH357" s="112"/>
      <c r="AI357" s="196"/>
      <c r="AJ357" s="197"/>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96"/>
      <c r="BV357" s="222" t="str">
        <f t="shared" si="11"/>
        <v/>
      </c>
    </row>
    <row r="358" spans="1:74" s="108" customFormat="1" ht="15.75">
      <c r="A358" s="119"/>
      <c r="B358" s="120"/>
      <c r="C358" s="111"/>
      <c r="D358" s="111"/>
      <c r="E358" s="121"/>
      <c r="F358" s="121"/>
      <c r="G358" s="113"/>
      <c r="H358" s="199" t="str">
        <f t="shared" si="10"/>
        <v/>
      </c>
      <c r="I358" s="200" t="str">
        <f>IF(E358="","",IF(AND(BV358&lt;=66),VLOOKUP(H358,'LetterID Look Up'!$A$13:$B$20,2,TRUE),IF(AND(BV358&gt;=67,BV358&lt;=72),VLOOKUP(H358,'LetterID Look Up'!$E$13:$F$19,2,TRUE),IF(AND(BV358&gt;=73,BV358&lt;=78),VLOOKUP(H358,'LetterID Look Up'!$I$13:$J$19,2,TRUE),IF(AND(BV358&gt;=79),VLOOKUP(H358,'LetterID Look Up'!$M$13:$N$17,2,TRUE),"")))))</f>
        <v/>
      </c>
      <c r="J358" s="122"/>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95"/>
      <c r="AH358" s="112"/>
      <c r="AI358" s="196"/>
      <c r="AJ358" s="197"/>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96"/>
      <c r="BV358" s="222" t="str">
        <f t="shared" si="11"/>
        <v/>
      </c>
    </row>
    <row r="359" spans="1:74" s="108" customFormat="1" ht="15.75">
      <c r="A359" s="119"/>
      <c r="B359" s="120"/>
      <c r="C359" s="111"/>
      <c r="D359" s="111"/>
      <c r="E359" s="121"/>
      <c r="F359" s="121"/>
      <c r="G359" s="113"/>
      <c r="H359" s="199" t="str">
        <f t="shared" si="10"/>
        <v/>
      </c>
      <c r="I359" s="200" t="str">
        <f>IF(E359="","",IF(AND(BV359&lt;=66),VLOOKUP(H359,'LetterID Look Up'!$A$13:$B$20,2,TRUE),IF(AND(BV359&gt;=67,BV359&lt;=72),VLOOKUP(H359,'LetterID Look Up'!$E$13:$F$19,2,TRUE),IF(AND(BV359&gt;=73,BV359&lt;=78),VLOOKUP(H359,'LetterID Look Up'!$I$13:$J$19,2,TRUE),IF(AND(BV359&gt;=79),VLOOKUP(H359,'LetterID Look Up'!$M$13:$N$17,2,TRUE),"")))))</f>
        <v/>
      </c>
      <c r="J359" s="122"/>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95"/>
      <c r="AH359" s="112"/>
      <c r="AI359" s="196"/>
      <c r="AJ359" s="197"/>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96"/>
      <c r="BV359" s="222" t="str">
        <f t="shared" si="11"/>
        <v/>
      </c>
    </row>
    <row r="360" spans="1:74" s="108" customFormat="1" ht="15.75">
      <c r="A360" s="119"/>
      <c r="B360" s="120"/>
      <c r="C360" s="111"/>
      <c r="D360" s="111"/>
      <c r="E360" s="121"/>
      <c r="F360" s="121"/>
      <c r="G360" s="113"/>
      <c r="H360" s="199" t="str">
        <f t="shared" si="10"/>
        <v/>
      </c>
      <c r="I360" s="200" t="str">
        <f>IF(E360="","",IF(AND(BV360&lt;=66),VLOOKUP(H360,'LetterID Look Up'!$A$13:$B$20,2,TRUE),IF(AND(BV360&gt;=67,BV360&lt;=72),VLOOKUP(H360,'LetterID Look Up'!$E$13:$F$19,2,TRUE),IF(AND(BV360&gt;=73,BV360&lt;=78),VLOOKUP(H360,'LetterID Look Up'!$I$13:$J$19,2,TRUE),IF(AND(BV360&gt;=79),VLOOKUP(H360,'LetterID Look Up'!$M$13:$N$17,2,TRUE),"")))))</f>
        <v/>
      </c>
      <c r="J360" s="122"/>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95"/>
      <c r="AH360" s="112"/>
      <c r="AI360" s="196"/>
      <c r="AJ360" s="197"/>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96"/>
      <c r="BV360" s="222" t="str">
        <f t="shared" si="11"/>
        <v/>
      </c>
    </row>
    <row r="361" spans="1:74" s="108" customFormat="1" ht="15.75">
      <c r="A361" s="119"/>
      <c r="B361" s="120"/>
      <c r="C361" s="111"/>
      <c r="D361" s="111"/>
      <c r="E361" s="121"/>
      <c r="F361" s="121"/>
      <c r="G361" s="113"/>
      <c r="H361" s="199" t="str">
        <f t="shared" si="10"/>
        <v/>
      </c>
      <c r="I361" s="200" t="str">
        <f>IF(E361="","",IF(AND(BV361&lt;=66),VLOOKUP(H361,'LetterID Look Up'!$A$13:$B$20,2,TRUE),IF(AND(BV361&gt;=67,BV361&lt;=72),VLOOKUP(H361,'LetterID Look Up'!$E$13:$F$19,2,TRUE),IF(AND(BV361&gt;=73,BV361&lt;=78),VLOOKUP(H361,'LetterID Look Up'!$I$13:$J$19,2,TRUE),IF(AND(BV361&gt;=79),VLOOKUP(H361,'LetterID Look Up'!$M$13:$N$17,2,TRUE),"")))))</f>
        <v/>
      </c>
      <c r="J361" s="122"/>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95"/>
      <c r="AH361" s="112"/>
      <c r="AI361" s="196"/>
      <c r="AJ361" s="197"/>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96"/>
      <c r="BV361" s="222" t="str">
        <f t="shared" si="11"/>
        <v/>
      </c>
    </row>
    <row r="362" spans="1:74" s="108" customFormat="1" ht="15.75">
      <c r="A362" s="119"/>
      <c r="B362" s="120"/>
      <c r="C362" s="111"/>
      <c r="D362" s="111"/>
      <c r="E362" s="121"/>
      <c r="F362" s="121"/>
      <c r="G362" s="113"/>
      <c r="H362" s="199" t="str">
        <f t="shared" si="10"/>
        <v/>
      </c>
      <c r="I362" s="200" t="str">
        <f>IF(E362="","",IF(AND(BV362&lt;=66),VLOOKUP(H362,'LetterID Look Up'!$A$13:$B$20,2,TRUE),IF(AND(BV362&gt;=67,BV362&lt;=72),VLOOKUP(H362,'LetterID Look Up'!$E$13:$F$19,2,TRUE),IF(AND(BV362&gt;=73,BV362&lt;=78),VLOOKUP(H362,'LetterID Look Up'!$I$13:$J$19,2,TRUE),IF(AND(BV362&gt;=79),VLOOKUP(H362,'LetterID Look Up'!$M$13:$N$17,2,TRUE),"")))))</f>
        <v/>
      </c>
      <c r="J362" s="122"/>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95"/>
      <c r="AH362" s="112"/>
      <c r="AI362" s="196"/>
      <c r="AJ362" s="197"/>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96"/>
      <c r="BV362" s="222" t="str">
        <f t="shared" si="11"/>
        <v/>
      </c>
    </row>
    <row r="363" spans="1:74" s="108" customFormat="1" ht="15.75">
      <c r="A363" s="119"/>
      <c r="B363" s="120"/>
      <c r="C363" s="111"/>
      <c r="D363" s="111"/>
      <c r="E363" s="121"/>
      <c r="F363" s="121"/>
      <c r="G363" s="113"/>
      <c r="H363" s="199" t="str">
        <f t="shared" si="10"/>
        <v/>
      </c>
      <c r="I363" s="200" t="str">
        <f>IF(E363="","",IF(AND(BV363&lt;=66),VLOOKUP(H363,'LetterID Look Up'!$A$13:$B$20,2,TRUE),IF(AND(BV363&gt;=67,BV363&lt;=72),VLOOKUP(H363,'LetterID Look Up'!$E$13:$F$19,2,TRUE),IF(AND(BV363&gt;=73,BV363&lt;=78),VLOOKUP(H363,'LetterID Look Up'!$I$13:$J$19,2,TRUE),IF(AND(BV363&gt;=79),VLOOKUP(H363,'LetterID Look Up'!$M$13:$N$17,2,TRUE),"")))))</f>
        <v/>
      </c>
      <c r="J363" s="122"/>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95"/>
      <c r="AH363" s="112"/>
      <c r="AI363" s="196"/>
      <c r="AJ363" s="197"/>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96"/>
      <c r="BV363" s="222" t="str">
        <f t="shared" si="11"/>
        <v/>
      </c>
    </row>
    <row r="364" spans="1:74" s="108" customFormat="1" ht="15.75">
      <c r="A364" s="119"/>
      <c r="B364" s="120"/>
      <c r="C364" s="111"/>
      <c r="D364" s="111"/>
      <c r="E364" s="121"/>
      <c r="F364" s="121"/>
      <c r="G364" s="113"/>
      <c r="H364" s="199" t="str">
        <f t="shared" si="10"/>
        <v/>
      </c>
      <c r="I364" s="200" t="str">
        <f>IF(E364="","",IF(AND(BV364&lt;=66),VLOOKUP(H364,'LetterID Look Up'!$A$13:$B$20,2,TRUE),IF(AND(BV364&gt;=67,BV364&lt;=72),VLOOKUP(H364,'LetterID Look Up'!$E$13:$F$19,2,TRUE),IF(AND(BV364&gt;=73,BV364&lt;=78),VLOOKUP(H364,'LetterID Look Up'!$I$13:$J$19,2,TRUE),IF(AND(BV364&gt;=79),VLOOKUP(H364,'LetterID Look Up'!$M$13:$N$17,2,TRUE),"")))))</f>
        <v/>
      </c>
      <c r="J364" s="122"/>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95"/>
      <c r="AH364" s="112"/>
      <c r="AI364" s="196"/>
      <c r="AJ364" s="197"/>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96"/>
      <c r="BV364" s="222" t="str">
        <f t="shared" si="11"/>
        <v/>
      </c>
    </row>
    <row r="365" spans="1:74" s="108" customFormat="1" ht="15.75">
      <c r="A365" s="119"/>
      <c r="B365" s="120"/>
      <c r="C365" s="111"/>
      <c r="D365" s="111"/>
      <c r="E365" s="121"/>
      <c r="F365" s="121"/>
      <c r="G365" s="113"/>
      <c r="H365" s="199" t="str">
        <f t="shared" si="10"/>
        <v/>
      </c>
      <c r="I365" s="200" t="str">
        <f>IF(E365="","",IF(AND(BV365&lt;=66),VLOOKUP(H365,'LetterID Look Up'!$A$13:$B$20,2,TRUE),IF(AND(BV365&gt;=67,BV365&lt;=72),VLOOKUP(H365,'LetterID Look Up'!$E$13:$F$19,2,TRUE),IF(AND(BV365&gt;=73,BV365&lt;=78),VLOOKUP(H365,'LetterID Look Up'!$I$13:$J$19,2,TRUE),IF(AND(BV365&gt;=79),VLOOKUP(H365,'LetterID Look Up'!$M$13:$N$17,2,TRUE),"")))))</f>
        <v/>
      </c>
      <c r="J365" s="122"/>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95"/>
      <c r="AH365" s="112"/>
      <c r="AI365" s="196"/>
      <c r="AJ365" s="197"/>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96"/>
      <c r="BV365" s="222" t="str">
        <f t="shared" si="11"/>
        <v/>
      </c>
    </row>
    <row r="366" spans="1:74" s="108" customFormat="1" ht="15.75">
      <c r="A366" s="119"/>
      <c r="B366" s="120"/>
      <c r="C366" s="111"/>
      <c r="D366" s="111"/>
      <c r="E366" s="121"/>
      <c r="F366" s="121"/>
      <c r="G366" s="113"/>
      <c r="H366" s="199" t="str">
        <f t="shared" si="10"/>
        <v/>
      </c>
      <c r="I366" s="200" t="str">
        <f>IF(E366="","",IF(AND(BV366&lt;=66),VLOOKUP(H366,'LetterID Look Up'!$A$13:$B$20,2,TRUE),IF(AND(BV366&gt;=67,BV366&lt;=72),VLOOKUP(H366,'LetterID Look Up'!$E$13:$F$19,2,TRUE),IF(AND(BV366&gt;=73,BV366&lt;=78),VLOOKUP(H366,'LetterID Look Up'!$I$13:$J$19,2,TRUE),IF(AND(BV366&gt;=79),VLOOKUP(H366,'LetterID Look Up'!$M$13:$N$17,2,TRUE),"")))))</f>
        <v/>
      </c>
      <c r="J366" s="122"/>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95"/>
      <c r="AH366" s="112"/>
      <c r="AI366" s="196"/>
      <c r="AJ366" s="197"/>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96"/>
      <c r="BV366" s="222" t="str">
        <f t="shared" si="11"/>
        <v/>
      </c>
    </row>
    <row r="367" spans="1:74" s="108" customFormat="1" ht="15.75">
      <c r="A367" s="119"/>
      <c r="B367" s="120"/>
      <c r="C367" s="111"/>
      <c r="D367" s="111"/>
      <c r="E367" s="121"/>
      <c r="F367" s="121"/>
      <c r="G367" s="113"/>
      <c r="H367" s="199" t="str">
        <f t="shared" si="10"/>
        <v/>
      </c>
      <c r="I367" s="200" t="str">
        <f>IF(E367="","",IF(AND(BV367&lt;=66),VLOOKUP(H367,'LetterID Look Up'!$A$13:$B$20,2,TRUE),IF(AND(BV367&gt;=67,BV367&lt;=72),VLOOKUP(H367,'LetterID Look Up'!$E$13:$F$19,2,TRUE),IF(AND(BV367&gt;=73,BV367&lt;=78),VLOOKUP(H367,'LetterID Look Up'!$I$13:$J$19,2,TRUE),IF(AND(BV367&gt;=79),VLOOKUP(H367,'LetterID Look Up'!$M$13:$N$17,2,TRUE),"")))))</f>
        <v/>
      </c>
      <c r="J367" s="122"/>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95"/>
      <c r="AH367" s="112"/>
      <c r="AI367" s="196"/>
      <c r="AJ367" s="197"/>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96"/>
      <c r="BV367" s="222" t="str">
        <f t="shared" si="11"/>
        <v/>
      </c>
    </row>
    <row r="368" spans="1:74" s="108" customFormat="1" ht="15.75">
      <c r="A368" s="119"/>
      <c r="B368" s="120"/>
      <c r="C368" s="111"/>
      <c r="D368" s="111"/>
      <c r="E368" s="121"/>
      <c r="F368" s="121"/>
      <c r="G368" s="113"/>
      <c r="H368" s="199" t="str">
        <f t="shared" si="10"/>
        <v/>
      </c>
      <c r="I368" s="200" t="str">
        <f>IF(E368="","",IF(AND(BV368&lt;=66),VLOOKUP(H368,'LetterID Look Up'!$A$13:$B$20,2,TRUE),IF(AND(BV368&gt;=67,BV368&lt;=72),VLOOKUP(H368,'LetterID Look Up'!$E$13:$F$19,2,TRUE),IF(AND(BV368&gt;=73,BV368&lt;=78),VLOOKUP(H368,'LetterID Look Up'!$I$13:$J$19,2,TRUE),IF(AND(BV368&gt;=79),VLOOKUP(H368,'LetterID Look Up'!$M$13:$N$17,2,TRUE),"")))))</f>
        <v/>
      </c>
      <c r="J368" s="122"/>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95"/>
      <c r="AH368" s="112"/>
      <c r="AI368" s="196"/>
      <c r="AJ368" s="197"/>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96"/>
      <c r="BV368" s="222" t="str">
        <f t="shared" si="11"/>
        <v/>
      </c>
    </row>
    <row r="369" spans="1:74" s="108" customFormat="1" ht="15.75">
      <c r="A369" s="119"/>
      <c r="B369" s="120"/>
      <c r="C369" s="111"/>
      <c r="D369" s="111"/>
      <c r="E369" s="121"/>
      <c r="F369" s="121"/>
      <c r="G369" s="113"/>
      <c r="H369" s="199" t="str">
        <f t="shared" si="10"/>
        <v/>
      </c>
      <c r="I369" s="200" t="str">
        <f>IF(E369="","",IF(AND(BV369&lt;=66),VLOOKUP(H369,'LetterID Look Up'!$A$13:$B$20,2,TRUE),IF(AND(BV369&gt;=67,BV369&lt;=72),VLOOKUP(H369,'LetterID Look Up'!$E$13:$F$19,2,TRUE),IF(AND(BV369&gt;=73,BV369&lt;=78),VLOOKUP(H369,'LetterID Look Up'!$I$13:$J$19,2,TRUE),IF(AND(BV369&gt;=79),VLOOKUP(H369,'LetterID Look Up'!$M$13:$N$17,2,TRUE),"")))))</f>
        <v/>
      </c>
      <c r="J369" s="122"/>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95"/>
      <c r="AH369" s="112"/>
      <c r="AI369" s="196"/>
      <c r="AJ369" s="197"/>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96"/>
      <c r="BV369" s="222" t="str">
        <f t="shared" si="11"/>
        <v/>
      </c>
    </row>
    <row r="370" spans="1:74" s="108" customFormat="1" ht="15.75">
      <c r="A370" s="119"/>
      <c r="B370" s="120"/>
      <c r="C370" s="111"/>
      <c r="D370" s="111"/>
      <c r="E370" s="121"/>
      <c r="F370" s="121"/>
      <c r="G370" s="113"/>
      <c r="H370" s="199" t="str">
        <f t="shared" si="10"/>
        <v/>
      </c>
      <c r="I370" s="200" t="str">
        <f>IF(E370="","",IF(AND(BV370&lt;=66),VLOOKUP(H370,'LetterID Look Up'!$A$13:$B$20,2,TRUE),IF(AND(BV370&gt;=67,BV370&lt;=72),VLOOKUP(H370,'LetterID Look Up'!$E$13:$F$19,2,TRUE),IF(AND(BV370&gt;=73,BV370&lt;=78),VLOOKUP(H370,'LetterID Look Up'!$I$13:$J$19,2,TRUE),IF(AND(BV370&gt;=79),VLOOKUP(H370,'LetterID Look Up'!$M$13:$N$17,2,TRUE),"")))))</f>
        <v/>
      </c>
      <c r="J370" s="122"/>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95"/>
      <c r="AH370" s="112"/>
      <c r="AI370" s="196"/>
      <c r="AJ370" s="197"/>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96"/>
      <c r="BV370" s="222" t="str">
        <f t="shared" si="11"/>
        <v/>
      </c>
    </row>
    <row r="371" spans="1:74" s="108" customFormat="1" ht="15.75">
      <c r="A371" s="119"/>
      <c r="B371" s="120"/>
      <c r="C371" s="111"/>
      <c r="D371" s="111"/>
      <c r="E371" s="121"/>
      <c r="F371" s="121"/>
      <c r="G371" s="113"/>
      <c r="H371" s="199" t="str">
        <f t="shared" si="10"/>
        <v/>
      </c>
      <c r="I371" s="200" t="str">
        <f>IF(E371="","",IF(AND(BV371&lt;=66),VLOOKUP(H371,'LetterID Look Up'!$A$13:$B$20,2,TRUE),IF(AND(BV371&gt;=67,BV371&lt;=72),VLOOKUP(H371,'LetterID Look Up'!$E$13:$F$19,2,TRUE),IF(AND(BV371&gt;=73,BV371&lt;=78),VLOOKUP(H371,'LetterID Look Up'!$I$13:$J$19,2,TRUE),IF(AND(BV371&gt;=79),VLOOKUP(H371,'LetterID Look Up'!$M$13:$N$17,2,TRUE),"")))))</f>
        <v/>
      </c>
      <c r="J371" s="122"/>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95"/>
      <c r="AH371" s="112"/>
      <c r="AI371" s="196"/>
      <c r="AJ371" s="197"/>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96"/>
      <c r="BV371" s="222" t="str">
        <f t="shared" si="11"/>
        <v/>
      </c>
    </row>
    <row r="372" spans="1:74" s="108" customFormat="1" ht="15.75">
      <c r="A372" s="119"/>
      <c r="B372" s="120"/>
      <c r="C372" s="111"/>
      <c r="D372" s="111"/>
      <c r="E372" s="121"/>
      <c r="F372" s="121"/>
      <c r="G372" s="113"/>
      <c r="H372" s="199" t="str">
        <f t="shared" si="10"/>
        <v/>
      </c>
      <c r="I372" s="200" t="str">
        <f>IF(E372="","",IF(AND(BV372&lt;=66),VLOOKUP(H372,'LetterID Look Up'!$A$13:$B$20,2,TRUE),IF(AND(BV372&gt;=67,BV372&lt;=72),VLOOKUP(H372,'LetterID Look Up'!$E$13:$F$19,2,TRUE),IF(AND(BV372&gt;=73,BV372&lt;=78),VLOOKUP(H372,'LetterID Look Up'!$I$13:$J$19,2,TRUE),IF(AND(BV372&gt;=79),VLOOKUP(H372,'LetterID Look Up'!$M$13:$N$17,2,TRUE),"")))))</f>
        <v/>
      </c>
      <c r="J372" s="122"/>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95"/>
      <c r="AH372" s="112"/>
      <c r="AI372" s="196"/>
      <c r="AJ372" s="197"/>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96"/>
      <c r="BV372" s="222" t="str">
        <f t="shared" si="11"/>
        <v/>
      </c>
    </row>
    <row r="373" spans="1:74" s="108" customFormat="1" ht="15.75">
      <c r="A373" s="119"/>
      <c r="B373" s="120"/>
      <c r="C373" s="111"/>
      <c r="D373" s="111"/>
      <c r="E373" s="121"/>
      <c r="F373" s="121"/>
      <c r="G373" s="113"/>
      <c r="H373" s="199" t="str">
        <f t="shared" si="10"/>
        <v/>
      </c>
      <c r="I373" s="200" t="str">
        <f>IF(E373="","",IF(AND(BV373&lt;=66),VLOOKUP(H373,'LetterID Look Up'!$A$13:$B$20,2,TRUE),IF(AND(BV373&gt;=67,BV373&lt;=72),VLOOKUP(H373,'LetterID Look Up'!$E$13:$F$19,2,TRUE),IF(AND(BV373&gt;=73,BV373&lt;=78),VLOOKUP(H373,'LetterID Look Up'!$I$13:$J$19,2,TRUE),IF(AND(BV373&gt;=79),VLOOKUP(H373,'LetterID Look Up'!$M$13:$N$17,2,TRUE),"")))))</f>
        <v/>
      </c>
      <c r="J373" s="122"/>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95"/>
      <c r="AH373" s="112"/>
      <c r="AI373" s="196"/>
      <c r="AJ373" s="197"/>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96"/>
      <c r="BV373" s="222" t="str">
        <f t="shared" si="11"/>
        <v/>
      </c>
    </row>
    <row r="374" spans="1:74" s="108" customFormat="1" ht="15.75">
      <c r="A374" s="119"/>
      <c r="B374" s="120"/>
      <c r="C374" s="111"/>
      <c r="D374" s="111"/>
      <c r="E374" s="121"/>
      <c r="F374" s="121"/>
      <c r="G374" s="113"/>
      <c r="H374" s="199" t="str">
        <f t="shared" si="10"/>
        <v/>
      </c>
      <c r="I374" s="200" t="str">
        <f>IF(E374="","",IF(AND(BV374&lt;=66),VLOOKUP(H374,'LetterID Look Up'!$A$13:$B$20,2,TRUE),IF(AND(BV374&gt;=67,BV374&lt;=72),VLOOKUP(H374,'LetterID Look Up'!$E$13:$F$19,2,TRUE),IF(AND(BV374&gt;=73,BV374&lt;=78),VLOOKUP(H374,'LetterID Look Up'!$I$13:$J$19,2,TRUE),IF(AND(BV374&gt;=79),VLOOKUP(H374,'LetterID Look Up'!$M$13:$N$17,2,TRUE),"")))))</f>
        <v/>
      </c>
      <c r="J374" s="122"/>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95"/>
      <c r="AH374" s="112"/>
      <c r="AI374" s="196"/>
      <c r="AJ374" s="197"/>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96"/>
      <c r="BV374" s="222" t="str">
        <f t="shared" si="11"/>
        <v/>
      </c>
    </row>
    <row r="375" spans="1:74" s="108" customFormat="1" ht="15.75">
      <c r="A375" s="119"/>
      <c r="B375" s="120"/>
      <c r="C375" s="111"/>
      <c r="D375" s="111"/>
      <c r="E375" s="121"/>
      <c r="F375" s="121"/>
      <c r="G375" s="113"/>
      <c r="H375" s="199" t="str">
        <f t="shared" si="10"/>
        <v/>
      </c>
      <c r="I375" s="200" t="str">
        <f>IF(E375="","",IF(AND(BV375&lt;=66),VLOOKUP(H375,'LetterID Look Up'!$A$13:$B$20,2,TRUE),IF(AND(BV375&gt;=67,BV375&lt;=72),VLOOKUP(H375,'LetterID Look Up'!$E$13:$F$19,2,TRUE),IF(AND(BV375&gt;=73,BV375&lt;=78),VLOOKUP(H375,'LetterID Look Up'!$I$13:$J$19,2,TRUE),IF(AND(BV375&gt;=79),VLOOKUP(H375,'LetterID Look Up'!$M$13:$N$17,2,TRUE),"")))))</f>
        <v/>
      </c>
      <c r="J375" s="122"/>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95"/>
      <c r="AH375" s="112"/>
      <c r="AI375" s="196"/>
      <c r="AJ375" s="197"/>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96"/>
      <c r="BV375" s="222" t="str">
        <f t="shared" si="11"/>
        <v/>
      </c>
    </row>
    <row r="376" spans="1:74" s="108" customFormat="1" ht="15.75">
      <c r="A376" s="119"/>
      <c r="B376" s="120"/>
      <c r="C376" s="111"/>
      <c r="D376" s="111"/>
      <c r="E376" s="121"/>
      <c r="F376" s="121"/>
      <c r="G376" s="113"/>
      <c r="H376" s="199" t="str">
        <f t="shared" si="10"/>
        <v/>
      </c>
      <c r="I376" s="200" t="str">
        <f>IF(E376="","",IF(AND(BV376&lt;=66),VLOOKUP(H376,'LetterID Look Up'!$A$13:$B$20,2,TRUE),IF(AND(BV376&gt;=67,BV376&lt;=72),VLOOKUP(H376,'LetterID Look Up'!$E$13:$F$19,2,TRUE),IF(AND(BV376&gt;=73,BV376&lt;=78),VLOOKUP(H376,'LetterID Look Up'!$I$13:$J$19,2,TRUE),IF(AND(BV376&gt;=79),VLOOKUP(H376,'LetterID Look Up'!$M$13:$N$17,2,TRUE),"")))))</f>
        <v/>
      </c>
      <c r="J376" s="122"/>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95"/>
      <c r="AH376" s="112"/>
      <c r="AI376" s="196"/>
      <c r="AJ376" s="197"/>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96"/>
      <c r="BV376" s="222" t="str">
        <f t="shared" si="11"/>
        <v/>
      </c>
    </row>
    <row r="377" spans="1:74" s="108" customFormat="1" ht="15.75">
      <c r="A377" s="119"/>
      <c r="B377" s="120"/>
      <c r="C377" s="111"/>
      <c r="D377" s="111"/>
      <c r="E377" s="121"/>
      <c r="F377" s="121"/>
      <c r="G377" s="113"/>
      <c r="H377" s="199" t="str">
        <f t="shared" si="10"/>
        <v/>
      </c>
      <c r="I377" s="200" t="str">
        <f>IF(E377="","",IF(AND(BV377&lt;=66),VLOOKUP(H377,'LetterID Look Up'!$A$13:$B$20,2,TRUE),IF(AND(BV377&gt;=67,BV377&lt;=72),VLOOKUP(H377,'LetterID Look Up'!$E$13:$F$19,2,TRUE),IF(AND(BV377&gt;=73,BV377&lt;=78),VLOOKUP(H377,'LetterID Look Up'!$I$13:$J$19,2,TRUE),IF(AND(BV377&gt;=79),VLOOKUP(H377,'LetterID Look Up'!$M$13:$N$17,2,TRUE),"")))))</f>
        <v/>
      </c>
      <c r="J377" s="122"/>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95"/>
      <c r="AH377" s="112"/>
      <c r="AI377" s="196"/>
      <c r="AJ377" s="197"/>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96"/>
      <c r="BV377" s="222" t="str">
        <f t="shared" si="11"/>
        <v/>
      </c>
    </row>
    <row r="378" spans="1:74" s="108" customFormat="1" ht="15.75">
      <c r="A378" s="119"/>
      <c r="B378" s="120"/>
      <c r="C378" s="111"/>
      <c r="D378" s="111"/>
      <c r="E378" s="121"/>
      <c r="F378" s="121"/>
      <c r="G378" s="113"/>
      <c r="H378" s="199" t="str">
        <f t="shared" si="10"/>
        <v/>
      </c>
      <c r="I378" s="200" t="str">
        <f>IF(E378="","",IF(AND(BV378&lt;=66),VLOOKUP(H378,'LetterID Look Up'!$A$13:$B$20,2,TRUE),IF(AND(BV378&gt;=67,BV378&lt;=72),VLOOKUP(H378,'LetterID Look Up'!$E$13:$F$19,2,TRUE),IF(AND(BV378&gt;=73,BV378&lt;=78),VLOOKUP(H378,'LetterID Look Up'!$I$13:$J$19,2,TRUE),IF(AND(BV378&gt;=79),VLOOKUP(H378,'LetterID Look Up'!$M$13:$N$17,2,TRUE),"")))))</f>
        <v/>
      </c>
      <c r="J378" s="122"/>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95"/>
      <c r="AH378" s="112"/>
      <c r="AI378" s="196"/>
      <c r="AJ378" s="197"/>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96"/>
      <c r="BV378" s="222" t="str">
        <f t="shared" si="11"/>
        <v/>
      </c>
    </row>
    <row r="379" spans="1:74" s="108" customFormat="1" ht="15.75">
      <c r="A379" s="119"/>
      <c r="B379" s="120"/>
      <c r="C379" s="111"/>
      <c r="D379" s="111"/>
      <c r="E379" s="121"/>
      <c r="F379" s="121"/>
      <c r="G379" s="113"/>
      <c r="H379" s="199" t="str">
        <f t="shared" si="10"/>
        <v/>
      </c>
      <c r="I379" s="200" t="str">
        <f>IF(E379="","",IF(AND(BV379&lt;=66),VLOOKUP(H379,'LetterID Look Up'!$A$13:$B$20,2,TRUE),IF(AND(BV379&gt;=67,BV379&lt;=72),VLOOKUP(H379,'LetterID Look Up'!$E$13:$F$19,2,TRUE),IF(AND(BV379&gt;=73,BV379&lt;=78),VLOOKUP(H379,'LetterID Look Up'!$I$13:$J$19,2,TRUE),IF(AND(BV379&gt;=79),VLOOKUP(H379,'LetterID Look Up'!$M$13:$N$17,2,TRUE),"")))))</f>
        <v/>
      </c>
      <c r="J379" s="122"/>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95"/>
      <c r="AH379" s="112"/>
      <c r="AI379" s="196"/>
      <c r="AJ379" s="197"/>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96"/>
      <c r="BV379" s="222" t="str">
        <f t="shared" si="11"/>
        <v/>
      </c>
    </row>
    <row r="380" spans="1:74" s="108" customFormat="1" ht="15.75">
      <c r="A380" s="119"/>
      <c r="B380" s="120"/>
      <c r="C380" s="111"/>
      <c r="D380" s="111"/>
      <c r="E380" s="121"/>
      <c r="F380" s="121"/>
      <c r="G380" s="113"/>
      <c r="H380" s="199" t="str">
        <f t="shared" si="10"/>
        <v/>
      </c>
      <c r="I380" s="200" t="str">
        <f>IF(E380="","",IF(AND(BV380&lt;=66),VLOOKUP(H380,'LetterID Look Up'!$A$13:$B$20,2,TRUE),IF(AND(BV380&gt;=67,BV380&lt;=72),VLOOKUP(H380,'LetterID Look Up'!$E$13:$F$19,2,TRUE),IF(AND(BV380&gt;=73,BV380&lt;=78),VLOOKUP(H380,'LetterID Look Up'!$I$13:$J$19,2,TRUE),IF(AND(BV380&gt;=79),VLOOKUP(H380,'LetterID Look Up'!$M$13:$N$17,2,TRUE),"")))))</f>
        <v/>
      </c>
      <c r="J380" s="122"/>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95"/>
      <c r="AH380" s="112"/>
      <c r="AI380" s="196"/>
      <c r="AJ380" s="197"/>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96"/>
      <c r="BV380" s="222" t="str">
        <f t="shared" si="11"/>
        <v/>
      </c>
    </row>
    <row r="381" spans="1:74" s="108" customFormat="1" ht="15.75">
      <c r="A381" s="119"/>
      <c r="B381" s="120"/>
      <c r="C381" s="111"/>
      <c r="D381" s="111"/>
      <c r="E381" s="121"/>
      <c r="F381" s="121"/>
      <c r="G381" s="113"/>
      <c r="H381" s="199" t="str">
        <f t="shared" si="10"/>
        <v/>
      </c>
      <c r="I381" s="200" t="str">
        <f>IF(E381="","",IF(AND(BV381&lt;=66),VLOOKUP(H381,'LetterID Look Up'!$A$13:$B$20,2,TRUE),IF(AND(BV381&gt;=67,BV381&lt;=72),VLOOKUP(H381,'LetterID Look Up'!$E$13:$F$19,2,TRUE),IF(AND(BV381&gt;=73,BV381&lt;=78),VLOOKUP(H381,'LetterID Look Up'!$I$13:$J$19,2,TRUE),IF(AND(BV381&gt;=79),VLOOKUP(H381,'LetterID Look Up'!$M$13:$N$17,2,TRUE),"")))))</f>
        <v/>
      </c>
      <c r="J381" s="122"/>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95"/>
      <c r="AH381" s="112"/>
      <c r="AI381" s="196"/>
      <c r="AJ381" s="197"/>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96"/>
      <c r="BV381" s="222" t="str">
        <f t="shared" si="11"/>
        <v/>
      </c>
    </row>
    <row r="382" spans="1:74" s="108" customFormat="1" ht="15.75">
      <c r="A382" s="119"/>
      <c r="B382" s="120"/>
      <c r="C382" s="111"/>
      <c r="D382" s="111"/>
      <c r="E382" s="121"/>
      <c r="F382" s="121"/>
      <c r="G382" s="113"/>
      <c r="H382" s="199" t="str">
        <f t="shared" si="10"/>
        <v/>
      </c>
      <c r="I382" s="200" t="str">
        <f>IF(E382="","",IF(AND(BV382&lt;=66),VLOOKUP(H382,'LetterID Look Up'!$A$13:$B$20,2,TRUE),IF(AND(BV382&gt;=67,BV382&lt;=72),VLOOKUP(H382,'LetterID Look Up'!$E$13:$F$19,2,TRUE),IF(AND(BV382&gt;=73,BV382&lt;=78),VLOOKUP(H382,'LetterID Look Up'!$I$13:$J$19,2,TRUE),IF(AND(BV382&gt;=79),VLOOKUP(H382,'LetterID Look Up'!$M$13:$N$17,2,TRUE),"")))))</f>
        <v/>
      </c>
      <c r="J382" s="122"/>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95"/>
      <c r="AH382" s="112"/>
      <c r="AI382" s="196"/>
      <c r="AJ382" s="197"/>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96"/>
      <c r="BV382" s="222" t="str">
        <f t="shared" si="11"/>
        <v/>
      </c>
    </row>
    <row r="383" spans="1:74" s="108" customFormat="1" ht="15.75">
      <c r="A383" s="119"/>
      <c r="B383" s="120"/>
      <c r="C383" s="111"/>
      <c r="D383" s="111"/>
      <c r="E383" s="121"/>
      <c r="F383" s="121"/>
      <c r="G383" s="113"/>
      <c r="H383" s="199" t="str">
        <f t="shared" si="10"/>
        <v/>
      </c>
      <c r="I383" s="200" t="str">
        <f>IF(E383="","",IF(AND(BV383&lt;=66),VLOOKUP(H383,'LetterID Look Up'!$A$13:$B$20,2,TRUE),IF(AND(BV383&gt;=67,BV383&lt;=72),VLOOKUP(H383,'LetterID Look Up'!$E$13:$F$19,2,TRUE),IF(AND(BV383&gt;=73,BV383&lt;=78),VLOOKUP(H383,'LetterID Look Up'!$I$13:$J$19,2,TRUE),IF(AND(BV383&gt;=79),VLOOKUP(H383,'LetterID Look Up'!$M$13:$N$17,2,TRUE),"")))))</f>
        <v/>
      </c>
      <c r="J383" s="122"/>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95"/>
      <c r="AH383" s="112"/>
      <c r="AI383" s="196"/>
      <c r="AJ383" s="197"/>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96"/>
      <c r="BV383" s="222" t="str">
        <f t="shared" si="11"/>
        <v/>
      </c>
    </row>
    <row r="384" spans="1:74" s="108" customFormat="1" ht="15.75">
      <c r="A384" s="119"/>
      <c r="B384" s="120"/>
      <c r="C384" s="111"/>
      <c r="D384" s="111"/>
      <c r="E384" s="121"/>
      <c r="F384" s="121"/>
      <c r="G384" s="113"/>
      <c r="H384" s="199" t="str">
        <f t="shared" si="10"/>
        <v/>
      </c>
      <c r="I384" s="200" t="str">
        <f>IF(E384="","",IF(AND(BV384&lt;=66),VLOOKUP(H384,'LetterID Look Up'!$A$13:$B$20,2,TRUE),IF(AND(BV384&gt;=67,BV384&lt;=72),VLOOKUP(H384,'LetterID Look Up'!$E$13:$F$19,2,TRUE),IF(AND(BV384&gt;=73,BV384&lt;=78),VLOOKUP(H384,'LetterID Look Up'!$I$13:$J$19,2,TRUE),IF(AND(BV384&gt;=79),VLOOKUP(H384,'LetterID Look Up'!$M$13:$N$17,2,TRUE),"")))))</f>
        <v/>
      </c>
      <c r="J384" s="122"/>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95"/>
      <c r="AH384" s="112"/>
      <c r="AI384" s="196"/>
      <c r="AJ384" s="197"/>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96"/>
      <c r="BV384" s="222" t="str">
        <f t="shared" si="11"/>
        <v/>
      </c>
    </row>
    <row r="385" spans="1:74" s="108" customFormat="1" ht="15.75">
      <c r="A385" s="119"/>
      <c r="B385" s="120"/>
      <c r="C385" s="111"/>
      <c r="D385" s="111"/>
      <c r="E385" s="121"/>
      <c r="F385" s="121"/>
      <c r="G385" s="113"/>
      <c r="H385" s="199" t="str">
        <f t="shared" si="10"/>
        <v/>
      </c>
      <c r="I385" s="200" t="str">
        <f>IF(E385="","",IF(AND(BV385&lt;=66),VLOOKUP(H385,'LetterID Look Up'!$A$13:$B$20,2,TRUE),IF(AND(BV385&gt;=67,BV385&lt;=72),VLOOKUP(H385,'LetterID Look Up'!$E$13:$F$19,2,TRUE),IF(AND(BV385&gt;=73,BV385&lt;=78),VLOOKUP(H385,'LetterID Look Up'!$I$13:$J$19,2,TRUE),IF(AND(BV385&gt;=79),VLOOKUP(H385,'LetterID Look Up'!$M$13:$N$17,2,TRUE),"")))))</f>
        <v/>
      </c>
      <c r="J385" s="122"/>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95"/>
      <c r="AH385" s="112"/>
      <c r="AI385" s="196"/>
      <c r="AJ385" s="197"/>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96"/>
      <c r="BV385" s="222" t="str">
        <f t="shared" si="11"/>
        <v/>
      </c>
    </row>
    <row r="386" spans="1:74" s="108" customFormat="1" ht="15.75">
      <c r="A386" s="119"/>
      <c r="B386" s="120"/>
      <c r="C386" s="111"/>
      <c r="D386" s="111"/>
      <c r="E386" s="121"/>
      <c r="F386" s="121"/>
      <c r="G386" s="113"/>
      <c r="H386" s="199" t="str">
        <f t="shared" si="10"/>
        <v/>
      </c>
      <c r="I386" s="200" t="str">
        <f>IF(E386="","",IF(AND(BV386&lt;=66),VLOOKUP(H386,'LetterID Look Up'!$A$13:$B$20,2,TRUE),IF(AND(BV386&gt;=67,BV386&lt;=72),VLOOKUP(H386,'LetterID Look Up'!$E$13:$F$19,2,TRUE),IF(AND(BV386&gt;=73,BV386&lt;=78),VLOOKUP(H386,'LetterID Look Up'!$I$13:$J$19,2,TRUE),IF(AND(BV386&gt;=79),VLOOKUP(H386,'LetterID Look Up'!$M$13:$N$17,2,TRUE),"")))))</f>
        <v/>
      </c>
      <c r="J386" s="122"/>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95"/>
      <c r="AH386" s="112"/>
      <c r="AI386" s="196"/>
      <c r="AJ386" s="197"/>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96"/>
      <c r="BV386" s="222" t="str">
        <f t="shared" si="11"/>
        <v/>
      </c>
    </row>
    <row r="387" spans="1:74" s="108" customFormat="1" ht="15.75">
      <c r="A387" s="119"/>
      <c r="B387" s="120"/>
      <c r="C387" s="111"/>
      <c r="D387" s="111"/>
      <c r="E387" s="121"/>
      <c r="F387" s="121"/>
      <c r="G387" s="113"/>
      <c r="H387" s="199" t="str">
        <f t="shared" si="10"/>
        <v/>
      </c>
      <c r="I387" s="200" t="str">
        <f>IF(E387="","",IF(AND(BV387&lt;=66),VLOOKUP(H387,'LetterID Look Up'!$A$13:$B$20,2,TRUE),IF(AND(BV387&gt;=67,BV387&lt;=72),VLOOKUP(H387,'LetterID Look Up'!$E$13:$F$19,2,TRUE),IF(AND(BV387&gt;=73,BV387&lt;=78),VLOOKUP(H387,'LetterID Look Up'!$I$13:$J$19,2,TRUE),IF(AND(BV387&gt;=79),VLOOKUP(H387,'LetterID Look Up'!$M$13:$N$17,2,TRUE),"")))))</f>
        <v/>
      </c>
      <c r="J387" s="122"/>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95"/>
      <c r="AH387" s="112"/>
      <c r="AI387" s="196"/>
      <c r="AJ387" s="197"/>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96"/>
      <c r="BV387" s="222" t="str">
        <f t="shared" si="11"/>
        <v/>
      </c>
    </row>
    <row r="388" spans="1:74" s="108" customFormat="1" ht="15.75">
      <c r="A388" s="119"/>
      <c r="B388" s="120"/>
      <c r="C388" s="111"/>
      <c r="D388" s="111"/>
      <c r="E388" s="121"/>
      <c r="F388" s="121"/>
      <c r="G388" s="113"/>
      <c r="H388" s="199" t="str">
        <f t="shared" si="10"/>
        <v/>
      </c>
      <c r="I388" s="200" t="str">
        <f>IF(E388="","",IF(AND(BV388&lt;=66),VLOOKUP(H388,'LetterID Look Up'!$A$13:$B$20,2,TRUE),IF(AND(BV388&gt;=67,BV388&lt;=72),VLOOKUP(H388,'LetterID Look Up'!$E$13:$F$19,2,TRUE),IF(AND(BV388&gt;=73,BV388&lt;=78),VLOOKUP(H388,'LetterID Look Up'!$I$13:$J$19,2,TRUE),IF(AND(BV388&gt;=79),VLOOKUP(H388,'LetterID Look Up'!$M$13:$N$17,2,TRUE),"")))))</f>
        <v/>
      </c>
      <c r="J388" s="122"/>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95"/>
      <c r="AH388" s="112"/>
      <c r="AI388" s="196"/>
      <c r="AJ388" s="197"/>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96"/>
      <c r="BV388" s="222" t="str">
        <f t="shared" si="11"/>
        <v/>
      </c>
    </row>
    <row r="389" spans="1:74" s="108" customFormat="1" ht="15.75">
      <c r="A389" s="119"/>
      <c r="B389" s="120"/>
      <c r="C389" s="111"/>
      <c r="D389" s="111"/>
      <c r="E389" s="121"/>
      <c r="F389" s="121"/>
      <c r="G389" s="113"/>
      <c r="H389" s="199" t="str">
        <f t="shared" si="10"/>
        <v/>
      </c>
      <c r="I389" s="200" t="str">
        <f>IF(E389="","",IF(AND(BV389&lt;=66),VLOOKUP(H389,'LetterID Look Up'!$A$13:$B$20,2,TRUE),IF(AND(BV389&gt;=67,BV389&lt;=72),VLOOKUP(H389,'LetterID Look Up'!$E$13:$F$19,2,TRUE),IF(AND(BV389&gt;=73,BV389&lt;=78),VLOOKUP(H389,'LetterID Look Up'!$I$13:$J$19,2,TRUE),IF(AND(BV389&gt;=79),VLOOKUP(H389,'LetterID Look Up'!$M$13:$N$17,2,TRUE),"")))))</f>
        <v/>
      </c>
      <c r="J389" s="122"/>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95"/>
      <c r="AH389" s="112"/>
      <c r="AI389" s="196"/>
      <c r="AJ389" s="197"/>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96"/>
      <c r="BV389" s="222" t="str">
        <f t="shared" si="11"/>
        <v/>
      </c>
    </row>
    <row r="390" spans="1:74" s="108" customFormat="1" ht="15.75">
      <c r="A390" s="119"/>
      <c r="B390" s="120"/>
      <c r="C390" s="111"/>
      <c r="D390" s="111"/>
      <c r="E390" s="121"/>
      <c r="F390" s="121"/>
      <c r="G390" s="113"/>
      <c r="H390" s="199" t="str">
        <f t="shared" si="10"/>
        <v/>
      </c>
      <c r="I390" s="200" t="str">
        <f>IF(E390="","",IF(AND(BV390&lt;=66),VLOOKUP(H390,'LetterID Look Up'!$A$13:$B$20,2,TRUE),IF(AND(BV390&gt;=67,BV390&lt;=72),VLOOKUP(H390,'LetterID Look Up'!$E$13:$F$19,2,TRUE),IF(AND(BV390&gt;=73,BV390&lt;=78),VLOOKUP(H390,'LetterID Look Up'!$I$13:$J$19,2,TRUE),IF(AND(BV390&gt;=79),VLOOKUP(H390,'LetterID Look Up'!$M$13:$N$17,2,TRUE),"")))))</f>
        <v/>
      </c>
      <c r="J390" s="122"/>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95"/>
      <c r="AH390" s="112"/>
      <c r="AI390" s="196"/>
      <c r="AJ390" s="197"/>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96"/>
      <c r="BV390" s="222" t="str">
        <f t="shared" si="11"/>
        <v/>
      </c>
    </row>
    <row r="391" spans="1:74" s="108" customFormat="1" ht="15.75">
      <c r="A391" s="119"/>
      <c r="B391" s="120"/>
      <c r="C391" s="111"/>
      <c r="D391" s="111"/>
      <c r="E391" s="121"/>
      <c r="F391" s="121"/>
      <c r="G391" s="113"/>
      <c r="H391" s="199" t="str">
        <f t="shared" si="10"/>
        <v/>
      </c>
      <c r="I391" s="200" t="str">
        <f>IF(E391="","",IF(AND(BV391&lt;=66),VLOOKUP(H391,'LetterID Look Up'!$A$13:$B$20,2,TRUE),IF(AND(BV391&gt;=67,BV391&lt;=72),VLOOKUP(H391,'LetterID Look Up'!$E$13:$F$19,2,TRUE),IF(AND(BV391&gt;=73,BV391&lt;=78),VLOOKUP(H391,'LetterID Look Up'!$I$13:$J$19,2,TRUE),IF(AND(BV391&gt;=79),VLOOKUP(H391,'LetterID Look Up'!$M$13:$N$17,2,TRUE),"")))))</f>
        <v/>
      </c>
      <c r="J391" s="122"/>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95"/>
      <c r="AH391" s="112"/>
      <c r="AI391" s="196"/>
      <c r="AJ391" s="197"/>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96"/>
      <c r="BV391" s="222" t="str">
        <f t="shared" si="11"/>
        <v/>
      </c>
    </row>
    <row r="392" spans="1:74" s="108" customFormat="1" ht="15.75">
      <c r="A392" s="119"/>
      <c r="B392" s="120"/>
      <c r="C392" s="111"/>
      <c r="D392" s="111"/>
      <c r="E392" s="121"/>
      <c r="F392" s="121"/>
      <c r="G392" s="113"/>
      <c r="H392" s="199" t="str">
        <f t="shared" ref="H392:H455" si="12">IF(E392="","",COUNTIF(J392:BK392,"y"))</f>
        <v/>
      </c>
      <c r="I392" s="200" t="str">
        <f>IF(E392="","",IF(AND(BV392&lt;=66),VLOOKUP(H392,'LetterID Look Up'!$A$13:$B$20,2,TRUE),IF(AND(BV392&gt;=67,BV392&lt;=72),VLOOKUP(H392,'LetterID Look Up'!$E$13:$F$19,2,TRUE),IF(AND(BV392&gt;=73,BV392&lt;=78),VLOOKUP(H392,'LetterID Look Up'!$I$13:$J$19,2,TRUE),IF(AND(BV392&gt;=79),VLOOKUP(H392,'LetterID Look Up'!$M$13:$N$17,2,TRUE),"")))))</f>
        <v/>
      </c>
      <c r="J392" s="122"/>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95"/>
      <c r="AH392" s="112"/>
      <c r="AI392" s="196"/>
      <c r="AJ392" s="197"/>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96"/>
      <c r="BV392" s="222" t="str">
        <f t="shared" ref="BV392:BV455" si="13">IF(E392="","",DATEDIF(B392,A392,"m"))</f>
        <v/>
      </c>
    </row>
    <row r="393" spans="1:74" s="108" customFormat="1" ht="15.75">
      <c r="A393" s="119"/>
      <c r="B393" s="120"/>
      <c r="C393" s="111"/>
      <c r="D393" s="111"/>
      <c r="E393" s="121"/>
      <c r="F393" s="121"/>
      <c r="G393" s="113"/>
      <c r="H393" s="199" t="str">
        <f t="shared" si="12"/>
        <v/>
      </c>
      <c r="I393" s="200" t="str">
        <f>IF(E393="","",IF(AND(BV393&lt;=66),VLOOKUP(H393,'LetterID Look Up'!$A$13:$B$20,2,TRUE),IF(AND(BV393&gt;=67,BV393&lt;=72),VLOOKUP(H393,'LetterID Look Up'!$E$13:$F$19,2,TRUE),IF(AND(BV393&gt;=73,BV393&lt;=78),VLOOKUP(H393,'LetterID Look Up'!$I$13:$J$19,2,TRUE),IF(AND(BV393&gt;=79),VLOOKUP(H393,'LetterID Look Up'!$M$13:$N$17,2,TRUE),"")))))</f>
        <v/>
      </c>
      <c r="J393" s="122"/>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95"/>
      <c r="AH393" s="112"/>
      <c r="AI393" s="196"/>
      <c r="AJ393" s="197"/>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96"/>
      <c r="BV393" s="222" t="str">
        <f t="shared" si="13"/>
        <v/>
      </c>
    </row>
    <row r="394" spans="1:74" s="108" customFormat="1" ht="15.75">
      <c r="A394" s="119"/>
      <c r="B394" s="120"/>
      <c r="C394" s="111"/>
      <c r="D394" s="111"/>
      <c r="E394" s="121"/>
      <c r="F394" s="121"/>
      <c r="G394" s="113"/>
      <c r="H394" s="199" t="str">
        <f t="shared" si="12"/>
        <v/>
      </c>
      <c r="I394" s="200" t="str">
        <f>IF(E394="","",IF(AND(BV394&lt;=66),VLOOKUP(H394,'LetterID Look Up'!$A$13:$B$20,2,TRUE),IF(AND(BV394&gt;=67,BV394&lt;=72),VLOOKUP(H394,'LetterID Look Up'!$E$13:$F$19,2,TRUE),IF(AND(BV394&gt;=73,BV394&lt;=78),VLOOKUP(H394,'LetterID Look Up'!$I$13:$J$19,2,TRUE),IF(AND(BV394&gt;=79),VLOOKUP(H394,'LetterID Look Up'!$M$13:$N$17,2,TRUE),"")))))</f>
        <v/>
      </c>
      <c r="J394" s="122"/>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95"/>
      <c r="AH394" s="112"/>
      <c r="AI394" s="196"/>
      <c r="AJ394" s="197"/>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96"/>
      <c r="BV394" s="222" t="str">
        <f t="shared" si="13"/>
        <v/>
      </c>
    </row>
    <row r="395" spans="1:74" s="108" customFormat="1" ht="15.75">
      <c r="A395" s="119"/>
      <c r="B395" s="120"/>
      <c r="C395" s="111"/>
      <c r="D395" s="111"/>
      <c r="E395" s="121"/>
      <c r="F395" s="121"/>
      <c r="G395" s="113"/>
      <c r="H395" s="199" t="str">
        <f t="shared" si="12"/>
        <v/>
      </c>
      <c r="I395" s="200" t="str">
        <f>IF(E395="","",IF(AND(BV395&lt;=66),VLOOKUP(H395,'LetterID Look Up'!$A$13:$B$20,2,TRUE),IF(AND(BV395&gt;=67,BV395&lt;=72),VLOOKUP(H395,'LetterID Look Up'!$E$13:$F$19,2,TRUE),IF(AND(BV395&gt;=73,BV395&lt;=78),VLOOKUP(H395,'LetterID Look Up'!$I$13:$J$19,2,TRUE),IF(AND(BV395&gt;=79),VLOOKUP(H395,'LetterID Look Up'!$M$13:$N$17,2,TRUE),"")))))</f>
        <v/>
      </c>
      <c r="J395" s="122"/>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95"/>
      <c r="AH395" s="112"/>
      <c r="AI395" s="196"/>
      <c r="AJ395" s="197"/>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96"/>
      <c r="BV395" s="222" t="str">
        <f t="shared" si="13"/>
        <v/>
      </c>
    </row>
    <row r="396" spans="1:74" s="108" customFormat="1" ht="15.75">
      <c r="A396" s="119"/>
      <c r="B396" s="120"/>
      <c r="C396" s="111"/>
      <c r="D396" s="111"/>
      <c r="E396" s="121"/>
      <c r="F396" s="121"/>
      <c r="G396" s="113"/>
      <c r="H396" s="199" t="str">
        <f t="shared" si="12"/>
        <v/>
      </c>
      <c r="I396" s="200" t="str">
        <f>IF(E396="","",IF(AND(BV396&lt;=66),VLOOKUP(H396,'LetterID Look Up'!$A$13:$B$20,2,TRUE),IF(AND(BV396&gt;=67,BV396&lt;=72),VLOOKUP(H396,'LetterID Look Up'!$E$13:$F$19,2,TRUE),IF(AND(BV396&gt;=73,BV396&lt;=78),VLOOKUP(H396,'LetterID Look Up'!$I$13:$J$19,2,TRUE),IF(AND(BV396&gt;=79),VLOOKUP(H396,'LetterID Look Up'!$M$13:$N$17,2,TRUE),"")))))</f>
        <v/>
      </c>
      <c r="J396" s="122"/>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95"/>
      <c r="AH396" s="112"/>
      <c r="AI396" s="196"/>
      <c r="AJ396" s="197"/>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96"/>
      <c r="BV396" s="222" t="str">
        <f t="shared" si="13"/>
        <v/>
      </c>
    </row>
    <row r="397" spans="1:74" s="108" customFormat="1" ht="15.75">
      <c r="A397" s="119"/>
      <c r="B397" s="120"/>
      <c r="C397" s="111"/>
      <c r="D397" s="111"/>
      <c r="E397" s="121"/>
      <c r="F397" s="121"/>
      <c r="G397" s="113"/>
      <c r="H397" s="199" t="str">
        <f t="shared" si="12"/>
        <v/>
      </c>
      <c r="I397" s="200" t="str">
        <f>IF(E397="","",IF(AND(BV397&lt;=66),VLOOKUP(H397,'LetterID Look Up'!$A$13:$B$20,2,TRUE),IF(AND(BV397&gt;=67,BV397&lt;=72),VLOOKUP(H397,'LetterID Look Up'!$E$13:$F$19,2,TRUE),IF(AND(BV397&gt;=73,BV397&lt;=78),VLOOKUP(H397,'LetterID Look Up'!$I$13:$J$19,2,TRUE),IF(AND(BV397&gt;=79),VLOOKUP(H397,'LetterID Look Up'!$M$13:$N$17,2,TRUE),"")))))</f>
        <v/>
      </c>
      <c r="J397" s="122"/>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95"/>
      <c r="AH397" s="112"/>
      <c r="AI397" s="196"/>
      <c r="AJ397" s="197"/>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96"/>
      <c r="BV397" s="222" t="str">
        <f t="shared" si="13"/>
        <v/>
      </c>
    </row>
    <row r="398" spans="1:74" s="108" customFormat="1" ht="15.75">
      <c r="A398" s="119"/>
      <c r="B398" s="120"/>
      <c r="C398" s="111"/>
      <c r="D398" s="111"/>
      <c r="E398" s="121"/>
      <c r="F398" s="121"/>
      <c r="G398" s="113"/>
      <c r="H398" s="199" t="str">
        <f t="shared" si="12"/>
        <v/>
      </c>
      <c r="I398" s="200" t="str">
        <f>IF(E398="","",IF(AND(BV398&lt;=66),VLOOKUP(H398,'LetterID Look Up'!$A$13:$B$20,2,TRUE),IF(AND(BV398&gt;=67,BV398&lt;=72),VLOOKUP(H398,'LetterID Look Up'!$E$13:$F$19,2,TRUE),IF(AND(BV398&gt;=73,BV398&lt;=78),VLOOKUP(H398,'LetterID Look Up'!$I$13:$J$19,2,TRUE),IF(AND(BV398&gt;=79),VLOOKUP(H398,'LetterID Look Up'!$M$13:$N$17,2,TRUE),"")))))</f>
        <v/>
      </c>
      <c r="J398" s="122"/>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95"/>
      <c r="AH398" s="112"/>
      <c r="AI398" s="196"/>
      <c r="AJ398" s="197"/>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96"/>
      <c r="BV398" s="222" t="str">
        <f t="shared" si="13"/>
        <v/>
      </c>
    </row>
    <row r="399" spans="1:74" s="108" customFormat="1" ht="15.75">
      <c r="A399" s="119"/>
      <c r="B399" s="120"/>
      <c r="C399" s="111"/>
      <c r="D399" s="111"/>
      <c r="E399" s="121"/>
      <c r="F399" s="121"/>
      <c r="G399" s="113"/>
      <c r="H399" s="199" t="str">
        <f t="shared" si="12"/>
        <v/>
      </c>
      <c r="I399" s="200" t="str">
        <f>IF(E399="","",IF(AND(BV399&lt;=66),VLOOKUP(H399,'LetterID Look Up'!$A$13:$B$20,2,TRUE),IF(AND(BV399&gt;=67,BV399&lt;=72),VLOOKUP(H399,'LetterID Look Up'!$E$13:$F$19,2,TRUE),IF(AND(BV399&gt;=73,BV399&lt;=78),VLOOKUP(H399,'LetterID Look Up'!$I$13:$J$19,2,TRUE),IF(AND(BV399&gt;=79),VLOOKUP(H399,'LetterID Look Up'!$M$13:$N$17,2,TRUE),"")))))</f>
        <v/>
      </c>
      <c r="J399" s="122"/>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95"/>
      <c r="AH399" s="112"/>
      <c r="AI399" s="196"/>
      <c r="AJ399" s="197"/>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96"/>
      <c r="BV399" s="222" t="str">
        <f t="shared" si="13"/>
        <v/>
      </c>
    </row>
    <row r="400" spans="1:74" s="108" customFormat="1" ht="15.75">
      <c r="A400" s="119"/>
      <c r="B400" s="120"/>
      <c r="C400" s="111"/>
      <c r="D400" s="111"/>
      <c r="E400" s="121"/>
      <c r="F400" s="121"/>
      <c r="G400" s="113"/>
      <c r="H400" s="199" t="str">
        <f t="shared" si="12"/>
        <v/>
      </c>
      <c r="I400" s="200" t="str">
        <f>IF(E400="","",IF(AND(BV400&lt;=66),VLOOKUP(H400,'LetterID Look Up'!$A$13:$B$20,2,TRUE),IF(AND(BV400&gt;=67,BV400&lt;=72),VLOOKUP(H400,'LetterID Look Up'!$E$13:$F$19,2,TRUE),IF(AND(BV400&gt;=73,BV400&lt;=78),VLOOKUP(H400,'LetterID Look Up'!$I$13:$J$19,2,TRUE),IF(AND(BV400&gt;=79),VLOOKUP(H400,'LetterID Look Up'!$M$13:$N$17,2,TRUE),"")))))</f>
        <v/>
      </c>
      <c r="J400" s="122"/>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95"/>
      <c r="AH400" s="112"/>
      <c r="AI400" s="196"/>
      <c r="AJ400" s="197"/>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96"/>
      <c r="BV400" s="222" t="str">
        <f t="shared" si="13"/>
        <v/>
      </c>
    </row>
    <row r="401" spans="1:74" s="108" customFormat="1" ht="15.75">
      <c r="A401" s="119"/>
      <c r="B401" s="120"/>
      <c r="C401" s="111"/>
      <c r="D401" s="111"/>
      <c r="E401" s="121"/>
      <c r="F401" s="121"/>
      <c r="G401" s="113"/>
      <c r="H401" s="199" t="str">
        <f t="shared" si="12"/>
        <v/>
      </c>
      <c r="I401" s="200" t="str">
        <f>IF(E401="","",IF(AND(BV401&lt;=66),VLOOKUP(H401,'LetterID Look Up'!$A$13:$B$20,2,TRUE),IF(AND(BV401&gt;=67,BV401&lt;=72),VLOOKUP(H401,'LetterID Look Up'!$E$13:$F$19,2,TRUE),IF(AND(BV401&gt;=73,BV401&lt;=78),VLOOKUP(H401,'LetterID Look Up'!$I$13:$J$19,2,TRUE),IF(AND(BV401&gt;=79),VLOOKUP(H401,'LetterID Look Up'!$M$13:$N$17,2,TRUE),"")))))</f>
        <v/>
      </c>
      <c r="J401" s="122"/>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95"/>
      <c r="AH401" s="112"/>
      <c r="AI401" s="196"/>
      <c r="AJ401" s="197"/>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96"/>
      <c r="BV401" s="222" t="str">
        <f t="shared" si="13"/>
        <v/>
      </c>
    </row>
    <row r="402" spans="1:74" s="108" customFormat="1" ht="15.75">
      <c r="A402" s="119"/>
      <c r="B402" s="120"/>
      <c r="C402" s="111"/>
      <c r="D402" s="111"/>
      <c r="E402" s="121"/>
      <c r="F402" s="121"/>
      <c r="G402" s="113"/>
      <c r="H402" s="199" t="str">
        <f t="shared" si="12"/>
        <v/>
      </c>
      <c r="I402" s="200" t="str">
        <f>IF(E402="","",IF(AND(BV402&lt;=66),VLOOKUP(H402,'LetterID Look Up'!$A$13:$B$20,2,TRUE),IF(AND(BV402&gt;=67,BV402&lt;=72),VLOOKUP(H402,'LetterID Look Up'!$E$13:$F$19,2,TRUE),IF(AND(BV402&gt;=73,BV402&lt;=78),VLOOKUP(H402,'LetterID Look Up'!$I$13:$J$19,2,TRUE),IF(AND(BV402&gt;=79),VLOOKUP(H402,'LetterID Look Up'!$M$13:$N$17,2,TRUE),"")))))</f>
        <v/>
      </c>
      <c r="J402" s="122"/>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95"/>
      <c r="AH402" s="112"/>
      <c r="AI402" s="196"/>
      <c r="AJ402" s="197"/>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96"/>
      <c r="BV402" s="222" t="str">
        <f t="shared" si="13"/>
        <v/>
      </c>
    </row>
    <row r="403" spans="1:74" s="108" customFormat="1" ht="15.75">
      <c r="A403" s="119"/>
      <c r="B403" s="120"/>
      <c r="C403" s="111"/>
      <c r="D403" s="111"/>
      <c r="E403" s="121"/>
      <c r="F403" s="121"/>
      <c r="G403" s="113"/>
      <c r="H403" s="199" t="str">
        <f t="shared" si="12"/>
        <v/>
      </c>
      <c r="I403" s="200" t="str">
        <f>IF(E403="","",IF(AND(BV403&lt;=66),VLOOKUP(H403,'LetterID Look Up'!$A$13:$B$20,2,TRUE),IF(AND(BV403&gt;=67,BV403&lt;=72),VLOOKUP(H403,'LetterID Look Up'!$E$13:$F$19,2,TRUE),IF(AND(BV403&gt;=73,BV403&lt;=78),VLOOKUP(H403,'LetterID Look Up'!$I$13:$J$19,2,TRUE),IF(AND(BV403&gt;=79),VLOOKUP(H403,'LetterID Look Up'!$M$13:$N$17,2,TRUE),"")))))</f>
        <v/>
      </c>
      <c r="J403" s="122"/>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95"/>
      <c r="AH403" s="112"/>
      <c r="AI403" s="196"/>
      <c r="AJ403" s="197"/>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96"/>
      <c r="BV403" s="222" t="str">
        <f t="shared" si="13"/>
        <v/>
      </c>
    </row>
    <row r="404" spans="1:74" s="108" customFormat="1" ht="15.75">
      <c r="A404" s="119"/>
      <c r="B404" s="120"/>
      <c r="C404" s="111"/>
      <c r="D404" s="111"/>
      <c r="E404" s="121"/>
      <c r="F404" s="121"/>
      <c r="G404" s="113"/>
      <c r="H404" s="199" t="str">
        <f t="shared" si="12"/>
        <v/>
      </c>
      <c r="I404" s="200" t="str">
        <f>IF(E404="","",IF(AND(BV404&lt;=66),VLOOKUP(H404,'LetterID Look Up'!$A$13:$B$20,2,TRUE),IF(AND(BV404&gt;=67,BV404&lt;=72),VLOOKUP(H404,'LetterID Look Up'!$E$13:$F$19,2,TRUE),IF(AND(BV404&gt;=73,BV404&lt;=78),VLOOKUP(H404,'LetterID Look Up'!$I$13:$J$19,2,TRUE),IF(AND(BV404&gt;=79),VLOOKUP(H404,'LetterID Look Up'!$M$13:$N$17,2,TRUE),"")))))</f>
        <v/>
      </c>
      <c r="J404" s="122"/>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95"/>
      <c r="AH404" s="112"/>
      <c r="AI404" s="196"/>
      <c r="AJ404" s="197"/>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96"/>
      <c r="BV404" s="222" t="str">
        <f t="shared" si="13"/>
        <v/>
      </c>
    </row>
    <row r="405" spans="1:74" s="108" customFormat="1" ht="15.75">
      <c r="A405" s="119"/>
      <c r="B405" s="120"/>
      <c r="C405" s="111"/>
      <c r="D405" s="111"/>
      <c r="E405" s="121"/>
      <c r="F405" s="121"/>
      <c r="G405" s="113"/>
      <c r="H405" s="199" t="str">
        <f t="shared" si="12"/>
        <v/>
      </c>
      <c r="I405" s="200" t="str">
        <f>IF(E405="","",IF(AND(BV405&lt;=66),VLOOKUP(H405,'LetterID Look Up'!$A$13:$B$20,2,TRUE),IF(AND(BV405&gt;=67,BV405&lt;=72),VLOOKUP(H405,'LetterID Look Up'!$E$13:$F$19,2,TRUE),IF(AND(BV405&gt;=73,BV405&lt;=78),VLOOKUP(H405,'LetterID Look Up'!$I$13:$J$19,2,TRUE),IF(AND(BV405&gt;=79),VLOOKUP(H405,'LetterID Look Up'!$M$13:$N$17,2,TRUE),"")))))</f>
        <v/>
      </c>
      <c r="J405" s="122"/>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95"/>
      <c r="AH405" s="112"/>
      <c r="AI405" s="196"/>
      <c r="AJ405" s="197"/>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96"/>
      <c r="BV405" s="222" t="str">
        <f t="shared" si="13"/>
        <v/>
      </c>
    </row>
    <row r="406" spans="1:74" s="108" customFormat="1" ht="15.75">
      <c r="A406" s="119"/>
      <c r="B406" s="120"/>
      <c r="C406" s="111"/>
      <c r="D406" s="111"/>
      <c r="E406" s="121"/>
      <c r="F406" s="121"/>
      <c r="G406" s="113"/>
      <c r="H406" s="199" t="str">
        <f t="shared" si="12"/>
        <v/>
      </c>
      <c r="I406" s="200" t="str">
        <f>IF(E406="","",IF(AND(BV406&lt;=66),VLOOKUP(H406,'LetterID Look Up'!$A$13:$B$20,2,TRUE),IF(AND(BV406&gt;=67,BV406&lt;=72),VLOOKUP(H406,'LetterID Look Up'!$E$13:$F$19,2,TRUE),IF(AND(BV406&gt;=73,BV406&lt;=78),VLOOKUP(H406,'LetterID Look Up'!$I$13:$J$19,2,TRUE),IF(AND(BV406&gt;=79),VLOOKUP(H406,'LetterID Look Up'!$M$13:$N$17,2,TRUE),"")))))</f>
        <v/>
      </c>
      <c r="J406" s="122"/>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95"/>
      <c r="AH406" s="112"/>
      <c r="AI406" s="196"/>
      <c r="AJ406" s="197"/>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96"/>
      <c r="BV406" s="222" t="str">
        <f t="shared" si="13"/>
        <v/>
      </c>
    </row>
    <row r="407" spans="1:74" s="108" customFormat="1" ht="15.75">
      <c r="A407" s="119"/>
      <c r="B407" s="120"/>
      <c r="C407" s="111"/>
      <c r="D407" s="111"/>
      <c r="E407" s="121"/>
      <c r="F407" s="121"/>
      <c r="G407" s="113"/>
      <c r="H407" s="199" t="str">
        <f t="shared" si="12"/>
        <v/>
      </c>
      <c r="I407" s="200" t="str">
        <f>IF(E407="","",IF(AND(BV407&lt;=66),VLOOKUP(H407,'LetterID Look Up'!$A$13:$B$20,2,TRUE),IF(AND(BV407&gt;=67,BV407&lt;=72),VLOOKUP(H407,'LetterID Look Up'!$E$13:$F$19,2,TRUE),IF(AND(BV407&gt;=73,BV407&lt;=78),VLOOKUP(H407,'LetterID Look Up'!$I$13:$J$19,2,TRUE),IF(AND(BV407&gt;=79),VLOOKUP(H407,'LetterID Look Up'!$M$13:$N$17,2,TRUE),"")))))</f>
        <v/>
      </c>
      <c r="J407" s="122"/>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95"/>
      <c r="AH407" s="112"/>
      <c r="AI407" s="196"/>
      <c r="AJ407" s="197"/>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96"/>
      <c r="BV407" s="222" t="str">
        <f t="shared" si="13"/>
        <v/>
      </c>
    </row>
    <row r="408" spans="1:74" s="108" customFormat="1" ht="15.75">
      <c r="A408" s="119"/>
      <c r="B408" s="120"/>
      <c r="C408" s="111"/>
      <c r="D408" s="111"/>
      <c r="E408" s="121"/>
      <c r="F408" s="121"/>
      <c r="G408" s="113"/>
      <c r="H408" s="199" t="str">
        <f t="shared" si="12"/>
        <v/>
      </c>
      <c r="I408" s="200" t="str">
        <f>IF(E408="","",IF(AND(BV408&lt;=66),VLOOKUP(H408,'LetterID Look Up'!$A$13:$B$20,2,TRUE),IF(AND(BV408&gt;=67,BV408&lt;=72),VLOOKUP(H408,'LetterID Look Up'!$E$13:$F$19,2,TRUE),IF(AND(BV408&gt;=73,BV408&lt;=78),VLOOKUP(H408,'LetterID Look Up'!$I$13:$J$19,2,TRUE),IF(AND(BV408&gt;=79),VLOOKUP(H408,'LetterID Look Up'!$M$13:$N$17,2,TRUE),"")))))</f>
        <v/>
      </c>
      <c r="J408" s="122"/>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95"/>
      <c r="AH408" s="112"/>
      <c r="AI408" s="196"/>
      <c r="AJ408" s="197"/>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96"/>
      <c r="BV408" s="222" t="str">
        <f t="shared" si="13"/>
        <v/>
      </c>
    </row>
    <row r="409" spans="1:74" s="108" customFormat="1" ht="15.75">
      <c r="A409" s="119"/>
      <c r="B409" s="120"/>
      <c r="C409" s="111"/>
      <c r="D409" s="111"/>
      <c r="E409" s="121"/>
      <c r="F409" s="121"/>
      <c r="G409" s="113"/>
      <c r="H409" s="199" t="str">
        <f t="shared" si="12"/>
        <v/>
      </c>
      <c r="I409" s="200" t="str">
        <f>IF(E409="","",IF(AND(BV409&lt;=66),VLOOKUP(H409,'LetterID Look Up'!$A$13:$B$20,2,TRUE),IF(AND(BV409&gt;=67,BV409&lt;=72),VLOOKUP(H409,'LetterID Look Up'!$E$13:$F$19,2,TRUE),IF(AND(BV409&gt;=73,BV409&lt;=78),VLOOKUP(H409,'LetterID Look Up'!$I$13:$J$19,2,TRUE),IF(AND(BV409&gt;=79),VLOOKUP(H409,'LetterID Look Up'!$M$13:$N$17,2,TRUE),"")))))</f>
        <v/>
      </c>
      <c r="J409" s="122"/>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95"/>
      <c r="AH409" s="112"/>
      <c r="AI409" s="196"/>
      <c r="AJ409" s="197"/>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96"/>
      <c r="BV409" s="222" t="str">
        <f t="shared" si="13"/>
        <v/>
      </c>
    </row>
    <row r="410" spans="1:74" s="108" customFormat="1" ht="15.75">
      <c r="A410" s="119"/>
      <c r="B410" s="120"/>
      <c r="C410" s="111"/>
      <c r="D410" s="111"/>
      <c r="E410" s="121"/>
      <c r="F410" s="121"/>
      <c r="G410" s="113"/>
      <c r="H410" s="199" t="str">
        <f t="shared" si="12"/>
        <v/>
      </c>
      <c r="I410" s="200" t="str">
        <f>IF(E410="","",IF(AND(BV410&lt;=66),VLOOKUP(H410,'LetterID Look Up'!$A$13:$B$20,2,TRUE),IF(AND(BV410&gt;=67,BV410&lt;=72),VLOOKUP(H410,'LetterID Look Up'!$E$13:$F$19,2,TRUE),IF(AND(BV410&gt;=73,BV410&lt;=78),VLOOKUP(H410,'LetterID Look Up'!$I$13:$J$19,2,TRUE),IF(AND(BV410&gt;=79),VLOOKUP(H410,'LetterID Look Up'!$M$13:$N$17,2,TRUE),"")))))</f>
        <v/>
      </c>
      <c r="J410" s="122"/>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95"/>
      <c r="AH410" s="112"/>
      <c r="AI410" s="196"/>
      <c r="AJ410" s="197"/>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96"/>
      <c r="BV410" s="222" t="str">
        <f t="shared" si="13"/>
        <v/>
      </c>
    </row>
    <row r="411" spans="1:74" s="108" customFormat="1" ht="15.75">
      <c r="A411" s="119"/>
      <c r="B411" s="120"/>
      <c r="C411" s="111"/>
      <c r="D411" s="111"/>
      <c r="E411" s="121"/>
      <c r="F411" s="121"/>
      <c r="G411" s="113"/>
      <c r="H411" s="199" t="str">
        <f t="shared" si="12"/>
        <v/>
      </c>
      <c r="I411" s="200" t="str">
        <f>IF(E411="","",IF(AND(BV411&lt;=66),VLOOKUP(H411,'LetterID Look Up'!$A$13:$B$20,2,TRUE),IF(AND(BV411&gt;=67,BV411&lt;=72),VLOOKUP(H411,'LetterID Look Up'!$E$13:$F$19,2,TRUE),IF(AND(BV411&gt;=73,BV411&lt;=78),VLOOKUP(H411,'LetterID Look Up'!$I$13:$J$19,2,TRUE),IF(AND(BV411&gt;=79),VLOOKUP(H411,'LetterID Look Up'!$M$13:$N$17,2,TRUE),"")))))</f>
        <v/>
      </c>
      <c r="J411" s="122"/>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95"/>
      <c r="AH411" s="112"/>
      <c r="AI411" s="196"/>
      <c r="AJ411" s="197"/>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96"/>
      <c r="BV411" s="222" t="str">
        <f t="shared" si="13"/>
        <v/>
      </c>
    </row>
    <row r="412" spans="1:74" s="108" customFormat="1" ht="15.75">
      <c r="A412" s="119"/>
      <c r="B412" s="120"/>
      <c r="C412" s="111"/>
      <c r="D412" s="111"/>
      <c r="E412" s="121"/>
      <c r="F412" s="121"/>
      <c r="G412" s="113"/>
      <c r="H412" s="199" t="str">
        <f t="shared" si="12"/>
        <v/>
      </c>
      <c r="I412" s="200" t="str">
        <f>IF(E412="","",IF(AND(BV412&lt;=66),VLOOKUP(H412,'LetterID Look Up'!$A$13:$B$20,2,TRUE),IF(AND(BV412&gt;=67,BV412&lt;=72),VLOOKUP(H412,'LetterID Look Up'!$E$13:$F$19,2,TRUE),IF(AND(BV412&gt;=73,BV412&lt;=78),VLOOKUP(H412,'LetterID Look Up'!$I$13:$J$19,2,TRUE),IF(AND(BV412&gt;=79),VLOOKUP(H412,'LetterID Look Up'!$M$13:$N$17,2,TRUE),"")))))</f>
        <v/>
      </c>
      <c r="J412" s="122"/>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95"/>
      <c r="AH412" s="112"/>
      <c r="AI412" s="196"/>
      <c r="AJ412" s="197"/>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96"/>
      <c r="BV412" s="222" t="str">
        <f t="shared" si="13"/>
        <v/>
      </c>
    </row>
    <row r="413" spans="1:74" s="108" customFormat="1" ht="15.75">
      <c r="A413" s="119"/>
      <c r="B413" s="120"/>
      <c r="C413" s="111"/>
      <c r="D413" s="111"/>
      <c r="E413" s="121"/>
      <c r="F413" s="121"/>
      <c r="G413" s="113"/>
      <c r="H413" s="199" t="str">
        <f t="shared" si="12"/>
        <v/>
      </c>
      <c r="I413" s="200" t="str">
        <f>IF(E413="","",IF(AND(BV413&lt;=66),VLOOKUP(H413,'LetterID Look Up'!$A$13:$B$20,2,TRUE),IF(AND(BV413&gt;=67,BV413&lt;=72),VLOOKUP(H413,'LetterID Look Up'!$E$13:$F$19,2,TRUE),IF(AND(BV413&gt;=73,BV413&lt;=78),VLOOKUP(H413,'LetterID Look Up'!$I$13:$J$19,2,TRUE),IF(AND(BV413&gt;=79),VLOOKUP(H413,'LetterID Look Up'!$M$13:$N$17,2,TRUE),"")))))</f>
        <v/>
      </c>
      <c r="J413" s="122"/>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95"/>
      <c r="AH413" s="112"/>
      <c r="AI413" s="196"/>
      <c r="AJ413" s="197"/>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96"/>
      <c r="BV413" s="222" t="str">
        <f t="shared" si="13"/>
        <v/>
      </c>
    </row>
    <row r="414" spans="1:74" s="108" customFormat="1" ht="15.75">
      <c r="A414" s="119"/>
      <c r="B414" s="120"/>
      <c r="C414" s="111"/>
      <c r="D414" s="111"/>
      <c r="E414" s="121"/>
      <c r="F414" s="121"/>
      <c r="G414" s="113"/>
      <c r="H414" s="199" t="str">
        <f t="shared" si="12"/>
        <v/>
      </c>
      <c r="I414" s="200" t="str">
        <f>IF(E414="","",IF(AND(BV414&lt;=66),VLOOKUP(H414,'LetterID Look Up'!$A$13:$B$20,2,TRUE),IF(AND(BV414&gt;=67,BV414&lt;=72),VLOOKUP(H414,'LetterID Look Up'!$E$13:$F$19,2,TRUE),IF(AND(BV414&gt;=73,BV414&lt;=78),VLOOKUP(H414,'LetterID Look Up'!$I$13:$J$19,2,TRUE),IF(AND(BV414&gt;=79),VLOOKUP(H414,'LetterID Look Up'!$M$13:$N$17,2,TRUE),"")))))</f>
        <v/>
      </c>
      <c r="J414" s="122"/>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95"/>
      <c r="AH414" s="112"/>
      <c r="AI414" s="196"/>
      <c r="AJ414" s="197"/>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96"/>
      <c r="BV414" s="222" t="str">
        <f t="shared" si="13"/>
        <v/>
      </c>
    </row>
    <row r="415" spans="1:74" s="108" customFormat="1" ht="15.75">
      <c r="A415" s="119"/>
      <c r="B415" s="120"/>
      <c r="C415" s="111"/>
      <c r="D415" s="111"/>
      <c r="E415" s="121"/>
      <c r="F415" s="121"/>
      <c r="G415" s="113"/>
      <c r="H415" s="199" t="str">
        <f t="shared" si="12"/>
        <v/>
      </c>
      <c r="I415" s="200" t="str">
        <f>IF(E415="","",IF(AND(BV415&lt;=66),VLOOKUP(H415,'LetterID Look Up'!$A$13:$B$20,2,TRUE),IF(AND(BV415&gt;=67,BV415&lt;=72),VLOOKUP(H415,'LetterID Look Up'!$E$13:$F$19,2,TRUE),IF(AND(BV415&gt;=73,BV415&lt;=78),VLOOKUP(H415,'LetterID Look Up'!$I$13:$J$19,2,TRUE),IF(AND(BV415&gt;=79),VLOOKUP(H415,'LetterID Look Up'!$M$13:$N$17,2,TRUE),"")))))</f>
        <v/>
      </c>
      <c r="J415" s="122"/>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95"/>
      <c r="AH415" s="112"/>
      <c r="AI415" s="196"/>
      <c r="AJ415" s="197"/>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96"/>
      <c r="BV415" s="222" t="str">
        <f t="shared" si="13"/>
        <v/>
      </c>
    </row>
    <row r="416" spans="1:74" s="108" customFormat="1" ht="15.75">
      <c r="A416" s="119"/>
      <c r="B416" s="120"/>
      <c r="C416" s="111"/>
      <c r="D416" s="111"/>
      <c r="E416" s="121"/>
      <c r="F416" s="121"/>
      <c r="G416" s="113"/>
      <c r="H416" s="199" t="str">
        <f t="shared" si="12"/>
        <v/>
      </c>
      <c r="I416" s="200" t="str">
        <f>IF(E416="","",IF(AND(BV416&lt;=66),VLOOKUP(H416,'LetterID Look Up'!$A$13:$B$20,2,TRUE),IF(AND(BV416&gt;=67,BV416&lt;=72),VLOOKUP(H416,'LetterID Look Up'!$E$13:$F$19,2,TRUE),IF(AND(BV416&gt;=73,BV416&lt;=78),VLOOKUP(H416,'LetterID Look Up'!$I$13:$J$19,2,TRUE),IF(AND(BV416&gt;=79),VLOOKUP(H416,'LetterID Look Up'!$M$13:$N$17,2,TRUE),"")))))</f>
        <v/>
      </c>
      <c r="J416" s="122"/>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95"/>
      <c r="AH416" s="112"/>
      <c r="AI416" s="196"/>
      <c r="AJ416" s="197"/>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96"/>
      <c r="BV416" s="222" t="str">
        <f t="shared" si="13"/>
        <v/>
      </c>
    </row>
    <row r="417" spans="1:74" s="108" customFormat="1" ht="15.75">
      <c r="A417" s="119"/>
      <c r="B417" s="120"/>
      <c r="C417" s="111"/>
      <c r="D417" s="111"/>
      <c r="E417" s="121"/>
      <c r="F417" s="121"/>
      <c r="G417" s="113"/>
      <c r="H417" s="199" t="str">
        <f t="shared" si="12"/>
        <v/>
      </c>
      <c r="I417" s="200" t="str">
        <f>IF(E417="","",IF(AND(BV417&lt;=66),VLOOKUP(H417,'LetterID Look Up'!$A$13:$B$20,2,TRUE),IF(AND(BV417&gt;=67,BV417&lt;=72),VLOOKUP(H417,'LetterID Look Up'!$E$13:$F$19,2,TRUE),IF(AND(BV417&gt;=73,BV417&lt;=78),VLOOKUP(H417,'LetterID Look Up'!$I$13:$J$19,2,TRUE),IF(AND(BV417&gt;=79),VLOOKUP(H417,'LetterID Look Up'!$M$13:$N$17,2,TRUE),"")))))</f>
        <v/>
      </c>
      <c r="J417" s="122"/>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95"/>
      <c r="AH417" s="112"/>
      <c r="AI417" s="196"/>
      <c r="AJ417" s="197"/>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96"/>
      <c r="BV417" s="222" t="str">
        <f t="shared" si="13"/>
        <v/>
      </c>
    </row>
    <row r="418" spans="1:74" s="108" customFormat="1" ht="15.75">
      <c r="A418" s="119"/>
      <c r="B418" s="120"/>
      <c r="C418" s="111"/>
      <c r="D418" s="111"/>
      <c r="E418" s="121"/>
      <c r="F418" s="121"/>
      <c r="G418" s="113"/>
      <c r="H418" s="199" t="str">
        <f t="shared" si="12"/>
        <v/>
      </c>
      <c r="I418" s="200" t="str">
        <f>IF(E418="","",IF(AND(BV418&lt;=66),VLOOKUP(H418,'LetterID Look Up'!$A$13:$B$20,2,TRUE),IF(AND(BV418&gt;=67,BV418&lt;=72),VLOOKUP(H418,'LetterID Look Up'!$E$13:$F$19,2,TRUE),IF(AND(BV418&gt;=73,BV418&lt;=78),VLOOKUP(H418,'LetterID Look Up'!$I$13:$J$19,2,TRUE),IF(AND(BV418&gt;=79),VLOOKUP(H418,'LetterID Look Up'!$M$13:$N$17,2,TRUE),"")))))</f>
        <v/>
      </c>
      <c r="J418" s="122"/>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95"/>
      <c r="AH418" s="112"/>
      <c r="AI418" s="196"/>
      <c r="AJ418" s="197"/>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96"/>
      <c r="BV418" s="222" t="str">
        <f t="shared" si="13"/>
        <v/>
      </c>
    </row>
    <row r="419" spans="1:74" s="108" customFormat="1" ht="15.75">
      <c r="A419" s="119"/>
      <c r="B419" s="120"/>
      <c r="C419" s="111"/>
      <c r="D419" s="111"/>
      <c r="E419" s="121"/>
      <c r="F419" s="121"/>
      <c r="G419" s="113"/>
      <c r="H419" s="199" t="str">
        <f t="shared" si="12"/>
        <v/>
      </c>
      <c r="I419" s="200" t="str">
        <f>IF(E419="","",IF(AND(BV419&lt;=66),VLOOKUP(H419,'LetterID Look Up'!$A$13:$B$20,2,TRUE),IF(AND(BV419&gt;=67,BV419&lt;=72),VLOOKUP(H419,'LetterID Look Up'!$E$13:$F$19,2,TRUE),IF(AND(BV419&gt;=73,BV419&lt;=78),VLOOKUP(H419,'LetterID Look Up'!$I$13:$J$19,2,TRUE),IF(AND(BV419&gt;=79),VLOOKUP(H419,'LetterID Look Up'!$M$13:$N$17,2,TRUE),"")))))</f>
        <v/>
      </c>
      <c r="J419" s="122"/>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95"/>
      <c r="AH419" s="112"/>
      <c r="AI419" s="196"/>
      <c r="AJ419" s="197"/>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96"/>
      <c r="BV419" s="222" t="str">
        <f t="shared" si="13"/>
        <v/>
      </c>
    </row>
    <row r="420" spans="1:74" s="108" customFormat="1" ht="15.75">
      <c r="A420" s="119"/>
      <c r="B420" s="120"/>
      <c r="C420" s="111"/>
      <c r="D420" s="111"/>
      <c r="E420" s="121"/>
      <c r="F420" s="121"/>
      <c r="G420" s="113"/>
      <c r="H420" s="199" t="str">
        <f t="shared" si="12"/>
        <v/>
      </c>
      <c r="I420" s="200" t="str">
        <f>IF(E420="","",IF(AND(BV420&lt;=66),VLOOKUP(H420,'LetterID Look Up'!$A$13:$B$20,2,TRUE),IF(AND(BV420&gt;=67,BV420&lt;=72),VLOOKUP(H420,'LetterID Look Up'!$E$13:$F$19,2,TRUE),IF(AND(BV420&gt;=73,BV420&lt;=78),VLOOKUP(H420,'LetterID Look Up'!$I$13:$J$19,2,TRUE),IF(AND(BV420&gt;=79),VLOOKUP(H420,'LetterID Look Up'!$M$13:$N$17,2,TRUE),"")))))</f>
        <v/>
      </c>
      <c r="J420" s="122"/>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95"/>
      <c r="AH420" s="112"/>
      <c r="AI420" s="196"/>
      <c r="AJ420" s="197"/>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96"/>
      <c r="BV420" s="222" t="str">
        <f t="shared" si="13"/>
        <v/>
      </c>
    </row>
    <row r="421" spans="1:74" s="108" customFormat="1" ht="15.75">
      <c r="A421" s="119"/>
      <c r="B421" s="120"/>
      <c r="C421" s="111"/>
      <c r="D421" s="111"/>
      <c r="E421" s="121"/>
      <c r="F421" s="121"/>
      <c r="G421" s="113"/>
      <c r="H421" s="199" t="str">
        <f t="shared" si="12"/>
        <v/>
      </c>
      <c r="I421" s="200" t="str">
        <f>IF(E421="","",IF(AND(BV421&lt;=66),VLOOKUP(H421,'LetterID Look Up'!$A$13:$B$20,2,TRUE),IF(AND(BV421&gt;=67,BV421&lt;=72),VLOOKUP(H421,'LetterID Look Up'!$E$13:$F$19,2,TRUE),IF(AND(BV421&gt;=73,BV421&lt;=78),VLOOKUP(H421,'LetterID Look Up'!$I$13:$J$19,2,TRUE),IF(AND(BV421&gt;=79),VLOOKUP(H421,'LetterID Look Up'!$M$13:$N$17,2,TRUE),"")))))</f>
        <v/>
      </c>
      <c r="J421" s="122"/>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95"/>
      <c r="AH421" s="112"/>
      <c r="AI421" s="196"/>
      <c r="AJ421" s="197"/>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96"/>
      <c r="BV421" s="222" t="str">
        <f t="shared" si="13"/>
        <v/>
      </c>
    </row>
    <row r="422" spans="1:74" s="108" customFormat="1" ht="15.75">
      <c r="A422" s="119"/>
      <c r="B422" s="120"/>
      <c r="C422" s="111"/>
      <c r="D422" s="111"/>
      <c r="E422" s="121"/>
      <c r="F422" s="121"/>
      <c r="G422" s="113"/>
      <c r="H422" s="199" t="str">
        <f t="shared" si="12"/>
        <v/>
      </c>
      <c r="I422" s="200" t="str">
        <f>IF(E422="","",IF(AND(BV422&lt;=66),VLOOKUP(H422,'LetterID Look Up'!$A$13:$B$20,2,TRUE),IF(AND(BV422&gt;=67,BV422&lt;=72),VLOOKUP(H422,'LetterID Look Up'!$E$13:$F$19,2,TRUE),IF(AND(BV422&gt;=73,BV422&lt;=78),VLOOKUP(H422,'LetterID Look Up'!$I$13:$J$19,2,TRUE),IF(AND(BV422&gt;=79),VLOOKUP(H422,'LetterID Look Up'!$M$13:$N$17,2,TRUE),"")))))</f>
        <v/>
      </c>
      <c r="J422" s="122"/>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95"/>
      <c r="AH422" s="112"/>
      <c r="AI422" s="196"/>
      <c r="AJ422" s="197"/>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96"/>
      <c r="BV422" s="222" t="str">
        <f t="shared" si="13"/>
        <v/>
      </c>
    </row>
    <row r="423" spans="1:74" s="108" customFormat="1" ht="15.75">
      <c r="A423" s="119"/>
      <c r="B423" s="120"/>
      <c r="C423" s="111"/>
      <c r="D423" s="111"/>
      <c r="E423" s="121"/>
      <c r="F423" s="121"/>
      <c r="G423" s="113"/>
      <c r="H423" s="199" t="str">
        <f t="shared" si="12"/>
        <v/>
      </c>
      <c r="I423" s="200" t="str">
        <f>IF(E423="","",IF(AND(BV423&lt;=66),VLOOKUP(H423,'LetterID Look Up'!$A$13:$B$20,2,TRUE),IF(AND(BV423&gt;=67,BV423&lt;=72),VLOOKUP(H423,'LetterID Look Up'!$E$13:$F$19,2,TRUE),IF(AND(BV423&gt;=73,BV423&lt;=78),VLOOKUP(H423,'LetterID Look Up'!$I$13:$J$19,2,TRUE),IF(AND(BV423&gt;=79),VLOOKUP(H423,'LetterID Look Up'!$M$13:$N$17,2,TRUE),"")))))</f>
        <v/>
      </c>
      <c r="J423" s="122"/>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95"/>
      <c r="AH423" s="112"/>
      <c r="AI423" s="196"/>
      <c r="AJ423" s="197"/>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96"/>
      <c r="BV423" s="222" t="str">
        <f t="shared" si="13"/>
        <v/>
      </c>
    </row>
    <row r="424" spans="1:74" s="108" customFormat="1" ht="15.75">
      <c r="A424" s="119"/>
      <c r="B424" s="120"/>
      <c r="C424" s="111"/>
      <c r="D424" s="111"/>
      <c r="E424" s="121"/>
      <c r="F424" s="121"/>
      <c r="G424" s="113"/>
      <c r="H424" s="199" t="str">
        <f t="shared" si="12"/>
        <v/>
      </c>
      <c r="I424" s="200" t="str">
        <f>IF(E424="","",IF(AND(BV424&lt;=66),VLOOKUP(H424,'LetterID Look Up'!$A$13:$B$20,2,TRUE),IF(AND(BV424&gt;=67,BV424&lt;=72),VLOOKUP(H424,'LetterID Look Up'!$E$13:$F$19,2,TRUE),IF(AND(BV424&gt;=73,BV424&lt;=78),VLOOKUP(H424,'LetterID Look Up'!$I$13:$J$19,2,TRUE),IF(AND(BV424&gt;=79),VLOOKUP(H424,'LetterID Look Up'!$M$13:$N$17,2,TRUE),"")))))</f>
        <v/>
      </c>
      <c r="J424" s="122"/>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95"/>
      <c r="AH424" s="112"/>
      <c r="AI424" s="196"/>
      <c r="AJ424" s="197"/>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96"/>
      <c r="BV424" s="222" t="str">
        <f t="shared" si="13"/>
        <v/>
      </c>
    </row>
    <row r="425" spans="1:74" s="108" customFormat="1" ht="15.75">
      <c r="A425" s="119"/>
      <c r="B425" s="120"/>
      <c r="C425" s="111"/>
      <c r="D425" s="111"/>
      <c r="E425" s="121"/>
      <c r="F425" s="121"/>
      <c r="G425" s="113"/>
      <c r="H425" s="199" t="str">
        <f t="shared" si="12"/>
        <v/>
      </c>
      <c r="I425" s="200" t="str">
        <f>IF(E425="","",IF(AND(BV425&lt;=66),VLOOKUP(H425,'LetterID Look Up'!$A$13:$B$20,2,TRUE),IF(AND(BV425&gt;=67,BV425&lt;=72),VLOOKUP(H425,'LetterID Look Up'!$E$13:$F$19,2,TRUE),IF(AND(BV425&gt;=73,BV425&lt;=78),VLOOKUP(H425,'LetterID Look Up'!$I$13:$J$19,2,TRUE),IF(AND(BV425&gt;=79),VLOOKUP(H425,'LetterID Look Up'!$M$13:$N$17,2,TRUE),"")))))</f>
        <v/>
      </c>
      <c r="J425" s="122"/>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95"/>
      <c r="AH425" s="112"/>
      <c r="AI425" s="196"/>
      <c r="AJ425" s="197"/>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96"/>
      <c r="BV425" s="222" t="str">
        <f t="shared" si="13"/>
        <v/>
      </c>
    </row>
    <row r="426" spans="1:74" s="108" customFormat="1" ht="15.75">
      <c r="A426" s="119"/>
      <c r="B426" s="120"/>
      <c r="C426" s="111"/>
      <c r="D426" s="111"/>
      <c r="E426" s="121"/>
      <c r="F426" s="121"/>
      <c r="G426" s="113"/>
      <c r="H426" s="199" t="str">
        <f t="shared" si="12"/>
        <v/>
      </c>
      <c r="I426" s="200" t="str">
        <f>IF(E426="","",IF(AND(BV426&lt;=66),VLOOKUP(H426,'LetterID Look Up'!$A$13:$B$20,2,TRUE),IF(AND(BV426&gt;=67,BV426&lt;=72),VLOOKUP(H426,'LetterID Look Up'!$E$13:$F$19,2,TRUE),IF(AND(BV426&gt;=73,BV426&lt;=78),VLOOKUP(H426,'LetterID Look Up'!$I$13:$J$19,2,TRUE),IF(AND(BV426&gt;=79),VLOOKUP(H426,'LetterID Look Up'!$M$13:$N$17,2,TRUE),"")))))</f>
        <v/>
      </c>
      <c r="J426" s="122"/>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95"/>
      <c r="AH426" s="112"/>
      <c r="AI426" s="196"/>
      <c r="AJ426" s="197"/>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96"/>
      <c r="BV426" s="222" t="str">
        <f t="shared" si="13"/>
        <v/>
      </c>
    </row>
    <row r="427" spans="1:74" s="108" customFormat="1" ht="15.75">
      <c r="A427" s="119"/>
      <c r="B427" s="120"/>
      <c r="C427" s="111"/>
      <c r="D427" s="111"/>
      <c r="E427" s="121"/>
      <c r="F427" s="121"/>
      <c r="G427" s="113"/>
      <c r="H427" s="199" t="str">
        <f t="shared" si="12"/>
        <v/>
      </c>
      <c r="I427" s="200" t="str">
        <f>IF(E427="","",IF(AND(BV427&lt;=66),VLOOKUP(H427,'LetterID Look Up'!$A$13:$B$20,2,TRUE),IF(AND(BV427&gt;=67,BV427&lt;=72),VLOOKUP(H427,'LetterID Look Up'!$E$13:$F$19,2,TRUE),IF(AND(BV427&gt;=73,BV427&lt;=78),VLOOKUP(H427,'LetterID Look Up'!$I$13:$J$19,2,TRUE),IF(AND(BV427&gt;=79),VLOOKUP(H427,'LetterID Look Up'!$M$13:$N$17,2,TRUE),"")))))</f>
        <v/>
      </c>
      <c r="J427" s="122"/>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95"/>
      <c r="AH427" s="112"/>
      <c r="AI427" s="196"/>
      <c r="AJ427" s="197"/>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96"/>
      <c r="BV427" s="222" t="str">
        <f t="shared" si="13"/>
        <v/>
      </c>
    </row>
    <row r="428" spans="1:74" s="108" customFormat="1" ht="15.75">
      <c r="A428" s="119"/>
      <c r="B428" s="120"/>
      <c r="C428" s="111"/>
      <c r="D428" s="111"/>
      <c r="E428" s="121"/>
      <c r="F428" s="121"/>
      <c r="G428" s="113"/>
      <c r="H428" s="199" t="str">
        <f t="shared" si="12"/>
        <v/>
      </c>
      <c r="I428" s="200" t="str">
        <f>IF(E428="","",IF(AND(BV428&lt;=66),VLOOKUP(H428,'LetterID Look Up'!$A$13:$B$20,2,TRUE),IF(AND(BV428&gt;=67,BV428&lt;=72),VLOOKUP(H428,'LetterID Look Up'!$E$13:$F$19,2,TRUE),IF(AND(BV428&gt;=73,BV428&lt;=78),VLOOKUP(H428,'LetterID Look Up'!$I$13:$J$19,2,TRUE),IF(AND(BV428&gt;=79),VLOOKUP(H428,'LetterID Look Up'!$M$13:$N$17,2,TRUE),"")))))</f>
        <v/>
      </c>
      <c r="J428" s="122"/>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95"/>
      <c r="AH428" s="112"/>
      <c r="AI428" s="196"/>
      <c r="AJ428" s="197"/>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96"/>
      <c r="BV428" s="222" t="str">
        <f t="shared" si="13"/>
        <v/>
      </c>
    </row>
    <row r="429" spans="1:74" s="108" customFormat="1" ht="15.75">
      <c r="A429" s="119"/>
      <c r="B429" s="120"/>
      <c r="C429" s="111"/>
      <c r="D429" s="111"/>
      <c r="E429" s="121"/>
      <c r="F429" s="121"/>
      <c r="G429" s="113"/>
      <c r="H429" s="199" t="str">
        <f t="shared" si="12"/>
        <v/>
      </c>
      <c r="I429" s="200" t="str">
        <f>IF(E429="","",IF(AND(BV429&lt;=66),VLOOKUP(H429,'LetterID Look Up'!$A$13:$B$20,2,TRUE),IF(AND(BV429&gt;=67,BV429&lt;=72),VLOOKUP(H429,'LetterID Look Up'!$E$13:$F$19,2,TRUE),IF(AND(BV429&gt;=73,BV429&lt;=78),VLOOKUP(H429,'LetterID Look Up'!$I$13:$J$19,2,TRUE),IF(AND(BV429&gt;=79),VLOOKUP(H429,'LetterID Look Up'!$M$13:$N$17,2,TRUE),"")))))</f>
        <v/>
      </c>
      <c r="J429" s="122"/>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95"/>
      <c r="AH429" s="112"/>
      <c r="AI429" s="196"/>
      <c r="AJ429" s="197"/>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96"/>
      <c r="BV429" s="222" t="str">
        <f t="shared" si="13"/>
        <v/>
      </c>
    </row>
    <row r="430" spans="1:74" s="108" customFormat="1" ht="15.75">
      <c r="A430" s="119"/>
      <c r="B430" s="120"/>
      <c r="C430" s="111"/>
      <c r="D430" s="111"/>
      <c r="E430" s="121"/>
      <c r="F430" s="121"/>
      <c r="G430" s="113"/>
      <c r="H430" s="199" t="str">
        <f t="shared" si="12"/>
        <v/>
      </c>
      <c r="I430" s="200" t="str">
        <f>IF(E430="","",IF(AND(BV430&lt;=66),VLOOKUP(H430,'LetterID Look Up'!$A$13:$B$20,2,TRUE),IF(AND(BV430&gt;=67,BV430&lt;=72),VLOOKUP(H430,'LetterID Look Up'!$E$13:$F$19,2,TRUE),IF(AND(BV430&gt;=73,BV430&lt;=78),VLOOKUP(H430,'LetterID Look Up'!$I$13:$J$19,2,TRUE),IF(AND(BV430&gt;=79),VLOOKUP(H430,'LetterID Look Up'!$M$13:$N$17,2,TRUE),"")))))</f>
        <v/>
      </c>
      <c r="J430" s="122"/>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95"/>
      <c r="AH430" s="112"/>
      <c r="AI430" s="196"/>
      <c r="AJ430" s="197"/>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96"/>
      <c r="BV430" s="222" t="str">
        <f t="shared" si="13"/>
        <v/>
      </c>
    </row>
    <row r="431" spans="1:74" s="108" customFormat="1" ht="15.75">
      <c r="A431" s="119"/>
      <c r="B431" s="120"/>
      <c r="C431" s="111"/>
      <c r="D431" s="111"/>
      <c r="E431" s="121"/>
      <c r="F431" s="121"/>
      <c r="G431" s="113"/>
      <c r="H431" s="199" t="str">
        <f t="shared" si="12"/>
        <v/>
      </c>
      <c r="I431" s="200" t="str">
        <f>IF(E431="","",IF(AND(BV431&lt;=66),VLOOKUP(H431,'LetterID Look Up'!$A$13:$B$20,2,TRUE),IF(AND(BV431&gt;=67,BV431&lt;=72),VLOOKUP(H431,'LetterID Look Up'!$E$13:$F$19,2,TRUE),IF(AND(BV431&gt;=73,BV431&lt;=78),VLOOKUP(H431,'LetterID Look Up'!$I$13:$J$19,2,TRUE),IF(AND(BV431&gt;=79),VLOOKUP(H431,'LetterID Look Up'!$M$13:$N$17,2,TRUE),"")))))</f>
        <v/>
      </c>
      <c r="J431" s="122"/>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95"/>
      <c r="AH431" s="112"/>
      <c r="AI431" s="196"/>
      <c r="AJ431" s="197"/>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96"/>
      <c r="BV431" s="222" t="str">
        <f t="shared" si="13"/>
        <v/>
      </c>
    </row>
    <row r="432" spans="1:74" s="108" customFormat="1" ht="15.75">
      <c r="A432" s="119"/>
      <c r="B432" s="120"/>
      <c r="C432" s="111"/>
      <c r="D432" s="111"/>
      <c r="E432" s="121"/>
      <c r="F432" s="121"/>
      <c r="G432" s="113"/>
      <c r="H432" s="199" t="str">
        <f t="shared" si="12"/>
        <v/>
      </c>
      <c r="I432" s="200" t="str">
        <f>IF(E432="","",IF(AND(BV432&lt;=66),VLOOKUP(H432,'LetterID Look Up'!$A$13:$B$20,2,TRUE),IF(AND(BV432&gt;=67,BV432&lt;=72),VLOOKUP(H432,'LetterID Look Up'!$E$13:$F$19,2,TRUE),IF(AND(BV432&gt;=73,BV432&lt;=78),VLOOKUP(H432,'LetterID Look Up'!$I$13:$J$19,2,TRUE),IF(AND(BV432&gt;=79),VLOOKUP(H432,'LetterID Look Up'!$M$13:$N$17,2,TRUE),"")))))</f>
        <v/>
      </c>
      <c r="J432" s="122"/>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95"/>
      <c r="AH432" s="112"/>
      <c r="AI432" s="196"/>
      <c r="AJ432" s="197"/>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96"/>
      <c r="BV432" s="222" t="str">
        <f t="shared" si="13"/>
        <v/>
      </c>
    </row>
    <row r="433" spans="1:74" s="108" customFormat="1" ht="15.75">
      <c r="A433" s="119"/>
      <c r="B433" s="120"/>
      <c r="C433" s="111"/>
      <c r="D433" s="111"/>
      <c r="E433" s="121"/>
      <c r="F433" s="121"/>
      <c r="G433" s="113"/>
      <c r="H433" s="199" t="str">
        <f t="shared" si="12"/>
        <v/>
      </c>
      <c r="I433" s="200" t="str">
        <f>IF(E433="","",IF(AND(BV433&lt;=66),VLOOKUP(H433,'LetterID Look Up'!$A$13:$B$20,2,TRUE),IF(AND(BV433&gt;=67,BV433&lt;=72),VLOOKUP(H433,'LetterID Look Up'!$E$13:$F$19,2,TRUE),IF(AND(BV433&gt;=73,BV433&lt;=78),VLOOKUP(H433,'LetterID Look Up'!$I$13:$J$19,2,TRUE),IF(AND(BV433&gt;=79),VLOOKUP(H433,'LetterID Look Up'!$M$13:$N$17,2,TRUE),"")))))</f>
        <v/>
      </c>
      <c r="J433" s="122"/>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95"/>
      <c r="AH433" s="112"/>
      <c r="AI433" s="196"/>
      <c r="AJ433" s="197"/>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96"/>
      <c r="BV433" s="222" t="str">
        <f t="shared" si="13"/>
        <v/>
      </c>
    </row>
    <row r="434" spans="1:74" s="108" customFormat="1" ht="15.75">
      <c r="A434" s="119"/>
      <c r="B434" s="120"/>
      <c r="C434" s="111"/>
      <c r="D434" s="111"/>
      <c r="E434" s="121"/>
      <c r="F434" s="121"/>
      <c r="G434" s="113"/>
      <c r="H434" s="199" t="str">
        <f t="shared" si="12"/>
        <v/>
      </c>
      <c r="I434" s="200" t="str">
        <f>IF(E434="","",IF(AND(BV434&lt;=66),VLOOKUP(H434,'LetterID Look Up'!$A$13:$B$20,2,TRUE),IF(AND(BV434&gt;=67,BV434&lt;=72),VLOOKUP(H434,'LetterID Look Up'!$E$13:$F$19,2,TRUE),IF(AND(BV434&gt;=73,BV434&lt;=78),VLOOKUP(H434,'LetterID Look Up'!$I$13:$J$19,2,TRUE),IF(AND(BV434&gt;=79),VLOOKUP(H434,'LetterID Look Up'!$M$13:$N$17,2,TRUE),"")))))</f>
        <v/>
      </c>
      <c r="J434" s="122"/>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95"/>
      <c r="AH434" s="112"/>
      <c r="AI434" s="196"/>
      <c r="AJ434" s="197"/>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96"/>
      <c r="BV434" s="222" t="str">
        <f t="shared" si="13"/>
        <v/>
      </c>
    </row>
    <row r="435" spans="1:74" s="108" customFormat="1" ht="15.75">
      <c r="A435" s="119"/>
      <c r="B435" s="120"/>
      <c r="C435" s="111"/>
      <c r="D435" s="111"/>
      <c r="E435" s="121"/>
      <c r="F435" s="121"/>
      <c r="G435" s="113"/>
      <c r="H435" s="199" t="str">
        <f t="shared" si="12"/>
        <v/>
      </c>
      <c r="I435" s="200" t="str">
        <f>IF(E435="","",IF(AND(BV435&lt;=66),VLOOKUP(H435,'LetterID Look Up'!$A$13:$B$20,2,TRUE),IF(AND(BV435&gt;=67,BV435&lt;=72),VLOOKUP(H435,'LetterID Look Up'!$E$13:$F$19,2,TRUE),IF(AND(BV435&gt;=73,BV435&lt;=78),VLOOKUP(H435,'LetterID Look Up'!$I$13:$J$19,2,TRUE),IF(AND(BV435&gt;=79),VLOOKUP(H435,'LetterID Look Up'!$M$13:$N$17,2,TRUE),"")))))</f>
        <v/>
      </c>
      <c r="J435" s="122"/>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95"/>
      <c r="AH435" s="112"/>
      <c r="AI435" s="196"/>
      <c r="AJ435" s="197"/>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96"/>
      <c r="BV435" s="222" t="str">
        <f t="shared" si="13"/>
        <v/>
      </c>
    </row>
    <row r="436" spans="1:74" s="108" customFormat="1" ht="15.75">
      <c r="A436" s="119"/>
      <c r="B436" s="120"/>
      <c r="C436" s="111"/>
      <c r="D436" s="111"/>
      <c r="E436" s="121"/>
      <c r="F436" s="121"/>
      <c r="G436" s="113"/>
      <c r="H436" s="199" t="str">
        <f t="shared" si="12"/>
        <v/>
      </c>
      <c r="I436" s="200" t="str">
        <f>IF(E436="","",IF(AND(BV436&lt;=66),VLOOKUP(H436,'LetterID Look Up'!$A$13:$B$20,2,TRUE),IF(AND(BV436&gt;=67,BV436&lt;=72),VLOOKUP(H436,'LetterID Look Up'!$E$13:$F$19,2,TRUE),IF(AND(BV436&gt;=73,BV436&lt;=78),VLOOKUP(H436,'LetterID Look Up'!$I$13:$J$19,2,TRUE),IF(AND(BV436&gt;=79),VLOOKUP(H436,'LetterID Look Up'!$M$13:$N$17,2,TRUE),"")))))</f>
        <v/>
      </c>
      <c r="J436" s="122"/>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95"/>
      <c r="AH436" s="112"/>
      <c r="AI436" s="196"/>
      <c r="AJ436" s="197"/>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96"/>
      <c r="BV436" s="222" t="str">
        <f t="shared" si="13"/>
        <v/>
      </c>
    </row>
    <row r="437" spans="1:74" s="108" customFormat="1" ht="15.75">
      <c r="A437" s="119"/>
      <c r="B437" s="120"/>
      <c r="C437" s="111"/>
      <c r="D437" s="111"/>
      <c r="E437" s="121"/>
      <c r="F437" s="121"/>
      <c r="G437" s="113"/>
      <c r="H437" s="199" t="str">
        <f t="shared" si="12"/>
        <v/>
      </c>
      <c r="I437" s="200" t="str">
        <f>IF(E437="","",IF(AND(BV437&lt;=66),VLOOKUP(H437,'LetterID Look Up'!$A$13:$B$20,2,TRUE),IF(AND(BV437&gt;=67,BV437&lt;=72),VLOOKUP(H437,'LetterID Look Up'!$E$13:$F$19,2,TRUE),IF(AND(BV437&gt;=73,BV437&lt;=78),VLOOKUP(H437,'LetterID Look Up'!$I$13:$J$19,2,TRUE),IF(AND(BV437&gt;=79),VLOOKUP(H437,'LetterID Look Up'!$M$13:$N$17,2,TRUE),"")))))</f>
        <v/>
      </c>
      <c r="J437" s="122"/>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95"/>
      <c r="AH437" s="112"/>
      <c r="AI437" s="196"/>
      <c r="AJ437" s="197"/>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96"/>
      <c r="BV437" s="222" t="str">
        <f t="shared" si="13"/>
        <v/>
      </c>
    </row>
    <row r="438" spans="1:74" s="108" customFormat="1" ht="15.75">
      <c r="A438" s="119"/>
      <c r="B438" s="120"/>
      <c r="C438" s="111"/>
      <c r="D438" s="111"/>
      <c r="E438" s="121"/>
      <c r="F438" s="121"/>
      <c r="G438" s="113"/>
      <c r="H438" s="199" t="str">
        <f t="shared" si="12"/>
        <v/>
      </c>
      <c r="I438" s="200" t="str">
        <f>IF(E438="","",IF(AND(BV438&lt;=66),VLOOKUP(H438,'LetterID Look Up'!$A$13:$B$20,2,TRUE),IF(AND(BV438&gt;=67,BV438&lt;=72),VLOOKUP(H438,'LetterID Look Up'!$E$13:$F$19,2,TRUE),IF(AND(BV438&gt;=73,BV438&lt;=78),VLOOKUP(H438,'LetterID Look Up'!$I$13:$J$19,2,TRUE),IF(AND(BV438&gt;=79),VLOOKUP(H438,'LetterID Look Up'!$M$13:$N$17,2,TRUE),"")))))</f>
        <v/>
      </c>
      <c r="J438" s="122"/>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95"/>
      <c r="AH438" s="112"/>
      <c r="AI438" s="196"/>
      <c r="AJ438" s="197"/>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96"/>
      <c r="BV438" s="222" t="str">
        <f t="shared" si="13"/>
        <v/>
      </c>
    </row>
    <row r="439" spans="1:74" s="108" customFormat="1" ht="15.75">
      <c r="A439" s="119"/>
      <c r="B439" s="120"/>
      <c r="C439" s="111"/>
      <c r="D439" s="111"/>
      <c r="E439" s="121"/>
      <c r="F439" s="121"/>
      <c r="G439" s="113"/>
      <c r="H439" s="199" t="str">
        <f t="shared" si="12"/>
        <v/>
      </c>
      <c r="I439" s="200" t="str">
        <f>IF(E439="","",IF(AND(BV439&lt;=66),VLOOKUP(H439,'LetterID Look Up'!$A$13:$B$20,2,TRUE),IF(AND(BV439&gt;=67,BV439&lt;=72),VLOOKUP(H439,'LetterID Look Up'!$E$13:$F$19,2,TRUE),IF(AND(BV439&gt;=73,BV439&lt;=78),VLOOKUP(H439,'LetterID Look Up'!$I$13:$J$19,2,TRUE),IF(AND(BV439&gt;=79),VLOOKUP(H439,'LetterID Look Up'!$M$13:$N$17,2,TRUE),"")))))</f>
        <v/>
      </c>
      <c r="J439" s="122"/>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95"/>
      <c r="AH439" s="112"/>
      <c r="AI439" s="196"/>
      <c r="AJ439" s="197"/>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96"/>
      <c r="BV439" s="222" t="str">
        <f t="shared" si="13"/>
        <v/>
      </c>
    </row>
    <row r="440" spans="1:74" s="108" customFormat="1" ht="15.75">
      <c r="A440" s="119"/>
      <c r="B440" s="120"/>
      <c r="C440" s="111"/>
      <c r="D440" s="111"/>
      <c r="E440" s="121"/>
      <c r="F440" s="121"/>
      <c r="G440" s="113"/>
      <c r="H440" s="199" t="str">
        <f t="shared" si="12"/>
        <v/>
      </c>
      <c r="I440" s="200" t="str">
        <f>IF(E440="","",IF(AND(BV440&lt;=66),VLOOKUP(H440,'LetterID Look Up'!$A$13:$B$20,2,TRUE),IF(AND(BV440&gt;=67,BV440&lt;=72),VLOOKUP(H440,'LetterID Look Up'!$E$13:$F$19,2,TRUE),IF(AND(BV440&gt;=73,BV440&lt;=78),VLOOKUP(H440,'LetterID Look Up'!$I$13:$J$19,2,TRUE),IF(AND(BV440&gt;=79),VLOOKUP(H440,'LetterID Look Up'!$M$13:$N$17,2,TRUE),"")))))</f>
        <v/>
      </c>
      <c r="J440" s="122"/>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95"/>
      <c r="AH440" s="112"/>
      <c r="AI440" s="196"/>
      <c r="AJ440" s="197"/>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96"/>
      <c r="BV440" s="222" t="str">
        <f t="shared" si="13"/>
        <v/>
      </c>
    </row>
    <row r="441" spans="1:74" s="108" customFormat="1" ht="15.75">
      <c r="A441" s="119"/>
      <c r="B441" s="120"/>
      <c r="C441" s="111"/>
      <c r="D441" s="111"/>
      <c r="E441" s="121"/>
      <c r="F441" s="121"/>
      <c r="G441" s="113"/>
      <c r="H441" s="199" t="str">
        <f t="shared" si="12"/>
        <v/>
      </c>
      <c r="I441" s="200" t="str">
        <f>IF(E441="","",IF(AND(BV441&lt;=66),VLOOKUP(H441,'LetterID Look Up'!$A$13:$B$20,2,TRUE),IF(AND(BV441&gt;=67,BV441&lt;=72),VLOOKUP(H441,'LetterID Look Up'!$E$13:$F$19,2,TRUE),IF(AND(BV441&gt;=73,BV441&lt;=78),VLOOKUP(H441,'LetterID Look Up'!$I$13:$J$19,2,TRUE),IF(AND(BV441&gt;=79),VLOOKUP(H441,'LetterID Look Up'!$M$13:$N$17,2,TRUE),"")))))</f>
        <v/>
      </c>
      <c r="J441" s="122"/>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95"/>
      <c r="AH441" s="112"/>
      <c r="AI441" s="196"/>
      <c r="AJ441" s="197"/>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96"/>
      <c r="BV441" s="222" t="str">
        <f t="shared" si="13"/>
        <v/>
      </c>
    </row>
    <row r="442" spans="1:74" s="108" customFormat="1" ht="15.75">
      <c r="A442" s="119"/>
      <c r="B442" s="120"/>
      <c r="C442" s="111"/>
      <c r="D442" s="111"/>
      <c r="E442" s="121"/>
      <c r="F442" s="121"/>
      <c r="G442" s="113"/>
      <c r="H442" s="199" t="str">
        <f t="shared" si="12"/>
        <v/>
      </c>
      <c r="I442" s="200" t="str">
        <f>IF(E442="","",IF(AND(BV442&lt;=66),VLOOKUP(H442,'LetterID Look Up'!$A$13:$B$20,2,TRUE),IF(AND(BV442&gt;=67,BV442&lt;=72),VLOOKUP(H442,'LetterID Look Up'!$E$13:$F$19,2,TRUE),IF(AND(BV442&gt;=73,BV442&lt;=78),VLOOKUP(H442,'LetterID Look Up'!$I$13:$J$19,2,TRUE),IF(AND(BV442&gt;=79),VLOOKUP(H442,'LetterID Look Up'!$M$13:$N$17,2,TRUE),"")))))</f>
        <v/>
      </c>
      <c r="J442" s="122"/>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95"/>
      <c r="AH442" s="112"/>
      <c r="AI442" s="196"/>
      <c r="AJ442" s="197"/>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96"/>
      <c r="BV442" s="222" t="str">
        <f t="shared" si="13"/>
        <v/>
      </c>
    </row>
    <row r="443" spans="1:74" s="108" customFormat="1" ht="15.75">
      <c r="A443" s="119"/>
      <c r="B443" s="120"/>
      <c r="C443" s="111"/>
      <c r="D443" s="111"/>
      <c r="E443" s="121"/>
      <c r="F443" s="121"/>
      <c r="G443" s="113"/>
      <c r="H443" s="199" t="str">
        <f t="shared" si="12"/>
        <v/>
      </c>
      <c r="I443" s="200" t="str">
        <f>IF(E443="","",IF(AND(BV443&lt;=66),VLOOKUP(H443,'LetterID Look Up'!$A$13:$B$20,2,TRUE),IF(AND(BV443&gt;=67,BV443&lt;=72),VLOOKUP(H443,'LetterID Look Up'!$E$13:$F$19,2,TRUE),IF(AND(BV443&gt;=73,BV443&lt;=78),VLOOKUP(H443,'LetterID Look Up'!$I$13:$J$19,2,TRUE),IF(AND(BV443&gt;=79),VLOOKUP(H443,'LetterID Look Up'!$M$13:$N$17,2,TRUE),"")))))</f>
        <v/>
      </c>
      <c r="J443" s="122"/>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95"/>
      <c r="AH443" s="112"/>
      <c r="AI443" s="196"/>
      <c r="AJ443" s="197"/>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96"/>
      <c r="BV443" s="222" t="str">
        <f t="shared" si="13"/>
        <v/>
      </c>
    </row>
    <row r="444" spans="1:74" s="108" customFormat="1" ht="15.75">
      <c r="A444" s="119"/>
      <c r="B444" s="120"/>
      <c r="C444" s="111"/>
      <c r="D444" s="111"/>
      <c r="E444" s="121"/>
      <c r="F444" s="121"/>
      <c r="G444" s="113"/>
      <c r="H444" s="199" t="str">
        <f t="shared" si="12"/>
        <v/>
      </c>
      <c r="I444" s="200" t="str">
        <f>IF(E444="","",IF(AND(BV444&lt;=66),VLOOKUP(H444,'LetterID Look Up'!$A$13:$B$20,2,TRUE),IF(AND(BV444&gt;=67,BV444&lt;=72),VLOOKUP(H444,'LetterID Look Up'!$E$13:$F$19,2,TRUE),IF(AND(BV444&gt;=73,BV444&lt;=78),VLOOKUP(H444,'LetterID Look Up'!$I$13:$J$19,2,TRUE),IF(AND(BV444&gt;=79),VLOOKUP(H444,'LetterID Look Up'!$M$13:$N$17,2,TRUE),"")))))</f>
        <v/>
      </c>
      <c r="J444" s="122"/>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95"/>
      <c r="AH444" s="112"/>
      <c r="AI444" s="196"/>
      <c r="AJ444" s="197"/>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96"/>
      <c r="BV444" s="222" t="str">
        <f t="shared" si="13"/>
        <v/>
      </c>
    </row>
    <row r="445" spans="1:74" s="108" customFormat="1" ht="15.75">
      <c r="A445" s="119"/>
      <c r="B445" s="120"/>
      <c r="C445" s="111"/>
      <c r="D445" s="111"/>
      <c r="E445" s="121"/>
      <c r="F445" s="121"/>
      <c r="G445" s="113"/>
      <c r="H445" s="199" t="str">
        <f t="shared" si="12"/>
        <v/>
      </c>
      <c r="I445" s="200" t="str">
        <f>IF(E445="","",IF(AND(BV445&lt;=66),VLOOKUP(H445,'LetterID Look Up'!$A$13:$B$20,2,TRUE),IF(AND(BV445&gt;=67,BV445&lt;=72),VLOOKUP(H445,'LetterID Look Up'!$E$13:$F$19,2,TRUE),IF(AND(BV445&gt;=73,BV445&lt;=78),VLOOKUP(H445,'LetterID Look Up'!$I$13:$J$19,2,TRUE),IF(AND(BV445&gt;=79),VLOOKUP(H445,'LetterID Look Up'!$M$13:$N$17,2,TRUE),"")))))</f>
        <v/>
      </c>
      <c r="J445" s="122"/>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95"/>
      <c r="AH445" s="112"/>
      <c r="AI445" s="196"/>
      <c r="AJ445" s="197"/>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96"/>
      <c r="BV445" s="222" t="str">
        <f t="shared" si="13"/>
        <v/>
      </c>
    </row>
    <row r="446" spans="1:74" s="108" customFormat="1" ht="15.75">
      <c r="A446" s="119"/>
      <c r="B446" s="120"/>
      <c r="C446" s="111"/>
      <c r="D446" s="111"/>
      <c r="E446" s="121"/>
      <c r="F446" s="121"/>
      <c r="G446" s="113"/>
      <c r="H446" s="199" t="str">
        <f t="shared" si="12"/>
        <v/>
      </c>
      <c r="I446" s="200" t="str">
        <f>IF(E446="","",IF(AND(BV446&lt;=66),VLOOKUP(H446,'LetterID Look Up'!$A$13:$B$20,2,TRUE),IF(AND(BV446&gt;=67,BV446&lt;=72),VLOOKUP(H446,'LetterID Look Up'!$E$13:$F$19,2,TRUE),IF(AND(BV446&gt;=73,BV446&lt;=78),VLOOKUP(H446,'LetterID Look Up'!$I$13:$J$19,2,TRUE),IF(AND(BV446&gt;=79),VLOOKUP(H446,'LetterID Look Up'!$M$13:$N$17,2,TRUE),"")))))</f>
        <v/>
      </c>
      <c r="J446" s="122"/>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95"/>
      <c r="AH446" s="112"/>
      <c r="AI446" s="196"/>
      <c r="AJ446" s="197"/>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96"/>
      <c r="BV446" s="222" t="str">
        <f t="shared" si="13"/>
        <v/>
      </c>
    </row>
    <row r="447" spans="1:74" s="108" customFormat="1" ht="15.75">
      <c r="A447" s="119"/>
      <c r="B447" s="120"/>
      <c r="C447" s="111"/>
      <c r="D447" s="111"/>
      <c r="E447" s="121"/>
      <c r="F447" s="121"/>
      <c r="G447" s="113"/>
      <c r="H447" s="199" t="str">
        <f t="shared" si="12"/>
        <v/>
      </c>
      <c r="I447" s="200" t="str">
        <f>IF(E447="","",IF(AND(BV447&lt;=66),VLOOKUP(H447,'LetterID Look Up'!$A$13:$B$20,2,TRUE),IF(AND(BV447&gt;=67,BV447&lt;=72),VLOOKUP(H447,'LetterID Look Up'!$E$13:$F$19,2,TRUE),IF(AND(BV447&gt;=73,BV447&lt;=78),VLOOKUP(H447,'LetterID Look Up'!$I$13:$J$19,2,TRUE),IF(AND(BV447&gt;=79),VLOOKUP(H447,'LetterID Look Up'!$M$13:$N$17,2,TRUE),"")))))</f>
        <v/>
      </c>
      <c r="J447" s="122"/>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95"/>
      <c r="AH447" s="112"/>
      <c r="AI447" s="196"/>
      <c r="AJ447" s="197"/>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96"/>
      <c r="BV447" s="222" t="str">
        <f t="shared" si="13"/>
        <v/>
      </c>
    </row>
    <row r="448" spans="1:74" s="108" customFormat="1" ht="15.75">
      <c r="A448" s="119"/>
      <c r="B448" s="120"/>
      <c r="C448" s="111"/>
      <c r="D448" s="111"/>
      <c r="E448" s="121"/>
      <c r="F448" s="121"/>
      <c r="G448" s="113"/>
      <c r="H448" s="199" t="str">
        <f t="shared" si="12"/>
        <v/>
      </c>
      <c r="I448" s="200" t="str">
        <f>IF(E448="","",IF(AND(BV448&lt;=66),VLOOKUP(H448,'LetterID Look Up'!$A$13:$B$20,2,TRUE),IF(AND(BV448&gt;=67,BV448&lt;=72),VLOOKUP(H448,'LetterID Look Up'!$E$13:$F$19,2,TRUE),IF(AND(BV448&gt;=73,BV448&lt;=78),VLOOKUP(H448,'LetterID Look Up'!$I$13:$J$19,2,TRUE),IF(AND(BV448&gt;=79),VLOOKUP(H448,'LetterID Look Up'!$M$13:$N$17,2,TRUE),"")))))</f>
        <v/>
      </c>
      <c r="J448" s="122"/>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95"/>
      <c r="AH448" s="112"/>
      <c r="AI448" s="196"/>
      <c r="AJ448" s="197"/>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96"/>
      <c r="BV448" s="222" t="str">
        <f t="shared" si="13"/>
        <v/>
      </c>
    </row>
    <row r="449" spans="1:74" s="108" customFormat="1" ht="15.75">
      <c r="A449" s="119"/>
      <c r="B449" s="120"/>
      <c r="C449" s="111"/>
      <c r="D449" s="111"/>
      <c r="E449" s="121"/>
      <c r="F449" s="121"/>
      <c r="G449" s="113"/>
      <c r="H449" s="199" t="str">
        <f t="shared" si="12"/>
        <v/>
      </c>
      <c r="I449" s="200" t="str">
        <f>IF(E449="","",IF(AND(BV449&lt;=66),VLOOKUP(H449,'LetterID Look Up'!$A$13:$B$20,2,TRUE),IF(AND(BV449&gt;=67,BV449&lt;=72),VLOOKUP(H449,'LetterID Look Up'!$E$13:$F$19,2,TRUE),IF(AND(BV449&gt;=73,BV449&lt;=78),VLOOKUP(H449,'LetterID Look Up'!$I$13:$J$19,2,TRUE),IF(AND(BV449&gt;=79),VLOOKUP(H449,'LetterID Look Up'!$M$13:$N$17,2,TRUE),"")))))</f>
        <v/>
      </c>
      <c r="J449" s="122"/>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95"/>
      <c r="AH449" s="112"/>
      <c r="AI449" s="196"/>
      <c r="AJ449" s="197"/>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96"/>
      <c r="BV449" s="222" t="str">
        <f t="shared" si="13"/>
        <v/>
      </c>
    </row>
    <row r="450" spans="1:74" s="108" customFormat="1" ht="15.75">
      <c r="A450" s="119"/>
      <c r="B450" s="120"/>
      <c r="C450" s="111"/>
      <c r="D450" s="111"/>
      <c r="E450" s="121"/>
      <c r="F450" s="121"/>
      <c r="G450" s="113"/>
      <c r="H450" s="199" t="str">
        <f t="shared" si="12"/>
        <v/>
      </c>
      <c r="I450" s="200" t="str">
        <f>IF(E450="","",IF(AND(BV450&lt;=66),VLOOKUP(H450,'LetterID Look Up'!$A$13:$B$20,2,TRUE),IF(AND(BV450&gt;=67,BV450&lt;=72),VLOOKUP(H450,'LetterID Look Up'!$E$13:$F$19,2,TRUE),IF(AND(BV450&gt;=73,BV450&lt;=78),VLOOKUP(H450,'LetterID Look Up'!$I$13:$J$19,2,TRUE),IF(AND(BV450&gt;=79),VLOOKUP(H450,'LetterID Look Up'!$M$13:$N$17,2,TRUE),"")))))</f>
        <v/>
      </c>
      <c r="J450" s="122"/>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95"/>
      <c r="AH450" s="112"/>
      <c r="AI450" s="196"/>
      <c r="AJ450" s="197"/>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96"/>
      <c r="BV450" s="222" t="str">
        <f t="shared" si="13"/>
        <v/>
      </c>
    </row>
    <row r="451" spans="1:74" s="108" customFormat="1" ht="15.75">
      <c r="A451" s="119"/>
      <c r="B451" s="120"/>
      <c r="C451" s="111"/>
      <c r="D451" s="111"/>
      <c r="E451" s="121"/>
      <c r="F451" s="121"/>
      <c r="G451" s="113"/>
      <c r="H451" s="199" t="str">
        <f t="shared" si="12"/>
        <v/>
      </c>
      <c r="I451" s="200" t="str">
        <f>IF(E451="","",IF(AND(BV451&lt;=66),VLOOKUP(H451,'LetterID Look Up'!$A$13:$B$20,2,TRUE),IF(AND(BV451&gt;=67,BV451&lt;=72),VLOOKUP(H451,'LetterID Look Up'!$E$13:$F$19,2,TRUE),IF(AND(BV451&gt;=73,BV451&lt;=78),VLOOKUP(H451,'LetterID Look Up'!$I$13:$J$19,2,TRUE),IF(AND(BV451&gt;=79),VLOOKUP(H451,'LetterID Look Up'!$M$13:$N$17,2,TRUE),"")))))</f>
        <v/>
      </c>
      <c r="J451" s="122"/>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95"/>
      <c r="AH451" s="112"/>
      <c r="AI451" s="196"/>
      <c r="AJ451" s="197"/>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96"/>
      <c r="BV451" s="222" t="str">
        <f t="shared" si="13"/>
        <v/>
      </c>
    </row>
    <row r="452" spans="1:74" s="108" customFormat="1" ht="15.75">
      <c r="A452" s="119"/>
      <c r="B452" s="120"/>
      <c r="C452" s="111"/>
      <c r="D452" s="111"/>
      <c r="E452" s="121"/>
      <c r="F452" s="121"/>
      <c r="G452" s="113"/>
      <c r="H452" s="199" t="str">
        <f t="shared" si="12"/>
        <v/>
      </c>
      <c r="I452" s="200" t="str">
        <f>IF(E452="","",IF(AND(BV452&lt;=66),VLOOKUP(H452,'LetterID Look Up'!$A$13:$B$20,2,TRUE),IF(AND(BV452&gt;=67,BV452&lt;=72),VLOOKUP(H452,'LetterID Look Up'!$E$13:$F$19,2,TRUE),IF(AND(BV452&gt;=73,BV452&lt;=78),VLOOKUP(H452,'LetterID Look Up'!$I$13:$J$19,2,TRUE),IF(AND(BV452&gt;=79),VLOOKUP(H452,'LetterID Look Up'!$M$13:$N$17,2,TRUE),"")))))</f>
        <v/>
      </c>
      <c r="J452" s="122"/>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95"/>
      <c r="AH452" s="112"/>
      <c r="AI452" s="196"/>
      <c r="AJ452" s="197"/>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96"/>
      <c r="BV452" s="222" t="str">
        <f t="shared" si="13"/>
        <v/>
      </c>
    </row>
    <row r="453" spans="1:74" s="108" customFormat="1" ht="15.75">
      <c r="A453" s="119"/>
      <c r="B453" s="120"/>
      <c r="C453" s="111"/>
      <c r="D453" s="111"/>
      <c r="E453" s="121"/>
      <c r="F453" s="121"/>
      <c r="G453" s="113"/>
      <c r="H453" s="199" t="str">
        <f t="shared" si="12"/>
        <v/>
      </c>
      <c r="I453" s="200" t="str">
        <f>IF(E453="","",IF(AND(BV453&lt;=66),VLOOKUP(H453,'LetterID Look Up'!$A$13:$B$20,2,TRUE),IF(AND(BV453&gt;=67,BV453&lt;=72),VLOOKUP(H453,'LetterID Look Up'!$E$13:$F$19,2,TRUE),IF(AND(BV453&gt;=73,BV453&lt;=78),VLOOKUP(H453,'LetterID Look Up'!$I$13:$J$19,2,TRUE),IF(AND(BV453&gt;=79),VLOOKUP(H453,'LetterID Look Up'!$M$13:$N$17,2,TRUE),"")))))</f>
        <v/>
      </c>
      <c r="J453" s="122"/>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95"/>
      <c r="AH453" s="112"/>
      <c r="AI453" s="196"/>
      <c r="AJ453" s="197"/>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96"/>
      <c r="BV453" s="222" t="str">
        <f t="shared" si="13"/>
        <v/>
      </c>
    </row>
    <row r="454" spans="1:74" s="108" customFormat="1" ht="15.75">
      <c r="A454" s="119"/>
      <c r="B454" s="120"/>
      <c r="C454" s="111"/>
      <c r="D454" s="111"/>
      <c r="E454" s="121"/>
      <c r="F454" s="121"/>
      <c r="G454" s="113"/>
      <c r="H454" s="199" t="str">
        <f t="shared" si="12"/>
        <v/>
      </c>
      <c r="I454" s="200" t="str">
        <f>IF(E454="","",IF(AND(BV454&lt;=66),VLOOKUP(H454,'LetterID Look Up'!$A$13:$B$20,2,TRUE),IF(AND(BV454&gt;=67,BV454&lt;=72),VLOOKUP(H454,'LetterID Look Up'!$E$13:$F$19,2,TRUE),IF(AND(BV454&gt;=73,BV454&lt;=78),VLOOKUP(H454,'LetterID Look Up'!$I$13:$J$19,2,TRUE),IF(AND(BV454&gt;=79),VLOOKUP(H454,'LetterID Look Up'!$M$13:$N$17,2,TRUE),"")))))</f>
        <v/>
      </c>
      <c r="J454" s="122"/>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95"/>
      <c r="AH454" s="112"/>
      <c r="AI454" s="196"/>
      <c r="AJ454" s="197"/>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96"/>
      <c r="BV454" s="222" t="str">
        <f t="shared" si="13"/>
        <v/>
      </c>
    </row>
    <row r="455" spans="1:74" s="108" customFormat="1" ht="15.75">
      <c r="A455" s="119"/>
      <c r="B455" s="120"/>
      <c r="C455" s="111"/>
      <c r="D455" s="111"/>
      <c r="E455" s="121"/>
      <c r="F455" s="121"/>
      <c r="G455" s="113"/>
      <c r="H455" s="199" t="str">
        <f t="shared" si="12"/>
        <v/>
      </c>
      <c r="I455" s="200" t="str">
        <f>IF(E455="","",IF(AND(BV455&lt;=66),VLOOKUP(H455,'LetterID Look Up'!$A$13:$B$20,2,TRUE),IF(AND(BV455&gt;=67,BV455&lt;=72),VLOOKUP(H455,'LetterID Look Up'!$E$13:$F$19,2,TRUE),IF(AND(BV455&gt;=73,BV455&lt;=78),VLOOKUP(H455,'LetterID Look Up'!$I$13:$J$19,2,TRUE),IF(AND(BV455&gt;=79),VLOOKUP(H455,'LetterID Look Up'!$M$13:$N$17,2,TRUE),"")))))</f>
        <v/>
      </c>
      <c r="J455" s="122"/>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95"/>
      <c r="AH455" s="112"/>
      <c r="AI455" s="196"/>
      <c r="AJ455" s="197"/>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96"/>
      <c r="BV455" s="222" t="str">
        <f t="shared" si="13"/>
        <v/>
      </c>
    </row>
    <row r="456" spans="1:74" s="108" customFormat="1" ht="15.75">
      <c r="A456" s="119"/>
      <c r="B456" s="120"/>
      <c r="C456" s="111"/>
      <c r="D456" s="111"/>
      <c r="E456" s="121"/>
      <c r="F456" s="121"/>
      <c r="G456" s="113"/>
      <c r="H456" s="199" t="str">
        <f t="shared" ref="H456:H499" si="14">IF(E456="","",COUNTIF(J456:BK456,"y"))</f>
        <v/>
      </c>
      <c r="I456" s="200" t="str">
        <f>IF(E456="","",IF(AND(BV456&lt;=66),VLOOKUP(H456,'LetterID Look Up'!$A$13:$B$20,2,TRUE),IF(AND(BV456&gt;=67,BV456&lt;=72),VLOOKUP(H456,'LetterID Look Up'!$E$13:$F$19,2,TRUE),IF(AND(BV456&gt;=73,BV456&lt;=78),VLOOKUP(H456,'LetterID Look Up'!$I$13:$J$19,2,TRUE),IF(AND(BV456&gt;=79),VLOOKUP(H456,'LetterID Look Up'!$M$13:$N$17,2,TRUE),"")))))</f>
        <v/>
      </c>
      <c r="J456" s="122"/>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95"/>
      <c r="AH456" s="112"/>
      <c r="AI456" s="196"/>
      <c r="AJ456" s="197"/>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96"/>
      <c r="BV456" s="222" t="str">
        <f t="shared" ref="BV456:BV500" si="15">IF(E456="","",DATEDIF(B456,A456,"m"))</f>
        <v/>
      </c>
    </row>
    <row r="457" spans="1:74" s="108" customFormat="1" ht="15.75">
      <c r="A457" s="119"/>
      <c r="B457" s="120"/>
      <c r="C457" s="111"/>
      <c r="D457" s="111"/>
      <c r="E457" s="121"/>
      <c r="F457" s="121"/>
      <c r="G457" s="113"/>
      <c r="H457" s="199" t="str">
        <f t="shared" si="14"/>
        <v/>
      </c>
      <c r="I457" s="200" t="str">
        <f>IF(E457="","",IF(AND(BV457&lt;=66),VLOOKUP(H457,'LetterID Look Up'!$A$13:$B$20,2,TRUE),IF(AND(BV457&gt;=67,BV457&lt;=72),VLOOKUP(H457,'LetterID Look Up'!$E$13:$F$19,2,TRUE),IF(AND(BV457&gt;=73,BV457&lt;=78),VLOOKUP(H457,'LetterID Look Up'!$I$13:$J$19,2,TRUE),IF(AND(BV457&gt;=79),VLOOKUP(H457,'LetterID Look Up'!$M$13:$N$17,2,TRUE),"")))))</f>
        <v/>
      </c>
      <c r="J457" s="122"/>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95"/>
      <c r="AH457" s="112"/>
      <c r="AI457" s="196"/>
      <c r="AJ457" s="197"/>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96"/>
      <c r="BV457" s="222" t="str">
        <f t="shared" si="15"/>
        <v/>
      </c>
    </row>
    <row r="458" spans="1:74" s="108" customFormat="1" ht="15.75">
      <c r="A458" s="119"/>
      <c r="B458" s="120"/>
      <c r="C458" s="111"/>
      <c r="D458" s="111"/>
      <c r="E458" s="121"/>
      <c r="F458" s="121"/>
      <c r="G458" s="113"/>
      <c r="H458" s="199" t="str">
        <f t="shared" si="14"/>
        <v/>
      </c>
      <c r="I458" s="200" t="str">
        <f>IF(E458="","",IF(AND(BV458&lt;=66),VLOOKUP(H458,'LetterID Look Up'!$A$13:$B$20,2,TRUE),IF(AND(BV458&gt;=67,BV458&lt;=72),VLOOKUP(H458,'LetterID Look Up'!$E$13:$F$19,2,TRUE),IF(AND(BV458&gt;=73,BV458&lt;=78),VLOOKUP(H458,'LetterID Look Up'!$I$13:$J$19,2,TRUE),IF(AND(BV458&gt;=79),VLOOKUP(H458,'LetterID Look Up'!$M$13:$N$17,2,TRUE),"")))))</f>
        <v/>
      </c>
      <c r="J458" s="122"/>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95"/>
      <c r="AH458" s="112"/>
      <c r="AI458" s="196"/>
      <c r="AJ458" s="197"/>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96"/>
      <c r="BV458" s="222" t="str">
        <f t="shared" si="15"/>
        <v/>
      </c>
    </row>
    <row r="459" spans="1:74" s="108" customFormat="1" ht="15.75">
      <c r="A459" s="119"/>
      <c r="B459" s="120"/>
      <c r="C459" s="111"/>
      <c r="D459" s="111"/>
      <c r="E459" s="121"/>
      <c r="F459" s="121"/>
      <c r="G459" s="113"/>
      <c r="H459" s="199" t="str">
        <f t="shared" si="14"/>
        <v/>
      </c>
      <c r="I459" s="200" t="str">
        <f>IF(E459="","",IF(AND(BV459&lt;=66),VLOOKUP(H459,'LetterID Look Up'!$A$13:$B$20,2,TRUE),IF(AND(BV459&gt;=67,BV459&lt;=72),VLOOKUP(H459,'LetterID Look Up'!$E$13:$F$19,2,TRUE),IF(AND(BV459&gt;=73,BV459&lt;=78),VLOOKUP(H459,'LetterID Look Up'!$I$13:$J$19,2,TRUE),IF(AND(BV459&gt;=79),VLOOKUP(H459,'LetterID Look Up'!$M$13:$N$17,2,TRUE),"")))))</f>
        <v/>
      </c>
      <c r="J459" s="122"/>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95"/>
      <c r="AH459" s="112"/>
      <c r="AI459" s="196"/>
      <c r="AJ459" s="197"/>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96"/>
      <c r="BV459" s="222" t="str">
        <f t="shared" si="15"/>
        <v/>
      </c>
    </row>
    <row r="460" spans="1:74" s="108" customFormat="1" ht="15.75">
      <c r="A460" s="119"/>
      <c r="B460" s="120"/>
      <c r="C460" s="111"/>
      <c r="D460" s="111"/>
      <c r="E460" s="121"/>
      <c r="F460" s="121"/>
      <c r="G460" s="113"/>
      <c r="H460" s="199" t="str">
        <f t="shared" si="14"/>
        <v/>
      </c>
      <c r="I460" s="200" t="str">
        <f>IF(E460="","",IF(AND(BV460&lt;=66),VLOOKUP(H460,'LetterID Look Up'!$A$13:$B$20,2,TRUE),IF(AND(BV460&gt;=67,BV460&lt;=72),VLOOKUP(H460,'LetterID Look Up'!$E$13:$F$19,2,TRUE),IF(AND(BV460&gt;=73,BV460&lt;=78),VLOOKUP(H460,'LetterID Look Up'!$I$13:$J$19,2,TRUE),IF(AND(BV460&gt;=79),VLOOKUP(H460,'LetterID Look Up'!$M$13:$N$17,2,TRUE),"")))))</f>
        <v/>
      </c>
      <c r="J460" s="122"/>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95"/>
      <c r="AH460" s="112"/>
      <c r="AI460" s="196"/>
      <c r="AJ460" s="197"/>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96"/>
      <c r="BV460" s="222" t="str">
        <f t="shared" si="15"/>
        <v/>
      </c>
    </row>
    <row r="461" spans="1:74" s="108" customFormat="1" ht="15.75">
      <c r="A461" s="119"/>
      <c r="B461" s="120"/>
      <c r="C461" s="111"/>
      <c r="D461" s="111"/>
      <c r="E461" s="121"/>
      <c r="F461" s="121"/>
      <c r="G461" s="113"/>
      <c r="H461" s="199" t="str">
        <f t="shared" si="14"/>
        <v/>
      </c>
      <c r="I461" s="200" t="str">
        <f>IF(E461="","",IF(AND(BV461&lt;=66),VLOOKUP(H461,'LetterID Look Up'!$A$13:$B$20,2,TRUE),IF(AND(BV461&gt;=67,BV461&lt;=72),VLOOKUP(H461,'LetterID Look Up'!$E$13:$F$19,2,TRUE),IF(AND(BV461&gt;=73,BV461&lt;=78),VLOOKUP(H461,'LetterID Look Up'!$I$13:$J$19,2,TRUE),IF(AND(BV461&gt;=79),VLOOKUP(H461,'LetterID Look Up'!$M$13:$N$17,2,TRUE),"")))))</f>
        <v/>
      </c>
      <c r="J461" s="122"/>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95"/>
      <c r="AH461" s="112"/>
      <c r="AI461" s="196"/>
      <c r="AJ461" s="197"/>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96"/>
      <c r="BV461" s="222" t="str">
        <f t="shared" si="15"/>
        <v/>
      </c>
    </row>
    <row r="462" spans="1:74" s="108" customFormat="1" ht="15.75">
      <c r="A462" s="119"/>
      <c r="B462" s="120"/>
      <c r="C462" s="111"/>
      <c r="D462" s="111"/>
      <c r="E462" s="121"/>
      <c r="F462" s="121"/>
      <c r="G462" s="113"/>
      <c r="H462" s="199" t="str">
        <f t="shared" si="14"/>
        <v/>
      </c>
      <c r="I462" s="200" t="str">
        <f>IF(E462="","",IF(AND(BV462&lt;=66),VLOOKUP(H462,'LetterID Look Up'!$A$13:$B$20,2,TRUE),IF(AND(BV462&gt;=67,BV462&lt;=72),VLOOKUP(H462,'LetterID Look Up'!$E$13:$F$19,2,TRUE),IF(AND(BV462&gt;=73,BV462&lt;=78),VLOOKUP(H462,'LetterID Look Up'!$I$13:$J$19,2,TRUE),IF(AND(BV462&gt;=79),VLOOKUP(H462,'LetterID Look Up'!$M$13:$N$17,2,TRUE),"")))))</f>
        <v/>
      </c>
      <c r="J462" s="122"/>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95"/>
      <c r="AH462" s="112"/>
      <c r="AI462" s="196"/>
      <c r="AJ462" s="197"/>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96"/>
      <c r="BV462" s="222" t="str">
        <f t="shared" si="15"/>
        <v/>
      </c>
    </row>
    <row r="463" spans="1:74" s="108" customFormat="1" ht="15.75">
      <c r="A463" s="119"/>
      <c r="B463" s="120"/>
      <c r="C463" s="111"/>
      <c r="D463" s="111"/>
      <c r="E463" s="121"/>
      <c r="F463" s="121"/>
      <c r="G463" s="113"/>
      <c r="H463" s="199" t="str">
        <f t="shared" si="14"/>
        <v/>
      </c>
      <c r="I463" s="200" t="str">
        <f>IF(E463="","",IF(AND(BV463&lt;=66),VLOOKUP(H463,'LetterID Look Up'!$A$13:$B$20,2,TRUE),IF(AND(BV463&gt;=67,BV463&lt;=72),VLOOKUP(H463,'LetterID Look Up'!$E$13:$F$19,2,TRUE),IF(AND(BV463&gt;=73,BV463&lt;=78),VLOOKUP(H463,'LetterID Look Up'!$I$13:$J$19,2,TRUE),IF(AND(BV463&gt;=79),VLOOKUP(H463,'LetterID Look Up'!$M$13:$N$17,2,TRUE),"")))))</f>
        <v/>
      </c>
      <c r="J463" s="122"/>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95"/>
      <c r="AH463" s="112"/>
      <c r="AI463" s="196"/>
      <c r="AJ463" s="197"/>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96"/>
      <c r="BV463" s="222" t="str">
        <f t="shared" si="15"/>
        <v/>
      </c>
    </row>
    <row r="464" spans="1:74" s="108" customFormat="1" ht="15.75">
      <c r="A464" s="119"/>
      <c r="B464" s="120"/>
      <c r="C464" s="111"/>
      <c r="D464" s="111"/>
      <c r="E464" s="121"/>
      <c r="F464" s="121"/>
      <c r="G464" s="113"/>
      <c r="H464" s="199" t="str">
        <f t="shared" si="14"/>
        <v/>
      </c>
      <c r="I464" s="200" t="str">
        <f>IF(E464="","",IF(AND(BV464&lt;=66),VLOOKUP(H464,'LetterID Look Up'!$A$13:$B$20,2,TRUE),IF(AND(BV464&gt;=67,BV464&lt;=72),VLOOKUP(H464,'LetterID Look Up'!$E$13:$F$19,2,TRUE),IF(AND(BV464&gt;=73,BV464&lt;=78),VLOOKUP(H464,'LetterID Look Up'!$I$13:$J$19,2,TRUE),IF(AND(BV464&gt;=79),VLOOKUP(H464,'LetterID Look Up'!$M$13:$N$17,2,TRUE),"")))))</f>
        <v/>
      </c>
      <c r="J464" s="122"/>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95"/>
      <c r="AH464" s="112"/>
      <c r="AI464" s="196"/>
      <c r="AJ464" s="197"/>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96"/>
      <c r="BV464" s="222" t="str">
        <f t="shared" si="15"/>
        <v/>
      </c>
    </row>
    <row r="465" spans="1:74" s="108" customFormat="1" ht="15.75">
      <c r="A465" s="119"/>
      <c r="B465" s="120"/>
      <c r="C465" s="111"/>
      <c r="D465" s="111"/>
      <c r="E465" s="121"/>
      <c r="F465" s="121"/>
      <c r="G465" s="113"/>
      <c r="H465" s="199" t="str">
        <f t="shared" si="14"/>
        <v/>
      </c>
      <c r="I465" s="200" t="str">
        <f>IF(E465="","",IF(AND(BV465&lt;=66),VLOOKUP(H465,'LetterID Look Up'!$A$13:$B$20,2,TRUE),IF(AND(BV465&gt;=67,BV465&lt;=72),VLOOKUP(H465,'LetterID Look Up'!$E$13:$F$19,2,TRUE),IF(AND(BV465&gt;=73,BV465&lt;=78),VLOOKUP(H465,'LetterID Look Up'!$I$13:$J$19,2,TRUE),IF(AND(BV465&gt;=79),VLOOKUP(H465,'LetterID Look Up'!$M$13:$N$17,2,TRUE),"")))))</f>
        <v/>
      </c>
      <c r="J465" s="122"/>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95"/>
      <c r="AH465" s="112"/>
      <c r="AI465" s="196"/>
      <c r="AJ465" s="197"/>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96"/>
      <c r="BV465" s="222" t="str">
        <f t="shared" si="15"/>
        <v/>
      </c>
    </row>
    <row r="466" spans="1:74" s="108" customFormat="1" ht="15.75">
      <c r="A466" s="119"/>
      <c r="B466" s="120"/>
      <c r="C466" s="111"/>
      <c r="D466" s="111"/>
      <c r="E466" s="121"/>
      <c r="F466" s="121"/>
      <c r="G466" s="113"/>
      <c r="H466" s="199" t="str">
        <f t="shared" si="14"/>
        <v/>
      </c>
      <c r="I466" s="200" t="str">
        <f>IF(E466="","",IF(AND(BV466&lt;=66),VLOOKUP(H466,'LetterID Look Up'!$A$13:$B$20,2,TRUE),IF(AND(BV466&gt;=67,BV466&lt;=72),VLOOKUP(H466,'LetterID Look Up'!$E$13:$F$19,2,TRUE),IF(AND(BV466&gt;=73,BV466&lt;=78),VLOOKUP(H466,'LetterID Look Up'!$I$13:$J$19,2,TRUE),IF(AND(BV466&gt;=79),VLOOKUP(H466,'LetterID Look Up'!$M$13:$N$17,2,TRUE),"")))))</f>
        <v/>
      </c>
      <c r="J466" s="122"/>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95"/>
      <c r="AH466" s="112"/>
      <c r="AI466" s="196"/>
      <c r="AJ466" s="197"/>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96"/>
      <c r="BV466" s="222" t="str">
        <f t="shared" si="15"/>
        <v/>
      </c>
    </row>
    <row r="467" spans="1:74" s="108" customFormat="1" ht="15.75">
      <c r="A467" s="119"/>
      <c r="B467" s="120"/>
      <c r="C467" s="111"/>
      <c r="D467" s="111"/>
      <c r="E467" s="121"/>
      <c r="F467" s="121"/>
      <c r="G467" s="113"/>
      <c r="H467" s="199" t="str">
        <f t="shared" si="14"/>
        <v/>
      </c>
      <c r="I467" s="200" t="str">
        <f>IF(E467="","",IF(AND(BV467&lt;=66),VLOOKUP(H467,'LetterID Look Up'!$A$13:$B$20,2,TRUE),IF(AND(BV467&gt;=67,BV467&lt;=72),VLOOKUP(H467,'LetterID Look Up'!$E$13:$F$19,2,TRUE),IF(AND(BV467&gt;=73,BV467&lt;=78),VLOOKUP(H467,'LetterID Look Up'!$I$13:$J$19,2,TRUE),IF(AND(BV467&gt;=79),VLOOKUP(H467,'LetterID Look Up'!$M$13:$N$17,2,TRUE),"")))))</f>
        <v/>
      </c>
      <c r="J467" s="122"/>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95"/>
      <c r="AH467" s="112"/>
      <c r="AI467" s="196"/>
      <c r="AJ467" s="197"/>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96"/>
      <c r="BV467" s="222" t="str">
        <f t="shared" si="15"/>
        <v/>
      </c>
    </row>
    <row r="468" spans="1:74" s="108" customFormat="1" ht="15.75">
      <c r="A468" s="119"/>
      <c r="B468" s="120"/>
      <c r="C468" s="111"/>
      <c r="D468" s="111"/>
      <c r="E468" s="121"/>
      <c r="F468" s="121"/>
      <c r="G468" s="113"/>
      <c r="H468" s="199" t="str">
        <f t="shared" si="14"/>
        <v/>
      </c>
      <c r="I468" s="200" t="str">
        <f>IF(E468="","",IF(AND(BV468&lt;=66),VLOOKUP(H468,'LetterID Look Up'!$A$13:$B$20,2,TRUE),IF(AND(BV468&gt;=67,BV468&lt;=72),VLOOKUP(H468,'LetterID Look Up'!$E$13:$F$19,2,TRUE),IF(AND(BV468&gt;=73,BV468&lt;=78),VLOOKUP(H468,'LetterID Look Up'!$I$13:$J$19,2,TRUE),IF(AND(BV468&gt;=79),VLOOKUP(H468,'LetterID Look Up'!$M$13:$N$17,2,TRUE),"")))))</f>
        <v/>
      </c>
      <c r="J468" s="122"/>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95"/>
      <c r="AH468" s="112"/>
      <c r="AI468" s="196"/>
      <c r="AJ468" s="197"/>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96"/>
      <c r="BV468" s="222" t="str">
        <f t="shared" si="15"/>
        <v/>
      </c>
    </row>
    <row r="469" spans="1:74" s="108" customFormat="1" ht="15.75">
      <c r="A469" s="119"/>
      <c r="B469" s="120"/>
      <c r="C469" s="111"/>
      <c r="D469" s="111"/>
      <c r="E469" s="121"/>
      <c r="F469" s="121"/>
      <c r="G469" s="113"/>
      <c r="H469" s="199" t="str">
        <f t="shared" si="14"/>
        <v/>
      </c>
      <c r="I469" s="200" t="str">
        <f>IF(E469="","",IF(AND(BV469&lt;=66),VLOOKUP(H469,'LetterID Look Up'!$A$13:$B$20,2,TRUE),IF(AND(BV469&gt;=67,BV469&lt;=72),VLOOKUP(H469,'LetterID Look Up'!$E$13:$F$19,2,TRUE),IF(AND(BV469&gt;=73,BV469&lt;=78),VLOOKUP(H469,'LetterID Look Up'!$I$13:$J$19,2,TRUE),IF(AND(BV469&gt;=79),VLOOKUP(H469,'LetterID Look Up'!$M$13:$N$17,2,TRUE),"")))))</f>
        <v/>
      </c>
      <c r="J469" s="122"/>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95"/>
      <c r="AH469" s="112"/>
      <c r="AI469" s="196"/>
      <c r="AJ469" s="197"/>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96"/>
      <c r="BV469" s="222" t="str">
        <f t="shared" si="15"/>
        <v/>
      </c>
    </row>
    <row r="470" spans="1:74" s="108" customFormat="1" ht="15.75">
      <c r="A470" s="119"/>
      <c r="B470" s="120"/>
      <c r="C470" s="111"/>
      <c r="D470" s="111"/>
      <c r="E470" s="121"/>
      <c r="F470" s="121"/>
      <c r="G470" s="113"/>
      <c r="H470" s="199" t="str">
        <f t="shared" si="14"/>
        <v/>
      </c>
      <c r="I470" s="200" t="str">
        <f>IF(E470="","",IF(AND(BV470&lt;=66),VLOOKUP(H470,'LetterID Look Up'!$A$13:$B$20,2,TRUE),IF(AND(BV470&gt;=67,BV470&lt;=72),VLOOKUP(H470,'LetterID Look Up'!$E$13:$F$19,2,TRUE),IF(AND(BV470&gt;=73,BV470&lt;=78),VLOOKUP(H470,'LetterID Look Up'!$I$13:$J$19,2,TRUE),IF(AND(BV470&gt;=79),VLOOKUP(H470,'LetterID Look Up'!$M$13:$N$17,2,TRUE),"")))))</f>
        <v/>
      </c>
      <c r="J470" s="122"/>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95"/>
      <c r="AH470" s="112"/>
      <c r="AI470" s="196"/>
      <c r="AJ470" s="197"/>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96"/>
      <c r="BV470" s="222" t="str">
        <f t="shared" si="15"/>
        <v/>
      </c>
    </row>
    <row r="471" spans="1:74" s="108" customFormat="1" ht="15.75">
      <c r="A471" s="119"/>
      <c r="B471" s="120"/>
      <c r="C471" s="111"/>
      <c r="D471" s="111"/>
      <c r="E471" s="121"/>
      <c r="F471" s="121"/>
      <c r="G471" s="113"/>
      <c r="H471" s="199" t="str">
        <f t="shared" si="14"/>
        <v/>
      </c>
      <c r="I471" s="200" t="str">
        <f>IF(E471="","",IF(AND(BV471&lt;=66),VLOOKUP(H471,'LetterID Look Up'!$A$13:$B$20,2,TRUE),IF(AND(BV471&gt;=67,BV471&lt;=72),VLOOKUP(H471,'LetterID Look Up'!$E$13:$F$19,2,TRUE),IF(AND(BV471&gt;=73,BV471&lt;=78),VLOOKUP(H471,'LetterID Look Up'!$I$13:$J$19,2,TRUE),IF(AND(BV471&gt;=79),VLOOKUP(H471,'LetterID Look Up'!$M$13:$N$17,2,TRUE),"")))))</f>
        <v/>
      </c>
      <c r="J471" s="122"/>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95"/>
      <c r="AH471" s="112"/>
      <c r="AI471" s="196"/>
      <c r="AJ471" s="197"/>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96"/>
      <c r="BV471" s="222" t="str">
        <f t="shared" si="15"/>
        <v/>
      </c>
    </row>
    <row r="472" spans="1:74" s="108" customFormat="1" ht="15.75">
      <c r="A472" s="119"/>
      <c r="B472" s="120"/>
      <c r="C472" s="111"/>
      <c r="D472" s="111"/>
      <c r="E472" s="121"/>
      <c r="F472" s="121"/>
      <c r="G472" s="113"/>
      <c r="H472" s="199" t="str">
        <f t="shared" si="14"/>
        <v/>
      </c>
      <c r="I472" s="200" t="str">
        <f>IF(E472="","",IF(AND(BV472&lt;=66),VLOOKUP(H472,'LetterID Look Up'!$A$13:$B$20,2,TRUE),IF(AND(BV472&gt;=67,BV472&lt;=72),VLOOKUP(H472,'LetterID Look Up'!$E$13:$F$19,2,TRUE),IF(AND(BV472&gt;=73,BV472&lt;=78),VLOOKUP(H472,'LetterID Look Up'!$I$13:$J$19,2,TRUE),IF(AND(BV472&gt;=79),VLOOKUP(H472,'LetterID Look Up'!$M$13:$N$17,2,TRUE),"")))))</f>
        <v/>
      </c>
      <c r="J472" s="122"/>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95"/>
      <c r="AH472" s="112"/>
      <c r="AI472" s="196"/>
      <c r="AJ472" s="197"/>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96"/>
      <c r="BV472" s="222" t="str">
        <f t="shared" si="15"/>
        <v/>
      </c>
    </row>
    <row r="473" spans="1:74" s="108" customFormat="1" ht="15.75">
      <c r="A473" s="119"/>
      <c r="B473" s="120"/>
      <c r="C473" s="111"/>
      <c r="D473" s="111"/>
      <c r="E473" s="121"/>
      <c r="F473" s="121"/>
      <c r="G473" s="113"/>
      <c r="H473" s="199" t="str">
        <f t="shared" si="14"/>
        <v/>
      </c>
      <c r="I473" s="200" t="str">
        <f>IF(E473="","",IF(AND(BV473&lt;=66),VLOOKUP(H473,'LetterID Look Up'!$A$13:$B$20,2,TRUE),IF(AND(BV473&gt;=67,BV473&lt;=72),VLOOKUP(H473,'LetterID Look Up'!$E$13:$F$19,2,TRUE),IF(AND(BV473&gt;=73,BV473&lt;=78),VLOOKUP(H473,'LetterID Look Up'!$I$13:$J$19,2,TRUE),IF(AND(BV473&gt;=79),VLOOKUP(H473,'LetterID Look Up'!$M$13:$N$17,2,TRUE),"")))))</f>
        <v/>
      </c>
      <c r="J473" s="122"/>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95"/>
      <c r="AH473" s="112"/>
      <c r="AI473" s="196"/>
      <c r="AJ473" s="197"/>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96"/>
      <c r="BV473" s="222" t="str">
        <f t="shared" si="15"/>
        <v/>
      </c>
    </row>
    <row r="474" spans="1:74" s="108" customFormat="1" ht="15.75">
      <c r="A474" s="119"/>
      <c r="B474" s="120"/>
      <c r="C474" s="111"/>
      <c r="D474" s="111"/>
      <c r="E474" s="121"/>
      <c r="F474" s="121"/>
      <c r="G474" s="113"/>
      <c r="H474" s="199" t="str">
        <f t="shared" si="14"/>
        <v/>
      </c>
      <c r="I474" s="200" t="str">
        <f>IF(E474="","",IF(AND(BV474&lt;=66),VLOOKUP(H474,'LetterID Look Up'!$A$13:$B$20,2,TRUE),IF(AND(BV474&gt;=67,BV474&lt;=72),VLOOKUP(H474,'LetterID Look Up'!$E$13:$F$19,2,TRUE),IF(AND(BV474&gt;=73,BV474&lt;=78),VLOOKUP(H474,'LetterID Look Up'!$I$13:$J$19,2,TRUE),IF(AND(BV474&gt;=79),VLOOKUP(H474,'LetterID Look Up'!$M$13:$N$17,2,TRUE),"")))))</f>
        <v/>
      </c>
      <c r="J474" s="122"/>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95"/>
      <c r="AH474" s="112"/>
      <c r="AI474" s="196"/>
      <c r="AJ474" s="197"/>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96"/>
      <c r="BV474" s="222" t="str">
        <f t="shared" si="15"/>
        <v/>
      </c>
    </row>
    <row r="475" spans="1:74" s="108" customFormat="1" ht="15.75">
      <c r="A475" s="119"/>
      <c r="B475" s="120"/>
      <c r="C475" s="111"/>
      <c r="D475" s="111"/>
      <c r="E475" s="121"/>
      <c r="F475" s="121"/>
      <c r="G475" s="113"/>
      <c r="H475" s="199" t="str">
        <f t="shared" si="14"/>
        <v/>
      </c>
      <c r="I475" s="200" t="str">
        <f>IF(E475="","",IF(AND(BV475&lt;=66),VLOOKUP(H475,'LetterID Look Up'!$A$13:$B$20,2,TRUE),IF(AND(BV475&gt;=67,BV475&lt;=72),VLOOKUP(H475,'LetterID Look Up'!$E$13:$F$19,2,TRUE),IF(AND(BV475&gt;=73,BV475&lt;=78),VLOOKUP(H475,'LetterID Look Up'!$I$13:$J$19,2,TRUE),IF(AND(BV475&gt;=79),VLOOKUP(H475,'LetterID Look Up'!$M$13:$N$17,2,TRUE),"")))))</f>
        <v/>
      </c>
      <c r="J475" s="122"/>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95"/>
      <c r="AH475" s="112"/>
      <c r="AI475" s="196"/>
      <c r="AJ475" s="197"/>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96"/>
      <c r="BV475" s="222" t="str">
        <f t="shared" si="15"/>
        <v/>
      </c>
    </row>
    <row r="476" spans="1:74" s="108" customFormat="1" ht="15.75">
      <c r="A476" s="119"/>
      <c r="B476" s="120"/>
      <c r="C476" s="111"/>
      <c r="D476" s="111"/>
      <c r="E476" s="121"/>
      <c r="F476" s="121"/>
      <c r="G476" s="113"/>
      <c r="H476" s="199" t="str">
        <f t="shared" si="14"/>
        <v/>
      </c>
      <c r="I476" s="200" t="str">
        <f>IF(E476="","",IF(AND(BV476&lt;=66),VLOOKUP(H476,'LetterID Look Up'!$A$13:$B$20,2,TRUE),IF(AND(BV476&gt;=67,BV476&lt;=72),VLOOKUP(H476,'LetterID Look Up'!$E$13:$F$19,2,TRUE),IF(AND(BV476&gt;=73,BV476&lt;=78),VLOOKUP(H476,'LetterID Look Up'!$I$13:$J$19,2,TRUE),IF(AND(BV476&gt;=79),VLOOKUP(H476,'LetterID Look Up'!$M$13:$N$17,2,TRUE),"")))))</f>
        <v/>
      </c>
      <c r="J476" s="122"/>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95"/>
      <c r="AH476" s="112"/>
      <c r="AI476" s="196"/>
      <c r="AJ476" s="197"/>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96"/>
      <c r="BV476" s="222" t="str">
        <f t="shared" si="15"/>
        <v/>
      </c>
    </row>
    <row r="477" spans="1:74" s="108" customFormat="1" ht="15.75">
      <c r="A477" s="119"/>
      <c r="B477" s="120"/>
      <c r="C477" s="111"/>
      <c r="D477" s="111"/>
      <c r="E477" s="121"/>
      <c r="F477" s="121"/>
      <c r="G477" s="113"/>
      <c r="H477" s="199" t="str">
        <f t="shared" si="14"/>
        <v/>
      </c>
      <c r="I477" s="200" t="str">
        <f>IF(E477="","",IF(AND(BV477&lt;=66),VLOOKUP(H477,'LetterID Look Up'!$A$13:$B$20,2,TRUE),IF(AND(BV477&gt;=67,BV477&lt;=72),VLOOKUP(H477,'LetterID Look Up'!$E$13:$F$19,2,TRUE),IF(AND(BV477&gt;=73,BV477&lt;=78),VLOOKUP(H477,'LetterID Look Up'!$I$13:$J$19,2,TRUE),IF(AND(BV477&gt;=79),VLOOKUP(H477,'LetterID Look Up'!$M$13:$N$17,2,TRUE),"")))))</f>
        <v/>
      </c>
      <c r="J477" s="122"/>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95"/>
      <c r="AH477" s="112"/>
      <c r="AI477" s="196"/>
      <c r="AJ477" s="197"/>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96"/>
      <c r="BV477" s="222" t="str">
        <f t="shared" si="15"/>
        <v/>
      </c>
    </row>
    <row r="478" spans="1:74" s="108" customFormat="1" ht="15.75">
      <c r="A478" s="119"/>
      <c r="B478" s="120"/>
      <c r="C478" s="111"/>
      <c r="D478" s="111"/>
      <c r="E478" s="121"/>
      <c r="F478" s="121"/>
      <c r="G478" s="113"/>
      <c r="H478" s="199" t="str">
        <f t="shared" si="14"/>
        <v/>
      </c>
      <c r="I478" s="200" t="str">
        <f>IF(E478="","",IF(AND(BV478&lt;=66),VLOOKUP(H478,'LetterID Look Up'!$A$13:$B$20,2,TRUE),IF(AND(BV478&gt;=67,BV478&lt;=72),VLOOKUP(H478,'LetterID Look Up'!$E$13:$F$19,2,TRUE),IF(AND(BV478&gt;=73,BV478&lt;=78),VLOOKUP(H478,'LetterID Look Up'!$I$13:$J$19,2,TRUE),IF(AND(BV478&gt;=79),VLOOKUP(H478,'LetterID Look Up'!$M$13:$N$17,2,TRUE),"")))))</f>
        <v/>
      </c>
      <c r="J478" s="122"/>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95"/>
      <c r="AH478" s="112"/>
      <c r="AI478" s="196"/>
      <c r="AJ478" s="197"/>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96"/>
      <c r="BV478" s="222" t="str">
        <f t="shared" si="15"/>
        <v/>
      </c>
    </row>
    <row r="479" spans="1:74" s="108" customFormat="1" ht="15.75">
      <c r="A479" s="119"/>
      <c r="B479" s="120"/>
      <c r="C479" s="111"/>
      <c r="D479" s="111"/>
      <c r="E479" s="121"/>
      <c r="F479" s="121"/>
      <c r="G479" s="113"/>
      <c r="H479" s="199" t="str">
        <f t="shared" si="14"/>
        <v/>
      </c>
      <c r="I479" s="200" t="str">
        <f>IF(E479="","",IF(AND(BV479&lt;=66),VLOOKUP(H479,'LetterID Look Up'!$A$13:$B$20,2,TRUE),IF(AND(BV479&gt;=67,BV479&lt;=72),VLOOKUP(H479,'LetterID Look Up'!$E$13:$F$19,2,TRUE),IF(AND(BV479&gt;=73,BV479&lt;=78),VLOOKUP(H479,'LetterID Look Up'!$I$13:$J$19,2,TRUE),IF(AND(BV479&gt;=79),VLOOKUP(H479,'LetterID Look Up'!$M$13:$N$17,2,TRUE),"")))))</f>
        <v/>
      </c>
      <c r="J479" s="122"/>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95"/>
      <c r="AH479" s="112"/>
      <c r="AI479" s="196"/>
      <c r="AJ479" s="197"/>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96"/>
      <c r="BV479" s="222" t="str">
        <f t="shared" si="15"/>
        <v/>
      </c>
    </row>
    <row r="480" spans="1:74" s="108" customFormat="1" ht="15.75">
      <c r="A480" s="119"/>
      <c r="B480" s="120"/>
      <c r="C480" s="111"/>
      <c r="D480" s="111"/>
      <c r="E480" s="121"/>
      <c r="F480" s="121"/>
      <c r="G480" s="113"/>
      <c r="H480" s="199" t="str">
        <f t="shared" si="14"/>
        <v/>
      </c>
      <c r="I480" s="200" t="str">
        <f>IF(E480="","",IF(AND(BV480&lt;=66),VLOOKUP(H480,'LetterID Look Up'!$A$13:$B$20,2,TRUE),IF(AND(BV480&gt;=67,BV480&lt;=72),VLOOKUP(H480,'LetterID Look Up'!$E$13:$F$19,2,TRUE),IF(AND(BV480&gt;=73,BV480&lt;=78),VLOOKUP(H480,'LetterID Look Up'!$I$13:$J$19,2,TRUE),IF(AND(BV480&gt;=79),VLOOKUP(H480,'LetterID Look Up'!$M$13:$N$17,2,TRUE),"")))))</f>
        <v/>
      </c>
      <c r="J480" s="122"/>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95"/>
      <c r="AH480" s="112"/>
      <c r="AI480" s="196"/>
      <c r="AJ480" s="197"/>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96"/>
      <c r="BV480" s="222" t="str">
        <f t="shared" si="15"/>
        <v/>
      </c>
    </row>
    <row r="481" spans="1:74" s="108" customFormat="1" ht="15.75">
      <c r="A481" s="119"/>
      <c r="B481" s="120"/>
      <c r="C481" s="111"/>
      <c r="D481" s="111"/>
      <c r="E481" s="121"/>
      <c r="F481" s="121"/>
      <c r="G481" s="113"/>
      <c r="H481" s="199" t="str">
        <f t="shared" si="14"/>
        <v/>
      </c>
      <c r="I481" s="200" t="str">
        <f>IF(E481="","",IF(AND(BV481&lt;=66),VLOOKUP(H481,'LetterID Look Up'!$A$13:$B$20,2,TRUE),IF(AND(BV481&gt;=67,BV481&lt;=72),VLOOKUP(H481,'LetterID Look Up'!$E$13:$F$19,2,TRUE),IF(AND(BV481&gt;=73,BV481&lt;=78),VLOOKUP(H481,'LetterID Look Up'!$I$13:$J$19,2,TRUE),IF(AND(BV481&gt;=79),VLOOKUP(H481,'LetterID Look Up'!$M$13:$N$17,2,TRUE),"")))))</f>
        <v/>
      </c>
      <c r="J481" s="122"/>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95"/>
      <c r="AH481" s="112"/>
      <c r="AI481" s="196"/>
      <c r="AJ481" s="197"/>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96"/>
      <c r="BV481" s="222" t="str">
        <f t="shared" si="15"/>
        <v/>
      </c>
    </row>
    <row r="482" spans="1:74" s="108" customFormat="1" ht="15.75">
      <c r="A482" s="119"/>
      <c r="B482" s="120"/>
      <c r="C482" s="111"/>
      <c r="D482" s="111"/>
      <c r="E482" s="121"/>
      <c r="F482" s="121"/>
      <c r="G482" s="113"/>
      <c r="H482" s="199" t="str">
        <f t="shared" si="14"/>
        <v/>
      </c>
      <c r="I482" s="200" t="str">
        <f>IF(E482="","",IF(AND(BV482&lt;=66),VLOOKUP(H482,'LetterID Look Up'!$A$13:$B$20,2,TRUE),IF(AND(BV482&gt;=67,BV482&lt;=72),VLOOKUP(H482,'LetterID Look Up'!$E$13:$F$19,2,TRUE),IF(AND(BV482&gt;=73,BV482&lt;=78),VLOOKUP(H482,'LetterID Look Up'!$I$13:$J$19,2,TRUE),IF(AND(BV482&gt;=79),VLOOKUP(H482,'LetterID Look Up'!$M$13:$N$17,2,TRUE),"")))))</f>
        <v/>
      </c>
      <c r="J482" s="122"/>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95"/>
      <c r="AH482" s="112"/>
      <c r="AI482" s="196"/>
      <c r="AJ482" s="197"/>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96"/>
      <c r="BV482" s="222" t="str">
        <f t="shared" si="15"/>
        <v/>
      </c>
    </row>
    <row r="483" spans="1:74" s="108" customFormat="1" ht="15.75">
      <c r="A483" s="119"/>
      <c r="B483" s="120"/>
      <c r="C483" s="111"/>
      <c r="D483" s="111"/>
      <c r="E483" s="121"/>
      <c r="F483" s="121"/>
      <c r="G483" s="113"/>
      <c r="H483" s="199" t="str">
        <f t="shared" si="14"/>
        <v/>
      </c>
      <c r="I483" s="200" t="str">
        <f>IF(E483="","",IF(AND(BV483&lt;=66),VLOOKUP(H483,'LetterID Look Up'!$A$13:$B$20,2,TRUE),IF(AND(BV483&gt;=67,BV483&lt;=72),VLOOKUP(H483,'LetterID Look Up'!$E$13:$F$19,2,TRUE),IF(AND(BV483&gt;=73,BV483&lt;=78),VLOOKUP(H483,'LetterID Look Up'!$I$13:$J$19,2,TRUE),IF(AND(BV483&gt;=79),VLOOKUP(H483,'LetterID Look Up'!$M$13:$N$17,2,TRUE),"")))))</f>
        <v/>
      </c>
      <c r="J483" s="122"/>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95"/>
      <c r="AH483" s="112"/>
      <c r="AI483" s="196"/>
      <c r="AJ483" s="197"/>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96"/>
      <c r="BV483" s="222" t="str">
        <f t="shared" si="15"/>
        <v/>
      </c>
    </row>
    <row r="484" spans="1:74" s="108" customFormat="1" ht="15.75">
      <c r="A484" s="119"/>
      <c r="B484" s="120"/>
      <c r="C484" s="111"/>
      <c r="D484" s="111"/>
      <c r="E484" s="121"/>
      <c r="F484" s="121"/>
      <c r="G484" s="113"/>
      <c r="H484" s="199" t="str">
        <f t="shared" si="14"/>
        <v/>
      </c>
      <c r="I484" s="200" t="str">
        <f>IF(E484="","",IF(AND(BV484&lt;=66),VLOOKUP(H484,'LetterID Look Up'!$A$13:$B$20,2,TRUE),IF(AND(BV484&gt;=67,BV484&lt;=72),VLOOKUP(H484,'LetterID Look Up'!$E$13:$F$19,2,TRUE),IF(AND(BV484&gt;=73,BV484&lt;=78),VLOOKUP(H484,'LetterID Look Up'!$I$13:$J$19,2,TRUE),IF(AND(BV484&gt;=79),VLOOKUP(H484,'LetterID Look Up'!$M$13:$N$17,2,TRUE),"")))))</f>
        <v/>
      </c>
      <c r="J484" s="122"/>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95"/>
      <c r="AH484" s="112"/>
      <c r="AI484" s="196"/>
      <c r="AJ484" s="197"/>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96"/>
      <c r="BV484" s="222" t="str">
        <f t="shared" si="15"/>
        <v/>
      </c>
    </row>
    <row r="485" spans="1:74" s="108" customFormat="1" ht="15.75">
      <c r="A485" s="119"/>
      <c r="B485" s="120"/>
      <c r="C485" s="111"/>
      <c r="D485" s="111"/>
      <c r="E485" s="121"/>
      <c r="F485" s="121"/>
      <c r="G485" s="113"/>
      <c r="H485" s="199" t="str">
        <f t="shared" si="14"/>
        <v/>
      </c>
      <c r="I485" s="200" t="str">
        <f>IF(E485="","",IF(AND(BV485&lt;=66),VLOOKUP(H485,'LetterID Look Up'!$A$13:$B$20,2,TRUE),IF(AND(BV485&gt;=67,BV485&lt;=72),VLOOKUP(H485,'LetterID Look Up'!$E$13:$F$19,2,TRUE),IF(AND(BV485&gt;=73,BV485&lt;=78),VLOOKUP(H485,'LetterID Look Up'!$I$13:$J$19,2,TRUE),IF(AND(BV485&gt;=79),VLOOKUP(H485,'LetterID Look Up'!$M$13:$N$17,2,TRUE),"")))))</f>
        <v/>
      </c>
      <c r="J485" s="122"/>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95"/>
      <c r="AH485" s="112"/>
      <c r="AI485" s="196"/>
      <c r="AJ485" s="197"/>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96"/>
      <c r="BV485" s="222" t="str">
        <f t="shared" si="15"/>
        <v/>
      </c>
    </row>
    <row r="486" spans="1:74" s="108" customFormat="1" ht="15.75">
      <c r="A486" s="119"/>
      <c r="B486" s="120"/>
      <c r="C486" s="111"/>
      <c r="D486" s="111"/>
      <c r="E486" s="121"/>
      <c r="F486" s="121"/>
      <c r="G486" s="113"/>
      <c r="H486" s="199" t="str">
        <f t="shared" si="14"/>
        <v/>
      </c>
      <c r="I486" s="200" t="str">
        <f>IF(E486="","",IF(AND(BV486&lt;=66),VLOOKUP(H486,'LetterID Look Up'!$A$13:$B$20,2,TRUE),IF(AND(BV486&gt;=67,BV486&lt;=72),VLOOKUP(H486,'LetterID Look Up'!$E$13:$F$19,2,TRUE),IF(AND(BV486&gt;=73,BV486&lt;=78),VLOOKUP(H486,'LetterID Look Up'!$I$13:$J$19,2,TRUE),IF(AND(BV486&gt;=79),VLOOKUP(H486,'LetterID Look Up'!$M$13:$N$17,2,TRUE),"")))))</f>
        <v/>
      </c>
      <c r="J486" s="122"/>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95"/>
      <c r="AH486" s="112"/>
      <c r="AI486" s="196"/>
      <c r="AJ486" s="197"/>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96"/>
      <c r="BV486" s="222" t="str">
        <f t="shared" si="15"/>
        <v/>
      </c>
    </row>
    <row r="487" spans="1:74" s="108" customFormat="1" ht="15.75">
      <c r="A487" s="119"/>
      <c r="B487" s="120"/>
      <c r="C487" s="111"/>
      <c r="D487" s="111"/>
      <c r="E487" s="121"/>
      <c r="F487" s="121"/>
      <c r="G487" s="113"/>
      <c r="H487" s="199" t="str">
        <f t="shared" si="14"/>
        <v/>
      </c>
      <c r="I487" s="200" t="str">
        <f>IF(E487="","",IF(AND(BV487&lt;=66),VLOOKUP(H487,'LetterID Look Up'!$A$13:$B$20,2,TRUE),IF(AND(BV487&gt;=67,BV487&lt;=72),VLOOKUP(H487,'LetterID Look Up'!$E$13:$F$19,2,TRUE),IF(AND(BV487&gt;=73,BV487&lt;=78),VLOOKUP(H487,'LetterID Look Up'!$I$13:$J$19,2,TRUE),IF(AND(BV487&gt;=79),VLOOKUP(H487,'LetterID Look Up'!$M$13:$N$17,2,TRUE),"")))))</f>
        <v/>
      </c>
      <c r="J487" s="122"/>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95"/>
      <c r="AH487" s="112"/>
      <c r="AI487" s="196"/>
      <c r="AJ487" s="197"/>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96"/>
      <c r="BV487" s="222" t="str">
        <f t="shared" si="15"/>
        <v/>
      </c>
    </row>
    <row r="488" spans="1:74" s="108" customFormat="1" ht="15.75">
      <c r="A488" s="119"/>
      <c r="B488" s="120"/>
      <c r="C488" s="111"/>
      <c r="D488" s="111"/>
      <c r="E488" s="121"/>
      <c r="F488" s="121"/>
      <c r="G488" s="113"/>
      <c r="H488" s="199" t="str">
        <f t="shared" si="14"/>
        <v/>
      </c>
      <c r="I488" s="200" t="str">
        <f>IF(E488="","",IF(AND(BV488&lt;=66),VLOOKUP(H488,'LetterID Look Up'!$A$13:$B$20,2,TRUE),IF(AND(BV488&gt;=67,BV488&lt;=72),VLOOKUP(H488,'LetterID Look Up'!$E$13:$F$19,2,TRUE),IF(AND(BV488&gt;=73,BV488&lt;=78),VLOOKUP(H488,'LetterID Look Up'!$I$13:$J$19,2,TRUE),IF(AND(BV488&gt;=79),VLOOKUP(H488,'LetterID Look Up'!$M$13:$N$17,2,TRUE),"")))))</f>
        <v/>
      </c>
      <c r="J488" s="122"/>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95"/>
      <c r="AH488" s="112"/>
      <c r="AI488" s="196"/>
      <c r="AJ488" s="197"/>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96"/>
      <c r="BV488" s="222" t="str">
        <f t="shared" si="15"/>
        <v/>
      </c>
    </row>
    <row r="489" spans="1:74" s="108" customFormat="1" ht="15.75">
      <c r="A489" s="119"/>
      <c r="B489" s="120"/>
      <c r="C489" s="111"/>
      <c r="D489" s="111"/>
      <c r="E489" s="121"/>
      <c r="F489" s="121"/>
      <c r="G489" s="113"/>
      <c r="H489" s="199" t="str">
        <f t="shared" si="14"/>
        <v/>
      </c>
      <c r="I489" s="200" t="str">
        <f>IF(E489="","",IF(AND(BV489&lt;=66),VLOOKUP(H489,'LetterID Look Up'!$A$13:$B$20,2,TRUE),IF(AND(BV489&gt;=67,BV489&lt;=72),VLOOKUP(H489,'LetterID Look Up'!$E$13:$F$19,2,TRUE),IF(AND(BV489&gt;=73,BV489&lt;=78),VLOOKUP(H489,'LetterID Look Up'!$I$13:$J$19,2,TRUE),IF(AND(BV489&gt;=79),VLOOKUP(H489,'LetterID Look Up'!$M$13:$N$17,2,TRUE),"")))))</f>
        <v/>
      </c>
      <c r="J489" s="122"/>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95"/>
      <c r="AH489" s="112"/>
      <c r="AI489" s="196"/>
      <c r="AJ489" s="197"/>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96"/>
      <c r="BV489" s="222" t="str">
        <f t="shared" si="15"/>
        <v/>
      </c>
    </row>
    <row r="490" spans="1:74" s="108" customFormat="1" ht="15.75">
      <c r="A490" s="119"/>
      <c r="B490" s="120"/>
      <c r="C490" s="111"/>
      <c r="D490" s="111"/>
      <c r="E490" s="121"/>
      <c r="F490" s="121"/>
      <c r="G490" s="113"/>
      <c r="H490" s="199" t="str">
        <f t="shared" si="14"/>
        <v/>
      </c>
      <c r="I490" s="200" t="str">
        <f>IF(E490="","",IF(AND(BV490&lt;=66),VLOOKUP(H490,'LetterID Look Up'!$A$13:$B$20,2,TRUE),IF(AND(BV490&gt;=67,BV490&lt;=72),VLOOKUP(H490,'LetterID Look Up'!$E$13:$F$19,2,TRUE),IF(AND(BV490&gt;=73,BV490&lt;=78),VLOOKUP(H490,'LetterID Look Up'!$I$13:$J$19,2,TRUE),IF(AND(BV490&gt;=79),VLOOKUP(H490,'LetterID Look Up'!$M$13:$N$17,2,TRUE),"")))))</f>
        <v/>
      </c>
      <c r="J490" s="122"/>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95"/>
      <c r="AH490" s="112"/>
      <c r="AI490" s="196"/>
      <c r="AJ490" s="197"/>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96"/>
      <c r="BV490" s="222" t="str">
        <f t="shared" si="15"/>
        <v/>
      </c>
    </row>
    <row r="491" spans="1:74" s="108" customFormat="1" ht="15.75">
      <c r="A491" s="119"/>
      <c r="B491" s="120"/>
      <c r="C491" s="111"/>
      <c r="D491" s="111"/>
      <c r="E491" s="121"/>
      <c r="F491" s="121"/>
      <c r="G491" s="113"/>
      <c r="H491" s="199" t="str">
        <f t="shared" si="14"/>
        <v/>
      </c>
      <c r="I491" s="200" t="str">
        <f>IF(E491="","",IF(AND(BV491&lt;=66),VLOOKUP(H491,'LetterID Look Up'!$A$13:$B$20,2,TRUE),IF(AND(BV491&gt;=67,BV491&lt;=72),VLOOKUP(H491,'LetterID Look Up'!$E$13:$F$19,2,TRUE),IF(AND(BV491&gt;=73,BV491&lt;=78),VLOOKUP(H491,'LetterID Look Up'!$I$13:$J$19,2,TRUE),IF(AND(BV491&gt;=79),VLOOKUP(H491,'LetterID Look Up'!$M$13:$N$17,2,TRUE),"")))))</f>
        <v/>
      </c>
      <c r="J491" s="122"/>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95"/>
      <c r="AH491" s="112"/>
      <c r="AI491" s="196"/>
      <c r="AJ491" s="197"/>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96"/>
      <c r="BV491" s="222" t="str">
        <f t="shared" si="15"/>
        <v/>
      </c>
    </row>
    <row r="492" spans="1:74" s="108" customFormat="1" ht="15.75">
      <c r="A492" s="119"/>
      <c r="B492" s="120"/>
      <c r="C492" s="111"/>
      <c r="D492" s="111"/>
      <c r="E492" s="121"/>
      <c r="F492" s="121"/>
      <c r="G492" s="113"/>
      <c r="H492" s="199" t="str">
        <f t="shared" si="14"/>
        <v/>
      </c>
      <c r="I492" s="200" t="str">
        <f>IF(E492="","",IF(AND(BV492&lt;=66),VLOOKUP(H492,'LetterID Look Up'!$A$13:$B$20,2,TRUE),IF(AND(BV492&gt;=67,BV492&lt;=72),VLOOKUP(H492,'LetterID Look Up'!$E$13:$F$19,2,TRUE),IF(AND(BV492&gt;=73,BV492&lt;=78),VLOOKUP(H492,'LetterID Look Up'!$I$13:$J$19,2,TRUE),IF(AND(BV492&gt;=79),VLOOKUP(H492,'LetterID Look Up'!$M$13:$N$17,2,TRUE),"")))))</f>
        <v/>
      </c>
      <c r="J492" s="122"/>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95"/>
      <c r="AH492" s="112"/>
      <c r="AI492" s="196"/>
      <c r="AJ492" s="197"/>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96"/>
      <c r="BV492" s="222" t="str">
        <f t="shared" si="15"/>
        <v/>
      </c>
    </row>
    <row r="493" spans="1:74" s="108" customFormat="1" ht="15.75">
      <c r="A493" s="119"/>
      <c r="B493" s="120"/>
      <c r="C493" s="111"/>
      <c r="D493" s="111"/>
      <c r="E493" s="121"/>
      <c r="F493" s="121"/>
      <c r="G493" s="113"/>
      <c r="H493" s="199" t="str">
        <f t="shared" si="14"/>
        <v/>
      </c>
      <c r="I493" s="200" t="str">
        <f>IF(E493="","",IF(AND(BV493&lt;=66),VLOOKUP(H493,'LetterID Look Up'!$A$13:$B$20,2,TRUE),IF(AND(BV493&gt;=67,BV493&lt;=72),VLOOKUP(H493,'LetterID Look Up'!$E$13:$F$19,2,TRUE),IF(AND(BV493&gt;=73,BV493&lt;=78),VLOOKUP(H493,'LetterID Look Up'!$I$13:$J$19,2,TRUE),IF(AND(BV493&gt;=79),VLOOKUP(H493,'LetterID Look Up'!$M$13:$N$17,2,TRUE),"")))))</f>
        <v/>
      </c>
      <c r="J493" s="122"/>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95"/>
      <c r="AH493" s="112"/>
      <c r="AI493" s="196"/>
      <c r="AJ493" s="197"/>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96"/>
      <c r="BV493" s="222" t="str">
        <f t="shared" si="15"/>
        <v/>
      </c>
    </row>
    <row r="494" spans="1:74" s="108" customFormat="1" ht="15.75">
      <c r="A494" s="119"/>
      <c r="B494" s="120"/>
      <c r="C494" s="111"/>
      <c r="D494" s="111"/>
      <c r="E494" s="121"/>
      <c r="F494" s="121"/>
      <c r="G494" s="113"/>
      <c r="H494" s="199" t="str">
        <f t="shared" si="14"/>
        <v/>
      </c>
      <c r="I494" s="200" t="str">
        <f>IF(E494="","",IF(AND(BV494&lt;=66),VLOOKUP(H494,'LetterID Look Up'!$A$13:$B$20,2,TRUE),IF(AND(BV494&gt;=67,BV494&lt;=72),VLOOKUP(H494,'LetterID Look Up'!$E$13:$F$19,2,TRUE),IF(AND(BV494&gt;=73,BV494&lt;=78),VLOOKUP(H494,'LetterID Look Up'!$I$13:$J$19,2,TRUE),IF(AND(BV494&gt;=79),VLOOKUP(H494,'LetterID Look Up'!$M$13:$N$17,2,TRUE),"")))))</f>
        <v/>
      </c>
      <c r="J494" s="122"/>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95"/>
      <c r="AH494" s="112"/>
      <c r="AI494" s="196"/>
      <c r="AJ494" s="197"/>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96"/>
      <c r="BV494" s="222" t="str">
        <f t="shared" si="15"/>
        <v/>
      </c>
    </row>
    <row r="495" spans="1:74" s="108" customFormat="1" ht="15.75">
      <c r="A495" s="119"/>
      <c r="B495" s="120"/>
      <c r="C495" s="111"/>
      <c r="D495" s="111"/>
      <c r="E495" s="121"/>
      <c r="F495" s="121"/>
      <c r="G495" s="113"/>
      <c r="H495" s="199" t="str">
        <f t="shared" si="14"/>
        <v/>
      </c>
      <c r="I495" s="200" t="str">
        <f>IF(E495="","",IF(AND(BV495&lt;=66),VLOOKUP(H495,'LetterID Look Up'!$A$13:$B$20,2,TRUE),IF(AND(BV495&gt;=67,BV495&lt;=72),VLOOKUP(H495,'LetterID Look Up'!$E$13:$F$19,2,TRUE),IF(AND(BV495&gt;=73,BV495&lt;=78),VLOOKUP(H495,'LetterID Look Up'!$I$13:$J$19,2,TRUE),IF(AND(BV495&gt;=79),VLOOKUP(H495,'LetterID Look Up'!$M$13:$N$17,2,TRUE),"")))))</f>
        <v/>
      </c>
      <c r="J495" s="122"/>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95"/>
      <c r="AH495" s="112"/>
      <c r="AI495" s="196"/>
      <c r="AJ495" s="197"/>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96"/>
      <c r="BV495" s="222" t="str">
        <f t="shared" si="15"/>
        <v/>
      </c>
    </row>
    <row r="496" spans="1:74" s="108" customFormat="1" ht="15.75">
      <c r="A496" s="119"/>
      <c r="B496" s="120"/>
      <c r="C496" s="111"/>
      <c r="D496" s="111"/>
      <c r="E496" s="121"/>
      <c r="F496" s="121"/>
      <c r="G496" s="113"/>
      <c r="H496" s="199" t="str">
        <f t="shared" si="14"/>
        <v/>
      </c>
      <c r="I496" s="200" t="str">
        <f>IF(E496="","",IF(AND(BV496&lt;=66),VLOOKUP(H496,'LetterID Look Up'!$A$13:$B$20,2,TRUE),IF(AND(BV496&gt;=67,BV496&lt;=72),VLOOKUP(H496,'LetterID Look Up'!$E$13:$F$19,2,TRUE),IF(AND(BV496&gt;=73,BV496&lt;=78),VLOOKUP(H496,'LetterID Look Up'!$I$13:$J$19,2,TRUE),IF(AND(BV496&gt;=79),VLOOKUP(H496,'LetterID Look Up'!$M$13:$N$17,2,TRUE),"")))))</f>
        <v/>
      </c>
      <c r="J496" s="122"/>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95"/>
      <c r="AH496" s="112"/>
      <c r="AI496" s="196"/>
      <c r="AJ496" s="197"/>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96"/>
      <c r="BV496" s="222" t="str">
        <f t="shared" si="15"/>
        <v/>
      </c>
    </row>
    <row r="497" spans="1:74" s="108" customFormat="1" ht="15.75">
      <c r="A497" s="119"/>
      <c r="B497" s="120"/>
      <c r="C497" s="111"/>
      <c r="D497" s="111"/>
      <c r="E497" s="121"/>
      <c r="F497" s="121"/>
      <c r="G497" s="113"/>
      <c r="H497" s="199" t="str">
        <f t="shared" si="14"/>
        <v/>
      </c>
      <c r="I497" s="200" t="str">
        <f>IF(E497="","",IF(AND(BV497&lt;=66),VLOOKUP(H497,'LetterID Look Up'!$A$13:$B$20,2,TRUE),IF(AND(BV497&gt;=67,BV497&lt;=72),VLOOKUP(H497,'LetterID Look Up'!$E$13:$F$19,2,TRUE),IF(AND(BV497&gt;=73,BV497&lt;=78),VLOOKUP(H497,'LetterID Look Up'!$I$13:$J$19,2,TRUE),IF(AND(BV497&gt;=79),VLOOKUP(H497,'LetterID Look Up'!$M$13:$N$17,2,TRUE),"")))))</f>
        <v/>
      </c>
      <c r="J497" s="122"/>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95"/>
      <c r="AH497" s="112"/>
      <c r="AI497" s="196"/>
      <c r="AJ497" s="197"/>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96"/>
      <c r="BV497" s="222" t="str">
        <f t="shared" si="15"/>
        <v/>
      </c>
    </row>
    <row r="498" spans="1:74" s="108" customFormat="1" ht="15.75">
      <c r="A498" s="260"/>
      <c r="B498" s="261"/>
      <c r="C498" s="262"/>
      <c r="D498" s="262"/>
      <c r="E498" s="263"/>
      <c r="F498" s="263"/>
      <c r="G498" s="264"/>
      <c r="H498" s="243" t="str">
        <f t="shared" si="14"/>
        <v/>
      </c>
      <c r="I498" s="201" t="str">
        <f>IF(E498="","",IF(AND(BV498&lt;=66),VLOOKUP(H498,'LetterID Look Up'!$A$13:$B$20,2,TRUE),IF(AND(BV498&gt;=67,BV498&lt;=72),VLOOKUP(H498,'LetterID Look Up'!$E$13:$F$19,2,TRUE),IF(AND(BV498&gt;=73,BV498&lt;=78),VLOOKUP(H498,'LetterID Look Up'!$I$13:$J$19,2,TRUE),IF(AND(BV498&gt;=79),VLOOKUP(H498,'LetterID Look Up'!$M$13:$N$17,2,TRUE),"")))))</f>
        <v/>
      </c>
      <c r="J498" s="266"/>
      <c r="K498" s="262"/>
      <c r="L498" s="262"/>
      <c r="M498" s="262"/>
      <c r="N498" s="262"/>
      <c r="O498" s="262"/>
      <c r="P498" s="262"/>
      <c r="Q498" s="262"/>
      <c r="R498" s="262"/>
      <c r="S498" s="262"/>
      <c r="T498" s="262"/>
      <c r="U498" s="262"/>
      <c r="V498" s="262"/>
      <c r="W498" s="262"/>
      <c r="X498" s="262"/>
      <c r="Y498" s="262"/>
      <c r="Z498" s="262"/>
      <c r="AA498" s="262"/>
      <c r="AB498" s="262"/>
      <c r="AC498" s="262"/>
      <c r="AD498" s="262"/>
      <c r="AE498" s="262"/>
      <c r="AF498" s="262"/>
      <c r="AG498" s="275"/>
      <c r="AH498" s="276"/>
      <c r="AI498" s="277"/>
      <c r="AJ498" s="278"/>
      <c r="AK498" s="276"/>
      <c r="AL498" s="276"/>
      <c r="AM498" s="276"/>
      <c r="AN498" s="276"/>
      <c r="AO498" s="276"/>
      <c r="AP498" s="276"/>
      <c r="AQ498" s="276"/>
      <c r="AR498" s="276"/>
      <c r="AS498" s="276"/>
      <c r="AT498" s="276"/>
      <c r="AU498" s="276"/>
      <c r="AV498" s="276"/>
      <c r="AW498" s="276"/>
      <c r="AX498" s="276"/>
      <c r="AY498" s="276"/>
      <c r="AZ498" s="276"/>
      <c r="BA498" s="276"/>
      <c r="BB498" s="276"/>
      <c r="BC498" s="276"/>
      <c r="BD498" s="276"/>
      <c r="BE498" s="276"/>
      <c r="BF498" s="276"/>
      <c r="BG498" s="276"/>
      <c r="BH498" s="276"/>
      <c r="BI498" s="276"/>
      <c r="BJ498" s="276"/>
      <c r="BK498" s="196"/>
      <c r="BV498" s="222" t="str">
        <f t="shared" si="15"/>
        <v/>
      </c>
    </row>
    <row r="499" spans="1:74" s="108" customFormat="1" ht="15.75">
      <c r="A499" s="110"/>
      <c r="B499" s="110"/>
      <c r="C499" s="111"/>
      <c r="D499" s="111"/>
      <c r="E499" s="121"/>
      <c r="F499" s="121"/>
      <c r="G499" s="113"/>
      <c r="H499" s="144" t="str">
        <f t="shared" si="14"/>
        <v/>
      </c>
      <c r="I499" s="286" t="str">
        <f>IF(E499="","",IF(AND(BV499&lt;=66),VLOOKUP(H499,'LetterID Look Up'!$A$13:$B$20,2,TRUE),IF(AND(BV499&gt;=67,BV499&lt;=72),VLOOKUP(H499,'LetterID Look Up'!$E$13:$F$19,2,TRUE),IF(AND(BV499&gt;=73,BV499&lt;=78),VLOOKUP(H499,'LetterID Look Up'!$I$13:$J$19,2,TRUE),IF(AND(BV499&gt;=79),VLOOKUP(H499,'LetterID Look Up'!$M$13:$N$17,2,TRUE),"")))))</f>
        <v/>
      </c>
      <c r="J499" s="122"/>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96"/>
      <c r="BV499" s="222" t="str">
        <f t="shared" si="15"/>
        <v/>
      </c>
    </row>
    <row r="500" spans="1:74" ht="15.75" thickBot="1">
      <c r="A500" s="287"/>
      <c r="B500" s="287"/>
      <c r="C500" s="282"/>
      <c r="D500" s="282"/>
      <c r="E500" s="288"/>
      <c r="F500" s="288"/>
      <c r="G500" s="289"/>
      <c r="H500" s="145" t="str">
        <f t="shared" ref="H500" si="16">IF(E500="","",COUNTIF(J500:BK500,"y"))</f>
        <v/>
      </c>
      <c r="I500" s="290" t="str">
        <f>IF(E500="","",IF(AND(BV500&lt;=66),VLOOKUP(H500,'LetterID Look Up'!$A$13:$B$20,2,TRUE),IF(AND(BV500&gt;=67,BV500&lt;=72),VLOOKUP(H500,'LetterID Look Up'!$E$13:$F$19,2,TRUE),IF(AND(BV500&gt;=73,BV500&lt;=78),VLOOKUP(H500,'LetterID Look Up'!$I$13:$J$19,2,TRUE),IF(AND(BV500&gt;=79),VLOOKUP(H500,'LetterID Look Up'!$M$13:$N$17,2,TRUE),"")))))</f>
        <v/>
      </c>
      <c r="J500" s="285"/>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4"/>
      <c r="BV500" s="222" t="str">
        <f t="shared" si="15"/>
        <v/>
      </c>
    </row>
  </sheetData>
  <mergeCells count="59">
    <mergeCell ref="W5:W6"/>
    <mergeCell ref="X5:X6"/>
    <mergeCell ref="Y5:Y6"/>
    <mergeCell ref="N5:N6"/>
    <mergeCell ref="O5:O6"/>
    <mergeCell ref="P5:P6"/>
    <mergeCell ref="U5:U6"/>
    <mergeCell ref="V5:V6"/>
    <mergeCell ref="F1:H1"/>
    <mergeCell ref="H4:I4"/>
    <mergeCell ref="H5:I5"/>
    <mergeCell ref="J1:AG1"/>
    <mergeCell ref="J5:J6"/>
    <mergeCell ref="AE5:AE6"/>
    <mergeCell ref="AF5:AF6"/>
    <mergeCell ref="AG5:AG6"/>
    <mergeCell ref="Q5:Q6"/>
    <mergeCell ref="R5:R6"/>
    <mergeCell ref="J3:BK3"/>
    <mergeCell ref="S5:S6"/>
    <mergeCell ref="T5:T6"/>
    <mergeCell ref="K5:K6"/>
    <mergeCell ref="L5:L6"/>
    <mergeCell ref="M5:M6"/>
    <mergeCell ref="AH5:AH6"/>
    <mergeCell ref="AI5:AI6"/>
    <mergeCell ref="Z5:Z6"/>
    <mergeCell ref="AA5:AA6"/>
    <mergeCell ref="AB5:AB6"/>
    <mergeCell ref="AC5:AC6"/>
    <mergeCell ref="AD5:AD6"/>
    <mergeCell ref="AO5:AO6"/>
    <mergeCell ref="AP5:AP6"/>
    <mergeCell ref="AQ5:AQ6"/>
    <mergeCell ref="AR5:AR6"/>
    <mergeCell ref="AS5:AS6"/>
    <mergeCell ref="AJ5:AJ6"/>
    <mergeCell ref="AK5:AK6"/>
    <mergeCell ref="AL5:AL6"/>
    <mergeCell ref="AM5:AM6"/>
    <mergeCell ref="AN5:AN6"/>
    <mergeCell ref="AY5:AY6"/>
    <mergeCell ref="AZ5:AZ6"/>
    <mergeCell ref="BA5:BA6"/>
    <mergeCell ref="BB5:BB6"/>
    <mergeCell ref="BC5:BC6"/>
    <mergeCell ref="AT5:AT6"/>
    <mergeCell ref="AU5:AU6"/>
    <mergeCell ref="AV5:AV6"/>
    <mergeCell ref="AW5:AW6"/>
    <mergeCell ref="AX5:AX6"/>
    <mergeCell ref="BI5:BI6"/>
    <mergeCell ref="BJ5:BJ6"/>
    <mergeCell ref="BK5:BK6"/>
    <mergeCell ref="BD5:BD6"/>
    <mergeCell ref="BE5:BE6"/>
    <mergeCell ref="BF5:BF6"/>
    <mergeCell ref="BG5:BG6"/>
    <mergeCell ref="BH5:BH6"/>
  </mergeCells>
  <conditionalFormatting sqref="J8:BK499">
    <cfRule type="cellIs" dxfId="7" priority="2" operator="equal">
      <formula>"y"</formula>
    </cfRule>
    <cfRule type="cellIs" dxfId="6" priority="3" stopIfTrue="1" operator="equal">
      <formula>"n"</formula>
    </cfRule>
  </conditionalFormatting>
  <pageMargins left="0.7" right="0.7" top="0.75" bottom="0.75" header="0.3" footer="0.3"/>
  <pageSetup paperSize="9" orientation="portrait" horizontalDpi="0" verticalDpi="0" r:id="rId1"/>
  <ignoredErrors>
    <ignoredError sqref="H8:H500"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505"/>
  <sheetViews>
    <sheetView topLeftCell="F5" workbookViewId="0">
      <selection activeCell="N17" sqref="N17"/>
    </sheetView>
  </sheetViews>
  <sheetFormatPr defaultRowHeight="15"/>
  <cols>
    <col min="1" max="1" width="38.28515625" style="1" bestFit="1" customWidth="1"/>
    <col min="2" max="2" width="17.7109375" style="1" bestFit="1" customWidth="1"/>
    <col min="5" max="5" width="38.28515625" bestFit="1" customWidth="1"/>
    <col min="6" max="6" width="17.7109375" bestFit="1" customWidth="1"/>
    <col min="7" max="8" width="9.85546875" bestFit="1" customWidth="1"/>
    <col min="9" max="9" width="38.28515625" bestFit="1" customWidth="1"/>
    <col min="10" max="10" width="17.7109375" bestFit="1" customWidth="1"/>
    <col min="13" max="13" width="38.28515625" bestFit="1" customWidth="1"/>
    <col min="14" max="14" width="17.7109375" bestFit="1" customWidth="1"/>
  </cols>
  <sheetData>
    <row r="1" spans="1:14" ht="27.75">
      <c r="A1" s="21"/>
      <c r="B1" s="21"/>
      <c r="C1" s="20"/>
      <c r="D1" s="20"/>
      <c r="E1" s="20"/>
      <c r="F1" s="20"/>
      <c r="G1" s="20"/>
      <c r="H1" s="20"/>
      <c r="I1" s="20"/>
      <c r="J1" s="20"/>
      <c r="K1" s="20"/>
      <c r="L1" s="20"/>
      <c r="M1" s="20"/>
      <c r="N1" s="20"/>
    </row>
    <row r="2" spans="1:14" ht="26.25">
      <c r="A2" s="19"/>
      <c r="B2" s="19"/>
      <c r="C2" s="10"/>
      <c r="D2" s="10"/>
      <c r="E2" s="10"/>
      <c r="F2" s="10"/>
      <c r="G2" s="10"/>
      <c r="H2" s="10"/>
      <c r="I2" s="10"/>
      <c r="J2" s="10"/>
      <c r="K2" s="10"/>
      <c r="L2" s="10"/>
      <c r="M2" s="10"/>
      <c r="N2" s="10"/>
    </row>
    <row r="3" spans="1:14">
      <c r="A3" s="16"/>
      <c r="B3" s="16"/>
      <c r="C3" s="7"/>
      <c r="D3" s="7"/>
      <c r="E3" s="7"/>
      <c r="F3" s="7"/>
      <c r="G3" s="7"/>
      <c r="H3" s="7"/>
      <c r="I3" s="7"/>
      <c r="J3" s="7"/>
      <c r="K3" s="7"/>
      <c r="L3" s="7"/>
      <c r="M3" s="7"/>
      <c r="N3" s="7"/>
    </row>
    <row r="4" spans="1:14" ht="20.25">
      <c r="A4" s="18"/>
      <c r="B4" s="18"/>
      <c r="C4" s="9"/>
      <c r="D4" s="9"/>
      <c r="E4" s="9"/>
      <c r="F4" s="9"/>
      <c r="G4" s="9"/>
      <c r="H4" s="9"/>
      <c r="I4" s="9"/>
      <c r="J4" s="9"/>
      <c r="K4" s="9"/>
      <c r="L4" s="9"/>
      <c r="M4" s="9"/>
      <c r="N4" s="9"/>
    </row>
    <row r="5" spans="1:14">
      <c r="A5" s="15"/>
      <c r="B5" s="15"/>
      <c r="C5" s="6"/>
      <c r="D5" s="6"/>
      <c r="E5" s="6"/>
      <c r="F5" s="6"/>
      <c r="G5" s="6"/>
      <c r="H5" s="6"/>
      <c r="I5" s="6"/>
      <c r="J5" s="6"/>
      <c r="K5" s="6"/>
      <c r="L5" s="6"/>
      <c r="M5" s="6"/>
      <c r="N5" s="6"/>
    </row>
    <row r="6" spans="1:14">
      <c r="A6" s="16"/>
      <c r="B6" s="16"/>
      <c r="C6" s="7"/>
      <c r="D6" s="7"/>
      <c r="E6" s="7"/>
      <c r="F6" s="7"/>
      <c r="G6" s="7"/>
      <c r="H6" s="7"/>
      <c r="I6" s="7"/>
      <c r="J6" s="7"/>
      <c r="K6" s="7"/>
      <c r="L6" s="7"/>
      <c r="M6" s="7"/>
      <c r="N6" s="7"/>
    </row>
    <row r="7" spans="1:14">
      <c r="A7" s="17"/>
      <c r="B7" s="17"/>
      <c r="C7" s="8"/>
      <c r="D7" s="8"/>
      <c r="E7" s="8"/>
      <c r="F7" s="8"/>
      <c r="G7" s="8"/>
      <c r="H7" s="8"/>
      <c r="I7" s="8"/>
      <c r="J7" s="8"/>
      <c r="K7" s="8"/>
      <c r="L7" s="8"/>
      <c r="M7" s="8"/>
      <c r="N7" s="8"/>
    </row>
    <row r="8" spans="1:14">
      <c r="A8" s="17"/>
      <c r="B8" s="17"/>
      <c r="C8" s="8"/>
      <c r="D8" s="8"/>
      <c r="E8" s="8"/>
      <c r="F8" s="8"/>
      <c r="G8" s="8"/>
      <c r="H8" s="8"/>
      <c r="I8" s="8"/>
      <c r="J8" s="8"/>
      <c r="K8" s="8"/>
      <c r="L8" s="8"/>
      <c r="M8" s="8"/>
      <c r="N8" s="8"/>
    </row>
    <row r="9" spans="1:14">
      <c r="A9" s="16" t="s">
        <v>103</v>
      </c>
      <c r="B9" s="16"/>
      <c r="C9" s="7"/>
      <c r="D9" s="7"/>
      <c r="E9" s="7"/>
      <c r="F9" s="7"/>
      <c r="G9" s="7"/>
      <c r="H9" s="7"/>
      <c r="I9" s="7"/>
      <c r="J9" s="7"/>
      <c r="K9" s="7"/>
      <c r="L9" s="7"/>
      <c r="M9" s="7"/>
      <c r="N9" s="7"/>
    </row>
    <row r="10" spans="1:14">
      <c r="A10" s="15"/>
      <c r="B10" s="15"/>
      <c r="C10" s="6"/>
      <c r="D10" s="6"/>
      <c r="E10" s="6"/>
      <c r="F10" s="6"/>
      <c r="G10" s="6"/>
      <c r="H10" s="6"/>
      <c r="I10" s="6"/>
      <c r="J10" s="6"/>
      <c r="K10" s="6"/>
      <c r="L10" s="6"/>
      <c r="M10" s="6"/>
      <c r="N10" s="6"/>
    </row>
    <row r="11" spans="1:14" ht="30.75">
      <c r="A11" s="14" t="s">
        <v>110</v>
      </c>
      <c r="B11" s="11"/>
      <c r="C11" s="2"/>
      <c r="D11" s="2"/>
      <c r="E11" s="14" t="s">
        <v>109</v>
      </c>
      <c r="F11" s="11"/>
      <c r="G11" s="5"/>
      <c r="H11" s="5"/>
      <c r="I11" s="14" t="s">
        <v>108</v>
      </c>
      <c r="J11" s="11"/>
      <c r="K11" s="5"/>
      <c r="L11" s="5"/>
      <c r="M11" s="14" t="s">
        <v>107</v>
      </c>
      <c r="N11" s="11"/>
    </row>
    <row r="12" spans="1:14" ht="15.75">
      <c r="A12" s="13" t="s">
        <v>43</v>
      </c>
      <c r="B12" s="13" t="s">
        <v>42</v>
      </c>
      <c r="C12" s="2"/>
      <c r="D12" s="2"/>
      <c r="E12" s="13" t="s">
        <v>43</v>
      </c>
      <c r="F12" s="13" t="s">
        <v>42</v>
      </c>
      <c r="G12" s="5"/>
      <c r="H12" s="5"/>
      <c r="I12" s="13" t="s">
        <v>43</v>
      </c>
      <c r="J12" s="13" t="s">
        <v>42</v>
      </c>
      <c r="K12" s="5"/>
      <c r="L12" s="5"/>
      <c r="M12" s="13" t="s">
        <v>43</v>
      </c>
      <c r="N12" s="13" t="s">
        <v>42</v>
      </c>
    </row>
    <row r="13" spans="1:14" ht="15.75">
      <c r="A13" s="3">
        <v>0</v>
      </c>
      <c r="B13" s="3">
        <v>1</v>
      </c>
      <c r="C13" s="2"/>
      <c r="D13" s="2"/>
      <c r="E13" s="3">
        <v>0</v>
      </c>
      <c r="F13" s="3">
        <v>1</v>
      </c>
      <c r="G13" s="4"/>
      <c r="H13" s="4"/>
      <c r="I13" s="3">
        <v>0</v>
      </c>
      <c r="J13" s="3">
        <v>1</v>
      </c>
      <c r="K13" s="4"/>
      <c r="L13" s="4"/>
      <c r="M13" s="3">
        <v>0</v>
      </c>
      <c r="N13" s="3">
        <v>1</v>
      </c>
    </row>
    <row r="14" spans="1:14" ht="15.75">
      <c r="A14" s="3">
        <v>4</v>
      </c>
      <c r="B14" s="3">
        <v>2</v>
      </c>
      <c r="C14" s="2"/>
      <c r="D14" s="2"/>
      <c r="E14" s="3">
        <v>11</v>
      </c>
      <c r="F14" s="3">
        <v>2</v>
      </c>
      <c r="G14" s="5"/>
      <c r="H14" s="5"/>
      <c r="I14" s="3">
        <v>35</v>
      </c>
      <c r="J14" s="3">
        <v>2</v>
      </c>
      <c r="K14" s="5"/>
      <c r="L14" s="5"/>
      <c r="M14" s="3">
        <v>41</v>
      </c>
      <c r="N14" s="3">
        <v>2</v>
      </c>
    </row>
    <row r="15" spans="1:14" ht="15.75">
      <c r="A15" s="3">
        <v>13</v>
      </c>
      <c r="B15" s="3">
        <v>3</v>
      </c>
      <c r="C15" s="2"/>
      <c r="D15" s="2"/>
      <c r="E15" s="3">
        <v>36</v>
      </c>
      <c r="F15" s="3">
        <v>3</v>
      </c>
      <c r="G15" s="5"/>
      <c r="H15" s="5"/>
      <c r="I15" s="3">
        <v>49</v>
      </c>
      <c r="J15" s="3">
        <v>3</v>
      </c>
      <c r="K15" s="5"/>
      <c r="L15" s="5"/>
      <c r="M15" s="3">
        <v>51</v>
      </c>
      <c r="N15" s="3">
        <v>3</v>
      </c>
    </row>
    <row r="16" spans="1:14" ht="15.75">
      <c r="A16" s="3">
        <v>28</v>
      </c>
      <c r="B16" s="3">
        <v>4</v>
      </c>
      <c r="C16" s="2"/>
      <c r="D16" s="2"/>
      <c r="E16" s="3">
        <v>47</v>
      </c>
      <c r="F16" s="3">
        <v>4</v>
      </c>
      <c r="G16" s="5"/>
      <c r="H16" s="5"/>
      <c r="I16" s="3">
        <v>51</v>
      </c>
      <c r="J16" s="3">
        <v>4</v>
      </c>
      <c r="K16" s="5"/>
      <c r="L16" s="5"/>
      <c r="M16" s="3">
        <v>53</v>
      </c>
      <c r="N16" s="12" t="s">
        <v>106</v>
      </c>
    </row>
    <row r="17" spans="1:14" ht="15.75">
      <c r="A17" s="3">
        <v>43</v>
      </c>
      <c r="B17" s="3">
        <v>5</v>
      </c>
      <c r="C17" s="2"/>
      <c r="D17" s="2"/>
      <c r="E17" s="3">
        <v>52</v>
      </c>
      <c r="F17" s="3">
        <v>5</v>
      </c>
      <c r="G17" s="5"/>
      <c r="H17" s="5"/>
      <c r="I17" s="3">
        <v>52</v>
      </c>
      <c r="J17" s="3">
        <v>5</v>
      </c>
      <c r="K17" s="5"/>
      <c r="L17" s="5"/>
      <c r="M17" s="3">
        <v>54</v>
      </c>
      <c r="N17" s="12" t="s">
        <v>105</v>
      </c>
    </row>
    <row r="18" spans="1:14" ht="15.75">
      <c r="A18" s="3">
        <v>50</v>
      </c>
      <c r="B18" s="3">
        <v>6</v>
      </c>
      <c r="C18" s="2"/>
      <c r="D18" s="2"/>
      <c r="E18" s="3">
        <v>53</v>
      </c>
      <c r="F18" s="3">
        <v>6</v>
      </c>
      <c r="G18" s="4"/>
      <c r="H18" s="4"/>
      <c r="I18" s="3">
        <v>53</v>
      </c>
      <c r="J18" s="3">
        <v>6</v>
      </c>
      <c r="K18" s="4"/>
      <c r="L18" s="4"/>
    </row>
    <row r="19" spans="1:14">
      <c r="A19" s="3">
        <v>53</v>
      </c>
      <c r="B19" s="3">
        <v>7</v>
      </c>
      <c r="C19" s="2"/>
      <c r="D19" s="2"/>
      <c r="E19" s="3">
        <v>54</v>
      </c>
      <c r="F19" s="12" t="s">
        <v>104</v>
      </c>
      <c r="G19" s="2"/>
      <c r="H19" s="2"/>
      <c r="I19" s="3">
        <v>54</v>
      </c>
      <c r="J19" s="12" t="s">
        <v>104</v>
      </c>
      <c r="K19" s="2"/>
      <c r="L19" s="2"/>
    </row>
    <row r="20" spans="1:14" ht="15.75">
      <c r="A20" s="3">
        <v>54</v>
      </c>
      <c r="B20" s="12" t="s">
        <v>41</v>
      </c>
      <c r="C20" s="2"/>
      <c r="D20" s="2"/>
      <c r="E20" s="11"/>
      <c r="F20" s="11"/>
      <c r="G20" s="5"/>
      <c r="H20" s="5"/>
      <c r="I20" s="4"/>
      <c r="J20" s="4"/>
      <c r="K20" s="5"/>
      <c r="L20" s="5"/>
    </row>
    <row r="21" spans="1:14" ht="15.75">
      <c r="A21" s="11"/>
      <c r="B21" s="11"/>
      <c r="C21" s="2"/>
      <c r="D21" s="2"/>
      <c r="E21" s="11"/>
      <c r="F21" s="11"/>
      <c r="G21" s="5"/>
      <c r="H21" s="5"/>
      <c r="I21" s="2"/>
      <c r="J21" s="2"/>
      <c r="K21" s="5"/>
      <c r="L21" s="5"/>
      <c r="M21" s="5"/>
      <c r="N21" s="5"/>
    </row>
    <row r="22" spans="1:14" ht="15.75">
      <c r="A22" s="11"/>
      <c r="B22" s="11"/>
      <c r="C22" s="2"/>
      <c r="D22" s="2"/>
      <c r="E22" s="11"/>
      <c r="F22" s="11"/>
      <c r="G22" s="4"/>
      <c r="H22" s="4"/>
      <c r="I22" s="5"/>
      <c r="J22" s="5"/>
      <c r="K22" s="4"/>
      <c r="L22" s="4"/>
      <c r="M22" s="4"/>
      <c r="N22" s="4"/>
    </row>
    <row r="23" spans="1:14" ht="15.75">
      <c r="A23" s="11"/>
      <c r="B23" s="11"/>
      <c r="C23" s="2"/>
      <c r="D23" s="2"/>
      <c r="E23" s="11"/>
      <c r="F23" s="11"/>
      <c r="G23" s="2"/>
      <c r="H23" s="2"/>
      <c r="I23" s="5"/>
      <c r="J23" s="5"/>
      <c r="K23" s="2"/>
      <c r="L23" s="2"/>
      <c r="M23" s="2"/>
      <c r="N23" s="2"/>
    </row>
    <row r="24" spans="1:14" ht="15.75">
      <c r="A24" s="11"/>
      <c r="B24" s="11"/>
      <c r="C24" s="2"/>
      <c r="D24" s="2"/>
      <c r="E24" s="11"/>
      <c r="F24" s="11"/>
      <c r="G24" s="5"/>
      <c r="H24" s="5"/>
      <c r="I24" s="4"/>
      <c r="J24" s="4"/>
      <c r="K24" s="5"/>
      <c r="L24" s="5"/>
      <c r="M24" s="5"/>
      <c r="N24" s="5"/>
    </row>
    <row r="25" spans="1:14" ht="15.75">
      <c r="A25" s="11"/>
      <c r="B25" s="11"/>
      <c r="C25" s="2"/>
      <c r="D25" s="2"/>
      <c r="E25" s="11"/>
      <c r="F25" s="11"/>
      <c r="G25" s="5"/>
      <c r="H25" s="5"/>
      <c r="I25" s="2"/>
      <c r="J25" s="2"/>
      <c r="K25" s="5"/>
      <c r="L25" s="5"/>
      <c r="M25" s="5"/>
      <c r="N25" s="5"/>
    </row>
    <row r="26" spans="1:14" ht="15.75">
      <c r="A26" s="11"/>
      <c r="B26" s="11"/>
      <c r="C26" s="2"/>
      <c r="D26" s="2"/>
      <c r="E26" s="11"/>
      <c r="F26" s="11"/>
      <c r="G26" s="4"/>
      <c r="H26" s="4"/>
      <c r="I26" s="2"/>
      <c r="J26" s="2"/>
      <c r="K26" s="4"/>
      <c r="L26" s="4"/>
      <c r="M26" s="4"/>
      <c r="N26" s="4"/>
    </row>
    <row r="27" spans="1:14">
      <c r="A27" s="11"/>
      <c r="B27" s="11"/>
      <c r="C27" s="2"/>
      <c r="D27" s="2"/>
      <c r="E27" s="11"/>
      <c r="F27" s="11"/>
      <c r="G27" s="2"/>
      <c r="H27" s="2"/>
      <c r="I27" s="2"/>
      <c r="J27" s="2"/>
      <c r="K27" s="2"/>
      <c r="L27" s="2"/>
      <c r="M27" s="2"/>
      <c r="N27" s="2"/>
    </row>
    <row r="28" spans="1:14">
      <c r="A28" s="11"/>
      <c r="B28" s="11"/>
      <c r="C28" s="2"/>
      <c r="D28" s="2"/>
      <c r="E28" s="11"/>
      <c r="F28" s="11"/>
      <c r="G28" s="2"/>
      <c r="H28" s="2"/>
      <c r="I28" s="2"/>
      <c r="J28" s="2"/>
      <c r="K28" s="2"/>
      <c r="L28" s="2"/>
      <c r="M28" s="2"/>
      <c r="N28" s="2"/>
    </row>
    <row r="29" spans="1:14">
      <c r="A29" s="11"/>
      <c r="B29" s="11"/>
      <c r="C29" s="2"/>
      <c r="D29" s="2"/>
      <c r="E29" s="11"/>
      <c r="F29" s="11"/>
      <c r="G29" s="2"/>
      <c r="H29" s="2"/>
      <c r="I29" s="2"/>
      <c r="J29" s="2"/>
      <c r="K29" s="2"/>
      <c r="L29" s="2"/>
      <c r="M29" s="2"/>
      <c r="N29" s="2"/>
    </row>
    <row r="30" spans="1:14">
      <c r="A30" s="11"/>
      <c r="B30" s="11"/>
      <c r="C30" s="2"/>
      <c r="D30" s="2"/>
      <c r="E30" s="11"/>
      <c r="F30" s="11"/>
      <c r="G30" s="2"/>
      <c r="H30" s="2"/>
      <c r="I30" s="2"/>
      <c r="J30" s="2"/>
      <c r="K30" s="2"/>
      <c r="L30" s="2"/>
      <c r="M30" s="2"/>
      <c r="N30" s="2"/>
    </row>
    <row r="31" spans="1:14">
      <c r="A31" s="11"/>
      <c r="B31" s="11"/>
      <c r="C31" s="2"/>
      <c r="D31" s="2"/>
      <c r="E31" s="11"/>
      <c r="F31" s="11"/>
      <c r="G31" s="2"/>
      <c r="H31" s="2"/>
      <c r="I31" s="2"/>
      <c r="J31" s="2"/>
      <c r="K31" s="2"/>
      <c r="L31" s="2"/>
      <c r="M31" s="2"/>
      <c r="N31" s="2"/>
    </row>
    <row r="32" spans="1:14">
      <c r="A32" s="11"/>
      <c r="B32" s="11"/>
      <c r="C32" s="2"/>
      <c r="D32" s="2"/>
      <c r="E32" s="11"/>
      <c r="F32" s="11"/>
      <c r="G32" s="2"/>
      <c r="H32" s="2"/>
      <c r="I32" s="2"/>
      <c r="J32" s="2"/>
      <c r="K32" s="2"/>
      <c r="L32" s="2"/>
      <c r="M32" s="2"/>
      <c r="N32" s="2"/>
    </row>
    <row r="33" spans="1:14">
      <c r="A33" s="11"/>
      <c r="B33" s="11"/>
      <c r="C33" s="2"/>
      <c r="D33" s="2"/>
      <c r="E33" s="11"/>
      <c r="F33" s="11"/>
      <c r="G33" s="2"/>
      <c r="H33" s="2"/>
      <c r="I33" s="2"/>
      <c r="J33" s="2"/>
      <c r="K33" s="2"/>
      <c r="L33" s="2"/>
      <c r="M33" s="2"/>
      <c r="N33" s="2"/>
    </row>
    <row r="34" spans="1:14">
      <c r="A34" s="11"/>
      <c r="B34" s="11"/>
      <c r="C34" s="2"/>
      <c r="D34" s="2"/>
      <c r="E34" s="11"/>
      <c r="F34" s="11"/>
      <c r="G34" s="2"/>
      <c r="H34" s="2"/>
      <c r="I34" s="2"/>
      <c r="J34" s="2"/>
      <c r="K34" s="2"/>
      <c r="L34" s="2"/>
      <c r="M34" s="2"/>
      <c r="N34" s="2"/>
    </row>
    <row r="35" spans="1:14">
      <c r="A35" s="11"/>
      <c r="B35" s="11"/>
      <c r="C35" s="2"/>
      <c r="D35" s="2"/>
      <c r="E35" s="11"/>
      <c r="F35" s="11"/>
      <c r="G35" s="2"/>
      <c r="H35" s="2"/>
      <c r="I35" s="2"/>
      <c r="J35" s="2"/>
      <c r="K35" s="2"/>
      <c r="L35" s="2"/>
      <c r="M35" s="2"/>
      <c r="N35" s="2"/>
    </row>
    <row r="36" spans="1:14">
      <c r="A36" s="11"/>
      <c r="B36" s="11"/>
      <c r="C36" s="2"/>
      <c r="D36" s="2"/>
      <c r="E36" s="2"/>
      <c r="F36" s="2"/>
      <c r="G36" s="2"/>
      <c r="H36" s="2"/>
      <c r="I36" s="2"/>
      <c r="J36" s="2"/>
      <c r="K36" s="2"/>
      <c r="L36" s="2"/>
      <c r="M36" s="2"/>
      <c r="N36" s="2"/>
    </row>
    <row r="37" spans="1:14">
      <c r="A37" s="11"/>
      <c r="B37" s="11"/>
      <c r="C37" s="2"/>
      <c r="D37" s="2"/>
      <c r="E37" s="2"/>
      <c r="F37" s="2"/>
      <c r="G37" s="2"/>
      <c r="H37" s="2"/>
      <c r="I37" s="2"/>
      <c r="J37" s="2"/>
      <c r="K37" s="2"/>
      <c r="L37" s="2"/>
      <c r="M37" s="2"/>
      <c r="N37" s="2"/>
    </row>
    <row r="38" spans="1:14">
      <c r="A38" s="11"/>
      <c r="B38" s="11"/>
      <c r="C38" s="2"/>
      <c r="D38" s="2"/>
      <c r="E38" s="2"/>
      <c r="F38" s="2"/>
      <c r="G38" s="2"/>
      <c r="H38" s="2"/>
      <c r="I38" s="2"/>
      <c r="J38" s="2"/>
      <c r="K38" s="2"/>
      <c r="L38" s="2"/>
      <c r="M38" s="2"/>
      <c r="N38" s="2"/>
    </row>
    <row r="39" spans="1:14">
      <c r="A39" s="11"/>
      <c r="B39" s="11"/>
      <c r="C39" s="2"/>
      <c r="D39" s="2"/>
      <c r="E39" s="2"/>
      <c r="F39" s="2"/>
      <c r="G39" s="2"/>
      <c r="H39" s="2"/>
      <c r="I39" s="2"/>
      <c r="J39" s="2"/>
      <c r="K39" s="2"/>
      <c r="L39" s="2"/>
      <c r="M39" s="2"/>
      <c r="N39" s="2"/>
    </row>
    <row r="40" spans="1:14">
      <c r="A40" s="11"/>
      <c r="B40" s="11"/>
      <c r="C40" s="2"/>
      <c r="D40" s="2"/>
      <c r="E40" s="2"/>
      <c r="F40" s="2"/>
      <c r="G40" s="2"/>
      <c r="H40" s="2"/>
      <c r="I40" s="2"/>
      <c r="J40" s="2"/>
      <c r="K40" s="2"/>
      <c r="L40" s="2"/>
      <c r="M40" s="2"/>
      <c r="N40" s="2"/>
    </row>
    <row r="41" spans="1:14">
      <c r="A41" s="11"/>
      <c r="B41" s="11"/>
      <c r="C41" s="2"/>
      <c r="D41" s="2"/>
      <c r="E41" s="2"/>
      <c r="F41" s="2"/>
      <c r="G41" s="2"/>
      <c r="H41" s="2"/>
      <c r="I41" s="2"/>
      <c r="J41" s="2"/>
      <c r="K41" s="2"/>
      <c r="L41" s="2"/>
      <c r="M41" s="2"/>
      <c r="N41" s="2"/>
    </row>
    <row r="42" spans="1:14">
      <c r="A42" s="11"/>
      <c r="B42" s="11"/>
      <c r="C42" s="2"/>
      <c r="D42" s="2"/>
      <c r="E42" s="2"/>
      <c r="F42" s="2"/>
      <c r="G42" s="2"/>
      <c r="H42" s="2"/>
      <c r="I42" s="2"/>
      <c r="J42" s="2"/>
      <c r="K42" s="2"/>
      <c r="L42" s="2"/>
      <c r="M42" s="2"/>
      <c r="N42" s="2"/>
    </row>
    <row r="43" spans="1:14">
      <c r="A43" s="11"/>
      <c r="B43" s="11"/>
      <c r="C43" s="2"/>
      <c r="D43" s="2"/>
      <c r="E43" s="2"/>
      <c r="F43" s="2"/>
      <c r="G43" s="2"/>
      <c r="H43" s="2"/>
      <c r="I43" s="2"/>
      <c r="J43" s="2"/>
      <c r="K43" s="2"/>
      <c r="L43" s="2"/>
      <c r="M43" s="2"/>
      <c r="N43" s="2"/>
    </row>
    <row r="44" spans="1:14">
      <c r="A44" s="11"/>
      <c r="B44" s="11"/>
      <c r="C44" s="2"/>
      <c r="D44" s="2"/>
      <c r="E44" s="2"/>
      <c r="F44" s="2"/>
      <c r="G44" s="2"/>
      <c r="H44" s="2"/>
      <c r="I44" s="2"/>
      <c r="J44" s="2"/>
      <c r="K44" s="2"/>
      <c r="L44" s="2"/>
      <c r="M44" s="2"/>
      <c r="N44" s="2"/>
    </row>
    <row r="45" spans="1:14">
      <c r="A45" s="11"/>
      <c r="B45" s="11"/>
      <c r="C45" s="2"/>
      <c r="D45" s="2"/>
      <c r="E45" s="2"/>
      <c r="F45" s="2"/>
      <c r="G45" s="2"/>
      <c r="H45" s="2"/>
      <c r="I45" s="2"/>
      <c r="J45" s="2"/>
      <c r="K45" s="2"/>
      <c r="L45" s="2"/>
      <c r="M45" s="2"/>
      <c r="N45" s="2"/>
    </row>
    <row r="46" spans="1:14">
      <c r="A46" s="11"/>
      <c r="B46" s="11"/>
      <c r="C46" s="2"/>
      <c r="D46" s="2"/>
      <c r="E46" s="2"/>
      <c r="F46" s="2"/>
      <c r="G46" s="2"/>
      <c r="H46" s="2"/>
      <c r="I46" s="2"/>
      <c r="J46" s="2"/>
      <c r="K46" s="2"/>
      <c r="L46" s="2"/>
      <c r="M46" s="2"/>
      <c r="N46" s="2"/>
    </row>
    <row r="47" spans="1:14">
      <c r="A47" s="11"/>
      <c r="B47" s="11"/>
      <c r="C47" s="2"/>
      <c r="D47" s="2"/>
      <c r="E47" s="2"/>
      <c r="F47" s="2"/>
      <c r="G47" s="2"/>
      <c r="H47" s="2"/>
      <c r="I47" s="2"/>
      <c r="J47" s="2"/>
      <c r="K47" s="2"/>
      <c r="L47" s="2"/>
      <c r="M47" s="2"/>
      <c r="N47" s="2"/>
    </row>
    <row r="48" spans="1:14">
      <c r="A48" s="11"/>
      <c r="B48" s="11"/>
      <c r="C48" s="2"/>
      <c r="D48" s="2"/>
      <c r="E48" s="2"/>
      <c r="F48" s="2"/>
      <c r="G48" s="2"/>
      <c r="H48" s="2"/>
      <c r="I48" s="2"/>
      <c r="J48" s="2"/>
      <c r="K48" s="2"/>
      <c r="L48" s="2"/>
      <c r="M48" s="2"/>
      <c r="N48" s="2"/>
    </row>
    <row r="49" spans="1:14">
      <c r="A49" s="11"/>
      <c r="B49" s="11"/>
      <c r="C49" s="2"/>
      <c r="D49" s="2"/>
      <c r="E49" s="2"/>
      <c r="F49" s="2"/>
      <c r="G49" s="2"/>
      <c r="H49" s="2"/>
      <c r="I49" s="2"/>
      <c r="J49" s="2"/>
      <c r="K49" s="2"/>
      <c r="L49" s="2"/>
      <c r="M49" s="2"/>
      <c r="N49" s="2"/>
    </row>
    <row r="50" spans="1:14">
      <c r="A50" s="11"/>
      <c r="B50" s="11"/>
      <c r="C50" s="2"/>
      <c r="D50" s="2"/>
      <c r="E50" s="2"/>
      <c r="F50" s="2"/>
      <c r="G50" s="2"/>
      <c r="H50" s="2"/>
      <c r="I50" s="2"/>
      <c r="J50" s="2"/>
      <c r="K50" s="2"/>
      <c r="L50" s="2"/>
      <c r="M50" s="2"/>
      <c r="N50" s="2"/>
    </row>
    <row r="51" spans="1:14">
      <c r="A51" s="11"/>
      <c r="B51" s="11"/>
      <c r="C51" s="2"/>
      <c r="D51" s="2"/>
      <c r="E51" s="2"/>
      <c r="F51" s="2"/>
      <c r="G51" s="2"/>
      <c r="H51" s="2"/>
      <c r="I51" s="2"/>
      <c r="J51" s="2"/>
      <c r="K51" s="2"/>
      <c r="L51" s="2"/>
      <c r="M51" s="2"/>
      <c r="N51" s="2"/>
    </row>
    <row r="52" spans="1:14">
      <c r="A52" s="11"/>
      <c r="B52" s="11"/>
      <c r="C52" s="2"/>
      <c r="D52" s="2"/>
      <c r="E52" s="2"/>
      <c r="F52" s="2"/>
      <c r="G52" s="2"/>
      <c r="H52" s="2"/>
      <c r="I52" s="2"/>
      <c r="J52" s="2"/>
      <c r="K52" s="2"/>
      <c r="L52" s="2"/>
      <c r="M52" s="2"/>
      <c r="N52" s="2"/>
    </row>
    <row r="53" spans="1:14">
      <c r="A53" s="11"/>
      <c r="B53" s="11"/>
      <c r="C53" s="2"/>
      <c r="D53" s="2"/>
      <c r="E53" s="2"/>
      <c r="F53" s="2"/>
      <c r="G53" s="2"/>
      <c r="H53" s="2"/>
      <c r="I53" s="2"/>
      <c r="J53" s="2"/>
      <c r="K53" s="2"/>
      <c r="L53" s="2"/>
      <c r="M53" s="2"/>
      <c r="N53" s="2"/>
    </row>
    <row r="54" spans="1:14">
      <c r="A54" s="11"/>
      <c r="B54" s="11"/>
      <c r="C54" s="2"/>
      <c r="D54" s="2"/>
      <c r="E54" s="2"/>
      <c r="F54" s="2"/>
      <c r="G54" s="2"/>
      <c r="H54" s="2"/>
      <c r="I54" s="2"/>
      <c r="J54" s="2"/>
      <c r="K54" s="2"/>
      <c r="L54" s="2"/>
      <c r="M54" s="2"/>
      <c r="N54" s="2"/>
    </row>
    <row r="55" spans="1:14">
      <c r="A55" s="11"/>
      <c r="B55" s="11"/>
      <c r="C55" s="2"/>
      <c r="D55" s="2"/>
      <c r="E55" s="2"/>
      <c r="F55" s="2"/>
      <c r="G55" s="2"/>
      <c r="H55" s="2"/>
      <c r="I55" s="2"/>
      <c r="J55" s="2"/>
      <c r="K55" s="2"/>
      <c r="L55" s="2"/>
      <c r="M55" s="2"/>
      <c r="N55" s="2"/>
    </row>
    <row r="56" spans="1:14">
      <c r="A56" s="11"/>
      <c r="B56" s="11"/>
      <c r="C56" s="2"/>
      <c r="D56" s="2"/>
      <c r="E56" s="2"/>
      <c r="F56" s="2"/>
      <c r="G56" s="2"/>
      <c r="H56" s="2"/>
      <c r="I56" s="2"/>
      <c r="J56" s="2"/>
      <c r="K56" s="2"/>
      <c r="L56" s="2"/>
      <c r="M56" s="2"/>
      <c r="N56" s="2"/>
    </row>
    <row r="57" spans="1:14">
      <c r="A57" s="11"/>
      <c r="B57" s="11"/>
      <c r="C57" s="2"/>
      <c r="D57" s="2"/>
      <c r="E57" s="2"/>
      <c r="F57" s="2"/>
      <c r="G57" s="2"/>
      <c r="H57" s="2"/>
      <c r="I57" s="2"/>
      <c r="J57" s="2"/>
      <c r="K57" s="2"/>
      <c r="L57" s="2"/>
      <c r="M57" s="2"/>
      <c r="N57" s="2"/>
    </row>
    <row r="58" spans="1:14">
      <c r="A58" s="11"/>
      <c r="B58" s="11"/>
      <c r="C58" s="2"/>
      <c r="D58" s="2"/>
      <c r="E58" s="2"/>
      <c r="F58" s="2"/>
      <c r="G58" s="2"/>
      <c r="H58" s="2"/>
      <c r="I58" s="2"/>
      <c r="J58" s="2"/>
      <c r="K58" s="2"/>
      <c r="L58" s="2"/>
      <c r="M58" s="2"/>
      <c r="N58" s="2"/>
    </row>
    <row r="59" spans="1:14">
      <c r="A59" s="11"/>
      <c r="B59" s="11"/>
      <c r="C59" s="2"/>
      <c r="D59" s="2"/>
      <c r="E59" s="2"/>
      <c r="F59" s="2"/>
      <c r="G59" s="2"/>
      <c r="H59" s="2"/>
      <c r="I59" s="2"/>
      <c r="J59" s="2"/>
      <c r="K59" s="2"/>
      <c r="L59" s="2"/>
      <c r="M59" s="2"/>
      <c r="N59" s="2"/>
    </row>
    <row r="60" spans="1:14">
      <c r="A60" s="11"/>
      <c r="B60" s="11"/>
      <c r="C60" s="2"/>
      <c r="D60" s="2"/>
      <c r="E60" s="2"/>
      <c r="F60" s="2"/>
      <c r="G60" s="2"/>
      <c r="H60" s="2"/>
      <c r="I60" s="2"/>
      <c r="J60" s="2"/>
      <c r="K60" s="2"/>
      <c r="L60" s="2"/>
      <c r="M60" s="2"/>
      <c r="N60" s="2"/>
    </row>
    <row r="61" spans="1:14">
      <c r="A61" s="11"/>
      <c r="B61" s="11"/>
      <c r="C61" s="2"/>
      <c r="D61" s="2"/>
      <c r="E61" s="2"/>
      <c r="F61" s="2"/>
      <c r="G61" s="2"/>
      <c r="H61" s="2"/>
      <c r="I61" s="2"/>
      <c r="J61" s="2"/>
      <c r="K61" s="2"/>
      <c r="L61" s="2"/>
      <c r="M61" s="2"/>
      <c r="N61" s="2"/>
    </row>
    <row r="62" spans="1:14">
      <c r="A62" s="11"/>
      <c r="B62" s="11"/>
      <c r="C62" s="2"/>
      <c r="D62" s="2"/>
      <c r="E62" s="2"/>
      <c r="F62" s="2"/>
      <c r="G62" s="2"/>
      <c r="H62" s="2"/>
      <c r="I62" s="2"/>
      <c r="J62" s="2"/>
      <c r="K62" s="2"/>
      <c r="L62" s="2"/>
      <c r="M62" s="2"/>
      <c r="N62" s="2"/>
    </row>
    <row r="63" spans="1:14">
      <c r="A63" s="11"/>
      <c r="B63" s="11"/>
      <c r="C63" s="2"/>
      <c r="D63" s="2"/>
      <c r="E63" s="2"/>
      <c r="F63" s="2"/>
      <c r="G63" s="2"/>
      <c r="H63" s="2"/>
      <c r="I63" s="2"/>
      <c r="J63" s="2"/>
      <c r="K63" s="2"/>
      <c r="L63" s="2"/>
      <c r="M63" s="2"/>
      <c r="N63" s="2"/>
    </row>
    <row r="64" spans="1:14">
      <c r="A64" s="11"/>
      <c r="B64" s="11"/>
      <c r="C64" s="2"/>
      <c r="D64" s="2"/>
      <c r="E64" s="2"/>
      <c r="F64" s="2"/>
      <c r="G64" s="2"/>
      <c r="H64" s="2"/>
      <c r="I64" s="2"/>
      <c r="J64" s="2"/>
      <c r="K64" s="2"/>
      <c r="L64" s="2"/>
      <c r="M64" s="2"/>
      <c r="N64" s="2"/>
    </row>
    <row r="65" spans="1:14">
      <c r="A65" s="11"/>
      <c r="B65" s="11"/>
      <c r="C65" s="2"/>
      <c r="D65" s="2"/>
      <c r="E65" s="2"/>
      <c r="F65" s="2"/>
      <c r="G65" s="2"/>
      <c r="H65" s="2"/>
      <c r="I65" s="2"/>
      <c r="J65" s="2"/>
      <c r="K65" s="2"/>
      <c r="L65" s="2"/>
      <c r="M65" s="2"/>
      <c r="N65" s="2"/>
    </row>
    <row r="66" spans="1:14">
      <c r="A66" s="11"/>
      <c r="B66" s="11"/>
      <c r="C66" s="2"/>
      <c r="D66" s="2"/>
      <c r="E66" s="2"/>
      <c r="F66" s="2"/>
      <c r="G66" s="2"/>
      <c r="H66" s="2"/>
      <c r="I66" s="2"/>
      <c r="J66" s="2"/>
      <c r="K66" s="2"/>
      <c r="L66" s="2"/>
      <c r="M66" s="2"/>
      <c r="N66" s="2"/>
    </row>
    <row r="67" spans="1:14">
      <c r="A67" s="11"/>
      <c r="B67" s="11"/>
      <c r="C67" s="2"/>
      <c r="D67" s="2"/>
      <c r="E67" s="2"/>
      <c r="F67" s="2"/>
      <c r="G67" s="2"/>
      <c r="H67" s="2"/>
      <c r="I67" s="2"/>
      <c r="J67" s="2"/>
      <c r="K67" s="2"/>
      <c r="L67" s="2"/>
      <c r="M67" s="2"/>
      <c r="N67" s="2"/>
    </row>
    <row r="68" spans="1:14">
      <c r="A68" s="11"/>
      <c r="B68" s="11"/>
      <c r="C68" s="2"/>
      <c r="D68" s="2"/>
      <c r="E68" s="2"/>
      <c r="F68" s="2"/>
      <c r="G68" s="2"/>
      <c r="H68" s="2"/>
      <c r="I68" s="2"/>
      <c r="J68" s="2"/>
      <c r="K68" s="2"/>
      <c r="L68" s="2"/>
      <c r="M68" s="2"/>
      <c r="N68" s="2"/>
    </row>
    <row r="69" spans="1:14">
      <c r="A69" s="11"/>
      <c r="B69" s="11"/>
      <c r="C69" s="2"/>
      <c r="D69" s="2"/>
      <c r="E69" s="2"/>
      <c r="F69" s="2"/>
      <c r="G69" s="2"/>
      <c r="H69" s="2"/>
      <c r="I69" s="2"/>
      <c r="J69" s="2"/>
      <c r="K69" s="2"/>
      <c r="L69" s="2"/>
      <c r="M69" s="2"/>
      <c r="N69" s="2"/>
    </row>
    <row r="70" spans="1:14">
      <c r="A70" s="11"/>
      <c r="B70" s="11"/>
      <c r="C70" s="2"/>
      <c r="D70" s="2"/>
      <c r="E70" s="2"/>
      <c r="F70" s="2"/>
      <c r="G70" s="2"/>
      <c r="H70" s="2"/>
      <c r="I70" s="2"/>
      <c r="J70" s="2"/>
      <c r="K70" s="2"/>
      <c r="L70" s="2"/>
      <c r="M70" s="2"/>
      <c r="N70" s="2"/>
    </row>
    <row r="71" spans="1:14">
      <c r="A71" s="11"/>
      <c r="B71" s="11"/>
      <c r="C71" s="2"/>
      <c r="D71" s="2"/>
      <c r="E71" s="2"/>
      <c r="F71" s="2"/>
      <c r="G71" s="2"/>
      <c r="H71" s="2"/>
      <c r="I71" s="2"/>
      <c r="J71" s="2"/>
      <c r="K71" s="2"/>
      <c r="L71" s="2"/>
      <c r="M71" s="2"/>
      <c r="N71" s="2"/>
    </row>
    <row r="72" spans="1:14">
      <c r="A72" s="11"/>
      <c r="B72" s="11"/>
      <c r="C72" s="2"/>
      <c r="D72" s="2"/>
      <c r="E72" s="2"/>
      <c r="F72" s="2"/>
      <c r="G72" s="2"/>
      <c r="H72" s="2"/>
      <c r="I72" s="2"/>
      <c r="J72" s="2"/>
      <c r="K72" s="2"/>
      <c r="L72" s="2"/>
      <c r="M72" s="2"/>
      <c r="N72" s="2"/>
    </row>
    <row r="73" spans="1:14">
      <c r="A73" s="11"/>
      <c r="B73" s="11"/>
      <c r="C73" s="2"/>
      <c r="D73" s="2"/>
      <c r="E73" s="2"/>
      <c r="F73" s="2"/>
      <c r="G73" s="2"/>
      <c r="H73" s="2"/>
      <c r="I73" s="2"/>
      <c r="J73" s="2"/>
      <c r="K73" s="2"/>
      <c r="L73" s="2"/>
      <c r="M73" s="2"/>
      <c r="N73" s="2"/>
    </row>
    <row r="74" spans="1:14">
      <c r="A74" s="11"/>
      <c r="B74" s="11"/>
      <c r="C74" s="2"/>
      <c r="D74" s="2"/>
      <c r="E74" s="2"/>
      <c r="F74" s="2"/>
      <c r="G74" s="2"/>
      <c r="H74" s="2"/>
      <c r="I74" s="2"/>
      <c r="J74" s="2"/>
      <c r="K74" s="2"/>
      <c r="L74" s="2"/>
      <c r="M74" s="2"/>
      <c r="N74" s="2"/>
    </row>
    <row r="75" spans="1:14">
      <c r="A75" s="11"/>
      <c r="B75" s="11"/>
      <c r="C75" s="2"/>
      <c r="D75" s="2"/>
      <c r="E75" s="2"/>
      <c r="F75" s="2"/>
      <c r="G75" s="2"/>
      <c r="H75" s="2"/>
      <c r="I75" s="2"/>
      <c r="J75" s="2"/>
      <c r="K75" s="2"/>
      <c r="L75" s="2"/>
      <c r="M75" s="2"/>
      <c r="N75" s="2"/>
    </row>
    <row r="76" spans="1:14">
      <c r="A76" s="11"/>
      <c r="B76" s="11"/>
      <c r="C76" s="2"/>
      <c r="D76" s="2"/>
      <c r="E76" s="2"/>
      <c r="F76" s="2"/>
      <c r="G76" s="2"/>
      <c r="H76" s="2"/>
      <c r="I76" s="2"/>
      <c r="J76" s="2"/>
      <c r="K76" s="2"/>
      <c r="L76" s="2"/>
      <c r="M76" s="2"/>
      <c r="N76" s="2"/>
    </row>
    <row r="77" spans="1:14">
      <c r="A77" s="11"/>
      <c r="B77" s="11"/>
      <c r="C77" s="2"/>
      <c r="D77" s="2"/>
      <c r="E77" s="2"/>
      <c r="F77" s="2"/>
      <c r="G77" s="2"/>
      <c r="H77" s="2"/>
      <c r="I77" s="2"/>
      <c r="J77" s="2"/>
      <c r="K77" s="2"/>
      <c r="L77" s="2"/>
      <c r="M77" s="2"/>
      <c r="N77" s="2"/>
    </row>
    <row r="78" spans="1:14">
      <c r="A78" s="11"/>
      <c r="B78" s="11"/>
      <c r="C78" s="2"/>
      <c r="D78" s="2"/>
      <c r="E78" s="2"/>
      <c r="F78" s="2"/>
      <c r="G78" s="2"/>
      <c r="H78" s="2"/>
      <c r="I78" s="2"/>
      <c r="J78" s="2"/>
      <c r="K78" s="2"/>
      <c r="L78" s="2"/>
      <c r="M78" s="2"/>
      <c r="N78" s="2"/>
    </row>
    <row r="79" spans="1:14">
      <c r="A79" s="11"/>
      <c r="B79" s="11"/>
      <c r="C79" s="2"/>
      <c r="D79" s="2"/>
      <c r="E79" s="2"/>
      <c r="F79" s="2"/>
      <c r="G79" s="2"/>
      <c r="H79" s="2"/>
      <c r="I79" s="2"/>
      <c r="J79" s="2"/>
      <c r="K79" s="2"/>
      <c r="L79" s="2"/>
      <c r="M79" s="2"/>
      <c r="N79" s="2"/>
    </row>
    <row r="80" spans="1:14">
      <c r="A80" s="11"/>
      <c r="B80" s="11"/>
      <c r="C80" s="2"/>
      <c r="D80" s="2"/>
      <c r="E80" s="2"/>
      <c r="F80" s="2"/>
      <c r="G80" s="2"/>
      <c r="H80" s="2"/>
      <c r="I80" s="2"/>
      <c r="J80" s="2"/>
      <c r="K80" s="2"/>
      <c r="L80" s="2"/>
      <c r="M80" s="2"/>
      <c r="N80" s="2"/>
    </row>
    <row r="81" spans="1:14">
      <c r="A81" s="11"/>
      <c r="B81" s="11"/>
      <c r="C81" s="2"/>
      <c r="D81" s="2"/>
      <c r="E81" s="2"/>
      <c r="F81" s="2"/>
      <c r="G81" s="2"/>
      <c r="H81" s="2"/>
      <c r="I81" s="2"/>
      <c r="J81" s="2"/>
      <c r="K81" s="2"/>
      <c r="L81" s="2"/>
      <c r="M81" s="2"/>
      <c r="N81" s="2"/>
    </row>
    <row r="82" spans="1:14">
      <c r="A82" s="11"/>
      <c r="B82" s="11"/>
      <c r="C82" s="2"/>
      <c r="D82" s="2"/>
      <c r="E82" s="2"/>
      <c r="F82" s="2"/>
      <c r="G82" s="2"/>
      <c r="H82" s="2"/>
      <c r="I82" s="2"/>
      <c r="J82" s="2"/>
      <c r="K82" s="2"/>
      <c r="L82" s="2"/>
      <c r="M82" s="2"/>
      <c r="N82" s="2"/>
    </row>
    <row r="83" spans="1:14">
      <c r="A83" s="11"/>
      <c r="B83" s="11"/>
      <c r="C83" s="2"/>
      <c r="D83" s="2"/>
      <c r="E83" s="2"/>
      <c r="F83" s="2"/>
      <c r="G83" s="2"/>
      <c r="H83" s="2"/>
      <c r="I83" s="2"/>
      <c r="J83" s="2"/>
      <c r="K83" s="2"/>
      <c r="L83" s="2"/>
      <c r="M83" s="2"/>
      <c r="N83" s="2"/>
    </row>
    <row r="84" spans="1:14">
      <c r="A84" s="11"/>
      <c r="B84" s="11"/>
      <c r="C84" s="2"/>
      <c r="D84" s="2"/>
      <c r="E84" s="2"/>
      <c r="F84" s="2"/>
      <c r="G84" s="2"/>
      <c r="H84" s="2"/>
      <c r="I84" s="2"/>
      <c r="J84" s="2"/>
      <c r="K84" s="2"/>
      <c r="L84" s="2"/>
      <c r="M84" s="2"/>
      <c r="N84" s="2"/>
    </row>
    <row r="85" spans="1:14">
      <c r="A85" s="11"/>
      <c r="B85" s="11"/>
      <c r="C85" s="2"/>
      <c r="D85" s="2"/>
      <c r="E85" s="2"/>
      <c r="F85" s="2"/>
      <c r="G85" s="2"/>
      <c r="H85" s="2"/>
      <c r="I85" s="2"/>
      <c r="J85" s="2"/>
      <c r="K85" s="2"/>
      <c r="L85" s="2"/>
      <c r="M85" s="2"/>
      <c r="N85" s="2"/>
    </row>
    <row r="86" spans="1:14">
      <c r="A86" s="11"/>
      <c r="B86" s="11"/>
      <c r="C86" s="2"/>
      <c r="D86" s="2"/>
      <c r="E86" s="2"/>
      <c r="F86" s="2"/>
      <c r="G86" s="2"/>
      <c r="H86" s="2"/>
      <c r="I86" s="2"/>
      <c r="J86" s="2"/>
      <c r="K86" s="2"/>
      <c r="L86" s="2"/>
      <c r="M86" s="2"/>
      <c r="N86" s="2"/>
    </row>
    <row r="87" spans="1:14">
      <c r="A87" s="11"/>
      <c r="B87" s="11"/>
      <c r="C87" s="2"/>
      <c r="D87" s="2"/>
      <c r="E87" s="2"/>
      <c r="F87" s="2"/>
      <c r="G87" s="2"/>
      <c r="H87" s="2"/>
      <c r="I87" s="2"/>
      <c r="J87" s="2"/>
      <c r="K87" s="2"/>
      <c r="L87" s="2"/>
      <c r="M87" s="2"/>
      <c r="N87" s="2"/>
    </row>
    <row r="88" spans="1:14">
      <c r="A88" s="11"/>
      <c r="B88" s="11"/>
      <c r="C88" s="2"/>
      <c r="D88" s="2"/>
      <c r="E88" s="2"/>
      <c r="F88" s="2"/>
      <c r="G88" s="2"/>
      <c r="H88" s="2"/>
      <c r="I88" s="2"/>
      <c r="J88" s="2"/>
      <c r="K88" s="2"/>
      <c r="L88" s="2"/>
      <c r="M88" s="2"/>
      <c r="N88" s="2"/>
    </row>
    <row r="89" spans="1:14">
      <c r="A89" s="11"/>
      <c r="B89" s="11"/>
      <c r="C89" s="2"/>
      <c r="D89" s="2"/>
      <c r="E89" s="2"/>
      <c r="F89" s="2"/>
      <c r="G89" s="2"/>
      <c r="H89" s="2"/>
      <c r="I89" s="2"/>
      <c r="J89" s="2"/>
      <c r="K89" s="2"/>
      <c r="L89" s="2"/>
      <c r="M89" s="2"/>
      <c r="N89" s="2"/>
    </row>
    <row r="90" spans="1:14">
      <c r="A90" s="11"/>
      <c r="B90" s="11"/>
      <c r="C90" s="2"/>
      <c r="D90" s="2"/>
      <c r="E90" s="2"/>
      <c r="F90" s="2"/>
      <c r="G90" s="2"/>
      <c r="H90" s="2"/>
      <c r="I90" s="2"/>
      <c r="J90" s="2"/>
      <c r="K90" s="2"/>
      <c r="L90" s="2"/>
      <c r="M90" s="2"/>
      <c r="N90" s="2"/>
    </row>
    <row r="91" spans="1:14">
      <c r="A91" s="11"/>
      <c r="B91" s="11"/>
      <c r="C91" s="2"/>
      <c r="D91" s="2"/>
      <c r="E91" s="2"/>
      <c r="F91" s="2"/>
      <c r="G91" s="2"/>
      <c r="H91" s="2"/>
      <c r="I91" s="2"/>
      <c r="J91" s="2"/>
      <c r="K91" s="2"/>
      <c r="L91" s="2"/>
      <c r="M91" s="2"/>
      <c r="N91" s="2"/>
    </row>
    <row r="92" spans="1:14">
      <c r="A92" s="11"/>
      <c r="B92" s="11"/>
      <c r="C92" s="2"/>
      <c r="D92" s="2"/>
      <c r="E92" s="2"/>
      <c r="F92" s="2"/>
      <c r="G92" s="2"/>
      <c r="H92" s="2"/>
      <c r="I92" s="2"/>
      <c r="J92" s="2"/>
      <c r="K92" s="2"/>
      <c r="L92" s="2"/>
      <c r="M92" s="2"/>
      <c r="N92" s="2"/>
    </row>
    <row r="93" spans="1:14">
      <c r="A93" s="11"/>
      <c r="B93" s="11"/>
      <c r="C93" s="2"/>
      <c r="D93" s="2"/>
      <c r="E93" s="2"/>
      <c r="F93" s="2"/>
      <c r="G93" s="2"/>
      <c r="H93" s="2"/>
      <c r="I93" s="2"/>
      <c r="J93" s="2"/>
      <c r="K93" s="2"/>
      <c r="L93" s="2"/>
      <c r="M93" s="2"/>
      <c r="N93" s="2"/>
    </row>
    <row r="94" spans="1:14">
      <c r="A94" s="11"/>
      <c r="B94" s="11"/>
      <c r="C94" s="2"/>
      <c r="D94" s="2"/>
      <c r="E94" s="2"/>
      <c r="F94" s="2"/>
      <c r="G94" s="2"/>
      <c r="H94" s="2"/>
      <c r="I94" s="2"/>
      <c r="J94" s="2"/>
      <c r="K94" s="2"/>
      <c r="L94" s="2"/>
      <c r="M94" s="2"/>
      <c r="N94" s="2"/>
    </row>
    <row r="95" spans="1:14">
      <c r="A95" s="11"/>
      <c r="B95" s="11"/>
      <c r="C95" s="2"/>
      <c r="D95" s="2"/>
      <c r="E95" s="2"/>
      <c r="F95" s="2"/>
      <c r="G95" s="2"/>
      <c r="H95" s="2"/>
      <c r="I95" s="2"/>
      <c r="J95" s="2"/>
      <c r="K95" s="2"/>
      <c r="L95" s="2"/>
      <c r="M95" s="2"/>
      <c r="N95" s="2"/>
    </row>
    <row r="96" spans="1:14">
      <c r="A96" s="11"/>
      <c r="B96" s="11"/>
      <c r="C96" s="2"/>
      <c r="D96" s="2"/>
      <c r="E96" s="2"/>
      <c r="F96" s="2"/>
      <c r="G96" s="2"/>
      <c r="H96" s="2"/>
      <c r="I96" s="2"/>
      <c r="J96" s="2"/>
      <c r="K96" s="2"/>
      <c r="L96" s="2"/>
      <c r="M96" s="2"/>
      <c r="N96" s="2"/>
    </row>
    <row r="97" spans="1:14">
      <c r="A97" s="11"/>
      <c r="B97" s="11"/>
      <c r="C97" s="2"/>
      <c r="D97" s="2"/>
      <c r="E97" s="2"/>
      <c r="F97" s="2"/>
      <c r="G97" s="2"/>
      <c r="H97" s="2"/>
      <c r="I97" s="2"/>
      <c r="J97" s="2"/>
      <c r="K97" s="2"/>
      <c r="L97" s="2"/>
      <c r="M97" s="2"/>
      <c r="N97" s="2"/>
    </row>
    <row r="98" spans="1:14">
      <c r="A98" s="11"/>
      <c r="B98" s="11"/>
      <c r="C98" s="2"/>
      <c r="D98" s="2"/>
      <c r="E98" s="2"/>
      <c r="F98" s="2"/>
      <c r="G98" s="2"/>
      <c r="H98" s="2"/>
      <c r="I98" s="2"/>
      <c r="J98" s="2"/>
      <c r="K98" s="2"/>
      <c r="L98" s="2"/>
      <c r="M98" s="2"/>
      <c r="N98" s="2"/>
    </row>
    <row r="99" spans="1:14">
      <c r="A99" s="11"/>
      <c r="B99" s="11"/>
      <c r="C99" s="2"/>
      <c r="D99" s="2"/>
      <c r="E99" s="2"/>
      <c r="F99" s="2"/>
      <c r="G99" s="2"/>
      <c r="H99" s="2"/>
      <c r="I99" s="2"/>
      <c r="J99" s="2"/>
      <c r="K99" s="2"/>
      <c r="L99" s="2"/>
      <c r="M99" s="2"/>
      <c r="N99" s="2"/>
    </row>
    <row r="100" spans="1:14">
      <c r="A100" s="11"/>
      <c r="B100" s="11"/>
      <c r="C100" s="2"/>
      <c r="D100" s="2"/>
      <c r="E100" s="2"/>
      <c r="F100" s="2"/>
      <c r="G100" s="2"/>
      <c r="H100" s="2"/>
      <c r="I100" s="2"/>
      <c r="J100" s="2"/>
      <c r="K100" s="2"/>
      <c r="L100" s="2"/>
      <c r="M100" s="2"/>
      <c r="N100" s="2"/>
    </row>
    <row r="101" spans="1:14">
      <c r="A101" s="11"/>
      <c r="B101" s="11"/>
      <c r="C101" s="2"/>
      <c r="D101" s="2"/>
      <c r="E101" s="2"/>
      <c r="F101" s="2"/>
      <c r="G101" s="2"/>
      <c r="H101" s="2"/>
      <c r="I101" s="2"/>
      <c r="J101" s="2"/>
      <c r="K101" s="2"/>
      <c r="L101" s="2"/>
      <c r="M101" s="2"/>
      <c r="N101" s="2"/>
    </row>
    <row r="102" spans="1:14">
      <c r="A102" s="11"/>
      <c r="B102" s="11"/>
      <c r="C102" s="2"/>
      <c r="D102" s="2"/>
      <c r="E102" s="2"/>
      <c r="F102" s="2"/>
      <c r="G102" s="2"/>
      <c r="H102" s="2"/>
      <c r="I102" s="2"/>
      <c r="J102" s="2"/>
      <c r="K102" s="2"/>
      <c r="L102" s="2"/>
      <c r="M102" s="2"/>
      <c r="N102" s="2"/>
    </row>
    <row r="103" spans="1:14">
      <c r="A103" s="11"/>
      <c r="B103" s="11"/>
      <c r="C103" s="2"/>
      <c r="D103" s="2"/>
      <c r="E103" s="2"/>
      <c r="F103" s="2"/>
      <c r="G103" s="2"/>
      <c r="H103" s="2"/>
      <c r="I103" s="2"/>
      <c r="J103" s="2"/>
      <c r="K103" s="2"/>
      <c r="L103" s="2"/>
      <c r="M103" s="2"/>
      <c r="N103" s="2"/>
    </row>
    <row r="104" spans="1:14">
      <c r="A104" s="11"/>
      <c r="B104" s="11"/>
      <c r="C104" s="2"/>
      <c r="D104" s="2"/>
      <c r="E104" s="2"/>
      <c r="F104" s="2"/>
      <c r="G104" s="2"/>
      <c r="H104" s="2"/>
      <c r="I104" s="2"/>
      <c r="J104" s="2"/>
      <c r="K104" s="2"/>
      <c r="L104" s="2"/>
      <c r="M104" s="2"/>
      <c r="N104" s="2"/>
    </row>
    <row r="105" spans="1:14">
      <c r="A105" s="11"/>
      <c r="B105" s="11"/>
      <c r="C105" s="2"/>
      <c r="D105" s="2"/>
      <c r="E105" s="2"/>
      <c r="F105" s="2"/>
      <c r="G105" s="2"/>
      <c r="H105" s="2"/>
      <c r="I105" s="2"/>
      <c r="J105" s="2"/>
      <c r="K105" s="2"/>
      <c r="L105" s="2"/>
      <c r="M105" s="2"/>
      <c r="N105" s="2"/>
    </row>
    <row r="106" spans="1:14">
      <c r="A106" s="11"/>
      <c r="B106" s="11"/>
      <c r="C106" s="2"/>
      <c r="D106" s="2"/>
      <c r="E106" s="2"/>
      <c r="F106" s="2"/>
      <c r="G106" s="2"/>
      <c r="H106" s="2"/>
      <c r="I106" s="2"/>
      <c r="J106" s="2"/>
      <c r="K106" s="2"/>
      <c r="L106" s="2"/>
      <c r="M106" s="2"/>
      <c r="N106" s="2"/>
    </row>
    <row r="107" spans="1:14">
      <c r="A107" s="11"/>
      <c r="B107" s="11"/>
      <c r="C107" s="2"/>
      <c r="D107" s="2"/>
      <c r="E107" s="2"/>
      <c r="F107" s="2"/>
      <c r="G107" s="2"/>
      <c r="H107" s="2"/>
      <c r="I107" s="2"/>
      <c r="J107" s="2"/>
      <c r="K107" s="2"/>
      <c r="L107" s="2"/>
      <c r="M107" s="2"/>
      <c r="N107" s="2"/>
    </row>
    <row r="108" spans="1:14">
      <c r="A108" s="11"/>
      <c r="B108" s="11"/>
      <c r="C108" s="2"/>
      <c r="D108" s="2"/>
      <c r="E108" s="2"/>
      <c r="F108" s="2"/>
      <c r="G108" s="2"/>
      <c r="H108" s="2"/>
      <c r="I108" s="2"/>
      <c r="J108" s="2"/>
      <c r="K108" s="2"/>
      <c r="L108" s="2"/>
      <c r="M108" s="2"/>
      <c r="N108" s="2"/>
    </row>
    <row r="109" spans="1:14">
      <c r="A109" s="11"/>
      <c r="B109" s="11"/>
      <c r="C109" s="2"/>
      <c r="D109" s="2"/>
      <c r="E109" s="2"/>
      <c r="F109" s="2"/>
      <c r="G109" s="2"/>
      <c r="H109" s="2"/>
      <c r="I109" s="2"/>
      <c r="J109" s="2"/>
      <c r="K109" s="2"/>
      <c r="L109" s="2"/>
      <c r="M109" s="2"/>
      <c r="N109" s="2"/>
    </row>
    <row r="110" spans="1:14">
      <c r="A110" s="11"/>
      <c r="B110" s="11"/>
      <c r="C110" s="2"/>
      <c r="D110" s="2"/>
      <c r="E110" s="2"/>
      <c r="F110" s="2"/>
      <c r="G110" s="2"/>
      <c r="H110" s="2"/>
      <c r="I110" s="2"/>
      <c r="J110" s="2"/>
      <c r="K110" s="2"/>
      <c r="L110" s="2"/>
      <c r="M110" s="2"/>
      <c r="N110" s="2"/>
    </row>
    <row r="111" spans="1:14">
      <c r="A111" s="11"/>
      <c r="B111" s="11"/>
      <c r="C111" s="2"/>
      <c r="D111" s="2"/>
      <c r="E111" s="2"/>
      <c r="F111" s="2"/>
      <c r="G111" s="2"/>
      <c r="H111" s="2"/>
      <c r="I111" s="2"/>
      <c r="J111" s="2"/>
      <c r="K111" s="2"/>
      <c r="L111" s="2"/>
      <c r="M111" s="2"/>
      <c r="N111" s="2"/>
    </row>
    <row r="112" spans="1:14">
      <c r="A112" s="11"/>
      <c r="B112" s="11"/>
      <c r="C112" s="2"/>
      <c r="D112" s="2"/>
      <c r="E112" s="2"/>
      <c r="F112" s="2"/>
      <c r="G112" s="2"/>
      <c r="H112" s="2"/>
      <c r="I112" s="2"/>
      <c r="J112" s="2"/>
      <c r="K112" s="2"/>
      <c r="L112" s="2"/>
      <c r="M112" s="2"/>
      <c r="N112" s="2"/>
    </row>
    <row r="113" spans="1:14">
      <c r="A113" s="11"/>
      <c r="B113" s="11"/>
      <c r="C113" s="2"/>
      <c r="D113" s="2"/>
      <c r="E113" s="2"/>
      <c r="F113" s="2"/>
      <c r="G113" s="2"/>
      <c r="H113" s="2"/>
      <c r="I113" s="2"/>
      <c r="J113" s="2"/>
      <c r="K113" s="2"/>
      <c r="L113" s="2"/>
      <c r="M113" s="2"/>
      <c r="N113" s="2"/>
    </row>
    <row r="114" spans="1:14">
      <c r="A114" s="11"/>
      <c r="B114" s="11"/>
      <c r="C114" s="2"/>
      <c r="D114" s="2"/>
      <c r="E114" s="2"/>
      <c r="F114" s="2"/>
      <c r="G114" s="2"/>
      <c r="H114" s="2"/>
      <c r="I114" s="2"/>
      <c r="J114" s="2"/>
      <c r="K114" s="2"/>
      <c r="L114" s="2"/>
      <c r="M114" s="2"/>
      <c r="N114" s="2"/>
    </row>
    <row r="115" spans="1:14">
      <c r="A115" s="11"/>
      <c r="B115" s="11"/>
      <c r="C115" s="2"/>
      <c r="D115" s="2"/>
      <c r="E115" s="2"/>
      <c r="F115" s="2"/>
      <c r="G115" s="2"/>
      <c r="H115" s="2"/>
      <c r="I115" s="2"/>
      <c r="J115" s="2"/>
      <c r="K115" s="2"/>
      <c r="L115" s="2"/>
      <c r="M115" s="2"/>
      <c r="N115" s="2"/>
    </row>
    <row r="116" spans="1:14">
      <c r="A116" s="11"/>
      <c r="B116" s="11"/>
      <c r="C116" s="2"/>
      <c r="D116" s="2"/>
      <c r="E116" s="2"/>
      <c r="F116" s="2"/>
      <c r="G116" s="2"/>
      <c r="H116" s="2"/>
      <c r="I116" s="2"/>
      <c r="J116" s="2"/>
      <c r="K116" s="2"/>
      <c r="L116" s="2"/>
      <c r="M116" s="2"/>
      <c r="N116" s="2"/>
    </row>
    <row r="117" spans="1:14">
      <c r="A117" s="11"/>
      <c r="B117" s="11"/>
      <c r="C117" s="2"/>
      <c r="D117" s="2"/>
      <c r="E117" s="2"/>
      <c r="F117" s="2"/>
      <c r="G117" s="2"/>
      <c r="H117" s="2"/>
      <c r="I117" s="2"/>
      <c r="J117" s="2"/>
      <c r="K117" s="2"/>
      <c r="L117" s="2"/>
      <c r="M117" s="2"/>
      <c r="N117" s="2"/>
    </row>
    <row r="118" spans="1:14">
      <c r="A118" s="11"/>
      <c r="B118" s="11"/>
      <c r="C118" s="2"/>
      <c r="D118" s="2"/>
      <c r="E118" s="2"/>
      <c r="F118" s="2"/>
      <c r="G118" s="2"/>
      <c r="H118" s="2"/>
      <c r="I118" s="2"/>
      <c r="J118" s="2"/>
      <c r="K118" s="2"/>
      <c r="L118" s="2"/>
      <c r="M118" s="2"/>
      <c r="N118" s="2"/>
    </row>
    <row r="119" spans="1:14">
      <c r="A119" s="11"/>
      <c r="B119" s="11"/>
      <c r="C119" s="2"/>
      <c r="D119" s="2"/>
      <c r="E119" s="2"/>
      <c r="F119" s="2"/>
      <c r="G119" s="2"/>
      <c r="H119" s="2"/>
      <c r="I119" s="2"/>
      <c r="J119" s="2"/>
      <c r="K119" s="2"/>
      <c r="L119" s="2"/>
      <c r="M119" s="2"/>
      <c r="N119" s="2"/>
    </row>
    <row r="120" spans="1:14">
      <c r="A120" s="11"/>
      <c r="B120" s="11"/>
      <c r="C120" s="2"/>
      <c r="D120" s="2"/>
      <c r="E120" s="2"/>
      <c r="F120" s="2"/>
      <c r="G120" s="2"/>
      <c r="H120" s="2"/>
      <c r="I120" s="2"/>
      <c r="J120" s="2"/>
      <c r="K120" s="2"/>
      <c r="L120" s="2"/>
      <c r="M120" s="2"/>
      <c r="N120" s="2"/>
    </row>
    <row r="121" spans="1:14">
      <c r="A121" s="11"/>
      <c r="B121" s="11"/>
      <c r="C121" s="2"/>
      <c r="D121" s="2"/>
      <c r="E121" s="2"/>
      <c r="F121" s="2"/>
      <c r="G121" s="2"/>
      <c r="H121" s="2"/>
      <c r="I121" s="2"/>
      <c r="J121" s="2"/>
      <c r="K121" s="2"/>
      <c r="L121" s="2"/>
      <c r="M121" s="2"/>
      <c r="N121" s="2"/>
    </row>
    <row r="122" spans="1:14">
      <c r="A122" s="11"/>
      <c r="B122" s="11"/>
      <c r="C122" s="2"/>
      <c r="D122" s="2"/>
      <c r="E122" s="2"/>
      <c r="F122" s="2"/>
      <c r="G122" s="2"/>
      <c r="H122" s="2"/>
      <c r="I122" s="2"/>
      <c r="J122" s="2"/>
      <c r="K122" s="2"/>
      <c r="L122" s="2"/>
      <c r="M122" s="2"/>
      <c r="N122" s="2"/>
    </row>
    <row r="123" spans="1:14">
      <c r="A123" s="11"/>
      <c r="B123" s="11"/>
      <c r="C123" s="2"/>
      <c r="D123" s="2"/>
      <c r="E123" s="2"/>
      <c r="F123" s="2"/>
      <c r="G123" s="2"/>
      <c r="H123" s="2"/>
      <c r="I123" s="2"/>
      <c r="J123" s="2"/>
      <c r="K123" s="2"/>
      <c r="L123" s="2"/>
      <c r="M123" s="2"/>
      <c r="N123" s="2"/>
    </row>
    <row r="124" spans="1:14">
      <c r="A124" s="11"/>
      <c r="B124" s="11"/>
      <c r="C124" s="2"/>
      <c r="D124" s="2"/>
      <c r="E124" s="2"/>
      <c r="F124" s="2"/>
      <c r="G124" s="2"/>
      <c r="H124" s="2"/>
      <c r="I124" s="2"/>
      <c r="J124" s="2"/>
      <c r="K124" s="2"/>
      <c r="L124" s="2"/>
      <c r="M124" s="2"/>
      <c r="N124" s="2"/>
    </row>
    <row r="125" spans="1:14">
      <c r="A125" s="11"/>
      <c r="B125" s="11"/>
      <c r="C125" s="2"/>
      <c r="D125" s="2"/>
      <c r="E125" s="2"/>
      <c r="F125" s="2"/>
      <c r="G125" s="2"/>
      <c r="H125" s="2"/>
      <c r="I125" s="2"/>
      <c r="J125" s="2"/>
      <c r="K125" s="2"/>
      <c r="L125" s="2"/>
      <c r="M125" s="2"/>
      <c r="N125" s="2"/>
    </row>
    <row r="126" spans="1:14">
      <c r="A126" s="11"/>
      <c r="B126" s="11"/>
      <c r="C126" s="2"/>
      <c r="D126" s="2"/>
      <c r="E126" s="2"/>
      <c r="F126" s="2"/>
      <c r="G126" s="2"/>
      <c r="H126" s="2"/>
      <c r="I126" s="2"/>
      <c r="J126" s="2"/>
      <c r="K126" s="2"/>
      <c r="L126" s="2"/>
      <c r="M126" s="2"/>
      <c r="N126" s="2"/>
    </row>
    <row r="127" spans="1:14">
      <c r="A127" s="11"/>
      <c r="B127" s="11"/>
      <c r="C127" s="2"/>
      <c r="D127" s="2"/>
      <c r="E127" s="2"/>
      <c r="F127" s="2"/>
      <c r="G127" s="2"/>
      <c r="H127" s="2"/>
      <c r="I127" s="2"/>
      <c r="J127" s="2"/>
      <c r="K127" s="2"/>
      <c r="L127" s="2"/>
      <c r="M127" s="2"/>
      <c r="N127" s="2"/>
    </row>
    <row r="128" spans="1:14">
      <c r="A128" s="11"/>
      <c r="B128" s="11"/>
      <c r="C128" s="2"/>
      <c r="D128" s="2"/>
      <c r="E128" s="2"/>
      <c r="F128" s="2"/>
      <c r="G128" s="2"/>
      <c r="H128" s="2"/>
      <c r="I128" s="2"/>
      <c r="J128" s="2"/>
      <c r="K128" s="2"/>
      <c r="L128" s="2"/>
      <c r="M128" s="2"/>
      <c r="N128" s="2"/>
    </row>
    <row r="129" spans="1:14">
      <c r="A129" s="11"/>
      <c r="B129" s="11"/>
      <c r="C129" s="2"/>
      <c r="D129" s="2"/>
      <c r="E129" s="2"/>
      <c r="F129" s="2"/>
      <c r="G129" s="2"/>
      <c r="H129" s="2"/>
      <c r="I129" s="2"/>
      <c r="J129" s="2"/>
      <c r="K129" s="2"/>
      <c r="L129" s="2"/>
      <c r="M129" s="2"/>
      <c r="N129" s="2"/>
    </row>
    <row r="130" spans="1:14">
      <c r="A130" s="11"/>
      <c r="B130" s="11"/>
      <c r="C130" s="2"/>
      <c r="D130" s="2"/>
      <c r="E130" s="2"/>
      <c r="F130" s="2"/>
      <c r="G130" s="2"/>
      <c r="H130" s="2"/>
      <c r="I130" s="2"/>
      <c r="J130" s="2"/>
      <c r="K130" s="2"/>
      <c r="L130" s="2"/>
      <c r="M130" s="2"/>
      <c r="N130" s="2"/>
    </row>
    <row r="131" spans="1:14">
      <c r="A131" s="11"/>
      <c r="B131" s="11"/>
      <c r="C131" s="2"/>
      <c r="D131" s="2"/>
      <c r="E131" s="2"/>
      <c r="F131" s="2"/>
      <c r="G131" s="2"/>
      <c r="H131" s="2"/>
      <c r="I131" s="2"/>
      <c r="J131" s="2"/>
      <c r="K131" s="2"/>
      <c r="L131" s="2"/>
      <c r="M131" s="2"/>
      <c r="N131" s="2"/>
    </row>
    <row r="132" spans="1:14">
      <c r="A132" s="11"/>
      <c r="B132" s="11"/>
      <c r="C132" s="2"/>
      <c r="D132" s="2"/>
      <c r="E132" s="2"/>
      <c r="F132" s="2"/>
      <c r="G132" s="2"/>
      <c r="H132" s="2"/>
      <c r="I132" s="2"/>
      <c r="J132" s="2"/>
      <c r="K132" s="2"/>
      <c r="L132" s="2"/>
      <c r="M132" s="2"/>
      <c r="N132" s="2"/>
    </row>
    <row r="133" spans="1:14">
      <c r="A133" s="11"/>
      <c r="B133" s="11"/>
      <c r="C133" s="2"/>
      <c r="D133" s="2"/>
      <c r="E133" s="2"/>
      <c r="F133" s="2"/>
      <c r="G133" s="2"/>
      <c r="H133" s="2"/>
      <c r="I133" s="2"/>
      <c r="J133" s="2"/>
      <c r="K133" s="2"/>
      <c r="L133" s="2"/>
      <c r="M133" s="2"/>
      <c r="N133" s="2"/>
    </row>
    <row r="134" spans="1:14">
      <c r="A134" s="11"/>
      <c r="B134" s="11"/>
      <c r="C134" s="2"/>
      <c r="D134" s="2"/>
      <c r="E134" s="2"/>
      <c r="F134" s="2"/>
      <c r="G134" s="2"/>
      <c r="H134" s="2"/>
      <c r="I134" s="2"/>
      <c r="J134" s="2"/>
      <c r="K134" s="2"/>
      <c r="L134" s="2"/>
      <c r="M134" s="2"/>
      <c r="N134" s="2"/>
    </row>
    <row r="135" spans="1:14">
      <c r="A135" s="11"/>
      <c r="B135" s="11"/>
      <c r="C135" s="2"/>
      <c r="D135" s="2"/>
      <c r="E135" s="2"/>
      <c r="F135" s="2"/>
      <c r="G135" s="2"/>
      <c r="H135" s="2"/>
      <c r="I135" s="2"/>
      <c r="J135" s="2"/>
      <c r="K135" s="2"/>
      <c r="L135" s="2"/>
      <c r="M135" s="2"/>
      <c r="N135" s="2"/>
    </row>
    <row r="136" spans="1:14">
      <c r="A136" s="11"/>
      <c r="B136" s="11"/>
      <c r="C136" s="2"/>
      <c r="D136" s="2"/>
      <c r="E136" s="2"/>
      <c r="F136" s="2"/>
      <c r="G136" s="2"/>
      <c r="H136" s="2"/>
      <c r="I136" s="2"/>
      <c r="J136" s="2"/>
      <c r="K136" s="2"/>
      <c r="L136" s="2"/>
      <c r="M136" s="2"/>
      <c r="N136" s="2"/>
    </row>
    <row r="137" spans="1:14">
      <c r="A137" s="11"/>
      <c r="B137" s="11"/>
      <c r="C137" s="2"/>
      <c r="D137" s="2"/>
      <c r="E137" s="2"/>
      <c r="F137" s="2"/>
      <c r="G137" s="2"/>
      <c r="H137" s="2"/>
      <c r="I137" s="2"/>
      <c r="J137" s="2"/>
      <c r="K137" s="2"/>
      <c r="L137" s="2"/>
      <c r="M137" s="2"/>
      <c r="N137" s="2"/>
    </row>
    <row r="138" spans="1:14">
      <c r="A138" s="11"/>
      <c r="B138" s="11"/>
      <c r="C138" s="2"/>
      <c r="D138" s="2"/>
      <c r="E138" s="2"/>
      <c r="F138" s="2"/>
      <c r="G138" s="2"/>
      <c r="H138" s="2"/>
      <c r="I138" s="2"/>
      <c r="J138" s="2"/>
      <c r="K138" s="2"/>
      <c r="L138" s="2"/>
      <c r="M138" s="2"/>
      <c r="N138" s="2"/>
    </row>
    <row r="139" spans="1:14">
      <c r="A139" s="11"/>
      <c r="B139" s="11"/>
      <c r="C139" s="2"/>
      <c r="D139" s="2"/>
      <c r="E139" s="2"/>
      <c r="F139" s="2"/>
      <c r="G139" s="2"/>
      <c r="H139" s="2"/>
      <c r="I139" s="2"/>
      <c r="J139" s="2"/>
      <c r="K139" s="2"/>
      <c r="L139" s="2"/>
      <c r="M139" s="2"/>
      <c r="N139" s="2"/>
    </row>
    <row r="140" spans="1:14">
      <c r="A140" s="11"/>
      <c r="B140" s="11"/>
      <c r="C140" s="2"/>
      <c r="D140" s="2"/>
      <c r="E140" s="2"/>
      <c r="F140" s="2"/>
      <c r="G140" s="2"/>
      <c r="H140" s="2"/>
      <c r="I140" s="2"/>
      <c r="J140" s="2"/>
      <c r="K140" s="2"/>
      <c r="L140" s="2"/>
      <c r="M140" s="2"/>
      <c r="N140" s="2"/>
    </row>
    <row r="141" spans="1:14">
      <c r="A141" s="11"/>
      <c r="B141" s="11"/>
      <c r="C141" s="2"/>
      <c r="D141" s="2"/>
      <c r="E141" s="2"/>
      <c r="F141" s="2"/>
      <c r="G141" s="2"/>
      <c r="H141" s="2"/>
      <c r="I141" s="2"/>
      <c r="J141" s="2"/>
      <c r="K141" s="2"/>
      <c r="L141" s="2"/>
      <c r="M141" s="2"/>
      <c r="N141" s="2"/>
    </row>
    <row r="142" spans="1:14">
      <c r="A142" s="11"/>
      <c r="B142" s="11"/>
      <c r="C142" s="2"/>
      <c r="D142" s="2"/>
      <c r="E142" s="2"/>
      <c r="F142" s="2"/>
      <c r="G142" s="2"/>
      <c r="H142" s="2"/>
      <c r="I142" s="2"/>
      <c r="J142" s="2"/>
      <c r="K142" s="2"/>
      <c r="L142" s="2"/>
      <c r="M142" s="2"/>
      <c r="N142" s="2"/>
    </row>
    <row r="143" spans="1:14">
      <c r="A143" s="11"/>
      <c r="B143" s="11"/>
      <c r="C143" s="2"/>
      <c r="D143" s="2"/>
      <c r="E143" s="2"/>
      <c r="F143" s="2"/>
      <c r="G143" s="2"/>
      <c r="H143" s="2"/>
      <c r="I143" s="2"/>
      <c r="J143" s="2"/>
      <c r="K143" s="2"/>
      <c r="L143" s="2"/>
      <c r="M143" s="2"/>
      <c r="N143" s="2"/>
    </row>
    <row r="144" spans="1:14">
      <c r="A144" s="11"/>
      <c r="B144" s="11"/>
      <c r="C144" s="2"/>
      <c r="D144" s="2"/>
      <c r="E144" s="2"/>
      <c r="F144" s="2"/>
      <c r="G144" s="2"/>
      <c r="H144" s="2"/>
      <c r="I144" s="2"/>
      <c r="J144" s="2"/>
      <c r="K144" s="2"/>
      <c r="L144" s="2"/>
      <c r="M144" s="2"/>
      <c r="N144" s="2"/>
    </row>
    <row r="145" spans="1:14">
      <c r="A145" s="11"/>
      <c r="B145" s="11"/>
      <c r="C145" s="2"/>
      <c r="D145" s="2"/>
      <c r="E145" s="2"/>
      <c r="F145" s="2"/>
      <c r="G145" s="2"/>
      <c r="H145" s="2"/>
      <c r="I145" s="2"/>
      <c r="J145" s="2"/>
      <c r="K145" s="2"/>
      <c r="L145" s="2"/>
      <c r="M145" s="2"/>
      <c r="N145" s="2"/>
    </row>
    <row r="146" spans="1:14">
      <c r="A146" s="11"/>
      <c r="B146" s="11"/>
      <c r="C146" s="2"/>
      <c r="D146" s="2"/>
      <c r="E146" s="2"/>
      <c r="F146" s="2"/>
      <c r="G146" s="2"/>
      <c r="H146" s="2"/>
      <c r="I146" s="2"/>
      <c r="J146" s="2"/>
      <c r="K146" s="2"/>
      <c r="L146" s="2"/>
      <c r="M146" s="2"/>
      <c r="N146" s="2"/>
    </row>
    <row r="147" spans="1:14">
      <c r="A147" s="11"/>
      <c r="B147" s="11"/>
      <c r="C147" s="2"/>
      <c r="D147" s="2"/>
      <c r="E147" s="2"/>
      <c r="F147" s="2"/>
      <c r="G147" s="2"/>
      <c r="H147" s="2"/>
      <c r="I147" s="2"/>
      <c r="J147" s="2"/>
      <c r="K147" s="2"/>
      <c r="L147" s="2"/>
      <c r="M147" s="2"/>
      <c r="N147" s="2"/>
    </row>
    <row r="148" spans="1:14">
      <c r="A148" s="11"/>
      <c r="B148" s="11"/>
      <c r="C148" s="2"/>
      <c r="D148" s="2"/>
      <c r="E148" s="2"/>
      <c r="F148" s="2"/>
      <c r="G148" s="2"/>
      <c r="H148" s="2"/>
      <c r="I148" s="2"/>
      <c r="J148" s="2"/>
      <c r="K148" s="2"/>
      <c r="L148" s="2"/>
      <c r="M148" s="2"/>
      <c r="N148" s="2"/>
    </row>
    <row r="149" spans="1:14">
      <c r="A149" s="11"/>
      <c r="B149" s="11"/>
      <c r="C149" s="2"/>
      <c r="D149" s="2"/>
      <c r="E149" s="2"/>
      <c r="F149" s="2"/>
      <c r="G149" s="2"/>
      <c r="H149" s="2"/>
      <c r="I149" s="2"/>
      <c r="J149" s="2"/>
      <c r="K149" s="2"/>
      <c r="L149" s="2"/>
      <c r="M149" s="2"/>
      <c r="N149" s="2"/>
    </row>
    <row r="150" spans="1:14">
      <c r="A150" s="11"/>
      <c r="B150" s="11"/>
      <c r="C150" s="2"/>
      <c r="D150" s="2"/>
      <c r="E150" s="2"/>
      <c r="F150" s="2"/>
      <c r="G150" s="2"/>
      <c r="H150" s="2"/>
      <c r="I150" s="2"/>
      <c r="J150" s="2"/>
      <c r="K150" s="2"/>
      <c r="L150" s="2"/>
      <c r="M150" s="2"/>
      <c r="N150" s="2"/>
    </row>
    <row r="151" spans="1:14">
      <c r="A151" s="11"/>
      <c r="B151" s="11"/>
      <c r="C151" s="2"/>
      <c r="D151" s="2"/>
      <c r="E151" s="2"/>
      <c r="F151" s="2"/>
      <c r="G151" s="2"/>
      <c r="H151" s="2"/>
      <c r="I151" s="2"/>
      <c r="J151" s="2"/>
      <c r="K151" s="2"/>
      <c r="L151" s="2"/>
      <c r="M151" s="2"/>
      <c r="N151" s="2"/>
    </row>
    <row r="152" spans="1:14">
      <c r="A152" s="11"/>
      <c r="B152" s="11"/>
      <c r="C152" s="2"/>
      <c r="D152" s="2"/>
      <c r="E152" s="2"/>
      <c r="F152" s="2"/>
      <c r="G152" s="2"/>
      <c r="H152" s="2"/>
      <c r="I152" s="2"/>
      <c r="J152" s="2"/>
      <c r="K152" s="2"/>
      <c r="L152" s="2"/>
      <c r="M152" s="2"/>
      <c r="N152" s="2"/>
    </row>
    <row r="153" spans="1:14">
      <c r="A153" s="11"/>
      <c r="B153" s="11"/>
      <c r="C153" s="2"/>
      <c r="D153" s="2"/>
      <c r="E153" s="2"/>
      <c r="F153" s="2"/>
      <c r="G153" s="2"/>
      <c r="H153" s="2"/>
      <c r="I153" s="2"/>
      <c r="J153" s="2"/>
      <c r="K153" s="2"/>
      <c r="L153" s="2"/>
      <c r="M153" s="2"/>
      <c r="N153" s="2"/>
    </row>
    <row r="154" spans="1:14">
      <c r="A154" s="11"/>
      <c r="B154" s="11"/>
      <c r="C154" s="2"/>
      <c r="D154" s="2"/>
      <c r="E154" s="2"/>
      <c r="F154" s="2"/>
      <c r="G154" s="2"/>
      <c r="H154" s="2"/>
      <c r="I154" s="2"/>
      <c r="J154" s="2"/>
      <c r="K154" s="2"/>
      <c r="L154" s="2"/>
      <c r="M154" s="2"/>
      <c r="N154" s="2"/>
    </row>
    <row r="155" spans="1:14">
      <c r="A155" s="11"/>
      <c r="B155" s="11"/>
      <c r="C155" s="2"/>
      <c r="D155" s="2"/>
      <c r="E155" s="2"/>
      <c r="F155" s="2"/>
      <c r="G155" s="2"/>
      <c r="H155" s="2"/>
      <c r="I155" s="2"/>
      <c r="J155" s="2"/>
      <c r="K155" s="2"/>
      <c r="L155" s="2"/>
      <c r="M155" s="2"/>
      <c r="N155" s="2"/>
    </row>
    <row r="156" spans="1:14">
      <c r="A156" s="11"/>
      <c r="B156" s="11"/>
      <c r="C156" s="2"/>
      <c r="D156" s="2"/>
      <c r="E156" s="2"/>
      <c r="F156" s="2"/>
      <c r="G156" s="2"/>
      <c r="H156" s="2"/>
      <c r="I156" s="2"/>
      <c r="J156" s="2"/>
      <c r="K156" s="2"/>
      <c r="L156" s="2"/>
      <c r="M156" s="2"/>
      <c r="N156" s="2"/>
    </row>
    <row r="157" spans="1:14">
      <c r="A157" s="11"/>
      <c r="B157" s="11"/>
      <c r="C157" s="2"/>
      <c r="D157" s="2"/>
      <c r="E157" s="2"/>
      <c r="F157" s="2"/>
      <c r="G157" s="2"/>
      <c r="H157" s="2"/>
      <c r="I157" s="2"/>
      <c r="J157" s="2"/>
      <c r="K157" s="2"/>
      <c r="L157" s="2"/>
      <c r="M157" s="2"/>
      <c r="N157" s="2"/>
    </row>
    <row r="158" spans="1:14">
      <c r="A158" s="11"/>
      <c r="B158" s="11"/>
      <c r="C158" s="2"/>
      <c r="D158" s="2"/>
      <c r="E158" s="2"/>
      <c r="F158" s="2"/>
      <c r="G158" s="2"/>
      <c r="H158" s="2"/>
      <c r="I158" s="2"/>
      <c r="J158" s="2"/>
      <c r="K158" s="2"/>
      <c r="L158" s="2"/>
      <c r="M158" s="2"/>
      <c r="N158" s="2"/>
    </row>
    <row r="159" spans="1:14">
      <c r="A159" s="11"/>
      <c r="B159" s="11"/>
      <c r="C159" s="2"/>
      <c r="D159" s="2"/>
      <c r="E159" s="2"/>
      <c r="F159" s="2"/>
      <c r="G159" s="2"/>
      <c r="H159" s="2"/>
      <c r="I159" s="2"/>
      <c r="J159" s="2"/>
      <c r="K159" s="2"/>
      <c r="L159" s="2"/>
      <c r="M159" s="2"/>
      <c r="N159" s="2"/>
    </row>
    <row r="160" spans="1:14">
      <c r="A160" s="11"/>
      <c r="B160" s="11"/>
      <c r="C160" s="2"/>
      <c r="D160" s="2"/>
      <c r="E160" s="2"/>
      <c r="F160" s="2"/>
      <c r="G160" s="2"/>
      <c r="H160" s="2"/>
      <c r="I160" s="2"/>
      <c r="J160" s="2"/>
      <c r="K160" s="2"/>
      <c r="L160" s="2"/>
      <c r="M160" s="2"/>
      <c r="N160" s="2"/>
    </row>
    <row r="161" spans="1:14">
      <c r="A161" s="11"/>
      <c r="B161" s="11"/>
      <c r="C161" s="2"/>
      <c r="D161" s="2"/>
      <c r="E161" s="2"/>
      <c r="F161" s="2"/>
      <c r="G161" s="2"/>
      <c r="H161" s="2"/>
      <c r="I161" s="2"/>
      <c r="J161" s="2"/>
      <c r="K161" s="2"/>
      <c r="L161" s="2"/>
      <c r="M161" s="2"/>
      <c r="N161" s="2"/>
    </row>
    <row r="162" spans="1:14">
      <c r="A162" s="11"/>
      <c r="B162" s="11"/>
      <c r="C162" s="2"/>
      <c r="D162" s="2"/>
      <c r="E162" s="2"/>
      <c r="F162" s="2"/>
      <c r="G162" s="2"/>
      <c r="H162" s="2"/>
      <c r="I162" s="2"/>
      <c r="J162" s="2"/>
      <c r="K162" s="2"/>
      <c r="L162" s="2"/>
      <c r="M162" s="2"/>
      <c r="N162" s="2"/>
    </row>
    <row r="163" spans="1:14">
      <c r="A163" s="11"/>
      <c r="B163" s="11"/>
      <c r="C163" s="2"/>
      <c r="D163" s="2"/>
      <c r="E163" s="2"/>
      <c r="F163" s="2"/>
      <c r="G163" s="2"/>
      <c r="H163" s="2"/>
      <c r="I163" s="2"/>
      <c r="J163" s="2"/>
      <c r="K163" s="2"/>
      <c r="L163" s="2"/>
      <c r="M163" s="2"/>
      <c r="N163" s="2"/>
    </row>
    <row r="164" spans="1:14">
      <c r="A164" s="11"/>
      <c r="B164" s="11"/>
      <c r="C164" s="2"/>
      <c r="D164" s="2"/>
      <c r="E164" s="2"/>
      <c r="F164" s="2"/>
      <c r="G164" s="2"/>
      <c r="H164" s="2"/>
      <c r="I164" s="2"/>
      <c r="J164" s="2"/>
      <c r="K164" s="2"/>
      <c r="L164" s="2"/>
      <c r="M164" s="2"/>
      <c r="N164" s="2"/>
    </row>
    <row r="165" spans="1:14">
      <c r="A165" s="11"/>
      <c r="B165" s="11"/>
      <c r="C165" s="2"/>
      <c r="D165" s="2"/>
      <c r="E165" s="2"/>
      <c r="F165" s="2"/>
      <c r="G165" s="2"/>
      <c r="H165" s="2"/>
      <c r="I165" s="2"/>
      <c r="J165" s="2"/>
      <c r="K165" s="2"/>
      <c r="L165" s="2"/>
      <c r="M165" s="2"/>
      <c r="N165" s="2"/>
    </row>
    <row r="166" spans="1:14">
      <c r="A166" s="11"/>
      <c r="B166" s="11"/>
      <c r="C166" s="2"/>
      <c r="D166" s="2"/>
      <c r="E166" s="2"/>
      <c r="F166" s="2"/>
      <c r="G166" s="2"/>
      <c r="H166" s="2"/>
      <c r="I166" s="2"/>
      <c r="J166" s="2"/>
      <c r="K166" s="2"/>
      <c r="L166" s="2"/>
      <c r="M166" s="2"/>
      <c r="N166" s="2"/>
    </row>
    <row r="167" spans="1:14">
      <c r="A167" s="11"/>
      <c r="B167" s="11"/>
      <c r="C167" s="2"/>
      <c r="D167" s="2"/>
      <c r="E167" s="2"/>
      <c r="F167" s="2"/>
      <c r="G167" s="2"/>
      <c r="H167" s="2"/>
      <c r="I167" s="2"/>
      <c r="J167" s="2"/>
      <c r="K167" s="2"/>
      <c r="L167" s="2"/>
      <c r="M167" s="2"/>
      <c r="N167" s="2"/>
    </row>
    <row r="168" spans="1:14">
      <c r="A168" s="11"/>
      <c r="B168" s="11"/>
      <c r="C168" s="2"/>
      <c r="D168" s="2"/>
      <c r="E168" s="2"/>
      <c r="F168" s="2"/>
      <c r="G168" s="2"/>
      <c r="H168" s="2"/>
      <c r="I168" s="2"/>
      <c r="J168" s="2"/>
      <c r="K168" s="2"/>
      <c r="L168" s="2"/>
      <c r="M168" s="2"/>
      <c r="N168" s="2"/>
    </row>
    <row r="169" spans="1:14">
      <c r="A169" s="11"/>
      <c r="B169" s="11"/>
      <c r="C169" s="2"/>
      <c r="D169" s="2"/>
      <c r="E169" s="2"/>
      <c r="F169" s="2"/>
      <c r="G169" s="2"/>
      <c r="H169" s="2"/>
      <c r="I169" s="2"/>
      <c r="J169" s="2"/>
      <c r="K169" s="2"/>
      <c r="L169" s="2"/>
      <c r="M169" s="2"/>
      <c r="N169" s="2"/>
    </row>
    <row r="170" spans="1:14">
      <c r="A170" s="11"/>
      <c r="B170" s="11"/>
      <c r="C170" s="2"/>
      <c r="D170" s="2"/>
      <c r="E170" s="2"/>
      <c r="F170" s="2"/>
      <c r="G170" s="2"/>
      <c r="H170" s="2"/>
      <c r="I170" s="2"/>
      <c r="J170" s="2"/>
      <c r="K170" s="2"/>
      <c r="L170" s="2"/>
      <c r="M170" s="2"/>
      <c r="N170" s="2"/>
    </row>
    <row r="171" spans="1:14">
      <c r="A171" s="11"/>
      <c r="B171" s="11"/>
      <c r="C171" s="2"/>
      <c r="D171" s="2"/>
      <c r="E171" s="2"/>
      <c r="F171" s="2"/>
      <c r="G171" s="2"/>
      <c r="H171" s="2"/>
      <c r="I171" s="2"/>
      <c r="J171" s="2"/>
      <c r="K171" s="2"/>
      <c r="L171" s="2"/>
      <c r="M171" s="2"/>
      <c r="N171" s="2"/>
    </row>
    <row r="172" spans="1:14">
      <c r="A172" s="11"/>
      <c r="B172" s="11"/>
      <c r="C172" s="2"/>
      <c r="D172" s="2"/>
      <c r="E172" s="2"/>
      <c r="F172" s="2"/>
      <c r="G172" s="2"/>
      <c r="H172" s="2"/>
      <c r="I172" s="2"/>
      <c r="J172" s="2"/>
      <c r="K172" s="2"/>
      <c r="L172" s="2"/>
      <c r="M172" s="2"/>
      <c r="N172" s="2"/>
    </row>
    <row r="173" spans="1:14">
      <c r="A173" s="11"/>
      <c r="B173" s="11"/>
      <c r="C173" s="2"/>
      <c r="D173" s="2"/>
      <c r="E173" s="2"/>
      <c r="F173" s="2"/>
      <c r="G173" s="2"/>
      <c r="H173" s="2"/>
      <c r="I173" s="2"/>
      <c r="J173" s="2"/>
      <c r="K173" s="2"/>
      <c r="L173" s="2"/>
      <c r="M173" s="2"/>
      <c r="N173" s="2"/>
    </row>
    <row r="174" spans="1:14">
      <c r="A174" s="11"/>
      <c r="B174" s="11"/>
      <c r="C174" s="2"/>
      <c r="D174" s="2"/>
      <c r="E174" s="2"/>
      <c r="F174" s="2"/>
      <c r="G174" s="2"/>
      <c r="H174" s="2"/>
      <c r="I174" s="2"/>
      <c r="J174" s="2"/>
      <c r="K174" s="2"/>
      <c r="L174" s="2"/>
      <c r="M174" s="2"/>
      <c r="N174" s="2"/>
    </row>
    <row r="175" spans="1:14">
      <c r="A175" s="11"/>
      <c r="B175" s="11"/>
      <c r="C175" s="2"/>
      <c r="D175" s="2"/>
      <c r="E175" s="2"/>
      <c r="F175" s="2"/>
      <c r="G175" s="2"/>
      <c r="H175" s="2"/>
      <c r="I175" s="2"/>
      <c r="J175" s="2"/>
      <c r="K175" s="2"/>
      <c r="L175" s="2"/>
      <c r="M175" s="2"/>
      <c r="N175" s="2"/>
    </row>
    <row r="176" spans="1:14">
      <c r="A176" s="11"/>
      <c r="B176" s="11"/>
      <c r="C176" s="2"/>
      <c r="D176" s="2"/>
      <c r="E176" s="2"/>
      <c r="F176" s="2"/>
      <c r="G176" s="2"/>
      <c r="H176" s="2"/>
      <c r="I176" s="2"/>
      <c r="J176" s="2"/>
      <c r="K176" s="2"/>
      <c r="L176" s="2"/>
      <c r="M176" s="2"/>
      <c r="N176" s="2"/>
    </row>
    <row r="177" spans="1:14">
      <c r="A177" s="11"/>
      <c r="B177" s="11"/>
      <c r="C177" s="2"/>
      <c r="D177" s="2"/>
      <c r="E177" s="2"/>
      <c r="F177" s="2"/>
      <c r="G177" s="2"/>
      <c r="H177" s="2"/>
      <c r="I177" s="2"/>
      <c r="J177" s="2"/>
      <c r="K177" s="2"/>
      <c r="L177" s="2"/>
      <c r="M177" s="2"/>
      <c r="N177" s="2"/>
    </row>
    <row r="178" spans="1:14">
      <c r="A178" s="11"/>
      <c r="B178" s="11"/>
      <c r="C178" s="2"/>
      <c r="D178" s="2"/>
      <c r="E178" s="2"/>
      <c r="F178" s="2"/>
      <c r="G178" s="2"/>
      <c r="H178" s="2"/>
      <c r="I178" s="2"/>
      <c r="J178" s="2"/>
      <c r="K178" s="2"/>
      <c r="L178" s="2"/>
      <c r="M178" s="2"/>
      <c r="N178" s="2"/>
    </row>
    <row r="179" spans="1:14">
      <c r="A179" s="11"/>
      <c r="B179" s="11"/>
      <c r="C179" s="2"/>
      <c r="D179" s="2"/>
      <c r="E179" s="2"/>
      <c r="F179" s="2"/>
      <c r="G179" s="2"/>
      <c r="H179" s="2"/>
      <c r="I179" s="2"/>
      <c r="J179" s="2"/>
      <c r="K179" s="2"/>
      <c r="L179" s="2"/>
      <c r="M179" s="2"/>
      <c r="N179" s="2"/>
    </row>
    <row r="180" spans="1:14">
      <c r="A180" s="11"/>
      <c r="B180" s="11"/>
      <c r="C180" s="2"/>
      <c r="D180" s="2"/>
      <c r="E180" s="2"/>
      <c r="F180" s="2"/>
      <c r="G180" s="2"/>
      <c r="H180" s="2"/>
      <c r="I180" s="2"/>
      <c r="J180" s="2"/>
      <c r="K180" s="2"/>
      <c r="L180" s="2"/>
      <c r="M180" s="2"/>
      <c r="N180" s="2"/>
    </row>
    <row r="181" spans="1:14">
      <c r="A181" s="11"/>
      <c r="B181" s="11"/>
      <c r="C181" s="2"/>
      <c r="D181" s="2"/>
      <c r="E181" s="2"/>
      <c r="F181" s="2"/>
      <c r="G181" s="2"/>
      <c r="H181" s="2"/>
      <c r="I181" s="2"/>
      <c r="J181" s="2"/>
      <c r="K181" s="2"/>
      <c r="L181" s="2"/>
      <c r="M181" s="2"/>
      <c r="N181" s="2"/>
    </row>
    <row r="182" spans="1:14">
      <c r="A182" s="11"/>
      <c r="B182" s="11"/>
      <c r="C182" s="2"/>
      <c r="D182" s="2"/>
      <c r="E182" s="2"/>
      <c r="F182" s="2"/>
      <c r="G182" s="2"/>
      <c r="H182" s="2"/>
      <c r="I182" s="2"/>
      <c r="J182" s="2"/>
      <c r="K182" s="2"/>
      <c r="L182" s="2"/>
      <c r="M182" s="2"/>
      <c r="N182" s="2"/>
    </row>
    <row r="183" spans="1:14">
      <c r="A183" s="11"/>
      <c r="B183" s="11"/>
      <c r="C183" s="2"/>
      <c r="D183" s="2"/>
      <c r="E183" s="2"/>
      <c r="F183" s="2"/>
      <c r="G183" s="2"/>
      <c r="H183" s="2"/>
      <c r="I183" s="2"/>
      <c r="J183" s="2"/>
      <c r="K183" s="2"/>
      <c r="L183" s="2"/>
      <c r="M183" s="2"/>
      <c r="N183" s="2"/>
    </row>
    <row r="184" spans="1:14">
      <c r="A184" s="11"/>
      <c r="B184" s="11"/>
      <c r="C184" s="2"/>
      <c r="D184" s="2"/>
      <c r="E184" s="2"/>
      <c r="F184" s="2"/>
      <c r="G184" s="2"/>
      <c r="H184" s="2"/>
      <c r="I184" s="2"/>
      <c r="J184" s="2"/>
      <c r="K184" s="2"/>
      <c r="L184" s="2"/>
      <c r="M184" s="2"/>
      <c r="N184" s="2"/>
    </row>
    <row r="185" spans="1:14">
      <c r="A185" s="11"/>
      <c r="B185" s="11"/>
      <c r="C185" s="2"/>
      <c r="D185" s="2"/>
      <c r="E185" s="2"/>
      <c r="F185" s="2"/>
      <c r="G185" s="2"/>
      <c r="H185" s="2"/>
      <c r="I185" s="2"/>
      <c r="J185" s="2"/>
      <c r="K185" s="2"/>
      <c r="L185" s="2"/>
      <c r="M185" s="2"/>
      <c r="N185" s="2"/>
    </row>
    <row r="186" spans="1:14">
      <c r="A186" s="11"/>
      <c r="B186" s="11"/>
      <c r="C186" s="2"/>
      <c r="D186" s="2"/>
      <c r="E186" s="2"/>
      <c r="F186" s="2"/>
      <c r="G186" s="2"/>
      <c r="H186" s="2"/>
      <c r="I186" s="2"/>
      <c r="J186" s="2"/>
      <c r="K186" s="2"/>
      <c r="L186" s="2"/>
      <c r="M186" s="2"/>
      <c r="N186" s="2"/>
    </row>
    <row r="187" spans="1:14">
      <c r="A187" s="11"/>
      <c r="B187" s="11"/>
      <c r="C187" s="2"/>
      <c r="D187" s="2"/>
      <c r="E187" s="2"/>
      <c r="F187" s="2"/>
      <c r="G187" s="2"/>
      <c r="H187" s="2"/>
      <c r="I187" s="2"/>
      <c r="J187" s="2"/>
      <c r="K187" s="2"/>
      <c r="L187" s="2"/>
      <c r="M187" s="2"/>
      <c r="N187" s="2"/>
    </row>
    <row r="188" spans="1:14">
      <c r="A188" s="11"/>
      <c r="B188" s="11"/>
      <c r="C188" s="2"/>
      <c r="D188" s="2"/>
      <c r="E188" s="2"/>
      <c r="F188" s="2"/>
      <c r="G188" s="2"/>
      <c r="H188" s="2"/>
      <c r="I188" s="2"/>
      <c r="J188" s="2"/>
      <c r="K188" s="2"/>
      <c r="L188" s="2"/>
      <c r="M188" s="2"/>
      <c r="N188" s="2"/>
    </row>
    <row r="189" spans="1:14">
      <c r="A189" s="11"/>
      <c r="B189" s="11"/>
      <c r="C189" s="2"/>
      <c r="D189" s="2"/>
      <c r="E189" s="2"/>
      <c r="F189" s="2"/>
      <c r="G189" s="2"/>
      <c r="H189" s="2"/>
      <c r="I189" s="2"/>
      <c r="J189" s="2"/>
      <c r="K189" s="2"/>
      <c r="L189" s="2"/>
      <c r="M189" s="2"/>
      <c r="N189" s="2"/>
    </row>
    <row r="190" spans="1:14">
      <c r="A190" s="11"/>
      <c r="B190" s="11"/>
      <c r="C190" s="2"/>
      <c r="D190" s="2"/>
      <c r="E190" s="2"/>
      <c r="F190" s="2"/>
      <c r="G190" s="2"/>
      <c r="H190" s="2"/>
      <c r="I190" s="2"/>
      <c r="J190" s="2"/>
      <c r="K190" s="2"/>
      <c r="L190" s="2"/>
      <c r="M190" s="2"/>
      <c r="N190" s="2"/>
    </row>
    <row r="191" spans="1:14">
      <c r="A191" s="11"/>
      <c r="B191" s="11"/>
      <c r="C191" s="2"/>
      <c r="D191" s="2"/>
      <c r="E191" s="2"/>
      <c r="F191" s="2"/>
      <c r="G191" s="2"/>
      <c r="H191" s="2"/>
      <c r="I191" s="2"/>
      <c r="J191" s="2"/>
      <c r="K191" s="2"/>
      <c r="L191" s="2"/>
      <c r="M191" s="2"/>
      <c r="N191" s="2"/>
    </row>
    <row r="192" spans="1:14">
      <c r="A192" s="11"/>
      <c r="B192" s="11"/>
      <c r="C192" s="2"/>
      <c r="D192" s="2"/>
      <c r="E192" s="2"/>
      <c r="F192" s="2"/>
      <c r="G192" s="2"/>
      <c r="H192" s="2"/>
      <c r="I192" s="2"/>
      <c r="J192" s="2"/>
      <c r="K192" s="2"/>
      <c r="L192" s="2"/>
      <c r="M192" s="2"/>
      <c r="N192" s="2"/>
    </row>
    <row r="193" spans="1:14">
      <c r="A193" s="11"/>
      <c r="B193" s="11"/>
      <c r="C193" s="2"/>
      <c r="D193" s="2"/>
      <c r="E193" s="2"/>
      <c r="F193" s="2"/>
      <c r="G193" s="2"/>
      <c r="H193" s="2"/>
      <c r="I193" s="2"/>
      <c r="J193" s="2"/>
      <c r="K193" s="2"/>
      <c r="L193" s="2"/>
      <c r="M193" s="2"/>
      <c r="N193" s="2"/>
    </row>
    <row r="194" spans="1:14">
      <c r="A194" s="11"/>
      <c r="B194" s="11"/>
      <c r="C194" s="2"/>
      <c r="D194" s="2"/>
      <c r="E194" s="2"/>
      <c r="F194" s="2"/>
      <c r="G194" s="2"/>
      <c r="H194" s="2"/>
      <c r="I194" s="2"/>
      <c r="J194" s="2"/>
      <c r="K194" s="2"/>
      <c r="L194" s="2"/>
      <c r="M194" s="2"/>
      <c r="N194" s="2"/>
    </row>
    <row r="195" spans="1:14">
      <c r="A195" s="11"/>
      <c r="B195" s="11"/>
      <c r="C195" s="2"/>
      <c r="D195" s="2"/>
      <c r="E195" s="2"/>
      <c r="F195" s="2"/>
      <c r="G195" s="2"/>
      <c r="H195" s="2"/>
      <c r="I195" s="2"/>
      <c r="J195" s="2"/>
      <c r="K195" s="2"/>
      <c r="L195" s="2"/>
      <c r="M195" s="2"/>
      <c r="N195" s="2"/>
    </row>
    <row r="196" spans="1:14">
      <c r="A196" s="11"/>
      <c r="B196" s="11"/>
      <c r="C196" s="2"/>
      <c r="D196" s="2"/>
      <c r="E196" s="2"/>
      <c r="F196" s="2"/>
      <c r="G196" s="2"/>
      <c r="H196" s="2"/>
      <c r="I196" s="2"/>
      <c r="J196" s="2"/>
      <c r="K196" s="2"/>
      <c r="L196" s="2"/>
      <c r="M196" s="2"/>
      <c r="N196" s="2"/>
    </row>
    <row r="197" spans="1:14">
      <c r="A197" s="11"/>
      <c r="B197" s="11"/>
      <c r="C197" s="2"/>
      <c r="D197" s="2"/>
      <c r="E197" s="2"/>
      <c r="F197" s="2"/>
      <c r="G197" s="2"/>
      <c r="H197" s="2"/>
      <c r="I197" s="2"/>
      <c r="J197" s="2"/>
      <c r="K197" s="2"/>
      <c r="L197" s="2"/>
      <c r="M197" s="2"/>
      <c r="N197" s="2"/>
    </row>
    <row r="198" spans="1:14">
      <c r="A198" s="11"/>
      <c r="B198" s="11"/>
      <c r="C198" s="2"/>
      <c r="D198" s="2"/>
      <c r="E198" s="2"/>
      <c r="F198" s="2"/>
      <c r="G198" s="2"/>
      <c r="H198" s="2"/>
      <c r="I198" s="2"/>
      <c r="J198" s="2"/>
      <c r="K198" s="2"/>
      <c r="L198" s="2"/>
      <c r="M198" s="2"/>
      <c r="N198" s="2"/>
    </row>
    <row r="199" spans="1:14">
      <c r="A199" s="11"/>
      <c r="B199" s="11"/>
      <c r="C199" s="2"/>
      <c r="D199" s="2"/>
      <c r="E199" s="2"/>
      <c r="F199" s="2"/>
      <c r="G199" s="2"/>
      <c r="H199" s="2"/>
      <c r="I199" s="2"/>
      <c r="J199" s="2"/>
      <c r="K199" s="2"/>
      <c r="L199" s="2"/>
      <c r="M199" s="2"/>
      <c r="N199" s="2"/>
    </row>
    <row r="200" spans="1:14">
      <c r="A200" s="11"/>
      <c r="B200" s="11"/>
      <c r="C200" s="2"/>
      <c r="D200" s="2"/>
      <c r="E200" s="2"/>
      <c r="F200" s="2"/>
      <c r="G200" s="2"/>
      <c r="H200" s="2"/>
      <c r="I200" s="2"/>
      <c r="J200" s="2"/>
      <c r="K200" s="2"/>
      <c r="L200" s="2"/>
      <c r="M200" s="2"/>
      <c r="N200" s="2"/>
    </row>
    <row r="201" spans="1:14">
      <c r="A201" s="11"/>
      <c r="B201" s="11"/>
      <c r="C201" s="2"/>
      <c r="D201" s="2"/>
      <c r="E201" s="2"/>
      <c r="F201" s="2"/>
      <c r="G201" s="2"/>
      <c r="H201" s="2"/>
      <c r="I201" s="2"/>
      <c r="J201" s="2"/>
      <c r="K201" s="2"/>
      <c r="L201" s="2"/>
      <c r="M201" s="2"/>
      <c r="N201" s="2"/>
    </row>
    <row r="202" spans="1:14">
      <c r="A202" s="11"/>
      <c r="B202" s="11"/>
      <c r="C202" s="2"/>
      <c r="D202" s="2"/>
      <c r="E202" s="2"/>
      <c r="F202" s="2"/>
      <c r="G202" s="2"/>
      <c r="H202" s="2"/>
      <c r="I202" s="2"/>
      <c r="J202" s="2"/>
      <c r="K202" s="2"/>
      <c r="L202" s="2"/>
      <c r="M202" s="2"/>
      <c r="N202" s="2"/>
    </row>
    <row r="203" spans="1:14">
      <c r="A203" s="11"/>
      <c r="B203" s="11"/>
      <c r="C203" s="2"/>
      <c r="D203" s="2"/>
      <c r="E203" s="2"/>
      <c r="F203" s="2"/>
      <c r="G203" s="2"/>
      <c r="H203" s="2"/>
      <c r="I203" s="2"/>
      <c r="J203" s="2"/>
      <c r="K203" s="2"/>
      <c r="L203" s="2"/>
      <c r="M203" s="2"/>
      <c r="N203" s="2"/>
    </row>
    <row r="204" spans="1:14">
      <c r="A204" s="11"/>
      <c r="B204" s="11"/>
      <c r="C204" s="2"/>
      <c r="D204" s="2"/>
      <c r="E204" s="2"/>
      <c r="F204" s="2"/>
      <c r="G204" s="2"/>
      <c r="H204" s="2"/>
      <c r="I204" s="2"/>
      <c r="J204" s="2"/>
      <c r="K204" s="2"/>
      <c r="L204" s="2"/>
      <c r="M204" s="2"/>
      <c r="N204" s="2"/>
    </row>
    <row r="205" spans="1:14">
      <c r="A205" s="11"/>
      <c r="B205" s="11"/>
      <c r="C205" s="2"/>
      <c r="D205" s="2"/>
      <c r="E205" s="2"/>
      <c r="F205" s="2"/>
      <c r="G205" s="2"/>
      <c r="H205" s="2"/>
      <c r="I205" s="2"/>
      <c r="J205" s="2"/>
      <c r="K205" s="2"/>
      <c r="L205" s="2"/>
      <c r="M205" s="2"/>
      <c r="N205" s="2"/>
    </row>
    <row r="206" spans="1:14">
      <c r="A206" s="11"/>
      <c r="B206" s="11"/>
      <c r="C206" s="2"/>
      <c r="D206" s="2"/>
      <c r="E206" s="2"/>
      <c r="F206" s="2"/>
      <c r="G206" s="2"/>
      <c r="H206" s="2"/>
      <c r="I206" s="2"/>
      <c r="J206" s="2"/>
      <c r="K206" s="2"/>
      <c r="L206" s="2"/>
      <c r="M206" s="2"/>
      <c r="N206" s="2"/>
    </row>
    <row r="207" spans="1:14">
      <c r="A207" s="11"/>
      <c r="B207" s="11"/>
      <c r="C207" s="2"/>
      <c r="D207" s="2"/>
      <c r="E207" s="2"/>
      <c r="F207" s="2"/>
      <c r="G207" s="2"/>
      <c r="H207" s="2"/>
      <c r="I207" s="2"/>
      <c r="J207" s="2"/>
      <c r="K207" s="2"/>
      <c r="L207" s="2"/>
      <c r="M207" s="2"/>
      <c r="N207" s="2"/>
    </row>
    <row r="208" spans="1:14">
      <c r="A208" s="11"/>
      <c r="B208" s="11"/>
      <c r="C208" s="2"/>
      <c r="D208" s="2"/>
      <c r="E208" s="2"/>
      <c r="F208" s="2"/>
      <c r="G208" s="2"/>
      <c r="H208" s="2"/>
      <c r="I208" s="2"/>
      <c r="J208" s="2"/>
      <c r="K208" s="2"/>
      <c r="L208" s="2"/>
      <c r="M208" s="2"/>
      <c r="N208" s="2"/>
    </row>
    <row r="209" spans="1:14">
      <c r="A209" s="11"/>
      <c r="B209" s="11"/>
      <c r="C209" s="2"/>
      <c r="D209" s="2"/>
      <c r="E209" s="2"/>
      <c r="F209" s="2"/>
      <c r="G209" s="2"/>
      <c r="H209" s="2"/>
      <c r="I209" s="2"/>
      <c r="J209" s="2"/>
      <c r="K209" s="2"/>
      <c r="L209" s="2"/>
      <c r="M209" s="2"/>
      <c r="N209" s="2"/>
    </row>
    <row r="210" spans="1:14">
      <c r="A210" s="11"/>
      <c r="B210" s="11"/>
      <c r="C210" s="2"/>
      <c r="D210" s="2"/>
      <c r="E210" s="2"/>
      <c r="F210" s="2"/>
      <c r="G210" s="2"/>
      <c r="H210" s="2"/>
      <c r="I210" s="2"/>
      <c r="J210" s="2"/>
      <c r="K210" s="2"/>
      <c r="L210" s="2"/>
      <c r="M210" s="2"/>
      <c r="N210" s="2"/>
    </row>
    <row r="211" spans="1:14">
      <c r="A211" s="11"/>
      <c r="B211" s="11"/>
      <c r="C211" s="2"/>
      <c r="D211" s="2"/>
      <c r="E211" s="2"/>
      <c r="F211" s="2"/>
      <c r="G211" s="2"/>
      <c r="H211" s="2"/>
      <c r="I211" s="2"/>
      <c r="J211" s="2"/>
      <c r="K211" s="2"/>
      <c r="L211" s="2"/>
      <c r="M211" s="2"/>
      <c r="N211" s="2"/>
    </row>
    <row r="212" spans="1:14">
      <c r="A212" s="11"/>
      <c r="B212" s="11"/>
      <c r="C212" s="2"/>
      <c r="D212" s="2"/>
      <c r="E212" s="2"/>
      <c r="F212" s="2"/>
      <c r="G212" s="2"/>
      <c r="H212" s="2"/>
      <c r="I212" s="2"/>
      <c r="J212" s="2"/>
      <c r="K212" s="2"/>
      <c r="L212" s="2"/>
      <c r="M212" s="2"/>
      <c r="N212" s="2"/>
    </row>
    <row r="213" spans="1:14">
      <c r="A213" s="11"/>
      <c r="B213" s="11"/>
      <c r="C213" s="2"/>
      <c r="D213" s="2"/>
      <c r="E213" s="2"/>
      <c r="F213" s="2"/>
      <c r="G213" s="2"/>
      <c r="H213" s="2"/>
      <c r="I213" s="2"/>
      <c r="J213" s="2"/>
      <c r="K213" s="2"/>
      <c r="L213" s="2"/>
      <c r="M213" s="2"/>
      <c r="N213" s="2"/>
    </row>
    <row r="214" spans="1:14">
      <c r="A214" s="11"/>
      <c r="B214" s="11"/>
      <c r="C214" s="2"/>
      <c r="D214" s="2"/>
      <c r="E214" s="2"/>
      <c r="F214" s="2"/>
      <c r="G214" s="2"/>
      <c r="H214" s="2"/>
      <c r="I214" s="2"/>
      <c r="J214" s="2"/>
      <c r="K214" s="2"/>
      <c r="L214" s="2"/>
      <c r="M214" s="2"/>
      <c r="N214" s="2"/>
    </row>
    <row r="215" spans="1:14">
      <c r="A215" s="11"/>
      <c r="B215" s="11"/>
      <c r="C215" s="2"/>
      <c r="D215" s="2"/>
      <c r="E215" s="2"/>
      <c r="F215" s="2"/>
      <c r="G215" s="2"/>
      <c r="H215" s="2"/>
      <c r="I215" s="2"/>
      <c r="J215" s="2"/>
      <c r="K215" s="2"/>
      <c r="L215" s="2"/>
      <c r="M215" s="2"/>
      <c r="N215" s="2"/>
    </row>
    <row r="216" spans="1:14">
      <c r="A216" s="11"/>
      <c r="B216" s="11"/>
      <c r="C216" s="2"/>
      <c r="D216" s="2"/>
      <c r="E216" s="2"/>
      <c r="F216" s="2"/>
      <c r="G216" s="2"/>
      <c r="H216" s="2"/>
      <c r="I216" s="2"/>
      <c r="J216" s="2"/>
      <c r="K216" s="2"/>
      <c r="L216" s="2"/>
      <c r="M216" s="2"/>
      <c r="N216" s="2"/>
    </row>
    <row r="217" spans="1:14">
      <c r="A217" s="11"/>
      <c r="B217" s="11"/>
      <c r="C217" s="2"/>
      <c r="D217" s="2"/>
      <c r="E217" s="2"/>
      <c r="F217" s="2"/>
      <c r="G217" s="2"/>
      <c r="H217" s="2"/>
      <c r="I217" s="2"/>
      <c r="J217" s="2"/>
      <c r="K217" s="2"/>
      <c r="L217" s="2"/>
      <c r="M217" s="2"/>
      <c r="N217" s="2"/>
    </row>
    <row r="218" spans="1:14">
      <c r="A218" s="11"/>
      <c r="B218" s="11"/>
      <c r="C218" s="2"/>
      <c r="D218" s="2"/>
      <c r="E218" s="2"/>
      <c r="F218" s="2"/>
      <c r="G218" s="2"/>
      <c r="H218" s="2"/>
      <c r="I218" s="2"/>
      <c r="J218" s="2"/>
      <c r="K218" s="2"/>
      <c r="L218" s="2"/>
      <c r="M218" s="2"/>
      <c r="N218" s="2"/>
    </row>
    <row r="219" spans="1:14">
      <c r="A219" s="11"/>
      <c r="B219" s="11"/>
      <c r="C219" s="2"/>
      <c r="D219" s="2"/>
      <c r="E219" s="2"/>
      <c r="F219" s="2"/>
      <c r="G219" s="2"/>
      <c r="H219" s="2"/>
      <c r="I219" s="2"/>
      <c r="J219" s="2"/>
      <c r="K219" s="2"/>
      <c r="L219" s="2"/>
      <c r="M219" s="2"/>
      <c r="N219" s="2"/>
    </row>
    <row r="220" spans="1:14">
      <c r="A220" s="11"/>
      <c r="B220" s="11"/>
      <c r="C220" s="2"/>
      <c r="D220" s="2"/>
      <c r="E220" s="2"/>
      <c r="F220" s="2"/>
      <c r="G220" s="2"/>
      <c r="H220" s="2"/>
      <c r="I220" s="2"/>
      <c r="J220" s="2"/>
      <c r="K220" s="2"/>
      <c r="L220" s="2"/>
      <c r="M220" s="2"/>
      <c r="N220" s="2"/>
    </row>
    <row r="221" spans="1:14">
      <c r="A221" s="11"/>
      <c r="B221" s="11"/>
      <c r="C221" s="2"/>
      <c r="D221" s="2"/>
      <c r="E221" s="2"/>
      <c r="F221" s="2"/>
      <c r="G221" s="2"/>
      <c r="H221" s="2"/>
      <c r="I221" s="2"/>
      <c r="J221" s="2"/>
      <c r="K221" s="2"/>
      <c r="L221" s="2"/>
      <c r="M221" s="2"/>
      <c r="N221" s="2"/>
    </row>
    <row r="222" spans="1:14">
      <c r="A222" s="11"/>
      <c r="B222" s="11"/>
      <c r="C222" s="2"/>
      <c r="D222" s="2"/>
      <c r="E222" s="2"/>
      <c r="F222" s="2"/>
      <c r="G222" s="2"/>
      <c r="H222" s="2"/>
      <c r="I222" s="2"/>
      <c r="J222" s="2"/>
      <c r="K222" s="2"/>
      <c r="L222" s="2"/>
      <c r="M222" s="2"/>
      <c r="N222" s="2"/>
    </row>
    <row r="223" spans="1:14">
      <c r="A223" s="11"/>
      <c r="B223" s="11"/>
      <c r="C223" s="2"/>
      <c r="D223" s="2"/>
      <c r="E223" s="2"/>
      <c r="F223" s="2"/>
      <c r="G223" s="2"/>
      <c r="H223" s="2"/>
      <c r="I223" s="2"/>
      <c r="J223" s="2"/>
      <c r="K223" s="2"/>
      <c r="L223" s="2"/>
      <c r="M223" s="2"/>
      <c r="N223" s="2"/>
    </row>
    <row r="224" spans="1:14">
      <c r="A224" s="11"/>
      <c r="B224" s="11"/>
      <c r="C224" s="2"/>
      <c r="D224" s="2"/>
      <c r="E224" s="2"/>
      <c r="F224" s="2"/>
      <c r="G224" s="2"/>
      <c r="H224" s="2"/>
      <c r="I224" s="2"/>
      <c r="J224" s="2"/>
      <c r="K224" s="2"/>
      <c r="L224" s="2"/>
      <c r="M224" s="2"/>
      <c r="N224" s="2"/>
    </row>
    <row r="225" spans="1:14">
      <c r="A225" s="11"/>
      <c r="B225" s="11"/>
      <c r="C225" s="2"/>
      <c r="D225" s="2"/>
      <c r="E225" s="2"/>
      <c r="F225" s="2"/>
      <c r="G225" s="2"/>
      <c r="H225" s="2"/>
      <c r="I225" s="2"/>
      <c r="J225" s="2"/>
      <c r="K225" s="2"/>
      <c r="L225" s="2"/>
      <c r="M225" s="2"/>
      <c r="N225" s="2"/>
    </row>
    <row r="226" spans="1:14">
      <c r="A226" s="11"/>
      <c r="B226" s="11"/>
      <c r="C226" s="2"/>
      <c r="D226" s="2"/>
      <c r="E226" s="2"/>
      <c r="F226" s="2"/>
      <c r="G226" s="2"/>
      <c r="H226" s="2"/>
      <c r="I226" s="2"/>
      <c r="J226" s="2"/>
      <c r="K226" s="2"/>
      <c r="L226" s="2"/>
      <c r="M226" s="2"/>
      <c r="N226" s="2"/>
    </row>
    <row r="227" spans="1:14">
      <c r="A227" s="11"/>
      <c r="B227" s="11"/>
      <c r="C227" s="2"/>
      <c r="D227" s="2"/>
      <c r="E227" s="2"/>
      <c r="F227" s="2"/>
      <c r="G227" s="2"/>
      <c r="H227" s="2"/>
      <c r="I227" s="2"/>
      <c r="J227" s="2"/>
      <c r="K227" s="2"/>
      <c r="L227" s="2"/>
      <c r="M227" s="2"/>
      <c r="N227" s="2"/>
    </row>
    <row r="228" spans="1:14">
      <c r="A228" s="11"/>
      <c r="B228" s="11"/>
      <c r="C228" s="2"/>
      <c r="D228" s="2"/>
      <c r="E228" s="2"/>
      <c r="F228" s="2"/>
      <c r="G228" s="2"/>
      <c r="H228" s="2"/>
      <c r="I228" s="2"/>
      <c r="J228" s="2"/>
      <c r="K228" s="2"/>
      <c r="L228" s="2"/>
      <c r="M228" s="2"/>
      <c r="N228" s="2"/>
    </row>
    <row r="229" spans="1:14">
      <c r="A229" s="11"/>
      <c r="B229" s="11"/>
      <c r="C229" s="2"/>
      <c r="D229" s="2"/>
      <c r="E229" s="2"/>
      <c r="F229" s="2"/>
      <c r="G229" s="2"/>
      <c r="H229" s="2"/>
      <c r="I229" s="2"/>
      <c r="J229" s="2"/>
      <c r="K229" s="2"/>
      <c r="L229" s="2"/>
      <c r="M229" s="2"/>
      <c r="N229" s="2"/>
    </row>
    <row r="230" spans="1:14">
      <c r="A230" s="11"/>
      <c r="B230" s="11"/>
      <c r="C230" s="2"/>
      <c r="D230" s="2"/>
      <c r="E230" s="2"/>
      <c r="F230" s="2"/>
      <c r="G230" s="2"/>
      <c r="H230" s="2"/>
      <c r="I230" s="2"/>
      <c r="J230" s="2"/>
      <c r="K230" s="2"/>
      <c r="L230" s="2"/>
      <c r="M230" s="2"/>
      <c r="N230" s="2"/>
    </row>
    <row r="231" spans="1:14">
      <c r="A231" s="11"/>
      <c r="B231" s="11"/>
      <c r="C231" s="2"/>
      <c r="D231" s="2"/>
      <c r="E231" s="2"/>
      <c r="F231" s="2"/>
      <c r="G231" s="2"/>
      <c r="H231" s="2"/>
      <c r="I231" s="2"/>
      <c r="J231" s="2"/>
      <c r="K231" s="2"/>
      <c r="L231" s="2"/>
      <c r="M231" s="2"/>
      <c r="N231" s="2"/>
    </row>
    <row r="232" spans="1:14">
      <c r="A232" s="11"/>
      <c r="B232" s="11"/>
      <c r="C232" s="2"/>
      <c r="D232" s="2"/>
      <c r="E232" s="2"/>
      <c r="F232" s="2"/>
      <c r="G232" s="2"/>
      <c r="H232" s="2"/>
      <c r="I232" s="2"/>
      <c r="J232" s="2"/>
      <c r="K232" s="2"/>
      <c r="L232" s="2"/>
      <c r="M232" s="2"/>
      <c r="N232" s="2"/>
    </row>
    <row r="233" spans="1:14">
      <c r="A233" s="11"/>
      <c r="B233" s="11"/>
      <c r="C233" s="2"/>
      <c r="D233" s="2"/>
      <c r="E233" s="2"/>
      <c r="F233" s="2"/>
      <c r="G233" s="2"/>
      <c r="H233" s="2"/>
      <c r="I233" s="2"/>
      <c r="J233" s="2"/>
      <c r="K233" s="2"/>
      <c r="L233" s="2"/>
      <c r="M233" s="2"/>
      <c r="N233" s="2"/>
    </row>
    <row r="234" spans="1:14">
      <c r="A234" s="11"/>
      <c r="B234" s="11"/>
      <c r="C234" s="2"/>
      <c r="D234" s="2"/>
      <c r="E234" s="2"/>
      <c r="F234" s="2"/>
      <c r="G234" s="2"/>
      <c r="H234" s="2"/>
      <c r="I234" s="2"/>
      <c r="J234" s="2"/>
      <c r="K234" s="2"/>
      <c r="L234" s="2"/>
      <c r="M234" s="2"/>
      <c r="N234" s="2"/>
    </row>
    <row r="235" spans="1:14">
      <c r="A235" s="11"/>
      <c r="B235" s="11"/>
      <c r="C235" s="2"/>
      <c r="D235" s="2"/>
      <c r="E235" s="2"/>
      <c r="F235" s="2"/>
      <c r="G235" s="2"/>
      <c r="H235" s="2"/>
      <c r="I235" s="2"/>
      <c r="J235" s="2"/>
      <c r="K235" s="2"/>
      <c r="L235" s="2"/>
      <c r="M235" s="2"/>
      <c r="N235" s="2"/>
    </row>
    <row r="236" spans="1:14">
      <c r="A236" s="11"/>
      <c r="B236" s="11"/>
      <c r="C236" s="2"/>
      <c r="D236" s="2"/>
      <c r="E236" s="2"/>
      <c r="F236" s="2"/>
      <c r="G236" s="2"/>
      <c r="H236" s="2"/>
      <c r="I236" s="2"/>
      <c r="J236" s="2"/>
      <c r="K236" s="2"/>
      <c r="L236" s="2"/>
      <c r="M236" s="2"/>
      <c r="N236" s="2"/>
    </row>
    <row r="237" spans="1:14">
      <c r="A237" s="11"/>
      <c r="B237" s="11"/>
      <c r="C237" s="2"/>
      <c r="D237" s="2"/>
      <c r="E237" s="2"/>
      <c r="F237" s="2"/>
      <c r="G237" s="2"/>
      <c r="H237" s="2"/>
      <c r="I237" s="2"/>
      <c r="J237" s="2"/>
      <c r="K237" s="2"/>
      <c r="L237" s="2"/>
      <c r="M237" s="2"/>
      <c r="N237" s="2"/>
    </row>
    <row r="238" spans="1:14">
      <c r="A238" s="11"/>
      <c r="B238" s="11"/>
      <c r="C238" s="2"/>
      <c r="D238" s="2"/>
      <c r="E238" s="2"/>
      <c r="F238" s="2"/>
      <c r="G238" s="2"/>
      <c r="H238" s="2"/>
      <c r="I238" s="2"/>
      <c r="J238" s="2"/>
      <c r="K238" s="2"/>
      <c r="L238" s="2"/>
      <c r="M238" s="2"/>
      <c r="N238" s="2"/>
    </row>
    <row r="239" spans="1:14">
      <c r="A239" s="11"/>
      <c r="B239" s="11"/>
      <c r="C239" s="2"/>
      <c r="D239" s="2"/>
      <c r="E239" s="2"/>
      <c r="F239" s="2"/>
      <c r="G239" s="2"/>
      <c r="H239" s="2"/>
      <c r="I239" s="2"/>
      <c r="J239" s="2"/>
      <c r="K239" s="2"/>
      <c r="L239" s="2"/>
      <c r="M239" s="2"/>
      <c r="N239" s="2"/>
    </row>
    <row r="240" spans="1:14">
      <c r="A240" s="11"/>
      <c r="B240" s="11"/>
      <c r="C240" s="2"/>
      <c r="D240" s="2"/>
      <c r="E240" s="2"/>
      <c r="F240" s="2"/>
      <c r="G240" s="2"/>
      <c r="H240" s="2"/>
      <c r="I240" s="2"/>
      <c r="J240" s="2"/>
      <c r="K240" s="2"/>
      <c r="L240" s="2"/>
      <c r="M240" s="2"/>
      <c r="N240" s="2"/>
    </row>
    <row r="241" spans="1:14">
      <c r="A241" s="11"/>
      <c r="B241" s="11"/>
      <c r="C241" s="2"/>
      <c r="D241" s="2"/>
      <c r="E241" s="2"/>
      <c r="F241" s="2"/>
      <c r="G241" s="2"/>
      <c r="H241" s="2"/>
      <c r="I241" s="2"/>
      <c r="J241" s="2"/>
      <c r="K241" s="2"/>
      <c r="L241" s="2"/>
      <c r="M241" s="2"/>
      <c r="N241" s="2"/>
    </row>
    <row r="242" spans="1:14">
      <c r="A242" s="11"/>
      <c r="B242" s="11"/>
      <c r="C242" s="2"/>
      <c r="D242" s="2"/>
      <c r="E242" s="2"/>
      <c r="F242" s="2"/>
      <c r="G242" s="2"/>
      <c r="H242" s="2"/>
      <c r="I242" s="2"/>
      <c r="J242" s="2"/>
      <c r="K242" s="2"/>
      <c r="L242" s="2"/>
      <c r="M242" s="2"/>
      <c r="N242" s="2"/>
    </row>
    <row r="243" spans="1:14">
      <c r="A243" s="11"/>
      <c r="B243" s="11"/>
      <c r="C243" s="2"/>
      <c r="D243" s="2"/>
      <c r="E243" s="2"/>
      <c r="F243" s="2"/>
      <c r="G243" s="2"/>
      <c r="H243" s="2"/>
      <c r="I243" s="2"/>
      <c r="J243" s="2"/>
      <c r="K243" s="2"/>
      <c r="L243" s="2"/>
      <c r="M243" s="2"/>
      <c r="N243" s="2"/>
    </row>
    <row r="244" spans="1:14">
      <c r="A244" s="11"/>
      <c r="B244" s="11"/>
      <c r="C244" s="2"/>
      <c r="D244" s="2"/>
      <c r="E244" s="2"/>
      <c r="F244" s="2"/>
      <c r="G244" s="2"/>
      <c r="H244" s="2"/>
      <c r="I244" s="2"/>
      <c r="J244" s="2"/>
      <c r="K244" s="2"/>
      <c r="L244" s="2"/>
      <c r="M244" s="2"/>
      <c r="N244" s="2"/>
    </row>
    <row r="245" spans="1:14">
      <c r="A245" s="11"/>
      <c r="B245" s="11"/>
      <c r="C245" s="2"/>
      <c r="D245" s="2"/>
      <c r="E245" s="2"/>
      <c r="F245" s="2"/>
      <c r="G245" s="2"/>
      <c r="H245" s="2"/>
      <c r="I245" s="2"/>
      <c r="J245" s="2"/>
      <c r="K245" s="2"/>
      <c r="L245" s="2"/>
      <c r="M245" s="2"/>
      <c r="N245" s="2"/>
    </row>
    <row r="246" spans="1:14">
      <c r="A246" s="11"/>
      <c r="B246" s="11"/>
      <c r="C246" s="2"/>
      <c r="D246" s="2"/>
      <c r="E246" s="2"/>
      <c r="F246" s="2"/>
      <c r="G246" s="2"/>
      <c r="H246" s="2"/>
      <c r="I246" s="2"/>
      <c r="J246" s="2"/>
      <c r="K246" s="2"/>
      <c r="L246" s="2"/>
      <c r="M246" s="2"/>
      <c r="N246" s="2"/>
    </row>
    <row r="247" spans="1:14">
      <c r="A247" s="11"/>
      <c r="B247" s="11"/>
      <c r="C247" s="2"/>
      <c r="D247" s="2"/>
      <c r="E247" s="2"/>
      <c r="F247" s="2"/>
      <c r="G247" s="2"/>
      <c r="H247" s="2"/>
      <c r="I247" s="2"/>
      <c r="J247" s="2"/>
      <c r="K247" s="2"/>
      <c r="L247" s="2"/>
      <c r="M247" s="2"/>
      <c r="N247" s="2"/>
    </row>
    <row r="248" spans="1:14">
      <c r="A248" s="11"/>
      <c r="B248" s="11"/>
      <c r="C248" s="2"/>
      <c r="D248" s="2"/>
      <c r="E248" s="2"/>
      <c r="F248" s="2"/>
      <c r="G248" s="2"/>
      <c r="H248" s="2"/>
      <c r="I248" s="2"/>
      <c r="J248" s="2"/>
      <c r="K248" s="2"/>
      <c r="L248" s="2"/>
      <c r="M248" s="2"/>
      <c r="N248" s="2"/>
    </row>
    <row r="249" spans="1:14">
      <c r="A249" s="11"/>
      <c r="B249" s="11"/>
      <c r="C249" s="2"/>
      <c r="D249" s="2"/>
      <c r="E249" s="2"/>
      <c r="F249" s="2"/>
      <c r="G249" s="2"/>
      <c r="H249" s="2"/>
      <c r="I249" s="2"/>
      <c r="J249" s="2"/>
      <c r="K249" s="2"/>
      <c r="L249" s="2"/>
      <c r="M249" s="2"/>
      <c r="N249" s="2"/>
    </row>
    <row r="250" spans="1:14">
      <c r="A250" s="11"/>
      <c r="B250" s="11"/>
      <c r="C250" s="2"/>
      <c r="D250" s="2"/>
      <c r="E250" s="2"/>
      <c r="F250" s="2"/>
      <c r="G250" s="2"/>
      <c r="H250" s="2"/>
      <c r="I250" s="2"/>
      <c r="J250" s="2"/>
      <c r="K250" s="2"/>
      <c r="L250" s="2"/>
      <c r="M250" s="2"/>
      <c r="N250" s="2"/>
    </row>
    <row r="251" spans="1:14">
      <c r="A251" s="11"/>
      <c r="B251" s="11"/>
      <c r="C251" s="2"/>
      <c r="D251" s="2"/>
      <c r="E251" s="2"/>
      <c r="F251" s="2"/>
      <c r="G251" s="2"/>
      <c r="H251" s="2"/>
      <c r="I251" s="2"/>
      <c r="J251" s="2"/>
      <c r="K251" s="2"/>
      <c r="L251" s="2"/>
      <c r="M251" s="2"/>
      <c r="N251" s="2"/>
    </row>
    <row r="252" spans="1:14">
      <c r="A252" s="11"/>
      <c r="B252" s="11"/>
      <c r="C252" s="2"/>
      <c r="D252" s="2"/>
      <c r="E252" s="2"/>
      <c r="F252" s="2"/>
      <c r="G252" s="2"/>
      <c r="H252" s="2"/>
      <c r="I252" s="2"/>
      <c r="J252" s="2"/>
      <c r="K252" s="2"/>
      <c r="L252" s="2"/>
      <c r="M252" s="2"/>
      <c r="N252" s="2"/>
    </row>
    <row r="253" spans="1:14">
      <c r="A253" s="11"/>
      <c r="B253" s="11"/>
      <c r="C253" s="2"/>
      <c r="D253" s="2"/>
      <c r="E253" s="2"/>
      <c r="F253" s="2"/>
      <c r="G253" s="2"/>
      <c r="H253" s="2"/>
      <c r="I253" s="2"/>
      <c r="J253" s="2"/>
      <c r="K253" s="2"/>
      <c r="L253" s="2"/>
      <c r="M253" s="2"/>
      <c r="N253" s="2"/>
    </row>
    <row r="254" spans="1:14">
      <c r="A254" s="11"/>
      <c r="B254" s="11"/>
      <c r="C254" s="2"/>
      <c r="D254" s="2"/>
      <c r="E254" s="2"/>
      <c r="F254" s="2"/>
      <c r="G254" s="2"/>
      <c r="H254" s="2"/>
      <c r="I254" s="2"/>
      <c r="J254" s="2"/>
      <c r="K254" s="2"/>
      <c r="L254" s="2"/>
      <c r="M254" s="2"/>
      <c r="N254" s="2"/>
    </row>
    <row r="255" spans="1:14">
      <c r="A255" s="11"/>
      <c r="B255" s="11"/>
      <c r="C255" s="2"/>
      <c r="D255" s="2"/>
      <c r="E255" s="2"/>
      <c r="F255" s="2"/>
      <c r="G255" s="2"/>
      <c r="H255" s="2"/>
      <c r="I255" s="2"/>
      <c r="J255" s="2"/>
      <c r="K255" s="2"/>
      <c r="L255" s="2"/>
      <c r="M255" s="2"/>
      <c r="N255" s="2"/>
    </row>
    <row r="256" spans="1:14">
      <c r="A256" s="11"/>
      <c r="B256" s="11"/>
      <c r="C256" s="2"/>
      <c r="D256" s="2"/>
      <c r="E256" s="2"/>
      <c r="F256" s="2"/>
      <c r="G256" s="2"/>
      <c r="H256" s="2"/>
      <c r="I256" s="2"/>
      <c r="J256" s="2"/>
      <c r="K256" s="2"/>
      <c r="L256" s="2"/>
      <c r="M256" s="2"/>
      <c r="N256" s="2"/>
    </row>
    <row r="257" spans="1:14">
      <c r="A257" s="11"/>
      <c r="B257" s="11"/>
      <c r="C257" s="2"/>
      <c r="D257" s="2"/>
      <c r="E257" s="2"/>
      <c r="F257" s="2"/>
      <c r="G257" s="2"/>
      <c r="H257" s="2"/>
      <c r="I257" s="2"/>
      <c r="J257" s="2"/>
      <c r="K257" s="2"/>
      <c r="L257" s="2"/>
      <c r="M257" s="2"/>
      <c r="N257" s="2"/>
    </row>
    <row r="258" spans="1:14">
      <c r="A258" s="11"/>
      <c r="B258" s="11"/>
      <c r="C258" s="2"/>
      <c r="D258" s="2"/>
      <c r="E258" s="2"/>
      <c r="F258" s="2"/>
      <c r="G258" s="2"/>
      <c r="H258" s="2"/>
      <c r="I258" s="2"/>
      <c r="J258" s="2"/>
      <c r="K258" s="2"/>
      <c r="L258" s="2"/>
      <c r="M258" s="2"/>
      <c r="N258" s="2"/>
    </row>
    <row r="259" spans="1:14">
      <c r="A259" s="11"/>
      <c r="B259" s="11"/>
      <c r="C259" s="2"/>
      <c r="D259" s="2"/>
      <c r="E259" s="2"/>
      <c r="F259" s="2"/>
      <c r="G259" s="2"/>
      <c r="H259" s="2"/>
      <c r="I259" s="2"/>
      <c r="J259" s="2"/>
      <c r="K259" s="2"/>
      <c r="L259" s="2"/>
      <c r="M259" s="2"/>
      <c r="N259" s="2"/>
    </row>
    <row r="260" spans="1:14">
      <c r="A260" s="11"/>
      <c r="B260" s="11"/>
      <c r="C260" s="2"/>
      <c r="D260" s="2"/>
      <c r="E260" s="2"/>
      <c r="F260" s="2"/>
      <c r="G260" s="2"/>
      <c r="H260" s="2"/>
      <c r="I260" s="2"/>
      <c r="J260" s="2"/>
      <c r="K260" s="2"/>
      <c r="L260" s="2"/>
      <c r="M260" s="2"/>
      <c r="N260" s="2"/>
    </row>
    <row r="261" spans="1:14">
      <c r="A261" s="11"/>
      <c r="B261" s="11"/>
      <c r="C261" s="2"/>
      <c r="D261" s="2"/>
      <c r="E261" s="2"/>
      <c r="F261" s="2"/>
      <c r="G261" s="2"/>
      <c r="H261" s="2"/>
      <c r="I261" s="2"/>
      <c r="J261" s="2"/>
      <c r="K261" s="2"/>
      <c r="L261" s="2"/>
      <c r="M261" s="2"/>
      <c r="N261" s="2"/>
    </row>
    <row r="262" spans="1:14">
      <c r="A262" s="11"/>
      <c r="B262" s="11"/>
      <c r="C262" s="2"/>
      <c r="D262" s="2"/>
      <c r="E262" s="2"/>
      <c r="F262" s="2"/>
      <c r="G262" s="2"/>
      <c r="H262" s="2"/>
      <c r="I262" s="2"/>
      <c r="J262" s="2"/>
      <c r="K262" s="2"/>
      <c r="L262" s="2"/>
      <c r="M262" s="2"/>
      <c r="N262" s="2"/>
    </row>
    <row r="263" spans="1:14">
      <c r="A263" s="11"/>
      <c r="B263" s="11"/>
      <c r="C263" s="2"/>
      <c r="D263" s="2"/>
      <c r="E263" s="2"/>
      <c r="F263" s="2"/>
      <c r="G263" s="2"/>
      <c r="H263" s="2"/>
      <c r="I263" s="2"/>
      <c r="J263" s="2"/>
      <c r="K263" s="2"/>
      <c r="L263" s="2"/>
      <c r="M263" s="2"/>
      <c r="N263" s="2"/>
    </row>
    <row r="264" spans="1:14">
      <c r="A264" s="11"/>
      <c r="B264" s="11"/>
      <c r="C264" s="2"/>
      <c r="D264" s="2"/>
      <c r="E264" s="2"/>
      <c r="F264" s="2"/>
      <c r="G264" s="2"/>
      <c r="H264" s="2"/>
      <c r="I264" s="2"/>
      <c r="J264" s="2"/>
      <c r="K264" s="2"/>
      <c r="L264" s="2"/>
      <c r="M264" s="2"/>
      <c r="N264" s="2"/>
    </row>
    <row r="265" spans="1:14">
      <c r="A265" s="11"/>
      <c r="B265" s="11"/>
      <c r="C265" s="2"/>
      <c r="D265" s="2"/>
      <c r="E265" s="2"/>
      <c r="F265" s="2"/>
      <c r="G265" s="2"/>
      <c r="H265" s="2"/>
      <c r="I265" s="2"/>
      <c r="J265" s="2"/>
      <c r="K265" s="2"/>
      <c r="L265" s="2"/>
      <c r="M265" s="2"/>
      <c r="N265" s="2"/>
    </row>
    <row r="266" spans="1:14">
      <c r="A266" s="11"/>
      <c r="B266" s="11"/>
      <c r="C266" s="2"/>
      <c r="D266" s="2"/>
      <c r="E266" s="2"/>
      <c r="F266" s="2"/>
      <c r="G266" s="2"/>
      <c r="H266" s="2"/>
      <c r="I266" s="2"/>
      <c r="J266" s="2"/>
      <c r="K266" s="2"/>
      <c r="L266" s="2"/>
      <c r="M266" s="2"/>
      <c r="N266" s="2"/>
    </row>
    <row r="267" spans="1:14">
      <c r="A267" s="11"/>
      <c r="B267" s="11"/>
      <c r="C267" s="2"/>
      <c r="D267" s="2"/>
      <c r="E267" s="2"/>
      <c r="F267" s="2"/>
      <c r="G267" s="2"/>
      <c r="H267" s="2"/>
      <c r="I267" s="2"/>
      <c r="J267" s="2"/>
      <c r="K267" s="2"/>
      <c r="L267" s="2"/>
      <c r="M267" s="2"/>
      <c r="N267" s="2"/>
    </row>
    <row r="268" spans="1:14">
      <c r="A268" s="11"/>
      <c r="B268" s="11"/>
      <c r="C268" s="2"/>
      <c r="D268" s="2"/>
      <c r="E268" s="2"/>
      <c r="F268" s="2"/>
      <c r="G268" s="2"/>
      <c r="H268" s="2"/>
      <c r="I268" s="2"/>
      <c r="J268" s="2"/>
      <c r="K268" s="2"/>
      <c r="L268" s="2"/>
      <c r="M268" s="2"/>
      <c r="N268" s="2"/>
    </row>
    <row r="269" spans="1:14">
      <c r="A269" s="11"/>
      <c r="B269" s="11"/>
      <c r="C269" s="2"/>
      <c r="D269" s="2"/>
      <c r="E269" s="2"/>
      <c r="F269" s="2"/>
      <c r="G269" s="2"/>
      <c r="H269" s="2"/>
      <c r="I269" s="2"/>
      <c r="J269" s="2"/>
      <c r="K269" s="2"/>
      <c r="L269" s="2"/>
      <c r="M269" s="2"/>
      <c r="N269" s="2"/>
    </row>
    <row r="270" spans="1:14">
      <c r="A270" s="11"/>
      <c r="B270" s="11"/>
      <c r="C270" s="2"/>
      <c r="D270" s="2"/>
      <c r="E270" s="2"/>
      <c r="F270" s="2"/>
      <c r="G270" s="2"/>
      <c r="H270" s="2"/>
      <c r="I270" s="2"/>
      <c r="J270" s="2"/>
      <c r="K270" s="2"/>
      <c r="L270" s="2"/>
      <c r="M270" s="2"/>
      <c r="N270" s="2"/>
    </row>
    <row r="271" spans="1:14">
      <c r="A271" s="11"/>
      <c r="B271" s="11"/>
      <c r="C271" s="2"/>
      <c r="D271" s="2"/>
      <c r="E271" s="2"/>
      <c r="F271" s="2"/>
      <c r="G271" s="2"/>
      <c r="H271" s="2"/>
      <c r="I271" s="2"/>
      <c r="J271" s="2"/>
      <c r="K271" s="2"/>
      <c r="L271" s="2"/>
      <c r="M271" s="2"/>
      <c r="N271" s="2"/>
    </row>
    <row r="272" spans="1:14">
      <c r="A272" s="11"/>
      <c r="B272" s="11"/>
      <c r="C272" s="2"/>
      <c r="D272" s="2"/>
      <c r="E272" s="2"/>
      <c r="F272" s="2"/>
      <c r="G272" s="2"/>
      <c r="H272" s="2"/>
      <c r="I272" s="2"/>
      <c r="J272" s="2"/>
      <c r="K272" s="2"/>
      <c r="L272" s="2"/>
      <c r="M272" s="2"/>
      <c r="N272" s="2"/>
    </row>
    <row r="273" spans="1:14">
      <c r="A273" s="11"/>
      <c r="B273" s="11"/>
      <c r="C273" s="2"/>
      <c r="D273" s="2"/>
      <c r="E273" s="2"/>
      <c r="F273" s="2"/>
      <c r="G273" s="2"/>
      <c r="H273" s="2"/>
      <c r="I273" s="2"/>
      <c r="J273" s="2"/>
      <c r="K273" s="2"/>
      <c r="L273" s="2"/>
      <c r="M273" s="2"/>
      <c r="N273" s="2"/>
    </row>
    <row r="274" spans="1:14">
      <c r="A274" s="11"/>
      <c r="B274" s="11"/>
      <c r="C274" s="2"/>
      <c r="D274" s="2"/>
      <c r="E274" s="2"/>
      <c r="F274" s="2"/>
      <c r="G274" s="2"/>
      <c r="H274" s="2"/>
      <c r="I274" s="2"/>
      <c r="J274" s="2"/>
      <c r="K274" s="2"/>
      <c r="L274" s="2"/>
      <c r="M274" s="2"/>
      <c r="N274" s="2"/>
    </row>
    <row r="275" spans="1:14">
      <c r="A275" s="11"/>
      <c r="B275" s="11"/>
      <c r="C275" s="2"/>
      <c r="D275" s="2"/>
      <c r="E275" s="2"/>
      <c r="F275" s="2"/>
      <c r="G275" s="2"/>
      <c r="H275" s="2"/>
      <c r="I275" s="2"/>
      <c r="J275" s="2"/>
      <c r="K275" s="2"/>
      <c r="L275" s="2"/>
      <c r="M275" s="2"/>
      <c r="N275" s="2"/>
    </row>
    <row r="276" spans="1:14">
      <c r="A276" s="11"/>
      <c r="B276" s="11"/>
      <c r="C276" s="2"/>
      <c r="D276" s="2"/>
      <c r="E276" s="2"/>
      <c r="F276" s="2"/>
      <c r="G276" s="2"/>
      <c r="H276" s="2"/>
      <c r="I276" s="2"/>
      <c r="J276" s="2"/>
      <c r="K276" s="2"/>
      <c r="L276" s="2"/>
      <c r="M276" s="2"/>
      <c r="N276" s="2"/>
    </row>
    <row r="277" spans="1:14">
      <c r="A277" s="11"/>
      <c r="B277" s="11"/>
      <c r="C277" s="2"/>
      <c r="D277" s="2"/>
      <c r="E277" s="2"/>
      <c r="F277" s="2"/>
      <c r="G277" s="2"/>
      <c r="H277" s="2"/>
      <c r="I277" s="2"/>
      <c r="J277" s="2"/>
      <c r="K277" s="2"/>
      <c r="L277" s="2"/>
      <c r="M277" s="2"/>
      <c r="N277" s="2"/>
    </row>
    <row r="278" spans="1:14">
      <c r="A278" s="11"/>
      <c r="B278" s="11"/>
      <c r="C278" s="2"/>
      <c r="D278" s="2"/>
      <c r="E278" s="2"/>
      <c r="F278" s="2"/>
      <c r="G278" s="2"/>
      <c r="H278" s="2"/>
      <c r="I278" s="2"/>
      <c r="J278" s="2"/>
      <c r="K278" s="2"/>
      <c r="L278" s="2"/>
      <c r="M278" s="2"/>
      <c r="N278" s="2"/>
    </row>
    <row r="279" spans="1:14">
      <c r="A279" s="11"/>
      <c r="B279" s="11"/>
      <c r="C279" s="2"/>
      <c r="D279" s="2"/>
      <c r="E279" s="2"/>
      <c r="F279" s="2"/>
      <c r="G279" s="2"/>
      <c r="H279" s="2"/>
      <c r="I279" s="2"/>
      <c r="J279" s="2"/>
      <c r="K279" s="2"/>
      <c r="L279" s="2"/>
      <c r="M279" s="2"/>
      <c r="N279" s="2"/>
    </row>
    <row r="280" spans="1:14">
      <c r="A280" s="11"/>
      <c r="B280" s="11"/>
      <c r="C280" s="2"/>
      <c r="D280" s="2"/>
      <c r="E280" s="2"/>
      <c r="F280" s="2"/>
      <c r="G280" s="2"/>
      <c r="H280" s="2"/>
      <c r="I280" s="2"/>
      <c r="J280" s="2"/>
      <c r="K280" s="2"/>
      <c r="L280" s="2"/>
      <c r="M280" s="2"/>
      <c r="N280" s="2"/>
    </row>
    <row r="281" spans="1:14">
      <c r="A281" s="11"/>
      <c r="B281" s="11"/>
      <c r="C281" s="2"/>
      <c r="D281" s="2"/>
      <c r="E281" s="2"/>
      <c r="F281" s="2"/>
      <c r="G281" s="2"/>
      <c r="H281" s="2"/>
      <c r="I281" s="2"/>
      <c r="J281" s="2"/>
      <c r="K281" s="2"/>
      <c r="L281" s="2"/>
      <c r="M281" s="2"/>
      <c r="N281" s="2"/>
    </row>
    <row r="282" spans="1:14">
      <c r="A282" s="11"/>
      <c r="B282" s="11"/>
      <c r="C282" s="2"/>
      <c r="D282" s="2"/>
      <c r="E282" s="2"/>
      <c r="F282" s="2"/>
      <c r="G282" s="2"/>
      <c r="H282" s="2"/>
      <c r="I282" s="2"/>
      <c r="J282" s="2"/>
      <c r="K282" s="2"/>
      <c r="L282" s="2"/>
      <c r="M282" s="2"/>
      <c r="N282" s="2"/>
    </row>
    <row r="283" spans="1:14">
      <c r="A283" s="11"/>
      <c r="B283" s="11"/>
      <c r="C283" s="2"/>
      <c r="D283" s="2"/>
      <c r="E283" s="2"/>
      <c r="F283" s="2"/>
      <c r="G283" s="2"/>
      <c r="H283" s="2"/>
      <c r="I283" s="2"/>
      <c r="J283" s="2"/>
      <c r="K283" s="2"/>
      <c r="L283" s="2"/>
      <c r="M283" s="2"/>
      <c r="N283" s="2"/>
    </row>
    <row r="284" spans="1:14">
      <c r="A284" s="11"/>
      <c r="B284" s="11"/>
      <c r="C284" s="2"/>
      <c r="D284" s="2"/>
      <c r="E284" s="2"/>
      <c r="F284" s="2"/>
      <c r="G284" s="2"/>
      <c r="H284" s="2"/>
      <c r="I284" s="2"/>
      <c r="J284" s="2"/>
      <c r="K284" s="2"/>
      <c r="L284" s="2"/>
      <c r="M284" s="2"/>
      <c r="N284" s="2"/>
    </row>
    <row r="285" spans="1:14">
      <c r="A285" s="11"/>
      <c r="B285" s="11"/>
      <c r="C285" s="2"/>
      <c r="D285" s="2"/>
      <c r="E285" s="2"/>
      <c r="F285" s="2"/>
      <c r="G285" s="2"/>
      <c r="H285" s="2"/>
      <c r="I285" s="2"/>
      <c r="J285" s="2"/>
      <c r="K285" s="2"/>
      <c r="L285" s="2"/>
      <c r="M285" s="2"/>
      <c r="N285" s="2"/>
    </row>
    <row r="286" spans="1:14">
      <c r="A286" s="11"/>
      <c r="B286" s="11"/>
      <c r="C286" s="2"/>
      <c r="D286" s="2"/>
      <c r="E286" s="2"/>
      <c r="F286" s="2"/>
      <c r="G286" s="2"/>
      <c r="H286" s="2"/>
      <c r="I286" s="2"/>
      <c r="J286" s="2"/>
      <c r="K286" s="2"/>
      <c r="L286" s="2"/>
      <c r="M286" s="2"/>
      <c r="N286" s="2"/>
    </row>
    <row r="287" spans="1:14">
      <c r="A287" s="11"/>
      <c r="B287" s="11"/>
      <c r="C287" s="2"/>
      <c r="D287" s="2"/>
      <c r="E287" s="2"/>
      <c r="F287" s="2"/>
      <c r="G287" s="2"/>
      <c r="H287" s="2"/>
      <c r="I287" s="2"/>
      <c r="J287" s="2"/>
      <c r="K287" s="2"/>
      <c r="L287" s="2"/>
      <c r="M287" s="2"/>
      <c r="N287" s="2"/>
    </row>
    <row r="288" spans="1:14">
      <c r="A288" s="11"/>
      <c r="B288" s="11"/>
      <c r="C288" s="2"/>
      <c r="D288" s="2"/>
      <c r="E288" s="2"/>
      <c r="F288" s="2"/>
      <c r="G288" s="2"/>
      <c r="H288" s="2"/>
      <c r="I288" s="2"/>
      <c r="J288" s="2"/>
      <c r="K288" s="2"/>
      <c r="L288" s="2"/>
      <c r="M288" s="2"/>
      <c r="N288" s="2"/>
    </row>
    <row r="289" spans="1:14">
      <c r="A289" s="11"/>
      <c r="B289" s="11"/>
      <c r="C289" s="2"/>
      <c r="D289" s="2"/>
      <c r="E289" s="2"/>
      <c r="F289" s="2"/>
      <c r="G289" s="2"/>
      <c r="H289" s="2"/>
      <c r="I289" s="2"/>
      <c r="J289" s="2"/>
      <c r="K289" s="2"/>
      <c r="L289" s="2"/>
      <c r="M289" s="2"/>
      <c r="N289" s="2"/>
    </row>
    <row r="290" spans="1:14">
      <c r="A290" s="11"/>
      <c r="B290" s="11"/>
      <c r="C290" s="2"/>
      <c r="D290" s="2"/>
      <c r="E290" s="2"/>
      <c r="F290" s="2"/>
      <c r="G290" s="2"/>
      <c r="H290" s="2"/>
      <c r="I290" s="2"/>
      <c r="J290" s="2"/>
      <c r="K290" s="2"/>
      <c r="L290" s="2"/>
      <c r="M290" s="2"/>
      <c r="N290" s="2"/>
    </row>
    <row r="291" spans="1:14">
      <c r="A291" s="11"/>
      <c r="B291" s="11"/>
      <c r="C291" s="2"/>
      <c r="D291" s="2"/>
      <c r="E291" s="2"/>
      <c r="F291" s="2"/>
      <c r="G291" s="2"/>
      <c r="H291" s="2"/>
      <c r="I291" s="2"/>
      <c r="J291" s="2"/>
      <c r="K291" s="2"/>
      <c r="L291" s="2"/>
      <c r="M291" s="2"/>
      <c r="N291" s="2"/>
    </row>
    <row r="292" spans="1:14">
      <c r="A292" s="11"/>
      <c r="B292" s="11"/>
      <c r="C292" s="2"/>
      <c r="D292" s="2"/>
      <c r="E292" s="2"/>
      <c r="F292" s="2"/>
      <c r="G292" s="2"/>
      <c r="H292" s="2"/>
      <c r="I292" s="2"/>
      <c r="J292" s="2"/>
      <c r="K292" s="2"/>
      <c r="L292" s="2"/>
      <c r="M292" s="2"/>
      <c r="N292" s="2"/>
    </row>
    <row r="293" spans="1:14">
      <c r="A293" s="11"/>
      <c r="B293" s="11"/>
      <c r="C293" s="2"/>
      <c r="D293" s="2"/>
      <c r="E293" s="2"/>
      <c r="F293" s="2"/>
      <c r="G293" s="2"/>
      <c r="H293" s="2"/>
      <c r="I293" s="2"/>
      <c r="J293" s="2"/>
      <c r="K293" s="2"/>
      <c r="L293" s="2"/>
      <c r="M293" s="2"/>
      <c r="N293" s="2"/>
    </row>
    <row r="294" spans="1:14">
      <c r="A294" s="11"/>
      <c r="B294" s="11"/>
      <c r="C294" s="2"/>
      <c r="D294" s="2"/>
      <c r="E294" s="2"/>
      <c r="F294" s="2"/>
      <c r="G294" s="2"/>
      <c r="H294" s="2"/>
      <c r="I294" s="2"/>
      <c r="J294" s="2"/>
      <c r="K294" s="2"/>
      <c r="L294" s="2"/>
      <c r="M294" s="2"/>
      <c r="N294" s="2"/>
    </row>
    <row r="295" spans="1:14">
      <c r="A295" s="11"/>
      <c r="B295" s="11"/>
      <c r="C295" s="2"/>
      <c r="D295" s="2"/>
      <c r="E295" s="2"/>
      <c r="F295" s="2"/>
      <c r="G295" s="2"/>
      <c r="H295" s="2"/>
      <c r="I295" s="2"/>
      <c r="J295" s="2"/>
      <c r="K295" s="2"/>
      <c r="L295" s="2"/>
      <c r="M295" s="2"/>
      <c r="N295" s="2"/>
    </row>
    <row r="296" spans="1:14">
      <c r="A296" s="11"/>
      <c r="B296" s="11"/>
      <c r="C296" s="2"/>
      <c r="D296" s="2"/>
      <c r="E296" s="2"/>
      <c r="F296" s="2"/>
      <c r="G296" s="2"/>
      <c r="H296" s="2"/>
      <c r="I296" s="2"/>
      <c r="J296" s="2"/>
      <c r="K296" s="2"/>
      <c r="L296" s="2"/>
      <c r="M296" s="2"/>
      <c r="N296" s="2"/>
    </row>
    <row r="297" spans="1:14">
      <c r="A297" s="11"/>
      <c r="B297" s="11"/>
      <c r="C297" s="2"/>
      <c r="D297" s="2"/>
      <c r="E297" s="2"/>
      <c r="F297" s="2"/>
      <c r="G297" s="2"/>
      <c r="H297" s="2"/>
      <c r="I297" s="2"/>
      <c r="J297" s="2"/>
      <c r="K297" s="2"/>
      <c r="L297" s="2"/>
      <c r="M297" s="2"/>
      <c r="N297" s="2"/>
    </row>
    <row r="298" spans="1:14">
      <c r="A298" s="11"/>
      <c r="B298" s="11"/>
      <c r="C298" s="2"/>
      <c r="D298" s="2"/>
      <c r="E298" s="2"/>
      <c r="F298" s="2"/>
      <c r="G298" s="2"/>
      <c r="H298" s="2"/>
      <c r="I298" s="2"/>
      <c r="J298" s="2"/>
      <c r="K298" s="2"/>
      <c r="L298" s="2"/>
      <c r="M298" s="2"/>
      <c r="N298" s="2"/>
    </row>
    <row r="299" spans="1:14">
      <c r="A299" s="11"/>
      <c r="B299" s="11"/>
      <c r="C299" s="2"/>
      <c r="D299" s="2"/>
      <c r="E299" s="2"/>
      <c r="F299" s="2"/>
      <c r="G299" s="2"/>
      <c r="H299" s="2"/>
      <c r="I299" s="2"/>
      <c r="J299" s="2"/>
      <c r="K299" s="2"/>
      <c r="L299" s="2"/>
      <c r="M299" s="2"/>
      <c r="N299" s="2"/>
    </row>
    <row r="300" spans="1:14">
      <c r="A300" s="11"/>
      <c r="B300" s="11"/>
      <c r="C300" s="2"/>
      <c r="D300" s="2"/>
      <c r="E300" s="2"/>
      <c r="F300" s="2"/>
      <c r="G300" s="2"/>
      <c r="H300" s="2"/>
      <c r="I300" s="2"/>
      <c r="J300" s="2"/>
      <c r="K300" s="2"/>
      <c r="L300" s="2"/>
      <c r="M300" s="2"/>
      <c r="N300" s="2"/>
    </row>
    <row r="301" spans="1:14">
      <c r="A301" s="11"/>
      <c r="B301" s="11"/>
      <c r="C301" s="2"/>
      <c r="D301" s="2"/>
      <c r="E301" s="2"/>
      <c r="F301" s="2"/>
      <c r="G301" s="2"/>
      <c r="H301" s="2"/>
      <c r="I301" s="2"/>
      <c r="J301" s="2"/>
      <c r="K301" s="2"/>
      <c r="L301" s="2"/>
      <c r="M301" s="2"/>
      <c r="N301" s="2"/>
    </row>
    <row r="302" spans="1:14">
      <c r="A302" s="11"/>
      <c r="B302" s="11"/>
      <c r="C302" s="2"/>
      <c r="D302" s="2"/>
      <c r="E302" s="2"/>
      <c r="F302" s="2"/>
      <c r="G302" s="2"/>
      <c r="H302" s="2"/>
      <c r="I302" s="2"/>
      <c r="J302" s="2"/>
      <c r="K302" s="2"/>
      <c r="L302" s="2"/>
      <c r="M302" s="2"/>
      <c r="N302" s="2"/>
    </row>
    <row r="303" spans="1:14">
      <c r="A303" s="11"/>
      <c r="B303" s="11"/>
      <c r="C303" s="2"/>
      <c r="D303" s="2"/>
      <c r="E303" s="2"/>
      <c r="F303" s="2"/>
      <c r="G303" s="2"/>
      <c r="H303" s="2"/>
      <c r="I303" s="2"/>
      <c r="J303" s="2"/>
      <c r="K303" s="2"/>
      <c r="L303" s="2"/>
      <c r="M303" s="2"/>
      <c r="N303" s="2"/>
    </row>
    <row r="304" spans="1:14">
      <c r="A304" s="11"/>
      <c r="B304" s="11"/>
      <c r="C304" s="2"/>
      <c r="D304" s="2"/>
      <c r="E304" s="2"/>
      <c r="F304" s="2"/>
      <c r="G304" s="2"/>
      <c r="H304" s="2"/>
      <c r="I304" s="2"/>
      <c r="J304" s="2"/>
      <c r="K304" s="2"/>
      <c r="L304" s="2"/>
      <c r="M304" s="2"/>
      <c r="N304" s="2"/>
    </row>
    <row r="305" spans="1:14">
      <c r="A305" s="11"/>
      <c r="B305" s="11"/>
      <c r="C305" s="2"/>
      <c r="D305" s="2"/>
      <c r="E305" s="2"/>
      <c r="F305" s="2"/>
      <c r="G305" s="2"/>
      <c r="H305" s="2"/>
      <c r="I305" s="2"/>
      <c r="J305" s="2"/>
      <c r="K305" s="2"/>
      <c r="L305" s="2"/>
      <c r="M305" s="2"/>
      <c r="N305" s="2"/>
    </row>
    <row r="306" spans="1:14">
      <c r="A306" s="11"/>
      <c r="B306" s="11"/>
      <c r="C306" s="2"/>
      <c r="D306" s="2"/>
      <c r="E306" s="2"/>
      <c r="F306" s="2"/>
      <c r="G306" s="2"/>
      <c r="H306" s="2"/>
      <c r="I306" s="2"/>
      <c r="J306" s="2"/>
      <c r="K306" s="2"/>
      <c r="L306" s="2"/>
      <c r="M306" s="2"/>
      <c r="N306" s="2"/>
    </row>
    <row r="307" spans="1:14">
      <c r="A307" s="11"/>
      <c r="B307" s="11"/>
      <c r="C307" s="2"/>
      <c r="D307" s="2"/>
      <c r="E307" s="2"/>
      <c r="F307" s="2"/>
      <c r="G307" s="2"/>
      <c r="H307" s="2"/>
      <c r="I307" s="2"/>
      <c r="J307" s="2"/>
      <c r="K307" s="2"/>
      <c r="L307" s="2"/>
      <c r="M307" s="2"/>
      <c r="N307" s="2"/>
    </row>
    <row r="308" spans="1:14">
      <c r="A308" s="11"/>
      <c r="B308" s="11"/>
      <c r="C308" s="2"/>
      <c r="D308" s="2"/>
      <c r="E308" s="2"/>
      <c r="F308" s="2"/>
      <c r="G308" s="2"/>
      <c r="H308" s="2"/>
      <c r="I308" s="2"/>
      <c r="J308" s="2"/>
      <c r="K308" s="2"/>
      <c r="L308" s="2"/>
      <c r="M308" s="2"/>
      <c r="N308" s="2"/>
    </row>
    <row r="309" spans="1:14">
      <c r="A309" s="11"/>
      <c r="B309" s="11"/>
      <c r="C309" s="2"/>
      <c r="D309" s="2"/>
      <c r="E309" s="2"/>
      <c r="F309" s="2"/>
      <c r="G309" s="2"/>
      <c r="H309" s="2"/>
      <c r="I309" s="2"/>
      <c r="J309" s="2"/>
      <c r="K309" s="2"/>
      <c r="L309" s="2"/>
      <c r="M309" s="2"/>
      <c r="N309" s="2"/>
    </row>
    <row r="310" spans="1:14">
      <c r="A310" s="11"/>
      <c r="B310" s="11"/>
      <c r="C310" s="2"/>
      <c r="D310" s="2"/>
      <c r="E310" s="2"/>
      <c r="F310" s="2"/>
      <c r="G310" s="2"/>
      <c r="H310" s="2"/>
      <c r="I310" s="2"/>
      <c r="J310" s="2"/>
      <c r="K310" s="2"/>
      <c r="L310" s="2"/>
      <c r="M310" s="2"/>
      <c r="N310" s="2"/>
    </row>
    <row r="311" spans="1:14">
      <c r="A311" s="11"/>
      <c r="B311" s="11"/>
      <c r="C311" s="2"/>
      <c r="D311" s="2"/>
      <c r="E311" s="2"/>
      <c r="F311" s="2"/>
      <c r="G311" s="2"/>
      <c r="H311" s="2"/>
      <c r="I311" s="2"/>
      <c r="J311" s="2"/>
      <c r="K311" s="2"/>
      <c r="L311" s="2"/>
      <c r="M311" s="2"/>
      <c r="N311" s="2"/>
    </row>
    <row r="312" spans="1:14">
      <c r="A312" s="11"/>
      <c r="B312" s="11"/>
      <c r="C312" s="2"/>
      <c r="D312" s="2"/>
      <c r="E312" s="2"/>
      <c r="F312" s="2"/>
      <c r="G312" s="2"/>
      <c r="H312" s="2"/>
      <c r="I312" s="2"/>
      <c r="J312" s="2"/>
      <c r="K312" s="2"/>
      <c r="L312" s="2"/>
      <c r="M312" s="2"/>
      <c r="N312" s="2"/>
    </row>
    <row r="313" spans="1:14">
      <c r="A313" s="11"/>
      <c r="B313" s="11"/>
      <c r="C313" s="2"/>
      <c r="D313" s="2"/>
      <c r="E313" s="2"/>
      <c r="F313" s="2"/>
      <c r="G313" s="2"/>
      <c r="H313" s="2"/>
      <c r="I313" s="2"/>
      <c r="J313" s="2"/>
      <c r="K313" s="2"/>
      <c r="L313" s="2"/>
      <c r="M313" s="2"/>
      <c r="N313" s="2"/>
    </row>
    <row r="314" spans="1:14">
      <c r="A314" s="11"/>
      <c r="B314" s="11"/>
      <c r="C314" s="2"/>
      <c r="D314" s="2"/>
      <c r="E314" s="2"/>
      <c r="F314" s="2"/>
      <c r="G314" s="2"/>
      <c r="H314" s="2"/>
      <c r="I314" s="2"/>
      <c r="J314" s="2"/>
      <c r="K314" s="2"/>
      <c r="L314" s="2"/>
      <c r="M314" s="2"/>
      <c r="N314" s="2"/>
    </row>
    <row r="315" spans="1:14">
      <c r="A315" s="11"/>
      <c r="B315" s="11"/>
      <c r="C315" s="2"/>
      <c r="D315" s="2"/>
      <c r="E315" s="2"/>
      <c r="F315" s="2"/>
      <c r="G315" s="2"/>
      <c r="H315" s="2"/>
      <c r="I315" s="2"/>
      <c r="J315" s="2"/>
      <c r="K315" s="2"/>
      <c r="L315" s="2"/>
      <c r="M315" s="2"/>
      <c r="N315" s="2"/>
    </row>
    <row r="316" spans="1:14">
      <c r="A316" s="11"/>
      <c r="B316" s="11"/>
      <c r="C316" s="2"/>
      <c r="D316" s="2"/>
      <c r="E316" s="2"/>
      <c r="F316" s="2"/>
      <c r="G316" s="2"/>
      <c r="H316" s="2"/>
      <c r="I316" s="2"/>
      <c r="J316" s="2"/>
      <c r="K316" s="2"/>
      <c r="L316" s="2"/>
      <c r="M316" s="2"/>
      <c r="N316" s="2"/>
    </row>
    <row r="317" spans="1:14">
      <c r="A317" s="11"/>
      <c r="B317" s="11"/>
      <c r="C317" s="2"/>
      <c r="D317" s="2"/>
      <c r="E317" s="2"/>
      <c r="F317" s="2"/>
      <c r="G317" s="2"/>
      <c r="H317" s="2"/>
      <c r="I317" s="2"/>
      <c r="J317" s="2"/>
      <c r="K317" s="2"/>
      <c r="L317" s="2"/>
      <c r="M317" s="2"/>
      <c r="N317" s="2"/>
    </row>
    <row r="318" spans="1:14">
      <c r="A318" s="11"/>
      <c r="B318" s="11"/>
      <c r="C318" s="2"/>
      <c r="D318" s="2"/>
      <c r="E318" s="2"/>
      <c r="F318" s="2"/>
      <c r="G318" s="2"/>
      <c r="H318" s="2"/>
      <c r="I318" s="2"/>
      <c r="J318" s="2"/>
      <c r="K318" s="2"/>
      <c r="L318" s="2"/>
      <c r="M318" s="2"/>
      <c r="N318" s="2"/>
    </row>
    <row r="319" spans="1:14">
      <c r="A319" s="11"/>
      <c r="B319" s="11"/>
      <c r="C319" s="2"/>
      <c r="D319" s="2"/>
      <c r="E319" s="2"/>
      <c r="F319" s="2"/>
      <c r="G319" s="2"/>
      <c r="H319" s="2"/>
      <c r="I319" s="2"/>
      <c r="J319" s="2"/>
      <c r="K319" s="2"/>
      <c r="L319" s="2"/>
      <c r="M319" s="2"/>
      <c r="N319" s="2"/>
    </row>
    <row r="320" spans="1:14">
      <c r="A320" s="11"/>
      <c r="B320" s="11"/>
      <c r="C320" s="2"/>
      <c r="D320" s="2"/>
      <c r="E320" s="2"/>
      <c r="F320" s="2"/>
      <c r="G320" s="2"/>
      <c r="H320" s="2"/>
      <c r="I320" s="2"/>
      <c r="J320" s="2"/>
      <c r="K320" s="2"/>
      <c r="L320" s="2"/>
      <c r="M320" s="2"/>
      <c r="N320" s="2"/>
    </row>
    <row r="321" spans="1:14">
      <c r="A321" s="11"/>
      <c r="B321" s="11"/>
      <c r="C321" s="2"/>
      <c r="D321" s="2"/>
      <c r="E321" s="2"/>
      <c r="F321" s="2"/>
      <c r="G321" s="2"/>
      <c r="H321" s="2"/>
      <c r="I321" s="2"/>
      <c r="J321" s="2"/>
      <c r="K321" s="2"/>
      <c r="L321" s="2"/>
      <c r="M321" s="2"/>
      <c r="N321" s="2"/>
    </row>
    <row r="322" spans="1:14">
      <c r="A322" s="11"/>
      <c r="B322" s="11"/>
      <c r="C322" s="2"/>
      <c r="D322" s="2"/>
      <c r="E322" s="2"/>
      <c r="F322" s="2"/>
      <c r="G322" s="2"/>
      <c r="H322" s="2"/>
      <c r="I322" s="2"/>
      <c r="J322" s="2"/>
      <c r="K322" s="2"/>
      <c r="L322" s="2"/>
      <c r="M322" s="2"/>
      <c r="N322" s="2"/>
    </row>
    <row r="323" spans="1:14">
      <c r="A323" s="11"/>
      <c r="B323" s="11"/>
      <c r="C323" s="2"/>
      <c r="D323" s="2"/>
      <c r="E323" s="2"/>
      <c r="F323" s="2"/>
      <c r="G323" s="2"/>
      <c r="H323" s="2"/>
      <c r="I323" s="2"/>
      <c r="J323" s="2"/>
      <c r="K323" s="2"/>
      <c r="L323" s="2"/>
      <c r="M323" s="2"/>
      <c r="N323" s="2"/>
    </row>
    <row r="324" spans="1:14">
      <c r="A324" s="11"/>
      <c r="B324" s="11"/>
      <c r="C324" s="2"/>
      <c r="D324" s="2"/>
      <c r="E324" s="2"/>
      <c r="F324" s="2"/>
      <c r="G324" s="2"/>
      <c r="H324" s="2"/>
      <c r="I324" s="2"/>
      <c r="J324" s="2"/>
      <c r="K324" s="2"/>
      <c r="L324" s="2"/>
      <c r="M324" s="2"/>
      <c r="N324" s="2"/>
    </row>
    <row r="325" spans="1:14">
      <c r="A325" s="11"/>
      <c r="B325" s="11"/>
      <c r="C325" s="2"/>
      <c r="D325" s="2"/>
      <c r="E325" s="2"/>
      <c r="F325" s="2"/>
      <c r="G325" s="2"/>
      <c r="H325" s="2"/>
      <c r="I325" s="2"/>
      <c r="J325" s="2"/>
      <c r="K325" s="2"/>
      <c r="L325" s="2"/>
      <c r="M325" s="2"/>
      <c r="N325" s="2"/>
    </row>
    <row r="326" spans="1:14">
      <c r="A326" s="11"/>
      <c r="B326" s="11"/>
      <c r="C326" s="2"/>
      <c r="D326" s="2"/>
      <c r="E326" s="2"/>
      <c r="F326" s="2"/>
      <c r="G326" s="2"/>
      <c r="H326" s="2"/>
      <c r="I326" s="2"/>
      <c r="J326" s="2"/>
      <c r="K326" s="2"/>
      <c r="L326" s="2"/>
      <c r="M326" s="2"/>
      <c r="N326" s="2"/>
    </row>
    <row r="327" spans="1:14">
      <c r="A327" s="11"/>
      <c r="B327" s="11"/>
      <c r="C327" s="2"/>
      <c r="D327" s="2"/>
      <c r="E327" s="2"/>
      <c r="F327" s="2"/>
      <c r="G327" s="2"/>
      <c r="H327" s="2"/>
      <c r="I327" s="2"/>
      <c r="J327" s="2"/>
      <c r="K327" s="2"/>
      <c r="L327" s="2"/>
      <c r="M327" s="2"/>
      <c r="N327" s="2"/>
    </row>
    <row r="328" spans="1:14">
      <c r="A328" s="11"/>
      <c r="B328" s="11"/>
      <c r="C328" s="2"/>
      <c r="D328" s="2"/>
      <c r="E328" s="2"/>
      <c r="F328" s="2"/>
      <c r="G328" s="2"/>
      <c r="H328" s="2"/>
      <c r="I328" s="2"/>
      <c r="J328" s="2"/>
      <c r="K328" s="2"/>
      <c r="L328" s="2"/>
      <c r="M328" s="2"/>
      <c r="N328" s="2"/>
    </row>
    <row r="329" spans="1:14">
      <c r="A329" s="11"/>
      <c r="B329" s="11"/>
      <c r="C329" s="2"/>
      <c r="D329" s="2"/>
      <c r="E329" s="2"/>
      <c r="F329" s="2"/>
      <c r="G329" s="2"/>
      <c r="H329" s="2"/>
      <c r="I329" s="2"/>
      <c r="J329" s="2"/>
      <c r="K329" s="2"/>
      <c r="L329" s="2"/>
      <c r="M329" s="2"/>
      <c r="N329" s="2"/>
    </row>
    <row r="330" spans="1:14">
      <c r="A330" s="11"/>
      <c r="B330" s="11"/>
      <c r="C330" s="2"/>
      <c r="D330" s="2"/>
      <c r="E330" s="2"/>
      <c r="F330" s="2"/>
      <c r="G330" s="2"/>
      <c r="H330" s="2"/>
      <c r="I330" s="2"/>
      <c r="J330" s="2"/>
      <c r="K330" s="2"/>
      <c r="L330" s="2"/>
      <c r="M330" s="2"/>
      <c r="N330" s="2"/>
    </row>
    <row r="331" spans="1:14">
      <c r="A331" s="11"/>
      <c r="B331" s="11"/>
      <c r="C331" s="2"/>
      <c r="D331" s="2"/>
      <c r="E331" s="2"/>
      <c r="F331" s="2"/>
      <c r="G331" s="2"/>
      <c r="H331" s="2"/>
      <c r="I331" s="2"/>
      <c r="J331" s="2"/>
      <c r="K331" s="2"/>
      <c r="L331" s="2"/>
      <c r="M331" s="2"/>
      <c r="N331" s="2"/>
    </row>
    <row r="332" spans="1:14">
      <c r="A332" s="11"/>
      <c r="B332" s="11"/>
      <c r="C332" s="2"/>
      <c r="D332" s="2"/>
      <c r="E332" s="2"/>
      <c r="F332" s="2"/>
      <c r="G332" s="2"/>
      <c r="H332" s="2"/>
      <c r="I332" s="2"/>
      <c r="J332" s="2"/>
      <c r="K332" s="2"/>
      <c r="L332" s="2"/>
      <c r="M332" s="2"/>
      <c r="N332" s="2"/>
    </row>
    <row r="333" spans="1:14">
      <c r="A333" s="11"/>
      <c r="B333" s="11"/>
      <c r="C333" s="2"/>
      <c r="D333" s="2"/>
      <c r="E333" s="2"/>
      <c r="F333" s="2"/>
      <c r="G333" s="2"/>
      <c r="H333" s="2"/>
      <c r="I333" s="2"/>
      <c r="J333" s="2"/>
      <c r="K333" s="2"/>
      <c r="L333" s="2"/>
      <c r="M333" s="2"/>
      <c r="N333" s="2"/>
    </row>
    <row r="334" spans="1:14">
      <c r="A334" s="11"/>
      <c r="B334" s="11"/>
      <c r="C334" s="2"/>
      <c r="D334" s="2"/>
      <c r="E334" s="2"/>
      <c r="F334" s="2"/>
      <c r="G334" s="2"/>
      <c r="H334" s="2"/>
      <c r="I334" s="2"/>
      <c r="J334" s="2"/>
      <c r="K334" s="2"/>
      <c r="L334" s="2"/>
      <c r="M334" s="2"/>
      <c r="N334" s="2"/>
    </row>
    <row r="335" spans="1:14">
      <c r="A335" s="11"/>
      <c r="B335" s="11"/>
      <c r="C335" s="2"/>
      <c r="D335" s="2"/>
      <c r="E335" s="2"/>
      <c r="F335" s="2"/>
      <c r="G335" s="2"/>
      <c r="H335" s="2"/>
      <c r="I335" s="2"/>
      <c r="J335" s="2"/>
      <c r="K335" s="2"/>
      <c r="L335" s="2"/>
      <c r="M335" s="2"/>
      <c r="N335" s="2"/>
    </row>
    <row r="336" spans="1:14">
      <c r="A336" s="11"/>
      <c r="B336" s="11"/>
      <c r="C336" s="2"/>
      <c r="D336" s="2"/>
      <c r="E336" s="2"/>
      <c r="F336" s="2"/>
      <c r="G336" s="2"/>
      <c r="H336" s="2"/>
      <c r="I336" s="2"/>
      <c r="J336" s="2"/>
      <c r="K336" s="2"/>
      <c r="L336" s="2"/>
      <c r="M336" s="2"/>
      <c r="N336" s="2"/>
    </row>
    <row r="337" spans="1:14">
      <c r="A337" s="11"/>
      <c r="B337" s="11"/>
      <c r="C337" s="2"/>
      <c r="D337" s="2"/>
      <c r="E337" s="2"/>
      <c r="F337" s="2"/>
      <c r="G337" s="2"/>
      <c r="H337" s="2"/>
      <c r="I337" s="2"/>
      <c r="J337" s="2"/>
      <c r="K337" s="2"/>
      <c r="L337" s="2"/>
      <c r="M337" s="2"/>
      <c r="N337" s="2"/>
    </row>
    <row r="338" spans="1:14">
      <c r="A338" s="11"/>
      <c r="B338" s="11"/>
      <c r="C338" s="2"/>
      <c r="D338" s="2"/>
      <c r="E338" s="2"/>
      <c r="F338" s="2"/>
      <c r="G338" s="2"/>
      <c r="H338" s="2"/>
      <c r="I338" s="2"/>
      <c r="J338" s="2"/>
      <c r="K338" s="2"/>
      <c r="L338" s="2"/>
      <c r="M338" s="2"/>
      <c r="N338" s="2"/>
    </row>
    <row r="339" spans="1:14">
      <c r="A339" s="11"/>
      <c r="B339" s="11"/>
      <c r="C339" s="2"/>
      <c r="D339" s="2"/>
      <c r="E339" s="2"/>
      <c r="F339" s="2"/>
      <c r="G339" s="2"/>
      <c r="H339" s="2"/>
      <c r="I339" s="2"/>
      <c r="J339" s="2"/>
      <c r="K339" s="2"/>
      <c r="L339" s="2"/>
      <c r="M339" s="2"/>
      <c r="N339" s="2"/>
    </row>
    <row r="340" spans="1:14">
      <c r="A340" s="11"/>
      <c r="B340" s="11"/>
      <c r="C340" s="2"/>
      <c r="D340" s="2"/>
      <c r="E340" s="2"/>
      <c r="F340" s="2"/>
      <c r="G340" s="2"/>
      <c r="H340" s="2"/>
      <c r="I340" s="2"/>
      <c r="J340" s="2"/>
      <c r="K340" s="2"/>
      <c r="L340" s="2"/>
      <c r="M340" s="2"/>
      <c r="N340" s="2"/>
    </row>
    <row r="341" spans="1:14">
      <c r="A341" s="11"/>
      <c r="B341" s="11"/>
      <c r="C341" s="2"/>
      <c r="D341" s="2"/>
      <c r="E341" s="2"/>
      <c r="F341" s="2"/>
      <c r="G341" s="2"/>
      <c r="H341" s="2"/>
      <c r="I341" s="2"/>
      <c r="J341" s="2"/>
      <c r="K341" s="2"/>
      <c r="L341" s="2"/>
      <c r="M341" s="2"/>
      <c r="N341" s="2"/>
    </row>
    <row r="342" spans="1:14">
      <c r="A342" s="11"/>
      <c r="B342" s="11"/>
      <c r="C342" s="2"/>
      <c r="D342" s="2"/>
      <c r="E342" s="2"/>
      <c r="F342" s="2"/>
      <c r="G342" s="2"/>
      <c r="H342" s="2"/>
      <c r="I342" s="2"/>
      <c r="J342" s="2"/>
      <c r="K342" s="2"/>
      <c r="L342" s="2"/>
      <c r="M342" s="2"/>
      <c r="N342" s="2"/>
    </row>
    <row r="343" spans="1:14">
      <c r="A343" s="11"/>
      <c r="B343" s="11"/>
      <c r="C343" s="2"/>
      <c r="D343" s="2"/>
      <c r="E343" s="2"/>
      <c r="F343" s="2"/>
      <c r="G343" s="2"/>
      <c r="H343" s="2"/>
      <c r="I343" s="2"/>
      <c r="J343" s="2"/>
      <c r="K343" s="2"/>
      <c r="L343" s="2"/>
      <c r="M343" s="2"/>
      <c r="N343" s="2"/>
    </row>
    <row r="344" spans="1:14">
      <c r="A344" s="11"/>
      <c r="B344" s="11"/>
      <c r="C344" s="2"/>
      <c r="D344" s="2"/>
      <c r="E344" s="2"/>
      <c r="F344" s="2"/>
      <c r="G344" s="2"/>
      <c r="H344" s="2"/>
      <c r="I344" s="2"/>
      <c r="J344" s="2"/>
      <c r="K344" s="2"/>
      <c r="L344" s="2"/>
      <c r="M344" s="2"/>
      <c r="N344" s="2"/>
    </row>
    <row r="345" spans="1:14">
      <c r="A345" s="11"/>
      <c r="B345" s="11"/>
      <c r="C345" s="2"/>
      <c r="D345" s="2"/>
      <c r="E345" s="2"/>
      <c r="F345" s="2"/>
      <c r="G345" s="2"/>
      <c r="H345" s="2"/>
      <c r="I345" s="2"/>
      <c r="J345" s="2"/>
      <c r="K345" s="2"/>
      <c r="L345" s="2"/>
      <c r="M345" s="2"/>
      <c r="N345" s="2"/>
    </row>
    <row r="346" spans="1:14">
      <c r="A346" s="11"/>
      <c r="B346" s="11"/>
      <c r="C346" s="2"/>
      <c r="D346" s="2"/>
      <c r="E346" s="2"/>
      <c r="F346" s="2"/>
      <c r="G346" s="2"/>
      <c r="H346" s="2"/>
      <c r="I346" s="2"/>
      <c r="J346" s="2"/>
      <c r="K346" s="2"/>
      <c r="L346" s="2"/>
      <c r="M346" s="2"/>
      <c r="N346" s="2"/>
    </row>
    <row r="347" spans="1:14">
      <c r="A347" s="11"/>
      <c r="B347" s="11"/>
      <c r="C347" s="2"/>
      <c r="D347" s="2"/>
      <c r="E347" s="2"/>
      <c r="F347" s="2"/>
      <c r="G347" s="2"/>
      <c r="H347" s="2"/>
      <c r="I347" s="2"/>
      <c r="J347" s="2"/>
      <c r="K347" s="2"/>
      <c r="L347" s="2"/>
      <c r="M347" s="2"/>
      <c r="N347" s="2"/>
    </row>
    <row r="348" spans="1:14">
      <c r="A348" s="11"/>
      <c r="B348" s="11"/>
      <c r="C348" s="2"/>
      <c r="D348" s="2"/>
      <c r="E348" s="2"/>
      <c r="F348" s="2"/>
      <c r="G348" s="2"/>
      <c r="H348" s="2"/>
      <c r="I348" s="2"/>
      <c r="J348" s="2"/>
      <c r="K348" s="2"/>
      <c r="L348" s="2"/>
      <c r="M348" s="2"/>
      <c r="N348" s="2"/>
    </row>
    <row r="349" spans="1:14">
      <c r="A349" s="11"/>
      <c r="B349" s="11"/>
      <c r="C349" s="2"/>
      <c r="D349" s="2"/>
      <c r="E349" s="2"/>
      <c r="F349" s="2"/>
      <c r="G349" s="2"/>
      <c r="H349" s="2"/>
      <c r="I349" s="2"/>
      <c r="J349" s="2"/>
      <c r="K349" s="2"/>
      <c r="L349" s="2"/>
      <c r="M349" s="2"/>
      <c r="N349" s="2"/>
    </row>
    <row r="350" spans="1:14">
      <c r="A350" s="11"/>
      <c r="B350" s="11"/>
      <c r="C350" s="2"/>
      <c r="D350" s="2"/>
      <c r="E350" s="2"/>
      <c r="F350" s="2"/>
      <c r="G350" s="2"/>
      <c r="H350" s="2"/>
      <c r="I350" s="2"/>
      <c r="J350" s="2"/>
      <c r="K350" s="2"/>
      <c r="L350" s="2"/>
      <c r="M350" s="2"/>
      <c r="N350" s="2"/>
    </row>
    <row r="351" spans="1:14">
      <c r="A351" s="11"/>
      <c r="B351" s="11"/>
      <c r="C351" s="2"/>
      <c r="D351" s="2"/>
      <c r="E351" s="2"/>
      <c r="F351" s="2"/>
      <c r="G351" s="2"/>
      <c r="H351" s="2"/>
      <c r="I351" s="2"/>
      <c r="J351" s="2"/>
      <c r="K351" s="2"/>
      <c r="L351" s="2"/>
      <c r="M351" s="2"/>
      <c r="N351" s="2"/>
    </row>
    <row r="352" spans="1:14">
      <c r="A352" s="11"/>
      <c r="B352" s="11"/>
      <c r="C352" s="2"/>
      <c r="D352" s="2"/>
      <c r="E352" s="2"/>
      <c r="F352" s="2"/>
      <c r="G352" s="2"/>
      <c r="H352" s="2"/>
      <c r="I352" s="2"/>
      <c r="J352" s="2"/>
      <c r="K352" s="2"/>
      <c r="L352" s="2"/>
      <c r="M352" s="2"/>
      <c r="N352" s="2"/>
    </row>
    <row r="353" spans="1:14">
      <c r="A353" s="11"/>
      <c r="B353" s="11"/>
      <c r="C353" s="2"/>
      <c r="D353" s="2"/>
      <c r="E353" s="2"/>
      <c r="F353" s="2"/>
      <c r="G353" s="2"/>
      <c r="H353" s="2"/>
      <c r="I353" s="2"/>
      <c r="J353" s="2"/>
      <c r="K353" s="2"/>
      <c r="L353" s="2"/>
      <c r="M353" s="2"/>
      <c r="N353" s="2"/>
    </row>
    <row r="354" spans="1:14">
      <c r="A354" s="11"/>
      <c r="B354" s="11"/>
      <c r="C354" s="2"/>
      <c r="D354" s="2"/>
      <c r="E354" s="2"/>
      <c r="F354" s="2"/>
      <c r="G354" s="2"/>
      <c r="H354" s="2"/>
      <c r="I354" s="2"/>
      <c r="J354" s="2"/>
      <c r="K354" s="2"/>
      <c r="L354" s="2"/>
      <c r="M354" s="2"/>
      <c r="N354" s="2"/>
    </row>
    <row r="355" spans="1:14">
      <c r="A355" s="11"/>
      <c r="B355" s="11"/>
      <c r="C355" s="2"/>
      <c r="D355" s="2"/>
      <c r="E355" s="2"/>
      <c r="F355" s="2"/>
      <c r="G355" s="2"/>
      <c r="H355" s="2"/>
      <c r="I355" s="2"/>
      <c r="J355" s="2"/>
      <c r="K355" s="2"/>
      <c r="L355" s="2"/>
      <c r="M355" s="2"/>
      <c r="N355" s="2"/>
    </row>
    <row r="356" spans="1:14">
      <c r="A356" s="11"/>
      <c r="B356" s="11"/>
      <c r="C356" s="2"/>
      <c r="D356" s="2"/>
      <c r="E356" s="2"/>
      <c r="F356" s="2"/>
      <c r="G356" s="2"/>
      <c r="H356" s="2"/>
      <c r="I356" s="2"/>
      <c r="J356" s="2"/>
      <c r="K356" s="2"/>
      <c r="L356" s="2"/>
      <c r="M356" s="2"/>
      <c r="N356" s="2"/>
    </row>
    <row r="357" spans="1:14">
      <c r="A357" s="11"/>
      <c r="B357" s="11"/>
      <c r="C357" s="2"/>
      <c r="D357" s="2"/>
      <c r="E357" s="2"/>
      <c r="F357" s="2"/>
      <c r="G357" s="2"/>
      <c r="H357" s="2"/>
      <c r="I357" s="2"/>
      <c r="J357" s="2"/>
      <c r="K357" s="2"/>
      <c r="L357" s="2"/>
      <c r="M357" s="2"/>
      <c r="N357" s="2"/>
    </row>
    <row r="358" spans="1:14">
      <c r="A358" s="11"/>
      <c r="B358" s="11"/>
      <c r="C358" s="2"/>
      <c r="D358" s="2"/>
      <c r="E358" s="2"/>
      <c r="F358" s="2"/>
      <c r="G358" s="2"/>
      <c r="H358" s="2"/>
      <c r="I358" s="2"/>
      <c r="J358" s="2"/>
      <c r="K358" s="2"/>
      <c r="L358" s="2"/>
      <c r="M358" s="2"/>
      <c r="N358" s="2"/>
    </row>
    <row r="359" spans="1:14">
      <c r="A359" s="11"/>
      <c r="B359" s="11"/>
      <c r="C359" s="2"/>
      <c r="D359" s="2"/>
      <c r="E359" s="2"/>
      <c r="F359" s="2"/>
      <c r="G359" s="2"/>
      <c r="H359" s="2"/>
      <c r="I359" s="2"/>
      <c r="J359" s="2"/>
      <c r="K359" s="2"/>
      <c r="L359" s="2"/>
      <c r="M359" s="2"/>
      <c r="N359" s="2"/>
    </row>
    <row r="360" spans="1:14">
      <c r="A360" s="11"/>
      <c r="B360" s="11"/>
      <c r="C360" s="2"/>
      <c r="D360" s="2"/>
      <c r="E360" s="2"/>
      <c r="F360" s="2"/>
      <c r="G360" s="2"/>
      <c r="H360" s="2"/>
      <c r="I360" s="2"/>
      <c r="J360" s="2"/>
      <c r="K360" s="2"/>
      <c r="L360" s="2"/>
      <c r="M360" s="2"/>
      <c r="N360" s="2"/>
    </row>
    <row r="361" spans="1:14">
      <c r="A361" s="11"/>
      <c r="B361" s="11"/>
      <c r="C361" s="2"/>
      <c r="D361" s="2"/>
      <c r="E361" s="2"/>
      <c r="F361" s="2"/>
      <c r="G361" s="2"/>
      <c r="H361" s="2"/>
      <c r="I361" s="2"/>
      <c r="J361" s="2"/>
      <c r="K361" s="2"/>
      <c r="L361" s="2"/>
      <c r="M361" s="2"/>
      <c r="N361" s="2"/>
    </row>
    <row r="362" spans="1:14">
      <c r="A362" s="11"/>
      <c r="B362" s="11"/>
      <c r="C362" s="2"/>
      <c r="D362" s="2"/>
      <c r="E362" s="2"/>
      <c r="F362" s="2"/>
      <c r="G362" s="2"/>
      <c r="H362" s="2"/>
      <c r="I362" s="2"/>
      <c r="J362" s="2"/>
      <c r="K362" s="2"/>
      <c r="L362" s="2"/>
      <c r="M362" s="2"/>
      <c r="N362" s="2"/>
    </row>
    <row r="363" spans="1:14">
      <c r="A363" s="11"/>
      <c r="B363" s="11"/>
      <c r="C363" s="2"/>
      <c r="D363" s="2"/>
      <c r="E363" s="2"/>
      <c r="F363" s="2"/>
      <c r="G363" s="2"/>
      <c r="H363" s="2"/>
      <c r="I363" s="2"/>
      <c r="J363" s="2"/>
      <c r="K363" s="2"/>
      <c r="L363" s="2"/>
      <c r="M363" s="2"/>
      <c r="N363" s="2"/>
    </row>
    <row r="364" spans="1:14">
      <c r="A364" s="11"/>
      <c r="B364" s="11"/>
      <c r="C364" s="2"/>
      <c r="D364" s="2"/>
      <c r="E364" s="2"/>
      <c r="F364" s="2"/>
      <c r="G364" s="2"/>
      <c r="H364" s="2"/>
      <c r="I364" s="2"/>
      <c r="J364" s="2"/>
      <c r="K364" s="2"/>
      <c r="L364" s="2"/>
      <c r="M364" s="2"/>
      <c r="N364" s="2"/>
    </row>
    <row r="365" spans="1:14">
      <c r="A365" s="11"/>
      <c r="B365" s="11"/>
      <c r="C365" s="2"/>
      <c r="D365" s="2"/>
      <c r="E365" s="2"/>
      <c r="F365" s="2"/>
      <c r="G365" s="2"/>
      <c r="H365" s="2"/>
      <c r="I365" s="2"/>
      <c r="J365" s="2"/>
      <c r="K365" s="2"/>
      <c r="L365" s="2"/>
      <c r="M365" s="2"/>
      <c r="N365" s="2"/>
    </row>
    <row r="366" spans="1:14">
      <c r="A366" s="11"/>
      <c r="B366" s="11"/>
      <c r="C366" s="2"/>
      <c r="D366" s="2"/>
      <c r="E366" s="2"/>
      <c r="F366" s="2"/>
      <c r="G366" s="2"/>
      <c r="H366" s="2"/>
      <c r="I366" s="2"/>
      <c r="J366" s="2"/>
      <c r="K366" s="2"/>
      <c r="L366" s="2"/>
      <c r="M366" s="2"/>
      <c r="N366" s="2"/>
    </row>
    <row r="367" spans="1:14">
      <c r="A367" s="11"/>
      <c r="B367" s="11"/>
      <c r="C367" s="2"/>
      <c r="D367" s="2"/>
      <c r="E367" s="2"/>
      <c r="F367" s="2"/>
      <c r="G367" s="2"/>
      <c r="H367" s="2"/>
      <c r="I367" s="2"/>
      <c r="J367" s="2"/>
      <c r="K367" s="2"/>
      <c r="L367" s="2"/>
      <c r="M367" s="2"/>
      <c r="N367" s="2"/>
    </row>
    <row r="368" spans="1:14">
      <c r="A368" s="11"/>
      <c r="B368" s="11"/>
      <c r="C368" s="2"/>
      <c r="D368" s="2"/>
      <c r="E368" s="2"/>
      <c r="F368" s="2"/>
      <c r="G368" s="2"/>
      <c r="H368" s="2"/>
      <c r="I368" s="2"/>
      <c r="J368" s="2"/>
      <c r="K368" s="2"/>
      <c r="L368" s="2"/>
      <c r="M368" s="2"/>
      <c r="N368" s="2"/>
    </row>
    <row r="369" spans="1:14">
      <c r="A369" s="11"/>
      <c r="B369" s="11"/>
      <c r="C369" s="2"/>
      <c r="D369" s="2"/>
      <c r="E369" s="2"/>
      <c r="F369" s="2"/>
      <c r="G369" s="2"/>
      <c r="H369" s="2"/>
      <c r="I369" s="2"/>
      <c r="J369" s="2"/>
      <c r="K369" s="2"/>
      <c r="L369" s="2"/>
      <c r="M369" s="2"/>
      <c r="N369" s="2"/>
    </row>
    <row r="370" spans="1:14">
      <c r="A370" s="11"/>
      <c r="B370" s="11"/>
      <c r="C370" s="2"/>
      <c r="D370" s="2"/>
      <c r="E370" s="2"/>
      <c r="F370" s="2"/>
      <c r="G370" s="2"/>
      <c r="H370" s="2"/>
      <c r="I370" s="2"/>
      <c r="J370" s="2"/>
      <c r="K370" s="2"/>
      <c r="L370" s="2"/>
      <c r="M370" s="2"/>
      <c r="N370" s="2"/>
    </row>
    <row r="371" spans="1:14">
      <c r="A371" s="11"/>
      <c r="B371" s="11"/>
      <c r="C371" s="2"/>
      <c r="D371" s="2"/>
      <c r="E371" s="2"/>
      <c r="F371" s="2"/>
      <c r="G371" s="2"/>
      <c r="H371" s="2"/>
      <c r="I371" s="2"/>
      <c r="J371" s="2"/>
      <c r="K371" s="2"/>
      <c r="L371" s="2"/>
      <c r="M371" s="2"/>
      <c r="N371" s="2"/>
    </row>
    <row r="372" spans="1:14">
      <c r="A372" s="11"/>
      <c r="B372" s="11"/>
      <c r="C372" s="2"/>
      <c r="D372" s="2"/>
      <c r="E372" s="2"/>
      <c r="F372" s="2"/>
      <c r="G372" s="2"/>
      <c r="H372" s="2"/>
      <c r="I372" s="2"/>
      <c r="J372" s="2"/>
      <c r="K372" s="2"/>
      <c r="L372" s="2"/>
      <c r="M372" s="2"/>
      <c r="N372" s="2"/>
    </row>
    <row r="373" spans="1:14">
      <c r="A373" s="11"/>
      <c r="B373" s="11"/>
      <c r="C373" s="2"/>
      <c r="D373" s="2"/>
      <c r="E373" s="2"/>
      <c r="F373" s="2"/>
      <c r="G373" s="2"/>
      <c r="H373" s="2"/>
      <c r="I373" s="2"/>
      <c r="J373" s="2"/>
      <c r="K373" s="2"/>
      <c r="L373" s="2"/>
      <c r="M373" s="2"/>
      <c r="N373" s="2"/>
    </row>
    <row r="374" spans="1:14">
      <c r="A374" s="11"/>
      <c r="B374" s="11"/>
      <c r="C374" s="2"/>
      <c r="D374" s="2"/>
      <c r="E374" s="2"/>
      <c r="F374" s="2"/>
      <c r="G374" s="2"/>
      <c r="H374" s="2"/>
      <c r="I374" s="2"/>
      <c r="J374" s="2"/>
      <c r="K374" s="2"/>
      <c r="L374" s="2"/>
      <c r="M374" s="2"/>
      <c r="N374" s="2"/>
    </row>
    <row r="375" spans="1:14">
      <c r="A375" s="11"/>
      <c r="B375" s="11"/>
      <c r="C375" s="2"/>
      <c r="D375" s="2"/>
      <c r="E375" s="2"/>
      <c r="F375" s="2"/>
      <c r="G375" s="2"/>
      <c r="H375" s="2"/>
      <c r="I375" s="2"/>
      <c r="J375" s="2"/>
      <c r="K375" s="2"/>
      <c r="L375" s="2"/>
      <c r="M375" s="2"/>
      <c r="N375" s="2"/>
    </row>
    <row r="376" spans="1:14">
      <c r="A376" s="11"/>
      <c r="B376" s="11"/>
      <c r="C376" s="2"/>
      <c r="D376" s="2"/>
      <c r="E376" s="2"/>
      <c r="F376" s="2"/>
      <c r="G376" s="2"/>
      <c r="H376" s="2"/>
      <c r="I376" s="2"/>
      <c r="J376" s="2"/>
      <c r="K376" s="2"/>
      <c r="L376" s="2"/>
      <c r="M376" s="2"/>
      <c r="N376" s="2"/>
    </row>
    <row r="377" spans="1:14">
      <c r="A377" s="11"/>
      <c r="B377" s="11"/>
      <c r="C377" s="2"/>
      <c r="D377" s="2"/>
      <c r="E377" s="2"/>
      <c r="F377" s="2"/>
      <c r="G377" s="2"/>
      <c r="H377" s="2"/>
      <c r="I377" s="2"/>
      <c r="J377" s="2"/>
      <c r="K377" s="2"/>
      <c r="L377" s="2"/>
      <c r="M377" s="2"/>
      <c r="N377" s="2"/>
    </row>
    <row r="378" spans="1:14">
      <c r="A378" s="11"/>
      <c r="B378" s="11"/>
      <c r="C378" s="2"/>
      <c r="D378" s="2"/>
      <c r="E378" s="2"/>
      <c r="F378" s="2"/>
      <c r="G378" s="2"/>
      <c r="H378" s="2"/>
      <c r="I378" s="2"/>
      <c r="J378" s="2"/>
      <c r="K378" s="2"/>
      <c r="L378" s="2"/>
      <c r="M378" s="2"/>
      <c r="N378" s="2"/>
    </row>
    <row r="379" spans="1:14">
      <c r="A379" s="11"/>
      <c r="B379" s="11"/>
      <c r="C379" s="2"/>
      <c r="D379" s="2"/>
      <c r="E379" s="2"/>
      <c r="F379" s="2"/>
      <c r="G379" s="2"/>
      <c r="H379" s="2"/>
      <c r="I379" s="2"/>
      <c r="J379" s="2"/>
      <c r="K379" s="2"/>
      <c r="L379" s="2"/>
      <c r="M379" s="2"/>
      <c r="N379" s="2"/>
    </row>
    <row r="380" spans="1:14">
      <c r="A380" s="11"/>
      <c r="B380" s="11"/>
      <c r="C380" s="2"/>
      <c r="D380" s="2"/>
      <c r="E380" s="2"/>
      <c r="F380" s="2"/>
      <c r="G380" s="2"/>
      <c r="H380" s="2"/>
      <c r="I380" s="2"/>
      <c r="J380" s="2"/>
      <c r="K380" s="2"/>
      <c r="L380" s="2"/>
      <c r="M380" s="2"/>
      <c r="N380" s="2"/>
    </row>
    <row r="381" spans="1:14">
      <c r="A381" s="11"/>
      <c r="B381" s="11"/>
      <c r="C381" s="2"/>
      <c r="D381" s="2"/>
      <c r="E381" s="2"/>
      <c r="F381" s="2"/>
      <c r="G381" s="2"/>
      <c r="H381" s="2"/>
      <c r="I381" s="2"/>
      <c r="J381" s="2"/>
      <c r="K381" s="2"/>
      <c r="L381" s="2"/>
      <c r="M381" s="2"/>
      <c r="N381" s="2"/>
    </row>
    <row r="382" spans="1:14">
      <c r="A382" s="11"/>
      <c r="B382" s="11"/>
      <c r="C382" s="2"/>
      <c r="D382" s="2"/>
      <c r="E382" s="2"/>
      <c r="F382" s="2"/>
      <c r="G382" s="2"/>
      <c r="H382" s="2"/>
      <c r="I382" s="2"/>
      <c r="J382" s="2"/>
      <c r="K382" s="2"/>
      <c r="L382" s="2"/>
      <c r="M382" s="2"/>
      <c r="N382" s="2"/>
    </row>
    <row r="383" spans="1:14">
      <c r="A383" s="11"/>
      <c r="B383" s="11"/>
      <c r="C383" s="2"/>
      <c r="D383" s="2"/>
      <c r="E383" s="2"/>
      <c r="F383" s="2"/>
      <c r="G383" s="2"/>
      <c r="H383" s="2"/>
      <c r="I383" s="2"/>
      <c r="J383" s="2"/>
      <c r="K383" s="2"/>
      <c r="L383" s="2"/>
      <c r="M383" s="2"/>
      <c r="N383" s="2"/>
    </row>
    <row r="384" spans="1:14">
      <c r="A384" s="11"/>
      <c r="B384" s="11"/>
      <c r="C384" s="2"/>
      <c r="D384" s="2"/>
      <c r="E384" s="2"/>
      <c r="F384" s="2"/>
      <c r="G384" s="2"/>
      <c r="H384" s="2"/>
      <c r="I384" s="2"/>
      <c r="J384" s="2"/>
      <c r="K384" s="2"/>
      <c r="L384" s="2"/>
      <c r="M384" s="2"/>
      <c r="N384" s="2"/>
    </row>
    <row r="385" spans="1:14">
      <c r="A385" s="11"/>
      <c r="B385" s="11"/>
      <c r="C385" s="2"/>
      <c r="D385" s="2"/>
      <c r="E385" s="2"/>
      <c r="F385" s="2"/>
      <c r="G385" s="2"/>
      <c r="H385" s="2"/>
      <c r="I385" s="2"/>
      <c r="J385" s="2"/>
      <c r="K385" s="2"/>
      <c r="L385" s="2"/>
      <c r="M385" s="2"/>
      <c r="N385" s="2"/>
    </row>
    <row r="386" spans="1:14">
      <c r="A386" s="11"/>
      <c r="B386" s="11"/>
      <c r="C386" s="2"/>
      <c r="D386" s="2"/>
      <c r="E386" s="2"/>
      <c r="F386" s="2"/>
      <c r="G386" s="2"/>
      <c r="H386" s="2"/>
      <c r="I386" s="2"/>
      <c r="J386" s="2"/>
      <c r="K386" s="2"/>
      <c r="L386" s="2"/>
      <c r="M386" s="2"/>
      <c r="N386" s="2"/>
    </row>
    <row r="387" spans="1:14">
      <c r="A387" s="11"/>
      <c r="B387" s="11"/>
      <c r="C387" s="2"/>
      <c r="D387" s="2"/>
      <c r="E387" s="2"/>
      <c r="F387" s="2"/>
      <c r="G387" s="2"/>
      <c r="H387" s="2"/>
      <c r="I387" s="2"/>
      <c r="J387" s="2"/>
      <c r="K387" s="2"/>
      <c r="L387" s="2"/>
      <c r="M387" s="2"/>
      <c r="N387" s="2"/>
    </row>
    <row r="388" spans="1:14">
      <c r="A388" s="11"/>
      <c r="B388" s="11"/>
      <c r="C388" s="2"/>
      <c r="D388" s="2"/>
      <c r="E388" s="2"/>
      <c r="F388" s="2"/>
      <c r="G388" s="2"/>
      <c r="H388" s="2"/>
      <c r="I388" s="2"/>
      <c r="J388" s="2"/>
      <c r="K388" s="2"/>
      <c r="L388" s="2"/>
      <c r="M388" s="2"/>
      <c r="N388" s="2"/>
    </row>
    <row r="389" spans="1:14">
      <c r="A389" s="11"/>
      <c r="B389" s="11"/>
      <c r="C389" s="2"/>
      <c r="D389" s="2"/>
      <c r="E389" s="2"/>
      <c r="F389" s="2"/>
      <c r="G389" s="2"/>
      <c r="H389" s="2"/>
      <c r="I389" s="2"/>
      <c r="J389" s="2"/>
      <c r="K389" s="2"/>
      <c r="L389" s="2"/>
      <c r="M389" s="2"/>
      <c r="N389" s="2"/>
    </row>
    <row r="390" spans="1:14">
      <c r="A390" s="11"/>
      <c r="B390" s="11"/>
      <c r="C390" s="2"/>
      <c r="D390" s="2"/>
      <c r="E390" s="2"/>
      <c r="F390" s="2"/>
      <c r="G390" s="2"/>
      <c r="H390" s="2"/>
      <c r="I390" s="2"/>
      <c r="J390" s="2"/>
      <c r="K390" s="2"/>
      <c r="L390" s="2"/>
      <c r="M390" s="2"/>
      <c r="N390" s="2"/>
    </row>
    <row r="391" spans="1:14">
      <c r="A391" s="11"/>
      <c r="B391" s="11"/>
      <c r="C391" s="2"/>
      <c r="D391" s="2"/>
      <c r="E391" s="2"/>
      <c r="F391" s="2"/>
      <c r="G391" s="2"/>
      <c r="H391" s="2"/>
      <c r="I391" s="2"/>
      <c r="J391" s="2"/>
      <c r="K391" s="2"/>
      <c r="L391" s="2"/>
      <c r="M391" s="2"/>
      <c r="N391" s="2"/>
    </row>
    <row r="392" spans="1:14">
      <c r="A392" s="11"/>
      <c r="B392" s="11"/>
      <c r="C392" s="2"/>
      <c r="D392" s="2"/>
      <c r="E392" s="2"/>
      <c r="F392" s="2"/>
      <c r="G392" s="2"/>
      <c r="H392" s="2"/>
      <c r="I392" s="2"/>
      <c r="J392" s="2"/>
      <c r="K392" s="2"/>
      <c r="L392" s="2"/>
      <c r="M392" s="2"/>
      <c r="N392" s="2"/>
    </row>
    <row r="393" spans="1:14">
      <c r="A393" s="11"/>
      <c r="B393" s="11"/>
      <c r="C393" s="2"/>
      <c r="D393" s="2"/>
      <c r="E393" s="2"/>
      <c r="F393" s="2"/>
      <c r="G393" s="2"/>
      <c r="H393" s="2"/>
      <c r="I393" s="2"/>
      <c r="J393" s="2"/>
      <c r="K393" s="2"/>
      <c r="L393" s="2"/>
      <c r="M393" s="2"/>
      <c r="N393" s="2"/>
    </row>
    <row r="394" spans="1:14">
      <c r="A394" s="11"/>
      <c r="B394" s="11"/>
      <c r="C394" s="2"/>
      <c r="D394" s="2"/>
      <c r="E394" s="2"/>
      <c r="F394" s="2"/>
      <c r="G394" s="2"/>
      <c r="H394" s="2"/>
      <c r="I394" s="2"/>
      <c r="J394" s="2"/>
      <c r="K394" s="2"/>
      <c r="L394" s="2"/>
      <c r="M394" s="2"/>
      <c r="N394" s="2"/>
    </row>
    <row r="395" spans="1:14">
      <c r="A395" s="11"/>
      <c r="B395" s="11"/>
      <c r="C395" s="2"/>
      <c r="D395" s="2"/>
      <c r="E395" s="2"/>
      <c r="F395" s="2"/>
      <c r="G395" s="2"/>
      <c r="H395" s="2"/>
      <c r="I395" s="2"/>
      <c r="J395" s="2"/>
      <c r="K395" s="2"/>
      <c r="L395" s="2"/>
      <c r="M395" s="2"/>
      <c r="N395" s="2"/>
    </row>
    <row r="396" spans="1:14">
      <c r="A396" s="11"/>
      <c r="B396" s="11"/>
      <c r="C396" s="2"/>
      <c r="D396" s="2"/>
      <c r="E396" s="2"/>
      <c r="F396" s="2"/>
      <c r="G396" s="2"/>
      <c r="H396" s="2"/>
      <c r="I396" s="2"/>
      <c r="J396" s="2"/>
      <c r="K396" s="2"/>
      <c r="L396" s="2"/>
      <c r="M396" s="2"/>
      <c r="N396" s="2"/>
    </row>
    <row r="397" spans="1:14">
      <c r="A397" s="11"/>
      <c r="B397" s="11"/>
      <c r="C397" s="2"/>
      <c r="D397" s="2"/>
      <c r="E397" s="2"/>
      <c r="F397" s="2"/>
      <c r="G397" s="2"/>
      <c r="H397" s="2"/>
      <c r="I397" s="2"/>
      <c r="J397" s="2"/>
      <c r="K397" s="2"/>
      <c r="L397" s="2"/>
      <c r="M397" s="2"/>
      <c r="N397" s="2"/>
    </row>
    <row r="398" spans="1:14">
      <c r="A398" s="11"/>
      <c r="B398" s="11"/>
      <c r="C398" s="2"/>
      <c r="D398" s="2"/>
      <c r="E398" s="2"/>
      <c r="F398" s="2"/>
      <c r="G398" s="2"/>
      <c r="H398" s="2"/>
      <c r="I398" s="2"/>
      <c r="J398" s="2"/>
      <c r="K398" s="2"/>
      <c r="L398" s="2"/>
      <c r="M398" s="2"/>
      <c r="N398" s="2"/>
    </row>
    <row r="399" spans="1:14">
      <c r="A399" s="11"/>
      <c r="B399" s="11"/>
      <c r="C399" s="2"/>
      <c r="D399" s="2"/>
      <c r="E399" s="2"/>
      <c r="F399" s="2"/>
      <c r="G399" s="2"/>
      <c r="H399" s="2"/>
      <c r="I399" s="2"/>
      <c r="J399" s="2"/>
      <c r="K399" s="2"/>
      <c r="L399" s="2"/>
      <c r="M399" s="2"/>
      <c r="N399" s="2"/>
    </row>
    <row r="400" spans="1:14">
      <c r="A400" s="11"/>
      <c r="B400" s="11"/>
      <c r="C400" s="2"/>
      <c r="D400" s="2"/>
      <c r="E400" s="2"/>
      <c r="F400" s="2"/>
      <c r="G400" s="2"/>
      <c r="H400" s="2"/>
      <c r="I400" s="2"/>
      <c r="J400" s="2"/>
      <c r="K400" s="2"/>
      <c r="L400" s="2"/>
      <c r="M400" s="2"/>
      <c r="N400" s="2"/>
    </row>
    <row r="401" spans="1:14">
      <c r="A401" s="11"/>
      <c r="B401" s="11"/>
      <c r="C401" s="2"/>
      <c r="D401" s="2"/>
      <c r="E401" s="2"/>
      <c r="F401" s="2"/>
      <c r="G401" s="2"/>
      <c r="H401" s="2"/>
      <c r="I401" s="2"/>
      <c r="J401" s="2"/>
      <c r="K401" s="2"/>
      <c r="L401" s="2"/>
      <c r="M401" s="2"/>
      <c r="N401" s="2"/>
    </row>
    <row r="402" spans="1:14">
      <c r="A402" s="11"/>
      <c r="B402" s="11"/>
      <c r="C402" s="2"/>
      <c r="D402" s="2"/>
      <c r="E402" s="2"/>
      <c r="F402" s="2"/>
      <c r="G402" s="2"/>
      <c r="H402" s="2"/>
      <c r="I402" s="2"/>
      <c r="J402" s="2"/>
      <c r="K402" s="2"/>
      <c r="L402" s="2"/>
      <c r="M402" s="2"/>
      <c r="N402" s="2"/>
    </row>
    <row r="403" spans="1:14">
      <c r="A403" s="11"/>
      <c r="B403" s="11"/>
      <c r="C403" s="2"/>
      <c r="D403" s="2"/>
      <c r="E403" s="2"/>
      <c r="F403" s="2"/>
      <c r="G403" s="2"/>
      <c r="H403" s="2"/>
      <c r="I403" s="2"/>
      <c r="J403" s="2"/>
      <c r="K403" s="2"/>
      <c r="L403" s="2"/>
      <c r="M403" s="2"/>
      <c r="N403" s="2"/>
    </row>
    <row r="404" spans="1:14">
      <c r="A404" s="11"/>
      <c r="B404" s="11"/>
      <c r="C404" s="2"/>
      <c r="D404" s="2"/>
      <c r="E404" s="2"/>
      <c r="F404" s="2"/>
      <c r="G404" s="2"/>
      <c r="H404" s="2"/>
      <c r="I404" s="2"/>
      <c r="J404" s="2"/>
      <c r="K404" s="2"/>
      <c r="L404" s="2"/>
      <c r="M404" s="2"/>
      <c r="N404" s="2"/>
    </row>
    <row r="405" spans="1:14">
      <c r="A405" s="11"/>
      <c r="B405" s="11"/>
      <c r="C405" s="2"/>
      <c r="D405" s="2"/>
      <c r="E405" s="2"/>
      <c r="F405" s="2"/>
      <c r="G405" s="2"/>
      <c r="H405" s="2"/>
      <c r="I405" s="2"/>
      <c r="J405" s="2"/>
      <c r="K405" s="2"/>
      <c r="L405" s="2"/>
      <c r="M405" s="2"/>
      <c r="N405" s="2"/>
    </row>
    <row r="406" spans="1:14">
      <c r="A406" s="11"/>
      <c r="B406" s="11"/>
      <c r="C406" s="2"/>
      <c r="D406" s="2"/>
      <c r="E406" s="2"/>
      <c r="F406" s="2"/>
      <c r="G406" s="2"/>
      <c r="H406" s="2"/>
      <c r="I406" s="2"/>
      <c r="J406" s="2"/>
      <c r="K406" s="2"/>
      <c r="L406" s="2"/>
      <c r="M406" s="2"/>
      <c r="N406" s="2"/>
    </row>
    <row r="407" spans="1:14">
      <c r="A407" s="11"/>
      <c r="B407" s="11"/>
      <c r="C407" s="2"/>
      <c r="D407" s="2"/>
      <c r="E407" s="2"/>
      <c r="F407" s="2"/>
      <c r="G407" s="2"/>
      <c r="H407" s="2"/>
      <c r="I407" s="2"/>
      <c r="J407" s="2"/>
      <c r="K407" s="2"/>
      <c r="L407" s="2"/>
      <c r="M407" s="2"/>
      <c r="N407" s="2"/>
    </row>
    <row r="408" spans="1:14">
      <c r="A408" s="11"/>
      <c r="B408" s="11"/>
      <c r="C408" s="2"/>
      <c r="D408" s="2"/>
      <c r="E408" s="2"/>
      <c r="F408" s="2"/>
      <c r="G408" s="2"/>
      <c r="H408" s="2"/>
      <c r="I408" s="2"/>
      <c r="J408" s="2"/>
      <c r="K408" s="2"/>
      <c r="L408" s="2"/>
      <c r="M408" s="2"/>
      <c r="N408" s="2"/>
    </row>
    <row r="409" spans="1:14">
      <c r="A409" s="11"/>
      <c r="B409" s="11"/>
      <c r="C409" s="2"/>
      <c r="D409" s="2"/>
      <c r="E409" s="2"/>
      <c r="F409" s="2"/>
      <c r="G409" s="2"/>
      <c r="H409" s="2"/>
      <c r="I409" s="2"/>
      <c r="J409" s="2"/>
      <c r="K409" s="2"/>
      <c r="L409" s="2"/>
      <c r="M409" s="2"/>
      <c r="N409" s="2"/>
    </row>
    <row r="410" spans="1:14">
      <c r="A410" s="11"/>
      <c r="B410" s="11"/>
      <c r="C410" s="2"/>
      <c r="D410" s="2"/>
      <c r="E410" s="2"/>
      <c r="F410" s="2"/>
      <c r="G410" s="2"/>
      <c r="H410" s="2"/>
      <c r="I410" s="2"/>
      <c r="J410" s="2"/>
      <c r="K410" s="2"/>
      <c r="L410" s="2"/>
      <c r="M410" s="2"/>
      <c r="N410" s="2"/>
    </row>
    <row r="411" spans="1:14">
      <c r="A411" s="11"/>
      <c r="B411" s="11"/>
      <c r="C411" s="2"/>
      <c r="D411" s="2"/>
      <c r="E411" s="2"/>
      <c r="F411" s="2"/>
      <c r="G411" s="2"/>
      <c r="H411" s="2"/>
      <c r="I411" s="2"/>
      <c r="J411" s="2"/>
      <c r="K411" s="2"/>
      <c r="L411" s="2"/>
      <c r="M411" s="2"/>
      <c r="N411" s="2"/>
    </row>
    <row r="412" spans="1:14">
      <c r="A412" s="11"/>
      <c r="B412" s="11"/>
      <c r="C412" s="2"/>
      <c r="D412" s="2"/>
      <c r="E412" s="2"/>
      <c r="F412" s="2"/>
      <c r="G412" s="2"/>
      <c r="H412" s="2"/>
      <c r="I412" s="2"/>
      <c r="J412" s="2"/>
      <c r="K412" s="2"/>
      <c r="L412" s="2"/>
      <c r="M412" s="2"/>
      <c r="N412" s="2"/>
    </row>
    <row r="413" spans="1:14">
      <c r="A413" s="11"/>
      <c r="B413" s="11"/>
      <c r="C413" s="2"/>
      <c r="D413" s="2"/>
      <c r="E413" s="2"/>
      <c r="F413" s="2"/>
      <c r="G413" s="2"/>
      <c r="H413" s="2"/>
      <c r="I413" s="2"/>
      <c r="J413" s="2"/>
      <c r="K413" s="2"/>
      <c r="L413" s="2"/>
      <c r="M413" s="2"/>
      <c r="N413" s="2"/>
    </row>
    <row r="414" spans="1:14">
      <c r="A414" s="11"/>
      <c r="B414" s="11"/>
      <c r="C414" s="2"/>
      <c r="D414" s="2"/>
      <c r="E414" s="2"/>
      <c r="F414" s="2"/>
      <c r="G414" s="2"/>
      <c r="H414" s="2"/>
      <c r="I414" s="2"/>
      <c r="J414" s="2"/>
      <c r="K414" s="2"/>
      <c r="L414" s="2"/>
      <c r="M414" s="2"/>
      <c r="N414" s="2"/>
    </row>
    <row r="415" spans="1:14">
      <c r="A415" s="11"/>
      <c r="B415" s="11"/>
      <c r="C415" s="2"/>
      <c r="D415" s="2"/>
      <c r="E415" s="2"/>
      <c r="F415" s="2"/>
      <c r="G415" s="2"/>
      <c r="H415" s="2"/>
      <c r="I415" s="2"/>
      <c r="J415" s="2"/>
      <c r="K415" s="2"/>
      <c r="L415" s="2"/>
      <c r="M415" s="2"/>
      <c r="N415" s="2"/>
    </row>
    <row r="416" spans="1:14">
      <c r="A416" s="11"/>
      <c r="B416" s="11"/>
      <c r="C416" s="2"/>
      <c r="D416" s="2"/>
      <c r="E416" s="2"/>
      <c r="F416" s="2"/>
      <c r="G416" s="2"/>
      <c r="H416" s="2"/>
      <c r="I416" s="2"/>
      <c r="J416" s="2"/>
      <c r="K416" s="2"/>
      <c r="L416" s="2"/>
      <c r="M416" s="2"/>
      <c r="N416" s="2"/>
    </row>
    <row r="417" spans="1:14">
      <c r="A417" s="11"/>
      <c r="B417" s="11"/>
      <c r="C417" s="2"/>
      <c r="D417" s="2"/>
      <c r="E417" s="2"/>
      <c r="F417" s="2"/>
      <c r="G417" s="2"/>
      <c r="H417" s="2"/>
      <c r="I417" s="2"/>
      <c r="J417" s="2"/>
      <c r="K417" s="2"/>
      <c r="L417" s="2"/>
      <c r="M417" s="2"/>
      <c r="N417" s="2"/>
    </row>
    <row r="418" spans="1:14">
      <c r="A418" s="11"/>
      <c r="B418" s="11"/>
      <c r="C418" s="2"/>
      <c r="D418" s="2"/>
      <c r="E418" s="2"/>
      <c r="F418" s="2"/>
      <c r="G418" s="2"/>
      <c r="H418" s="2"/>
      <c r="I418" s="2"/>
      <c r="J418" s="2"/>
      <c r="K418" s="2"/>
      <c r="L418" s="2"/>
      <c r="M418" s="2"/>
      <c r="N418" s="2"/>
    </row>
    <row r="419" spans="1:14">
      <c r="A419" s="11"/>
      <c r="B419" s="11"/>
      <c r="C419" s="2"/>
      <c r="D419" s="2"/>
      <c r="E419" s="2"/>
      <c r="F419" s="2"/>
      <c r="G419" s="2"/>
      <c r="H419" s="2"/>
      <c r="I419" s="2"/>
      <c r="J419" s="2"/>
      <c r="K419" s="2"/>
      <c r="L419" s="2"/>
      <c r="M419" s="2"/>
      <c r="N419" s="2"/>
    </row>
    <row r="420" spans="1:14">
      <c r="A420" s="11"/>
      <c r="B420" s="11"/>
      <c r="C420" s="2"/>
      <c r="D420" s="2"/>
      <c r="E420" s="2"/>
      <c r="F420" s="2"/>
      <c r="G420" s="2"/>
      <c r="H420" s="2"/>
      <c r="I420" s="2"/>
      <c r="J420" s="2"/>
      <c r="K420" s="2"/>
      <c r="L420" s="2"/>
      <c r="M420" s="2"/>
      <c r="N420" s="2"/>
    </row>
    <row r="421" spans="1:14">
      <c r="A421" s="11"/>
      <c r="B421" s="11"/>
      <c r="C421" s="2"/>
      <c r="D421" s="2"/>
      <c r="E421" s="2"/>
      <c r="F421" s="2"/>
      <c r="G421" s="2"/>
      <c r="H421" s="2"/>
      <c r="I421" s="2"/>
      <c r="J421" s="2"/>
      <c r="K421" s="2"/>
      <c r="L421" s="2"/>
      <c r="M421" s="2"/>
      <c r="N421" s="2"/>
    </row>
    <row r="422" spans="1:14">
      <c r="A422" s="11"/>
      <c r="B422" s="11"/>
      <c r="C422" s="2"/>
      <c r="D422" s="2"/>
      <c r="E422" s="2"/>
      <c r="F422" s="2"/>
      <c r="G422" s="2"/>
      <c r="H422" s="2"/>
      <c r="I422" s="2"/>
      <c r="J422" s="2"/>
      <c r="K422" s="2"/>
      <c r="L422" s="2"/>
      <c r="M422" s="2"/>
      <c r="N422" s="2"/>
    </row>
    <row r="423" spans="1:14">
      <c r="A423" s="11"/>
      <c r="B423" s="11"/>
      <c r="C423" s="2"/>
      <c r="D423" s="2"/>
      <c r="E423" s="2"/>
      <c r="F423" s="2"/>
      <c r="G423" s="2"/>
      <c r="H423" s="2"/>
      <c r="I423" s="2"/>
      <c r="J423" s="2"/>
      <c r="K423" s="2"/>
      <c r="L423" s="2"/>
      <c r="M423" s="2"/>
      <c r="N423" s="2"/>
    </row>
    <row r="424" spans="1:14">
      <c r="A424" s="11"/>
      <c r="B424" s="11"/>
      <c r="C424" s="2"/>
      <c r="D424" s="2"/>
      <c r="E424" s="2"/>
      <c r="F424" s="2"/>
      <c r="G424" s="2"/>
      <c r="H424" s="2"/>
      <c r="I424" s="2"/>
      <c r="J424" s="2"/>
      <c r="K424" s="2"/>
      <c r="L424" s="2"/>
      <c r="M424" s="2"/>
      <c r="N424" s="2"/>
    </row>
    <row r="425" spans="1:14">
      <c r="A425" s="11"/>
      <c r="B425" s="11"/>
      <c r="C425" s="2"/>
      <c r="D425" s="2"/>
      <c r="E425" s="2"/>
      <c r="F425" s="2"/>
      <c r="G425" s="2"/>
      <c r="H425" s="2"/>
      <c r="I425" s="2"/>
      <c r="J425" s="2"/>
      <c r="K425" s="2"/>
      <c r="L425" s="2"/>
      <c r="M425" s="2"/>
      <c r="N425" s="2"/>
    </row>
    <row r="426" spans="1:14">
      <c r="A426" s="11"/>
      <c r="B426" s="11"/>
      <c r="C426" s="2"/>
      <c r="D426" s="2"/>
      <c r="E426" s="2"/>
      <c r="F426" s="2"/>
      <c r="G426" s="2"/>
      <c r="H426" s="2"/>
      <c r="I426" s="2"/>
      <c r="J426" s="2"/>
      <c r="K426" s="2"/>
      <c r="L426" s="2"/>
      <c r="M426" s="2"/>
      <c r="N426" s="2"/>
    </row>
    <row r="427" spans="1:14">
      <c r="A427" s="11"/>
      <c r="B427" s="11"/>
      <c r="C427" s="2"/>
      <c r="D427" s="2"/>
      <c r="E427" s="2"/>
      <c r="F427" s="2"/>
      <c r="G427" s="2"/>
      <c r="H427" s="2"/>
      <c r="I427" s="2"/>
      <c r="J427" s="2"/>
      <c r="K427" s="2"/>
      <c r="L427" s="2"/>
      <c r="M427" s="2"/>
      <c r="N427" s="2"/>
    </row>
    <row r="428" spans="1:14">
      <c r="A428" s="11"/>
      <c r="B428" s="11"/>
      <c r="C428" s="2"/>
      <c r="D428" s="2"/>
      <c r="E428" s="2"/>
      <c r="F428" s="2"/>
      <c r="G428" s="2"/>
      <c r="H428" s="2"/>
      <c r="I428" s="2"/>
      <c r="J428" s="2"/>
      <c r="K428" s="2"/>
      <c r="L428" s="2"/>
      <c r="M428" s="2"/>
      <c r="N428" s="2"/>
    </row>
    <row r="429" spans="1:14">
      <c r="A429" s="11"/>
      <c r="B429" s="11"/>
      <c r="C429" s="2"/>
      <c r="D429" s="2"/>
      <c r="E429" s="2"/>
      <c r="F429" s="2"/>
      <c r="G429" s="2"/>
      <c r="H429" s="2"/>
      <c r="I429" s="2"/>
      <c r="J429" s="2"/>
      <c r="K429" s="2"/>
      <c r="L429" s="2"/>
      <c r="M429" s="2"/>
      <c r="N429" s="2"/>
    </row>
    <row r="430" spans="1:14">
      <c r="A430" s="11"/>
      <c r="B430" s="11"/>
      <c r="C430" s="2"/>
      <c r="D430" s="2"/>
      <c r="E430" s="2"/>
      <c r="F430" s="2"/>
      <c r="G430" s="2"/>
      <c r="H430" s="2"/>
      <c r="I430" s="2"/>
      <c r="J430" s="2"/>
      <c r="K430" s="2"/>
      <c r="L430" s="2"/>
      <c r="M430" s="2"/>
      <c r="N430" s="2"/>
    </row>
    <row r="431" spans="1:14">
      <c r="A431" s="11"/>
      <c r="B431" s="11"/>
      <c r="C431" s="2"/>
      <c r="D431" s="2"/>
      <c r="E431" s="2"/>
      <c r="F431" s="2"/>
      <c r="G431" s="2"/>
      <c r="H431" s="2"/>
      <c r="I431" s="2"/>
      <c r="J431" s="2"/>
      <c r="K431" s="2"/>
      <c r="L431" s="2"/>
      <c r="M431" s="2"/>
      <c r="N431" s="2"/>
    </row>
    <row r="432" spans="1:14">
      <c r="A432" s="11"/>
      <c r="B432" s="11"/>
      <c r="C432" s="2"/>
      <c r="D432" s="2"/>
      <c r="E432" s="2"/>
      <c r="F432" s="2"/>
      <c r="G432" s="2"/>
      <c r="H432" s="2"/>
      <c r="I432" s="2"/>
      <c r="J432" s="2"/>
      <c r="K432" s="2"/>
      <c r="L432" s="2"/>
      <c r="M432" s="2"/>
      <c r="N432" s="2"/>
    </row>
    <row r="433" spans="1:14">
      <c r="A433" s="11"/>
      <c r="B433" s="11"/>
      <c r="C433" s="2"/>
      <c r="D433" s="2"/>
      <c r="E433" s="2"/>
      <c r="F433" s="2"/>
      <c r="G433" s="2"/>
      <c r="H433" s="2"/>
      <c r="I433" s="2"/>
      <c r="J433" s="2"/>
      <c r="K433" s="2"/>
      <c r="L433" s="2"/>
      <c r="M433" s="2"/>
      <c r="N433" s="2"/>
    </row>
    <row r="434" spans="1:14">
      <c r="A434" s="11"/>
      <c r="B434" s="11"/>
      <c r="C434" s="2"/>
      <c r="D434" s="2"/>
      <c r="E434" s="2"/>
      <c r="F434" s="2"/>
      <c r="G434" s="2"/>
      <c r="H434" s="2"/>
      <c r="I434" s="2"/>
      <c r="J434" s="2"/>
      <c r="K434" s="2"/>
      <c r="L434" s="2"/>
      <c r="M434" s="2"/>
      <c r="N434" s="2"/>
    </row>
    <row r="435" spans="1:14">
      <c r="A435" s="11"/>
      <c r="B435" s="11"/>
      <c r="C435" s="2"/>
      <c r="D435" s="2"/>
      <c r="E435" s="2"/>
      <c r="F435" s="2"/>
      <c r="G435" s="2"/>
      <c r="H435" s="2"/>
      <c r="I435" s="2"/>
      <c r="J435" s="2"/>
      <c r="K435" s="2"/>
      <c r="L435" s="2"/>
      <c r="M435" s="2"/>
      <c r="N435" s="2"/>
    </row>
    <row r="436" spans="1:14">
      <c r="A436" s="11"/>
      <c r="B436" s="11"/>
      <c r="C436" s="2"/>
      <c r="D436" s="2"/>
      <c r="E436" s="2"/>
      <c r="F436" s="2"/>
      <c r="G436" s="2"/>
      <c r="H436" s="2"/>
      <c r="I436" s="2"/>
      <c r="J436" s="2"/>
      <c r="K436" s="2"/>
      <c r="L436" s="2"/>
      <c r="M436" s="2"/>
      <c r="N436" s="2"/>
    </row>
    <row r="437" spans="1:14">
      <c r="A437" s="11"/>
      <c r="B437" s="11"/>
      <c r="C437" s="2"/>
      <c r="D437" s="2"/>
      <c r="E437" s="2"/>
      <c r="F437" s="2"/>
      <c r="G437" s="2"/>
      <c r="H437" s="2"/>
      <c r="I437" s="2"/>
      <c r="J437" s="2"/>
      <c r="K437" s="2"/>
      <c r="L437" s="2"/>
      <c r="M437" s="2"/>
      <c r="N437" s="2"/>
    </row>
    <row r="438" spans="1:14">
      <c r="A438" s="11"/>
      <c r="B438" s="11"/>
      <c r="C438" s="2"/>
      <c r="D438" s="2"/>
      <c r="E438" s="2"/>
      <c r="F438" s="2"/>
      <c r="G438" s="2"/>
      <c r="H438" s="2"/>
      <c r="I438" s="2"/>
      <c r="J438" s="2"/>
      <c r="K438" s="2"/>
      <c r="L438" s="2"/>
      <c r="M438" s="2"/>
      <c r="N438" s="2"/>
    </row>
    <row r="439" spans="1:14">
      <c r="A439" s="11"/>
      <c r="B439" s="11"/>
      <c r="C439" s="2"/>
      <c r="D439" s="2"/>
      <c r="E439" s="2"/>
      <c r="F439" s="2"/>
      <c r="G439" s="2"/>
      <c r="H439" s="2"/>
      <c r="I439" s="2"/>
      <c r="J439" s="2"/>
      <c r="K439" s="2"/>
      <c r="L439" s="2"/>
      <c r="M439" s="2"/>
      <c r="N439" s="2"/>
    </row>
    <row r="440" spans="1:14">
      <c r="A440" s="11"/>
      <c r="B440" s="11"/>
      <c r="C440" s="2"/>
      <c r="D440" s="2"/>
      <c r="E440" s="2"/>
      <c r="F440" s="2"/>
      <c r="G440" s="2"/>
      <c r="H440" s="2"/>
      <c r="I440" s="2"/>
      <c r="J440" s="2"/>
      <c r="K440" s="2"/>
      <c r="L440" s="2"/>
      <c r="M440" s="2"/>
      <c r="N440" s="2"/>
    </row>
    <row r="441" spans="1:14">
      <c r="A441" s="11"/>
      <c r="B441" s="11"/>
      <c r="C441" s="2"/>
      <c r="D441" s="2"/>
      <c r="E441" s="2"/>
      <c r="F441" s="2"/>
      <c r="G441" s="2"/>
      <c r="H441" s="2"/>
      <c r="I441" s="2"/>
      <c r="J441" s="2"/>
      <c r="K441" s="2"/>
      <c r="L441" s="2"/>
      <c r="M441" s="2"/>
      <c r="N441" s="2"/>
    </row>
    <row r="442" spans="1:14">
      <c r="A442" s="11"/>
      <c r="B442" s="11"/>
      <c r="C442" s="2"/>
      <c r="D442" s="2"/>
      <c r="E442" s="2"/>
      <c r="F442" s="2"/>
      <c r="G442" s="2"/>
      <c r="H442" s="2"/>
      <c r="I442" s="2"/>
      <c r="J442" s="2"/>
      <c r="K442" s="2"/>
      <c r="L442" s="2"/>
      <c r="M442" s="2"/>
      <c r="N442" s="2"/>
    </row>
    <row r="443" spans="1:14">
      <c r="A443" s="11"/>
      <c r="B443" s="11"/>
      <c r="C443" s="2"/>
      <c r="D443" s="2"/>
      <c r="E443" s="2"/>
      <c r="F443" s="2"/>
      <c r="G443" s="2"/>
      <c r="H443" s="2"/>
      <c r="I443" s="2"/>
      <c r="J443" s="2"/>
      <c r="K443" s="2"/>
      <c r="L443" s="2"/>
      <c r="M443" s="2"/>
      <c r="N443" s="2"/>
    </row>
    <row r="444" spans="1:14">
      <c r="A444" s="11"/>
      <c r="B444" s="11"/>
      <c r="C444" s="2"/>
      <c r="D444" s="2"/>
      <c r="E444" s="2"/>
      <c r="F444" s="2"/>
      <c r="G444" s="2"/>
      <c r="H444" s="2"/>
      <c r="I444" s="2"/>
      <c r="J444" s="2"/>
      <c r="K444" s="2"/>
      <c r="L444" s="2"/>
      <c r="M444" s="2"/>
      <c r="N444" s="2"/>
    </row>
    <row r="445" spans="1:14">
      <c r="A445" s="11"/>
      <c r="B445" s="11"/>
      <c r="C445" s="2"/>
      <c r="D445" s="2"/>
      <c r="E445" s="2"/>
      <c r="F445" s="2"/>
      <c r="G445" s="2"/>
      <c r="H445" s="2"/>
      <c r="I445" s="2"/>
      <c r="J445" s="2"/>
      <c r="K445" s="2"/>
      <c r="L445" s="2"/>
      <c r="M445" s="2"/>
      <c r="N445" s="2"/>
    </row>
    <row r="446" spans="1:14">
      <c r="A446" s="11"/>
      <c r="B446" s="11"/>
      <c r="C446" s="2"/>
      <c r="D446" s="2"/>
      <c r="E446" s="2"/>
      <c r="F446" s="2"/>
      <c r="G446" s="2"/>
      <c r="H446" s="2"/>
      <c r="I446" s="2"/>
      <c r="J446" s="2"/>
      <c r="K446" s="2"/>
      <c r="L446" s="2"/>
      <c r="M446" s="2"/>
      <c r="N446" s="2"/>
    </row>
    <row r="447" spans="1:14">
      <c r="A447" s="11"/>
      <c r="B447" s="11"/>
      <c r="C447" s="2"/>
      <c r="D447" s="2"/>
      <c r="E447" s="2"/>
      <c r="F447" s="2"/>
      <c r="G447" s="2"/>
      <c r="H447" s="2"/>
      <c r="I447" s="2"/>
      <c r="J447" s="2"/>
      <c r="K447" s="2"/>
      <c r="L447" s="2"/>
      <c r="M447" s="2"/>
      <c r="N447" s="2"/>
    </row>
    <row r="448" spans="1:14">
      <c r="A448" s="11"/>
      <c r="B448" s="11"/>
      <c r="C448" s="2"/>
      <c r="D448" s="2"/>
      <c r="E448" s="2"/>
      <c r="F448" s="2"/>
      <c r="G448" s="2"/>
      <c r="H448" s="2"/>
      <c r="I448" s="2"/>
      <c r="J448" s="2"/>
      <c r="K448" s="2"/>
      <c r="L448" s="2"/>
      <c r="M448" s="2"/>
      <c r="N448" s="2"/>
    </row>
    <row r="449" spans="1:14">
      <c r="A449" s="11"/>
      <c r="B449" s="11"/>
      <c r="C449" s="2"/>
      <c r="D449" s="2"/>
      <c r="E449" s="2"/>
      <c r="F449" s="2"/>
      <c r="G449" s="2"/>
      <c r="H449" s="2"/>
      <c r="I449" s="2"/>
      <c r="J449" s="2"/>
      <c r="K449" s="2"/>
      <c r="L449" s="2"/>
      <c r="M449" s="2"/>
      <c r="N449" s="2"/>
    </row>
    <row r="450" spans="1:14">
      <c r="A450" s="11"/>
      <c r="B450" s="11"/>
      <c r="C450" s="2"/>
      <c r="D450" s="2"/>
      <c r="E450" s="2"/>
      <c r="F450" s="2"/>
      <c r="G450" s="2"/>
      <c r="H450" s="2"/>
      <c r="I450" s="2"/>
      <c r="J450" s="2"/>
      <c r="K450" s="2"/>
      <c r="L450" s="2"/>
      <c r="M450" s="2"/>
      <c r="N450" s="2"/>
    </row>
    <row r="451" spans="1:14">
      <c r="A451" s="11"/>
      <c r="B451" s="11"/>
      <c r="C451" s="2"/>
      <c r="D451" s="2"/>
      <c r="E451" s="2"/>
      <c r="F451" s="2"/>
      <c r="G451" s="2"/>
      <c r="H451" s="2"/>
      <c r="I451" s="2"/>
      <c r="J451" s="2"/>
      <c r="K451" s="2"/>
      <c r="L451" s="2"/>
      <c r="M451" s="2"/>
      <c r="N451" s="2"/>
    </row>
    <row r="452" spans="1:14">
      <c r="A452" s="11"/>
      <c r="B452" s="11"/>
      <c r="C452" s="2"/>
      <c r="D452" s="2"/>
      <c r="E452" s="2"/>
      <c r="F452" s="2"/>
      <c r="G452" s="2"/>
      <c r="H452" s="2"/>
      <c r="I452" s="2"/>
      <c r="J452" s="2"/>
      <c r="K452" s="2"/>
      <c r="L452" s="2"/>
      <c r="M452" s="2"/>
      <c r="N452" s="2"/>
    </row>
    <row r="453" spans="1:14">
      <c r="A453" s="11"/>
      <c r="B453" s="11"/>
      <c r="C453" s="2"/>
      <c r="D453" s="2"/>
      <c r="E453" s="2"/>
      <c r="F453" s="2"/>
      <c r="G453" s="2"/>
      <c r="H453" s="2"/>
      <c r="I453" s="2"/>
      <c r="J453" s="2"/>
      <c r="K453" s="2"/>
      <c r="L453" s="2"/>
      <c r="M453" s="2"/>
      <c r="N453" s="2"/>
    </row>
    <row r="454" spans="1:14">
      <c r="A454" s="11"/>
      <c r="B454" s="11"/>
      <c r="C454" s="2"/>
      <c r="D454" s="2"/>
      <c r="E454" s="2"/>
      <c r="F454" s="2"/>
      <c r="G454" s="2"/>
      <c r="H454" s="2"/>
      <c r="I454" s="2"/>
      <c r="J454" s="2"/>
      <c r="K454" s="2"/>
      <c r="L454" s="2"/>
      <c r="M454" s="2"/>
      <c r="N454" s="2"/>
    </row>
    <row r="455" spans="1:14">
      <c r="A455" s="11"/>
      <c r="B455" s="11"/>
      <c r="C455" s="2"/>
      <c r="D455" s="2"/>
      <c r="E455" s="2"/>
      <c r="F455" s="2"/>
      <c r="G455" s="2"/>
      <c r="H455" s="2"/>
      <c r="I455" s="2"/>
      <c r="J455" s="2"/>
      <c r="K455" s="2"/>
      <c r="L455" s="2"/>
      <c r="M455" s="2"/>
      <c r="N455" s="2"/>
    </row>
    <row r="456" spans="1:14">
      <c r="A456" s="11"/>
      <c r="B456" s="11"/>
      <c r="C456" s="2"/>
      <c r="D456" s="2"/>
      <c r="E456" s="2"/>
      <c r="F456" s="2"/>
      <c r="G456" s="2"/>
      <c r="H456" s="2"/>
      <c r="I456" s="2"/>
      <c r="J456" s="2"/>
      <c r="K456" s="2"/>
      <c r="L456" s="2"/>
      <c r="M456" s="2"/>
      <c r="N456" s="2"/>
    </row>
    <row r="457" spans="1:14">
      <c r="A457" s="11"/>
      <c r="B457" s="11"/>
      <c r="C457" s="2"/>
      <c r="D457" s="2"/>
      <c r="E457" s="2"/>
      <c r="F457" s="2"/>
      <c r="G457" s="2"/>
      <c r="H457" s="2"/>
      <c r="I457" s="2"/>
      <c r="J457" s="2"/>
      <c r="K457" s="2"/>
      <c r="L457" s="2"/>
      <c r="M457" s="2"/>
      <c r="N457" s="2"/>
    </row>
    <row r="458" spans="1:14">
      <c r="A458" s="11"/>
      <c r="B458" s="11"/>
      <c r="C458" s="2"/>
      <c r="D458" s="2"/>
      <c r="E458" s="2"/>
      <c r="F458" s="2"/>
      <c r="G458" s="2"/>
      <c r="H458" s="2"/>
      <c r="I458" s="2"/>
      <c r="J458" s="2"/>
      <c r="K458" s="2"/>
      <c r="L458" s="2"/>
      <c r="M458" s="2"/>
      <c r="N458" s="2"/>
    </row>
    <row r="459" spans="1:14">
      <c r="A459" s="11"/>
      <c r="B459" s="11"/>
      <c r="C459" s="2"/>
      <c r="D459" s="2"/>
      <c r="E459" s="2"/>
      <c r="F459" s="2"/>
      <c r="G459" s="2"/>
      <c r="H459" s="2"/>
      <c r="I459" s="2"/>
      <c r="J459" s="2"/>
      <c r="K459" s="2"/>
      <c r="L459" s="2"/>
      <c r="M459" s="2"/>
      <c r="N459" s="2"/>
    </row>
    <row r="460" spans="1:14">
      <c r="A460" s="11"/>
      <c r="B460" s="11"/>
      <c r="C460" s="2"/>
      <c r="D460" s="2"/>
      <c r="E460" s="2"/>
      <c r="F460" s="2"/>
      <c r="G460" s="2"/>
      <c r="H460" s="2"/>
      <c r="I460" s="2"/>
      <c r="J460" s="2"/>
      <c r="K460" s="2"/>
      <c r="L460" s="2"/>
      <c r="M460" s="2"/>
      <c r="N460" s="2"/>
    </row>
    <row r="461" spans="1:14">
      <c r="A461" s="11"/>
      <c r="B461" s="11"/>
      <c r="C461" s="2"/>
      <c r="D461" s="2"/>
      <c r="E461" s="2"/>
      <c r="F461" s="2"/>
      <c r="G461" s="2"/>
      <c r="H461" s="2"/>
      <c r="I461" s="2"/>
      <c r="J461" s="2"/>
      <c r="K461" s="2"/>
      <c r="L461" s="2"/>
      <c r="M461" s="2"/>
      <c r="N461" s="2"/>
    </row>
    <row r="462" spans="1:14">
      <c r="A462" s="11"/>
      <c r="B462" s="11"/>
      <c r="C462" s="2"/>
      <c r="D462" s="2"/>
      <c r="E462" s="2"/>
      <c r="F462" s="2"/>
      <c r="G462" s="2"/>
      <c r="H462" s="2"/>
      <c r="I462" s="2"/>
      <c r="J462" s="2"/>
      <c r="K462" s="2"/>
      <c r="L462" s="2"/>
      <c r="M462" s="2"/>
      <c r="N462" s="2"/>
    </row>
    <row r="463" spans="1:14">
      <c r="A463" s="11"/>
      <c r="B463" s="11"/>
      <c r="C463" s="2"/>
      <c r="D463" s="2"/>
      <c r="E463" s="2"/>
      <c r="F463" s="2"/>
      <c r="G463" s="2"/>
      <c r="H463" s="2"/>
      <c r="I463" s="2"/>
      <c r="J463" s="2"/>
      <c r="K463" s="2"/>
      <c r="L463" s="2"/>
      <c r="M463" s="2"/>
      <c r="N463" s="2"/>
    </row>
    <row r="464" spans="1:14">
      <c r="A464" s="11"/>
      <c r="B464" s="11"/>
      <c r="C464" s="2"/>
      <c r="D464" s="2"/>
      <c r="E464" s="2"/>
      <c r="F464" s="2"/>
      <c r="G464" s="2"/>
      <c r="H464" s="2"/>
      <c r="I464" s="2"/>
      <c r="J464" s="2"/>
      <c r="K464" s="2"/>
      <c r="L464" s="2"/>
      <c r="M464" s="2"/>
      <c r="N464" s="2"/>
    </row>
    <row r="465" spans="1:14">
      <c r="A465" s="11"/>
      <c r="B465" s="11"/>
      <c r="C465" s="2"/>
      <c r="D465" s="2"/>
      <c r="E465" s="2"/>
      <c r="F465" s="2"/>
      <c r="G465" s="2"/>
      <c r="H465" s="2"/>
      <c r="I465" s="2"/>
      <c r="J465" s="2"/>
      <c r="K465" s="2"/>
      <c r="L465" s="2"/>
      <c r="M465" s="2"/>
      <c r="N465" s="2"/>
    </row>
    <row r="466" spans="1:14">
      <c r="A466" s="11"/>
      <c r="B466" s="11"/>
      <c r="C466" s="2"/>
      <c r="D466" s="2"/>
      <c r="E466" s="2"/>
      <c r="F466" s="2"/>
      <c r="G466" s="2"/>
      <c r="H466" s="2"/>
      <c r="I466" s="2"/>
      <c r="J466" s="2"/>
      <c r="K466" s="2"/>
      <c r="L466" s="2"/>
      <c r="M466" s="2"/>
      <c r="N466" s="2"/>
    </row>
    <row r="467" spans="1:14">
      <c r="A467" s="11"/>
      <c r="B467" s="11"/>
      <c r="C467" s="2"/>
      <c r="D467" s="2"/>
      <c r="E467" s="2"/>
      <c r="F467" s="2"/>
      <c r="G467" s="2"/>
      <c r="H467" s="2"/>
      <c r="I467" s="2"/>
      <c r="J467" s="2"/>
      <c r="K467" s="2"/>
      <c r="L467" s="2"/>
      <c r="M467" s="2"/>
      <c r="N467" s="2"/>
    </row>
    <row r="468" spans="1:14">
      <c r="A468" s="11"/>
      <c r="B468" s="11"/>
      <c r="C468" s="2"/>
      <c r="D468" s="2"/>
      <c r="E468" s="2"/>
      <c r="F468" s="2"/>
      <c r="G468" s="2"/>
      <c r="H468" s="2"/>
      <c r="I468" s="2"/>
      <c r="J468" s="2"/>
      <c r="K468" s="2"/>
      <c r="L468" s="2"/>
      <c r="M468" s="2"/>
      <c r="N468" s="2"/>
    </row>
    <row r="469" spans="1:14">
      <c r="A469" s="11"/>
      <c r="B469" s="11"/>
      <c r="C469" s="2"/>
      <c r="D469" s="2"/>
      <c r="E469" s="2"/>
      <c r="F469" s="2"/>
      <c r="G469" s="2"/>
      <c r="H469" s="2"/>
      <c r="I469" s="2"/>
      <c r="J469" s="2"/>
      <c r="K469" s="2"/>
      <c r="L469" s="2"/>
      <c r="M469" s="2"/>
      <c r="N469" s="2"/>
    </row>
    <row r="470" spans="1:14">
      <c r="A470" s="11"/>
      <c r="B470" s="11"/>
      <c r="C470" s="2"/>
      <c r="D470" s="2"/>
      <c r="E470" s="2"/>
      <c r="F470" s="2"/>
      <c r="G470" s="2"/>
      <c r="H470" s="2"/>
      <c r="I470" s="2"/>
      <c r="J470" s="2"/>
      <c r="K470" s="2"/>
      <c r="L470" s="2"/>
      <c r="M470" s="2"/>
      <c r="N470" s="2"/>
    </row>
    <row r="471" spans="1:14">
      <c r="A471" s="11"/>
      <c r="B471" s="11"/>
      <c r="C471" s="2"/>
      <c r="D471" s="2"/>
      <c r="E471" s="2"/>
      <c r="F471" s="2"/>
      <c r="G471" s="2"/>
      <c r="H471" s="2"/>
      <c r="I471" s="2"/>
      <c r="J471" s="2"/>
      <c r="K471" s="2"/>
      <c r="L471" s="2"/>
      <c r="M471" s="2"/>
      <c r="N471" s="2"/>
    </row>
    <row r="472" spans="1:14">
      <c r="A472" s="11"/>
      <c r="B472" s="11"/>
      <c r="C472" s="2"/>
      <c r="D472" s="2"/>
      <c r="E472" s="2"/>
      <c r="F472" s="2"/>
      <c r="G472" s="2"/>
      <c r="H472" s="2"/>
      <c r="I472" s="2"/>
      <c r="J472" s="2"/>
      <c r="K472" s="2"/>
      <c r="L472" s="2"/>
      <c r="M472" s="2"/>
      <c r="N472" s="2"/>
    </row>
    <row r="473" spans="1:14">
      <c r="A473" s="11"/>
      <c r="B473" s="11"/>
      <c r="C473" s="2"/>
      <c r="D473" s="2"/>
      <c r="E473" s="2"/>
      <c r="F473" s="2"/>
      <c r="G473" s="2"/>
      <c r="H473" s="2"/>
      <c r="I473" s="2"/>
      <c r="J473" s="2"/>
      <c r="K473" s="2"/>
      <c r="L473" s="2"/>
      <c r="M473" s="2"/>
      <c r="N473" s="2"/>
    </row>
    <row r="474" spans="1:14">
      <c r="A474" s="11"/>
      <c r="B474" s="11"/>
      <c r="C474" s="2"/>
      <c r="D474" s="2"/>
      <c r="E474" s="2"/>
      <c r="F474" s="2"/>
      <c r="G474" s="2"/>
      <c r="H474" s="2"/>
      <c r="I474" s="2"/>
      <c r="J474" s="2"/>
      <c r="K474" s="2"/>
      <c r="L474" s="2"/>
      <c r="M474" s="2"/>
      <c r="N474" s="2"/>
    </row>
    <row r="475" spans="1:14">
      <c r="A475" s="11"/>
      <c r="B475" s="11"/>
      <c r="C475" s="2"/>
      <c r="D475" s="2"/>
      <c r="E475" s="2"/>
      <c r="F475" s="2"/>
      <c r="G475" s="2"/>
      <c r="H475" s="2"/>
      <c r="I475" s="2"/>
      <c r="J475" s="2"/>
      <c r="K475" s="2"/>
      <c r="L475" s="2"/>
      <c r="M475" s="2"/>
      <c r="N475" s="2"/>
    </row>
    <row r="476" spans="1:14">
      <c r="A476" s="11"/>
      <c r="B476" s="11"/>
      <c r="C476" s="2"/>
      <c r="D476" s="2"/>
      <c r="E476" s="2"/>
      <c r="F476" s="2"/>
      <c r="G476" s="2"/>
      <c r="H476" s="2"/>
      <c r="I476" s="2"/>
      <c r="J476" s="2"/>
      <c r="K476" s="2"/>
      <c r="L476" s="2"/>
      <c r="M476" s="2"/>
      <c r="N476" s="2"/>
    </row>
    <row r="477" spans="1:14">
      <c r="A477" s="11"/>
      <c r="B477" s="11"/>
      <c r="C477" s="2"/>
      <c r="D477" s="2"/>
      <c r="E477" s="2"/>
      <c r="F477" s="2"/>
      <c r="G477" s="2"/>
      <c r="H477" s="2"/>
      <c r="I477" s="2"/>
      <c r="J477" s="2"/>
      <c r="K477" s="2"/>
      <c r="L477" s="2"/>
      <c r="M477" s="2"/>
      <c r="N477" s="2"/>
    </row>
    <row r="478" spans="1:14">
      <c r="A478" s="11"/>
      <c r="B478" s="11"/>
      <c r="C478" s="2"/>
      <c r="D478" s="2"/>
      <c r="E478" s="2"/>
      <c r="F478" s="2"/>
      <c r="G478" s="2"/>
      <c r="H478" s="2"/>
      <c r="I478" s="2"/>
      <c r="J478" s="2"/>
      <c r="K478" s="2"/>
      <c r="L478" s="2"/>
      <c r="M478" s="2"/>
      <c r="N478" s="2"/>
    </row>
    <row r="479" spans="1:14">
      <c r="A479" s="11"/>
      <c r="B479" s="11"/>
      <c r="C479" s="2"/>
      <c r="D479" s="2"/>
      <c r="E479" s="2"/>
      <c r="F479" s="2"/>
      <c r="G479" s="2"/>
      <c r="H479" s="2"/>
      <c r="I479" s="2"/>
      <c r="J479" s="2"/>
      <c r="K479" s="2"/>
      <c r="L479" s="2"/>
      <c r="M479" s="2"/>
      <c r="N479" s="2"/>
    </row>
    <row r="480" spans="1:14">
      <c r="A480" s="11"/>
      <c r="B480" s="11"/>
      <c r="C480" s="2"/>
      <c r="D480" s="2"/>
      <c r="E480" s="2"/>
      <c r="F480" s="2"/>
      <c r="G480" s="2"/>
      <c r="H480" s="2"/>
      <c r="I480" s="2"/>
      <c r="J480" s="2"/>
      <c r="K480" s="2"/>
      <c r="L480" s="2"/>
      <c r="M480" s="2"/>
      <c r="N480" s="2"/>
    </row>
    <row r="481" spans="1:14">
      <c r="A481" s="11"/>
      <c r="B481" s="11"/>
      <c r="C481" s="2"/>
      <c r="D481" s="2"/>
      <c r="E481" s="2"/>
      <c r="F481" s="2"/>
      <c r="G481" s="2"/>
      <c r="H481" s="2"/>
      <c r="I481" s="2"/>
      <c r="J481" s="2"/>
      <c r="K481" s="2"/>
      <c r="L481" s="2"/>
      <c r="M481" s="2"/>
      <c r="N481" s="2"/>
    </row>
    <row r="482" spans="1:14">
      <c r="A482" s="11"/>
      <c r="B482" s="11"/>
      <c r="C482" s="2"/>
      <c r="D482" s="2"/>
      <c r="E482" s="2"/>
      <c r="F482" s="2"/>
      <c r="G482" s="2"/>
      <c r="H482" s="2"/>
      <c r="I482" s="2"/>
      <c r="J482" s="2"/>
      <c r="K482" s="2"/>
      <c r="L482" s="2"/>
      <c r="M482" s="2"/>
      <c r="N482" s="2"/>
    </row>
    <row r="483" spans="1:14">
      <c r="A483" s="11"/>
      <c r="B483" s="11"/>
      <c r="C483" s="2"/>
      <c r="D483" s="2"/>
      <c r="E483" s="2"/>
      <c r="F483" s="2"/>
      <c r="G483" s="2"/>
      <c r="H483" s="2"/>
      <c r="I483" s="2"/>
      <c r="J483" s="2"/>
      <c r="K483" s="2"/>
      <c r="L483" s="2"/>
      <c r="M483" s="2"/>
      <c r="N483" s="2"/>
    </row>
    <row r="484" spans="1:14">
      <c r="A484" s="11"/>
      <c r="B484" s="11"/>
      <c r="C484" s="2"/>
      <c r="D484" s="2"/>
      <c r="E484" s="2"/>
      <c r="F484" s="2"/>
      <c r="G484" s="2"/>
      <c r="H484" s="2"/>
      <c r="I484" s="2"/>
      <c r="J484" s="2"/>
      <c r="K484" s="2"/>
      <c r="L484" s="2"/>
      <c r="M484" s="2"/>
      <c r="N484" s="2"/>
    </row>
    <row r="485" spans="1:14">
      <c r="A485" s="11"/>
      <c r="B485" s="11"/>
      <c r="C485" s="2"/>
      <c r="D485" s="2"/>
      <c r="E485" s="2"/>
      <c r="F485" s="2"/>
      <c r="G485" s="2"/>
      <c r="H485" s="2"/>
      <c r="I485" s="2"/>
      <c r="J485" s="2"/>
      <c r="K485" s="2"/>
      <c r="L485" s="2"/>
      <c r="M485" s="2"/>
      <c r="N485" s="2"/>
    </row>
    <row r="486" spans="1:14">
      <c r="A486" s="11"/>
      <c r="B486" s="11"/>
      <c r="C486" s="2"/>
      <c r="D486" s="2"/>
      <c r="E486" s="2"/>
      <c r="F486" s="2"/>
      <c r="G486" s="2"/>
      <c r="H486" s="2"/>
      <c r="I486" s="2"/>
      <c r="J486" s="2"/>
      <c r="K486" s="2"/>
      <c r="L486" s="2"/>
      <c r="M486" s="2"/>
      <c r="N486" s="2"/>
    </row>
    <row r="487" spans="1:14">
      <c r="A487" s="11"/>
      <c r="B487" s="11"/>
      <c r="C487" s="2"/>
      <c r="D487" s="2"/>
      <c r="E487" s="2"/>
      <c r="F487" s="2"/>
      <c r="G487" s="2"/>
      <c r="H487" s="2"/>
      <c r="I487" s="2"/>
      <c r="J487" s="2"/>
      <c r="K487" s="2"/>
      <c r="L487" s="2"/>
      <c r="M487" s="2"/>
      <c r="N487" s="2"/>
    </row>
    <row r="488" spans="1:14">
      <c r="A488" s="11"/>
      <c r="B488" s="11"/>
      <c r="C488" s="2"/>
      <c r="D488" s="2"/>
      <c r="E488" s="2"/>
      <c r="F488" s="2"/>
      <c r="G488" s="2"/>
      <c r="H488" s="2"/>
      <c r="I488" s="2"/>
      <c r="J488" s="2"/>
      <c r="K488" s="2"/>
      <c r="L488" s="2"/>
      <c r="M488" s="2"/>
      <c r="N488" s="2"/>
    </row>
    <row r="489" spans="1:14">
      <c r="A489" s="11"/>
      <c r="B489" s="11"/>
      <c r="C489" s="2"/>
      <c r="D489" s="2"/>
      <c r="E489" s="2"/>
      <c r="F489" s="2"/>
      <c r="G489" s="2"/>
      <c r="H489" s="2"/>
      <c r="I489" s="2"/>
      <c r="J489" s="2"/>
      <c r="K489" s="2"/>
      <c r="L489" s="2"/>
      <c r="M489" s="2"/>
      <c r="N489" s="2"/>
    </row>
    <row r="490" spans="1:14">
      <c r="A490" s="11"/>
      <c r="B490" s="11"/>
      <c r="C490" s="2"/>
      <c r="D490" s="2"/>
      <c r="E490" s="2"/>
      <c r="F490" s="2"/>
      <c r="G490" s="2"/>
      <c r="H490" s="2"/>
      <c r="I490" s="2"/>
      <c r="J490" s="2"/>
      <c r="K490" s="2"/>
      <c r="L490" s="2"/>
      <c r="M490" s="2"/>
      <c r="N490" s="2"/>
    </row>
    <row r="491" spans="1:14">
      <c r="A491" s="11"/>
      <c r="B491" s="11"/>
      <c r="C491" s="2"/>
      <c r="D491" s="2"/>
      <c r="E491" s="2"/>
      <c r="F491" s="2"/>
      <c r="G491" s="2"/>
      <c r="H491" s="2"/>
      <c r="I491" s="2"/>
      <c r="J491" s="2"/>
      <c r="K491" s="2"/>
      <c r="L491" s="2"/>
      <c r="M491" s="2"/>
      <c r="N491" s="2"/>
    </row>
    <row r="492" spans="1:14">
      <c r="A492" s="11"/>
      <c r="B492" s="11"/>
      <c r="C492" s="2"/>
      <c r="D492" s="2"/>
      <c r="E492" s="2"/>
      <c r="F492" s="2"/>
      <c r="G492" s="2"/>
      <c r="H492" s="2"/>
      <c r="I492" s="2"/>
      <c r="J492" s="2"/>
      <c r="K492" s="2"/>
      <c r="L492" s="2"/>
      <c r="M492" s="2"/>
      <c r="N492" s="2"/>
    </row>
    <row r="493" spans="1:14">
      <c r="A493" s="11"/>
      <c r="B493" s="11"/>
      <c r="C493" s="2"/>
      <c r="D493" s="2"/>
      <c r="E493" s="2"/>
      <c r="F493" s="2"/>
      <c r="G493" s="2"/>
      <c r="H493" s="2"/>
      <c r="I493" s="2"/>
      <c r="J493" s="2"/>
      <c r="K493" s="2"/>
      <c r="L493" s="2"/>
      <c r="M493" s="2"/>
      <c r="N493" s="2"/>
    </row>
    <row r="494" spans="1:14">
      <c r="A494" s="11"/>
      <c r="B494" s="11"/>
      <c r="C494" s="2"/>
      <c r="D494" s="2"/>
      <c r="E494" s="2"/>
      <c r="F494" s="2"/>
      <c r="G494" s="2"/>
      <c r="H494" s="2"/>
      <c r="I494" s="2"/>
      <c r="J494" s="2"/>
      <c r="K494" s="2"/>
      <c r="L494" s="2"/>
      <c r="M494" s="2"/>
      <c r="N494" s="2"/>
    </row>
    <row r="495" spans="1:14">
      <c r="A495" s="11"/>
      <c r="B495" s="11"/>
      <c r="C495" s="2"/>
      <c r="D495" s="2"/>
      <c r="E495" s="2"/>
      <c r="F495" s="2"/>
      <c r="G495" s="2"/>
      <c r="H495" s="2"/>
      <c r="I495" s="2"/>
      <c r="J495" s="2"/>
      <c r="K495" s="2"/>
      <c r="L495" s="2"/>
      <c r="M495" s="2"/>
      <c r="N495" s="2"/>
    </row>
    <row r="496" spans="1:14">
      <c r="A496" s="11"/>
      <c r="B496" s="11"/>
      <c r="C496" s="2"/>
      <c r="D496" s="2"/>
      <c r="E496" s="2"/>
      <c r="F496" s="2"/>
      <c r="G496" s="2"/>
      <c r="H496" s="2"/>
      <c r="I496" s="2"/>
      <c r="J496" s="2"/>
      <c r="K496" s="2"/>
      <c r="L496" s="2"/>
      <c r="M496" s="2"/>
      <c r="N496" s="2"/>
    </row>
    <row r="497" spans="1:14">
      <c r="A497" s="11"/>
      <c r="B497" s="11"/>
      <c r="C497" s="2"/>
      <c r="D497" s="2"/>
      <c r="E497" s="2"/>
      <c r="F497" s="2"/>
      <c r="G497" s="2"/>
      <c r="H497" s="2"/>
      <c r="I497" s="2"/>
      <c r="J497" s="2"/>
      <c r="K497" s="2"/>
      <c r="L497" s="2"/>
      <c r="M497" s="2"/>
      <c r="N497" s="2"/>
    </row>
    <row r="498" spans="1:14">
      <c r="A498" s="11"/>
      <c r="B498" s="11"/>
      <c r="C498" s="2"/>
      <c r="D498" s="2"/>
      <c r="E498" s="2"/>
      <c r="F498" s="2"/>
      <c r="G498" s="2"/>
      <c r="H498" s="2"/>
      <c r="I498" s="2"/>
      <c r="J498" s="2"/>
      <c r="K498" s="2"/>
      <c r="L498" s="2"/>
      <c r="M498" s="2"/>
      <c r="N498" s="2"/>
    </row>
    <row r="499" spans="1:14">
      <c r="A499" s="11"/>
      <c r="B499" s="11"/>
      <c r="C499" s="2"/>
      <c r="D499" s="2"/>
      <c r="E499" s="2"/>
      <c r="F499" s="2"/>
      <c r="G499" s="2"/>
      <c r="H499" s="2"/>
      <c r="I499" s="2"/>
      <c r="J499" s="2"/>
      <c r="K499" s="2"/>
      <c r="L499" s="2"/>
      <c r="M499" s="2"/>
      <c r="N499" s="2"/>
    </row>
    <row r="500" spans="1:14">
      <c r="A500" s="11"/>
      <c r="B500" s="11"/>
      <c r="C500" s="2"/>
      <c r="D500" s="2"/>
      <c r="E500" s="2"/>
      <c r="F500" s="2"/>
      <c r="G500" s="2"/>
      <c r="H500" s="2"/>
      <c r="I500" s="2"/>
      <c r="J500" s="2"/>
      <c r="K500" s="2"/>
      <c r="L500" s="2"/>
      <c r="M500" s="2"/>
      <c r="N500" s="2"/>
    </row>
    <row r="501" spans="1:14">
      <c r="A501" s="11"/>
      <c r="B501" s="11"/>
      <c r="C501" s="2"/>
      <c r="D501" s="2"/>
      <c r="E501" s="2"/>
      <c r="F501" s="2"/>
      <c r="G501" s="2"/>
      <c r="H501" s="2"/>
      <c r="I501" s="2"/>
      <c r="J501" s="2"/>
      <c r="K501" s="2"/>
      <c r="L501" s="2"/>
      <c r="M501" s="2"/>
      <c r="N501" s="2"/>
    </row>
    <row r="502" spans="1:14">
      <c r="A502" s="11"/>
      <c r="B502" s="11"/>
      <c r="C502" s="2"/>
      <c r="D502" s="2"/>
      <c r="E502" s="2"/>
      <c r="F502" s="2"/>
      <c r="G502" s="2"/>
      <c r="H502" s="2"/>
      <c r="I502" s="2"/>
      <c r="J502" s="2"/>
      <c r="K502" s="2"/>
      <c r="L502" s="2"/>
      <c r="M502" s="2"/>
      <c r="N502" s="2"/>
    </row>
    <row r="503" spans="1:14">
      <c r="A503" s="11"/>
      <c r="B503" s="11"/>
      <c r="C503" s="2"/>
      <c r="D503" s="2"/>
      <c r="E503" s="2"/>
      <c r="F503" s="2"/>
      <c r="G503" s="2"/>
      <c r="H503" s="2"/>
      <c r="I503" s="2"/>
      <c r="J503" s="2"/>
      <c r="K503" s="2"/>
      <c r="L503" s="2"/>
      <c r="M503" s="2"/>
      <c r="N503" s="2"/>
    </row>
    <row r="504" spans="1:14">
      <c r="A504" s="11"/>
      <c r="B504" s="11"/>
      <c r="C504" s="2"/>
      <c r="D504" s="2"/>
      <c r="G504" s="2"/>
      <c r="H504" s="2"/>
      <c r="K504" s="2"/>
      <c r="L504" s="2"/>
      <c r="M504" s="2"/>
      <c r="N504" s="2"/>
    </row>
    <row r="505" spans="1:14">
      <c r="C505" s="2"/>
      <c r="D505" s="2"/>
      <c r="G505" s="2"/>
      <c r="H505" s="2"/>
      <c r="K505" s="2"/>
      <c r="L505" s="2"/>
      <c r="M505" s="2"/>
      <c r="N50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U500"/>
  <sheetViews>
    <sheetView zoomScale="80" zoomScaleNormal="80" workbookViewId="0">
      <selection activeCell="A6" sqref="A6:G16"/>
    </sheetView>
  </sheetViews>
  <sheetFormatPr defaultRowHeight="15"/>
  <cols>
    <col min="1" max="2" width="15.85546875" style="129" customWidth="1"/>
    <col min="3" max="3" width="10.7109375" style="130" customWidth="1"/>
    <col min="4" max="4" width="6.85546875" style="130" customWidth="1"/>
    <col min="5" max="6" width="13.85546875" style="131" customWidth="1"/>
    <col min="7" max="7" width="11.28515625" style="132" bestFit="1" customWidth="1"/>
    <col min="8" max="8" width="13.28515625" style="132" customWidth="1"/>
    <col min="9" max="9" width="9.85546875" style="133" customWidth="1"/>
    <col min="10" max="10" width="13.7109375" style="133" customWidth="1"/>
    <col min="11" max="11" width="7" style="135" bestFit="1" customWidth="1"/>
    <col min="12" max="12" width="8.5703125" style="135" customWidth="1"/>
    <col min="13" max="19" width="9.140625" style="135"/>
    <col min="20" max="20" width="9" style="135" customWidth="1"/>
    <col min="21" max="21" width="11.7109375" style="136" hidden="1" customWidth="1"/>
    <col min="22" max="16384" width="9.140625" style="135"/>
  </cols>
  <sheetData>
    <row r="1" spans="1:21" s="45" customFormat="1" ht="27.6" customHeight="1" thickBot="1">
      <c r="A1" s="42"/>
      <c r="B1" s="42"/>
      <c r="C1" s="42"/>
      <c r="D1" s="42"/>
      <c r="E1" s="42"/>
      <c r="F1" s="347" t="s">
        <v>114</v>
      </c>
      <c r="G1" s="379"/>
      <c r="H1" s="379"/>
      <c r="I1" s="379"/>
      <c r="J1" s="43"/>
      <c r="K1" s="44"/>
      <c r="U1" s="46"/>
    </row>
    <row r="2" spans="1:21" s="45" customFormat="1" ht="27.6" customHeight="1" thickBot="1">
      <c r="A2" s="42"/>
      <c r="B2" s="42"/>
      <c r="C2" s="42"/>
      <c r="D2" s="42"/>
      <c r="E2" s="42"/>
      <c r="F2" s="202"/>
      <c r="G2" s="202"/>
      <c r="H2" s="202"/>
      <c r="I2" s="202"/>
      <c r="J2" s="203"/>
      <c r="U2" s="46"/>
    </row>
    <row r="3" spans="1:21" s="53" customFormat="1" ht="86.25" customHeight="1" thickBot="1">
      <c r="A3" s="204"/>
      <c r="B3" s="204"/>
      <c r="C3" s="205"/>
      <c r="D3" s="205"/>
      <c r="E3" s="206"/>
      <c r="F3" s="380" t="s">
        <v>189</v>
      </c>
      <c r="G3" s="381"/>
      <c r="H3" s="381"/>
      <c r="I3" s="381"/>
      <c r="J3" s="382"/>
      <c r="M3" s="67"/>
    </row>
    <row r="4" spans="1:21" s="53" customFormat="1" ht="20.25" customHeight="1" thickBot="1">
      <c r="A4" s="207" t="s">
        <v>15</v>
      </c>
      <c r="B4" s="207" t="s">
        <v>15</v>
      </c>
      <c r="C4" s="207" t="s">
        <v>15</v>
      </c>
      <c r="D4" s="208"/>
      <c r="E4" s="208" t="s">
        <v>15</v>
      </c>
      <c r="F4" s="208" t="s">
        <v>15</v>
      </c>
      <c r="G4" s="208" t="s">
        <v>15</v>
      </c>
      <c r="H4" s="208" t="s">
        <v>15</v>
      </c>
      <c r="I4" s="208" t="s">
        <v>15</v>
      </c>
      <c r="J4" s="209"/>
      <c r="N4" s="210"/>
    </row>
    <row r="5" spans="1:21" s="99" customFormat="1" ht="30.75" thickBot="1">
      <c r="A5" s="211" t="s">
        <v>113</v>
      </c>
      <c r="B5" s="212" t="s">
        <v>13</v>
      </c>
      <c r="C5" s="213" t="s">
        <v>12</v>
      </c>
      <c r="D5" s="213" t="s">
        <v>11</v>
      </c>
      <c r="E5" s="214" t="s">
        <v>10</v>
      </c>
      <c r="F5" s="214" t="s">
        <v>9</v>
      </c>
      <c r="G5" s="215" t="s">
        <v>8</v>
      </c>
      <c r="H5" s="215" t="s">
        <v>112</v>
      </c>
      <c r="I5" s="216" t="s">
        <v>6</v>
      </c>
      <c r="J5" s="217" t="s">
        <v>5</v>
      </c>
      <c r="U5" s="218" t="s">
        <v>111</v>
      </c>
    </row>
    <row r="6" spans="1:21" s="108" customFormat="1" ht="15.75">
      <c r="A6" s="178">
        <v>45950</v>
      </c>
      <c r="B6" s="178">
        <v>40959</v>
      </c>
      <c r="C6" s="179">
        <v>3</v>
      </c>
      <c r="D6" s="179"/>
      <c r="E6" s="180" t="s">
        <v>206</v>
      </c>
      <c r="F6" s="180" t="s">
        <v>207</v>
      </c>
      <c r="G6" s="181" t="s">
        <v>195</v>
      </c>
      <c r="H6" s="181"/>
      <c r="I6" s="219"/>
      <c r="J6" s="200">
        <f>IF(E6="","",IF(AND(U6&lt;=66),VLOOKUP(I6,'H&amp;R Look Up'!$A$13:$B$21,2,TRUE),IF(AND(U6&gt;=67,U6&lt;=72),VLOOKUP(I6,'H&amp;R Look Up'!$E$13:$F$20,2,TRUE),IF(AND(U6&gt;=73,U6&lt;=78),VLOOKUP(I6,'H&amp;R Look Up'!$I$13:$J$19,2,TRUE),IF(AND(U6&gt;=79),VLOOKUP(I6,'H&amp;R Look Up'!$M$13:$N$18,2,TRUE),"")))))</f>
        <v>1</v>
      </c>
      <c r="S6" s="221" t="str">
        <f>IF(P6="","",COUNTIF(#REF!,"y"))</f>
        <v/>
      </c>
      <c r="T6" s="221" t="str">
        <f>IF(P6="","",IF(AND(CE6&lt;=2008),VLOOKUP(S6,'H&amp;R Look Up'!$A$13:$B$20,2,TRUE),IF(AND(CE6&gt;2009,CE6&lt;=2191),VLOOKUP(S6,'H&amp;R Look Up'!$E$13:$F$19,2,TRUE),IF(AND(CE6&gt;2192,CE6&lt;=2374),VLOOKUP(S6,'H&amp;R Look Up'!$I$13:$J$19,2,TRUE),IF(AND(CE6&gt;2375,CE6&gt;=2556),VLOOKUP(S6,'H&amp;R Look Up'!$M$13:$N$17,2,TRUE),"")))))</f>
        <v/>
      </c>
      <c r="U6" s="222">
        <f t="shared" ref="U6:U69" si="0">IF(E6="","",DATEDIF(B6,A6,"m"))</f>
        <v>164</v>
      </c>
    </row>
    <row r="7" spans="1:21" s="108" customFormat="1" ht="15.75">
      <c r="A7" s="178">
        <v>45950</v>
      </c>
      <c r="B7" s="178">
        <v>40960</v>
      </c>
      <c r="C7" s="186">
        <v>3</v>
      </c>
      <c r="D7" s="179"/>
      <c r="E7" s="187" t="s">
        <v>208</v>
      </c>
      <c r="F7" s="187" t="s">
        <v>209</v>
      </c>
      <c r="G7" s="188" t="s">
        <v>196</v>
      </c>
      <c r="H7" s="181"/>
      <c r="I7" s="219"/>
      <c r="J7" s="200">
        <f>IF(E7="","",IF(AND(U7&lt;=66),VLOOKUP(I7,'H&amp;R Look Up'!$A$13:$B$21,2,TRUE),IF(AND(U7&gt;=67,U7&lt;=72),VLOOKUP(I7,'H&amp;R Look Up'!$E$13:$F$20,2,TRUE),IF(AND(U7&gt;=73,U7&lt;=78),VLOOKUP(I7,'H&amp;R Look Up'!$I$13:$J$19,2,TRUE),IF(AND(U7&gt;=79),VLOOKUP(I7,'H&amp;R Look Up'!$M$13:$N$18,2,TRUE),"")))))</f>
        <v>1</v>
      </c>
      <c r="S7" s="221" t="str">
        <f t="shared" ref="S7:S17" si="1">IF(P7="","",COUNTIF(U7:BT7,"y"))</f>
        <v/>
      </c>
      <c r="T7" s="221" t="str">
        <f>IF(P7="","",IF(AND(CE7&lt;=2008),VLOOKUP(S7,'H&amp;R Look Up'!$A$13:$B$20,2,TRUE),IF(AND(CE7&gt;2009,CE7&lt;=2191),VLOOKUP(S7,'H&amp;R Look Up'!$E$13:$F$19,2,TRUE),IF(AND(CE7&gt;2192,CE7&lt;=2374),VLOOKUP(S7,'H&amp;R Look Up'!$I$13:$J$19,2,TRUE),IF(AND(CE7&gt;2375,CE7&gt;=2556),VLOOKUP(S7,'H&amp;R Look Up'!$M$13:$N$17,2,TRUE),"")))))</f>
        <v/>
      </c>
      <c r="U7" s="222">
        <f t="shared" si="0"/>
        <v>163</v>
      </c>
    </row>
    <row r="8" spans="1:21" s="108" customFormat="1" ht="15.75">
      <c r="A8" s="178">
        <v>45950</v>
      </c>
      <c r="B8" s="178">
        <v>40961</v>
      </c>
      <c r="C8" s="186">
        <v>3</v>
      </c>
      <c r="D8" s="179"/>
      <c r="E8" s="187" t="s">
        <v>210</v>
      </c>
      <c r="F8" s="187" t="s">
        <v>211</v>
      </c>
      <c r="G8" s="188" t="s">
        <v>197</v>
      </c>
      <c r="H8" s="181"/>
      <c r="I8" s="219"/>
      <c r="J8" s="200">
        <f>IF(E8="","",IF(AND(U8&lt;=66),VLOOKUP(I8,'H&amp;R Look Up'!$A$13:$B$21,2,TRUE),IF(AND(U8&gt;=67,U8&lt;=72),VLOOKUP(I8,'H&amp;R Look Up'!$E$13:$F$20,2,TRUE),IF(AND(U8&gt;=73,U8&lt;=78),VLOOKUP(I8,'H&amp;R Look Up'!$I$13:$J$19,2,TRUE),IF(AND(U8&gt;=79),VLOOKUP(I8,'H&amp;R Look Up'!$M$13:$N$18,2,TRUE),"")))))</f>
        <v>1</v>
      </c>
      <c r="M8" s="99"/>
      <c r="S8" s="221" t="str">
        <f t="shared" si="1"/>
        <v/>
      </c>
      <c r="T8" s="221" t="str">
        <f>IF(P8="","",IF(AND(CE8&lt;=2008),VLOOKUP(S8,'H&amp;R Look Up'!$A$13:$B$20,2,TRUE),IF(AND(CE8&gt;2009,CE8&lt;=2191),VLOOKUP(S8,'H&amp;R Look Up'!$E$13:$F$19,2,TRUE),IF(AND(CE8&gt;2192,CE8&lt;=2374),VLOOKUP(S8,'H&amp;R Look Up'!$I$13:$J$19,2,TRUE),IF(AND(CE8&gt;2375,CE8&gt;=2556),VLOOKUP(S8,'H&amp;R Look Up'!$M$13:$N$17,2,TRUE),"")))))</f>
        <v/>
      </c>
      <c r="U8" s="222">
        <f t="shared" si="0"/>
        <v>163</v>
      </c>
    </row>
    <row r="9" spans="1:21" s="108" customFormat="1" ht="15.75">
      <c r="A9" s="178">
        <v>45950</v>
      </c>
      <c r="B9" s="178">
        <v>40962</v>
      </c>
      <c r="C9" s="186">
        <v>3</v>
      </c>
      <c r="D9" s="179"/>
      <c r="E9" s="187" t="s">
        <v>212</v>
      </c>
      <c r="F9" s="187" t="s">
        <v>213</v>
      </c>
      <c r="G9" s="188" t="s">
        <v>198</v>
      </c>
      <c r="H9" s="181"/>
      <c r="I9" s="219"/>
      <c r="J9" s="200">
        <f>IF(E9="","",IF(AND(U9&lt;=66),VLOOKUP(I9,'H&amp;R Look Up'!$A$13:$B$21,2,TRUE),IF(AND(U9&gt;=67,U9&lt;=72),VLOOKUP(I9,'H&amp;R Look Up'!$E$13:$F$20,2,TRUE),IF(AND(U9&gt;=73,U9&lt;=78),VLOOKUP(I9,'H&amp;R Look Up'!$I$13:$J$19,2,TRUE),IF(AND(U9&gt;=79),VLOOKUP(I9,'H&amp;R Look Up'!$M$13:$N$18,2,TRUE),"")))))</f>
        <v>1</v>
      </c>
      <c r="S9" s="221" t="str">
        <f t="shared" si="1"/>
        <v/>
      </c>
      <c r="T9" s="221" t="str">
        <f>IF(P9="","",IF(AND(CE9&lt;=2008),VLOOKUP(S9,'H&amp;R Look Up'!$A$13:$B$20,2,TRUE),IF(AND(CE9&gt;2009,CE9&lt;=2191),VLOOKUP(S9,'H&amp;R Look Up'!$E$13:$F$19,2,TRUE),IF(AND(CE9&gt;2192,CE9&lt;=2374),VLOOKUP(S9,'H&amp;R Look Up'!$I$13:$J$19,2,TRUE),IF(AND(CE9&gt;2375,CE9&gt;=2556),VLOOKUP(S9,'H&amp;R Look Up'!$M$13:$N$17,2,TRUE),"")))))</f>
        <v/>
      </c>
      <c r="U9" s="222">
        <f t="shared" si="0"/>
        <v>163</v>
      </c>
    </row>
    <row r="10" spans="1:21" s="108" customFormat="1" ht="15.75">
      <c r="A10" s="178">
        <v>45950</v>
      </c>
      <c r="B10" s="189">
        <v>40970</v>
      </c>
      <c r="C10" s="186">
        <v>3</v>
      </c>
      <c r="D10" s="179"/>
      <c r="E10" s="187" t="s">
        <v>214</v>
      </c>
      <c r="F10" s="187" t="s">
        <v>215</v>
      </c>
      <c r="G10" s="188" t="s">
        <v>199</v>
      </c>
      <c r="H10" s="181"/>
      <c r="I10" s="219"/>
      <c r="J10" s="200">
        <f>IF(E10="","",IF(AND(U10&lt;=66),VLOOKUP(I10,'H&amp;R Look Up'!$A$13:$B$21,2,TRUE),IF(AND(U10&gt;=67,U10&lt;=72),VLOOKUP(I10,'H&amp;R Look Up'!$E$13:$F$20,2,TRUE),IF(AND(U10&gt;=73,U10&lt;=78),VLOOKUP(I10,'H&amp;R Look Up'!$I$13:$J$19,2,TRUE),IF(AND(U10&gt;=79),VLOOKUP(I10,'H&amp;R Look Up'!$M$13:$N$18,2,TRUE),"")))))</f>
        <v>1</v>
      </c>
      <c r="S10" s="221" t="str">
        <f t="shared" si="1"/>
        <v/>
      </c>
      <c r="T10" s="221" t="str">
        <f>IF(P10="","",IF(AND(CE10&lt;=2008),VLOOKUP(S10,'H&amp;R Look Up'!$A$13:$B$20,2,TRUE),IF(AND(CE10&gt;2009,CE10&lt;=2191),VLOOKUP(S10,'H&amp;R Look Up'!$E$13:$F$19,2,TRUE),IF(AND(CE10&gt;2192,CE10&lt;=2374),VLOOKUP(S10,'H&amp;R Look Up'!$I$13:$J$19,2,TRUE),IF(AND(CE10&gt;2375,CE10&gt;=2556),VLOOKUP(S10,'H&amp;R Look Up'!$M$13:$N$17,2,TRUE),"")))))</f>
        <v/>
      </c>
      <c r="U10" s="222">
        <f t="shared" si="0"/>
        <v>163</v>
      </c>
    </row>
    <row r="11" spans="1:21" s="108" customFormat="1" ht="15.75">
      <c r="A11" s="178">
        <v>45950</v>
      </c>
      <c r="B11" s="189">
        <v>40963</v>
      </c>
      <c r="C11" s="186">
        <v>3</v>
      </c>
      <c r="D11" s="179"/>
      <c r="E11" s="187" t="s">
        <v>216</v>
      </c>
      <c r="F11" s="187" t="s">
        <v>217</v>
      </c>
      <c r="G11" s="188" t="s">
        <v>200</v>
      </c>
      <c r="H11" s="181"/>
      <c r="I11" s="219"/>
      <c r="J11" s="200">
        <f>IF(E11="","",IF(AND(U11&lt;=66),VLOOKUP(I11,'H&amp;R Look Up'!$A$13:$B$21,2,TRUE),IF(AND(U11&gt;=67,U11&lt;=72),VLOOKUP(I11,'H&amp;R Look Up'!$E$13:$F$20,2,TRUE),IF(AND(U11&gt;=73,U11&lt;=78),VLOOKUP(I11,'H&amp;R Look Up'!$I$13:$J$19,2,TRUE),IF(AND(U11&gt;=79),VLOOKUP(I11,'H&amp;R Look Up'!$M$13:$N$18,2,TRUE),"")))))</f>
        <v>1</v>
      </c>
      <c r="S11" s="221" t="str">
        <f t="shared" si="1"/>
        <v/>
      </c>
      <c r="T11" s="221" t="str">
        <f>IF(P11="","",IF(AND(CE11&lt;=2008),VLOOKUP(S11,'H&amp;R Look Up'!$A$13:$B$20,2,TRUE),IF(AND(CE11&gt;2009,CE11&lt;=2191),VLOOKUP(S11,'H&amp;R Look Up'!$E$13:$F$19,2,TRUE),IF(AND(CE11&gt;2192,CE11&lt;=2374),VLOOKUP(S11,'H&amp;R Look Up'!$I$13:$J$19,2,TRUE),IF(AND(CE11&gt;2375,CE11&gt;=2556),VLOOKUP(S11,'H&amp;R Look Up'!$M$13:$N$17,2,TRUE),"")))))</f>
        <v/>
      </c>
      <c r="U11" s="222">
        <f t="shared" si="0"/>
        <v>163</v>
      </c>
    </row>
    <row r="12" spans="1:21" s="108" customFormat="1" ht="15.75">
      <c r="A12" s="178">
        <v>45950</v>
      </c>
      <c r="B12" s="189">
        <v>40964</v>
      </c>
      <c r="C12" s="186">
        <v>3</v>
      </c>
      <c r="D12" s="179"/>
      <c r="E12" s="187" t="s">
        <v>218</v>
      </c>
      <c r="F12" s="187" t="s">
        <v>219</v>
      </c>
      <c r="G12" s="188" t="s">
        <v>201</v>
      </c>
      <c r="H12" s="181"/>
      <c r="I12" s="219"/>
      <c r="J12" s="200">
        <f>IF(E12="","",IF(AND(U12&lt;=66),VLOOKUP(I12,'H&amp;R Look Up'!$A$13:$B$21,2,TRUE),IF(AND(U12&gt;=67,U12&lt;=72),VLOOKUP(I12,'H&amp;R Look Up'!$E$13:$F$20,2,TRUE),IF(AND(U12&gt;=73,U12&lt;=78),VLOOKUP(I12,'H&amp;R Look Up'!$I$13:$J$19,2,TRUE),IF(AND(U12&gt;=79),VLOOKUP(I12,'H&amp;R Look Up'!$M$13:$N$18,2,TRUE),"")))))</f>
        <v>1</v>
      </c>
      <c r="S12" s="221" t="str">
        <f t="shared" si="1"/>
        <v/>
      </c>
      <c r="T12" s="221" t="str">
        <f>IF(P12="","",IF(AND(CE12&lt;=2008),VLOOKUP(S12,'H&amp;R Look Up'!$A$13:$B$20,2,TRUE),IF(AND(CE12&gt;2009,CE12&lt;=2191),VLOOKUP(S12,'H&amp;R Look Up'!$E$13:$F$19,2,TRUE),IF(AND(CE12&gt;2192,CE12&lt;=2374),VLOOKUP(S12,'H&amp;R Look Up'!$I$13:$J$19,2,TRUE),IF(AND(CE12&gt;2375,CE12&gt;=2556),VLOOKUP(S12,'H&amp;R Look Up'!$M$13:$N$17,2,TRUE),"")))))</f>
        <v/>
      </c>
      <c r="U12" s="222">
        <f t="shared" si="0"/>
        <v>163</v>
      </c>
    </row>
    <row r="13" spans="1:21" s="108" customFormat="1" ht="15.75">
      <c r="A13" s="178">
        <v>45950</v>
      </c>
      <c r="B13" s="189">
        <v>40965</v>
      </c>
      <c r="C13" s="186">
        <v>3</v>
      </c>
      <c r="D13" s="186"/>
      <c r="E13" s="187" t="s">
        <v>220</v>
      </c>
      <c r="F13" s="187" t="s">
        <v>221</v>
      </c>
      <c r="G13" s="188" t="s">
        <v>202</v>
      </c>
      <c r="H13" s="181"/>
      <c r="I13" s="219"/>
      <c r="J13" s="200">
        <f>IF(E13="","",IF(AND(U13&lt;=66),VLOOKUP(I13,'H&amp;R Look Up'!$A$13:$B$21,2,TRUE),IF(AND(U13&gt;=67,U13&lt;=72),VLOOKUP(I13,'H&amp;R Look Up'!$E$13:$F$20,2,TRUE),IF(AND(U13&gt;=73,U13&lt;=78),VLOOKUP(I13,'H&amp;R Look Up'!$I$13:$J$19,2,TRUE),IF(AND(U13&gt;=79),VLOOKUP(I13,'H&amp;R Look Up'!$M$13:$N$18,2,TRUE),"")))))</f>
        <v>1</v>
      </c>
      <c r="S13" s="221" t="str">
        <f t="shared" si="1"/>
        <v/>
      </c>
      <c r="T13" s="221" t="str">
        <f>IF(P13="","",IF(AND(CE13&lt;=2008),VLOOKUP(S13,'H&amp;R Look Up'!$A$13:$B$20,2,TRUE),IF(AND(CE13&gt;2009,CE13&lt;=2191),VLOOKUP(S13,'H&amp;R Look Up'!$E$13:$F$19,2,TRUE),IF(AND(CE13&gt;2192,CE13&lt;=2374),VLOOKUP(S13,'H&amp;R Look Up'!$I$13:$J$19,2,TRUE),IF(AND(CE13&gt;2375,CE13&gt;=2556),VLOOKUP(S13,'H&amp;R Look Up'!$M$13:$N$17,2,TRUE),"")))))</f>
        <v/>
      </c>
      <c r="U13" s="222">
        <f t="shared" si="0"/>
        <v>163</v>
      </c>
    </row>
    <row r="14" spans="1:21" s="108" customFormat="1" ht="15.75">
      <c r="A14" s="178">
        <v>45950</v>
      </c>
      <c r="B14" s="189">
        <v>40966</v>
      </c>
      <c r="C14" s="186">
        <v>3</v>
      </c>
      <c r="D14" s="186"/>
      <c r="E14" s="187" t="s">
        <v>222</v>
      </c>
      <c r="F14" s="187" t="s">
        <v>223</v>
      </c>
      <c r="G14" s="188" t="s">
        <v>203</v>
      </c>
      <c r="H14" s="181"/>
      <c r="I14" s="219"/>
      <c r="J14" s="200">
        <f>IF(E14="","",IF(AND(U14&lt;=66),VLOOKUP(I14,'H&amp;R Look Up'!$A$13:$B$21,2,TRUE),IF(AND(U14&gt;=67,U14&lt;=72),VLOOKUP(I14,'H&amp;R Look Up'!$E$13:$F$20,2,TRUE),IF(AND(U14&gt;=73,U14&lt;=78),VLOOKUP(I14,'H&amp;R Look Up'!$I$13:$J$19,2,TRUE),IF(AND(U14&gt;=79),VLOOKUP(I14,'H&amp;R Look Up'!$M$13:$N$18,2,TRUE),"")))))</f>
        <v>1</v>
      </c>
      <c r="S14" s="221" t="str">
        <f t="shared" si="1"/>
        <v/>
      </c>
      <c r="T14" s="221" t="str">
        <f>IF(P14="","",IF(AND(CE14&lt;=2008),VLOOKUP(S14,'H&amp;R Look Up'!$A$13:$B$20,2,TRUE),IF(AND(CE14&gt;2009,CE14&lt;=2191),VLOOKUP(S14,'H&amp;R Look Up'!$E$13:$F$19,2,TRUE),IF(AND(CE14&gt;2192,CE14&lt;=2374),VLOOKUP(S14,'H&amp;R Look Up'!$I$13:$J$19,2,TRUE),IF(AND(CE14&gt;2375,CE14&gt;=2556),VLOOKUP(S14,'H&amp;R Look Up'!$M$13:$N$17,2,TRUE),"")))))</f>
        <v/>
      </c>
      <c r="U14" s="222">
        <f t="shared" si="0"/>
        <v>163</v>
      </c>
    </row>
    <row r="15" spans="1:21" s="108" customFormat="1" ht="15.75">
      <c r="A15" s="178">
        <v>45950</v>
      </c>
      <c r="B15" s="189">
        <v>40967</v>
      </c>
      <c r="C15" s="186">
        <v>3</v>
      </c>
      <c r="D15" s="186"/>
      <c r="E15" s="187" t="s">
        <v>224</v>
      </c>
      <c r="F15" s="187" t="s">
        <v>225</v>
      </c>
      <c r="G15" s="188" t="s">
        <v>204</v>
      </c>
      <c r="H15" s="181"/>
      <c r="I15" s="219"/>
      <c r="J15" s="200">
        <f>IF(E15="","",IF(AND(U15&lt;=66),VLOOKUP(I15,'H&amp;R Look Up'!$A$13:$B$21,2,TRUE),IF(AND(U15&gt;=67,U15&lt;=72),VLOOKUP(I15,'H&amp;R Look Up'!$E$13:$F$20,2,TRUE),IF(AND(U15&gt;=73,U15&lt;=78),VLOOKUP(I15,'H&amp;R Look Up'!$I$13:$J$19,2,TRUE),IF(AND(U15&gt;=79),VLOOKUP(I15,'H&amp;R Look Up'!$M$13:$N$18,2,TRUE),"")))))</f>
        <v>1</v>
      </c>
      <c r="S15" s="221" t="str">
        <f t="shared" si="1"/>
        <v/>
      </c>
      <c r="T15" s="221" t="str">
        <f>IF(P15="","",IF(AND(CE15&lt;=2008),VLOOKUP(S15,'H&amp;R Look Up'!$A$13:$B$20,2,TRUE),IF(AND(CE15&gt;2009,CE15&lt;=2191),VLOOKUP(S15,'H&amp;R Look Up'!$E$13:$F$19,2,TRUE),IF(AND(CE15&gt;2192,CE15&lt;=2374),VLOOKUP(S15,'H&amp;R Look Up'!$I$13:$J$19,2,TRUE),IF(AND(CE15&gt;2375,CE15&gt;=2556),VLOOKUP(S15,'H&amp;R Look Up'!$M$13:$N$17,2,TRUE),"")))))</f>
        <v/>
      </c>
      <c r="U15" s="222">
        <f t="shared" si="0"/>
        <v>163</v>
      </c>
    </row>
    <row r="16" spans="1:21" s="108" customFormat="1" ht="15.75">
      <c r="A16" s="178">
        <v>45950</v>
      </c>
      <c r="B16" s="189">
        <v>40968</v>
      </c>
      <c r="C16" s="186">
        <v>3</v>
      </c>
      <c r="D16" s="186"/>
      <c r="E16" s="187" t="s">
        <v>226</v>
      </c>
      <c r="F16" s="187" t="s">
        <v>227</v>
      </c>
      <c r="G16" s="188" t="s">
        <v>205</v>
      </c>
      <c r="H16" s="181"/>
      <c r="I16" s="219"/>
      <c r="J16" s="200">
        <f>IF(E16="","",IF(AND(U16&lt;=66),VLOOKUP(I16,'H&amp;R Look Up'!$A$13:$B$21,2,TRUE),IF(AND(U16&gt;=67,U16&lt;=72),VLOOKUP(I16,'H&amp;R Look Up'!$E$13:$F$20,2,TRUE),IF(AND(U16&gt;=73,U16&lt;=78),VLOOKUP(I16,'H&amp;R Look Up'!$I$13:$J$19,2,TRUE),IF(AND(U16&gt;=79),VLOOKUP(I16,'H&amp;R Look Up'!$M$13:$N$18,2,TRUE),"")))))</f>
        <v>1</v>
      </c>
      <c r="S16" s="221" t="str">
        <f t="shared" si="1"/>
        <v/>
      </c>
      <c r="T16" s="221" t="str">
        <f>IF(P16="","",IF(AND(CE16&lt;=2008),VLOOKUP(S16,'H&amp;R Look Up'!$A$13:$B$20,2,TRUE),IF(AND(CE16&gt;2009,CE16&lt;=2191),VLOOKUP(S16,'H&amp;R Look Up'!$E$13:$F$19,2,TRUE),IF(AND(CE16&gt;2192,CE16&lt;=2374),VLOOKUP(S16,'H&amp;R Look Up'!$I$13:$J$19,2,TRUE),IF(AND(CE16&gt;2375,CE16&gt;=2556),VLOOKUP(S16,'H&amp;R Look Up'!$M$13:$N$17,2,TRUE),"")))))</f>
        <v/>
      </c>
      <c r="U16" s="222">
        <f t="shared" si="0"/>
        <v>163</v>
      </c>
    </row>
    <row r="17" spans="1:21" s="108" customFormat="1" ht="15.75">
      <c r="A17" s="178"/>
      <c r="B17" s="189"/>
      <c r="C17" s="186"/>
      <c r="D17" s="186"/>
      <c r="E17" s="187"/>
      <c r="F17" s="187"/>
      <c r="G17" s="188"/>
      <c r="H17" s="181"/>
      <c r="I17" s="219"/>
      <c r="J17" s="200" t="str">
        <f>IF(E17="","",IF(AND(U17&lt;=66),VLOOKUP(I17,'H&amp;R Look Up'!$A$13:$B$21,2,TRUE),IF(AND(U17&gt;=67,U17&lt;=72),VLOOKUP(I17,'H&amp;R Look Up'!$E$13:$F$20,2,TRUE),IF(AND(U17&gt;=73,U17&lt;=78),VLOOKUP(I17,'H&amp;R Look Up'!$I$13:$J$19,2,TRUE),IF(AND(U17&gt;=79),VLOOKUP(I17,'H&amp;R Look Up'!$M$13:$N$18,2,TRUE),"")))))</f>
        <v/>
      </c>
      <c r="S17" s="221" t="str">
        <f t="shared" si="1"/>
        <v/>
      </c>
      <c r="T17" s="221" t="str">
        <f>IF(P17="","",IF(AND(CE17&lt;=2008),VLOOKUP(S17,'H&amp;R Look Up'!$A$13:$B$20,2,TRUE),IF(AND(CE17&gt;2009,CE17&lt;=2191),VLOOKUP(S17,'H&amp;R Look Up'!$E$13:$F$19,2,TRUE),IF(AND(CE17&gt;2192,CE17&lt;=2374),VLOOKUP(S17,'H&amp;R Look Up'!$I$13:$J$19,2,TRUE),IF(AND(CE17&gt;2375,CE17&gt;=2556),VLOOKUP(S17,'H&amp;R Look Up'!$M$13:$N$17,2,TRUE),"")))))</f>
        <v/>
      </c>
      <c r="U17" s="222" t="str">
        <f t="shared" si="0"/>
        <v/>
      </c>
    </row>
    <row r="18" spans="1:21" s="108" customFormat="1" ht="15.75">
      <c r="A18" s="178"/>
      <c r="B18" s="178"/>
      <c r="C18" s="186"/>
      <c r="D18" s="179"/>
      <c r="E18" s="187"/>
      <c r="F18" s="187"/>
      <c r="G18" s="188"/>
      <c r="H18" s="181"/>
      <c r="I18" s="219"/>
      <c r="J18" s="200" t="str">
        <f>IF(E18="","",IF(AND(U18&lt;=66),VLOOKUP(I18,'H&amp;R Look Up'!$A$13:$B$21,2,TRUE),IF(AND(U18&gt;=67,U18&lt;=72),VLOOKUP(I18,'H&amp;R Look Up'!$E$13:$F$20,2,TRUE),IF(AND(U18&gt;=73,U18&lt;=78),VLOOKUP(I18,'H&amp;R Look Up'!$I$13:$J$19,2,TRUE),IF(AND(U18&gt;=79),VLOOKUP(I18,'H&amp;R Look Up'!$M$13:$N$18,2,TRUE),"")))))</f>
        <v/>
      </c>
      <c r="U18" s="222" t="str">
        <f t="shared" si="0"/>
        <v/>
      </c>
    </row>
    <row r="19" spans="1:21" s="108" customFormat="1" ht="15.75">
      <c r="A19" s="178"/>
      <c r="B19" s="178"/>
      <c r="C19" s="186"/>
      <c r="D19" s="179"/>
      <c r="E19" s="187"/>
      <c r="F19" s="187"/>
      <c r="G19" s="188"/>
      <c r="H19" s="181"/>
      <c r="I19" s="219"/>
      <c r="J19" s="200" t="str">
        <f>IF(E19="","",IF(AND(U19&lt;=66),VLOOKUP(I19,'H&amp;R Look Up'!$A$13:$B$21,2,TRUE),IF(AND(U19&gt;=67,U19&lt;=72),VLOOKUP(I19,'H&amp;R Look Up'!$E$13:$F$20,2,TRUE),IF(AND(U19&gt;=73,U19&lt;=78),VLOOKUP(I19,'H&amp;R Look Up'!$I$13:$J$19,2,TRUE),IF(AND(U19&gt;=79),VLOOKUP(I19,'H&amp;R Look Up'!$M$13:$N$18,2,TRUE),"")))))</f>
        <v/>
      </c>
      <c r="U19" s="222" t="str">
        <f t="shared" si="0"/>
        <v/>
      </c>
    </row>
    <row r="20" spans="1:21" s="108" customFormat="1" ht="15.75">
      <c r="A20" s="178"/>
      <c r="B20" s="178"/>
      <c r="C20" s="186"/>
      <c r="D20" s="179"/>
      <c r="E20" s="187"/>
      <c r="F20" s="187"/>
      <c r="G20" s="188"/>
      <c r="H20" s="181"/>
      <c r="I20" s="219"/>
      <c r="J20" s="200" t="str">
        <f>IF(E20="","",IF(AND(U20&lt;=66),VLOOKUP(I20,'H&amp;R Look Up'!$A$13:$B$21,2,TRUE),IF(AND(U20&gt;=67,U20&lt;=72),VLOOKUP(I20,'H&amp;R Look Up'!$E$13:$F$20,2,TRUE),IF(AND(U20&gt;=73,U20&lt;=78),VLOOKUP(I20,'H&amp;R Look Up'!$I$13:$J$19,2,TRUE),IF(AND(U20&gt;=79),VLOOKUP(I20,'H&amp;R Look Up'!$M$13:$N$18,2,TRUE),"")))))</f>
        <v/>
      </c>
      <c r="U20" s="222" t="str">
        <f t="shared" si="0"/>
        <v/>
      </c>
    </row>
    <row r="21" spans="1:21" s="108" customFormat="1" ht="15.75">
      <c r="A21" s="178"/>
      <c r="B21" s="189"/>
      <c r="C21" s="186"/>
      <c r="D21" s="179"/>
      <c r="E21" s="187"/>
      <c r="F21" s="187"/>
      <c r="G21" s="188"/>
      <c r="H21" s="181"/>
      <c r="I21" s="219"/>
      <c r="J21" s="200" t="str">
        <f>IF(E21="","",IF(AND(U21&lt;=66),VLOOKUP(I21,'H&amp;R Look Up'!$A$13:$B$21,2,TRUE),IF(AND(U21&gt;=67,U21&lt;=72),VLOOKUP(I21,'H&amp;R Look Up'!$E$13:$F$20,2,TRUE),IF(AND(U21&gt;=73,U21&lt;=78),VLOOKUP(I21,'H&amp;R Look Up'!$I$13:$J$19,2,TRUE),IF(AND(U21&gt;=79),VLOOKUP(I21,'H&amp;R Look Up'!$M$13:$N$18,2,TRUE),"")))))</f>
        <v/>
      </c>
      <c r="U21" s="222" t="str">
        <f t="shared" si="0"/>
        <v/>
      </c>
    </row>
    <row r="22" spans="1:21" s="108" customFormat="1" ht="15.75">
      <c r="A22" s="178"/>
      <c r="B22" s="189"/>
      <c r="C22" s="186"/>
      <c r="D22" s="179"/>
      <c r="E22" s="187"/>
      <c r="F22" s="187"/>
      <c r="G22" s="188"/>
      <c r="H22" s="181"/>
      <c r="I22" s="219"/>
      <c r="J22" s="200" t="str">
        <f>IF(E22="","",IF(AND(U22&lt;=66),VLOOKUP(I22,'H&amp;R Look Up'!$A$13:$B$21,2,TRUE),IF(AND(U22&gt;=67,U22&lt;=72),VLOOKUP(I22,'H&amp;R Look Up'!$E$13:$F$20,2,TRUE),IF(AND(U22&gt;=73,U22&lt;=78),VLOOKUP(I22,'H&amp;R Look Up'!$I$13:$J$19,2,TRUE),IF(AND(U22&gt;=79),VLOOKUP(I22,'H&amp;R Look Up'!$M$13:$N$18,2,TRUE),"")))))</f>
        <v/>
      </c>
      <c r="U22" s="222" t="str">
        <f t="shared" si="0"/>
        <v/>
      </c>
    </row>
    <row r="23" spans="1:21" s="108" customFormat="1" ht="15.75">
      <c r="A23" s="178"/>
      <c r="B23" s="189"/>
      <c r="C23" s="186"/>
      <c r="D23" s="179"/>
      <c r="E23" s="187"/>
      <c r="F23" s="187"/>
      <c r="G23" s="188"/>
      <c r="H23" s="181"/>
      <c r="I23" s="219"/>
      <c r="J23" s="200" t="str">
        <f>IF(E23="","",IF(AND(U23&lt;=66),VLOOKUP(I23,'H&amp;R Look Up'!$A$13:$B$21,2,TRUE),IF(AND(U23&gt;=67,U23&lt;=72),VLOOKUP(I23,'H&amp;R Look Up'!$E$13:$F$20,2,TRUE),IF(AND(U23&gt;=73,U23&lt;=78),VLOOKUP(I23,'H&amp;R Look Up'!$I$13:$J$19,2,TRUE),IF(AND(U23&gt;=79),VLOOKUP(I23,'H&amp;R Look Up'!$M$13:$N$18,2,TRUE),"")))))</f>
        <v/>
      </c>
      <c r="U23" s="222" t="str">
        <f t="shared" si="0"/>
        <v/>
      </c>
    </row>
    <row r="24" spans="1:21" s="108" customFormat="1" ht="15.75">
      <c r="A24" s="178"/>
      <c r="B24" s="189"/>
      <c r="C24" s="186"/>
      <c r="D24" s="186"/>
      <c r="E24" s="187"/>
      <c r="F24" s="187"/>
      <c r="G24" s="188"/>
      <c r="H24" s="181"/>
      <c r="I24" s="219"/>
      <c r="J24" s="200" t="str">
        <f>IF(E24="","",IF(AND(U24&lt;=66),VLOOKUP(I24,'H&amp;R Look Up'!$A$13:$B$21,2,TRUE),IF(AND(U24&gt;=67,U24&lt;=72),VLOOKUP(I24,'H&amp;R Look Up'!$E$13:$F$20,2,TRUE),IF(AND(U24&gt;=73,U24&lt;=78),VLOOKUP(I24,'H&amp;R Look Up'!$I$13:$J$19,2,TRUE),IF(AND(U24&gt;=79),VLOOKUP(I24,'H&amp;R Look Up'!$M$13:$N$18,2,TRUE),"")))))</f>
        <v/>
      </c>
      <c r="U24" s="222" t="str">
        <f t="shared" si="0"/>
        <v/>
      </c>
    </row>
    <row r="25" spans="1:21" s="108" customFormat="1" ht="15.75">
      <c r="A25" s="178"/>
      <c r="B25" s="189"/>
      <c r="C25" s="186"/>
      <c r="D25" s="186"/>
      <c r="E25" s="187"/>
      <c r="F25" s="187"/>
      <c r="G25" s="188"/>
      <c r="H25" s="181"/>
      <c r="I25" s="219"/>
      <c r="J25" s="200" t="str">
        <f>IF(E25="","",IF(AND(U25&lt;=66),VLOOKUP(I25,'H&amp;R Look Up'!$A$13:$B$21,2,TRUE),IF(AND(U25&gt;=67,U25&lt;=72),VLOOKUP(I25,'H&amp;R Look Up'!$E$13:$F$20,2,TRUE),IF(AND(U25&gt;=73,U25&lt;=78),VLOOKUP(I25,'H&amp;R Look Up'!$I$13:$J$19,2,TRUE),IF(AND(U25&gt;=79),VLOOKUP(I25,'H&amp;R Look Up'!$M$13:$N$18,2,TRUE),"")))))</f>
        <v/>
      </c>
      <c r="U25" s="222" t="str">
        <f t="shared" si="0"/>
        <v/>
      </c>
    </row>
    <row r="26" spans="1:21" s="108" customFormat="1" ht="15.75">
      <c r="A26" s="178"/>
      <c r="B26" s="189"/>
      <c r="C26" s="186"/>
      <c r="D26" s="186"/>
      <c r="E26" s="187"/>
      <c r="F26" s="187"/>
      <c r="G26" s="188"/>
      <c r="H26" s="181"/>
      <c r="I26" s="219"/>
      <c r="J26" s="200" t="str">
        <f>IF(E26="","",IF(AND(U26&lt;=66),VLOOKUP(I26,'H&amp;R Look Up'!$A$13:$B$21,2,TRUE),IF(AND(U26&gt;=67,U26&lt;=72),VLOOKUP(I26,'H&amp;R Look Up'!$E$13:$F$20,2,TRUE),IF(AND(U26&gt;=73,U26&lt;=78),VLOOKUP(I26,'H&amp;R Look Up'!$I$13:$J$19,2,TRUE),IF(AND(U26&gt;=79),VLOOKUP(I26,'H&amp;R Look Up'!$M$13:$N$18,2,TRUE),"")))))</f>
        <v/>
      </c>
      <c r="U26" s="222" t="str">
        <f t="shared" si="0"/>
        <v/>
      </c>
    </row>
    <row r="27" spans="1:21" s="108" customFormat="1" ht="15.75">
      <c r="A27" s="178"/>
      <c r="B27" s="189"/>
      <c r="C27" s="186"/>
      <c r="D27" s="186"/>
      <c r="E27" s="187"/>
      <c r="F27" s="187"/>
      <c r="G27" s="188"/>
      <c r="H27" s="181"/>
      <c r="I27" s="219"/>
      <c r="J27" s="200" t="str">
        <f>IF(E27="","",IF(AND(U27&lt;=66),VLOOKUP(I27,'H&amp;R Look Up'!$A$13:$B$21,2,TRUE),IF(AND(U27&gt;=67,U27&lt;=72),VLOOKUP(I27,'H&amp;R Look Up'!$E$13:$F$20,2,TRUE),IF(AND(U27&gt;=73,U27&lt;=78),VLOOKUP(I27,'H&amp;R Look Up'!$I$13:$J$19,2,TRUE),IF(AND(U27&gt;=79),VLOOKUP(I27,'H&amp;R Look Up'!$M$13:$N$18,2,TRUE),"")))))</f>
        <v/>
      </c>
      <c r="U27" s="222" t="str">
        <f t="shared" si="0"/>
        <v/>
      </c>
    </row>
    <row r="28" spans="1:21" s="108" customFormat="1" ht="15.75">
      <c r="A28" s="178"/>
      <c r="B28" s="178"/>
      <c r="C28" s="186"/>
      <c r="D28" s="179"/>
      <c r="E28" s="187"/>
      <c r="F28" s="187"/>
      <c r="G28" s="188"/>
      <c r="H28" s="181"/>
      <c r="I28" s="219"/>
      <c r="J28" s="200" t="str">
        <f>IF(E28="","",IF(AND(U28&lt;=66),VLOOKUP(I28,'H&amp;R Look Up'!$A$13:$B$21,2,TRUE),IF(AND(U28&gt;=67,U28&lt;=72),VLOOKUP(I28,'H&amp;R Look Up'!$E$13:$F$20,2,TRUE),IF(AND(U28&gt;=73,U28&lt;=78),VLOOKUP(I28,'H&amp;R Look Up'!$I$13:$J$19,2,TRUE),IF(AND(U28&gt;=79),VLOOKUP(I28,'H&amp;R Look Up'!$M$13:$N$18,2,TRUE),"")))))</f>
        <v/>
      </c>
      <c r="U28" s="222" t="str">
        <f t="shared" si="0"/>
        <v/>
      </c>
    </row>
    <row r="29" spans="1:21" s="108" customFormat="1" ht="15.75">
      <c r="A29" s="178"/>
      <c r="B29" s="178"/>
      <c r="C29" s="186"/>
      <c r="D29" s="179"/>
      <c r="E29" s="187"/>
      <c r="F29" s="187"/>
      <c r="G29" s="188"/>
      <c r="H29" s="181"/>
      <c r="I29" s="219"/>
      <c r="J29" s="200" t="str">
        <f>IF(E29="","",IF(AND(U29&lt;=66),VLOOKUP(I29,'H&amp;R Look Up'!$A$13:$B$21,2,TRUE),IF(AND(U29&gt;=67,U29&lt;=72),VLOOKUP(I29,'H&amp;R Look Up'!$E$13:$F$20,2,TRUE),IF(AND(U29&gt;=73,U29&lt;=78),VLOOKUP(I29,'H&amp;R Look Up'!$I$13:$J$19,2,TRUE),IF(AND(U29&gt;=79),VLOOKUP(I29,'H&amp;R Look Up'!$M$13:$N$18,2,TRUE),"")))))</f>
        <v/>
      </c>
      <c r="U29" s="222" t="str">
        <f t="shared" si="0"/>
        <v/>
      </c>
    </row>
    <row r="30" spans="1:21" s="108" customFormat="1" ht="15.75">
      <c r="A30" s="178"/>
      <c r="B30" s="189"/>
      <c r="C30" s="186"/>
      <c r="D30" s="179"/>
      <c r="E30" s="187"/>
      <c r="F30" s="187"/>
      <c r="G30" s="188"/>
      <c r="H30" s="181"/>
      <c r="I30" s="219"/>
      <c r="J30" s="200" t="str">
        <f>IF(E30="","",IF(AND(U30&lt;=66),VLOOKUP(I30,'H&amp;R Look Up'!$A$13:$B$21,2,TRUE),IF(AND(U30&gt;=67,U30&lt;=72),VLOOKUP(I30,'H&amp;R Look Up'!$E$13:$F$20,2,TRUE),IF(AND(U30&gt;=73,U30&lt;=78),VLOOKUP(I30,'H&amp;R Look Up'!$I$13:$J$19,2,TRUE),IF(AND(U30&gt;=79),VLOOKUP(I30,'H&amp;R Look Up'!$M$13:$N$18,2,TRUE),"")))))</f>
        <v/>
      </c>
      <c r="U30" s="222" t="str">
        <f t="shared" si="0"/>
        <v/>
      </c>
    </row>
    <row r="31" spans="1:21" s="108" customFormat="1" ht="15.75">
      <c r="A31" s="178"/>
      <c r="B31" s="189"/>
      <c r="C31" s="186"/>
      <c r="D31" s="179"/>
      <c r="E31" s="187"/>
      <c r="F31" s="187"/>
      <c r="G31" s="188"/>
      <c r="H31" s="181"/>
      <c r="I31" s="219"/>
      <c r="J31" s="200" t="str">
        <f>IF(E31="","",IF(AND(U31&lt;=66),VLOOKUP(I31,'H&amp;R Look Up'!$A$13:$B$21,2,TRUE),IF(AND(U31&gt;=67,U31&lt;=72),VLOOKUP(I31,'H&amp;R Look Up'!$E$13:$F$20,2,TRUE),IF(AND(U31&gt;=73,U31&lt;=78),VLOOKUP(I31,'H&amp;R Look Up'!$I$13:$J$19,2,TRUE),IF(AND(U31&gt;=79),VLOOKUP(I31,'H&amp;R Look Up'!$M$13:$N$18,2,TRUE),"")))))</f>
        <v/>
      </c>
      <c r="U31" s="222" t="str">
        <f t="shared" si="0"/>
        <v/>
      </c>
    </row>
    <row r="32" spans="1:21" s="108" customFormat="1" ht="15.75">
      <c r="A32" s="178"/>
      <c r="B32" s="189"/>
      <c r="C32" s="186"/>
      <c r="D32" s="179"/>
      <c r="E32" s="187"/>
      <c r="F32" s="187"/>
      <c r="G32" s="188"/>
      <c r="H32" s="181"/>
      <c r="I32" s="219"/>
      <c r="J32" s="200" t="str">
        <f>IF(E32="","",IF(AND(U32&lt;=66),VLOOKUP(I32,'H&amp;R Look Up'!$A$13:$B$21,2,TRUE),IF(AND(U32&gt;=67,U32&lt;=72),VLOOKUP(I32,'H&amp;R Look Up'!$E$13:$F$20,2,TRUE),IF(AND(U32&gt;=73,U32&lt;=78),VLOOKUP(I32,'H&amp;R Look Up'!$I$13:$J$19,2,TRUE),IF(AND(U32&gt;=79),VLOOKUP(I32,'H&amp;R Look Up'!$M$13:$N$18,2,TRUE),"")))))</f>
        <v/>
      </c>
      <c r="U32" s="222" t="str">
        <f t="shared" si="0"/>
        <v/>
      </c>
    </row>
    <row r="33" spans="1:21" s="108" customFormat="1" ht="15.75">
      <c r="A33" s="178"/>
      <c r="B33" s="189"/>
      <c r="C33" s="186"/>
      <c r="D33" s="186"/>
      <c r="E33" s="187"/>
      <c r="F33" s="187"/>
      <c r="G33" s="188"/>
      <c r="H33" s="181"/>
      <c r="I33" s="219"/>
      <c r="J33" s="200" t="str">
        <f>IF(E33="","",IF(AND(U33&lt;=66),VLOOKUP(I33,'H&amp;R Look Up'!$A$13:$B$21,2,TRUE),IF(AND(U33&gt;=67,U33&lt;=72),VLOOKUP(I33,'H&amp;R Look Up'!$E$13:$F$20,2,TRUE),IF(AND(U33&gt;=73,U33&lt;=78),VLOOKUP(I33,'H&amp;R Look Up'!$I$13:$J$19,2,TRUE),IF(AND(U33&gt;=79),VLOOKUP(I33,'H&amp;R Look Up'!$M$13:$N$18,2,TRUE),"")))))</f>
        <v/>
      </c>
      <c r="U33" s="222" t="str">
        <f t="shared" si="0"/>
        <v/>
      </c>
    </row>
    <row r="34" spans="1:21" s="108" customFormat="1" ht="15.75">
      <c r="A34" s="178"/>
      <c r="B34" s="189"/>
      <c r="C34" s="186"/>
      <c r="D34" s="186"/>
      <c r="E34" s="187"/>
      <c r="F34" s="187"/>
      <c r="G34" s="188"/>
      <c r="H34" s="181"/>
      <c r="I34" s="219"/>
      <c r="J34" s="200" t="str">
        <f>IF(E34="","",IF(AND(U34&lt;=66),VLOOKUP(I34,'H&amp;R Look Up'!$A$13:$B$21,2,TRUE),IF(AND(U34&gt;=67,U34&lt;=72),VLOOKUP(I34,'H&amp;R Look Up'!$E$13:$F$20,2,TRUE),IF(AND(U34&gt;=73,U34&lt;=78),VLOOKUP(I34,'H&amp;R Look Up'!$I$13:$J$19,2,TRUE),IF(AND(U34&gt;=79),VLOOKUP(I34,'H&amp;R Look Up'!$M$13:$N$18,2,TRUE),"")))))</f>
        <v/>
      </c>
      <c r="U34" s="222" t="str">
        <f t="shared" si="0"/>
        <v/>
      </c>
    </row>
    <row r="35" spans="1:21" s="108" customFormat="1" ht="15.75">
      <c r="A35" s="178"/>
      <c r="B35" s="189"/>
      <c r="C35" s="186"/>
      <c r="D35" s="186"/>
      <c r="E35" s="187"/>
      <c r="F35" s="187"/>
      <c r="G35" s="188"/>
      <c r="H35" s="181"/>
      <c r="I35" s="219"/>
      <c r="J35" s="200" t="str">
        <f>IF(E35="","",IF(AND(U35&lt;=66),VLOOKUP(I35,'H&amp;R Look Up'!$A$13:$B$21,2,TRUE),IF(AND(U35&gt;=67,U35&lt;=72),VLOOKUP(I35,'H&amp;R Look Up'!$E$13:$F$20,2,TRUE),IF(AND(U35&gt;=73,U35&lt;=78),VLOOKUP(I35,'H&amp;R Look Up'!$I$13:$J$19,2,TRUE),IF(AND(U35&gt;=79),VLOOKUP(I35,'H&amp;R Look Up'!$M$13:$N$18,2,TRUE),"")))))</f>
        <v/>
      </c>
      <c r="U35" s="222" t="str">
        <f t="shared" si="0"/>
        <v/>
      </c>
    </row>
    <row r="36" spans="1:21" s="108" customFormat="1" ht="15.75">
      <c r="A36" s="178"/>
      <c r="B36" s="189"/>
      <c r="C36" s="186"/>
      <c r="D36" s="186"/>
      <c r="E36" s="187"/>
      <c r="F36" s="187"/>
      <c r="G36" s="188"/>
      <c r="H36" s="181"/>
      <c r="I36" s="219"/>
      <c r="J36" s="200" t="str">
        <f>IF(E36="","",IF(AND(U36&lt;=66),VLOOKUP(I36,'H&amp;R Look Up'!$A$13:$B$21,2,TRUE),IF(AND(U36&gt;=67,U36&lt;=72),VLOOKUP(I36,'H&amp;R Look Up'!$E$13:$F$20,2,TRUE),IF(AND(U36&gt;=73,U36&lt;=78),VLOOKUP(I36,'H&amp;R Look Up'!$I$13:$J$19,2,TRUE),IF(AND(U36&gt;=79),VLOOKUP(I36,'H&amp;R Look Up'!$M$13:$N$18,2,TRUE),"")))))</f>
        <v/>
      </c>
      <c r="U36" s="222" t="str">
        <f t="shared" si="0"/>
        <v/>
      </c>
    </row>
    <row r="37" spans="1:21" s="108" customFormat="1" ht="15.75">
      <c r="A37" s="101"/>
      <c r="B37" s="110"/>
      <c r="C37" s="111"/>
      <c r="D37" s="111"/>
      <c r="E37" s="112"/>
      <c r="F37" s="112"/>
      <c r="G37" s="113"/>
      <c r="H37" s="104"/>
      <c r="I37" s="219"/>
      <c r="J37" s="200" t="str">
        <f>IF(E37="","",IF(AND(U37&lt;=66),VLOOKUP(I37,'H&amp;R Look Up'!$A$13:$B$21,2,TRUE),IF(AND(U37&gt;=67,U37&lt;=72),VLOOKUP(I37,'H&amp;R Look Up'!$E$13:$F$20,2,TRUE),IF(AND(U37&gt;=73,U37&lt;=78),VLOOKUP(I37,'H&amp;R Look Up'!$I$13:$J$19,2,TRUE),IF(AND(U37&gt;=79),VLOOKUP(I37,'H&amp;R Look Up'!$M$13:$N$18,2,TRUE),"")))))</f>
        <v/>
      </c>
      <c r="U37" s="222" t="str">
        <f t="shared" si="0"/>
        <v/>
      </c>
    </row>
    <row r="38" spans="1:21" s="108" customFormat="1" ht="15.75">
      <c r="A38" s="119"/>
      <c r="B38" s="120"/>
      <c r="C38" s="111"/>
      <c r="D38" s="111"/>
      <c r="E38" s="121"/>
      <c r="F38" s="121"/>
      <c r="G38" s="113"/>
      <c r="H38" s="104"/>
      <c r="I38" s="219"/>
      <c r="J38" s="200" t="str">
        <f>IF(E38="","",IF(AND(U38&lt;=66),VLOOKUP(I38,'H&amp;R Look Up'!$A$13:$B$21,2,TRUE),IF(AND(U38&gt;=67,U38&lt;=72),VLOOKUP(I38,'H&amp;R Look Up'!$E$13:$F$20,2,TRUE),IF(AND(U38&gt;=73,U38&lt;=78),VLOOKUP(I38,'H&amp;R Look Up'!$I$13:$J$19,2,TRUE),IF(AND(U38&gt;=79),VLOOKUP(I38,'H&amp;R Look Up'!$M$13:$N$18,2,TRUE),"")))))</f>
        <v/>
      </c>
      <c r="U38" s="222" t="str">
        <f t="shared" si="0"/>
        <v/>
      </c>
    </row>
    <row r="39" spans="1:21" s="108" customFormat="1" ht="15.75">
      <c r="A39" s="119"/>
      <c r="B39" s="120"/>
      <c r="C39" s="111"/>
      <c r="D39" s="111"/>
      <c r="E39" s="121"/>
      <c r="F39" s="121"/>
      <c r="G39" s="113"/>
      <c r="H39" s="104"/>
      <c r="I39" s="219"/>
      <c r="J39" s="200" t="str">
        <f>IF(E39="","",IF(AND(U39&lt;=66),VLOOKUP(I39,'H&amp;R Look Up'!$A$13:$B$21,2,TRUE),IF(AND(U39&gt;=67,U39&lt;=72),VLOOKUP(I39,'H&amp;R Look Up'!$E$13:$F$20,2,TRUE),IF(AND(U39&gt;=73,U39&lt;=78),VLOOKUP(I39,'H&amp;R Look Up'!$I$13:$J$19,2,TRUE),IF(AND(U39&gt;=79),VLOOKUP(I39,'H&amp;R Look Up'!$M$13:$N$18,2,TRUE),"")))))</f>
        <v/>
      </c>
      <c r="U39" s="222" t="str">
        <f t="shared" si="0"/>
        <v/>
      </c>
    </row>
    <row r="40" spans="1:21" s="108" customFormat="1" ht="15.75">
      <c r="A40" s="119"/>
      <c r="B40" s="120"/>
      <c r="C40" s="111"/>
      <c r="D40" s="111"/>
      <c r="E40" s="121"/>
      <c r="F40" s="121"/>
      <c r="G40" s="113"/>
      <c r="H40" s="104"/>
      <c r="I40" s="219"/>
      <c r="J40" s="200" t="str">
        <f>IF(E40="","",IF(AND(U40&lt;=66),VLOOKUP(I40,'H&amp;R Look Up'!$A$13:$B$21,2,TRUE),IF(AND(U40&gt;=67,U40&lt;=72),VLOOKUP(I40,'H&amp;R Look Up'!$E$13:$F$20,2,TRUE),IF(AND(U40&gt;=73,U40&lt;=78),VLOOKUP(I40,'H&amp;R Look Up'!$I$13:$J$19,2,TRUE),IF(AND(U40&gt;=79),VLOOKUP(I40,'H&amp;R Look Up'!$M$13:$N$18,2,TRUE),"")))))</f>
        <v/>
      </c>
      <c r="U40" s="222" t="str">
        <f t="shared" si="0"/>
        <v/>
      </c>
    </row>
    <row r="41" spans="1:21" s="108" customFormat="1" ht="15.75">
      <c r="A41" s="119"/>
      <c r="B41" s="120"/>
      <c r="C41" s="111"/>
      <c r="D41" s="111"/>
      <c r="E41" s="121"/>
      <c r="F41" s="121"/>
      <c r="G41" s="113"/>
      <c r="H41" s="104"/>
      <c r="I41" s="219"/>
      <c r="J41" s="200" t="str">
        <f>IF(E41="","",IF(AND(U41&lt;=66),VLOOKUP(I41,'H&amp;R Look Up'!$A$13:$B$21,2,TRUE),IF(AND(U41&gt;=67,U41&lt;=72),VLOOKUP(I41,'H&amp;R Look Up'!$E$13:$F$20,2,TRUE),IF(AND(U41&gt;=73,U41&lt;=78),VLOOKUP(I41,'H&amp;R Look Up'!$I$13:$J$19,2,TRUE),IF(AND(U41&gt;=79),VLOOKUP(I41,'H&amp;R Look Up'!$M$13:$N$18,2,TRUE),"")))))</f>
        <v/>
      </c>
      <c r="U41" s="222" t="str">
        <f t="shared" si="0"/>
        <v/>
      </c>
    </row>
    <row r="42" spans="1:21" s="108" customFormat="1" ht="15.75">
      <c r="A42" s="119"/>
      <c r="B42" s="120"/>
      <c r="C42" s="111"/>
      <c r="D42" s="111"/>
      <c r="E42" s="121"/>
      <c r="F42" s="121"/>
      <c r="G42" s="113"/>
      <c r="H42" s="104"/>
      <c r="I42" s="219"/>
      <c r="J42" s="200" t="str">
        <f>IF(E42="","",IF(AND(U42&lt;=66),VLOOKUP(I42,'H&amp;R Look Up'!$A$13:$B$21,2,TRUE),IF(AND(U42&gt;=67,U42&lt;=72),VLOOKUP(I42,'H&amp;R Look Up'!$E$13:$F$20,2,TRUE),IF(AND(U42&gt;=73,U42&lt;=78),VLOOKUP(I42,'H&amp;R Look Up'!$I$13:$J$19,2,TRUE),IF(AND(U42&gt;=79),VLOOKUP(I42,'H&amp;R Look Up'!$M$13:$N$18,2,TRUE),"")))))</f>
        <v/>
      </c>
      <c r="U42" s="222" t="str">
        <f t="shared" si="0"/>
        <v/>
      </c>
    </row>
    <row r="43" spans="1:21" s="108" customFormat="1" ht="15.75">
      <c r="A43" s="119"/>
      <c r="B43" s="120"/>
      <c r="C43" s="111"/>
      <c r="D43" s="111"/>
      <c r="E43" s="121"/>
      <c r="F43" s="121"/>
      <c r="G43" s="113"/>
      <c r="H43" s="104"/>
      <c r="I43" s="219"/>
      <c r="J43" s="200" t="str">
        <f>IF(E43="","",IF(AND(U43&lt;=66),VLOOKUP(I43,'H&amp;R Look Up'!$A$13:$B$21,2,TRUE),IF(AND(U43&gt;=67,U43&lt;=72),VLOOKUP(I43,'H&amp;R Look Up'!$E$13:$F$20,2,TRUE),IF(AND(U43&gt;=73,U43&lt;=78),VLOOKUP(I43,'H&amp;R Look Up'!$I$13:$J$19,2,TRUE),IF(AND(U43&gt;=79),VLOOKUP(I43,'H&amp;R Look Up'!$M$13:$N$18,2,TRUE),"")))))</f>
        <v/>
      </c>
      <c r="U43" s="222" t="str">
        <f t="shared" si="0"/>
        <v/>
      </c>
    </row>
    <row r="44" spans="1:21" s="108" customFormat="1" ht="15.75">
      <c r="A44" s="119"/>
      <c r="B44" s="120"/>
      <c r="C44" s="111"/>
      <c r="D44" s="111"/>
      <c r="E44" s="121"/>
      <c r="F44" s="121"/>
      <c r="G44" s="113"/>
      <c r="H44" s="104"/>
      <c r="I44" s="219"/>
      <c r="J44" s="200" t="str">
        <f>IF(E44="","",IF(AND(U44&lt;=66),VLOOKUP(I44,'H&amp;R Look Up'!$A$13:$B$21,2,TRUE),IF(AND(U44&gt;=67,U44&lt;=72),VLOOKUP(I44,'H&amp;R Look Up'!$E$13:$F$20,2,TRUE),IF(AND(U44&gt;=73,U44&lt;=78),VLOOKUP(I44,'H&amp;R Look Up'!$I$13:$J$19,2,TRUE),IF(AND(U44&gt;=79),VLOOKUP(I44,'H&amp;R Look Up'!$M$13:$N$18,2,TRUE),"")))))</f>
        <v/>
      </c>
      <c r="U44" s="222" t="str">
        <f t="shared" si="0"/>
        <v/>
      </c>
    </row>
    <row r="45" spans="1:21" s="108" customFormat="1" ht="15.75">
      <c r="A45" s="119"/>
      <c r="B45" s="120"/>
      <c r="C45" s="111"/>
      <c r="D45" s="111"/>
      <c r="E45" s="121"/>
      <c r="F45" s="121"/>
      <c r="G45" s="113"/>
      <c r="H45" s="104"/>
      <c r="I45" s="219"/>
      <c r="J45" s="200" t="str">
        <f>IF(E45="","",IF(AND(U45&lt;=66),VLOOKUP(I45,'H&amp;R Look Up'!$A$13:$B$21,2,TRUE),IF(AND(U45&gt;=67,U45&lt;=72),VLOOKUP(I45,'H&amp;R Look Up'!$E$13:$F$20,2,TRUE),IF(AND(U45&gt;=73,U45&lt;=78),VLOOKUP(I45,'H&amp;R Look Up'!$I$13:$J$19,2,TRUE),IF(AND(U45&gt;=79),VLOOKUP(I45,'H&amp;R Look Up'!$M$13:$N$18,2,TRUE),"")))))</f>
        <v/>
      </c>
      <c r="U45" s="222" t="str">
        <f t="shared" si="0"/>
        <v/>
      </c>
    </row>
    <row r="46" spans="1:21" s="108" customFormat="1" ht="15.75">
      <c r="A46" s="119"/>
      <c r="B46" s="120"/>
      <c r="C46" s="111"/>
      <c r="D46" s="111"/>
      <c r="E46" s="121"/>
      <c r="F46" s="121"/>
      <c r="G46" s="113"/>
      <c r="H46" s="104"/>
      <c r="I46" s="219"/>
      <c r="J46" s="200" t="str">
        <f>IF(E46="","",IF(AND(U46&lt;=66),VLOOKUP(I46,'H&amp;R Look Up'!$A$13:$B$21,2,TRUE),IF(AND(U46&gt;=67,U46&lt;=72),VLOOKUP(I46,'H&amp;R Look Up'!$E$13:$F$20,2,TRUE),IF(AND(U46&gt;=73,U46&lt;=78),VLOOKUP(I46,'H&amp;R Look Up'!$I$13:$J$19,2,TRUE),IF(AND(U46&gt;=79),VLOOKUP(I46,'H&amp;R Look Up'!$M$13:$N$18,2,TRUE),"")))))</f>
        <v/>
      </c>
      <c r="U46" s="222" t="str">
        <f t="shared" si="0"/>
        <v/>
      </c>
    </row>
    <row r="47" spans="1:21" s="108" customFormat="1" ht="15.75">
      <c r="A47" s="119"/>
      <c r="B47" s="120"/>
      <c r="C47" s="111"/>
      <c r="D47" s="111"/>
      <c r="E47" s="121"/>
      <c r="F47" s="121"/>
      <c r="G47" s="113"/>
      <c r="H47" s="104"/>
      <c r="I47" s="219"/>
      <c r="J47" s="200" t="str">
        <f>IF(E47="","",IF(AND(U47&lt;=66),VLOOKUP(I47,'H&amp;R Look Up'!$A$13:$B$21,2,TRUE),IF(AND(U47&gt;=67,U47&lt;=72),VLOOKUP(I47,'H&amp;R Look Up'!$E$13:$F$20,2,TRUE),IF(AND(U47&gt;=73,U47&lt;=78),VLOOKUP(I47,'H&amp;R Look Up'!$I$13:$J$19,2,TRUE),IF(AND(U47&gt;=79),VLOOKUP(I47,'H&amp;R Look Up'!$M$13:$N$18,2,TRUE),"")))))</f>
        <v/>
      </c>
      <c r="U47" s="222" t="str">
        <f t="shared" si="0"/>
        <v/>
      </c>
    </row>
    <row r="48" spans="1:21" s="108" customFormat="1" ht="15.75">
      <c r="A48" s="119"/>
      <c r="B48" s="120"/>
      <c r="C48" s="111"/>
      <c r="D48" s="111"/>
      <c r="E48" s="121"/>
      <c r="F48" s="121"/>
      <c r="G48" s="113"/>
      <c r="H48" s="104"/>
      <c r="I48" s="219"/>
      <c r="J48" s="200" t="str">
        <f>IF(E48="","",IF(AND(U48&lt;=66),VLOOKUP(I48,'H&amp;R Look Up'!$A$13:$B$21,2,TRUE),IF(AND(U48&gt;=67,U48&lt;=72),VLOOKUP(I48,'H&amp;R Look Up'!$E$13:$F$20,2,TRUE),IF(AND(U48&gt;=73,U48&lt;=78),VLOOKUP(I48,'H&amp;R Look Up'!$I$13:$J$19,2,TRUE),IF(AND(U48&gt;=79),VLOOKUP(I48,'H&amp;R Look Up'!$M$13:$N$18,2,TRUE),"")))))</f>
        <v/>
      </c>
      <c r="U48" s="222" t="str">
        <f t="shared" si="0"/>
        <v/>
      </c>
    </row>
    <row r="49" spans="1:21" s="108" customFormat="1" ht="15.75">
      <c r="A49" s="119"/>
      <c r="B49" s="120"/>
      <c r="C49" s="111"/>
      <c r="D49" s="111"/>
      <c r="E49" s="121"/>
      <c r="F49" s="121"/>
      <c r="G49" s="113"/>
      <c r="H49" s="104"/>
      <c r="I49" s="219"/>
      <c r="J49" s="200" t="str">
        <f>IF(E49="","",IF(AND(U49&lt;=66),VLOOKUP(I49,'H&amp;R Look Up'!$A$13:$B$21,2,TRUE),IF(AND(U49&gt;=67,U49&lt;=72),VLOOKUP(I49,'H&amp;R Look Up'!$E$13:$F$20,2,TRUE),IF(AND(U49&gt;=73,U49&lt;=78),VLOOKUP(I49,'H&amp;R Look Up'!$I$13:$J$19,2,TRUE),IF(AND(U49&gt;=79),VLOOKUP(I49,'H&amp;R Look Up'!$M$13:$N$18,2,TRUE),"")))))</f>
        <v/>
      </c>
      <c r="U49" s="222" t="str">
        <f t="shared" si="0"/>
        <v/>
      </c>
    </row>
    <row r="50" spans="1:21" s="108" customFormat="1" ht="15.75">
      <c r="A50" s="119"/>
      <c r="B50" s="120"/>
      <c r="C50" s="111"/>
      <c r="D50" s="111"/>
      <c r="E50" s="121"/>
      <c r="F50" s="121"/>
      <c r="G50" s="113"/>
      <c r="H50" s="104"/>
      <c r="I50" s="219"/>
      <c r="J50" s="200" t="str">
        <f>IF(E50="","",IF(AND(U50&lt;=66),VLOOKUP(I50,'H&amp;R Look Up'!$A$13:$B$21,2,TRUE),IF(AND(U50&gt;=67,U50&lt;=72),VLOOKUP(I50,'H&amp;R Look Up'!$E$13:$F$20,2,TRUE),IF(AND(U50&gt;=73,U50&lt;=78),VLOOKUP(I50,'H&amp;R Look Up'!$I$13:$J$19,2,TRUE),IF(AND(U50&gt;=79),VLOOKUP(I50,'H&amp;R Look Up'!$M$13:$N$18,2,TRUE),"")))))</f>
        <v/>
      </c>
      <c r="U50" s="222" t="str">
        <f t="shared" si="0"/>
        <v/>
      </c>
    </row>
    <row r="51" spans="1:21" s="108" customFormat="1" ht="15.75">
      <c r="A51" s="119"/>
      <c r="B51" s="120"/>
      <c r="C51" s="111"/>
      <c r="D51" s="111"/>
      <c r="E51" s="121"/>
      <c r="F51" s="121"/>
      <c r="G51" s="113"/>
      <c r="H51" s="104"/>
      <c r="I51" s="219"/>
      <c r="J51" s="200" t="str">
        <f>IF(E51="","",IF(AND(U51&lt;=66),VLOOKUP(I51,'H&amp;R Look Up'!$A$13:$B$21,2,TRUE),IF(AND(U51&gt;=67,U51&lt;=72),VLOOKUP(I51,'H&amp;R Look Up'!$E$13:$F$20,2,TRUE),IF(AND(U51&gt;=73,U51&lt;=78),VLOOKUP(I51,'H&amp;R Look Up'!$I$13:$J$19,2,TRUE),IF(AND(U51&gt;=79),VLOOKUP(I51,'H&amp;R Look Up'!$M$13:$N$18,2,TRUE),"")))))</f>
        <v/>
      </c>
      <c r="U51" s="222" t="str">
        <f t="shared" si="0"/>
        <v/>
      </c>
    </row>
    <row r="52" spans="1:21" s="108" customFormat="1" ht="15.75">
      <c r="A52" s="119"/>
      <c r="B52" s="120"/>
      <c r="C52" s="111"/>
      <c r="D52" s="111"/>
      <c r="E52" s="121"/>
      <c r="F52" s="121"/>
      <c r="G52" s="113"/>
      <c r="H52" s="104"/>
      <c r="I52" s="219"/>
      <c r="J52" s="200" t="str">
        <f>IF(E52="","",IF(AND(U52&lt;=66),VLOOKUP(I52,'H&amp;R Look Up'!$A$13:$B$21,2,TRUE),IF(AND(U52&gt;=67,U52&lt;=72),VLOOKUP(I52,'H&amp;R Look Up'!$E$13:$F$20,2,TRUE),IF(AND(U52&gt;=73,U52&lt;=78),VLOOKUP(I52,'H&amp;R Look Up'!$I$13:$J$19,2,TRUE),IF(AND(U52&gt;=79),VLOOKUP(I52,'H&amp;R Look Up'!$M$13:$N$18,2,TRUE),"")))))</f>
        <v/>
      </c>
      <c r="U52" s="222" t="str">
        <f t="shared" si="0"/>
        <v/>
      </c>
    </row>
    <row r="53" spans="1:21" s="108" customFormat="1" ht="15.75">
      <c r="A53" s="119"/>
      <c r="B53" s="120"/>
      <c r="C53" s="111"/>
      <c r="D53" s="111"/>
      <c r="E53" s="121"/>
      <c r="F53" s="121"/>
      <c r="G53" s="113"/>
      <c r="H53" s="104"/>
      <c r="I53" s="219"/>
      <c r="J53" s="200" t="str">
        <f>IF(E53="","",IF(AND(U53&lt;=66),VLOOKUP(I53,'H&amp;R Look Up'!$A$13:$B$21,2,TRUE),IF(AND(U53&gt;=67,U53&lt;=72),VLOOKUP(I53,'H&amp;R Look Up'!$E$13:$F$20,2,TRUE),IF(AND(U53&gt;=73,U53&lt;=78),VLOOKUP(I53,'H&amp;R Look Up'!$I$13:$J$19,2,TRUE),IF(AND(U53&gt;=79),VLOOKUP(I53,'H&amp;R Look Up'!$M$13:$N$18,2,TRUE),"")))))</f>
        <v/>
      </c>
      <c r="U53" s="222" t="str">
        <f t="shared" si="0"/>
        <v/>
      </c>
    </row>
    <row r="54" spans="1:21" s="108" customFormat="1" ht="15.75">
      <c r="A54" s="119"/>
      <c r="B54" s="120"/>
      <c r="C54" s="111"/>
      <c r="D54" s="111"/>
      <c r="E54" s="121"/>
      <c r="F54" s="121"/>
      <c r="G54" s="113"/>
      <c r="H54" s="104"/>
      <c r="I54" s="219"/>
      <c r="J54" s="200" t="str">
        <f>IF(E54="","",IF(AND(U54&lt;=66),VLOOKUP(I54,'H&amp;R Look Up'!$A$13:$B$21,2,TRUE),IF(AND(U54&gt;=67,U54&lt;=72),VLOOKUP(I54,'H&amp;R Look Up'!$E$13:$F$20,2,TRUE),IF(AND(U54&gt;=73,U54&lt;=78),VLOOKUP(I54,'H&amp;R Look Up'!$I$13:$J$19,2,TRUE),IF(AND(U54&gt;=79),VLOOKUP(I54,'H&amp;R Look Up'!$M$13:$N$18,2,TRUE),"")))))</f>
        <v/>
      </c>
      <c r="U54" s="222" t="str">
        <f t="shared" si="0"/>
        <v/>
      </c>
    </row>
    <row r="55" spans="1:21" s="108" customFormat="1" ht="15.75">
      <c r="A55" s="119"/>
      <c r="B55" s="120"/>
      <c r="C55" s="111"/>
      <c r="D55" s="111"/>
      <c r="E55" s="121"/>
      <c r="F55" s="121"/>
      <c r="G55" s="113"/>
      <c r="H55" s="104"/>
      <c r="I55" s="219"/>
      <c r="J55" s="200" t="str">
        <f>IF(E55="","",IF(AND(U55&lt;=66),VLOOKUP(I55,'H&amp;R Look Up'!$A$13:$B$21,2,TRUE),IF(AND(U55&gt;=67,U55&lt;=72),VLOOKUP(I55,'H&amp;R Look Up'!$E$13:$F$20,2,TRUE),IF(AND(U55&gt;=73,U55&lt;=78),VLOOKUP(I55,'H&amp;R Look Up'!$I$13:$J$19,2,TRUE),IF(AND(U55&gt;=79),VLOOKUP(I55,'H&amp;R Look Up'!$M$13:$N$18,2,TRUE),"")))))</f>
        <v/>
      </c>
      <c r="U55" s="222" t="str">
        <f t="shared" si="0"/>
        <v/>
      </c>
    </row>
    <row r="56" spans="1:21" s="108" customFormat="1" ht="15.75">
      <c r="A56" s="119"/>
      <c r="B56" s="120"/>
      <c r="C56" s="111"/>
      <c r="D56" s="111"/>
      <c r="E56" s="121"/>
      <c r="F56" s="121"/>
      <c r="G56" s="113"/>
      <c r="H56" s="104"/>
      <c r="I56" s="219"/>
      <c r="J56" s="200" t="str">
        <f>IF(E56="","",IF(AND(U56&lt;=66),VLOOKUP(I56,'H&amp;R Look Up'!$A$13:$B$21,2,TRUE),IF(AND(U56&gt;=67,U56&lt;=72),VLOOKUP(I56,'H&amp;R Look Up'!$E$13:$F$20,2,TRUE),IF(AND(U56&gt;=73,U56&lt;=78),VLOOKUP(I56,'H&amp;R Look Up'!$I$13:$J$19,2,TRUE),IF(AND(U56&gt;=79),VLOOKUP(I56,'H&amp;R Look Up'!$M$13:$N$18,2,TRUE),"")))))</f>
        <v/>
      </c>
      <c r="U56" s="222" t="str">
        <f t="shared" si="0"/>
        <v/>
      </c>
    </row>
    <row r="57" spans="1:21" s="108" customFormat="1" ht="15.75">
      <c r="A57" s="119"/>
      <c r="B57" s="120"/>
      <c r="C57" s="111"/>
      <c r="D57" s="111"/>
      <c r="E57" s="121"/>
      <c r="F57" s="121"/>
      <c r="G57" s="113"/>
      <c r="H57" s="104"/>
      <c r="I57" s="219"/>
      <c r="J57" s="200" t="str">
        <f>IF(E57="","",IF(AND(U57&lt;=66),VLOOKUP(I57,'H&amp;R Look Up'!$A$13:$B$21,2,TRUE),IF(AND(U57&gt;=67,U57&lt;=72),VLOOKUP(I57,'H&amp;R Look Up'!$E$13:$F$20,2,TRUE),IF(AND(U57&gt;=73,U57&lt;=78),VLOOKUP(I57,'H&amp;R Look Up'!$I$13:$J$19,2,TRUE),IF(AND(U57&gt;=79),VLOOKUP(I57,'H&amp;R Look Up'!$M$13:$N$18,2,TRUE),"")))))</f>
        <v/>
      </c>
      <c r="U57" s="222" t="str">
        <f t="shared" si="0"/>
        <v/>
      </c>
    </row>
    <row r="58" spans="1:21" s="108" customFormat="1" ht="15.75">
      <c r="A58" s="119"/>
      <c r="B58" s="120"/>
      <c r="C58" s="111"/>
      <c r="D58" s="111"/>
      <c r="E58" s="121"/>
      <c r="F58" s="121"/>
      <c r="G58" s="113"/>
      <c r="H58" s="104"/>
      <c r="I58" s="219"/>
      <c r="J58" s="200" t="str">
        <f>IF(E58="","",IF(AND(U58&lt;=66),VLOOKUP(I58,'H&amp;R Look Up'!$A$13:$B$21,2,TRUE),IF(AND(U58&gt;=67,U58&lt;=72),VLOOKUP(I58,'H&amp;R Look Up'!$E$13:$F$20,2,TRUE),IF(AND(U58&gt;=73,U58&lt;=78),VLOOKUP(I58,'H&amp;R Look Up'!$I$13:$J$19,2,TRUE),IF(AND(U58&gt;=79),VLOOKUP(I58,'H&amp;R Look Up'!$M$13:$N$18,2,TRUE),"")))))</f>
        <v/>
      </c>
      <c r="U58" s="222" t="str">
        <f t="shared" si="0"/>
        <v/>
      </c>
    </row>
    <row r="59" spans="1:21" s="108" customFormat="1" ht="15.75">
      <c r="A59" s="119"/>
      <c r="B59" s="120"/>
      <c r="C59" s="111"/>
      <c r="D59" s="111"/>
      <c r="E59" s="121"/>
      <c r="F59" s="121"/>
      <c r="G59" s="113"/>
      <c r="H59" s="104"/>
      <c r="I59" s="219"/>
      <c r="J59" s="200" t="str">
        <f>IF(E59="","",IF(AND(U59&lt;=66),VLOOKUP(I59,'H&amp;R Look Up'!$A$13:$B$21,2,TRUE),IF(AND(U59&gt;=67,U59&lt;=72),VLOOKUP(I59,'H&amp;R Look Up'!$E$13:$F$20,2,TRUE),IF(AND(U59&gt;=73,U59&lt;=78),VLOOKUP(I59,'H&amp;R Look Up'!$I$13:$J$19,2,TRUE),IF(AND(U59&gt;=79),VLOOKUP(I59,'H&amp;R Look Up'!$M$13:$N$18,2,TRUE),"")))))</f>
        <v/>
      </c>
      <c r="U59" s="222" t="str">
        <f t="shared" si="0"/>
        <v/>
      </c>
    </row>
    <row r="60" spans="1:21" s="108" customFormat="1" ht="15.75">
      <c r="A60" s="119"/>
      <c r="B60" s="120"/>
      <c r="C60" s="111"/>
      <c r="D60" s="111"/>
      <c r="E60" s="121"/>
      <c r="F60" s="121"/>
      <c r="G60" s="113"/>
      <c r="H60" s="104"/>
      <c r="I60" s="219"/>
      <c r="J60" s="200" t="str">
        <f>IF(E60="","",IF(AND(U60&lt;=66),VLOOKUP(I60,'H&amp;R Look Up'!$A$13:$B$21,2,TRUE),IF(AND(U60&gt;=67,U60&lt;=72),VLOOKUP(I60,'H&amp;R Look Up'!$E$13:$F$20,2,TRUE),IF(AND(U60&gt;=73,U60&lt;=78),VLOOKUP(I60,'H&amp;R Look Up'!$I$13:$J$19,2,TRUE),IF(AND(U60&gt;=79),VLOOKUP(I60,'H&amp;R Look Up'!$M$13:$N$18,2,TRUE),"")))))</f>
        <v/>
      </c>
      <c r="U60" s="222" t="str">
        <f t="shared" si="0"/>
        <v/>
      </c>
    </row>
    <row r="61" spans="1:21" s="108" customFormat="1" ht="15.75">
      <c r="A61" s="119"/>
      <c r="B61" s="120"/>
      <c r="C61" s="111"/>
      <c r="D61" s="111"/>
      <c r="E61" s="121"/>
      <c r="F61" s="121"/>
      <c r="G61" s="113"/>
      <c r="H61" s="104"/>
      <c r="I61" s="219"/>
      <c r="J61" s="200" t="str">
        <f>IF(E61="","",IF(AND(U61&lt;=66),VLOOKUP(I61,'H&amp;R Look Up'!$A$13:$B$21,2,TRUE),IF(AND(U61&gt;=67,U61&lt;=72),VLOOKUP(I61,'H&amp;R Look Up'!$E$13:$F$20,2,TRUE),IF(AND(U61&gt;=73,U61&lt;=78),VLOOKUP(I61,'H&amp;R Look Up'!$I$13:$J$19,2,TRUE),IF(AND(U61&gt;=79),VLOOKUP(I61,'H&amp;R Look Up'!$M$13:$N$18,2,TRUE),"")))))</f>
        <v/>
      </c>
      <c r="U61" s="222" t="str">
        <f t="shared" si="0"/>
        <v/>
      </c>
    </row>
    <row r="62" spans="1:21" s="108" customFormat="1" ht="15.75">
      <c r="A62" s="119"/>
      <c r="B62" s="120"/>
      <c r="C62" s="111"/>
      <c r="D62" s="111"/>
      <c r="E62" s="121"/>
      <c r="F62" s="121"/>
      <c r="G62" s="113"/>
      <c r="H62" s="104"/>
      <c r="I62" s="219"/>
      <c r="J62" s="200" t="str">
        <f>IF(E62="","",IF(AND(U62&lt;=66),VLOOKUP(I62,'H&amp;R Look Up'!$A$13:$B$21,2,TRUE),IF(AND(U62&gt;=67,U62&lt;=72),VLOOKUP(I62,'H&amp;R Look Up'!$E$13:$F$20,2,TRUE),IF(AND(U62&gt;=73,U62&lt;=78),VLOOKUP(I62,'H&amp;R Look Up'!$I$13:$J$19,2,TRUE),IF(AND(U62&gt;=79),VLOOKUP(I62,'H&amp;R Look Up'!$M$13:$N$18,2,TRUE),"")))))</f>
        <v/>
      </c>
      <c r="U62" s="222" t="str">
        <f t="shared" si="0"/>
        <v/>
      </c>
    </row>
    <row r="63" spans="1:21" s="108" customFormat="1" ht="15.75">
      <c r="A63" s="119"/>
      <c r="B63" s="120"/>
      <c r="C63" s="111"/>
      <c r="D63" s="111"/>
      <c r="E63" s="121"/>
      <c r="F63" s="121"/>
      <c r="G63" s="113"/>
      <c r="H63" s="104"/>
      <c r="I63" s="219"/>
      <c r="J63" s="200" t="str">
        <f>IF(E63="","",IF(AND(U63&lt;=66),VLOOKUP(I63,'H&amp;R Look Up'!$A$13:$B$21,2,TRUE),IF(AND(U63&gt;=67,U63&lt;=72),VLOOKUP(I63,'H&amp;R Look Up'!$E$13:$F$20,2,TRUE),IF(AND(U63&gt;=73,U63&lt;=78),VLOOKUP(I63,'H&amp;R Look Up'!$I$13:$J$19,2,TRUE),IF(AND(U63&gt;=79),VLOOKUP(I63,'H&amp;R Look Up'!$M$13:$N$18,2,TRUE),"")))))</f>
        <v/>
      </c>
      <c r="U63" s="222" t="str">
        <f t="shared" si="0"/>
        <v/>
      </c>
    </row>
    <row r="64" spans="1:21" s="108" customFormat="1" ht="15.75">
      <c r="A64" s="119"/>
      <c r="B64" s="120"/>
      <c r="C64" s="111"/>
      <c r="D64" s="111"/>
      <c r="E64" s="121"/>
      <c r="F64" s="121"/>
      <c r="G64" s="113"/>
      <c r="H64" s="104"/>
      <c r="I64" s="219"/>
      <c r="J64" s="200" t="str">
        <f>IF(E64="","",IF(AND(U64&lt;=66),VLOOKUP(I64,'H&amp;R Look Up'!$A$13:$B$21,2,TRUE),IF(AND(U64&gt;=67,U64&lt;=72),VLOOKUP(I64,'H&amp;R Look Up'!$E$13:$F$20,2,TRUE),IF(AND(U64&gt;=73,U64&lt;=78),VLOOKUP(I64,'H&amp;R Look Up'!$I$13:$J$19,2,TRUE),IF(AND(U64&gt;=79),VLOOKUP(I64,'H&amp;R Look Up'!$M$13:$N$18,2,TRUE),"")))))</f>
        <v/>
      </c>
      <c r="U64" s="222" t="str">
        <f t="shared" si="0"/>
        <v/>
      </c>
    </row>
    <row r="65" spans="1:21" s="108" customFormat="1" ht="15.75">
      <c r="A65" s="119"/>
      <c r="B65" s="120"/>
      <c r="C65" s="111"/>
      <c r="D65" s="111"/>
      <c r="E65" s="121"/>
      <c r="F65" s="121"/>
      <c r="G65" s="113"/>
      <c r="H65" s="104"/>
      <c r="I65" s="219"/>
      <c r="J65" s="200" t="str">
        <f>IF(E65="","",IF(AND(U65&lt;=66),VLOOKUP(I65,'H&amp;R Look Up'!$A$13:$B$21,2,TRUE),IF(AND(U65&gt;=67,U65&lt;=72),VLOOKUP(I65,'H&amp;R Look Up'!$E$13:$F$20,2,TRUE),IF(AND(U65&gt;=73,U65&lt;=78),VLOOKUP(I65,'H&amp;R Look Up'!$I$13:$J$19,2,TRUE),IF(AND(U65&gt;=79),VLOOKUP(I65,'H&amp;R Look Up'!$M$13:$N$18,2,TRUE),"")))))</f>
        <v/>
      </c>
      <c r="U65" s="222" t="str">
        <f t="shared" si="0"/>
        <v/>
      </c>
    </row>
    <row r="66" spans="1:21" s="108" customFormat="1" ht="15.75">
      <c r="A66" s="119"/>
      <c r="B66" s="120"/>
      <c r="C66" s="111"/>
      <c r="D66" s="111"/>
      <c r="E66" s="121"/>
      <c r="F66" s="121"/>
      <c r="G66" s="113"/>
      <c r="H66" s="104"/>
      <c r="I66" s="219"/>
      <c r="J66" s="200" t="str">
        <f>IF(E66="","",IF(AND(U66&lt;=66),VLOOKUP(I66,'H&amp;R Look Up'!$A$13:$B$21,2,TRUE),IF(AND(U66&gt;=67,U66&lt;=72),VLOOKUP(I66,'H&amp;R Look Up'!$E$13:$F$20,2,TRUE),IF(AND(U66&gt;=73,U66&lt;=78),VLOOKUP(I66,'H&amp;R Look Up'!$I$13:$J$19,2,TRUE),IF(AND(U66&gt;=79),VLOOKUP(I66,'H&amp;R Look Up'!$M$13:$N$18,2,TRUE),"")))))</f>
        <v/>
      </c>
      <c r="U66" s="222" t="str">
        <f t="shared" si="0"/>
        <v/>
      </c>
    </row>
    <row r="67" spans="1:21" s="108" customFormat="1" ht="15.75">
      <c r="A67" s="119"/>
      <c r="B67" s="120"/>
      <c r="C67" s="111"/>
      <c r="D67" s="111"/>
      <c r="E67" s="121"/>
      <c r="F67" s="121"/>
      <c r="G67" s="113"/>
      <c r="H67" s="104"/>
      <c r="I67" s="219"/>
      <c r="J67" s="200" t="str">
        <f>IF(E67="","",IF(AND(U67&lt;=66),VLOOKUP(I67,'H&amp;R Look Up'!$A$13:$B$21,2,TRUE),IF(AND(U67&gt;=67,U67&lt;=72),VLOOKUP(I67,'H&amp;R Look Up'!$E$13:$F$20,2,TRUE),IF(AND(U67&gt;=73,U67&lt;=78),VLOOKUP(I67,'H&amp;R Look Up'!$I$13:$J$19,2,TRUE),IF(AND(U67&gt;=79),VLOOKUP(I67,'H&amp;R Look Up'!$M$13:$N$18,2,TRUE),"")))))</f>
        <v/>
      </c>
      <c r="U67" s="222" t="str">
        <f t="shared" si="0"/>
        <v/>
      </c>
    </row>
    <row r="68" spans="1:21" s="108" customFormat="1" ht="15.75">
      <c r="A68" s="119"/>
      <c r="B68" s="120"/>
      <c r="C68" s="111"/>
      <c r="D68" s="111"/>
      <c r="E68" s="121"/>
      <c r="F68" s="121"/>
      <c r="G68" s="113"/>
      <c r="H68" s="104"/>
      <c r="I68" s="219"/>
      <c r="J68" s="200" t="str">
        <f>IF(E68="","",IF(AND(U68&lt;=66),VLOOKUP(I68,'H&amp;R Look Up'!$A$13:$B$21,2,TRUE),IF(AND(U68&gt;=67,U68&lt;=72),VLOOKUP(I68,'H&amp;R Look Up'!$E$13:$F$20,2,TRUE),IF(AND(U68&gt;=73,U68&lt;=78),VLOOKUP(I68,'H&amp;R Look Up'!$I$13:$J$19,2,TRUE),IF(AND(U68&gt;=79),VLOOKUP(I68,'H&amp;R Look Up'!$M$13:$N$18,2,TRUE),"")))))</f>
        <v/>
      </c>
      <c r="U68" s="222" t="str">
        <f t="shared" si="0"/>
        <v/>
      </c>
    </row>
    <row r="69" spans="1:21" s="108" customFormat="1" ht="15.75">
      <c r="A69" s="119"/>
      <c r="B69" s="120"/>
      <c r="C69" s="111"/>
      <c r="D69" s="111"/>
      <c r="E69" s="121"/>
      <c r="F69" s="121"/>
      <c r="G69" s="113"/>
      <c r="H69" s="104"/>
      <c r="I69" s="219"/>
      <c r="J69" s="200" t="str">
        <f>IF(E69="","",IF(AND(U69&lt;=66),VLOOKUP(I69,'H&amp;R Look Up'!$A$13:$B$21,2,TRUE),IF(AND(U69&gt;=67,U69&lt;=72),VLOOKUP(I69,'H&amp;R Look Up'!$E$13:$F$20,2,TRUE),IF(AND(U69&gt;=73,U69&lt;=78),VLOOKUP(I69,'H&amp;R Look Up'!$I$13:$J$19,2,TRUE),IF(AND(U69&gt;=79),VLOOKUP(I69,'H&amp;R Look Up'!$M$13:$N$18,2,TRUE),"")))))</f>
        <v/>
      </c>
      <c r="U69" s="222" t="str">
        <f t="shared" si="0"/>
        <v/>
      </c>
    </row>
    <row r="70" spans="1:21" s="108" customFormat="1" ht="15.75">
      <c r="A70" s="119"/>
      <c r="B70" s="120"/>
      <c r="C70" s="111"/>
      <c r="D70" s="111"/>
      <c r="E70" s="121"/>
      <c r="F70" s="121"/>
      <c r="G70" s="113"/>
      <c r="H70" s="104"/>
      <c r="I70" s="219"/>
      <c r="J70" s="200" t="str">
        <f>IF(E70="","",IF(AND(U70&lt;=66),VLOOKUP(I70,'H&amp;R Look Up'!$A$13:$B$21,2,TRUE),IF(AND(U70&gt;=67,U70&lt;=72),VLOOKUP(I70,'H&amp;R Look Up'!$E$13:$F$20,2,TRUE),IF(AND(U70&gt;=73,U70&lt;=78),VLOOKUP(I70,'H&amp;R Look Up'!$I$13:$J$19,2,TRUE),IF(AND(U70&gt;=79),VLOOKUP(I70,'H&amp;R Look Up'!$M$13:$N$18,2,TRUE),"")))))</f>
        <v/>
      </c>
      <c r="U70" s="222" t="str">
        <f t="shared" ref="U70:U133" si="2">IF(E70="","",DATEDIF(B70,A70,"m"))</f>
        <v/>
      </c>
    </row>
    <row r="71" spans="1:21" s="108" customFormat="1" ht="15.75">
      <c r="A71" s="119"/>
      <c r="B71" s="120"/>
      <c r="C71" s="111"/>
      <c r="D71" s="111"/>
      <c r="E71" s="121"/>
      <c r="F71" s="121"/>
      <c r="G71" s="113"/>
      <c r="H71" s="104"/>
      <c r="I71" s="219"/>
      <c r="J71" s="200" t="str">
        <f>IF(E71="","",IF(AND(U71&lt;=66),VLOOKUP(I71,'H&amp;R Look Up'!$A$13:$B$21,2,TRUE),IF(AND(U71&gt;=67,U71&lt;=72),VLOOKUP(I71,'H&amp;R Look Up'!$E$13:$F$20,2,TRUE),IF(AND(U71&gt;=73,U71&lt;=78),VLOOKUP(I71,'H&amp;R Look Up'!$I$13:$J$19,2,TRUE),IF(AND(U71&gt;=79),VLOOKUP(I71,'H&amp;R Look Up'!$M$13:$N$18,2,TRUE),"")))))</f>
        <v/>
      </c>
      <c r="U71" s="222" t="str">
        <f t="shared" si="2"/>
        <v/>
      </c>
    </row>
    <row r="72" spans="1:21" s="108" customFormat="1" ht="15.75">
      <c r="A72" s="119"/>
      <c r="B72" s="120"/>
      <c r="C72" s="111"/>
      <c r="D72" s="111"/>
      <c r="E72" s="121"/>
      <c r="F72" s="121"/>
      <c r="G72" s="113"/>
      <c r="H72" s="104"/>
      <c r="I72" s="219"/>
      <c r="J72" s="200" t="str">
        <f>IF(E72="","",IF(AND(U72&lt;=66),VLOOKUP(I72,'H&amp;R Look Up'!$A$13:$B$21,2,TRUE),IF(AND(U72&gt;=67,U72&lt;=72),VLOOKUP(I72,'H&amp;R Look Up'!$E$13:$F$20,2,TRUE),IF(AND(U72&gt;=73,U72&lt;=78),VLOOKUP(I72,'H&amp;R Look Up'!$I$13:$J$19,2,TRUE),IF(AND(U72&gt;=79),VLOOKUP(I72,'H&amp;R Look Up'!$M$13:$N$18,2,TRUE),"")))))</f>
        <v/>
      </c>
      <c r="U72" s="222" t="str">
        <f t="shared" si="2"/>
        <v/>
      </c>
    </row>
    <row r="73" spans="1:21" s="108" customFormat="1" ht="15.75">
      <c r="A73" s="119"/>
      <c r="B73" s="120"/>
      <c r="C73" s="111"/>
      <c r="D73" s="111"/>
      <c r="E73" s="121"/>
      <c r="F73" s="121"/>
      <c r="G73" s="113"/>
      <c r="H73" s="104"/>
      <c r="I73" s="219"/>
      <c r="J73" s="200" t="str">
        <f>IF(E73="","",IF(AND(U73&lt;=66),VLOOKUP(I73,'H&amp;R Look Up'!$A$13:$B$21,2,TRUE),IF(AND(U73&gt;=67,U73&lt;=72),VLOOKUP(I73,'H&amp;R Look Up'!$E$13:$F$20,2,TRUE),IF(AND(U73&gt;=73,U73&lt;=78),VLOOKUP(I73,'H&amp;R Look Up'!$I$13:$J$19,2,TRUE),IF(AND(U73&gt;=79),VLOOKUP(I73,'H&amp;R Look Up'!$M$13:$N$18,2,TRUE),"")))))</f>
        <v/>
      </c>
      <c r="U73" s="222" t="str">
        <f t="shared" si="2"/>
        <v/>
      </c>
    </row>
    <row r="74" spans="1:21" s="108" customFormat="1" ht="15.75">
      <c r="A74" s="119"/>
      <c r="B74" s="120"/>
      <c r="C74" s="111"/>
      <c r="D74" s="111"/>
      <c r="E74" s="121"/>
      <c r="F74" s="121"/>
      <c r="G74" s="113"/>
      <c r="H74" s="104"/>
      <c r="I74" s="219"/>
      <c r="J74" s="200" t="str">
        <f>IF(E74="","",IF(AND(U74&lt;=66),VLOOKUP(I74,'H&amp;R Look Up'!$A$13:$B$21,2,TRUE),IF(AND(U74&gt;=67,U74&lt;=72),VLOOKUP(I74,'H&amp;R Look Up'!$E$13:$F$20,2,TRUE),IF(AND(U74&gt;=73,U74&lt;=78),VLOOKUP(I74,'H&amp;R Look Up'!$I$13:$J$19,2,TRUE),IF(AND(U74&gt;=79),VLOOKUP(I74,'H&amp;R Look Up'!$M$13:$N$18,2,TRUE),"")))))</f>
        <v/>
      </c>
      <c r="U74" s="222" t="str">
        <f t="shared" si="2"/>
        <v/>
      </c>
    </row>
    <row r="75" spans="1:21" s="108" customFormat="1" ht="15.75">
      <c r="A75" s="119"/>
      <c r="B75" s="120"/>
      <c r="C75" s="111"/>
      <c r="D75" s="111"/>
      <c r="E75" s="121"/>
      <c r="F75" s="121"/>
      <c r="G75" s="113"/>
      <c r="H75" s="104"/>
      <c r="I75" s="219"/>
      <c r="J75" s="200" t="str">
        <f>IF(E75="","",IF(AND(U75&lt;=66),VLOOKUP(I75,'H&amp;R Look Up'!$A$13:$B$21,2,TRUE),IF(AND(U75&gt;=67,U75&lt;=72),VLOOKUP(I75,'H&amp;R Look Up'!$E$13:$F$20,2,TRUE),IF(AND(U75&gt;=73,U75&lt;=78),VLOOKUP(I75,'H&amp;R Look Up'!$I$13:$J$19,2,TRUE),IF(AND(U75&gt;=79),VLOOKUP(I75,'H&amp;R Look Up'!$M$13:$N$18,2,TRUE),"")))))</f>
        <v/>
      </c>
      <c r="U75" s="222" t="str">
        <f t="shared" si="2"/>
        <v/>
      </c>
    </row>
    <row r="76" spans="1:21" s="108" customFormat="1" ht="15.75">
      <c r="A76" s="119"/>
      <c r="B76" s="120"/>
      <c r="C76" s="111"/>
      <c r="D76" s="111"/>
      <c r="E76" s="121"/>
      <c r="F76" s="121"/>
      <c r="G76" s="113"/>
      <c r="H76" s="104"/>
      <c r="I76" s="219"/>
      <c r="J76" s="200" t="str">
        <f>IF(E76="","",IF(AND(U76&lt;=66),VLOOKUP(I76,'H&amp;R Look Up'!$A$13:$B$21,2,TRUE),IF(AND(U76&gt;=67,U76&lt;=72),VLOOKUP(I76,'H&amp;R Look Up'!$E$13:$F$20,2,TRUE),IF(AND(U76&gt;=73,U76&lt;=78),VLOOKUP(I76,'H&amp;R Look Up'!$I$13:$J$19,2,TRUE),IF(AND(U76&gt;=79),VLOOKUP(I76,'H&amp;R Look Up'!$M$13:$N$18,2,TRUE),"")))))</f>
        <v/>
      </c>
      <c r="U76" s="222" t="str">
        <f t="shared" si="2"/>
        <v/>
      </c>
    </row>
    <row r="77" spans="1:21" s="108" customFormat="1" ht="15.75">
      <c r="A77" s="119"/>
      <c r="B77" s="120"/>
      <c r="C77" s="111"/>
      <c r="D77" s="111"/>
      <c r="E77" s="121"/>
      <c r="F77" s="121"/>
      <c r="G77" s="113"/>
      <c r="H77" s="104"/>
      <c r="I77" s="219"/>
      <c r="J77" s="200" t="str">
        <f>IF(E77="","",IF(AND(U77&lt;=66),VLOOKUP(I77,'H&amp;R Look Up'!$A$13:$B$21,2,TRUE),IF(AND(U77&gt;=67,U77&lt;=72),VLOOKUP(I77,'H&amp;R Look Up'!$E$13:$F$20,2,TRUE),IF(AND(U77&gt;=73,U77&lt;=78),VLOOKUP(I77,'H&amp;R Look Up'!$I$13:$J$19,2,TRUE),IF(AND(U77&gt;=79),VLOOKUP(I77,'H&amp;R Look Up'!$M$13:$N$18,2,TRUE),"")))))</f>
        <v/>
      </c>
      <c r="U77" s="222" t="str">
        <f t="shared" si="2"/>
        <v/>
      </c>
    </row>
    <row r="78" spans="1:21" s="108" customFormat="1" ht="15.75">
      <c r="A78" s="119"/>
      <c r="B78" s="120"/>
      <c r="C78" s="111"/>
      <c r="D78" s="111"/>
      <c r="E78" s="121"/>
      <c r="F78" s="121"/>
      <c r="G78" s="113"/>
      <c r="H78" s="104"/>
      <c r="I78" s="219"/>
      <c r="J78" s="200" t="str">
        <f>IF(E78="","",IF(AND(U78&lt;=66),VLOOKUP(I78,'H&amp;R Look Up'!$A$13:$B$21,2,TRUE),IF(AND(U78&gt;=67,U78&lt;=72),VLOOKUP(I78,'H&amp;R Look Up'!$E$13:$F$20,2,TRUE),IF(AND(U78&gt;=73,U78&lt;=78),VLOOKUP(I78,'H&amp;R Look Up'!$I$13:$J$19,2,TRUE),IF(AND(U78&gt;=79),VLOOKUP(I78,'H&amp;R Look Up'!$M$13:$N$18,2,TRUE),"")))))</f>
        <v/>
      </c>
      <c r="U78" s="222" t="str">
        <f t="shared" si="2"/>
        <v/>
      </c>
    </row>
    <row r="79" spans="1:21" s="108" customFormat="1" ht="15.75">
      <c r="A79" s="119"/>
      <c r="B79" s="120"/>
      <c r="C79" s="111"/>
      <c r="D79" s="111"/>
      <c r="E79" s="121"/>
      <c r="F79" s="121"/>
      <c r="G79" s="113"/>
      <c r="H79" s="104"/>
      <c r="I79" s="219"/>
      <c r="J79" s="200" t="str">
        <f>IF(E79="","",IF(AND(U79&lt;=66),VLOOKUP(I79,'H&amp;R Look Up'!$A$13:$B$21,2,TRUE),IF(AND(U79&gt;=67,U79&lt;=72),VLOOKUP(I79,'H&amp;R Look Up'!$E$13:$F$20,2,TRUE),IF(AND(U79&gt;=73,U79&lt;=78),VLOOKUP(I79,'H&amp;R Look Up'!$I$13:$J$19,2,TRUE),IF(AND(U79&gt;=79),VLOOKUP(I79,'H&amp;R Look Up'!$M$13:$N$18,2,TRUE),"")))))</f>
        <v/>
      </c>
      <c r="U79" s="222" t="str">
        <f t="shared" si="2"/>
        <v/>
      </c>
    </row>
    <row r="80" spans="1:21" s="108" customFormat="1" ht="15.75">
      <c r="A80" s="119"/>
      <c r="B80" s="120"/>
      <c r="C80" s="111"/>
      <c r="D80" s="111"/>
      <c r="E80" s="121"/>
      <c r="F80" s="121"/>
      <c r="G80" s="113"/>
      <c r="H80" s="104"/>
      <c r="I80" s="219"/>
      <c r="J80" s="200" t="str">
        <f>IF(E80="","",IF(AND(U80&lt;=66),VLOOKUP(I80,'H&amp;R Look Up'!$A$13:$B$21,2,TRUE),IF(AND(U80&gt;=67,U80&lt;=72),VLOOKUP(I80,'H&amp;R Look Up'!$E$13:$F$20,2,TRUE),IF(AND(U80&gt;=73,U80&lt;=78),VLOOKUP(I80,'H&amp;R Look Up'!$I$13:$J$19,2,TRUE),IF(AND(U80&gt;=79),VLOOKUP(I80,'H&amp;R Look Up'!$M$13:$N$18,2,TRUE),"")))))</f>
        <v/>
      </c>
      <c r="U80" s="222" t="str">
        <f t="shared" si="2"/>
        <v/>
      </c>
    </row>
    <row r="81" spans="1:21" s="108" customFormat="1" ht="15.75">
      <c r="A81" s="119"/>
      <c r="B81" s="120"/>
      <c r="C81" s="111"/>
      <c r="D81" s="111"/>
      <c r="E81" s="121"/>
      <c r="F81" s="121"/>
      <c r="G81" s="113"/>
      <c r="H81" s="104"/>
      <c r="I81" s="219"/>
      <c r="J81" s="200" t="str">
        <f>IF(E81="","",IF(AND(U81&lt;=66),VLOOKUP(I81,'H&amp;R Look Up'!$A$13:$B$21,2,TRUE),IF(AND(U81&gt;=67,U81&lt;=72),VLOOKUP(I81,'H&amp;R Look Up'!$E$13:$F$20,2,TRUE),IF(AND(U81&gt;=73,U81&lt;=78),VLOOKUP(I81,'H&amp;R Look Up'!$I$13:$J$19,2,TRUE),IF(AND(U81&gt;=79),VLOOKUP(I81,'H&amp;R Look Up'!$M$13:$N$18,2,TRUE),"")))))</f>
        <v/>
      </c>
      <c r="U81" s="222" t="str">
        <f t="shared" si="2"/>
        <v/>
      </c>
    </row>
    <row r="82" spans="1:21" s="108" customFormat="1" ht="15.75">
      <c r="A82" s="119"/>
      <c r="B82" s="120"/>
      <c r="C82" s="111"/>
      <c r="D82" s="111"/>
      <c r="E82" s="121"/>
      <c r="F82" s="121"/>
      <c r="G82" s="113"/>
      <c r="H82" s="104"/>
      <c r="I82" s="219"/>
      <c r="J82" s="200" t="str">
        <f>IF(E82="","",IF(AND(U82&lt;=66),VLOOKUP(I82,'H&amp;R Look Up'!$A$13:$B$21,2,TRUE),IF(AND(U82&gt;=67,U82&lt;=72),VLOOKUP(I82,'H&amp;R Look Up'!$E$13:$F$20,2,TRUE),IF(AND(U82&gt;=73,U82&lt;=78),VLOOKUP(I82,'H&amp;R Look Up'!$I$13:$J$19,2,TRUE),IF(AND(U82&gt;=79),VLOOKUP(I82,'H&amp;R Look Up'!$M$13:$N$18,2,TRUE),"")))))</f>
        <v/>
      </c>
      <c r="U82" s="222" t="str">
        <f t="shared" si="2"/>
        <v/>
      </c>
    </row>
    <row r="83" spans="1:21" s="108" customFormat="1" ht="15.75">
      <c r="A83" s="119"/>
      <c r="B83" s="120"/>
      <c r="C83" s="111"/>
      <c r="D83" s="111"/>
      <c r="E83" s="121"/>
      <c r="F83" s="121"/>
      <c r="G83" s="113"/>
      <c r="H83" s="104"/>
      <c r="I83" s="219"/>
      <c r="J83" s="200" t="str">
        <f>IF(E83="","",IF(AND(U83&lt;=66),VLOOKUP(I83,'H&amp;R Look Up'!$A$13:$B$21,2,TRUE),IF(AND(U83&gt;=67,U83&lt;=72),VLOOKUP(I83,'H&amp;R Look Up'!$E$13:$F$20,2,TRUE),IF(AND(U83&gt;=73,U83&lt;=78),VLOOKUP(I83,'H&amp;R Look Up'!$I$13:$J$19,2,TRUE),IF(AND(U83&gt;=79),VLOOKUP(I83,'H&amp;R Look Up'!$M$13:$N$18,2,TRUE),"")))))</f>
        <v/>
      </c>
      <c r="U83" s="222" t="str">
        <f t="shared" si="2"/>
        <v/>
      </c>
    </row>
    <row r="84" spans="1:21" s="108" customFormat="1" ht="15.75">
      <c r="A84" s="119"/>
      <c r="B84" s="120"/>
      <c r="C84" s="111"/>
      <c r="D84" s="111"/>
      <c r="E84" s="121"/>
      <c r="F84" s="121"/>
      <c r="G84" s="113"/>
      <c r="H84" s="104"/>
      <c r="I84" s="219"/>
      <c r="J84" s="200" t="str">
        <f>IF(E84="","",IF(AND(U84&lt;=66),VLOOKUP(I84,'H&amp;R Look Up'!$A$13:$B$21,2,TRUE),IF(AND(U84&gt;=67,U84&lt;=72),VLOOKUP(I84,'H&amp;R Look Up'!$E$13:$F$20,2,TRUE),IF(AND(U84&gt;=73,U84&lt;=78),VLOOKUP(I84,'H&amp;R Look Up'!$I$13:$J$19,2,TRUE),IF(AND(U84&gt;=79),VLOOKUP(I84,'H&amp;R Look Up'!$M$13:$N$18,2,TRUE),"")))))</f>
        <v/>
      </c>
      <c r="U84" s="222" t="str">
        <f t="shared" si="2"/>
        <v/>
      </c>
    </row>
    <row r="85" spans="1:21" s="108" customFormat="1" ht="15.75">
      <c r="A85" s="119"/>
      <c r="B85" s="120"/>
      <c r="C85" s="111"/>
      <c r="D85" s="111"/>
      <c r="E85" s="121"/>
      <c r="F85" s="121"/>
      <c r="G85" s="113"/>
      <c r="H85" s="104"/>
      <c r="I85" s="219"/>
      <c r="J85" s="200" t="str">
        <f>IF(E85="","",IF(AND(U85&lt;=66),VLOOKUP(I85,'H&amp;R Look Up'!$A$13:$B$21,2,TRUE),IF(AND(U85&gt;=67,U85&lt;=72),VLOOKUP(I85,'H&amp;R Look Up'!$E$13:$F$20,2,TRUE),IF(AND(U85&gt;=73,U85&lt;=78),VLOOKUP(I85,'H&amp;R Look Up'!$I$13:$J$19,2,TRUE),IF(AND(U85&gt;=79),VLOOKUP(I85,'H&amp;R Look Up'!$M$13:$N$18,2,TRUE),"")))))</f>
        <v/>
      </c>
      <c r="U85" s="222" t="str">
        <f t="shared" si="2"/>
        <v/>
      </c>
    </row>
    <row r="86" spans="1:21" s="108" customFormat="1" ht="15.75">
      <c r="A86" s="119"/>
      <c r="B86" s="120"/>
      <c r="C86" s="111"/>
      <c r="D86" s="111"/>
      <c r="E86" s="121"/>
      <c r="F86" s="121"/>
      <c r="G86" s="113"/>
      <c r="H86" s="104"/>
      <c r="I86" s="219"/>
      <c r="J86" s="200" t="str">
        <f>IF(E86="","",IF(AND(U86&lt;=66),VLOOKUP(I86,'H&amp;R Look Up'!$A$13:$B$21,2,TRUE),IF(AND(U86&gt;=67,U86&lt;=72),VLOOKUP(I86,'H&amp;R Look Up'!$E$13:$F$20,2,TRUE),IF(AND(U86&gt;=73,U86&lt;=78),VLOOKUP(I86,'H&amp;R Look Up'!$I$13:$J$19,2,TRUE),IF(AND(U86&gt;=79),VLOOKUP(I86,'H&amp;R Look Up'!$M$13:$N$18,2,TRUE),"")))))</f>
        <v/>
      </c>
      <c r="U86" s="222" t="str">
        <f t="shared" si="2"/>
        <v/>
      </c>
    </row>
    <row r="87" spans="1:21" s="108" customFormat="1" ht="15.75">
      <c r="A87" s="119"/>
      <c r="B87" s="120"/>
      <c r="C87" s="111"/>
      <c r="D87" s="111"/>
      <c r="E87" s="121"/>
      <c r="F87" s="121"/>
      <c r="G87" s="113"/>
      <c r="H87" s="104"/>
      <c r="I87" s="219"/>
      <c r="J87" s="200" t="str">
        <f>IF(E87="","",IF(AND(U87&lt;=66),VLOOKUP(I87,'H&amp;R Look Up'!$A$13:$B$21,2,TRUE),IF(AND(U87&gt;=67,U87&lt;=72),VLOOKUP(I87,'H&amp;R Look Up'!$E$13:$F$20,2,TRUE),IF(AND(U87&gt;=73,U87&lt;=78),VLOOKUP(I87,'H&amp;R Look Up'!$I$13:$J$19,2,TRUE),IF(AND(U87&gt;=79),VLOOKUP(I87,'H&amp;R Look Up'!$M$13:$N$18,2,TRUE),"")))))</f>
        <v/>
      </c>
      <c r="U87" s="222" t="str">
        <f t="shared" si="2"/>
        <v/>
      </c>
    </row>
    <row r="88" spans="1:21" s="108" customFormat="1" ht="15.75">
      <c r="A88" s="119"/>
      <c r="B88" s="120"/>
      <c r="C88" s="111"/>
      <c r="D88" s="111"/>
      <c r="E88" s="121"/>
      <c r="F88" s="121"/>
      <c r="G88" s="113"/>
      <c r="H88" s="104"/>
      <c r="I88" s="219"/>
      <c r="J88" s="200" t="str">
        <f>IF(E88="","",IF(AND(U88&lt;=66),VLOOKUP(I88,'H&amp;R Look Up'!$A$13:$B$21,2,TRUE),IF(AND(U88&gt;=67,U88&lt;=72),VLOOKUP(I88,'H&amp;R Look Up'!$E$13:$F$20,2,TRUE),IF(AND(U88&gt;=73,U88&lt;=78),VLOOKUP(I88,'H&amp;R Look Up'!$I$13:$J$19,2,TRUE),IF(AND(U88&gt;=79),VLOOKUP(I88,'H&amp;R Look Up'!$M$13:$N$18,2,TRUE),"")))))</f>
        <v/>
      </c>
      <c r="U88" s="222" t="str">
        <f t="shared" si="2"/>
        <v/>
      </c>
    </row>
    <row r="89" spans="1:21" s="108" customFormat="1" ht="15.75">
      <c r="A89" s="119"/>
      <c r="B89" s="120"/>
      <c r="C89" s="111"/>
      <c r="D89" s="111"/>
      <c r="E89" s="121"/>
      <c r="F89" s="121"/>
      <c r="G89" s="113"/>
      <c r="H89" s="104"/>
      <c r="I89" s="219"/>
      <c r="J89" s="200" t="str">
        <f>IF(E89="","",IF(AND(U89&lt;=66),VLOOKUP(I89,'H&amp;R Look Up'!$A$13:$B$21,2,TRUE),IF(AND(U89&gt;=67,U89&lt;=72),VLOOKUP(I89,'H&amp;R Look Up'!$E$13:$F$20,2,TRUE),IF(AND(U89&gt;=73,U89&lt;=78),VLOOKUP(I89,'H&amp;R Look Up'!$I$13:$J$19,2,TRUE),IF(AND(U89&gt;=79),VLOOKUP(I89,'H&amp;R Look Up'!$M$13:$N$18,2,TRUE),"")))))</f>
        <v/>
      </c>
      <c r="U89" s="222" t="str">
        <f t="shared" si="2"/>
        <v/>
      </c>
    </row>
    <row r="90" spans="1:21" s="108" customFormat="1" ht="15.75">
      <c r="A90" s="119"/>
      <c r="B90" s="120"/>
      <c r="C90" s="111"/>
      <c r="D90" s="111"/>
      <c r="E90" s="121"/>
      <c r="F90" s="121"/>
      <c r="G90" s="113"/>
      <c r="H90" s="104"/>
      <c r="I90" s="219"/>
      <c r="J90" s="200" t="str">
        <f>IF(E90="","",IF(AND(U90&lt;=66),VLOOKUP(I90,'H&amp;R Look Up'!$A$13:$B$21,2,TRUE),IF(AND(U90&gt;=67,U90&lt;=72),VLOOKUP(I90,'H&amp;R Look Up'!$E$13:$F$20,2,TRUE),IF(AND(U90&gt;=73,U90&lt;=78),VLOOKUP(I90,'H&amp;R Look Up'!$I$13:$J$19,2,TRUE),IF(AND(U90&gt;=79),VLOOKUP(I90,'H&amp;R Look Up'!$M$13:$N$18,2,TRUE),"")))))</f>
        <v/>
      </c>
      <c r="U90" s="222" t="str">
        <f t="shared" si="2"/>
        <v/>
      </c>
    </row>
    <row r="91" spans="1:21" s="108" customFormat="1" ht="15.75">
      <c r="A91" s="119"/>
      <c r="B91" s="120"/>
      <c r="C91" s="111"/>
      <c r="D91" s="111"/>
      <c r="E91" s="121"/>
      <c r="F91" s="121"/>
      <c r="G91" s="113"/>
      <c r="H91" s="104"/>
      <c r="I91" s="219"/>
      <c r="J91" s="200" t="str">
        <f>IF(E91="","",IF(AND(U91&lt;=66),VLOOKUP(I91,'H&amp;R Look Up'!$A$13:$B$21,2,TRUE),IF(AND(U91&gt;=67,U91&lt;=72),VLOOKUP(I91,'H&amp;R Look Up'!$E$13:$F$20,2,TRUE),IF(AND(U91&gt;=73,U91&lt;=78),VLOOKUP(I91,'H&amp;R Look Up'!$I$13:$J$19,2,TRUE),IF(AND(U91&gt;=79),VLOOKUP(I91,'H&amp;R Look Up'!$M$13:$N$18,2,TRUE),"")))))</f>
        <v/>
      </c>
      <c r="U91" s="222" t="str">
        <f t="shared" si="2"/>
        <v/>
      </c>
    </row>
    <row r="92" spans="1:21" s="108" customFormat="1" ht="15.75">
      <c r="A92" s="119"/>
      <c r="B92" s="120"/>
      <c r="C92" s="111"/>
      <c r="D92" s="111"/>
      <c r="E92" s="121"/>
      <c r="F92" s="121"/>
      <c r="G92" s="113"/>
      <c r="H92" s="104"/>
      <c r="I92" s="219"/>
      <c r="J92" s="200" t="str">
        <f>IF(E92="","",IF(AND(U92&lt;=66),VLOOKUP(I92,'H&amp;R Look Up'!$A$13:$B$21,2,TRUE),IF(AND(U92&gt;=67,U92&lt;=72),VLOOKUP(I92,'H&amp;R Look Up'!$E$13:$F$20,2,TRUE),IF(AND(U92&gt;=73,U92&lt;=78),VLOOKUP(I92,'H&amp;R Look Up'!$I$13:$J$19,2,TRUE),IF(AND(U92&gt;=79),VLOOKUP(I92,'H&amp;R Look Up'!$M$13:$N$18,2,TRUE),"")))))</f>
        <v/>
      </c>
      <c r="U92" s="222" t="str">
        <f t="shared" si="2"/>
        <v/>
      </c>
    </row>
    <row r="93" spans="1:21" s="108" customFormat="1" ht="15.75">
      <c r="A93" s="119"/>
      <c r="B93" s="120"/>
      <c r="C93" s="111"/>
      <c r="D93" s="111"/>
      <c r="E93" s="121"/>
      <c r="F93" s="121"/>
      <c r="G93" s="113"/>
      <c r="H93" s="104"/>
      <c r="I93" s="219"/>
      <c r="J93" s="200" t="str">
        <f>IF(E93="","",IF(AND(U93&lt;=66),VLOOKUP(I93,'H&amp;R Look Up'!$A$13:$B$21,2,TRUE),IF(AND(U93&gt;=67,U93&lt;=72),VLOOKUP(I93,'H&amp;R Look Up'!$E$13:$F$20,2,TRUE),IF(AND(U93&gt;=73,U93&lt;=78),VLOOKUP(I93,'H&amp;R Look Up'!$I$13:$J$19,2,TRUE),IF(AND(U93&gt;=79),VLOOKUP(I93,'H&amp;R Look Up'!$M$13:$N$18,2,TRUE),"")))))</f>
        <v/>
      </c>
      <c r="U93" s="222" t="str">
        <f t="shared" si="2"/>
        <v/>
      </c>
    </row>
    <row r="94" spans="1:21" s="108" customFormat="1" ht="15.75">
      <c r="A94" s="119"/>
      <c r="B94" s="120"/>
      <c r="C94" s="111"/>
      <c r="D94" s="111"/>
      <c r="E94" s="121"/>
      <c r="F94" s="121"/>
      <c r="G94" s="113"/>
      <c r="H94" s="104"/>
      <c r="I94" s="219"/>
      <c r="J94" s="200" t="str">
        <f>IF(E94="","",IF(AND(U94&lt;=66),VLOOKUP(I94,'H&amp;R Look Up'!$A$13:$B$21,2,TRUE),IF(AND(U94&gt;=67,U94&lt;=72),VLOOKUP(I94,'H&amp;R Look Up'!$E$13:$F$20,2,TRUE),IF(AND(U94&gt;=73,U94&lt;=78),VLOOKUP(I94,'H&amp;R Look Up'!$I$13:$J$19,2,TRUE),IF(AND(U94&gt;=79),VLOOKUP(I94,'H&amp;R Look Up'!$M$13:$N$18,2,TRUE),"")))))</f>
        <v/>
      </c>
      <c r="U94" s="222" t="str">
        <f t="shared" si="2"/>
        <v/>
      </c>
    </row>
    <row r="95" spans="1:21" s="108" customFormat="1" ht="15.75">
      <c r="A95" s="119"/>
      <c r="B95" s="120"/>
      <c r="C95" s="111"/>
      <c r="D95" s="111"/>
      <c r="E95" s="121"/>
      <c r="F95" s="121"/>
      <c r="G95" s="113"/>
      <c r="H95" s="104"/>
      <c r="I95" s="219"/>
      <c r="J95" s="200" t="str">
        <f>IF(E95="","",IF(AND(U95&lt;=66),VLOOKUP(I95,'H&amp;R Look Up'!$A$13:$B$21,2,TRUE),IF(AND(U95&gt;=67,U95&lt;=72),VLOOKUP(I95,'H&amp;R Look Up'!$E$13:$F$20,2,TRUE),IF(AND(U95&gt;=73,U95&lt;=78),VLOOKUP(I95,'H&amp;R Look Up'!$I$13:$J$19,2,TRUE),IF(AND(U95&gt;=79),VLOOKUP(I95,'H&amp;R Look Up'!$M$13:$N$18,2,TRUE),"")))))</f>
        <v/>
      </c>
      <c r="U95" s="222" t="str">
        <f t="shared" si="2"/>
        <v/>
      </c>
    </row>
    <row r="96" spans="1:21" s="108" customFormat="1" ht="15.75">
      <c r="A96" s="119"/>
      <c r="B96" s="120"/>
      <c r="C96" s="111"/>
      <c r="D96" s="111"/>
      <c r="E96" s="121"/>
      <c r="F96" s="121"/>
      <c r="G96" s="113"/>
      <c r="H96" s="104"/>
      <c r="I96" s="219"/>
      <c r="J96" s="200" t="str">
        <f>IF(E96="","",IF(AND(U96&lt;=66),VLOOKUP(I96,'H&amp;R Look Up'!$A$13:$B$21,2,TRUE),IF(AND(U96&gt;=67,U96&lt;=72),VLOOKUP(I96,'H&amp;R Look Up'!$E$13:$F$20,2,TRUE),IF(AND(U96&gt;=73,U96&lt;=78),VLOOKUP(I96,'H&amp;R Look Up'!$I$13:$J$19,2,TRUE),IF(AND(U96&gt;=79),VLOOKUP(I96,'H&amp;R Look Up'!$M$13:$N$18,2,TRUE),"")))))</f>
        <v/>
      </c>
      <c r="U96" s="222" t="str">
        <f t="shared" si="2"/>
        <v/>
      </c>
    </row>
    <row r="97" spans="1:21" s="108" customFormat="1" ht="15.75">
      <c r="A97" s="119"/>
      <c r="B97" s="120"/>
      <c r="C97" s="111"/>
      <c r="D97" s="111"/>
      <c r="E97" s="121"/>
      <c r="F97" s="121"/>
      <c r="G97" s="113"/>
      <c r="H97" s="104"/>
      <c r="I97" s="219"/>
      <c r="J97" s="200" t="str">
        <f>IF(E97="","",IF(AND(U97&lt;=66),VLOOKUP(I97,'H&amp;R Look Up'!$A$13:$B$21,2,TRUE),IF(AND(U97&gt;=67,U97&lt;=72),VLOOKUP(I97,'H&amp;R Look Up'!$E$13:$F$20,2,TRUE),IF(AND(U97&gt;=73,U97&lt;=78),VLOOKUP(I97,'H&amp;R Look Up'!$I$13:$J$19,2,TRUE),IF(AND(U97&gt;=79),VLOOKUP(I97,'H&amp;R Look Up'!$M$13:$N$18,2,TRUE),"")))))</f>
        <v/>
      </c>
      <c r="U97" s="222" t="str">
        <f t="shared" si="2"/>
        <v/>
      </c>
    </row>
    <row r="98" spans="1:21" s="108" customFormat="1" ht="15.75">
      <c r="A98" s="119"/>
      <c r="B98" s="120"/>
      <c r="C98" s="111"/>
      <c r="D98" s="111"/>
      <c r="E98" s="121"/>
      <c r="F98" s="121"/>
      <c r="G98" s="113"/>
      <c r="H98" s="104"/>
      <c r="I98" s="219"/>
      <c r="J98" s="200" t="str">
        <f>IF(E98="","",IF(AND(U98&lt;=66),VLOOKUP(I98,'H&amp;R Look Up'!$A$13:$B$21,2,TRUE),IF(AND(U98&gt;=67,U98&lt;=72),VLOOKUP(I98,'H&amp;R Look Up'!$E$13:$F$20,2,TRUE),IF(AND(U98&gt;=73,U98&lt;=78),VLOOKUP(I98,'H&amp;R Look Up'!$I$13:$J$19,2,TRUE),IF(AND(U98&gt;=79),VLOOKUP(I98,'H&amp;R Look Up'!$M$13:$N$18,2,TRUE),"")))))</f>
        <v/>
      </c>
      <c r="U98" s="222" t="str">
        <f t="shared" si="2"/>
        <v/>
      </c>
    </row>
    <row r="99" spans="1:21" s="108" customFormat="1" ht="15.75">
      <c r="A99" s="119"/>
      <c r="B99" s="120"/>
      <c r="C99" s="111"/>
      <c r="D99" s="111"/>
      <c r="E99" s="121"/>
      <c r="F99" s="121"/>
      <c r="G99" s="113"/>
      <c r="H99" s="104"/>
      <c r="I99" s="219"/>
      <c r="J99" s="200" t="str">
        <f>IF(E99="","",IF(AND(U99&lt;=66),VLOOKUP(I99,'H&amp;R Look Up'!$A$13:$B$21,2,TRUE),IF(AND(U99&gt;=67,U99&lt;=72),VLOOKUP(I99,'H&amp;R Look Up'!$E$13:$F$20,2,TRUE),IF(AND(U99&gt;=73,U99&lt;=78),VLOOKUP(I99,'H&amp;R Look Up'!$I$13:$J$19,2,TRUE),IF(AND(U99&gt;=79),VLOOKUP(I99,'H&amp;R Look Up'!$M$13:$N$18,2,TRUE),"")))))</f>
        <v/>
      </c>
      <c r="U99" s="222" t="str">
        <f t="shared" si="2"/>
        <v/>
      </c>
    </row>
    <row r="100" spans="1:21" s="108" customFormat="1" ht="15.75">
      <c r="A100" s="119"/>
      <c r="B100" s="120"/>
      <c r="C100" s="111"/>
      <c r="D100" s="111"/>
      <c r="E100" s="121"/>
      <c r="F100" s="121"/>
      <c r="G100" s="113"/>
      <c r="H100" s="104"/>
      <c r="I100" s="219"/>
      <c r="J100" s="200" t="str">
        <f>IF(E100="","",IF(AND(U100&lt;=66),VLOOKUP(I100,'H&amp;R Look Up'!$A$13:$B$21,2,TRUE),IF(AND(U100&gt;=67,U100&lt;=72),VLOOKUP(I100,'H&amp;R Look Up'!$E$13:$F$20,2,TRUE),IF(AND(U100&gt;=73,U100&lt;=78),VLOOKUP(I100,'H&amp;R Look Up'!$I$13:$J$19,2,TRUE),IF(AND(U100&gt;=79),VLOOKUP(I100,'H&amp;R Look Up'!$M$13:$N$18,2,TRUE),"")))))</f>
        <v/>
      </c>
      <c r="U100" s="222" t="str">
        <f t="shared" si="2"/>
        <v/>
      </c>
    </row>
    <row r="101" spans="1:21" s="108" customFormat="1" ht="15.75">
      <c r="A101" s="119"/>
      <c r="B101" s="120"/>
      <c r="C101" s="111"/>
      <c r="D101" s="111"/>
      <c r="E101" s="121"/>
      <c r="F101" s="121"/>
      <c r="G101" s="113"/>
      <c r="H101" s="104"/>
      <c r="I101" s="219"/>
      <c r="J101" s="200" t="str">
        <f>IF(E101="","",IF(AND(U101&lt;=66),VLOOKUP(I101,'H&amp;R Look Up'!$A$13:$B$21,2,TRUE),IF(AND(U101&gt;=67,U101&lt;=72),VLOOKUP(I101,'H&amp;R Look Up'!$E$13:$F$20,2,TRUE),IF(AND(U101&gt;=73,U101&lt;=78),VLOOKUP(I101,'H&amp;R Look Up'!$I$13:$J$19,2,TRUE),IF(AND(U101&gt;=79),VLOOKUP(I101,'H&amp;R Look Up'!$M$13:$N$18,2,TRUE),"")))))</f>
        <v/>
      </c>
      <c r="U101" s="222" t="str">
        <f t="shared" si="2"/>
        <v/>
      </c>
    </row>
    <row r="102" spans="1:21" s="108" customFormat="1" ht="15.75">
      <c r="A102" s="119"/>
      <c r="B102" s="120"/>
      <c r="C102" s="111"/>
      <c r="D102" s="111"/>
      <c r="E102" s="121"/>
      <c r="F102" s="121"/>
      <c r="G102" s="113"/>
      <c r="H102" s="104"/>
      <c r="I102" s="219"/>
      <c r="J102" s="200" t="str">
        <f>IF(E102="","",IF(AND(U102&lt;=66),VLOOKUP(I102,'H&amp;R Look Up'!$A$13:$B$21,2,TRUE),IF(AND(U102&gt;=67,U102&lt;=72),VLOOKUP(I102,'H&amp;R Look Up'!$E$13:$F$20,2,TRUE),IF(AND(U102&gt;=73,U102&lt;=78),VLOOKUP(I102,'H&amp;R Look Up'!$I$13:$J$19,2,TRUE),IF(AND(U102&gt;=79),VLOOKUP(I102,'H&amp;R Look Up'!$M$13:$N$18,2,TRUE),"")))))</f>
        <v/>
      </c>
      <c r="U102" s="222" t="str">
        <f t="shared" si="2"/>
        <v/>
      </c>
    </row>
    <row r="103" spans="1:21" s="108" customFormat="1" ht="15.75">
      <c r="A103" s="119"/>
      <c r="B103" s="120"/>
      <c r="C103" s="111"/>
      <c r="D103" s="111"/>
      <c r="E103" s="121"/>
      <c r="F103" s="121"/>
      <c r="G103" s="113"/>
      <c r="H103" s="104"/>
      <c r="I103" s="219"/>
      <c r="J103" s="200" t="str">
        <f>IF(E103="","",IF(AND(U103&lt;=66),VLOOKUP(I103,'H&amp;R Look Up'!$A$13:$B$21,2,TRUE),IF(AND(U103&gt;=67,U103&lt;=72),VLOOKUP(I103,'H&amp;R Look Up'!$E$13:$F$20,2,TRUE),IF(AND(U103&gt;=73,U103&lt;=78),VLOOKUP(I103,'H&amp;R Look Up'!$I$13:$J$19,2,TRUE),IF(AND(U103&gt;=79),VLOOKUP(I103,'H&amp;R Look Up'!$M$13:$N$18,2,TRUE),"")))))</f>
        <v/>
      </c>
      <c r="U103" s="222" t="str">
        <f t="shared" si="2"/>
        <v/>
      </c>
    </row>
    <row r="104" spans="1:21" s="108" customFormat="1" ht="15.75">
      <c r="A104" s="119"/>
      <c r="B104" s="120"/>
      <c r="C104" s="111"/>
      <c r="D104" s="111"/>
      <c r="E104" s="121"/>
      <c r="F104" s="121"/>
      <c r="G104" s="113"/>
      <c r="H104" s="104"/>
      <c r="I104" s="219"/>
      <c r="J104" s="200" t="str">
        <f>IF(E104="","",IF(AND(U104&lt;=66),VLOOKUP(I104,'H&amp;R Look Up'!$A$13:$B$21,2,TRUE),IF(AND(U104&gt;=67,U104&lt;=72),VLOOKUP(I104,'H&amp;R Look Up'!$E$13:$F$20,2,TRUE),IF(AND(U104&gt;=73,U104&lt;=78),VLOOKUP(I104,'H&amp;R Look Up'!$I$13:$J$19,2,TRUE),IF(AND(U104&gt;=79),VLOOKUP(I104,'H&amp;R Look Up'!$M$13:$N$18,2,TRUE),"")))))</f>
        <v/>
      </c>
      <c r="U104" s="222" t="str">
        <f t="shared" si="2"/>
        <v/>
      </c>
    </row>
    <row r="105" spans="1:21" s="108" customFormat="1" ht="15.75">
      <c r="A105" s="119"/>
      <c r="B105" s="120"/>
      <c r="C105" s="111"/>
      <c r="D105" s="111"/>
      <c r="E105" s="121"/>
      <c r="F105" s="121"/>
      <c r="G105" s="113"/>
      <c r="H105" s="104"/>
      <c r="I105" s="219"/>
      <c r="J105" s="200" t="str">
        <f>IF(E105="","",IF(AND(U105&lt;=66),VLOOKUP(I105,'H&amp;R Look Up'!$A$13:$B$21,2,TRUE),IF(AND(U105&gt;=67,U105&lt;=72),VLOOKUP(I105,'H&amp;R Look Up'!$E$13:$F$20,2,TRUE),IF(AND(U105&gt;=73,U105&lt;=78),VLOOKUP(I105,'H&amp;R Look Up'!$I$13:$J$19,2,TRUE),IF(AND(U105&gt;=79),VLOOKUP(I105,'H&amp;R Look Up'!$M$13:$N$18,2,TRUE),"")))))</f>
        <v/>
      </c>
      <c r="U105" s="222" t="str">
        <f t="shared" si="2"/>
        <v/>
      </c>
    </row>
    <row r="106" spans="1:21" s="108" customFormat="1" ht="15.75">
      <c r="A106" s="119"/>
      <c r="B106" s="120"/>
      <c r="C106" s="111"/>
      <c r="D106" s="111"/>
      <c r="E106" s="121"/>
      <c r="F106" s="121"/>
      <c r="G106" s="113"/>
      <c r="H106" s="104"/>
      <c r="I106" s="219"/>
      <c r="J106" s="200" t="str">
        <f>IF(E106="","",IF(AND(U106&lt;=66),VLOOKUP(I106,'H&amp;R Look Up'!$A$13:$B$21,2,TRUE),IF(AND(U106&gt;=67,U106&lt;=72),VLOOKUP(I106,'H&amp;R Look Up'!$E$13:$F$20,2,TRUE),IF(AND(U106&gt;=73,U106&lt;=78),VLOOKUP(I106,'H&amp;R Look Up'!$I$13:$J$19,2,TRUE),IF(AND(U106&gt;=79),VLOOKUP(I106,'H&amp;R Look Up'!$M$13:$N$18,2,TRUE),"")))))</f>
        <v/>
      </c>
      <c r="U106" s="222" t="str">
        <f t="shared" si="2"/>
        <v/>
      </c>
    </row>
    <row r="107" spans="1:21" s="108" customFormat="1" ht="15.75">
      <c r="A107" s="119"/>
      <c r="B107" s="120"/>
      <c r="C107" s="111"/>
      <c r="D107" s="111"/>
      <c r="E107" s="121"/>
      <c r="F107" s="121"/>
      <c r="G107" s="113"/>
      <c r="H107" s="104"/>
      <c r="I107" s="219"/>
      <c r="J107" s="200" t="str">
        <f>IF(E107="","",IF(AND(U107&lt;=66),VLOOKUP(I107,'H&amp;R Look Up'!$A$13:$B$21,2,TRUE),IF(AND(U107&gt;=67,U107&lt;=72),VLOOKUP(I107,'H&amp;R Look Up'!$E$13:$F$20,2,TRUE),IF(AND(U107&gt;=73,U107&lt;=78),VLOOKUP(I107,'H&amp;R Look Up'!$I$13:$J$19,2,TRUE),IF(AND(U107&gt;=79),VLOOKUP(I107,'H&amp;R Look Up'!$M$13:$N$18,2,TRUE),"")))))</f>
        <v/>
      </c>
      <c r="U107" s="222" t="str">
        <f t="shared" si="2"/>
        <v/>
      </c>
    </row>
    <row r="108" spans="1:21" s="108" customFormat="1" ht="15.75">
      <c r="A108" s="119"/>
      <c r="B108" s="120"/>
      <c r="C108" s="111"/>
      <c r="D108" s="111"/>
      <c r="E108" s="121"/>
      <c r="F108" s="121"/>
      <c r="G108" s="113"/>
      <c r="H108" s="104"/>
      <c r="I108" s="219"/>
      <c r="J108" s="200" t="str">
        <f>IF(E108="","",IF(AND(U108&lt;=66),VLOOKUP(I108,'H&amp;R Look Up'!$A$13:$B$21,2,TRUE),IF(AND(U108&gt;=67,U108&lt;=72),VLOOKUP(I108,'H&amp;R Look Up'!$E$13:$F$20,2,TRUE),IF(AND(U108&gt;=73,U108&lt;=78),VLOOKUP(I108,'H&amp;R Look Up'!$I$13:$J$19,2,TRUE),IF(AND(U108&gt;=79),VLOOKUP(I108,'H&amp;R Look Up'!$M$13:$N$18,2,TRUE),"")))))</f>
        <v/>
      </c>
      <c r="U108" s="222" t="str">
        <f t="shared" si="2"/>
        <v/>
      </c>
    </row>
    <row r="109" spans="1:21" s="108" customFormat="1" ht="15.75">
      <c r="A109" s="119"/>
      <c r="B109" s="120"/>
      <c r="C109" s="111"/>
      <c r="D109" s="111"/>
      <c r="E109" s="121"/>
      <c r="F109" s="121"/>
      <c r="G109" s="113"/>
      <c r="H109" s="104"/>
      <c r="I109" s="219"/>
      <c r="J109" s="200" t="str">
        <f>IF(E109="","",IF(AND(U109&lt;=66),VLOOKUP(I109,'H&amp;R Look Up'!$A$13:$B$21,2,TRUE),IF(AND(U109&gt;=67,U109&lt;=72),VLOOKUP(I109,'H&amp;R Look Up'!$E$13:$F$20,2,TRUE),IF(AND(U109&gt;=73,U109&lt;=78),VLOOKUP(I109,'H&amp;R Look Up'!$I$13:$J$19,2,TRUE),IF(AND(U109&gt;=79),VLOOKUP(I109,'H&amp;R Look Up'!$M$13:$N$18,2,TRUE),"")))))</f>
        <v/>
      </c>
      <c r="U109" s="222" t="str">
        <f t="shared" si="2"/>
        <v/>
      </c>
    </row>
    <row r="110" spans="1:21" s="108" customFormat="1" ht="15.75">
      <c r="A110" s="119"/>
      <c r="B110" s="120"/>
      <c r="C110" s="111"/>
      <c r="D110" s="111"/>
      <c r="E110" s="121"/>
      <c r="F110" s="121"/>
      <c r="G110" s="113"/>
      <c r="H110" s="104"/>
      <c r="I110" s="219"/>
      <c r="J110" s="200" t="str">
        <f>IF(E110="","",IF(AND(U110&lt;=66),VLOOKUP(I110,'H&amp;R Look Up'!$A$13:$B$21,2,TRUE),IF(AND(U110&gt;=67,U110&lt;=72),VLOOKUP(I110,'H&amp;R Look Up'!$E$13:$F$20,2,TRUE),IF(AND(U110&gt;=73,U110&lt;=78),VLOOKUP(I110,'H&amp;R Look Up'!$I$13:$J$19,2,TRUE),IF(AND(U110&gt;=79),VLOOKUP(I110,'H&amp;R Look Up'!$M$13:$N$18,2,TRUE),"")))))</f>
        <v/>
      </c>
      <c r="U110" s="222" t="str">
        <f t="shared" si="2"/>
        <v/>
      </c>
    </row>
    <row r="111" spans="1:21" s="108" customFormat="1" ht="15.75">
      <c r="A111" s="119"/>
      <c r="B111" s="120"/>
      <c r="C111" s="111"/>
      <c r="D111" s="111"/>
      <c r="E111" s="121"/>
      <c r="F111" s="121"/>
      <c r="G111" s="113"/>
      <c r="H111" s="104"/>
      <c r="I111" s="219"/>
      <c r="J111" s="200" t="str">
        <f>IF(E111="","",IF(AND(U111&lt;=66),VLOOKUP(I111,'H&amp;R Look Up'!$A$13:$B$21,2,TRUE),IF(AND(U111&gt;=67,U111&lt;=72),VLOOKUP(I111,'H&amp;R Look Up'!$E$13:$F$20,2,TRUE),IF(AND(U111&gt;=73,U111&lt;=78),VLOOKUP(I111,'H&amp;R Look Up'!$I$13:$J$19,2,TRUE),IF(AND(U111&gt;=79),VLOOKUP(I111,'H&amp;R Look Up'!$M$13:$N$18,2,TRUE),"")))))</f>
        <v/>
      </c>
      <c r="U111" s="222" t="str">
        <f t="shared" si="2"/>
        <v/>
      </c>
    </row>
    <row r="112" spans="1:21" s="108" customFormat="1" ht="15.75">
      <c r="A112" s="119"/>
      <c r="B112" s="120"/>
      <c r="C112" s="111"/>
      <c r="D112" s="111"/>
      <c r="E112" s="121"/>
      <c r="F112" s="121"/>
      <c r="G112" s="113"/>
      <c r="H112" s="104"/>
      <c r="I112" s="219"/>
      <c r="J112" s="200" t="str">
        <f>IF(E112="","",IF(AND(U112&lt;=66),VLOOKUP(I112,'H&amp;R Look Up'!$A$13:$B$21,2,TRUE),IF(AND(U112&gt;=67,U112&lt;=72),VLOOKUP(I112,'H&amp;R Look Up'!$E$13:$F$20,2,TRUE),IF(AND(U112&gt;=73,U112&lt;=78),VLOOKUP(I112,'H&amp;R Look Up'!$I$13:$J$19,2,TRUE),IF(AND(U112&gt;=79),VLOOKUP(I112,'H&amp;R Look Up'!$M$13:$N$18,2,TRUE),"")))))</f>
        <v/>
      </c>
      <c r="U112" s="222" t="str">
        <f t="shared" si="2"/>
        <v/>
      </c>
    </row>
    <row r="113" spans="1:21" s="108" customFormat="1" ht="15.75">
      <c r="A113" s="119"/>
      <c r="B113" s="120"/>
      <c r="C113" s="111"/>
      <c r="D113" s="111"/>
      <c r="E113" s="121"/>
      <c r="F113" s="121"/>
      <c r="G113" s="113"/>
      <c r="H113" s="104"/>
      <c r="I113" s="219"/>
      <c r="J113" s="200" t="str">
        <f>IF(E113="","",IF(AND(U113&lt;=66),VLOOKUP(I113,'H&amp;R Look Up'!$A$13:$B$21,2,TRUE),IF(AND(U113&gt;=67,U113&lt;=72),VLOOKUP(I113,'H&amp;R Look Up'!$E$13:$F$20,2,TRUE),IF(AND(U113&gt;=73,U113&lt;=78),VLOOKUP(I113,'H&amp;R Look Up'!$I$13:$J$19,2,TRUE),IF(AND(U113&gt;=79),VLOOKUP(I113,'H&amp;R Look Up'!$M$13:$N$18,2,TRUE),"")))))</f>
        <v/>
      </c>
      <c r="U113" s="222" t="str">
        <f t="shared" si="2"/>
        <v/>
      </c>
    </row>
    <row r="114" spans="1:21" s="108" customFormat="1" ht="15.75">
      <c r="A114" s="119"/>
      <c r="B114" s="120"/>
      <c r="C114" s="111"/>
      <c r="D114" s="111"/>
      <c r="E114" s="121"/>
      <c r="F114" s="121"/>
      <c r="G114" s="113"/>
      <c r="H114" s="104"/>
      <c r="I114" s="219"/>
      <c r="J114" s="200" t="str">
        <f>IF(E114="","",IF(AND(U114&lt;=66),VLOOKUP(I114,'H&amp;R Look Up'!$A$13:$B$21,2,TRUE),IF(AND(U114&gt;=67,U114&lt;=72),VLOOKUP(I114,'H&amp;R Look Up'!$E$13:$F$20,2,TRUE),IF(AND(U114&gt;=73,U114&lt;=78),VLOOKUP(I114,'H&amp;R Look Up'!$I$13:$J$19,2,TRUE),IF(AND(U114&gt;=79),VLOOKUP(I114,'H&amp;R Look Up'!$M$13:$N$18,2,TRUE),"")))))</f>
        <v/>
      </c>
      <c r="U114" s="222" t="str">
        <f t="shared" si="2"/>
        <v/>
      </c>
    </row>
    <row r="115" spans="1:21" s="108" customFormat="1" ht="15.75">
      <c r="A115" s="119"/>
      <c r="B115" s="120"/>
      <c r="C115" s="111"/>
      <c r="D115" s="111"/>
      <c r="E115" s="121"/>
      <c r="F115" s="121"/>
      <c r="G115" s="113"/>
      <c r="H115" s="104"/>
      <c r="I115" s="219"/>
      <c r="J115" s="200" t="str">
        <f>IF(E115="","",IF(AND(U115&lt;=66),VLOOKUP(I115,'H&amp;R Look Up'!$A$13:$B$21,2,TRUE),IF(AND(U115&gt;=67,U115&lt;=72),VLOOKUP(I115,'H&amp;R Look Up'!$E$13:$F$20,2,TRUE),IF(AND(U115&gt;=73,U115&lt;=78),VLOOKUP(I115,'H&amp;R Look Up'!$I$13:$J$19,2,TRUE),IF(AND(U115&gt;=79),VLOOKUP(I115,'H&amp;R Look Up'!$M$13:$N$18,2,TRUE),"")))))</f>
        <v/>
      </c>
      <c r="U115" s="222" t="str">
        <f t="shared" si="2"/>
        <v/>
      </c>
    </row>
    <row r="116" spans="1:21" s="108" customFormat="1" ht="15.75">
      <c r="A116" s="119"/>
      <c r="B116" s="120"/>
      <c r="C116" s="111"/>
      <c r="D116" s="111"/>
      <c r="E116" s="121"/>
      <c r="F116" s="121"/>
      <c r="G116" s="113"/>
      <c r="H116" s="104"/>
      <c r="I116" s="219"/>
      <c r="J116" s="200" t="str">
        <f>IF(E116="","",IF(AND(U116&lt;=66),VLOOKUP(I116,'H&amp;R Look Up'!$A$13:$B$21,2,TRUE),IF(AND(U116&gt;=67,U116&lt;=72),VLOOKUP(I116,'H&amp;R Look Up'!$E$13:$F$20,2,TRUE),IF(AND(U116&gt;=73,U116&lt;=78),VLOOKUP(I116,'H&amp;R Look Up'!$I$13:$J$19,2,TRUE),IF(AND(U116&gt;=79),VLOOKUP(I116,'H&amp;R Look Up'!$M$13:$N$18,2,TRUE),"")))))</f>
        <v/>
      </c>
      <c r="U116" s="222" t="str">
        <f t="shared" si="2"/>
        <v/>
      </c>
    </row>
    <row r="117" spans="1:21" s="108" customFormat="1" ht="15.75">
      <c r="A117" s="119"/>
      <c r="B117" s="120"/>
      <c r="C117" s="111"/>
      <c r="D117" s="111"/>
      <c r="E117" s="121"/>
      <c r="F117" s="121"/>
      <c r="G117" s="113"/>
      <c r="H117" s="104"/>
      <c r="I117" s="219"/>
      <c r="J117" s="200" t="str">
        <f>IF(E117="","",IF(AND(U117&lt;=66),VLOOKUP(I117,'H&amp;R Look Up'!$A$13:$B$21,2,TRUE),IF(AND(U117&gt;=67,U117&lt;=72),VLOOKUP(I117,'H&amp;R Look Up'!$E$13:$F$20,2,TRUE),IF(AND(U117&gt;=73,U117&lt;=78),VLOOKUP(I117,'H&amp;R Look Up'!$I$13:$J$19,2,TRUE),IF(AND(U117&gt;=79),VLOOKUP(I117,'H&amp;R Look Up'!$M$13:$N$18,2,TRUE),"")))))</f>
        <v/>
      </c>
      <c r="U117" s="222" t="str">
        <f t="shared" si="2"/>
        <v/>
      </c>
    </row>
    <row r="118" spans="1:21" s="108" customFormat="1" ht="15.75">
      <c r="A118" s="119"/>
      <c r="B118" s="120"/>
      <c r="C118" s="111"/>
      <c r="D118" s="111"/>
      <c r="E118" s="121"/>
      <c r="F118" s="121"/>
      <c r="G118" s="113"/>
      <c r="H118" s="104"/>
      <c r="I118" s="219"/>
      <c r="J118" s="200" t="str">
        <f>IF(E118="","",IF(AND(U118&lt;=66),VLOOKUP(I118,'H&amp;R Look Up'!$A$13:$B$21,2,TRUE),IF(AND(U118&gt;=67,U118&lt;=72),VLOOKUP(I118,'H&amp;R Look Up'!$E$13:$F$20,2,TRUE),IF(AND(U118&gt;=73,U118&lt;=78),VLOOKUP(I118,'H&amp;R Look Up'!$I$13:$J$19,2,TRUE),IF(AND(U118&gt;=79),VLOOKUP(I118,'H&amp;R Look Up'!$M$13:$N$18,2,TRUE),"")))))</f>
        <v/>
      </c>
      <c r="U118" s="222" t="str">
        <f t="shared" si="2"/>
        <v/>
      </c>
    </row>
    <row r="119" spans="1:21" s="108" customFormat="1" ht="15.75">
      <c r="A119" s="119"/>
      <c r="B119" s="120"/>
      <c r="C119" s="111"/>
      <c r="D119" s="111"/>
      <c r="E119" s="121"/>
      <c r="F119" s="121"/>
      <c r="G119" s="113"/>
      <c r="H119" s="104"/>
      <c r="I119" s="219"/>
      <c r="J119" s="200" t="str">
        <f>IF(E119="","",IF(AND(U119&lt;=66),VLOOKUP(I119,'H&amp;R Look Up'!$A$13:$B$21,2,TRUE),IF(AND(U119&gt;=67,U119&lt;=72),VLOOKUP(I119,'H&amp;R Look Up'!$E$13:$F$20,2,TRUE),IF(AND(U119&gt;=73,U119&lt;=78),VLOOKUP(I119,'H&amp;R Look Up'!$I$13:$J$19,2,TRUE),IF(AND(U119&gt;=79),VLOOKUP(I119,'H&amp;R Look Up'!$M$13:$N$18,2,TRUE),"")))))</f>
        <v/>
      </c>
      <c r="U119" s="222" t="str">
        <f t="shared" si="2"/>
        <v/>
      </c>
    </row>
    <row r="120" spans="1:21" s="108" customFormat="1" ht="15.75">
      <c r="A120" s="119"/>
      <c r="B120" s="120"/>
      <c r="C120" s="111"/>
      <c r="D120" s="111"/>
      <c r="E120" s="121"/>
      <c r="F120" s="121"/>
      <c r="G120" s="113"/>
      <c r="H120" s="104"/>
      <c r="I120" s="219"/>
      <c r="J120" s="200" t="str">
        <f>IF(E120="","",IF(AND(U120&lt;=66),VLOOKUP(I120,'H&amp;R Look Up'!$A$13:$B$21,2,TRUE),IF(AND(U120&gt;=67,U120&lt;=72),VLOOKUP(I120,'H&amp;R Look Up'!$E$13:$F$20,2,TRUE),IF(AND(U120&gt;=73,U120&lt;=78),VLOOKUP(I120,'H&amp;R Look Up'!$I$13:$J$19,2,TRUE),IF(AND(U120&gt;=79),VLOOKUP(I120,'H&amp;R Look Up'!$M$13:$N$18,2,TRUE),"")))))</f>
        <v/>
      </c>
      <c r="U120" s="222" t="str">
        <f t="shared" si="2"/>
        <v/>
      </c>
    </row>
    <row r="121" spans="1:21" s="108" customFormat="1" ht="15.75">
      <c r="A121" s="119"/>
      <c r="B121" s="120"/>
      <c r="C121" s="111"/>
      <c r="D121" s="111"/>
      <c r="E121" s="121"/>
      <c r="F121" s="121"/>
      <c r="G121" s="113"/>
      <c r="H121" s="104"/>
      <c r="I121" s="219"/>
      <c r="J121" s="200" t="str">
        <f>IF(E121="","",IF(AND(U121&lt;=66),VLOOKUP(I121,'H&amp;R Look Up'!$A$13:$B$21,2,TRUE),IF(AND(U121&gt;=67,U121&lt;=72),VLOOKUP(I121,'H&amp;R Look Up'!$E$13:$F$20,2,TRUE),IF(AND(U121&gt;=73,U121&lt;=78),VLOOKUP(I121,'H&amp;R Look Up'!$I$13:$J$19,2,TRUE),IF(AND(U121&gt;=79),VLOOKUP(I121,'H&amp;R Look Up'!$M$13:$N$18,2,TRUE),"")))))</f>
        <v/>
      </c>
      <c r="U121" s="222" t="str">
        <f t="shared" si="2"/>
        <v/>
      </c>
    </row>
    <row r="122" spans="1:21" s="108" customFormat="1" ht="15.75">
      <c r="A122" s="119"/>
      <c r="B122" s="120"/>
      <c r="C122" s="111"/>
      <c r="D122" s="111"/>
      <c r="E122" s="121"/>
      <c r="F122" s="121"/>
      <c r="G122" s="113"/>
      <c r="H122" s="104"/>
      <c r="I122" s="219"/>
      <c r="J122" s="200" t="str">
        <f>IF(E122="","",IF(AND(U122&lt;=66),VLOOKUP(I122,'H&amp;R Look Up'!$A$13:$B$21,2,TRUE),IF(AND(U122&gt;=67,U122&lt;=72),VLOOKUP(I122,'H&amp;R Look Up'!$E$13:$F$20,2,TRUE),IF(AND(U122&gt;=73,U122&lt;=78),VLOOKUP(I122,'H&amp;R Look Up'!$I$13:$J$19,2,TRUE),IF(AND(U122&gt;=79),VLOOKUP(I122,'H&amp;R Look Up'!$M$13:$N$18,2,TRUE),"")))))</f>
        <v/>
      </c>
      <c r="U122" s="222" t="str">
        <f t="shared" si="2"/>
        <v/>
      </c>
    </row>
    <row r="123" spans="1:21" s="108" customFormat="1" ht="15.75">
      <c r="A123" s="119"/>
      <c r="B123" s="120"/>
      <c r="C123" s="111"/>
      <c r="D123" s="111"/>
      <c r="E123" s="121"/>
      <c r="F123" s="121"/>
      <c r="G123" s="113"/>
      <c r="H123" s="104"/>
      <c r="I123" s="219"/>
      <c r="J123" s="200" t="str">
        <f>IF(E123="","",IF(AND(U123&lt;=66),VLOOKUP(I123,'H&amp;R Look Up'!$A$13:$B$21,2,TRUE),IF(AND(U123&gt;=67,U123&lt;=72),VLOOKUP(I123,'H&amp;R Look Up'!$E$13:$F$20,2,TRUE),IF(AND(U123&gt;=73,U123&lt;=78),VLOOKUP(I123,'H&amp;R Look Up'!$I$13:$J$19,2,TRUE),IF(AND(U123&gt;=79),VLOOKUP(I123,'H&amp;R Look Up'!$M$13:$N$18,2,TRUE),"")))))</f>
        <v/>
      </c>
      <c r="U123" s="222" t="str">
        <f t="shared" si="2"/>
        <v/>
      </c>
    </row>
    <row r="124" spans="1:21" s="108" customFormat="1" ht="15.75">
      <c r="A124" s="119"/>
      <c r="B124" s="120"/>
      <c r="C124" s="111"/>
      <c r="D124" s="111"/>
      <c r="E124" s="121"/>
      <c r="F124" s="121"/>
      <c r="G124" s="113"/>
      <c r="H124" s="104"/>
      <c r="I124" s="219"/>
      <c r="J124" s="200" t="str">
        <f>IF(E124="","",IF(AND(U124&lt;=66),VLOOKUP(I124,'H&amp;R Look Up'!$A$13:$B$21,2,TRUE),IF(AND(U124&gt;=67,U124&lt;=72),VLOOKUP(I124,'H&amp;R Look Up'!$E$13:$F$20,2,TRUE),IF(AND(U124&gt;=73,U124&lt;=78),VLOOKUP(I124,'H&amp;R Look Up'!$I$13:$J$19,2,TRUE),IF(AND(U124&gt;=79),VLOOKUP(I124,'H&amp;R Look Up'!$M$13:$N$18,2,TRUE),"")))))</f>
        <v/>
      </c>
      <c r="U124" s="222" t="str">
        <f t="shared" si="2"/>
        <v/>
      </c>
    </row>
    <row r="125" spans="1:21" s="108" customFormat="1" ht="15.75">
      <c r="A125" s="119"/>
      <c r="B125" s="120"/>
      <c r="C125" s="111"/>
      <c r="D125" s="111"/>
      <c r="E125" s="121"/>
      <c r="F125" s="121"/>
      <c r="G125" s="113"/>
      <c r="H125" s="104"/>
      <c r="I125" s="219"/>
      <c r="J125" s="200" t="str">
        <f>IF(E125="","",IF(AND(U125&lt;=66),VLOOKUP(I125,'H&amp;R Look Up'!$A$13:$B$21,2,TRUE),IF(AND(U125&gt;=67,U125&lt;=72),VLOOKUP(I125,'H&amp;R Look Up'!$E$13:$F$20,2,TRUE),IF(AND(U125&gt;=73,U125&lt;=78),VLOOKUP(I125,'H&amp;R Look Up'!$I$13:$J$19,2,TRUE),IF(AND(U125&gt;=79),VLOOKUP(I125,'H&amp;R Look Up'!$M$13:$N$18,2,TRUE),"")))))</f>
        <v/>
      </c>
      <c r="U125" s="222" t="str">
        <f t="shared" si="2"/>
        <v/>
      </c>
    </row>
    <row r="126" spans="1:21" s="108" customFormat="1" ht="15.75">
      <c r="A126" s="119"/>
      <c r="B126" s="120"/>
      <c r="C126" s="111"/>
      <c r="D126" s="111"/>
      <c r="E126" s="121"/>
      <c r="F126" s="121"/>
      <c r="G126" s="113"/>
      <c r="H126" s="104"/>
      <c r="I126" s="219"/>
      <c r="J126" s="200" t="str">
        <f>IF(E126="","",IF(AND(U126&lt;=66),VLOOKUP(I126,'H&amp;R Look Up'!$A$13:$B$21,2,TRUE),IF(AND(U126&gt;=67,U126&lt;=72),VLOOKUP(I126,'H&amp;R Look Up'!$E$13:$F$20,2,TRUE),IF(AND(U126&gt;=73,U126&lt;=78),VLOOKUP(I126,'H&amp;R Look Up'!$I$13:$J$19,2,TRUE),IF(AND(U126&gt;=79),VLOOKUP(I126,'H&amp;R Look Up'!$M$13:$N$18,2,TRUE),"")))))</f>
        <v/>
      </c>
      <c r="U126" s="222" t="str">
        <f t="shared" si="2"/>
        <v/>
      </c>
    </row>
    <row r="127" spans="1:21" s="108" customFormat="1" ht="15.75">
      <c r="A127" s="119"/>
      <c r="B127" s="120"/>
      <c r="C127" s="111"/>
      <c r="D127" s="111"/>
      <c r="E127" s="121"/>
      <c r="F127" s="121"/>
      <c r="G127" s="113"/>
      <c r="H127" s="104"/>
      <c r="I127" s="219"/>
      <c r="J127" s="200" t="str">
        <f>IF(E127="","",IF(AND(U127&lt;=66),VLOOKUP(I127,'H&amp;R Look Up'!$A$13:$B$21,2,TRUE),IF(AND(U127&gt;=67,U127&lt;=72),VLOOKUP(I127,'H&amp;R Look Up'!$E$13:$F$20,2,TRUE),IF(AND(U127&gt;=73,U127&lt;=78),VLOOKUP(I127,'H&amp;R Look Up'!$I$13:$J$19,2,TRUE),IF(AND(U127&gt;=79),VLOOKUP(I127,'H&amp;R Look Up'!$M$13:$N$18,2,TRUE),"")))))</f>
        <v/>
      </c>
      <c r="U127" s="222" t="str">
        <f t="shared" si="2"/>
        <v/>
      </c>
    </row>
    <row r="128" spans="1:21" s="108" customFormat="1" ht="15.75">
      <c r="A128" s="119"/>
      <c r="B128" s="120"/>
      <c r="C128" s="111"/>
      <c r="D128" s="111"/>
      <c r="E128" s="121"/>
      <c r="F128" s="121"/>
      <c r="G128" s="113"/>
      <c r="H128" s="104"/>
      <c r="I128" s="219"/>
      <c r="J128" s="200" t="str">
        <f>IF(E128="","",IF(AND(U128&lt;=66),VLOOKUP(I128,'H&amp;R Look Up'!$A$13:$B$21,2,TRUE),IF(AND(U128&gt;=67,U128&lt;=72),VLOOKUP(I128,'H&amp;R Look Up'!$E$13:$F$20,2,TRUE),IF(AND(U128&gt;=73,U128&lt;=78),VLOOKUP(I128,'H&amp;R Look Up'!$I$13:$J$19,2,TRUE),IF(AND(U128&gt;=79),VLOOKUP(I128,'H&amp;R Look Up'!$M$13:$N$18,2,TRUE),"")))))</f>
        <v/>
      </c>
      <c r="U128" s="222" t="str">
        <f t="shared" si="2"/>
        <v/>
      </c>
    </row>
    <row r="129" spans="1:21" s="108" customFormat="1" ht="15.75">
      <c r="A129" s="119"/>
      <c r="B129" s="120"/>
      <c r="C129" s="111"/>
      <c r="D129" s="111"/>
      <c r="E129" s="121"/>
      <c r="F129" s="121"/>
      <c r="G129" s="113"/>
      <c r="H129" s="104"/>
      <c r="I129" s="219"/>
      <c r="J129" s="200" t="str">
        <f>IF(E129="","",IF(AND(U129&lt;=66),VLOOKUP(I129,'H&amp;R Look Up'!$A$13:$B$21,2,TRUE),IF(AND(U129&gt;=67,U129&lt;=72),VLOOKUP(I129,'H&amp;R Look Up'!$E$13:$F$20,2,TRUE),IF(AND(U129&gt;=73,U129&lt;=78),VLOOKUP(I129,'H&amp;R Look Up'!$I$13:$J$19,2,TRUE),IF(AND(U129&gt;=79),VLOOKUP(I129,'H&amp;R Look Up'!$M$13:$N$18,2,TRUE),"")))))</f>
        <v/>
      </c>
      <c r="U129" s="222" t="str">
        <f t="shared" si="2"/>
        <v/>
      </c>
    </row>
    <row r="130" spans="1:21" s="108" customFormat="1" ht="15.75">
      <c r="A130" s="119"/>
      <c r="B130" s="120"/>
      <c r="C130" s="111"/>
      <c r="D130" s="111"/>
      <c r="E130" s="121"/>
      <c r="F130" s="121"/>
      <c r="G130" s="113"/>
      <c r="H130" s="104"/>
      <c r="I130" s="219"/>
      <c r="J130" s="200" t="str">
        <f>IF(E130="","",IF(AND(U130&lt;=66),VLOOKUP(I130,'H&amp;R Look Up'!$A$13:$B$21,2,TRUE),IF(AND(U130&gt;=67,U130&lt;=72),VLOOKUP(I130,'H&amp;R Look Up'!$E$13:$F$20,2,TRUE),IF(AND(U130&gt;=73,U130&lt;=78),VLOOKUP(I130,'H&amp;R Look Up'!$I$13:$J$19,2,TRUE),IF(AND(U130&gt;=79),VLOOKUP(I130,'H&amp;R Look Up'!$M$13:$N$18,2,TRUE),"")))))</f>
        <v/>
      </c>
      <c r="U130" s="222" t="str">
        <f t="shared" si="2"/>
        <v/>
      </c>
    </row>
    <row r="131" spans="1:21" s="108" customFormat="1" ht="15.75">
      <c r="A131" s="119"/>
      <c r="B131" s="120"/>
      <c r="C131" s="111"/>
      <c r="D131" s="111"/>
      <c r="E131" s="121"/>
      <c r="F131" s="121"/>
      <c r="G131" s="113"/>
      <c r="H131" s="104"/>
      <c r="I131" s="219"/>
      <c r="J131" s="200" t="str">
        <f>IF(E131="","",IF(AND(U131&lt;=66),VLOOKUP(I131,'H&amp;R Look Up'!$A$13:$B$21,2,TRUE),IF(AND(U131&gt;=67,U131&lt;=72),VLOOKUP(I131,'H&amp;R Look Up'!$E$13:$F$20,2,TRUE),IF(AND(U131&gt;=73,U131&lt;=78),VLOOKUP(I131,'H&amp;R Look Up'!$I$13:$J$19,2,TRUE),IF(AND(U131&gt;=79),VLOOKUP(I131,'H&amp;R Look Up'!$M$13:$N$18,2,TRUE),"")))))</f>
        <v/>
      </c>
      <c r="U131" s="222" t="str">
        <f t="shared" si="2"/>
        <v/>
      </c>
    </row>
    <row r="132" spans="1:21" s="108" customFormat="1" ht="15.75">
      <c r="A132" s="119"/>
      <c r="B132" s="120"/>
      <c r="C132" s="111"/>
      <c r="D132" s="111"/>
      <c r="E132" s="121"/>
      <c r="F132" s="121"/>
      <c r="G132" s="113"/>
      <c r="H132" s="104"/>
      <c r="I132" s="219"/>
      <c r="J132" s="200" t="str">
        <f>IF(E132="","",IF(AND(U132&lt;=66),VLOOKUP(I132,'H&amp;R Look Up'!$A$13:$B$21,2,TRUE),IF(AND(U132&gt;=67,U132&lt;=72),VLOOKUP(I132,'H&amp;R Look Up'!$E$13:$F$20,2,TRUE),IF(AND(U132&gt;=73,U132&lt;=78),VLOOKUP(I132,'H&amp;R Look Up'!$I$13:$J$19,2,TRUE),IF(AND(U132&gt;=79),VLOOKUP(I132,'H&amp;R Look Up'!$M$13:$N$18,2,TRUE),"")))))</f>
        <v/>
      </c>
      <c r="U132" s="222" t="str">
        <f t="shared" si="2"/>
        <v/>
      </c>
    </row>
    <row r="133" spans="1:21" s="108" customFormat="1" ht="15.75">
      <c r="A133" s="119"/>
      <c r="B133" s="120"/>
      <c r="C133" s="111"/>
      <c r="D133" s="111"/>
      <c r="E133" s="121"/>
      <c r="F133" s="121"/>
      <c r="G133" s="113"/>
      <c r="H133" s="104"/>
      <c r="I133" s="219"/>
      <c r="J133" s="200" t="str">
        <f>IF(E133="","",IF(AND(U133&lt;=66),VLOOKUP(I133,'H&amp;R Look Up'!$A$13:$B$21,2,TRUE),IF(AND(U133&gt;=67,U133&lt;=72),VLOOKUP(I133,'H&amp;R Look Up'!$E$13:$F$20,2,TRUE),IF(AND(U133&gt;=73,U133&lt;=78),VLOOKUP(I133,'H&amp;R Look Up'!$I$13:$J$19,2,TRUE),IF(AND(U133&gt;=79),VLOOKUP(I133,'H&amp;R Look Up'!$M$13:$N$18,2,TRUE),"")))))</f>
        <v/>
      </c>
      <c r="U133" s="222" t="str">
        <f t="shared" si="2"/>
        <v/>
      </c>
    </row>
    <row r="134" spans="1:21" s="108" customFormat="1" ht="15.75">
      <c r="A134" s="119"/>
      <c r="B134" s="120"/>
      <c r="C134" s="111"/>
      <c r="D134" s="111"/>
      <c r="E134" s="121"/>
      <c r="F134" s="121"/>
      <c r="G134" s="113"/>
      <c r="H134" s="104"/>
      <c r="I134" s="219"/>
      <c r="J134" s="200" t="str">
        <f>IF(E134="","",IF(AND(U134&lt;=66),VLOOKUP(I134,'H&amp;R Look Up'!$A$13:$B$21,2,TRUE),IF(AND(U134&gt;=67,U134&lt;=72),VLOOKUP(I134,'H&amp;R Look Up'!$E$13:$F$20,2,TRUE),IF(AND(U134&gt;=73,U134&lt;=78),VLOOKUP(I134,'H&amp;R Look Up'!$I$13:$J$19,2,TRUE),IF(AND(U134&gt;=79),VLOOKUP(I134,'H&amp;R Look Up'!$M$13:$N$18,2,TRUE),"")))))</f>
        <v/>
      </c>
      <c r="U134" s="222" t="str">
        <f t="shared" ref="U134:U197" si="3">IF(E134="","",DATEDIF(B134,A134,"m"))</f>
        <v/>
      </c>
    </row>
    <row r="135" spans="1:21" s="108" customFormat="1" ht="15.75">
      <c r="A135" s="119"/>
      <c r="B135" s="120"/>
      <c r="C135" s="111"/>
      <c r="D135" s="111"/>
      <c r="E135" s="121"/>
      <c r="F135" s="121"/>
      <c r="G135" s="113"/>
      <c r="H135" s="104"/>
      <c r="I135" s="219"/>
      <c r="J135" s="200" t="str">
        <f>IF(E135="","",IF(AND(U135&lt;=66),VLOOKUP(I135,'H&amp;R Look Up'!$A$13:$B$21,2,TRUE),IF(AND(U135&gt;=67,U135&lt;=72),VLOOKUP(I135,'H&amp;R Look Up'!$E$13:$F$20,2,TRUE),IF(AND(U135&gt;=73,U135&lt;=78),VLOOKUP(I135,'H&amp;R Look Up'!$I$13:$J$19,2,TRUE),IF(AND(U135&gt;=79),VLOOKUP(I135,'H&amp;R Look Up'!$M$13:$N$18,2,TRUE),"")))))</f>
        <v/>
      </c>
      <c r="U135" s="222" t="str">
        <f t="shared" si="3"/>
        <v/>
      </c>
    </row>
    <row r="136" spans="1:21" s="108" customFormat="1" ht="15.75">
      <c r="A136" s="119"/>
      <c r="B136" s="120"/>
      <c r="C136" s="111"/>
      <c r="D136" s="111"/>
      <c r="E136" s="121"/>
      <c r="F136" s="121"/>
      <c r="G136" s="113"/>
      <c r="H136" s="104"/>
      <c r="I136" s="219"/>
      <c r="J136" s="200" t="str">
        <f>IF(E136="","",IF(AND(U136&lt;=66),VLOOKUP(I136,'H&amp;R Look Up'!$A$13:$B$21,2,TRUE),IF(AND(U136&gt;=67,U136&lt;=72),VLOOKUP(I136,'H&amp;R Look Up'!$E$13:$F$20,2,TRUE),IF(AND(U136&gt;=73,U136&lt;=78),VLOOKUP(I136,'H&amp;R Look Up'!$I$13:$J$19,2,TRUE),IF(AND(U136&gt;=79),VLOOKUP(I136,'H&amp;R Look Up'!$M$13:$N$18,2,TRUE),"")))))</f>
        <v/>
      </c>
      <c r="U136" s="222" t="str">
        <f t="shared" si="3"/>
        <v/>
      </c>
    </row>
    <row r="137" spans="1:21" s="108" customFormat="1" ht="15.75">
      <c r="A137" s="119"/>
      <c r="B137" s="120"/>
      <c r="C137" s="111"/>
      <c r="D137" s="111"/>
      <c r="E137" s="121"/>
      <c r="F137" s="121"/>
      <c r="G137" s="113"/>
      <c r="H137" s="104"/>
      <c r="I137" s="219"/>
      <c r="J137" s="200" t="str">
        <f>IF(E137="","",IF(AND(U137&lt;=66),VLOOKUP(I137,'H&amp;R Look Up'!$A$13:$B$21,2,TRUE),IF(AND(U137&gt;=67,U137&lt;=72),VLOOKUP(I137,'H&amp;R Look Up'!$E$13:$F$20,2,TRUE),IF(AND(U137&gt;=73,U137&lt;=78),VLOOKUP(I137,'H&amp;R Look Up'!$I$13:$J$19,2,TRUE),IF(AND(U137&gt;=79),VLOOKUP(I137,'H&amp;R Look Up'!$M$13:$N$18,2,TRUE),"")))))</f>
        <v/>
      </c>
      <c r="U137" s="222" t="str">
        <f t="shared" si="3"/>
        <v/>
      </c>
    </row>
    <row r="138" spans="1:21" s="108" customFormat="1" ht="15.75">
      <c r="A138" s="119"/>
      <c r="B138" s="120"/>
      <c r="C138" s="111"/>
      <c r="D138" s="111"/>
      <c r="E138" s="121"/>
      <c r="F138" s="121"/>
      <c r="G138" s="113"/>
      <c r="H138" s="104"/>
      <c r="I138" s="219"/>
      <c r="J138" s="200" t="str">
        <f>IF(E138="","",IF(AND(U138&lt;=66),VLOOKUP(I138,'H&amp;R Look Up'!$A$13:$B$21,2,TRUE),IF(AND(U138&gt;=67,U138&lt;=72),VLOOKUP(I138,'H&amp;R Look Up'!$E$13:$F$20,2,TRUE),IF(AND(U138&gt;=73,U138&lt;=78),VLOOKUP(I138,'H&amp;R Look Up'!$I$13:$J$19,2,TRUE),IF(AND(U138&gt;=79),VLOOKUP(I138,'H&amp;R Look Up'!$M$13:$N$18,2,TRUE),"")))))</f>
        <v/>
      </c>
      <c r="U138" s="222" t="str">
        <f t="shared" si="3"/>
        <v/>
      </c>
    </row>
    <row r="139" spans="1:21" s="108" customFormat="1" ht="15.75">
      <c r="A139" s="119"/>
      <c r="B139" s="120"/>
      <c r="C139" s="111"/>
      <c r="D139" s="111"/>
      <c r="E139" s="121"/>
      <c r="F139" s="121"/>
      <c r="G139" s="113"/>
      <c r="H139" s="104"/>
      <c r="I139" s="219"/>
      <c r="J139" s="200" t="str">
        <f>IF(E139="","",IF(AND(U139&lt;=66),VLOOKUP(I139,'H&amp;R Look Up'!$A$13:$B$21,2,TRUE),IF(AND(U139&gt;=67,U139&lt;=72),VLOOKUP(I139,'H&amp;R Look Up'!$E$13:$F$20,2,TRUE),IF(AND(U139&gt;=73,U139&lt;=78),VLOOKUP(I139,'H&amp;R Look Up'!$I$13:$J$19,2,TRUE),IF(AND(U139&gt;=79),VLOOKUP(I139,'H&amp;R Look Up'!$M$13:$N$18,2,TRUE),"")))))</f>
        <v/>
      </c>
      <c r="U139" s="222" t="str">
        <f t="shared" si="3"/>
        <v/>
      </c>
    </row>
    <row r="140" spans="1:21" s="108" customFormat="1" ht="15.75">
      <c r="A140" s="119"/>
      <c r="B140" s="120"/>
      <c r="C140" s="111"/>
      <c r="D140" s="111"/>
      <c r="E140" s="121"/>
      <c r="F140" s="121"/>
      <c r="G140" s="113"/>
      <c r="H140" s="104"/>
      <c r="I140" s="219"/>
      <c r="J140" s="200" t="str">
        <f>IF(E140="","",IF(AND(U140&lt;=66),VLOOKUP(I140,'H&amp;R Look Up'!$A$13:$B$21,2,TRUE),IF(AND(U140&gt;=67,U140&lt;=72),VLOOKUP(I140,'H&amp;R Look Up'!$E$13:$F$20,2,TRUE),IF(AND(U140&gt;=73,U140&lt;=78),VLOOKUP(I140,'H&amp;R Look Up'!$I$13:$J$19,2,TRUE),IF(AND(U140&gt;=79),VLOOKUP(I140,'H&amp;R Look Up'!$M$13:$N$18,2,TRUE),"")))))</f>
        <v/>
      </c>
      <c r="U140" s="222" t="str">
        <f t="shared" si="3"/>
        <v/>
      </c>
    </row>
    <row r="141" spans="1:21" s="108" customFormat="1" ht="15.75">
      <c r="A141" s="119"/>
      <c r="B141" s="120"/>
      <c r="C141" s="111"/>
      <c r="D141" s="111"/>
      <c r="E141" s="121"/>
      <c r="F141" s="121"/>
      <c r="G141" s="113"/>
      <c r="H141" s="104"/>
      <c r="I141" s="219"/>
      <c r="J141" s="200" t="str">
        <f>IF(E141="","",IF(AND(U141&lt;=66),VLOOKUP(I141,'H&amp;R Look Up'!$A$13:$B$21,2,TRUE),IF(AND(U141&gt;=67,U141&lt;=72),VLOOKUP(I141,'H&amp;R Look Up'!$E$13:$F$20,2,TRUE),IF(AND(U141&gt;=73,U141&lt;=78),VLOOKUP(I141,'H&amp;R Look Up'!$I$13:$J$19,2,TRUE),IF(AND(U141&gt;=79),VLOOKUP(I141,'H&amp;R Look Up'!$M$13:$N$18,2,TRUE),"")))))</f>
        <v/>
      </c>
      <c r="U141" s="222" t="str">
        <f t="shared" si="3"/>
        <v/>
      </c>
    </row>
    <row r="142" spans="1:21" s="108" customFormat="1" ht="15.75">
      <c r="A142" s="119"/>
      <c r="B142" s="120"/>
      <c r="C142" s="111"/>
      <c r="D142" s="111"/>
      <c r="E142" s="121"/>
      <c r="F142" s="121"/>
      <c r="G142" s="113"/>
      <c r="H142" s="104"/>
      <c r="I142" s="219"/>
      <c r="J142" s="200" t="str">
        <f>IF(E142="","",IF(AND(U142&lt;=66),VLOOKUP(I142,'H&amp;R Look Up'!$A$13:$B$21,2,TRUE),IF(AND(U142&gt;=67,U142&lt;=72),VLOOKUP(I142,'H&amp;R Look Up'!$E$13:$F$20,2,TRUE),IF(AND(U142&gt;=73,U142&lt;=78),VLOOKUP(I142,'H&amp;R Look Up'!$I$13:$J$19,2,TRUE),IF(AND(U142&gt;=79),VLOOKUP(I142,'H&amp;R Look Up'!$M$13:$N$18,2,TRUE),"")))))</f>
        <v/>
      </c>
      <c r="U142" s="222" t="str">
        <f t="shared" si="3"/>
        <v/>
      </c>
    </row>
    <row r="143" spans="1:21" s="108" customFormat="1" ht="15.75">
      <c r="A143" s="119"/>
      <c r="B143" s="120"/>
      <c r="C143" s="111"/>
      <c r="D143" s="111"/>
      <c r="E143" s="121"/>
      <c r="F143" s="121"/>
      <c r="G143" s="113"/>
      <c r="H143" s="104"/>
      <c r="I143" s="219"/>
      <c r="J143" s="200" t="str">
        <f>IF(E143="","",IF(AND(U143&lt;=66),VLOOKUP(I143,'H&amp;R Look Up'!$A$13:$B$21,2,TRUE),IF(AND(U143&gt;=67,U143&lt;=72),VLOOKUP(I143,'H&amp;R Look Up'!$E$13:$F$20,2,TRUE),IF(AND(U143&gt;=73,U143&lt;=78),VLOOKUP(I143,'H&amp;R Look Up'!$I$13:$J$19,2,TRUE),IF(AND(U143&gt;=79),VLOOKUP(I143,'H&amp;R Look Up'!$M$13:$N$18,2,TRUE),"")))))</f>
        <v/>
      </c>
      <c r="U143" s="222" t="str">
        <f t="shared" si="3"/>
        <v/>
      </c>
    </row>
    <row r="144" spans="1:21" s="108" customFormat="1" ht="15.75">
      <c r="A144" s="119"/>
      <c r="B144" s="120"/>
      <c r="C144" s="111"/>
      <c r="D144" s="111"/>
      <c r="E144" s="121"/>
      <c r="F144" s="121"/>
      <c r="G144" s="113"/>
      <c r="H144" s="104"/>
      <c r="I144" s="219"/>
      <c r="J144" s="200" t="str">
        <f>IF(E144="","",IF(AND(U144&lt;=66),VLOOKUP(I144,'H&amp;R Look Up'!$A$13:$B$21,2,TRUE),IF(AND(U144&gt;=67,U144&lt;=72),VLOOKUP(I144,'H&amp;R Look Up'!$E$13:$F$20,2,TRUE),IF(AND(U144&gt;=73,U144&lt;=78),VLOOKUP(I144,'H&amp;R Look Up'!$I$13:$J$19,2,TRUE),IF(AND(U144&gt;=79),VLOOKUP(I144,'H&amp;R Look Up'!$M$13:$N$18,2,TRUE),"")))))</f>
        <v/>
      </c>
      <c r="U144" s="222" t="str">
        <f t="shared" si="3"/>
        <v/>
      </c>
    </row>
    <row r="145" spans="1:21" s="108" customFormat="1" ht="15.75">
      <c r="A145" s="119"/>
      <c r="B145" s="120"/>
      <c r="C145" s="111"/>
      <c r="D145" s="111"/>
      <c r="E145" s="121"/>
      <c r="F145" s="121"/>
      <c r="G145" s="113"/>
      <c r="H145" s="104"/>
      <c r="I145" s="219"/>
      <c r="J145" s="200" t="str">
        <f>IF(E145="","",IF(AND(U145&lt;=66),VLOOKUP(I145,'H&amp;R Look Up'!$A$13:$B$21,2,TRUE),IF(AND(U145&gt;=67,U145&lt;=72),VLOOKUP(I145,'H&amp;R Look Up'!$E$13:$F$20,2,TRUE),IF(AND(U145&gt;=73,U145&lt;=78),VLOOKUP(I145,'H&amp;R Look Up'!$I$13:$J$19,2,TRUE),IF(AND(U145&gt;=79),VLOOKUP(I145,'H&amp;R Look Up'!$M$13:$N$18,2,TRUE),"")))))</f>
        <v/>
      </c>
      <c r="U145" s="222" t="str">
        <f t="shared" si="3"/>
        <v/>
      </c>
    </row>
    <row r="146" spans="1:21" s="108" customFormat="1" ht="15.75">
      <c r="A146" s="119"/>
      <c r="B146" s="120"/>
      <c r="C146" s="111"/>
      <c r="D146" s="111"/>
      <c r="E146" s="121"/>
      <c r="F146" s="121"/>
      <c r="G146" s="113"/>
      <c r="H146" s="104"/>
      <c r="I146" s="219"/>
      <c r="J146" s="200" t="str">
        <f>IF(E146="","",IF(AND(U146&lt;=66),VLOOKUP(I146,'H&amp;R Look Up'!$A$13:$B$21,2,TRUE),IF(AND(U146&gt;=67,U146&lt;=72),VLOOKUP(I146,'H&amp;R Look Up'!$E$13:$F$20,2,TRUE),IF(AND(U146&gt;=73,U146&lt;=78),VLOOKUP(I146,'H&amp;R Look Up'!$I$13:$J$19,2,TRUE),IF(AND(U146&gt;=79),VLOOKUP(I146,'H&amp;R Look Up'!$M$13:$N$18,2,TRUE),"")))))</f>
        <v/>
      </c>
      <c r="U146" s="222" t="str">
        <f t="shared" si="3"/>
        <v/>
      </c>
    </row>
    <row r="147" spans="1:21" s="108" customFormat="1" ht="15.75">
      <c r="A147" s="119"/>
      <c r="B147" s="120"/>
      <c r="C147" s="111"/>
      <c r="D147" s="111"/>
      <c r="E147" s="121"/>
      <c r="F147" s="121"/>
      <c r="G147" s="113"/>
      <c r="H147" s="104"/>
      <c r="I147" s="219"/>
      <c r="J147" s="200" t="str">
        <f>IF(E147="","",IF(AND(U147&lt;=66),VLOOKUP(I147,'H&amp;R Look Up'!$A$13:$B$21,2,TRUE),IF(AND(U147&gt;=67,U147&lt;=72),VLOOKUP(I147,'H&amp;R Look Up'!$E$13:$F$20,2,TRUE),IF(AND(U147&gt;=73,U147&lt;=78),VLOOKUP(I147,'H&amp;R Look Up'!$I$13:$J$19,2,TRUE),IF(AND(U147&gt;=79),VLOOKUP(I147,'H&amp;R Look Up'!$M$13:$N$18,2,TRUE),"")))))</f>
        <v/>
      </c>
      <c r="U147" s="222" t="str">
        <f t="shared" si="3"/>
        <v/>
      </c>
    </row>
    <row r="148" spans="1:21" s="108" customFormat="1" ht="15.75">
      <c r="A148" s="119"/>
      <c r="B148" s="120"/>
      <c r="C148" s="111"/>
      <c r="D148" s="111"/>
      <c r="E148" s="121"/>
      <c r="F148" s="121"/>
      <c r="G148" s="113"/>
      <c r="H148" s="104"/>
      <c r="I148" s="219"/>
      <c r="J148" s="200" t="str">
        <f>IF(E148="","",IF(AND(U148&lt;=66),VLOOKUP(I148,'H&amp;R Look Up'!$A$13:$B$21,2,TRUE),IF(AND(U148&gt;=67,U148&lt;=72),VLOOKUP(I148,'H&amp;R Look Up'!$E$13:$F$20,2,TRUE),IF(AND(U148&gt;=73,U148&lt;=78),VLOOKUP(I148,'H&amp;R Look Up'!$I$13:$J$19,2,TRUE),IF(AND(U148&gt;=79),VLOOKUP(I148,'H&amp;R Look Up'!$M$13:$N$18,2,TRUE),"")))))</f>
        <v/>
      </c>
      <c r="U148" s="222" t="str">
        <f t="shared" si="3"/>
        <v/>
      </c>
    </row>
    <row r="149" spans="1:21" s="108" customFormat="1" ht="15.75">
      <c r="A149" s="119"/>
      <c r="B149" s="120"/>
      <c r="C149" s="111"/>
      <c r="D149" s="111"/>
      <c r="E149" s="121"/>
      <c r="F149" s="121"/>
      <c r="G149" s="113"/>
      <c r="H149" s="104"/>
      <c r="I149" s="219"/>
      <c r="J149" s="200" t="str">
        <f>IF(E149="","",IF(AND(U149&lt;=66),VLOOKUP(I149,'H&amp;R Look Up'!$A$13:$B$21,2,TRUE),IF(AND(U149&gt;=67,U149&lt;=72),VLOOKUP(I149,'H&amp;R Look Up'!$E$13:$F$20,2,TRUE),IF(AND(U149&gt;=73,U149&lt;=78),VLOOKUP(I149,'H&amp;R Look Up'!$I$13:$J$19,2,TRUE),IF(AND(U149&gt;=79),VLOOKUP(I149,'H&amp;R Look Up'!$M$13:$N$18,2,TRUE),"")))))</f>
        <v/>
      </c>
      <c r="U149" s="222" t="str">
        <f t="shared" si="3"/>
        <v/>
      </c>
    </row>
    <row r="150" spans="1:21" s="108" customFormat="1" ht="15.75">
      <c r="A150" s="119"/>
      <c r="B150" s="120"/>
      <c r="C150" s="111"/>
      <c r="D150" s="111"/>
      <c r="E150" s="121"/>
      <c r="F150" s="121"/>
      <c r="G150" s="113"/>
      <c r="H150" s="104"/>
      <c r="I150" s="219"/>
      <c r="J150" s="200" t="str">
        <f>IF(E150="","",IF(AND(U150&lt;=66),VLOOKUP(I150,'H&amp;R Look Up'!$A$13:$B$21,2,TRUE),IF(AND(U150&gt;=67,U150&lt;=72),VLOOKUP(I150,'H&amp;R Look Up'!$E$13:$F$20,2,TRUE),IF(AND(U150&gt;=73,U150&lt;=78),VLOOKUP(I150,'H&amp;R Look Up'!$I$13:$J$19,2,TRUE),IF(AND(U150&gt;=79),VLOOKUP(I150,'H&amp;R Look Up'!$M$13:$N$18,2,TRUE),"")))))</f>
        <v/>
      </c>
      <c r="U150" s="222" t="str">
        <f t="shared" si="3"/>
        <v/>
      </c>
    </row>
    <row r="151" spans="1:21" s="108" customFormat="1" ht="15.75">
      <c r="A151" s="119"/>
      <c r="B151" s="120"/>
      <c r="C151" s="111"/>
      <c r="D151" s="111"/>
      <c r="E151" s="121"/>
      <c r="F151" s="121"/>
      <c r="G151" s="113"/>
      <c r="H151" s="104"/>
      <c r="I151" s="219"/>
      <c r="J151" s="200" t="str">
        <f>IF(E151="","",IF(AND(U151&lt;=66),VLOOKUP(I151,'H&amp;R Look Up'!$A$13:$B$21,2,TRUE),IF(AND(U151&gt;=67,U151&lt;=72),VLOOKUP(I151,'H&amp;R Look Up'!$E$13:$F$20,2,TRUE),IF(AND(U151&gt;=73,U151&lt;=78),VLOOKUP(I151,'H&amp;R Look Up'!$I$13:$J$19,2,TRUE),IF(AND(U151&gt;=79),VLOOKUP(I151,'H&amp;R Look Up'!$M$13:$N$18,2,TRUE),"")))))</f>
        <v/>
      </c>
      <c r="U151" s="222" t="str">
        <f t="shared" si="3"/>
        <v/>
      </c>
    </row>
    <row r="152" spans="1:21" s="108" customFormat="1" ht="15.75">
      <c r="A152" s="119"/>
      <c r="B152" s="120"/>
      <c r="C152" s="111"/>
      <c r="D152" s="111"/>
      <c r="E152" s="121"/>
      <c r="F152" s="121"/>
      <c r="G152" s="113"/>
      <c r="H152" s="104"/>
      <c r="I152" s="219"/>
      <c r="J152" s="200" t="str">
        <f>IF(E152="","",IF(AND(U152&lt;=66),VLOOKUP(I152,'H&amp;R Look Up'!$A$13:$B$21,2,TRUE),IF(AND(U152&gt;=67,U152&lt;=72),VLOOKUP(I152,'H&amp;R Look Up'!$E$13:$F$20,2,TRUE),IF(AND(U152&gt;=73,U152&lt;=78),VLOOKUP(I152,'H&amp;R Look Up'!$I$13:$J$19,2,TRUE),IF(AND(U152&gt;=79),VLOOKUP(I152,'H&amp;R Look Up'!$M$13:$N$18,2,TRUE),"")))))</f>
        <v/>
      </c>
      <c r="U152" s="222" t="str">
        <f t="shared" si="3"/>
        <v/>
      </c>
    </row>
    <row r="153" spans="1:21" s="108" customFormat="1" ht="15.75">
      <c r="A153" s="119"/>
      <c r="B153" s="120"/>
      <c r="C153" s="111"/>
      <c r="D153" s="111"/>
      <c r="E153" s="121"/>
      <c r="F153" s="121"/>
      <c r="G153" s="113"/>
      <c r="H153" s="104"/>
      <c r="I153" s="219"/>
      <c r="J153" s="200" t="str">
        <f>IF(E153="","",IF(AND(U153&lt;=66),VLOOKUP(I153,'H&amp;R Look Up'!$A$13:$B$21,2,TRUE),IF(AND(U153&gt;=67,U153&lt;=72),VLOOKUP(I153,'H&amp;R Look Up'!$E$13:$F$20,2,TRUE),IF(AND(U153&gt;=73,U153&lt;=78),VLOOKUP(I153,'H&amp;R Look Up'!$I$13:$J$19,2,TRUE),IF(AND(U153&gt;=79),VLOOKUP(I153,'H&amp;R Look Up'!$M$13:$N$18,2,TRUE),"")))))</f>
        <v/>
      </c>
      <c r="U153" s="222" t="str">
        <f t="shared" si="3"/>
        <v/>
      </c>
    </row>
    <row r="154" spans="1:21" s="108" customFormat="1" ht="15.75">
      <c r="A154" s="119"/>
      <c r="B154" s="120"/>
      <c r="C154" s="111"/>
      <c r="D154" s="111"/>
      <c r="E154" s="121"/>
      <c r="F154" s="121"/>
      <c r="G154" s="113"/>
      <c r="H154" s="104"/>
      <c r="I154" s="219"/>
      <c r="J154" s="200" t="str">
        <f>IF(E154="","",IF(AND(U154&lt;=66),VLOOKUP(I154,'H&amp;R Look Up'!$A$13:$B$21,2,TRUE),IF(AND(U154&gt;=67,U154&lt;=72),VLOOKUP(I154,'H&amp;R Look Up'!$E$13:$F$20,2,TRUE),IF(AND(U154&gt;=73,U154&lt;=78),VLOOKUP(I154,'H&amp;R Look Up'!$I$13:$J$19,2,TRUE),IF(AND(U154&gt;=79),VLOOKUP(I154,'H&amp;R Look Up'!$M$13:$N$18,2,TRUE),"")))))</f>
        <v/>
      </c>
      <c r="U154" s="222" t="str">
        <f t="shared" si="3"/>
        <v/>
      </c>
    </row>
    <row r="155" spans="1:21" s="108" customFormat="1" ht="15.75">
      <c r="A155" s="119"/>
      <c r="B155" s="120"/>
      <c r="C155" s="111"/>
      <c r="D155" s="111"/>
      <c r="E155" s="121"/>
      <c r="F155" s="121"/>
      <c r="G155" s="113"/>
      <c r="H155" s="104"/>
      <c r="I155" s="219"/>
      <c r="J155" s="200" t="str">
        <f>IF(E155="","",IF(AND(U155&lt;=66),VLOOKUP(I155,'H&amp;R Look Up'!$A$13:$B$21,2,TRUE),IF(AND(U155&gt;=67,U155&lt;=72),VLOOKUP(I155,'H&amp;R Look Up'!$E$13:$F$20,2,TRUE),IF(AND(U155&gt;=73,U155&lt;=78),VLOOKUP(I155,'H&amp;R Look Up'!$I$13:$J$19,2,TRUE),IF(AND(U155&gt;=79),VLOOKUP(I155,'H&amp;R Look Up'!$M$13:$N$18,2,TRUE),"")))))</f>
        <v/>
      </c>
      <c r="U155" s="222" t="str">
        <f t="shared" si="3"/>
        <v/>
      </c>
    </row>
    <row r="156" spans="1:21" s="108" customFormat="1" ht="15.75">
      <c r="A156" s="119"/>
      <c r="B156" s="120"/>
      <c r="C156" s="111"/>
      <c r="D156" s="111"/>
      <c r="E156" s="121"/>
      <c r="F156" s="121"/>
      <c r="G156" s="113"/>
      <c r="H156" s="104"/>
      <c r="I156" s="219"/>
      <c r="J156" s="200" t="str">
        <f>IF(E156="","",IF(AND(U156&lt;=66),VLOOKUP(I156,'H&amp;R Look Up'!$A$13:$B$21,2,TRUE),IF(AND(U156&gt;=67,U156&lt;=72),VLOOKUP(I156,'H&amp;R Look Up'!$E$13:$F$20,2,TRUE),IF(AND(U156&gt;=73,U156&lt;=78),VLOOKUP(I156,'H&amp;R Look Up'!$I$13:$J$19,2,TRUE),IF(AND(U156&gt;=79),VLOOKUP(I156,'H&amp;R Look Up'!$M$13:$N$18,2,TRUE),"")))))</f>
        <v/>
      </c>
      <c r="U156" s="222" t="str">
        <f t="shared" si="3"/>
        <v/>
      </c>
    </row>
    <row r="157" spans="1:21" s="108" customFormat="1" ht="15.75">
      <c r="A157" s="119"/>
      <c r="B157" s="120"/>
      <c r="C157" s="111"/>
      <c r="D157" s="111"/>
      <c r="E157" s="121"/>
      <c r="F157" s="121"/>
      <c r="G157" s="113"/>
      <c r="H157" s="104"/>
      <c r="I157" s="219"/>
      <c r="J157" s="200" t="str">
        <f>IF(E157="","",IF(AND(U157&lt;=66),VLOOKUP(I157,'H&amp;R Look Up'!$A$13:$B$21,2,TRUE),IF(AND(U157&gt;=67,U157&lt;=72),VLOOKUP(I157,'H&amp;R Look Up'!$E$13:$F$20,2,TRUE),IF(AND(U157&gt;=73,U157&lt;=78),VLOOKUP(I157,'H&amp;R Look Up'!$I$13:$J$19,2,TRUE),IF(AND(U157&gt;=79),VLOOKUP(I157,'H&amp;R Look Up'!$M$13:$N$18,2,TRUE),"")))))</f>
        <v/>
      </c>
      <c r="U157" s="222" t="str">
        <f t="shared" si="3"/>
        <v/>
      </c>
    </row>
    <row r="158" spans="1:21" s="108" customFormat="1" ht="15.75">
      <c r="A158" s="119"/>
      <c r="B158" s="120"/>
      <c r="C158" s="111"/>
      <c r="D158" s="111"/>
      <c r="E158" s="121"/>
      <c r="F158" s="121"/>
      <c r="G158" s="113"/>
      <c r="H158" s="104"/>
      <c r="I158" s="219"/>
      <c r="J158" s="200" t="str">
        <f>IF(E158="","",IF(AND(U158&lt;=66),VLOOKUP(I158,'H&amp;R Look Up'!$A$13:$B$21,2,TRUE),IF(AND(U158&gt;=67,U158&lt;=72),VLOOKUP(I158,'H&amp;R Look Up'!$E$13:$F$20,2,TRUE),IF(AND(U158&gt;=73,U158&lt;=78),VLOOKUP(I158,'H&amp;R Look Up'!$I$13:$J$19,2,TRUE),IF(AND(U158&gt;=79),VLOOKUP(I158,'H&amp;R Look Up'!$M$13:$N$18,2,TRUE),"")))))</f>
        <v/>
      </c>
      <c r="U158" s="222" t="str">
        <f t="shared" si="3"/>
        <v/>
      </c>
    </row>
    <row r="159" spans="1:21" s="108" customFormat="1" ht="15.75">
      <c r="A159" s="119"/>
      <c r="B159" s="120"/>
      <c r="C159" s="111"/>
      <c r="D159" s="111"/>
      <c r="E159" s="121"/>
      <c r="F159" s="121"/>
      <c r="G159" s="113"/>
      <c r="H159" s="104"/>
      <c r="I159" s="219"/>
      <c r="J159" s="200" t="str">
        <f>IF(E159="","",IF(AND(U159&lt;=66),VLOOKUP(I159,'H&amp;R Look Up'!$A$13:$B$21,2,TRUE),IF(AND(U159&gt;=67,U159&lt;=72),VLOOKUP(I159,'H&amp;R Look Up'!$E$13:$F$20,2,TRUE),IF(AND(U159&gt;=73,U159&lt;=78),VLOOKUP(I159,'H&amp;R Look Up'!$I$13:$J$19,2,TRUE),IF(AND(U159&gt;=79),VLOOKUP(I159,'H&amp;R Look Up'!$M$13:$N$18,2,TRUE),"")))))</f>
        <v/>
      </c>
      <c r="U159" s="222" t="str">
        <f t="shared" si="3"/>
        <v/>
      </c>
    </row>
    <row r="160" spans="1:21" s="108" customFormat="1" ht="15.75">
      <c r="A160" s="119"/>
      <c r="B160" s="120"/>
      <c r="C160" s="111"/>
      <c r="D160" s="111"/>
      <c r="E160" s="121"/>
      <c r="F160" s="121"/>
      <c r="G160" s="113"/>
      <c r="H160" s="104"/>
      <c r="I160" s="219"/>
      <c r="J160" s="200" t="str">
        <f>IF(E160="","",IF(AND(U160&lt;=66),VLOOKUP(I160,'H&amp;R Look Up'!$A$13:$B$21,2,TRUE),IF(AND(U160&gt;=67,U160&lt;=72),VLOOKUP(I160,'H&amp;R Look Up'!$E$13:$F$20,2,TRUE),IF(AND(U160&gt;=73,U160&lt;=78),VLOOKUP(I160,'H&amp;R Look Up'!$I$13:$J$19,2,TRUE),IF(AND(U160&gt;=79),VLOOKUP(I160,'H&amp;R Look Up'!$M$13:$N$18,2,TRUE),"")))))</f>
        <v/>
      </c>
      <c r="U160" s="222" t="str">
        <f t="shared" si="3"/>
        <v/>
      </c>
    </row>
    <row r="161" spans="1:21" s="108" customFormat="1" ht="15.75">
      <c r="A161" s="119"/>
      <c r="B161" s="120"/>
      <c r="C161" s="111"/>
      <c r="D161" s="111"/>
      <c r="E161" s="121"/>
      <c r="F161" s="121"/>
      <c r="G161" s="113"/>
      <c r="H161" s="104"/>
      <c r="I161" s="219"/>
      <c r="J161" s="200" t="str">
        <f>IF(E161="","",IF(AND(U161&lt;=66),VLOOKUP(I161,'H&amp;R Look Up'!$A$13:$B$21,2,TRUE),IF(AND(U161&gt;=67,U161&lt;=72),VLOOKUP(I161,'H&amp;R Look Up'!$E$13:$F$20,2,TRUE),IF(AND(U161&gt;=73,U161&lt;=78),VLOOKUP(I161,'H&amp;R Look Up'!$I$13:$J$19,2,TRUE),IF(AND(U161&gt;=79),VLOOKUP(I161,'H&amp;R Look Up'!$M$13:$N$18,2,TRUE),"")))))</f>
        <v/>
      </c>
      <c r="U161" s="222" t="str">
        <f t="shared" si="3"/>
        <v/>
      </c>
    </row>
    <row r="162" spans="1:21" s="108" customFormat="1" ht="15.75">
      <c r="A162" s="119"/>
      <c r="B162" s="120"/>
      <c r="C162" s="111"/>
      <c r="D162" s="111"/>
      <c r="E162" s="121"/>
      <c r="F162" s="121"/>
      <c r="G162" s="113"/>
      <c r="H162" s="104"/>
      <c r="I162" s="219"/>
      <c r="J162" s="200" t="str">
        <f>IF(E162="","",IF(AND(U162&lt;=66),VLOOKUP(I162,'H&amp;R Look Up'!$A$13:$B$21,2,TRUE),IF(AND(U162&gt;=67,U162&lt;=72),VLOOKUP(I162,'H&amp;R Look Up'!$E$13:$F$20,2,TRUE),IF(AND(U162&gt;=73,U162&lt;=78),VLOOKUP(I162,'H&amp;R Look Up'!$I$13:$J$19,2,TRUE),IF(AND(U162&gt;=79),VLOOKUP(I162,'H&amp;R Look Up'!$M$13:$N$18,2,TRUE),"")))))</f>
        <v/>
      </c>
      <c r="U162" s="222" t="str">
        <f t="shared" si="3"/>
        <v/>
      </c>
    </row>
    <row r="163" spans="1:21" s="108" customFormat="1" ht="15.75">
      <c r="A163" s="119"/>
      <c r="B163" s="120"/>
      <c r="C163" s="111"/>
      <c r="D163" s="111"/>
      <c r="E163" s="121"/>
      <c r="F163" s="121"/>
      <c r="G163" s="113"/>
      <c r="H163" s="104"/>
      <c r="I163" s="219"/>
      <c r="J163" s="200" t="str">
        <f>IF(E163="","",IF(AND(U163&lt;=66),VLOOKUP(I163,'H&amp;R Look Up'!$A$13:$B$21,2,TRUE),IF(AND(U163&gt;=67,U163&lt;=72),VLOOKUP(I163,'H&amp;R Look Up'!$E$13:$F$20,2,TRUE),IF(AND(U163&gt;=73,U163&lt;=78),VLOOKUP(I163,'H&amp;R Look Up'!$I$13:$J$19,2,TRUE),IF(AND(U163&gt;=79),VLOOKUP(I163,'H&amp;R Look Up'!$M$13:$N$18,2,TRUE),"")))))</f>
        <v/>
      </c>
      <c r="U163" s="222" t="str">
        <f t="shared" si="3"/>
        <v/>
      </c>
    </row>
    <row r="164" spans="1:21" s="108" customFormat="1" ht="15.75">
      <c r="A164" s="119"/>
      <c r="B164" s="120"/>
      <c r="C164" s="111"/>
      <c r="D164" s="111"/>
      <c r="E164" s="121"/>
      <c r="F164" s="121"/>
      <c r="G164" s="113"/>
      <c r="H164" s="104"/>
      <c r="I164" s="219"/>
      <c r="J164" s="200" t="str">
        <f>IF(E164="","",IF(AND(U164&lt;=66),VLOOKUP(I164,'H&amp;R Look Up'!$A$13:$B$21,2,TRUE),IF(AND(U164&gt;=67,U164&lt;=72),VLOOKUP(I164,'H&amp;R Look Up'!$E$13:$F$20,2,TRUE),IF(AND(U164&gt;=73,U164&lt;=78),VLOOKUP(I164,'H&amp;R Look Up'!$I$13:$J$19,2,TRUE),IF(AND(U164&gt;=79),VLOOKUP(I164,'H&amp;R Look Up'!$M$13:$N$18,2,TRUE),"")))))</f>
        <v/>
      </c>
      <c r="U164" s="222" t="str">
        <f t="shared" si="3"/>
        <v/>
      </c>
    </row>
    <row r="165" spans="1:21" s="108" customFormat="1" ht="15.75">
      <c r="A165" s="119"/>
      <c r="B165" s="120"/>
      <c r="C165" s="111"/>
      <c r="D165" s="111"/>
      <c r="E165" s="121"/>
      <c r="F165" s="121"/>
      <c r="G165" s="113"/>
      <c r="H165" s="104"/>
      <c r="I165" s="219"/>
      <c r="J165" s="200" t="str">
        <f>IF(E165="","",IF(AND(U165&lt;=66),VLOOKUP(I165,'H&amp;R Look Up'!$A$13:$B$21,2,TRUE),IF(AND(U165&gt;=67,U165&lt;=72),VLOOKUP(I165,'H&amp;R Look Up'!$E$13:$F$20,2,TRUE),IF(AND(U165&gt;=73,U165&lt;=78),VLOOKUP(I165,'H&amp;R Look Up'!$I$13:$J$19,2,TRUE),IF(AND(U165&gt;=79),VLOOKUP(I165,'H&amp;R Look Up'!$M$13:$N$18,2,TRUE),"")))))</f>
        <v/>
      </c>
      <c r="U165" s="222" t="str">
        <f t="shared" si="3"/>
        <v/>
      </c>
    </row>
    <row r="166" spans="1:21" s="108" customFormat="1" ht="15.75">
      <c r="A166" s="119"/>
      <c r="B166" s="120"/>
      <c r="C166" s="111"/>
      <c r="D166" s="111"/>
      <c r="E166" s="121"/>
      <c r="F166" s="121"/>
      <c r="G166" s="113"/>
      <c r="H166" s="104"/>
      <c r="I166" s="219"/>
      <c r="J166" s="200" t="str">
        <f>IF(E166="","",IF(AND(U166&lt;=66),VLOOKUP(I166,'H&amp;R Look Up'!$A$13:$B$21,2,TRUE),IF(AND(U166&gt;=67,U166&lt;=72),VLOOKUP(I166,'H&amp;R Look Up'!$E$13:$F$20,2,TRUE),IF(AND(U166&gt;=73,U166&lt;=78),VLOOKUP(I166,'H&amp;R Look Up'!$I$13:$J$19,2,TRUE),IF(AND(U166&gt;=79),VLOOKUP(I166,'H&amp;R Look Up'!$M$13:$N$18,2,TRUE),"")))))</f>
        <v/>
      </c>
      <c r="U166" s="222" t="str">
        <f t="shared" si="3"/>
        <v/>
      </c>
    </row>
    <row r="167" spans="1:21" s="108" customFormat="1" ht="15.75">
      <c r="A167" s="119"/>
      <c r="B167" s="120"/>
      <c r="C167" s="111"/>
      <c r="D167" s="111"/>
      <c r="E167" s="121"/>
      <c r="F167" s="121"/>
      <c r="G167" s="113"/>
      <c r="H167" s="104"/>
      <c r="I167" s="219"/>
      <c r="J167" s="200" t="str">
        <f>IF(E167="","",IF(AND(U167&lt;=66),VLOOKUP(I167,'H&amp;R Look Up'!$A$13:$B$21,2,TRUE),IF(AND(U167&gt;=67,U167&lt;=72),VLOOKUP(I167,'H&amp;R Look Up'!$E$13:$F$20,2,TRUE),IF(AND(U167&gt;=73,U167&lt;=78),VLOOKUP(I167,'H&amp;R Look Up'!$I$13:$J$19,2,TRUE),IF(AND(U167&gt;=79),VLOOKUP(I167,'H&amp;R Look Up'!$M$13:$N$18,2,TRUE),"")))))</f>
        <v/>
      </c>
      <c r="U167" s="222" t="str">
        <f t="shared" si="3"/>
        <v/>
      </c>
    </row>
    <row r="168" spans="1:21" s="108" customFormat="1" ht="15.75">
      <c r="A168" s="119"/>
      <c r="B168" s="120"/>
      <c r="C168" s="111"/>
      <c r="D168" s="111"/>
      <c r="E168" s="121"/>
      <c r="F168" s="121"/>
      <c r="G168" s="113"/>
      <c r="H168" s="104"/>
      <c r="I168" s="219"/>
      <c r="J168" s="200" t="str">
        <f>IF(E168="","",IF(AND(U168&lt;=66),VLOOKUP(I168,'H&amp;R Look Up'!$A$13:$B$21,2,TRUE),IF(AND(U168&gt;=67,U168&lt;=72),VLOOKUP(I168,'H&amp;R Look Up'!$E$13:$F$20,2,TRUE),IF(AND(U168&gt;=73,U168&lt;=78),VLOOKUP(I168,'H&amp;R Look Up'!$I$13:$J$19,2,TRUE),IF(AND(U168&gt;=79),VLOOKUP(I168,'H&amp;R Look Up'!$M$13:$N$18,2,TRUE),"")))))</f>
        <v/>
      </c>
      <c r="U168" s="222" t="str">
        <f t="shared" si="3"/>
        <v/>
      </c>
    </row>
    <row r="169" spans="1:21" s="108" customFormat="1" ht="15.75">
      <c r="A169" s="119"/>
      <c r="B169" s="120"/>
      <c r="C169" s="111"/>
      <c r="D169" s="111"/>
      <c r="E169" s="121"/>
      <c r="F169" s="121"/>
      <c r="G169" s="113"/>
      <c r="H169" s="104"/>
      <c r="I169" s="219"/>
      <c r="J169" s="200" t="str">
        <f>IF(E169="","",IF(AND(U169&lt;=66),VLOOKUP(I169,'H&amp;R Look Up'!$A$13:$B$21,2,TRUE),IF(AND(U169&gt;=67,U169&lt;=72),VLOOKUP(I169,'H&amp;R Look Up'!$E$13:$F$20,2,TRUE),IF(AND(U169&gt;=73,U169&lt;=78),VLOOKUP(I169,'H&amp;R Look Up'!$I$13:$J$19,2,TRUE),IF(AND(U169&gt;=79),VLOOKUP(I169,'H&amp;R Look Up'!$M$13:$N$18,2,TRUE),"")))))</f>
        <v/>
      </c>
      <c r="U169" s="222" t="str">
        <f t="shared" si="3"/>
        <v/>
      </c>
    </row>
    <row r="170" spans="1:21" s="108" customFormat="1" ht="15.75">
      <c r="A170" s="119"/>
      <c r="B170" s="120"/>
      <c r="C170" s="111"/>
      <c r="D170" s="111"/>
      <c r="E170" s="121"/>
      <c r="F170" s="121"/>
      <c r="G170" s="113"/>
      <c r="H170" s="104"/>
      <c r="I170" s="219"/>
      <c r="J170" s="200" t="str">
        <f>IF(E170="","",IF(AND(U170&lt;=66),VLOOKUP(I170,'H&amp;R Look Up'!$A$13:$B$21,2,TRUE),IF(AND(U170&gt;=67,U170&lt;=72),VLOOKUP(I170,'H&amp;R Look Up'!$E$13:$F$20,2,TRUE),IF(AND(U170&gt;=73,U170&lt;=78),VLOOKUP(I170,'H&amp;R Look Up'!$I$13:$J$19,2,TRUE),IF(AND(U170&gt;=79),VLOOKUP(I170,'H&amp;R Look Up'!$M$13:$N$18,2,TRUE),"")))))</f>
        <v/>
      </c>
      <c r="U170" s="222" t="str">
        <f t="shared" si="3"/>
        <v/>
      </c>
    </row>
    <row r="171" spans="1:21" s="108" customFormat="1" ht="15.75">
      <c r="A171" s="119"/>
      <c r="B171" s="120"/>
      <c r="C171" s="111"/>
      <c r="D171" s="111"/>
      <c r="E171" s="121"/>
      <c r="F171" s="121"/>
      <c r="G171" s="113"/>
      <c r="H171" s="104"/>
      <c r="I171" s="219"/>
      <c r="J171" s="200" t="str">
        <f>IF(E171="","",IF(AND(U171&lt;=66),VLOOKUP(I171,'H&amp;R Look Up'!$A$13:$B$21,2,TRUE),IF(AND(U171&gt;=67,U171&lt;=72),VLOOKUP(I171,'H&amp;R Look Up'!$E$13:$F$20,2,TRUE),IF(AND(U171&gt;=73,U171&lt;=78),VLOOKUP(I171,'H&amp;R Look Up'!$I$13:$J$19,2,TRUE),IF(AND(U171&gt;=79),VLOOKUP(I171,'H&amp;R Look Up'!$M$13:$N$18,2,TRUE),"")))))</f>
        <v/>
      </c>
      <c r="U171" s="222" t="str">
        <f t="shared" si="3"/>
        <v/>
      </c>
    </row>
    <row r="172" spans="1:21" s="108" customFormat="1" ht="15.75">
      <c r="A172" s="119"/>
      <c r="B172" s="120"/>
      <c r="C172" s="111"/>
      <c r="D172" s="111"/>
      <c r="E172" s="121"/>
      <c r="F172" s="121"/>
      <c r="G172" s="113"/>
      <c r="H172" s="104"/>
      <c r="I172" s="219"/>
      <c r="J172" s="200" t="str">
        <f>IF(E172="","",IF(AND(U172&lt;=66),VLOOKUP(I172,'H&amp;R Look Up'!$A$13:$B$21,2,TRUE),IF(AND(U172&gt;=67,U172&lt;=72),VLOOKUP(I172,'H&amp;R Look Up'!$E$13:$F$20,2,TRUE),IF(AND(U172&gt;=73,U172&lt;=78),VLOOKUP(I172,'H&amp;R Look Up'!$I$13:$J$19,2,TRUE),IF(AND(U172&gt;=79),VLOOKUP(I172,'H&amp;R Look Up'!$M$13:$N$18,2,TRUE),"")))))</f>
        <v/>
      </c>
      <c r="U172" s="222" t="str">
        <f t="shared" si="3"/>
        <v/>
      </c>
    </row>
    <row r="173" spans="1:21" s="108" customFormat="1" ht="15.75">
      <c r="A173" s="119"/>
      <c r="B173" s="120"/>
      <c r="C173" s="111"/>
      <c r="D173" s="111"/>
      <c r="E173" s="121"/>
      <c r="F173" s="121"/>
      <c r="G173" s="113"/>
      <c r="H173" s="104"/>
      <c r="I173" s="219"/>
      <c r="J173" s="200" t="str">
        <f>IF(E173="","",IF(AND(U173&lt;=66),VLOOKUP(I173,'H&amp;R Look Up'!$A$13:$B$21,2,TRUE),IF(AND(U173&gt;=67,U173&lt;=72),VLOOKUP(I173,'H&amp;R Look Up'!$E$13:$F$20,2,TRUE),IF(AND(U173&gt;=73,U173&lt;=78),VLOOKUP(I173,'H&amp;R Look Up'!$I$13:$J$19,2,TRUE),IF(AND(U173&gt;=79),VLOOKUP(I173,'H&amp;R Look Up'!$M$13:$N$18,2,TRUE),"")))))</f>
        <v/>
      </c>
      <c r="U173" s="222" t="str">
        <f t="shared" si="3"/>
        <v/>
      </c>
    </row>
    <row r="174" spans="1:21" s="108" customFormat="1" ht="15.75">
      <c r="A174" s="119"/>
      <c r="B174" s="120"/>
      <c r="C174" s="111"/>
      <c r="D174" s="111"/>
      <c r="E174" s="121"/>
      <c r="F174" s="121"/>
      <c r="G174" s="113"/>
      <c r="H174" s="104"/>
      <c r="I174" s="219"/>
      <c r="J174" s="200" t="str">
        <f>IF(E174="","",IF(AND(U174&lt;=66),VLOOKUP(I174,'H&amp;R Look Up'!$A$13:$B$21,2,TRUE),IF(AND(U174&gt;=67,U174&lt;=72),VLOOKUP(I174,'H&amp;R Look Up'!$E$13:$F$20,2,TRUE),IF(AND(U174&gt;=73,U174&lt;=78),VLOOKUP(I174,'H&amp;R Look Up'!$I$13:$J$19,2,TRUE),IF(AND(U174&gt;=79),VLOOKUP(I174,'H&amp;R Look Up'!$M$13:$N$18,2,TRUE),"")))))</f>
        <v/>
      </c>
      <c r="U174" s="222" t="str">
        <f t="shared" si="3"/>
        <v/>
      </c>
    </row>
    <row r="175" spans="1:21" s="108" customFormat="1" ht="15.75">
      <c r="A175" s="119"/>
      <c r="B175" s="120"/>
      <c r="C175" s="111"/>
      <c r="D175" s="111"/>
      <c r="E175" s="121"/>
      <c r="F175" s="121"/>
      <c r="G175" s="113"/>
      <c r="H175" s="104"/>
      <c r="I175" s="219"/>
      <c r="J175" s="200" t="str">
        <f>IF(E175="","",IF(AND(U175&lt;=66),VLOOKUP(I175,'H&amp;R Look Up'!$A$13:$B$21,2,TRUE),IF(AND(U175&gt;=67,U175&lt;=72),VLOOKUP(I175,'H&amp;R Look Up'!$E$13:$F$20,2,TRUE),IF(AND(U175&gt;=73,U175&lt;=78),VLOOKUP(I175,'H&amp;R Look Up'!$I$13:$J$19,2,TRUE),IF(AND(U175&gt;=79),VLOOKUP(I175,'H&amp;R Look Up'!$M$13:$N$18,2,TRUE),"")))))</f>
        <v/>
      </c>
      <c r="U175" s="222" t="str">
        <f t="shared" si="3"/>
        <v/>
      </c>
    </row>
    <row r="176" spans="1:21" s="108" customFormat="1" ht="15.75">
      <c r="A176" s="119"/>
      <c r="B176" s="120"/>
      <c r="C176" s="111"/>
      <c r="D176" s="111"/>
      <c r="E176" s="121"/>
      <c r="F176" s="121"/>
      <c r="G176" s="113"/>
      <c r="H176" s="104"/>
      <c r="I176" s="219"/>
      <c r="J176" s="200" t="str">
        <f>IF(E176="","",IF(AND(U176&lt;=66),VLOOKUP(I176,'H&amp;R Look Up'!$A$13:$B$21,2,TRUE),IF(AND(U176&gt;=67,U176&lt;=72),VLOOKUP(I176,'H&amp;R Look Up'!$E$13:$F$20,2,TRUE),IF(AND(U176&gt;=73,U176&lt;=78),VLOOKUP(I176,'H&amp;R Look Up'!$I$13:$J$19,2,TRUE),IF(AND(U176&gt;=79),VLOOKUP(I176,'H&amp;R Look Up'!$M$13:$N$18,2,TRUE),"")))))</f>
        <v/>
      </c>
      <c r="U176" s="222" t="str">
        <f t="shared" si="3"/>
        <v/>
      </c>
    </row>
    <row r="177" spans="1:21" s="108" customFormat="1" ht="15.75">
      <c r="A177" s="119"/>
      <c r="B177" s="120"/>
      <c r="C177" s="111"/>
      <c r="D177" s="111"/>
      <c r="E177" s="121"/>
      <c r="F177" s="121"/>
      <c r="G177" s="113"/>
      <c r="H177" s="104"/>
      <c r="I177" s="219"/>
      <c r="J177" s="200" t="str">
        <f>IF(E177="","",IF(AND(U177&lt;=66),VLOOKUP(I177,'H&amp;R Look Up'!$A$13:$B$21,2,TRUE),IF(AND(U177&gt;=67,U177&lt;=72),VLOOKUP(I177,'H&amp;R Look Up'!$E$13:$F$20,2,TRUE),IF(AND(U177&gt;=73,U177&lt;=78),VLOOKUP(I177,'H&amp;R Look Up'!$I$13:$J$19,2,TRUE),IF(AND(U177&gt;=79),VLOOKUP(I177,'H&amp;R Look Up'!$M$13:$N$18,2,TRUE),"")))))</f>
        <v/>
      </c>
      <c r="U177" s="222" t="str">
        <f t="shared" si="3"/>
        <v/>
      </c>
    </row>
    <row r="178" spans="1:21" s="108" customFormat="1" ht="15.75">
      <c r="A178" s="119"/>
      <c r="B178" s="120"/>
      <c r="C178" s="111"/>
      <c r="D178" s="111"/>
      <c r="E178" s="121"/>
      <c r="F178" s="121"/>
      <c r="G178" s="113"/>
      <c r="H178" s="104"/>
      <c r="I178" s="219"/>
      <c r="J178" s="200" t="str">
        <f>IF(E178="","",IF(AND(U178&lt;=66),VLOOKUP(I178,'H&amp;R Look Up'!$A$13:$B$21,2,TRUE),IF(AND(U178&gt;=67,U178&lt;=72),VLOOKUP(I178,'H&amp;R Look Up'!$E$13:$F$20,2,TRUE),IF(AND(U178&gt;=73,U178&lt;=78),VLOOKUP(I178,'H&amp;R Look Up'!$I$13:$J$19,2,TRUE),IF(AND(U178&gt;=79),VLOOKUP(I178,'H&amp;R Look Up'!$M$13:$N$18,2,TRUE),"")))))</f>
        <v/>
      </c>
      <c r="U178" s="222" t="str">
        <f t="shared" si="3"/>
        <v/>
      </c>
    </row>
    <row r="179" spans="1:21" s="108" customFormat="1" ht="15.75">
      <c r="A179" s="119"/>
      <c r="B179" s="120"/>
      <c r="C179" s="111"/>
      <c r="D179" s="111"/>
      <c r="E179" s="121"/>
      <c r="F179" s="121"/>
      <c r="G179" s="113"/>
      <c r="H179" s="104"/>
      <c r="I179" s="219"/>
      <c r="J179" s="200" t="str">
        <f>IF(E179="","",IF(AND(U179&lt;=66),VLOOKUP(I179,'H&amp;R Look Up'!$A$13:$B$21,2,TRUE),IF(AND(U179&gt;=67,U179&lt;=72),VLOOKUP(I179,'H&amp;R Look Up'!$E$13:$F$20,2,TRUE),IF(AND(U179&gt;=73,U179&lt;=78),VLOOKUP(I179,'H&amp;R Look Up'!$I$13:$J$19,2,TRUE),IF(AND(U179&gt;=79),VLOOKUP(I179,'H&amp;R Look Up'!$M$13:$N$18,2,TRUE),"")))))</f>
        <v/>
      </c>
      <c r="U179" s="222" t="str">
        <f t="shared" si="3"/>
        <v/>
      </c>
    </row>
    <row r="180" spans="1:21" s="108" customFormat="1" ht="15.75">
      <c r="A180" s="119"/>
      <c r="B180" s="120"/>
      <c r="C180" s="111"/>
      <c r="D180" s="111"/>
      <c r="E180" s="121"/>
      <c r="F180" s="121"/>
      <c r="G180" s="113"/>
      <c r="H180" s="104"/>
      <c r="I180" s="219"/>
      <c r="J180" s="200" t="str">
        <f>IF(E180="","",IF(AND(U180&lt;=66),VLOOKUP(I180,'H&amp;R Look Up'!$A$13:$B$21,2,TRUE),IF(AND(U180&gt;=67,U180&lt;=72),VLOOKUP(I180,'H&amp;R Look Up'!$E$13:$F$20,2,TRUE),IF(AND(U180&gt;=73,U180&lt;=78),VLOOKUP(I180,'H&amp;R Look Up'!$I$13:$J$19,2,TRUE),IF(AND(U180&gt;=79),VLOOKUP(I180,'H&amp;R Look Up'!$M$13:$N$18,2,TRUE),"")))))</f>
        <v/>
      </c>
      <c r="U180" s="222" t="str">
        <f t="shared" si="3"/>
        <v/>
      </c>
    </row>
    <row r="181" spans="1:21" s="108" customFormat="1" ht="15.75">
      <c r="A181" s="119"/>
      <c r="B181" s="120"/>
      <c r="C181" s="111"/>
      <c r="D181" s="111"/>
      <c r="E181" s="121"/>
      <c r="F181" s="121"/>
      <c r="G181" s="113"/>
      <c r="H181" s="104"/>
      <c r="I181" s="219"/>
      <c r="J181" s="200" t="str">
        <f>IF(E181="","",IF(AND(U181&lt;=66),VLOOKUP(I181,'H&amp;R Look Up'!$A$13:$B$21,2,TRUE),IF(AND(U181&gt;=67,U181&lt;=72),VLOOKUP(I181,'H&amp;R Look Up'!$E$13:$F$20,2,TRUE),IF(AND(U181&gt;=73,U181&lt;=78),VLOOKUP(I181,'H&amp;R Look Up'!$I$13:$J$19,2,TRUE),IF(AND(U181&gt;=79),VLOOKUP(I181,'H&amp;R Look Up'!$M$13:$N$18,2,TRUE),"")))))</f>
        <v/>
      </c>
      <c r="U181" s="222" t="str">
        <f t="shared" si="3"/>
        <v/>
      </c>
    </row>
    <row r="182" spans="1:21" s="108" customFormat="1" ht="15.75">
      <c r="A182" s="119"/>
      <c r="B182" s="120"/>
      <c r="C182" s="111"/>
      <c r="D182" s="111"/>
      <c r="E182" s="121"/>
      <c r="F182" s="121"/>
      <c r="G182" s="113"/>
      <c r="H182" s="104"/>
      <c r="I182" s="219"/>
      <c r="J182" s="200" t="str">
        <f>IF(E182="","",IF(AND(U182&lt;=66),VLOOKUP(I182,'H&amp;R Look Up'!$A$13:$B$21,2,TRUE),IF(AND(U182&gt;=67,U182&lt;=72),VLOOKUP(I182,'H&amp;R Look Up'!$E$13:$F$20,2,TRUE),IF(AND(U182&gt;=73,U182&lt;=78),VLOOKUP(I182,'H&amp;R Look Up'!$I$13:$J$19,2,TRUE),IF(AND(U182&gt;=79),VLOOKUP(I182,'H&amp;R Look Up'!$M$13:$N$18,2,TRUE),"")))))</f>
        <v/>
      </c>
      <c r="U182" s="222" t="str">
        <f t="shared" si="3"/>
        <v/>
      </c>
    </row>
    <row r="183" spans="1:21" s="108" customFormat="1" ht="15.75">
      <c r="A183" s="119"/>
      <c r="B183" s="120"/>
      <c r="C183" s="111"/>
      <c r="D183" s="111"/>
      <c r="E183" s="121"/>
      <c r="F183" s="121"/>
      <c r="G183" s="113"/>
      <c r="H183" s="104"/>
      <c r="I183" s="219"/>
      <c r="J183" s="200" t="str">
        <f>IF(E183="","",IF(AND(U183&lt;=66),VLOOKUP(I183,'H&amp;R Look Up'!$A$13:$B$21,2,TRUE),IF(AND(U183&gt;=67,U183&lt;=72),VLOOKUP(I183,'H&amp;R Look Up'!$E$13:$F$20,2,TRUE),IF(AND(U183&gt;=73,U183&lt;=78),VLOOKUP(I183,'H&amp;R Look Up'!$I$13:$J$19,2,TRUE),IF(AND(U183&gt;=79),VLOOKUP(I183,'H&amp;R Look Up'!$M$13:$N$18,2,TRUE),"")))))</f>
        <v/>
      </c>
      <c r="U183" s="222" t="str">
        <f t="shared" si="3"/>
        <v/>
      </c>
    </row>
    <row r="184" spans="1:21" s="108" customFormat="1" ht="15.75">
      <c r="A184" s="119"/>
      <c r="B184" s="120"/>
      <c r="C184" s="111"/>
      <c r="D184" s="111"/>
      <c r="E184" s="121"/>
      <c r="F184" s="121"/>
      <c r="G184" s="113"/>
      <c r="H184" s="104"/>
      <c r="I184" s="219"/>
      <c r="J184" s="200" t="str">
        <f>IF(E184="","",IF(AND(U184&lt;=66),VLOOKUP(I184,'H&amp;R Look Up'!$A$13:$B$21,2,TRUE),IF(AND(U184&gt;=67,U184&lt;=72),VLOOKUP(I184,'H&amp;R Look Up'!$E$13:$F$20,2,TRUE),IF(AND(U184&gt;=73,U184&lt;=78),VLOOKUP(I184,'H&amp;R Look Up'!$I$13:$J$19,2,TRUE),IF(AND(U184&gt;=79),VLOOKUP(I184,'H&amp;R Look Up'!$M$13:$N$18,2,TRUE),"")))))</f>
        <v/>
      </c>
      <c r="U184" s="222" t="str">
        <f t="shared" si="3"/>
        <v/>
      </c>
    </row>
    <row r="185" spans="1:21" s="108" customFormat="1" ht="15.75">
      <c r="A185" s="119"/>
      <c r="B185" s="120"/>
      <c r="C185" s="111"/>
      <c r="D185" s="111"/>
      <c r="E185" s="121"/>
      <c r="F185" s="121"/>
      <c r="G185" s="113"/>
      <c r="H185" s="104"/>
      <c r="I185" s="219"/>
      <c r="J185" s="200" t="str">
        <f>IF(E185="","",IF(AND(U185&lt;=66),VLOOKUP(I185,'H&amp;R Look Up'!$A$13:$B$21,2,TRUE),IF(AND(U185&gt;=67,U185&lt;=72),VLOOKUP(I185,'H&amp;R Look Up'!$E$13:$F$20,2,TRUE),IF(AND(U185&gt;=73,U185&lt;=78),VLOOKUP(I185,'H&amp;R Look Up'!$I$13:$J$19,2,TRUE),IF(AND(U185&gt;=79),VLOOKUP(I185,'H&amp;R Look Up'!$M$13:$N$18,2,TRUE),"")))))</f>
        <v/>
      </c>
      <c r="U185" s="222" t="str">
        <f t="shared" si="3"/>
        <v/>
      </c>
    </row>
    <row r="186" spans="1:21" s="108" customFormat="1" ht="15.75">
      <c r="A186" s="119"/>
      <c r="B186" s="120"/>
      <c r="C186" s="111"/>
      <c r="D186" s="111"/>
      <c r="E186" s="121"/>
      <c r="F186" s="121"/>
      <c r="G186" s="113"/>
      <c r="H186" s="104"/>
      <c r="I186" s="219"/>
      <c r="J186" s="200" t="str">
        <f>IF(E186="","",IF(AND(U186&lt;=66),VLOOKUP(I186,'H&amp;R Look Up'!$A$13:$B$21,2,TRUE),IF(AND(U186&gt;=67,U186&lt;=72),VLOOKUP(I186,'H&amp;R Look Up'!$E$13:$F$20,2,TRUE),IF(AND(U186&gt;=73,U186&lt;=78),VLOOKUP(I186,'H&amp;R Look Up'!$I$13:$J$19,2,TRUE),IF(AND(U186&gt;=79),VLOOKUP(I186,'H&amp;R Look Up'!$M$13:$N$18,2,TRUE),"")))))</f>
        <v/>
      </c>
      <c r="U186" s="222" t="str">
        <f t="shared" si="3"/>
        <v/>
      </c>
    </row>
    <row r="187" spans="1:21" s="108" customFormat="1" ht="15.75">
      <c r="A187" s="119"/>
      <c r="B187" s="120"/>
      <c r="C187" s="111"/>
      <c r="D187" s="111"/>
      <c r="E187" s="121"/>
      <c r="F187" s="121"/>
      <c r="G187" s="113"/>
      <c r="H187" s="104"/>
      <c r="I187" s="219"/>
      <c r="J187" s="200" t="str">
        <f>IF(E187="","",IF(AND(U187&lt;=66),VLOOKUP(I187,'H&amp;R Look Up'!$A$13:$B$21,2,TRUE),IF(AND(U187&gt;=67,U187&lt;=72),VLOOKUP(I187,'H&amp;R Look Up'!$E$13:$F$20,2,TRUE),IF(AND(U187&gt;=73,U187&lt;=78),VLOOKUP(I187,'H&amp;R Look Up'!$I$13:$J$19,2,TRUE),IF(AND(U187&gt;=79),VLOOKUP(I187,'H&amp;R Look Up'!$M$13:$N$18,2,TRUE),"")))))</f>
        <v/>
      </c>
      <c r="U187" s="222" t="str">
        <f t="shared" si="3"/>
        <v/>
      </c>
    </row>
    <row r="188" spans="1:21" s="108" customFormat="1" ht="15.75">
      <c r="A188" s="119"/>
      <c r="B188" s="120"/>
      <c r="C188" s="111"/>
      <c r="D188" s="111"/>
      <c r="E188" s="121"/>
      <c r="F188" s="121"/>
      <c r="G188" s="113"/>
      <c r="H188" s="104"/>
      <c r="I188" s="219"/>
      <c r="J188" s="200" t="str">
        <f>IF(E188="","",IF(AND(U188&lt;=66),VLOOKUP(I188,'H&amp;R Look Up'!$A$13:$B$21,2,TRUE),IF(AND(U188&gt;=67,U188&lt;=72),VLOOKUP(I188,'H&amp;R Look Up'!$E$13:$F$20,2,TRUE),IF(AND(U188&gt;=73,U188&lt;=78),VLOOKUP(I188,'H&amp;R Look Up'!$I$13:$J$19,2,TRUE),IF(AND(U188&gt;=79),VLOOKUP(I188,'H&amp;R Look Up'!$M$13:$N$18,2,TRUE),"")))))</f>
        <v/>
      </c>
      <c r="U188" s="222" t="str">
        <f t="shared" si="3"/>
        <v/>
      </c>
    </row>
    <row r="189" spans="1:21" s="108" customFormat="1" ht="15.75">
      <c r="A189" s="119"/>
      <c r="B189" s="120"/>
      <c r="C189" s="111"/>
      <c r="D189" s="111"/>
      <c r="E189" s="121"/>
      <c r="F189" s="121"/>
      <c r="G189" s="113"/>
      <c r="H189" s="104"/>
      <c r="I189" s="219"/>
      <c r="J189" s="200" t="str">
        <f>IF(E189="","",IF(AND(U189&lt;=66),VLOOKUP(I189,'H&amp;R Look Up'!$A$13:$B$21,2,TRUE),IF(AND(U189&gt;=67,U189&lt;=72),VLOOKUP(I189,'H&amp;R Look Up'!$E$13:$F$20,2,TRUE),IF(AND(U189&gt;=73,U189&lt;=78),VLOOKUP(I189,'H&amp;R Look Up'!$I$13:$J$19,2,TRUE),IF(AND(U189&gt;=79),VLOOKUP(I189,'H&amp;R Look Up'!$M$13:$N$18,2,TRUE),"")))))</f>
        <v/>
      </c>
      <c r="U189" s="222" t="str">
        <f t="shared" si="3"/>
        <v/>
      </c>
    </row>
    <row r="190" spans="1:21" s="108" customFormat="1" ht="15.75">
      <c r="A190" s="119"/>
      <c r="B190" s="120"/>
      <c r="C190" s="111"/>
      <c r="D190" s="111"/>
      <c r="E190" s="121"/>
      <c r="F190" s="121"/>
      <c r="G190" s="113"/>
      <c r="H190" s="104"/>
      <c r="I190" s="219"/>
      <c r="J190" s="200" t="str">
        <f>IF(E190="","",IF(AND(U190&lt;=66),VLOOKUP(I190,'H&amp;R Look Up'!$A$13:$B$21,2,TRUE),IF(AND(U190&gt;=67,U190&lt;=72),VLOOKUP(I190,'H&amp;R Look Up'!$E$13:$F$20,2,TRUE),IF(AND(U190&gt;=73,U190&lt;=78),VLOOKUP(I190,'H&amp;R Look Up'!$I$13:$J$19,2,TRUE),IF(AND(U190&gt;=79),VLOOKUP(I190,'H&amp;R Look Up'!$M$13:$N$18,2,TRUE),"")))))</f>
        <v/>
      </c>
      <c r="U190" s="222" t="str">
        <f t="shared" si="3"/>
        <v/>
      </c>
    </row>
    <row r="191" spans="1:21" s="108" customFormat="1" ht="15.75">
      <c r="A191" s="119"/>
      <c r="B191" s="120"/>
      <c r="C191" s="111"/>
      <c r="D191" s="111"/>
      <c r="E191" s="121"/>
      <c r="F191" s="121"/>
      <c r="G191" s="113"/>
      <c r="H191" s="104"/>
      <c r="I191" s="219"/>
      <c r="J191" s="200" t="str">
        <f>IF(E191="","",IF(AND(U191&lt;=66),VLOOKUP(I191,'H&amp;R Look Up'!$A$13:$B$21,2,TRUE),IF(AND(U191&gt;=67,U191&lt;=72),VLOOKUP(I191,'H&amp;R Look Up'!$E$13:$F$20,2,TRUE),IF(AND(U191&gt;=73,U191&lt;=78),VLOOKUP(I191,'H&amp;R Look Up'!$I$13:$J$19,2,TRUE),IF(AND(U191&gt;=79),VLOOKUP(I191,'H&amp;R Look Up'!$M$13:$N$18,2,TRUE),"")))))</f>
        <v/>
      </c>
      <c r="U191" s="222" t="str">
        <f t="shared" si="3"/>
        <v/>
      </c>
    </row>
    <row r="192" spans="1:21" s="108" customFormat="1" ht="15.75">
      <c r="A192" s="119"/>
      <c r="B192" s="120"/>
      <c r="C192" s="111"/>
      <c r="D192" s="111"/>
      <c r="E192" s="121"/>
      <c r="F192" s="121"/>
      <c r="G192" s="113"/>
      <c r="H192" s="104"/>
      <c r="I192" s="219"/>
      <c r="J192" s="200" t="str">
        <f>IF(E192="","",IF(AND(U192&lt;=66),VLOOKUP(I192,'H&amp;R Look Up'!$A$13:$B$21,2,TRUE),IF(AND(U192&gt;=67,U192&lt;=72),VLOOKUP(I192,'H&amp;R Look Up'!$E$13:$F$20,2,TRUE),IF(AND(U192&gt;=73,U192&lt;=78),VLOOKUP(I192,'H&amp;R Look Up'!$I$13:$J$19,2,TRUE),IF(AND(U192&gt;=79),VLOOKUP(I192,'H&amp;R Look Up'!$M$13:$N$18,2,TRUE),"")))))</f>
        <v/>
      </c>
      <c r="U192" s="222" t="str">
        <f t="shared" si="3"/>
        <v/>
      </c>
    </row>
    <row r="193" spans="1:21" s="108" customFormat="1" ht="15.75">
      <c r="A193" s="119"/>
      <c r="B193" s="120"/>
      <c r="C193" s="111"/>
      <c r="D193" s="111"/>
      <c r="E193" s="121"/>
      <c r="F193" s="121"/>
      <c r="G193" s="113"/>
      <c r="H193" s="104"/>
      <c r="I193" s="219"/>
      <c r="J193" s="200" t="str">
        <f>IF(E193="","",IF(AND(U193&lt;=66),VLOOKUP(I193,'H&amp;R Look Up'!$A$13:$B$21,2,TRUE),IF(AND(U193&gt;=67,U193&lt;=72),VLOOKUP(I193,'H&amp;R Look Up'!$E$13:$F$20,2,TRUE),IF(AND(U193&gt;=73,U193&lt;=78),VLOOKUP(I193,'H&amp;R Look Up'!$I$13:$J$19,2,TRUE),IF(AND(U193&gt;=79),VLOOKUP(I193,'H&amp;R Look Up'!$M$13:$N$18,2,TRUE),"")))))</f>
        <v/>
      </c>
      <c r="U193" s="222" t="str">
        <f t="shared" si="3"/>
        <v/>
      </c>
    </row>
    <row r="194" spans="1:21" s="108" customFormat="1" ht="15.75">
      <c r="A194" s="119"/>
      <c r="B194" s="120"/>
      <c r="C194" s="111"/>
      <c r="D194" s="111"/>
      <c r="E194" s="121"/>
      <c r="F194" s="121"/>
      <c r="G194" s="113"/>
      <c r="H194" s="104"/>
      <c r="I194" s="219"/>
      <c r="J194" s="200" t="str">
        <f>IF(E194="","",IF(AND(U194&lt;=66),VLOOKUP(I194,'H&amp;R Look Up'!$A$13:$B$21,2,TRUE),IF(AND(U194&gt;=67,U194&lt;=72),VLOOKUP(I194,'H&amp;R Look Up'!$E$13:$F$20,2,TRUE),IF(AND(U194&gt;=73,U194&lt;=78),VLOOKUP(I194,'H&amp;R Look Up'!$I$13:$J$19,2,TRUE),IF(AND(U194&gt;=79),VLOOKUP(I194,'H&amp;R Look Up'!$M$13:$N$18,2,TRUE),"")))))</f>
        <v/>
      </c>
      <c r="U194" s="222" t="str">
        <f t="shared" si="3"/>
        <v/>
      </c>
    </row>
    <row r="195" spans="1:21" s="108" customFormat="1" ht="15.75">
      <c r="A195" s="119"/>
      <c r="B195" s="120"/>
      <c r="C195" s="111"/>
      <c r="D195" s="111"/>
      <c r="E195" s="121"/>
      <c r="F195" s="121"/>
      <c r="G195" s="113"/>
      <c r="H195" s="104"/>
      <c r="I195" s="219"/>
      <c r="J195" s="200" t="str">
        <f>IF(E195="","",IF(AND(U195&lt;=66),VLOOKUP(I195,'H&amp;R Look Up'!$A$13:$B$21,2,TRUE),IF(AND(U195&gt;=67,U195&lt;=72),VLOOKUP(I195,'H&amp;R Look Up'!$E$13:$F$20,2,TRUE),IF(AND(U195&gt;=73,U195&lt;=78),VLOOKUP(I195,'H&amp;R Look Up'!$I$13:$J$19,2,TRUE),IF(AND(U195&gt;=79),VLOOKUP(I195,'H&amp;R Look Up'!$M$13:$N$18,2,TRUE),"")))))</f>
        <v/>
      </c>
      <c r="U195" s="222" t="str">
        <f t="shared" si="3"/>
        <v/>
      </c>
    </row>
    <row r="196" spans="1:21" s="108" customFormat="1" ht="15.75">
      <c r="A196" s="119"/>
      <c r="B196" s="120"/>
      <c r="C196" s="111"/>
      <c r="D196" s="111"/>
      <c r="E196" s="121"/>
      <c r="F196" s="121"/>
      <c r="G196" s="113"/>
      <c r="H196" s="104"/>
      <c r="I196" s="219"/>
      <c r="J196" s="200" t="str">
        <f>IF(E196="","",IF(AND(U196&lt;=66),VLOOKUP(I196,'H&amp;R Look Up'!$A$13:$B$21,2,TRUE),IF(AND(U196&gt;=67,U196&lt;=72),VLOOKUP(I196,'H&amp;R Look Up'!$E$13:$F$20,2,TRUE),IF(AND(U196&gt;=73,U196&lt;=78),VLOOKUP(I196,'H&amp;R Look Up'!$I$13:$J$19,2,TRUE),IF(AND(U196&gt;=79),VLOOKUP(I196,'H&amp;R Look Up'!$M$13:$N$18,2,TRUE),"")))))</f>
        <v/>
      </c>
      <c r="U196" s="222" t="str">
        <f t="shared" si="3"/>
        <v/>
      </c>
    </row>
    <row r="197" spans="1:21" s="108" customFormat="1" ht="15.75">
      <c r="A197" s="119"/>
      <c r="B197" s="120"/>
      <c r="C197" s="111"/>
      <c r="D197" s="111"/>
      <c r="E197" s="121"/>
      <c r="F197" s="121"/>
      <c r="G197" s="113"/>
      <c r="H197" s="104"/>
      <c r="I197" s="219"/>
      <c r="J197" s="200" t="str">
        <f>IF(E197="","",IF(AND(U197&lt;=66),VLOOKUP(I197,'H&amp;R Look Up'!$A$13:$B$21,2,TRUE),IF(AND(U197&gt;=67,U197&lt;=72),VLOOKUP(I197,'H&amp;R Look Up'!$E$13:$F$20,2,TRUE),IF(AND(U197&gt;=73,U197&lt;=78),VLOOKUP(I197,'H&amp;R Look Up'!$I$13:$J$19,2,TRUE),IF(AND(U197&gt;=79),VLOOKUP(I197,'H&amp;R Look Up'!$M$13:$N$18,2,TRUE),"")))))</f>
        <v/>
      </c>
      <c r="U197" s="222" t="str">
        <f t="shared" si="3"/>
        <v/>
      </c>
    </row>
    <row r="198" spans="1:21" s="108" customFormat="1" ht="15.75">
      <c r="A198" s="119"/>
      <c r="B198" s="120"/>
      <c r="C198" s="111"/>
      <c r="D198" s="111"/>
      <c r="E198" s="121"/>
      <c r="F198" s="121"/>
      <c r="G198" s="113"/>
      <c r="H198" s="104"/>
      <c r="I198" s="219"/>
      <c r="J198" s="200" t="str">
        <f>IF(E198="","",IF(AND(U198&lt;=66),VLOOKUP(I198,'H&amp;R Look Up'!$A$13:$B$21,2,TRUE),IF(AND(U198&gt;=67,U198&lt;=72),VLOOKUP(I198,'H&amp;R Look Up'!$E$13:$F$20,2,TRUE),IF(AND(U198&gt;=73,U198&lt;=78),VLOOKUP(I198,'H&amp;R Look Up'!$I$13:$J$19,2,TRUE),IF(AND(U198&gt;=79),VLOOKUP(I198,'H&amp;R Look Up'!$M$13:$N$18,2,TRUE),"")))))</f>
        <v/>
      </c>
      <c r="U198" s="222" t="str">
        <f t="shared" ref="U198:U261" si="4">IF(E198="","",DATEDIF(B198,A198,"m"))</f>
        <v/>
      </c>
    </row>
    <row r="199" spans="1:21" s="108" customFormat="1" ht="15.75">
      <c r="A199" s="119"/>
      <c r="B199" s="120"/>
      <c r="C199" s="111"/>
      <c r="D199" s="111"/>
      <c r="E199" s="121"/>
      <c r="F199" s="121"/>
      <c r="G199" s="113"/>
      <c r="H199" s="104"/>
      <c r="I199" s="219"/>
      <c r="J199" s="200" t="str">
        <f>IF(E199="","",IF(AND(U199&lt;=66),VLOOKUP(I199,'H&amp;R Look Up'!$A$13:$B$21,2,TRUE),IF(AND(U199&gt;=67,U199&lt;=72),VLOOKUP(I199,'H&amp;R Look Up'!$E$13:$F$20,2,TRUE),IF(AND(U199&gt;=73,U199&lt;=78),VLOOKUP(I199,'H&amp;R Look Up'!$I$13:$J$19,2,TRUE),IF(AND(U199&gt;=79),VLOOKUP(I199,'H&amp;R Look Up'!$M$13:$N$18,2,TRUE),"")))))</f>
        <v/>
      </c>
      <c r="U199" s="222" t="str">
        <f t="shared" si="4"/>
        <v/>
      </c>
    </row>
    <row r="200" spans="1:21" s="108" customFormat="1" ht="15.75">
      <c r="A200" s="119"/>
      <c r="B200" s="120"/>
      <c r="C200" s="111"/>
      <c r="D200" s="111"/>
      <c r="E200" s="121"/>
      <c r="F200" s="121"/>
      <c r="G200" s="113"/>
      <c r="H200" s="104"/>
      <c r="I200" s="219"/>
      <c r="J200" s="200" t="str">
        <f>IF(E200="","",IF(AND(U200&lt;=66),VLOOKUP(I200,'H&amp;R Look Up'!$A$13:$B$21,2,TRUE),IF(AND(U200&gt;=67,U200&lt;=72),VLOOKUP(I200,'H&amp;R Look Up'!$E$13:$F$20,2,TRUE),IF(AND(U200&gt;=73,U200&lt;=78),VLOOKUP(I200,'H&amp;R Look Up'!$I$13:$J$19,2,TRUE),IF(AND(U200&gt;=79),VLOOKUP(I200,'H&amp;R Look Up'!$M$13:$N$18,2,TRUE),"")))))</f>
        <v/>
      </c>
      <c r="U200" s="222" t="str">
        <f t="shared" si="4"/>
        <v/>
      </c>
    </row>
    <row r="201" spans="1:21" s="108" customFormat="1" ht="15.75">
      <c r="A201" s="119"/>
      <c r="B201" s="120"/>
      <c r="C201" s="111"/>
      <c r="D201" s="111"/>
      <c r="E201" s="121"/>
      <c r="F201" s="121"/>
      <c r="G201" s="113"/>
      <c r="H201" s="104"/>
      <c r="I201" s="219"/>
      <c r="J201" s="200" t="str">
        <f>IF(E201="","",IF(AND(U201&lt;=66),VLOOKUP(I201,'H&amp;R Look Up'!$A$13:$B$21,2,TRUE),IF(AND(U201&gt;=67,U201&lt;=72),VLOOKUP(I201,'H&amp;R Look Up'!$E$13:$F$20,2,TRUE),IF(AND(U201&gt;=73,U201&lt;=78),VLOOKUP(I201,'H&amp;R Look Up'!$I$13:$J$19,2,TRUE),IF(AND(U201&gt;=79),VLOOKUP(I201,'H&amp;R Look Up'!$M$13:$N$18,2,TRUE),"")))))</f>
        <v/>
      </c>
      <c r="U201" s="222" t="str">
        <f t="shared" si="4"/>
        <v/>
      </c>
    </row>
    <row r="202" spans="1:21" s="108" customFormat="1" ht="15.75">
      <c r="A202" s="119"/>
      <c r="B202" s="120"/>
      <c r="C202" s="111"/>
      <c r="D202" s="111"/>
      <c r="E202" s="121"/>
      <c r="F202" s="121"/>
      <c r="G202" s="113"/>
      <c r="H202" s="104"/>
      <c r="I202" s="219"/>
      <c r="J202" s="200" t="str">
        <f>IF(E202="","",IF(AND(U202&lt;=66),VLOOKUP(I202,'H&amp;R Look Up'!$A$13:$B$21,2,TRUE),IF(AND(U202&gt;=67,U202&lt;=72),VLOOKUP(I202,'H&amp;R Look Up'!$E$13:$F$20,2,TRUE),IF(AND(U202&gt;=73,U202&lt;=78),VLOOKUP(I202,'H&amp;R Look Up'!$I$13:$J$19,2,TRUE),IF(AND(U202&gt;=79),VLOOKUP(I202,'H&amp;R Look Up'!$M$13:$N$18,2,TRUE),"")))))</f>
        <v/>
      </c>
      <c r="U202" s="222" t="str">
        <f t="shared" si="4"/>
        <v/>
      </c>
    </row>
    <row r="203" spans="1:21" s="108" customFormat="1" ht="15.75">
      <c r="A203" s="119"/>
      <c r="B203" s="120"/>
      <c r="C203" s="111"/>
      <c r="D203" s="111"/>
      <c r="E203" s="121"/>
      <c r="F203" s="121"/>
      <c r="G203" s="113"/>
      <c r="H203" s="104"/>
      <c r="I203" s="219"/>
      <c r="J203" s="200" t="str">
        <f>IF(E203="","",IF(AND(U203&lt;=66),VLOOKUP(I203,'H&amp;R Look Up'!$A$13:$B$21,2,TRUE),IF(AND(U203&gt;=67,U203&lt;=72),VLOOKUP(I203,'H&amp;R Look Up'!$E$13:$F$20,2,TRUE),IF(AND(U203&gt;=73,U203&lt;=78),VLOOKUP(I203,'H&amp;R Look Up'!$I$13:$J$19,2,TRUE),IF(AND(U203&gt;=79),VLOOKUP(I203,'H&amp;R Look Up'!$M$13:$N$18,2,TRUE),"")))))</f>
        <v/>
      </c>
      <c r="U203" s="222" t="str">
        <f t="shared" si="4"/>
        <v/>
      </c>
    </row>
    <row r="204" spans="1:21" s="108" customFormat="1" ht="15.75">
      <c r="A204" s="119"/>
      <c r="B204" s="120"/>
      <c r="C204" s="111"/>
      <c r="D204" s="111"/>
      <c r="E204" s="121"/>
      <c r="F204" s="121"/>
      <c r="G204" s="113"/>
      <c r="H204" s="104"/>
      <c r="I204" s="219"/>
      <c r="J204" s="200" t="str">
        <f>IF(E204="","",IF(AND(U204&lt;=66),VLOOKUP(I204,'H&amp;R Look Up'!$A$13:$B$21,2,TRUE),IF(AND(U204&gt;=67,U204&lt;=72),VLOOKUP(I204,'H&amp;R Look Up'!$E$13:$F$20,2,TRUE),IF(AND(U204&gt;=73,U204&lt;=78),VLOOKUP(I204,'H&amp;R Look Up'!$I$13:$J$19,2,TRUE),IF(AND(U204&gt;=79),VLOOKUP(I204,'H&amp;R Look Up'!$M$13:$N$18,2,TRUE),"")))))</f>
        <v/>
      </c>
      <c r="U204" s="222" t="str">
        <f t="shared" si="4"/>
        <v/>
      </c>
    </row>
    <row r="205" spans="1:21" s="108" customFormat="1" ht="15.75">
      <c r="A205" s="119"/>
      <c r="B205" s="120"/>
      <c r="C205" s="111"/>
      <c r="D205" s="111"/>
      <c r="E205" s="121"/>
      <c r="F205" s="121"/>
      <c r="G205" s="113"/>
      <c r="H205" s="104"/>
      <c r="I205" s="219"/>
      <c r="J205" s="200" t="str">
        <f>IF(E205="","",IF(AND(U205&lt;=66),VLOOKUP(I205,'H&amp;R Look Up'!$A$13:$B$21,2,TRUE),IF(AND(U205&gt;=67,U205&lt;=72),VLOOKUP(I205,'H&amp;R Look Up'!$E$13:$F$20,2,TRUE),IF(AND(U205&gt;=73,U205&lt;=78),VLOOKUP(I205,'H&amp;R Look Up'!$I$13:$J$19,2,TRUE),IF(AND(U205&gt;=79),VLOOKUP(I205,'H&amp;R Look Up'!$M$13:$N$18,2,TRUE),"")))))</f>
        <v/>
      </c>
      <c r="U205" s="222" t="str">
        <f t="shared" si="4"/>
        <v/>
      </c>
    </row>
    <row r="206" spans="1:21" s="108" customFormat="1" ht="15.75">
      <c r="A206" s="119"/>
      <c r="B206" s="120"/>
      <c r="C206" s="111"/>
      <c r="D206" s="111"/>
      <c r="E206" s="121"/>
      <c r="F206" s="121"/>
      <c r="G206" s="113"/>
      <c r="H206" s="104"/>
      <c r="I206" s="219"/>
      <c r="J206" s="200" t="str">
        <f>IF(E206="","",IF(AND(U206&lt;=66),VLOOKUP(I206,'H&amp;R Look Up'!$A$13:$B$21,2,TRUE),IF(AND(U206&gt;=67,U206&lt;=72),VLOOKUP(I206,'H&amp;R Look Up'!$E$13:$F$20,2,TRUE),IF(AND(U206&gt;=73,U206&lt;=78),VLOOKUP(I206,'H&amp;R Look Up'!$I$13:$J$19,2,TRUE),IF(AND(U206&gt;=79),VLOOKUP(I206,'H&amp;R Look Up'!$M$13:$N$18,2,TRUE),"")))))</f>
        <v/>
      </c>
      <c r="U206" s="222" t="str">
        <f t="shared" si="4"/>
        <v/>
      </c>
    </row>
    <row r="207" spans="1:21" s="108" customFormat="1" ht="15.75">
      <c r="A207" s="119"/>
      <c r="B207" s="120"/>
      <c r="C207" s="111"/>
      <c r="D207" s="111"/>
      <c r="E207" s="121"/>
      <c r="F207" s="121"/>
      <c r="G207" s="113"/>
      <c r="H207" s="104"/>
      <c r="I207" s="219"/>
      <c r="J207" s="200" t="str">
        <f>IF(E207="","",IF(AND(U207&lt;=66),VLOOKUP(I207,'H&amp;R Look Up'!$A$13:$B$21,2,TRUE),IF(AND(U207&gt;=67,U207&lt;=72),VLOOKUP(I207,'H&amp;R Look Up'!$E$13:$F$20,2,TRUE),IF(AND(U207&gt;=73,U207&lt;=78),VLOOKUP(I207,'H&amp;R Look Up'!$I$13:$J$19,2,TRUE),IF(AND(U207&gt;=79),VLOOKUP(I207,'H&amp;R Look Up'!$M$13:$N$18,2,TRUE),"")))))</f>
        <v/>
      </c>
      <c r="U207" s="222" t="str">
        <f t="shared" si="4"/>
        <v/>
      </c>
    </row>
    <row r="208" spans="1:21" s="108" customFormat="1" ht="15.75">
      <c r="A208" s="119"/>
      <c r="B208" s="120"/>
      <c r="C208" s="111"/>
      <c r="D208" s="111"/>
      <c r="E208" s="121"/>
      <c r="F208" s="121"/>
      <c r="G208" s="113"/>
      <c r="H208" s="104"/>
      <c r="I208" s="219"/>
      <c r="J208" s="200" t="str">
        <f>IF(E208="","",IF(AND(U208&lt;=66),VLOOKUP(I208,'H&amp;R Look Up'!$A$13:$B$21,2,TRUE),IF(AND(U208&gt;=67,U208&lt;=72),VLOOKUP(I208,'H&amp;R Look Up'!$E$13:$F$20,2,TRUE),IF(AND(U208&gt;=73,U208&lt;=78),VLOOKUP(I208,'H&amp;R Look Up'!$I$13:$J$19,2,TRUE),IF(AND(U208&gt;=79),VLOOKUP(I208,'H&amp;R Look Up'!$M$13:$N$18,2,TRUE),"")))))</f>
        <v/>
      </c>
      <c r="U208" s="222" t="str">
        <f t="shared" si="4"/>
        <v/>
      </c>
    </row>
    <row r="209" spans="1:21" s="108" customFormat="1" ht="15.75">
      <c r="A209" s="119"/>
      <c r="B209" s="120"/>
      <c r="C209" s="111"/>
      <c r="D209" s="111"/>
      <c r="E209" s="121"/>
      <c r="F209" s="121"/>
      <c r="G209" s="113"/>
      <c r="H209" s="104"/>
      <c r="I209" s="219"/>
      <c r="J209" s="200" t="str">
        <f>IF(E209="","",IF(AND(U209&lt;=66),VLOOKUP(I209,'H&amp;R Look Up'!$A$13:$B$21,2,TRUE),IF(AND(U209&gt;=67,U209&lt;=72),VLOOKUP(I209,'H&amp;R Look Up'!$E$13:$F$20,2,TRUE),IF(AND(U209&gt;=73,U209&lt;=78),VLOOKUP(I209,'H&amp;R Look Up'!$I$13:$J$19,2,TRUE),IF(AND(U209&gt;=79),VLOOKUP(I209,'H&amp;R Look Up'!$M$13:$N$18,2,TRUE),"")))))</f>
        <v/>
      </c>
      <c r="U209" s="222" t="str">
        <f t="shared" si="4"/>
        <v/>
      </c>
    </row>
    <row r="210" spans="1:21" s="108" customFormat="1" ht="15.75">
      <c r="A210" s="119"/>
      <c r="B210" s="120"/>
      <c r="C210" s="111"/>
      <c r="D210" s="111"/>
      <c r="E210" s="121"/>
      <c r="F210" s="121"/>
      <c r="G210" s="113"/>
      <c r="H210" s="104"/>
      <c r="I210" s="219"/>
      <c r="J210" s="200" t="str">
        <f>IF(E210="","",IF(AND(U210&lt;=66),VLOOKUP(I210,'H&amp;R Look Up'!$A$13:$B$21,2,TRUE),IF(AND(U210&gt;=67,U210&lt;=72),VLOOKUP(I210,'H&amp;R Look Up'!$E$13:$F$20,2,TRUE),IF(AND(U210&gt;=73,U210&lt;=78),VLOOKUP(I210,'H&amp;R Look Up'!$I$13:$J$19,2,TRUE),IF(AND(U210&gt;=79),VLOOKUP(I210,'H&amp;R Look Up'!$M$13:$N$18,2,TRUE),"")))))</f>
        <v/>
      </c>
      <c r="U210" s="222" t="str">
        <f t="shared" si="4"/>
        <v/>
      </c>
    </row>
    <row r="211" spans="1:21" s="108" customFormat="1" ht="15.75">
      <c r="A211" s="119"/>
      <c r="B211" s="120"/>
      <c r="C211" s="111"/>
      <c r="D211" s="111"/>
      <c r="E211" s="121"/>
      <c r="F211" s="121"/>
      <c r="G211" s="113"/>
      <c r="H211" s="104"/>
      <c r="I211" s="219"/>
      <c r="J211" s="200" t="str">
        <f>IF(E211="","",IF(AND(U211&lt;=66),VLOOKUP(I211,'H&amp;R Look Up'!$A$13:$B$21,2,TRUE),IF(AND(U211&gt;=67,U211&lt;=72),VLOOKUP(I211,'H&amp;R Look Up'!$E$13:$F$20,2,TRUE),IF(AND(U211&gt;=73,U211&lt;=78),VLOOKUP(I211,'H&amp;R Look Up'!$I$13:$J$19,2,TRUE),IF(AND(U211&gt;=79),VLOOKUP(I211,'H&amp;R Look Up'!$M$13:$N$18,2,TRUE),"")))))</f>
        <v/>
      </c>
      <c r="U211" s="222" t="str">
        <f t="shared" si="4"/>
        <v/>
      </c>
    </row>
    <row r="212" spans="1:21" s="108" customFormat="1" ht="15.75">
      <c r="A212" s="119"/>
      <c r="B212" s="120"/>
      <c r="C212" s="111"/>
      <c r="D212" s="111"/>
      <c r="E212" s="121"/>
      <c r="F212" s="121"/>
      <c r="G212" s="113"/>
      <c r="H212" s="104"/>
      <c r="I212" s="219"/>
      <c r="J212" s="200" t="str">
        <f>IF(E212="","",IF(AND(U212&lt;=66),VLOOKUP(I212,'H&amp;R Look Up'!$A$13:$B$21,2,TRUE),IF(AND(U212&gt;=67,U212&lt;=72),VLOOKUP(I212,'H&amp;R Look Up'!$E$13:$F$20,2,TRUE),IF(AND(U212&gt;=73,U212&lt;=78),VLOOKUP(I212,'H&amp;R Look Up'!$I$13:$J$19,2,TRUE),IF(AND(U212&gt;=79),VLOOKUP(I212,'H&amp;R Look Up'!$M$13:$N$18,2,TRUE),"")))))</f>
        <v/>
      </c>
      <c r="U212" s="222" t="str">
        <f t="shared" si="4"/>
        <v/>
      </c>
    </row>
    <row r="213" spans="1:21" s="108" customFormat="1" ht="15.75">
      <c r="A213" s="119"/>
      <c r="B213" s="120"/>
      <c r="C213" s="111"/>
      <c r="D213" s="111"/>
      <c r="E213" s="121"/>
      <c r="F213" s="121"/>
      <c r="G213" s="113"/>
      <c r="H213" s="104"/>
      <c r="I213" s="219"/>
      <c r="J213" s="200" t="str">
        <f>IF(E213="","",IF(AND(U213&lt;=66),VLOOKUP(I213,'H&amp;R Look Up'!$A$13:$B$21,2,TRUE),IF(AND(U213&gt;=67,U213&lt;=72),VLOOKUP(I213,'H&amp;R Look Up'!$E$13:$F$20,2,TRUE),IF(AND(U213&gt;=73,U213&lt;=78),VLOOKUP(I213,'H&amp;R Look Up'!$I$13:$J$19,2,TRUE),IF(AND(U213&gt;=79),VLOOKUP(I213,'H&amp;R Look Up'!$M$13:$N$18,2,TRUE),"")))))</f>
        <v/>
      </c>
      <c r="U213" s="222" t="str">
        <f t="shared" si="4"/>
        <v/>
      </c>
    </row>
    <row r="214" spans="1:21" s="108" customFormat="1" ht="15.75">
      <c r="A214" s="119"/>
      <c r="B214" s="120"/>
      <c r="C214" s="111"/>
      <c r="D214" s="111"/>
      <c r="E214" s="121"/>
      <c r="F214" s="121"/>
      <c r="G214" s="113"/>
      <c r="H214" s="104"/>
      <c r="I214" s="219"/>
      <c r="J214" s="200" t="str">
        <f>IF(E214="","",IF(AND(U214&lt;=66),VLOOKUP(I214,'H&amp;R Look Up'!$A$13:$B$21,2,TRUE),IF(AND(U214&gt;=67,U214&lt;=72),VLOOKUP(I214,'H&amp;R Look Up'!$E$13:$F$20,2,TRUE),IF(AND(U214&gt;=73,U214&lt;=78),VLOOKUP(I214,'H&amp;R Look Up'!$I$13:$J$19,2,TRUE),IF(AND(U214&gt;=79),VLOOKUP(I214,'H&amp;R Look Up'!$M$13:$N$18,2,TRUE),"")))))</f>
        <v/>
      </c>
      <c r="U214" s="222" t="str">
        <f t="shared" si="4"/>
        <v/>
      </c>
    </row>
    <row r="215" spans="1:21" s="108" customFormat="1" ht="15.75">
      <c r="A215" s="119"/>
      <c r="B215" s="120"/>
      <c r="C215" s="111"/>
      <c r="D215" s="111"/>
      <c r="E215" s="121"/>
      <c r="F215" s="121"/>
      <c r="G215" s="113"/>
      <c r="H215" s="104"/>
      <c r="I215" s="219"/>
      <c r="J215" s="200" t="str">
        <f>IF(E215="","",IF(AND(U215&lt;=66),VLOOKUP(I215,'H&amp;R Look Up'!$A$13:$B$21,2,TRUE),IF(AND(U215&gt;=67,U215&lt;=72),VLOOKUP(I215,'H&amp;R Look Up'!$E$13:$F$20,2,TRUE),IF(AND(U215&gt;=73,U215&lt;=78),VLOOKUP(I215,'H&amp;R Look Up'!$I$13:$J$19,2,TRUE),IF(AND(U215&gt;=79),VLOOKUP(I215,'H&amp;R Look Up'!$M$13:$N$18,2,TRUE),"")))))</f>
        <v/>
      </c>
      <c r="U215" s="222" t="str">
        <f t="shared" si="4"/>
        <v/>
      </c>
    </row>
    <row r="216" spans="1:21" s="108" customFormat="1" ht="15.75">
      <c r="A216" s="119"/>
      <c r="B216" s="120"/>
      <c r="C216" s="111"/>
      <c r="D216" s="111"/>
      <c r="E216" s="121"/>
      <c r="F216" s="121"/>
      <c r="G216" s="113"/>
      <c r="H216" s="104"/>
      <c r="I216" s="219"/>
      <c r="J216" s="200" t="str">
        <f>IF(E216="","",IF(AND(U216&lt;=66),VLOOKUP(I216,'H&amp;R Look Up'!$A$13:$B$21,2,TRUE),IF(AND(U216&gt;=67,U216&lt;=72),VLOOKUP(I216,'H&amp;R Look Up'!$E$13:$F$20,2,TRUE),IF(AND(U216&gt;=73,U216&lt;=78),VLOOKUP(I216,'H&amp;R Look Up'!$I$13:$J$19,2,TRUE),IF(AND(U216&gt;=79),VLOOKUP(I216,'H&amp;R Look Up'!$M$13:$N$18,2,TRUE),"")))))</f>
        <v/>
      </c>
      <c r="U216" s="222" t="str">
        <f t="shared" si="4"/>
        <v/>
      </c>
    </row>
    <row r="217" spans="1:21" s="108" customFormat="1" ht="15.75">
      <c r="A217" s="119"/>
      <c r="B217" s="120"/>
      <c r="C217" s="111"/>
      <c r="D217" s="111"/>
      <c r="E217" s="121"/>
      <c r="F217" s="121"/>
      <c r="G217" s="113"/>
      <c r="H217" s="104"/>
      <c r="I217" s="219"/>
      <c r="J217" s="200" t="str">
        <f>IF(E217="","",IF(AND(U217&lt;=66),VLOOKUP(I217,'H&amp;R Look Up'!$A$13:$B$21,2,TRUE),IF(AND(U217&gt;=67,U217&lt;=72),VLOOKUP(I217,'H&amp;R Look Up'!$E$13:$F$20,2,TRUE),IF(AND(U217&gt;=73,U217&lt;=78),VLOOKUP(I217,'H&amp;R Look Up'!$I$13:$J$19,2,TRUE),IF(AND(U217&gt;=79),VLOOKUP(I217,'H&amp;R Look Up'!$M$13:$N$18,2,TRUE),"")))))</f>
        <v/>
      </c>
      <c r="U217" s="222" t="str">
        <f t="shared" si="4"/>
        <v/>
      </c>
    </row>
    <row r="218" spans="1:21" s="108" customFormat="1" ht="15.75">
      <c r="A218" s="119"/>
      <c r="B218" s="120"/>
      <c r="C218" s="111"/>
      <c r="D218" s="111"/>
      <c r="E218" s="121"/>
      <c r="F218" s="121"/>
      <c r="G218" s="113"/>
      <c r="H218" s="104"/>
      <c r="I218" s="219"/>
      <c r="J218" s="200" t="str">
        <f>IF(E218="","",IF(AND(U218&lt;=66),VLOOKUP(I218,'H&amp;R Look Up'!$A$13:$B$21,2,TRUE),IF(AND(U218&gt;=67,U218&lt;=72),VLOOKUP(I218,'H&amp;R Look Up'!$E$13:$F$20,2,TRUE),IF(AND(U218&gt;=73,U218&lt;=78),VLOOKUP(I218,'H&amp;R Look Up'!$I$13:$J$19,2,TRUE),IF(AND(U218&gt;=79),VLOOKUP(I218,'H&amp;R Look Up'!$M$13:$N$18,2,TRUE),"")))))</f>
        <v/>
      </c>
      <c r="U218" s="222" t="str">
        <f t="shared" si="4"/>
        <v/>
      </c>
    </row>
    <row r="219" spans="1:21" s="108" customFormat="1" ht="15.75">
      <c r="A219" s="119"/>
      <c r="B219" s="120"/>
      <c r="C219" s="111"/>
      <c r="D219" s="111"/>
      <c r="E219" s="121"/>
      <c r="F219" s="121"/>
      <c r="G219" s="113"/>
      <c r="H219" s="104"/>
      <c r="I219" s="219"/>
      <c r="J219" s="200" t="str">
        <f>IF(E219="","",IF(AND(U219&lt;=66),VLOOKUP(I219,'H&amp;R Look Up'!$A$13:$B$21,2,TRUE),IF(AND(U219&gt;=67,U219&lt;=72),VLOOKUP(I219,'H&amp;R Look Up'!$E$13:$F$20,2,TRUE),IF(AND(U219&gt;=73,U219&lt;=78),VLOOKUP(I219,'H&amp;R Look Up'!$I$13:$J$19,2,TRUE),IF(AND(U219&gt;=79),VLOOKUP(I219,'H&amp;R Look Up'!$M$13:$N$18,2,TRUE),"")))))</f>
        <v/>
      </c>
      <c r="U219" s="222" t="str">
        <f t="shared" si="4"/>
        <v/>
      </c>
    </row>
    <row r="220" spans="1:21" s="108" customFormat="1" ht="15.75">
      <c r="A220" s="119"/>
      <c r="B220" s="120"/>
      <c r="C220" s="111"/>
      <c r="D220" s="111"/>
      <c r="E220" s="121"/>
      <c r="F220" s="121"/>
      <c r="G220" s="113"/>
      <c r="H220" s="104"/>
      <c r="I220" s="219"/>
      <c r="J220" s="200" t="str">
        <f>IF(E220="","",IF(AND(U220&lt;=66),VLOOKUP(I220,'H&amp;R Look Up'!$A$13:$B$21,2,TRUE),IF(AND(U220&gt;=67,U220&lt;=72),VLOOKUP(I220,'H&amp;R Look Up'!$E$13:$F$20,2,TRUE),IF(AND(U220&gt;=73,U220&lt;=78),VLOOKUP(I220,'H&amp;R Look Up'!$I$13:$J$19,2,TRUE),IF(AND(U220&gt;=79),VLOOKUP(I220,'H&amp;R Look Up'!$M$13:$N$18,2,TRUE),"")))))</f>
        <v/>
      </c>
      <c r="U220" s="222" t="str">
        <f t="shared" si="4"/>
        <v/>
      </c>
    </row>
    <row r="221" spans="1:21" s="108" customFormat="1" ht="15.75">
      <c r="A221" s="119"/>
      <c r="B221" s="120"/>
      <c r="C221" s="111"/>
      <c r="D221" s="111"/>
      <c r="E221" s="121"/>
      <c r="F221" s="121"/>
      <c r="G221" s="113"/>
      <c r="H221" s="104"/>
      <c r="I221" s="219"/>
      <c r="J221" s="200" t="str">
        <f>IF(E221="","",IF(AND(U221&lt;=66),VLOOKUP(I221,'H&amp;R Look Up'!$A$13:$B$21,2,TRUE),IF(AND(U221&gt;=67,U221&lt;=72),VLOOKUP(I221,'H&amp;R Look Up'!$E$13:$F$20,2,TRUE),IF(AND(U221&gt;=73,U221&lt;=78),VLOOKUP(I221,'H&amp;R Look Up'!$I$13:$J$19,2,TRUE),IF(AND(U221&gt;=79),VLOOKUP(I221,'H&amp;R Look Up'!$M$13:$N$18,2,TRUE),"")))))</f>
        <v/>
      </c>
      <c r="U221" s="222" t="str">
        <f t="shared" si="4"/>
        <v/>
      </c>
    </row>
    <row r="222" spans="1:21" s="108" customFormat="1" ht="15.75">
      <c r="A222" s="119"/>
      <c r="B222" s="120"/>
      <c r="C222" s="111"/>
      <c r="D222" s="111"/>
      <c r="E222" s="121"/>
      <c r="F222" s="121"/>
      <c r="G222" s="113"/>
      <c r="H222" s="104"/>
      <c r="I222" s="219"/>
      <c r="J222" s="200" t="str">
        <f>IF(E222="","",IF(AND(U222&lt;=66),VLOOKUP(I222,'H&amp;R Look Up'!$A$13:$B$21,2,TRUE),IF(AND(U222&gt;=67,U222&lt;=72),VLOOKUP(I222,'H&amp;R Look Up'!$E$13:$F$20,2,TRUE),IF(AND(U222&gt;=73,U222&lt;=78),VLOOKUP(I222,'H&amp;R Look Up'!$I$13:$J$19,2,TRUE),IF(AND(U222&gt;=79),VLOOKUP(I222,'H&amp;R Look Up'!$M$13:$N$18,2,TRUE),"")))))</f>
        <v/>
      </c>
      <c r="U222" s="222" t="str">
        <f t="shared" si="4"/>
        <v/>
      </c>
    </row>
    <row r="223" spans="1:21" s="108" customFormat="1" ht="15.75">
      <c r="A223" s="119"/>
      <c r="B223" s="120"/>
      <c r="C223" s="111"/>
      <c r="D223" s="111"/>
      <c r="E223" s="121"/>
      <c r="F223" s="121"/>
      <c r="G223" s="113"/>
      <c r="H223" s="104"/>
      <c r="I223" s="219"/>
      <c r="J223" s="200" t="str">
        <f>IF(E223="","",IF(AND(U223&lt;=66),VLOOKUP(I223,'H&amp;R Look Up'!$A$13:$B$21,2,TRUE),IF(AND(U223&gt;=67,U223&lt;=72),VLOOKUP(I223,'H&amp;R Look Up'!$E$13:$F$20,2,TRUE),IF(AND(U223&gt;=73,U223&lt;=78),VLOOKUP(I223,'H&amp;R Look Up'!$I$13:$J$19,2,TRUE),IF(AND(U223&gt;=79),VLOOKUP(I223,'H&amp;R Look Up'!$M$13:$N$18,2,TRUE),"")))))</f>
        <v/>
      </c>
      <c r="U223" s="222" t="str">
        <f t="shared" si="4"/>
        <v/>
      </c>
    </row>
    <row r="224" spans="1:21" s="108" customFormat="1" ht="15.75">
      <c r="A224" s="119"/>
      <c r="B224" s="120"/>
      <c r="C224" s="111"/>
      <c r="D224" s="111"/>
      <c r="E224" s="121"/>
      <c r="F224" s="121"/>
      <c r="G224" s="113"/>
      <c r="H224" s="104"/>
      <c r="I224" s="219"/>
      <c r="J224" s="200" t="str">
        <f>IF(E224="","",IF(AND(U224&lt;=66),VLOOKUP(I224,'H&amp;R Look Up'!$A$13:$B$21,2,TRUE),IF(AND(U224&gt;=67,U224&lt;=72),VLOOKUP(I224,'H&amp;R Look Up'!$E$13:$F$20,2,TRUE),IF(AND(U224&gt;=73,U224&lt;=78),VLOOKUP(I224,'H&amp;R Look Up'!$I$13:$J$19,2,TRUE),IF(AND(U224&gt;=79),VLOOKUP(I224,'H&amp;R Look Up'!$M$13:$N$18,2,TRUE),"")))))</f>
        <v/>
      </c>
      <c r="U224" s="222" t="str">
        <f t="shared" si="4"/>
        <v/>
      </c>
    </row>
    <row r="225" spans="1:21" s="108" customFormat="1" ht="15.75">
      <c r="A225" s="119"/>
      <c r="B225" s="120"/>
      <c r="C225" s="111"/>
      <c r="D225" s="111"/>
      <c r="E225" s="121"/>
      <c r="F225" s="121"/>
      <c r="G225" s="113"/>
      <c r="H225" s="104"/>
      <c r="I225" s="219"/>
      <c r="J225" s="200" t="str">
        <f>IF(E225="","",IF(AND(U225&lt;=66),VLOOKUP(I225,'H&amp;R Look Up'!$A$13:$B$21,2,TRUE),IF(AND(U225&gt;=67,U225&lt;=72),VLOOKUP(I225,'H&amp;R Look Up'!$E$13:$F$20,2,TRUE),IF(AND(U225&gt;=73,U225&lt;=78),VLOOKUP(I225,'H&amp;R Look Up'!$I$13:$J$19,2,TRUE),IF(AND(U225&gt;=79),VLOOKUP(I225,'H&amp;R Look Up'!$M$13:$N$18,2,TRUE),"")))))</f>
        <v/>
      </c>
      <c r="U225" s="222" t="str">
        <f t="shared" si="4"/>
        <v/>
      </c>
    </row>
    <row r="226" spans="1:21" s="108" customFormat="1" ht="15.75">
      <c r="A226" s="119"/>
      <c r="B226" s="120"/>
      <c r="C226" s="111"/>
      <c r="D226" s="111"/>
      <c r="E226" s="121"/>
      <c r="F226" s="121"/>
      <c r="G226" s="113"/>
      <c r="H226" s="104"/>
      <c r="I226" s="219"/>
      <c r="J226" s="200" t="str">
        <f>IF(E226="","",IF(AND(U226&lt;=66),VLOOKUP(I226,'H&amp;R Look Up'!$A$13:$B$21,2,TRUE),IF(AND(U226&gt;=67,U226&lt;=72),VLOOKUP(I226,'H&amp;R Look Up'!$E$13:$F$20,2,TRUE),IF(AND(U226&gt;=73,U226&lt;=78),VLOOKUP(I226,'H&amp;R Look Up'!$I$13:$J$19,2,TRUE),IF(AND(U226&gt;=79),VLOOKUP(I226,'H&amp;R Look Up'!$M$13:$N$18,2,TRUE),"")))))</f>
        <v/>
      </c>
      <c r="U226" s="222" t="str">
        <f t="shared" si="4"/>
        <v/>
      </c>
    </row>
    <row r="227" spans="1:21" s="108" customFormat="1" ht="15.75">
      <c r="A227" s="119"/>
      <c r="B227" s="120"/>
      <c r="C227" s="111"/>
      <c r="D227" s="111"/>
      <c r="E227" s="121"/>
      <c r="F227" s="121"/>
      <c r="G227" s="113"/>
      <c r="H227" s="104"/>
      <c r="I227" s="219"/>
      <c r="J227" s="200" t="str">
        <f>IF(E227="","",IF(AND(U227&lt;=66),VLOOKUP(I227,'H&amp;R Look Up'!$A$13:$B$21,2,TRUE),IF(AND(U227&gt;=67,U227&lt;=72),VLOOKUP(I227,'H&amp;R Look Up'!$E$13:$F$20,2,TRUE),IF(AND(U227&gt;=73,U227&lt;=78),VLOOKUP(I227,'H&amp;R Look Up'!$I$13:$J$19,2,TRUE),IF(AND(U227&gt;=79),VLOOKUP(I227,'H&amp;R Look Up'!$M$13:$N$18,2,TRUE),"")))))</f>
        <v/>
      </c>
      <c r="U227" s="222" t="str">
        <f t="shared" si="4"/>
        <v/>
      </c>
    </row>
    <row r="228" spans="1:21" s="108" customFormat="1" ht="15.75">
      <c r="A228" s="119"/>
      <c r="B228" s="120"/>
      <c r="C228" s="111"/>
      <c r="D228" s="111"/>
      <c r="E228" s="121"/>
      <c r="F228" s="121"/>
      <c r="G228" s="113"/>
      <c r="H228" s="104"/>
      <c r="I228" s="219"/>
      <c r="J228" s="200" t="str">
        <f>IF(E228="","",IF(AND(U228&lt;=66),VLOOKUP(I228,'H&amp;R Look Up'!$A$13:$B$21,2,TRUE),IF(AND(U228&gt;=67,U228&lt;=72),VLOOKUP(I228,'H&amp;R Look Up'!$E$13:$F$20,2,TRUE),IF(AND(U228&gt;=73,U228&lt;=78),VLOOKUP(I228,'H&amp;R Look Up'!$I$13:$J$19,2,TRUE),IF(AND(U228&gt;=79),VLOOKUP(I228,'H&amp;R Look Up'!$M$13:$N$18,2,TRUE),"")))))</f>
        <v/>
      </c>
      <c r="U228" s="222" t="str">
        <f t="shared" si="4"/>
        <v/>
      </c>
    </row>
    <row r="229" spans="1:21" s="108" customFormat="1" ht="15.75">
      <c r="A229" s="119"/>
      <c r="B229" s="120"/>
      <c r="C229" s="111"/>
      <c r="D229" s="111"/>
      <c r="E229" s="121"/>
      <c r="F229" s="121"/>
      <c r="G229" s="113"/>
      <c r="H229" s="104"/>
      <c r="I229" s="219"/>
      <c r="J229" s="200" t="str">
        <f>IF(E229="","",IF(AND(U229&lt;=66),VLOOKUP(I229,'H&amp;R Look Up'!$A$13:$B$21,2,TRUE),IF(AND(U229&gt;=67,U229&lt;=72),VLOOKUP(I229,'H&amp;R Look Up'!$E$13:$F$20,2,TRUE),IF(AND(U229&gt;=73,U229&lt;=78),VLOOKUP(I229,'H&amp;R Look Up'!$I$13:$J$19,2,TRUE),IF(AND(U229&gt;=79),VLOOKUP(I229,'H&amp;R Look Up'!$M$13:$N$18,2,TRUE),"")))))</f>
        <v/>
      </c>
      <c r="U229" s="222" t="str">
        <f t="shared" si="4"/>
        <v/>
      </c>
    </row>
    <row r="230" spans="1:21" s="108" customFormat="1" ht="15.75">
      <c r="A230" s="119"/>
      <c r="B230" s="120"/>
      <c r="C230" s="111"/>
      <c r="D230" s="111"/>
      <c r="E230" s="121"/>
      <c r="F230" s="121"/>
      <c r="G230" s="113"/>
      <c r="H230" s="104"/>
      <c r="I230" s="219"/>
      <c r="J230" s="200" t="str">
        <f>IF(E230="","",IF(AND(U230&lt;=66),VLOOKUP(I230,'H&amp;R Look Up'!$A$13:$B$21,2,TRUE),IF(AND(U230&gt;=67,U230&lt;=72),VLOOKUP(I230,'H&amp;R Look Up'!$E$13:$F$20,2,TRUE),IF(AND(U230&gt;=73,U230&lt;=78),VLOOKUP(I230,'H&amp;R Look Up'!$I$13:$J$19,2,TRUE),IF(AND(U230&gt;=79),VLOOKUP(I230,'H&amp;R Look Up'!$M$13:$N$18,2,TRUE),"")))))</f>
        <v/>
      </c>
      <c r="U230" s="222" t="str">
        <f t="shared" si="4"/>
        <v/>
      </c>
    </row>
    <row r="231" spans="1:21" s="108" customFormat="1" ht="15.75">
      <c r="A231" s="119"/>
      <c r="B231" s="120"/>
      <c r="C231" s="111"/>
      <c r="D231" s="111"/>
      <c r="E231" s="121"/>
      <c r="F231" s="121"/>
      <c r="G231" s="113"/>
      <c r="H231" s="104"/>
      <c r="I231" s="219"/>
      <c r="J231" s="200" t="str">
        <f>IF(E231="","",IF(AND(U231&lt;=66),VLOOKUP(I231,'H&amp;R Look Up'!$A$13:$B$21,2,TRUE),IF(AND(U231&gt;=67,U231&lt;=72),VLOOKUP(I231,'H&amp;R Look Up'!$E$13:$F$20,2,TRUE),IF(AND(U231&gt;=73,U231&lt;=78),VLOOKUP(I231,'H&amp;R Look Up'!$I$13:$J$19,2,TRUE),IF(AND(U231&gt;=79),VLOOKUP(I231,'H&amp;R Look Up'!$M$13:$N$18,2,TRUE),"")))))</f>
        <v/>
      </c>
      <c r="U231" s="222" t="str">
        <f t="shared" si="4"/>
        <v/>
      </c>
    </row>
    <row r="232" spans="1:21" s="108" customFormat="1" ht="15.75">
      <c r="A232" s="119"/>
      <c r="B232" s="120"/>
      <c r="C232" s="111"/>
      <c r="D232" s="111"/>
      <c r="E232" s="121"/>
      <c r="F232" s="121"/>
      <c r="G232" s="113"/>
      <c r="H232" s="104"/>
      <c r="I232" s="219"/>
      <c r="J232" s="200" t="str">
        <f>IF(E232="","",IF(AND(U232&lt;=66),VLOOKUP(I232,'H&amp;R Look Up'!$A$13:$B$21,2,TRUE),IF(AND(U232&gt;=67,U232&lt;=72),VLOOKUP(I232,'H&amp;R Look Up'!$E$13:$F$20,2,TRUE),IF(AND(U232&gt;=73,U232&lt;=78),VLOOKUP(I232,'H&amp;R Look Up'!$I$13:$J$19,2,TRUE),IF(AND(U232&gt;=79),VLOOKUP(I232,'H&amp;R Look Up'!$M$13:$N$18,2,TRUE),"")))))</f>
        <v/>
      </c>
      <c r="U232" s="222" t="str">
        <f t="shared" si="4"/>
        <v/>
      </c>
    </row>
    <row r="233" spans="1:21" s="108" customFormat="1" ht="15.75">
      <c r="A233" s="119"/>
      <c r="B233" s="120"/>
      <c r="C233" s="111"/>
      <c r="D233" s="111"/>
      <c r="E233" s="121"/>
      <c r="F233" s="121"/>
      <c r="G233" s="113"/>
      <c r="H233" s="104"/>
      <c r="I233" s="219"/>
      <c r="J233" s="200" t="str">
        <f>IF(E233="","",IF(AND(U233&lt;=66),VLOOKUP(I233,'H&amp;R Look Up'!$A$13:$B$21,2,TRUE),IF(AND(U233&gt;=67,U233&lt;=72),VLOOKUP(I233,'H&amp;R Look Up'!$E$13:$F$20,2,TRUE),IF(AND(U233&gt;=73,U233&lt;=78),VLOOKUP(I233,'H&amp;R Look Up'!$I$13:$J$19,2,TRUE),IF(AND(U233&gt;=79),VLOOKUP(I233,'H&amp;R Look Up'!$M$13:$N$18,2,TRUE),"")))))</f>
        <v/>
      </c>
      <c r="U233" s="222" t="str">
        <f t="shared" si="4"/>
        <v/>
      </c>
    </row>
    <row r="234" spans="1:21" s="108" customFormat="1" ht="15.75">
      <c r="A234" s="119"/>
      <c r="B234" s="120"/>
      <c r="C234" s="111"/>
      <c r="D234" s="111"/>
      <c r="E234" s="121"/>
      <c r="F234" s="121"/>
      <c r="G234" s="113"/>
      <c r="H234" s="104"/>
      <c r="I234" s="219"/>
      <c r="J234" s="200" t="str">
        <f>IF(E234="","",IF(AND(U234&lt;=66),VLOOKUP(I234,'H&amp;R Look Up'!$A$13:$B$21,2,TRUE),IF(AND(U234&gt;=67,U234&lt;=72),VLOOKUP(I234,'H&amp;R Look Up'!$E$13:$F$20,2,TRUE),IF(AND(U234&gt;=73,U234&lt;=78),VLOOKUP(I234,'H&amp;R Look Up'!$I$13:$J$19,2,TRUE),IF(AND(U234&gt;=79),VLOOKUP(I234,'H&amp;R Look Up'!$M$13:$N$18,2,TRUE),"")))))</f>
        <v/>
      </c>
      <c r="U234" s="222" t="str">
        <f t="shared" si="4"/>
        <v/>
      </c>
    </row>
    <row r="235" spans="1:21" s="108" customFormat="1" ht="15.75">
      <c r="A235" s="119"/>
      <c r="B235" s="120"/>
      <c r="C235" s="111"/>
      <c r="D235" s="111"/>
      <c r="E235" s="121"/>
      <c r="F235" s="121"/>
      <c r="G235" s="113"/>
      <c r="H235" s="104"/>
      <c r="I235" s="219"/>
      <c r="J235" s="200" t="str">
        <f>IF(E235="","",IF(AND(U235&lt;=66),VLOOKUP(I235,'H&amp;R Look Up'!$A$13:$B$21,2,TRUE),IF(AND(U235&gt;=67,U235&lt;=72),VLOOKUP(I235,'H&amp;R Look Up'!$E$13:$F$20,2,TRUE),IF(AND(U235&gt;=73,U235&lt;=78),VLOOKUP(I235,'H&amp;R Look Up'!$I$13:$J$19,2,TRUE),IF(AND(U235&gt;=79),VLOOKUP(I235,'H&amp;R Look Up'!$M$13:$N$18,2,TRUE),"")))))</f>
        <v/>
      </c>
      <c r="U235" s="222" t="str">
        <f t="shared" si="4"/>
        <v/>
      </c>
    </row>
    <row r="236" spans="1:21" s="108" customFormat="1" ht="15.75">
      <c r="A236" s="119"/>
      <c r="B236" s="120"/>
      <c r="C236" s="111"/>
      <c r="D236" s="111"/>
      <c r="E236" s="121"/>
      <c r="F236" s="121"/>
      <c r="G236" s="113"/>
      <c r="H236" s="104"/>
      <c r="I236" s="219"/>
      <c r="J236" s="200" t="str">
        <f>IF(E236="","",IF(AND(U236&lt;=66),VLOOKUP(I236,'H&amp;R Look Up'!$A$13:$B$21,2,TRUE),IF(AND(U236&gt;=67,U236&lt;=72),VLOOKUP(I236,'H&amp;R Look Up'!$E$13:$F$20,2,TRUE),IF(AND(U236&gt;=73,U236&lt;=78),VLOOKUP(I236,'H&amp;R Look Up'!$I$13:$J$19,2,TRUE),IF(AND(U236&gt;=79),VLOOKUP(I236,'H&amp;R Look Up'!$M$13:$N$18,2,TRUE),"")))))</f>
        <v/>
      </c>
      <c r="U236" s="222" t="str">
        <f t="shared" si="4"/>
        <v/>
      </c>
    </row>
    <row r="237" spans="1:21" s="108" customFormat="1" ht="15.75">
      <c r="A237" s="119"/>
      <c r="B237" s="120"/>
      <c r="C237" s="111"/>
      <c r="D237" s="111"/>
      <c r="E237" s="121"/>
      <c r="F237" s="121"/>
      <c r="G237" s="113"/>
      <c r="H237" s="104"/>
      <c r="I237" s="219"/>
      <c r="J237" s="200" t="str">
        <f>IF(E237="","",IF(AND(U237&lt;=66),VLOOKUP(I237,'H&amp;R Look Up'!$A$13:$B$21,2,TRUE),IF(AND(U237&gt;=67,U237&lt;=72),VLOOKUP(I237,'H&amp;R Look Up'!$E$13:$F$20,2,TRUE),IF(AND(U237&gt;=73,U237&lt;=78),VLOOKUP(I237,'H&amp;R Look Up'!$I$13:$J$19,2,TRUE),IF(AND(U237&gt;=79),VLOOKUP(I237,'H&amp;R Look Up'!$M$13:$N$18,2,TRUE),"")))))</f>
        <v/>
      </c>
      <c r="U237" s="222" t="str">
        <f t="shared" si="4"/>
        <v/>
      </c>
    </row>
    <row r="238" spans="1:21" s="108" customFormat="1" ht="15.75">
      <c r="A238" s="119"/>
      <c r="B238" s="120"/>
      <c r="C238" s="111"/>
      <c r="D238" s="111"/>
      <c r="E238" s="121"/>
      <c r="F238" s="121"/>
      <c r="G238" s="113"/>
      <c r="H238" s="104"/>
      <c r="I238" s="219"/>
      <c r="J238" s="200" t="str">
        <f>IF(E238="","",IF(AND(U238&lt;=66),VLOOKUP(I238,'H&amp;R Look Up'!$A$13:$B$21,2,TRUE),IF(AND(U238&gt;=67,U238&lt;=72),VLOOKUP(I238,'H&amp;R Look Up'!$E$13:$F$20,2,TRUE),IF(AND(U238&gt;=73,U238&lt;=78),VLOOKUP(I238,'H&amp;R Look Up'!$I$13:$J$19,2,TRUE),IF(AND(U238&gt;=79),VLOOKUP(I238,'H&amp;R Look Up'!$M$13:$N$18,2,TRUE),"")))))</f>
        <v/>
      </c>
      <c r="U238" s="222" t="str">
        <f t="shared" si="4"/>
        <v/>
      </c>
    </row>
    <row r="239" spans="1:21" s="108" customFormat="1" ht="15.75">
      <c r="A239" s="119"/>
      <c r="B239" s="120"/>
      <c r="C239" s="111"/>
      <c r="D239" s="111"/>
      <c r="E239" s="121"/>
      <c r="F239" s="121"/>
      <c r="G239" s="113"/>
      <c r="H239" s="104"/>
      <c r="I239" s="219"/>
      <c r="J239" s="200" t="str">
        <f>IF(E239="","",IF(AND(U239&lt;=66),VLOOKUP(I239,'H&amp;R Look Up'!$A$13:$B$21,2,TRUE),IF(AND(U239&gt;=67,U239&lt;=72),VLOOKUP(I239,'H&amp;R Look Up'!$E$13:$F$20,2,TRUE),IF(AND(U239&gt;=73,U239&lt;=78),VLOOKUP(I239,'H&amp;R Look Up'!$I$13:$J$19,2,TRUE),IF(AND(U239&gt;=79),VLOOKUP(I239,'H&amp;R Look Up'!$M$13:$N$18,2,TRUE),"")))))</f>
        <v/>
      </c>
      <c r="U239" s="222" t="str">
        <f t="shared" si="4"/>
        <v/>
      </c>
    </row>
    <row r="240" spans="1:21" s="108" customFormat="1" ht="15.75">
      <c r="A240" s="119"/>
      <c r="B240" s="120"/>
      <c r="C240" s="111"/>
      <c r="D240" s="111"/>
      <c r="E240" s="121"/>
      <c r="F240" s="121"/>
      <c r="G240" s="113"/>
      <c r="H240" s="104"/>
      <c r="I240" s="219"/>
      <c r="J240" s="200" t="str">
        <f>IF(E240="","",IF(AND(U240&lt;=66),VLOOKUP(I240,'H&amp;R Look Up'!$A$13:$B$21,2,TRUE),IF(AND(U240&gt;=67,U240&lt;=72),VLOOKUP(I240,'H&amp;R Look Up'!$E$13:$F$20,2,TRUE),IF(AND(U240&gt;=73,U240&lt;=78),VLOOKUP(I240,'H&amp;R Look Up'!$I$13:$J$19,2,TRUE),IF(AND(U240&gt;=79),VLOOKUP(I240,'H&amp;R Look Up'!$M$13:$N$18,2,TRUE),"")))))</f>
        <v/>
      </c>
      <c r="U240" s="222" t="str">
        <f t="shared" si="4"/>
        <v/>
      </c>
    </row>
    <row r="241" spans="1:21" s="108" customFormat="1" ht="15.75">
      <c r="A241" s="119"/>
      <c r="B241" s="120"/>
      <c r="C241" s="111"/>
      <c r="D241" s="111"/>
      <c r="E241" s="121"/>
      <c r="F241" s="121"/>
      <c r="G241" s="113"/>
      <c r="H241" s="104"/>
      <c r="I241" s="219"/>
      <c r="J241" s="200" t="str">
        <f>IF(E241="","",IF(AND(U241&lt;=66),VLOOKUP(I241,'H&amp;R Look Up'!$A$13:$B$21,2,TRUE),IF(AND(U241&gt;=67,U241&lt;=72),VLOOKUP(I241,'H&amp;R Look Up'!$E$13:$F$20,2,TRUE),IF(AND(U241&gt;=73,U241&lt;=78),VLOOKUP(I241,'H&amp;R Look Up'!$I$13:$J$19,2,TRUE),IF(AND(U241&gt;=79),VLOOKUP(I241,'H&amp;R Look Up'!$M$13:$N$18,2,TRUE),"")))))</f>
        <v/>
      </c>
      <c r="U241" s="222" t="str">
        <f t="shared" si="4"/>
        <v/>
      </c>
    </row>
    <row r="242" spans="1:21" s="108" customFormat="1" ht="15.75">
      <c r="A242" s="119"/>
      <c r="B242" s="120"/>
      <c r="C242" s="111"/>
      <c r="D242" s="111"/>
      <c r="E242" s="121"/>
      <c r="F242" s="121"/>
      <c r="G242" s="113"/>
      <c r="H242" s="104"/>
      <c r="I242" s="219"/>
      <c r="J242" s="200" t="str">
        <f>IF(E242="","",IF(AND(U242&lt;=66),VLOOKUP(I242,'H&amp;R Look Up'!$A$13:$B$21,2,TRUE),IF(AND(U242&gt;=67,U242&lt;=72),VLOOKUP(I242,'H&amp;R Look Up'!$E$13:$F$20,2,TRUE),IF(AND(U242&gt;=73,U242&lt;=78),VLOOKUP(I242,'H&amp;R Look Up'!$I$13:$J$19,2,TRUE),IF(AND(U242&gt;=79),VLOOKUP(I242,'H&amp;R Look Up'!$M$13:$N$18,2,TRUE),"")))))</f>
        <v/>
      </c>
      <c r="U242" s="222" t="str">
        <f t="shared" si="4"/>
        <v/>
      </c>
    </row>
    <row r="243" spans="1:21" s="108" customFormat="1" ht="15.75">
      <c r="A243" s="119"/>
      <c r="B243" s="120"/>
      <c r="C243" s="111"/>
      <c r="D243" s="111"/>
      <c r="E243" s="121"/>
      <c r="F243" s="121"/>
      <c r="G243" s="113"/>
      <c r="H243" s="104"/>
      <c r="I243" s="219"/>
      <c r="J243" s="200" t="str">
        <f>IF(E243="","",IF(AND(U243&lt;=66),VLOOKUP(I243,'H&amp;R Look Up'!$A$13:$B$21,2,TRUE),IF(AND(U243&gt;=67,U243&lt;=72),VLOOKUP(I243,'H&amp;R Look Up'!$E$13:$F$20,2,TRUE),IF(AND(U243&gt;=73,U243&lt;=78),VLOOKUP(I243,'H&amp;R Look Up'!$I$13:$J$19,2,TRUE),IF(AND(U243&gt;=79),VLOOKUP(I243,'H&amp;R Look Up'!$M$13:$N$18,2,TRUE),"")))))</f>
        <v/>
      </c>
      <c r="U243" s="222" t="str">
        <f t="shared" si="4"/>
        <v/>
      </c>
    </row>
    <row r="244" spans="1:21" s="108" customFormat="1" ht="15.75">
      <c r="A244" s="119"/>
      <c r="B244" s="120"/>
      <c r="C244" s="111"/>
      <c r="D244" s="111"/>
      <c r="E244" s="121"/>
      <c r="F244" s="121"/>
      <c r="G244" s="113"/>
      <c r="H244" s="104"/>
      <c r="I244" s="219"/>
      <c r="J244" s="200" t="str">
        <f>IF(E244="","",IF(AND(U244&lt;=66),VLOOKUP(I244,'H&amp;R Look Up'!$A$13:$B$21,2,TRUE),IF(AND(U244&gt;=67,U244&lt;=72),VLOOKUP(I244,'H&amp;R Look Up'!$E$13:$F$20,2,TRUE),IF(AND(U244&gt;=73,U244&lt;=78),VLOOKUP(I244,'H&amp;R Look Up'!$I$13:$J$19,2,TRUE),IF(AND(U244&gt;=79),VLOOKUP(I244,'H&amp;R Look Up'!$M$13:$N$18,2,TRUE),"")))))</f>
        <v/>
      </c>
      <c r="U244" s="222" t="str">
        <f t="shared" si="4"/>
        <v/>
      </c>
    </row>
    <row r="245" spans="1:21" s="108" customFormat="1" ht="15.75">
      <c r="A245" s="119"/>
      <c r="B245" s="120"/>
      <c r="C245" s="111"/>
      <c r="D245" s="111"/>
      <c r="E245" s="121"/>
      <c r="F245" s="121"/>
      <c r="G245" s="113"/>
      <c r="H245" s="104"/>
      <c r="I245" s="219"/>
      <c r="J245" s="200" t="str">
        <f>IF(E245="","",IF(AND(U245&lt;=66),VLOOKUP(I245,'H&amp;R Look Up'!$A$13:$B$21,2,TRUE),IF(AND(U245&gt;=67,U245&lt;=72),VLOOKUP(I245,'H&amp;R Look Up'!$E$13:$F$20,2,TRUE),IF(AND(U245&gt;=73,U245&lt;=78),VLOOKUP(I245,'H&amp;R Look Up'!$I$13:$J$19,2,TRUE),IF(AND(U245&gt;=79),VLOOKUP(I245,'H&amp;R Look Up'!$M$13:$N$18,2,TRUE),"")))))</f>
        <v/>
      </c>
      <c r="U245" s="222" t="str">
        <f t="shared" si="4"/>
        <v/>
      </c>
    </row>
    <row r="246" spans="1:21" s="108" customFormat="1" ht="15.75">
      <c r="A246" s="119"/>
      <c r="B246" s="120"/>
      <c r="C246" s="111"/>
      <c r="D246" s="111"/>
      <c r="E246" s="121"/>
      <c r="F246" s="121"/>
      <c r="G246" s="113"/>
      <c r="H246" s="104"/>
      <c r="I246" s="219"/>
      <c r="J246" s="200" t="str">
        <f>IF(E246="","",IF(AND(U246&lt;=66),VLOOKUP(I246,'H&amp;R Look Up'!$A$13:$B$21,2,TRUE),IF(AND(U246&gt;=67,U246&lt;=72),VLOOKUP(I246,'H&amp;R Look Up'!$E$13:$F$20,2,TRUE),IF(AND(U246&gt;=73,U246&lt;=78),VLOOKUP(I246,'H&amp;R Look Up'!$I$13:$J$19,2,TRUE),IF(AND(U246&gt;=79),VLOOKUP(I246,'H&amp;R Look Up'!$M$13:$N$18,2,TRUE),"")))))</f>
        <v/>
      </c>
      <c r="U246" s="222" t="str">
        <f t="shared" si="4"/>
        <v/>
      </c>
    </row>
    <row r="247" spans="1:21" s="108" customFormat="1" ht="15.75">
      <c r="A247" s="119"/>
      <c r="B247" s="120"/>
      <c r="C247" s="111"/>
      <c r="D247" s="111"/>
      <c r="E247" s="121"/>
      <c r="F247" s="121"/>
      <c r="G247" s="113"/>
      <c r="H247" s="104"/>
      <c r="I247" s="219"/>
      <c r="J247" s="200" t="str">
        <f>IF(E247="","",IF(AND(U247&lt;=66),VLOOKUP(I247,'H&amp;R Look Up'!$A$13:$B$21,2,TRUE),IF(AND(U247&gt;=67,U247&lt;=72),VLOOKUP(I247,'H&amp;R Look Up'!$E$13:$F$20,2,TRUE),IF(AND(U247&gt;=73,U247&lt;=78),VLOOKUP(I247,'H&amp;R Look Up'!$I$13:$J$19,2,TRUE),IF(AND(U247&gt;=79),VLOOKUP(I247,'H&amp;R Look Up'!$M$13:$N$18,2,TRUE),"")))))</f>
        <v/>
      </c>
      <c r="U247" s="222" t="str">
        <f t="shared" si="4"/>
        <v/>
      </c>
    </row>
    <row r="248" spans="1:21" s="108" customFormat="1" ht="15.75">
      <c r="A248" s="119"/>
      <c r="B248" s="120"/>
      <c r="C248" s="111"/>
      <c r="D248" s="111"/>
      <c r="E248" s="121"/>
      <c r="F248" s="121"/>
      <c r="G248" s="113"/>
      <c r="H248" s="104"/>
      <c r="I248" s="219"/>
      <c r="J248" s="200" t="str">
        <f>IF(E248="","",IF(AND(U248&lt;=66),VLOOKUP(I248,'H&amp;R Look Up'!$A$13:$B$21,2,TRUE),IF(AND(U248&gt;=67,U248&lt;=72),VLOOKUP(I248,'H&amp;R Look Up'!$E$13:$F$20,2,TRUE),IF(AND(U248&gt;=73,U248&lt;=78),VLOOKUP(I248,'H&amp;R Look Up'!$I$13:$J$19,2,TRUE),IF(AND(U248&gt;=79),VLOOKUP(I248,'H&amp;R Look Up'!$M$13:$N$18,2,TRUE),"")))))</f>
        <v/>
      </c>
      <c r="U248" s="222" t="str">
        <f t="shared" si="4"/>
        <v/>
      </c>
    </row>
    <row r="249" spans="1:21" s="108" customFormat="1" ht="15.75">
      <c r="A249" s="119"/>
      <c r="B249" s="120"/>
      <c r="C249" s="111"/>
      <c r="D249" s="111"/>
      <c r="E249" s="121"/>
      <c r="F249" s="121"/>
      <c r="G249" s="113"/>
      <c r="H249" s="104"/>
      <c r="I249" s="219"/>
      <c r="J249" s="200" t="str">
        <f>IF(E249="","",IF(AND(U249&lt;=66),VLOOKUP(I249,'H&amp;R Look Up'!$A$13:$B$21,2,TRUE),IF(AND(U249&gt;=67,U249&lt;=72),VLOOKUP(I249,'H&amp;R Look Up'!$E$13:$F$20,2,TRUE),IF(AND(U249&gt;=73,U249&lt;=78),VLOOKUP(I249,'H&amp;R Look Up'!$I$13:$J$19,2,TRUE),IF(AND(U249&gt;=79),VLOOKUP(I249,'H&amp;R Look Up'!$M$13:$N$18,2,TRUE),"")))))</f>
        <v/>
      </c>
      <c r="U249" s="222" t="str">
        <f t="shared" si="4"/>
        <v/>
      </c>
    </row>
    <row r="250" spans="1:21" s="108" customFormat="1" ht="15.75">
      <c r="A250" s="119"/>
      <c r="B250" s="120"/>
      <c r="C250" s="111"/>
      <c r="D250" s="111"/>
      <c r="E250" s="121"/>
      <c r="F250" s="121"/>
      <c r="G250" s="113"/>
      <c r="H250" s="104"/>
      <c r="I250" s="219"/>
      <c r="J250" s="200" t="str">
        <f>IF(E250="","",IF(AND(U250&lt;=66),VLOOKUP(I250,'H&amp;R Look Up'!$A$13:$B$21,2,TRUE),IF(AND(U250&gt;=67,U250&lt;=72),VLOOKUP(I250,'H&amp;R Look Up'!$E$13:$F$20,2,TRUE),IF(AND(U250&gt;=73,U250&lt;=78),VLOOKUP(I250,'H&amp;R Look Up'!$I$13:$J$19,2,TRUE),IF(AND(U250&gt;=79),VLOOKUP(I250,'H&amp;R Look Up'!$M$13:$N$18,2,TRUE),"")))))</f>
        <v/>
      </c>
      <c r="U250" s="222" t="str">
        <f t="shared" si="4"/>
        <v/>
      </c>
    </row>
    <row r="251" spans="1:21" s="108" customFormat="1" ht="15.75">
      <c r="A251" s="119"/>
      <c r="B251" s="120"/>
      <c r="C251" s="111"/>
      <c r="D251" s="111"/>
      <c r="E251" s="121"/>
      <c r="F251" s="121"/>
      <c r="G251" s="113"/>
      <c r="H251" s="104"/>
      <c r="I251" s="219"/>
      <c r="J251" s="200" t="str">
        <f>IF(E251="","",IF(AND(U251&lt;=66),VLOOKUP(I251,'H&amp;R Look Up'!$A$13:$B$21,2,TRUE),IF(AND(U251&gt;=67,U251&lt;=72),VLOOKUP(I251,'H&amp;R Look Up'!$E$13:$F$20,2,TRUE),IF(AND(U251&gt;=73,U251&lt;=78),VLOOKUP(I251,'H&amp;R Look Up'!$I$13:$J$19,2,TRUE),IF(AND(U251&gt;=79),VLOOKUP(I251,'H&amp;R Look Up'!$M$13:$N$18,2,TRUE),"")))))</f>
        <v/>
      </c>
      <c r="U251" s="222" t="str">
        <f t="shared" si="4"/>
        <v/>
      </c>
    </row>
    <row r="252" spans="1:21" s="108" customFormat="1" ht="15.75">
      <c r="A252" s="119"/>
      <c r="B252" s="120"/>
      <c r="C252" s="111"/>
      <c r="D252" s="111"/>
      <c r="E252" s="121"/>
      <c r="F252" s="121"/>
      <c r="G252" s="113"/>
      <c r="H252" s="104"/>
      <c r="I252" s="219"/>
      <c r="J252" s="200" t="str">
        <f>IF(E252="","",IF(AND(U252&lt;=66),VLOOKUP(I252,'H&amp;R Look Up'!$A$13:$B$21,2,TRUE),IF(AND(U252&gt;=67,U252&lt;=72),VLOOKUP(I252,'H&amp;R Look Up'!$E$13:$F$20,2,TRUE),IF(AND(U252&gt;=73,U252&lt;=78),VLOOKUP(I252,'H&amp;R Look Up'!$I$13:$J$19,2,TRUE),IF(AND(U252&gt;=79),VLOOKUP(I252,'H&amp;R Look Up'!$M$13:$N$18,2,TRUE),"")))))</f>
        <v/>
      </c>
      <c r="U252" s="222" t="str">
        <f t="shared" si="4"/>
        <v/>
      </c>
    </row>
    <row r="253" spans="1:21" s="108" customFormat="1" ht="15.75">
      <c r="A253" s="119"/>
      <c r="B253" s="120"/>
      <c r="C253" s="111"/>
      <c r="D253" s="111"/>
      <c r="E253" s="121"/>
      <c r="F253" s="121"/>
      <c r="G253" s="113"/>
      <c r="H253" s="104"/>
      <c r="I253" s="219"/>
      <c r="J253" s="200" t="str">
        <f>IF(E253="","",IF(AND(U253&lt;=66),VLOOKUP(I253,'H&amp;R Look Up'!$A$13:$B$21,2,TRUE),IF(AND(U253&gt;=67,U253&lt;=72),VLOOKUP(I253,'H&amp;R Look Up'!$E$13:$F$20,2,TRUE),IF(AND(U253&gt;=73,U253&lt;=78),VLOOKUP(I253,'H&amp;R Look Up'!$I$13:$J$19,2,TRUE),IF(AND(U253&gt;=79),VLOOKUP(I253,'H&amp;R Look Up'!$M$13:$N$18,2,TRUE),"")))))</f>
        <v/>
      </c>
      <c r="U253" s="222" t="str">
        <f t="shared" si="4"/>
        <v/>
      </c>
    </row>
    <row r="254" spans="1:21" s="108" customFormat="1" ht="15.75">
      <c r="A254" s="119"/>
      <c r="B254" s="120"/>
      <c r="C254" s="111"/>
      <c r="D254" s="111"/>
      <c r="E254" s="121"/>
      <c r="F254" s="121"/>
      <c r="G254" s="113"/>
      <c r="H254" s="104"/>
      <c r="I254" s="219"/>
      <c r="J254" s="200" t="str">
        <f>IF(E254="","",IF(AND(U254&lt;=66),VLOOKUP(I254,'H&amp;R Look Up'!$A$13:$B$21,2,TRUE),IF(AND(U254&gt;=67,U254&lt;=72),VLOOKUP(I254,'H&amp;R Look Up'!$E$13:$F$20,2,TRUE),IF(AND(U254&gt;=73,U254&lt;=78),VLOOKUP(I254,'H&amp;R Look Up'!$I$13:$J$19,2,TRUE),IF(AND(U254&gt;=79),VLOOKUP(I254,'H&amp;R Look Up'!$M$13:$N$18,2,TRUE),"")))))</f>
        <v/>
      </c>
      <c r="U254" s="222" t="str">
        <f t="shared" si="4"/>
        <v/>
      </c>
    </row>
    <row r="255" spans="1:21" s="108" customFormat="1" ht="15.75">
      <c r="A255" s="119"/>
      <c r="B255" s="120"/>
      <c r="C255" s="111"/>
      <c r="D255" s="111"/>
      <c r="E255" s="121"/>
      <c r="F255" s="121"/>
      <c r="G255" s="113"/>
      <c r="H255" s="104"/>
      <c r="I255" s="219"/>
      <c r="J255" s="200" t="str">
        <f>IF(E255="","",IF(AND(U255&lt;=66),VLOOKUP(I255,'H&amp;R Look Up'!$A$13:$B$21,2,TRUE),IF(AND(U255&gt;=67,U255&lt;=72),VLOOKUP(I255,'H&amp;R Look Up'!$E$13:$F$20,2,TRUE),IF(AND(U255&gt;=73,U255&lt;=78),VLOOKUP(I255,'H&amp;R Look Up'!$I$13:$J$19,2,TRUE),IF(AND(U255&gt;=79),VLOOKUP(I255,'H&amp;R Look Up'!$M$13:$N$18,2,TRUE),"")))))</f>
        <v/>
      </c>
      <c r="U255" s="222" t="str">
        <f t="shared" si="4"/>
        <v/>
      </c>
    </row>
    <row r="256" spans="1:21" s="108" customFormat="1" ht="15.75">
      <c r="A256" s="119"/>
      <c r="B256" s="120"/>
      <c r="C256" s="111"/>
      <c r="D256" s="111"/>
      <c r="E256" s="121"/>
      <c r="F256" s="121"/>
      <c r="G256" s="113"/>
      <c r="H256" s="104"/>
      <c r="I256" s="219"/>
      <c r="J256" s="200" t="str">
        <f>IF(E256="","",IF(AND(U256&lt;=66),VLOOKUP(I256,'H&amp;R Look Up'!$A$13:$B$21,2,TRUE),IF(AND(U256&gt;=67,U256&lt;=72),VLOOKUP(I256,'H&amp;R Look Up'!$E$13:$F$20,2,TRUE),IF(AND(U256&gt;=73,U256&lt;=78),VLOOKUP(I256,'H&amp;R Look Up'!$I$13:$J$19,2,TRUE),IF(AND(U256&gt;=79),VLOOKUP(I256,'H&amp;R Look Up'!$M$13:$N$18,2,TRUE),"")))))</f>
        <v/>
      </c>
      <c r="U256" s="222" t="str">
        <f t="shared" si="4"/>
        <v/>
      </c>
    </row>
    <row r="257" spans="1:21" s="108" customFormat="1" ht="15.75">
      <c r="A257" s="119"/>
      <c r="B257" s="120"/>
      <c r="C257" s="111"/>
      <c r="D257" s="111"/>
      <c r="E257" s="121"/>
      <c r="F257" s="121"/>
      <c r="G257" s="113"/>
      <c r="H257" s="104"/>
      <c r="I257" s="219"/>
      <c r="J257" s="200" t="str">
        <f>IF(E257="","",IF(AND(U257&lt;=66),VLOOKUP(I257,'H&amp;R Look Up'!$A$13:$B$21,2,TRUE),IF(AND(U257&gt;=67,U257&lt;=72),VLOOKUP(I257,'H&amp;R Look Up'!$E$13:$F$20,2,TRUE),IF(AND(U257&gt;=73,U257&lt;=78),VLOOKUP(I257,'H&amp;R Look Up'!$I$13:$J$19,2,TRUE),IF(AND(U257&gt;=79),VLOOKUP(I257,'H&amp;R Look Up'!$M$13:$N$18,2,TRUE),"")))))</f>
        <v/>
      </c>
      <c r="U257" s="222" t="str">
        <f t="shared" si="4"/>
        <v/>
      </c>
    </row>
    <row r="258" spans="1:21" s="108" customFormat="1" ht="15.75">
      <c r="A258" s="119"/>
      <c r="B258" s="120"/>
      <c r="C258" s="111"/>
      <c r="D258" s="111"/>
      <c r="E258" s="121"/>
      <c r="F258" s="121"/>
      <c r="G258" s="113"/>
      <c r="H258" s="104"/>
      <c r="I258" s="219"/>
      <c r="J258" s="200" t="str">
        <f>IF(E258="","",IF(AND(U258&lt;=66),VLOOKUP(I258,'H&amp;R Look Up'!$A$13:$B$21,2,TRUE),IF(AND(U258&gt;=67,U258&lt;=72),VLOOKUP(I258,'H&amp;R Look Up'!$E$13:$F$20,2,TRUE),IF(AND(U258&gt;=73,U258&lt;=78),VLOOKUP(I258,'H&amp;R Look Up'!$I$13:$J$19,2,TRUE),IF(AND(U258&gt;=79),VLOOKUP(I258,'H&amp;R Look Up'!$M$13:$N$18,2,TRUE),"")))))</f>
        <v/>
      </c>
      <c r="U258" s="222" t="str">
        <f t="shared" si="4"/>
        <v/>
      </c>
    </row>
    <row r="259" spans="1:21" s="108" customFormat="1" ht="15.75">
      <c r="A259" s="119"/>
      <c r="B259" s="120"/>
      <c r="C259" s="111"/>
      <c r="D259" s="111"/>
      <c r="E259" s="121"/>
      <c r="F259" s="121"/>
      <c r="G259" s="113"/>
      <c r="H259" s="104"/>
      <c r="I259" s="219"/>
      <c r="J259" s="200" t="str">
        <f>IF(E259="","",IF(AND(U259&lt;=66),VLOOKUP(I259,'H&amp;R Look Up'!$A$13:$B$21,2,TRUE),IF(AND(U259&gt;=67,U259&lt;=72),VLOOKUP(I259,'H&amp;R Look Up'!$E$13:$F$20,2,TRUE),IF(AND(U259&gt;=73,U259&lt;=78),VLOOKUP(I259,'H&amp;R Look Up'!$I$13:$J$19,2,TRUE),IF(AND(U259&gt;=79),VLOOKUP(I259,'H&amp;R Look Up'!$M$13:$N$18,2,TRUE),"")))))</f>
        <v/>
      </c>
      <c r="U259" s="222" t="str">
        <f t="shared" si="4"/>
        <v/>
      </c>
    </row>
    <row r="260" spans="1:21" s="108" customFormat="1" ht="15.75">
      <c r="A260" s="119"/>
      <c r="B260" s="120"/>
      <c r="C260" s="111"/>
      <c r="D260" s="111"/>
      <c r="E260" s="121"/>
      <c r="F260" s="121"/>
      <c r="G260" s="113"/>
      <c r="H260" s="104"/>
      <c r="I260" s="219"/>
      <c r="J260" s="200" t="str">
        <f>IF(E260="","",IF(AND(U260&lt;=66),VLOOKUP(I260,'H&amp;R Look Up'!$A$13:$B$21,2,TRUE),IF(AND(U260&gt;=67,U260&lt;=72),VLOOKUP(I260,'H&amp;R Look Up'!$E$13:$F$20,2,TRUE),IF(AND(U260&gt;=73,U260&lt;=78),VLOOKUP(I260,'H&amp;R Look Up'!$I$13:$J$19,2,TRUE),IF(AND(U260&gt;=79),VLOOKUP(I260,'H&amp;R Look Up'!$M$13:$N$18,2,TRUE),"")))))</f>
        <v/>
      </c>
      <c r="U260" s="222" t="str">
        <f t="shared" si="4"/>
        <v/>
      </c>
    </row>
    <row r="261" spans="1:21" s="108" customFormat="1" ht="15.75">
      <c r="A261" s="119"/>
      <c r="B261" s="120"/>
      <c r="C261" s="111"/>
      <c r="D261" s="111"/>
      <c r="E261" s="121"/>
      <c r="F261" s="121"/>
      <c r="G261" s="113"/>
      <c r="H261" s="104"/>
      <c r="I261" s="219"/>
      <c r="J261" s="200" t="str">
        <f>IF(E261="","",IF(AND(U261&lt;=66),VLOOKUP(I261,'H&amp;R Look Up'!$A$13:$B$21,2,TRUE),IF(AND(U261&gt;=67,U261&lt;=72),VLOOKUP(I261,'H&amp;R Look Up'!$E$13:$F$20,2,TRUE),IF(AND(U261&gt;=73,U261&lt;=78),VLOOKUP(I261,'H&amp;R Look Up'!$I$13:$J$19,2,TRUE),IF(AND(U261&gt;=79),VLOOKUP(I261,'H&amp;R Look Up'!$M$13:$N$18,2,TRUE),"")))))</f>
        <v/>
      </c>
      <c r="U261" s="222" t="str">
        <f t="shared" si="4"/>
        <v/>
      </c>
    </row>
    <row r="262" spans="1:21" s="108" customFormat="1" ht="15.75">
      <c r="A262" s="119"/>
      <c r="B262" s="120"/>
      <c r="C262" s="111"/>
      <c r="D262" s="111"/>
      <c r="E262" s="121"/>
      <c r="F262" s="121"/>
      <c r="G262" s="113"/>
      <c r="H262" s="104"/>
      <c r="I262" s="219"/>
      <c r="J262" s="200" t="str">
        <f>IF(E262="","",IF(AND(U262&lt;=66),VLOOKUP(I262,'H&amp;R Look Up'!$A$13:$B$21,2,TRUE),IF(AND(U262&gt;=67,U262&lt;=72),VLOOKUP(I262,'H&amp;R Look Up'!$E$13:$F$20,2,TRUE),IF(AND(U262&gt;=73,U262&lt;=78),VLOOKUP(I262,'H&amp;R Look Up'!$I$13:$J$19,2,TRUE),IF(AND(U262&gt;=79),VLOOKUP(I262,'H&amp;R Look Up'!$M$13:$N$18,2,TRUE),"")))))</f>
        <v/>
      </c>
      <c r="U262" s="222" t="str">
        <f t="shared" ref="U262:U325" si="5">IF(E262="","",DATEDIF(B262,A262,"m"))</f>
        <v/>
      </c>
    </row>
    <row r="263" spans="1:21" s="108" customFormat="1" ht="15.75">
      <c r="A263" s="119"/>
      <c r="B263" s="120"/>
      <c r="C263" s="111"/>
      <c r="D263" s="111"/>
      <c r="E263" s="121"/>
      <c r="F263" s="121"/>
      <c r="G263" s="113"/>
      <c r="H263" s="104"/>
      <c r="I263" s="219"/>
      <c r="J263" s="200" t="str">
        <f>IF(E263="","",IF(AND(U263&lt;=66),VLOOKUP(I263,'H&amp;R Look Up'!$A$13:$B$21,2,TRUE),IF(AND(U263&gt;=67,U263&lt;=72),VLOOKUP(I263,'H&amp;R Look Up'!$E$13:$F$20,2,TRUE),IF(AND(U263&gt;=73,U263&lt;=78),VLOOKUP(I263,'H&amp;R Look Up'!$I$13:$J$19,2,TRUE),IF(AND(U263&gt;=79),VLOOKUP(I263,'H&amp;R Look Up'!$M$13:$N$18,2,TRUE),"")))))</f>
        <v/>
      </c>
      <c r="U263" s="222" t="str">
        <f t="shared" si="5"/>
        <v/>
      </c>
    </row>
    <row r="264" spans="1:21" s="108" customFormat="1" ht="15.75">
      <c r="A264" s="119"/>
      <c r="B264" s="120"/>
      <c r="C264" s="111"/>
      <c r="D264" s="111"/>
      <c r="E264" s="121"/>
      <c r="F264" s="121"/>
      <c r="G264" s="113"/>
      <c r="H264" s="104"/>
      <c r="I264" s="219"/>
      <c r="J264" s="200" t="str">
        <f>IF(E264="","",IF(AND(U264&lt;=66),VLOOKUP(I264,'H&amp;R Look Up'!$A$13:$B$21,2,TRUE),IF(AND(U264&gt;=67,U264&lt;=72),VLOOKUP(I264,'H&amp;R Look Up'!$E$13:$F$20,2,TRUE),IF(AND(U264&gt;=73,U264&lt;=78),VLOOKUP(I264,'H&amp;R Look Up'!$I$13:$J$19,2,TRUE),IF(AND(U264&gt;=79),VLOOKUP(I264,'H&amp;R Look Up'!$M$13:$N$18,2,TRUE),"")))))</f>
        <v/>
      </c>
      <c r="U264" s="222" t="str">
        <f t="shared" si="5"/>
        <v/>
      </c>
    </row>
    <row r="265" spans="1:21" s="108" customFormat="1" ht="15.75">
      <c r="A265" s="119"/>
      <c r="B265" s="120"/>
      <c r="C265" s="111"/>
      <c r="D265" s="111"/>
      <c r="E265" s="121"/>
      <c r="F265" s="121"/>
      <c r="G265" s="113"/>
      <c r="H265" s="104"/>
      <c r="I265" s="219"/>
      <c r="J265" s="200" t="str">
        <f>IF(E265="","",IF(AND(U265&lt;=66),VLOOKUP(I265,'H&amp;R Look Up'!$A$13:$B$21,2,TRUE),IF(AND(U265&gt;=67,U265&lt;=72),VLOOKUP(I265,'H&amp;R Look Up'!$E$13:$F$20,2,TRUE),IF(AND(U265&gt;=73,U265&lt;=78),VLOOKUP(I265,'H&amp;R Look Up'!$I$13:$J$19,2,TRUE),IF(AND(U265&gt;=79),VLOOKUP(I265,'H&amp;R Look Up'!$M$13:$N$18,2,TRUE),"")))))</f>
        <v/>
      </c>
      <c r="U265" s="222" t="str">
        <f t="shared" si="5"/>
        <v/>
      </c>
    </row>
    <row r="266" spans="1:21" s="108" customFormat="1" ht="15.75">
      <c r="A266" s="119"/>
      <c r="B266" s="120"/>
      <c r="C266" s="111"/>
      <c r="D266" s="111"/>
      <c r="E266" s="121"/>
      <c r="F266" s="121"/>
      <c r="G266" s="113"/>
      <c r="H266" s="104"/>
      <c r="I266" s="219"/>
      <c r="J266" s="200" t="str">
        <f>IF(E266="","",IF(AND(U266&lt;=66),VLOOKUP(I266,'H&amp;R Look Up'!$A$13:$B$21,2,TRUE),IF(AND(U266&gt;=67,U266&lt;=72),VLOOKUP(I266,'H&amp;R Look Up'!$E$13:$F$20,2,TRUE),IF(AND(U266&gt;=73,U266&lt;=78),VLOOKUP(I266,'H&amp;R Look Up'!$I$13:$J$19,2,TRUE),IF(AND(U266&gt;=79),VLOOKUP(I266,'H&amp;R Look Up'!$M$13:$N$18,2,TRUE),"")))))</f>
        <v/>
      </c>
      <c r="U266" s="222" t="str">
        <f t="shared" si="5"/>
        <v/>
      </c>
    </row>
    <row r="267" spans="1:21" s="108" customFormat="1" ht="15.75">
      <c r="A267" s="119"/>
      <c r="B267" s="120"/>
      <c r="C267" s="111"/>
      <c r="D267" s="111"/>
      <c r="E267" s="121"/>
      <c r="F267" s="121"/>
      <c r="G267" s="113"/>
      <c r="H267" s="104"/>
      <c r="I267" s="219"/>
      <c r="J267" s="200" t="str">
        <f>IF(E267="","",IF(AND(U267&lt;=66),VLOOKUP(I267,'H&amp;R Look Up'!$A$13:$B$21,2,TRUE),IF(AND(U267&gt;=67,U267&lt;=72),VLOOKUP(I267,'H&amp;R Look Up'!$E$13:$F$20,2,TRUE),IF(AND(U267&gt;=73,U267&lt;=78),VLOOKUP(I267,'H&amp;R Look Up'!$I$13:$J$19,2,TRUE),IF(AND(U267&gt;=79),VLOOKUP(I267,'H&amp;R Look Up'!$M$13:$N$18,2,TRUE),"")))))</f>
        <v/>
      </c>
      <c r="U267" s="222" t="str">
        <f t="shared" si="5"/>
        <v/>
      </c>
    </row>
    <row r="268" spans="1:21" s="108" customFormat="1" ht="15.75">
      <c r="A268" s="119"/>
      <c r="B268" s="120"/>
      <c r="C268" s="111"/>
      <c r="D268" s="111"/>
      <c r="E268" s="121"/>
      <c r="F268" s="121"/>
      <c r="G268" s="113"/>
      <c r="H268" s="104"/>
      <c r="I268" s="219"/>
      <c r="J268" s="200" t="str">
        <f>IF(E268="","",IF(AND(U268&lt;=66),VLOOKUP(I268,'H&amp;R Look Up'!$A$13:$B$21,2,TRUE),IF(AND(U268&gt;=67,U268&lt;=72),VLOOKUP(I268,'H&amp;R Look Up'!$E$13:$F$20,2,TRUE),IF(AND(U268&gt;=73,U268&lt;=78),VLOOKUP(I268,'H&amp;R Look Up'!$I$13:$J$19,2,TRUE),IF(AND(U268&gt;=79),VLOOKUP(I268,'H&amp;R Look Up'!$M$13:$N$18,2,TRUE),"")))))</f>
        <v/>
      </c>
      <c r="U268" s="222" t="str">
        <f t="shared" si="5"/>
        <v/>
      </c>
    </row>
    <row r="269" spans="1:21" s="108" customFormat="1" ht="15.75">
      <c r="A269" s="119"/>
      <c r="B269" s="120"/>
      <c r="C269" s="111"/>
      <c r="D269" s="111"/>
      <c r="E269" s="121"/>
      <c r="F269" s="121"/>
      <c r="G269" s="113"/>
      <c r="H269" s="104"/>
      <c r="I269" s="219"/>
      <c r="J269" s="200" t="str">
        <f>IF(E269="","",IF(AND(U269&lt;=66),VLOOKUP(I269,'H&amp;R Look Up'!$A$13:$B$21,2,TRUE),IF(AND(U269&gt;=67,U269&lt;=72),VLOOKUP(I269,'H&amp;R Look Up'!$E$13:$F$20,2,TRUE),IF(AND(U269&gt;=73,U269&lt;=78),VLOOKUP(I269,'H&amp;R Look Up'!$I$13:$J$19,2,TRUE),IF(AND(U269&gt;=79),VLOOKUP(I269,'H&amp;R Look Up'!$M$13:$N$18,2,TRUE),"")))))</f>
        <v/>
      </c>
      <c r="U269" s="222" t="str">
        <f t="shared" si="5"/>
        <v/>
      </c>
    </row>
    <row r="270" spans="1:21" s="108" customFormat="1" ht="15.75">
      <c r="A270" s="119"/>
      <c r="B270" s="120"/>
      <c r="C270" s="111"/>
      <c r="D270" s="111"/>
      <c r="E270" s="121"/>
      <c r="F270" s="121"/>
      <c r="G270" s="113"/>
      <c r="H270" s="104"/>
      <c r="I270" s="219"/>
      <c r="J270" s="200" t="str">
        <f>IF(E270="","",IF(AND(U270&lt;=66),VLOOKUP(I270,'H&amp;R Look Up'!$A$13:$B$21,2,TRUE),IF(AND(U270&gt;=67,U270&lt;=72),VLOOKUP(I270,'H&amp;R Look Up'!$E$13:$F$20,2,TRUE),IF(AND(U270&gt;=73,U270&lt;=78),VLOOKUP(I270,'H&amp;R Look Up'!$I$13:$J$19,2,TRUE),IF(AND(U270&gt;=79),VLOOKUP(I270,'H&amp;R Look Up'!$M$13:$N$18,2,TRUE),"")))))</f>
        <v/>
      </c>
      <c r="U270" s="222" t="str">
        <f t="shared" si="5"/>
        <v/>
      </c>
    </row>
    <row r="271" spans="1:21" s="108" customFormat="1" ht="15.75">
      <c r="A271" s="119"/>
      <c r="B271" s="120"/>
      <c r="C271" s="111"/>
      <c r="D271" s="111"/>
      <c r="E271" s="121"/>
      <c r="F271" s="121"/>
      <c r="G271" s="113"/>
      <c r="H271" s="104"/>
      <c r="I271" s="219"/>
      <c r="J271" s="200" t="str">
        <f>IF(E271="","",IF(AND(U271&lt;=66),VLOOKUP(I271,'H&amp;R Look Up'!$A$13:$B$21,2,TRUE),IF(AND(U271&gt;=67,U271&lt;=72),VLOOKUP(I271,'H&amp;R Look Up'!$E$13:$F$20,2,TRUE),IF(AND(U271&gt;=73,U271&lt;=78),VLOOKUP(I271,'H&amp;R Look Up'!$I$13:$J$19,2,TRUE),IF(AND(U271&gt;=79),VLOOKUP(I271,'H&amp;R Look Up'!$M$13:$N$18,2,TRUE),"")))))</f>
        <v/>
      </c>
      <c r="U271" s="222" t="str">
        <f t="shared" si="5"/>
        <v/>
      </c>
    </row>
    <row r="272" spans="1:21" s="108" customFormat="1" ht="15.75">
      <c r="A272" s="119"/>
      <c r="B272" s="120"/>
      <c r="C272" s="111"/>
      <c r="D272" s="111"/>
      <c r="E272" s="121"/>
      <c r="F272" s="121"/>
      <c r="G272" s="113"/>
      <c r="H272" s="104"/>
      <c r="I272" s="219"/>
      <c r="J272" s="200" t="str">
        <f>IF(E272="","",IF(AND(U272&lt;=66),VLOOKUP(I272,'H&amp;R Look Up'!$A$13:$B$21,2,TRUE),IF(AND(U272&gt;=67,U272&lt;=72),VLOOKUP(I272,'H&amp;R Look Up'!$E$13:$F$20,2,TRUE),IF(AND(U272&gt;=73,U272&lt;=78),VLOOKUP(I272,'H&amp;R Look Up'!$I$13:$J$19,2,TRUE),IF(AND(U272&gt;=79),VLOOKUP(I272,'H&amp;R Look Up'!$M$13:$N$18,2,TRUE),"")))))</f>
        <v/>
      </c>
      <c r="U272" s="222" t="str">
        <f t="shared" si="5"/>
        <v/>
      </c>
    </row>
    <row r="273" spans="1:21" s="108" customFormat="1" ht="15.75">
      <c r="A273" s="119"/>
      <c r="B273" s="120"/>
      <c r="C273" s="111"/>
      <c r="D273" s="111"/>
      <c r="E273" s="121"/>
      <c r="F273" s="121"/>
      <c r="G273" s="113"/>
      <c r="H273" s="104"/>
      <c r="I273" s="219"/>
      <c r="J273" s="200" t="str">
        <f>IF(E273="","",IF(AND(U273&lt;=66),VLOOKUP(I273,'H&amp;R Look Up'!$A$13:$B$21,2,TRUE),IF(AND(U273&gt;=67,U273&lt;=72),VLOOKUP(I273,'H&amp;R Look Up'!$E$13:$F$20,2,TRUE),IF(AND(U273&gt;=73,U273&lt;=78),VLOOKUP(I273,'H&amp;R Look Up'!$I$13:$J$19,2,TRUE),IF(AND(U273&gt;=79),VLOOKUP(I273,'H&amp;R Look Up'!$M$13:$N$18,2,TRUE),"")))))</f>
        <v/>
      </c>
      <c r="U273" s="222" t="str">
        <f t="shared" si="5"/>
        <v/>
      </c>
    </row>
    <row r="274" spans="1:21" s="108" customFormat="1" ht="15.75">
      <c r="A274" s="119"/>
      <c r="B274" s="120"/>
      <c r="C274" s="111"/>
      <c r="D274" s="111"/>
      <c r="E274" s="121"/>
      <c r="F274" s="121"/>
      <c r="G274" s="113"/>
      <c r="H274" s="104"/>
      <c r="I274" s="219"/>
      <c r="J274" s="200" t="str">
        <f>IF(E274="","",IF(AND(U274&lt;=66),VLOOKUP(I274,'H&amp;R Look Up'!$A$13:$B$21,2,TRUE),IF(AND(U274&gt;=67,U274&lt;=72),VLOOKUP(I274,'H&amp;R Look Up'!$E$13:$F$20,2,TRUE),IF(AND(U274&gt;=73,U274&lt;=78),VLOOKUP(I274,'H&amp;R Look Up'!$I$13:$J$19,2,TRUE),IF(AND(U274&gt;=79),VLOOKUP(I274,'H&amp;R Look Up'!$M$13:$N$18,2,TRUE),"")))))</f>
        <v/>
      </c>
      <c r="U274" s="222" t="str">
        <f t="shared" si="5"/>
        <v/>
      </c>
    </row>
    <row r="275" spans="1:21" s="108" customFormat="1" ht="15.75">
      <c r="A275" s="119"/>
      <c r="B275" s="120"/>
      <c r="C275" s="111"/>
      <c r="D275" s="111"/>
      <c r="E275" s="121"/>
      <c r="F275" s="121"/>
      <c r="G275" s="113"/>
      <c r="H275" s="104"/>
      <c r="I275" s="219"/>
      <c r="J275" s="200" t="str">
        <f>IF(E275="","",IF(AND(U275&lt;=66),VLOOKUP(I275,'H&amp;R Look Up'!$A$13:$B$21,2,TRUE),IF(AND(U275&gt;=67,U275&lt;=72),VLOOKUP(I275,'H&amp;R Look Up'!$E$13:$F$20,2,TRUE),IF(AND(U275&gt;=73,U275&lt;=78),VLOOKUP(I275,'H&amp;R Look Up'!$I$13:$J$19,2,TRUE),IF(AND(U275&gt;=79),VLOOKUP(I275,'H&amp;R Look Up'!$M$13:$N$18,2,TRUE),"")))))</f>
        <v/>
      </c>
      <c r="U275" s="222" t="str">
        <f t="shared" si="5"/>
        <v/>
      </c>
    </row>
    <row r="276" spans="1:21" s="108" customFormat="1" ht="15.75">
      <c r="A276" s="119"/>
      <c r="B276" s="120"/>
      <c r="C276" s="111"/>
      <c r="D276" s="111"/>
      <c r="E276" s="121"/>
      <c r="F276" s="121"/>
      <c r="G276" s="113"/>
      <c r="H276" s="104"/>
      <c r="I276" s="219"/>
      <c r="J276" s="200" t="str">
        <f>IF(E276="","",IF(AND(U276&lt;=66),VLOOKUP(I276,'H&amp;R Look Up'!$A$13:$B$21,2,TRUE),IF(AND(U276&gt;=67,U276&lt;=72),VLOOKUP(I276,'H&amp;R Look Up'!$E$13:$F$20,2,TRUE),IF(AND(U276&gt;=73,U276&lt;=78),VLOOKUP(I276,'H&amp;R Look Up'!$I$13:$J$19,2,TRUE),IF(AND(U276&gt;=79),VLOOKUP(I276,'H&amp;R Look Up'!$M$13:$N$18,2,TRUE),"")))))</f>
        <v/>
      </c>
      <c r="U276" s="222" t="str">
        <f t="shared" si="5"/>
        <v/>
      </c>
    </row>
    <row r="277" spans="1:21" s="108" customFormat="1" ht="15.75">
      <c r="A277" s="119"/>
      <c r="B277" s="120"/>
      <c r="C277" s="111"/>
      <c r="D277" s="111"/>
      <c r="E277" s="121"/>
      <c r="F277" s="121"/>
      <c r="G277" s="113"/>
      <c r="H277" s="104"/>
      <c r="I277" s="219"/>
      <c r="J277" s="200" t="str">
        <f>IF(E277="","",IF(AND(U277&lt;=66),VLOOKUP(I277,'H&amp;R Look Up'!$A$13:$B$21,2,TRUE),IF(AND(U277&gt;=67,U277&lt;=72),VLOOKUP(I277,'H&amp;R Look Up'!$E$13:$F$20,2,TRUE),IF(AND(U277&gt;=73,U277&lt;=78),VLOOKUP(I277,'H&amp;R Look Up'!$I$13:$J$19,2,TRUE),IF(AND(U277&gt;=79),VLOOKUP(I277,'H&amp;R Look Up'!$M$13:$N$18,2,TRUE),"")))))</f>
        <v/>
      </c>
      <c r="U277" s="222" t="str">
        <f t="shared" si="5"/>
        <v/>
      </c>
    </row>
    <row r="278" spans="1:21" s="108" customFormat="1" ht="15.75">
      <c r="A278" s="119"/>
      <c r="B278" s="120"/>
      <c r="C278" s="111"/>
      <c r="D278" s="111"/>
      <c r="E278" s="121"/>
      <c r="F278" s="121"/>
      <c r="G278" s="113"/>
      <c r="H278" s="104"/>
      <c r="I278" s="219"/>
      <c r="J278" s="200" t="str">
        <f>IF(E278="","",IF(AND(U278&lt;=66),VLOOKUP(I278,'H&amp;R Look Up'!$A$13:$B$21,2,TRUE),IF(AND(U278&gt;=67,U278&lt;=72),VLOOKUP(I278,'H&amp;R Look Up'!$E$13:$F$20,2,TRUE),IF(AND(U278&gt;=73,U278&lt;=78),VLOOKUP(I278,'H&amp;R Look Up'!$I$13:$J$19,2,TRUE),IF(AND(U278&gt;=79),VLOOKUP(I278,'H&amp;R Look Up'!$M$13:$N$18,2,TRUE),"")))))</f>
        <v/>
      </c>
      <c r="U278" s="222" t="str">
        <f t="shared" si="5"/>
        <v/>
      </c>
    </row>
    <row r="279" spans="1:21" s="108" customFormat="1" ht="15.75">
      <c r="A279" s="119"/>
      <c r="B279" s="120"/>
      <c r="C279" s="111"/>
      <c r="D279" s="111"/>
      <c r="E279" s="121"/>
      <c r="F279" s="121"/>
      <c r="G279" s="113"/>
      <c r="H279" s="104"/>
      <c r="I279" s="219"/>
      <c r="J279" s="200" t="str">
        <f>IF(E279="","",IF(AND(U279&lt;=66),VLOOKUP(I279,'H&amp;R Look Up'!$A$13:$B$21,2,TRUE),IF(AND(U279&gt;=67,U279&lt;=72),VLOOKUP(I279,'H&amp;R Look Up'!$E$13:$F$20,2,TRUE),IF(AND(U279&gt;=73,U279&lt;=78),VLOOKUP(I279,'H&amp;R Look Up'!$I$13:$J$19,2,TRUE),IF(AND(U279&gt;=79),VLOOKUP(I279,'H&amp;R Look Up'!$M$13:$N$18,2,TRUE),"")))))</f>
        <v/>
      </c>
      <c r="U279" s="222" t="str">
        <f t="shared" si="5"/>
        <v/>
      </c>
    </row>
    <row r="280" spans="1:21" s="108" customFormat="1" ht="15.75">
      <c r="A280" s="119"/>
      <c r="B280" s="120"/>
      <c r="C280" s="111"/>
      <c r="D280" s="111"/>
      <c r="E280" s="121"/>
      <c r="F280" s="121"/>
      <c r="G280" s="113"/>
      <c r="H280" s="104"/>
      <c r="I280" s="219"/>
      <c r="J280" s="200" t="str">
        <f>IF(E280="","",IF(AND(U280&lt;=66),VLOOKUP(I280,'H&amp;R Look Up'!$A$13:$B$21,2,TRUE),IF(AND(U280&gt;=67,U280&lt;=72),VLOOKUP(I280,'H&amp;R Look Up'!$E$13:$F$20,2,TRUE),IF(AND(U280&gt;=73,U280&lt;=78),VLOOKUP(I280,'H&amp;R Look Up'!$I$13:$J$19,2,TRUE),IF(AND(U280&gt;=79),VLOOKUP(I280,'H&amp;R Look Up'!$M$13:$N$18,2,TRUE),"")))))</f>
        <v/>
      </c>
      <c r="U280" s="222" t="str">
        <f t="shared" si="5"/>
        <v/>
      </c>
    </row>
    <row r="281" spans="1:21" s="108" customFormat="1" ht="15.75">
      <c r="A281" s="119"/>
      <c r="B281" s="120"/>
      <c r="C281" s="111"/>
      <c r="D281" s="111"/>
      <c r="E281" s="121"/>
      <c r="F281" s="121"/>
      <c r="G281" s="113"/>
      <c r="H281" s="104"/>
      <c r="I281" s="219"/>
      <c r="J281" s="200" t="str">
        <f>IF(E281="","",IF(AND(U281&lt;=66),VLOOKUP(I281,'H&amp;R Look Up'!$A$13:$B$21,2,TRUE),IF(AND(U281&gt;=67,U281&lt;=72),VLOOKUP(I281,'H&amp;R Look Up'!$E$13:$F$20,2,TRUE),IF(AND(U281&gt;=73,U281&lt;=78),VLOOKUP(I281,'H&amp;R Look Up'!$I$13:$J$19,2,TRUE),IF(AND(U281&gt;=79),VLOOKUP(I281,'H&amp;R Look Up'!$M$13:$N$18,2,TRUE),"")))))</f>
        <v/>
      </c>
      <c r="U281" s="222" t="str">
        <f t="shared" si="5"/>
        <v/>
      </c>
    </row>
    <row r="282" spans="1:21" s="108" customFormat="1" ht="15.75">
      <c r="A282" s="119"/>
      <c r="B282" s="120"/>
      <c r="C282" s="111"/>
      <c r="D282" s="111"/>
      <c r="E282" s="121"/>
      <c r="F282" s="121"/>
      <c r="G282" s="113"/>
      <c r="H282" s="104"/>
      <c r="I282" s="219"/>
      <c r="J282" s="200" t="str">
        <f>IF(E282="","",IF(AND(U282&lt;=66),VLOOKUP(I282,'H&amp;R Look Up'!$A$13:$B$21,2,TRUE),IF(AND(U282&gt;=67,U282&lt;=72),VLOOKUP(I282,'H&amp;R Look Up'!$E$13:$F$20,2,TRUE),IF(AND(U282&gt;=73,U282&lt;=78),VLOOKUP(I282,'H&amp;R Look Up'!$I$13:$J$19,2,TRUE),IF(AND(U282&gt;=79),VLOOKUP(I282,'H&amp;R Look Up'!$M$13:$N$18,2,TRUE),"")))))</f>
        <v/>
      </c>
      <c r="U282" s="222" t="str">
        <f t="shared" si="5"/>
        <v/>
      </c>
    </row>
    <row r="283" spans="1:21" s="108" customFormat="1" ht="15.75">
      <c r="A283" s="119"/>
      <c r="B283" s="120"/>
      <c r="C283" s="111"/>
      <c r="D283" s="111"/>
      <c r="E283" s="121"/>
      <c r="F283" s="121"/>
      <c r="G283" s="113"/>
      <c r="H283" s="104"/>
      <c r="I283" s="219"/>
      <c r="J283" s="200" t="str">
        <f>IF(E283="","",IF(AND(U283&lt;=66),VLOOKUP(I283,'H&amp;R Look Up'!$A$13:$B$21,2,TRUE),IF(AND(U283&gt;=67,U283&lt;=72),VLOOKUP(I283,'H&amp;R Look Up'!$E$13:$F$20,2,TRUE),IF(AND(U283&gt;=73,U283&lt;=78),VLOOKUP(I283,'H&amp;R Look Up'!$I$13:$J$19,2,TRUE),IF(AND(U283&gt;=79),VLOOKUP(I283,'H&amp;R Look Up'!$M$13:$N$18,2,TRUE),"")))))</f>
        <v/>
      </c>
      <c r="U283" s="222" t="str">
        <f t="shared" si="5"/>
        <v/>
      </c>
    </row>
    <row r="284" spans="1:21" s="108" customFormat="1" ht="15.75">
      <c r="A284" s="119"/>
      <c r="B284" s="120"/>
      <c r="C284" s="111"/>
      <c r="D284" s="111"/>
      <c r="E284" s="121"/>
      <c r="F284" s="121"/>
      <c r="G284" s="113"/>
      <c r="H284" s="104"/>
      <c r="I284" s="219"/>
      <c r="J284" s="200" t="str">
        <f>IF(E284="","",IF(AND(U284&lt;=66),VLOOKUP(I284,'H&amp;R Look Up'!$A$13:$B$21,2,TRUE),IF(AND(U284&gt;=67,U284&lt;=72),VLOOKUP(I284,'H&amp;R Look Up'!$E$13:$F$20,2,TRUE),IF(AND(U284&gt;=73,U284&lt;=78),VLOOKUP(I284,'H&amp;R Look Up'!$I$13:$J$19,2,TRUE),IF(AND(U284&gt;=79),VLOOKUP(I284,'H&amp;R Look Up'!$M$13:$N$18,2,TRUE),"")))))</f>
        <v/>
      </c>
      <c r="U284" s="222" t="str">
        <f t="shared" si="5"/>
        <v/>
      </c>
    </row>
    <row r="285" spans="1:21" s="108" customFormat="1" ht="15.75">
      <c r="A285" s="119"/>
      <c r="B285" s="120"/>
      <c r="C285" s="111"/>
      <c r="D285" s="111"/>
      <c r="E285" s="121"/>
      <c r="F285" s="121"/>
      <c r="G285" s="113"/>
      <c r="H285" s="104"/>
      <c r="I285" s="219"/>
      <c r="J285" s="200" t="str">
        <f>IF(E285="","",IF(AND(U285&lt;=66),VLOOKUP(I285,'H&amp;R Look Up'!$A$13:$B$21,2,TRUE),IF(AND(U285&gt;=67,U285&lt;=72),VLOOKUP(I285,'H&amp;R Look Up'!$E$13:$F$20,2,TRUE),IF(AND(U285&gt;=73,U285&lt;=78),VLOOKUP(I285,'H&amp;R Look Up'!$I$13:$J$19,2,TRUE),IF(AND(U285&gt;=79),VLOOKUP(I285,'H&amp;R Look Up'!$M$13:$N$18,2,TRUE),"")))))</f>
        <v/>
      </c>
      <c r="U285" s="222" t="str">
        <f t="shared" si="5"/>
        <v/>
      </c>
    </row>
    <row r="286" spans="1:21" s="108" customFormat="1" ht="15.75">
      <c r="A286" s="119"/>
      <c r="B286" s="120"/>
      <c r="C286" s="111"/>
      <c r="D286" s="111"/>
      <c r="E286" s="121"/>
      <c r="F286" s="121"/>
      <c r="G286" s="113"/>
      <c r="H286" s="104"/>
      <c r="I286" s="219"/>
      <c r="J286" s="200" t="str">
        <f>IF(E286="","",IF(AND(U286&lt;=66),VLOOKUP(I286,'H&amp;R Look Up'!$A$13:$B$21,2,TRUE),IF(AND(U286&gt;=67,U286&lt;=72),VLOOKUP(I286,'H&amp;R Look Up'!$E$13:$F$20,2,TRUE),IF(AND(U286&gt;=73,U286&lt;=78),VLOOKUP(I286,'H&amp;R Look Up'!$I$13:$J$19,2,TRUE),IF(AND(U286&gt;=79),VLOOKUP(I286,'H&amp;R Look Up'!$M$13:$N$18,2,TRUE),"")))))</f>
        <v/>
      </c>
      <c r="U286" s="222" t="str">
        <f t="shared" si="5"/>
        <v/>
      </c>
    </row>
    <row r="287" spans="1:21" s="108" customFormat="1" ht="15.75">
      <c r="A287" s="119"/>
      <c r="B287" s="120"/>
      <c r="C287" s="111"/>
      <c r="D287" s="111"/>
      <c r="E287" s="121"/>
      <c r="F287" s="121"/>
      <c r="G287" s="113"/>
      <c r="H287" s="104"/>
      <c r="I287" s="219"/>
      <c r="J287" s="200" t="str">
        <f>IF(E287="","",IF(AND(U287&lt;=66),VLOOKUP(I287,'H&amp;R Look Up'!$A$13:$B$21,2,TRUE),IF(AND(U287&gt;=67,U287&lt;=72),VLOOKUP(I287,'H&amp;R Look Up'!$E$13:$F$20,2,TRUE),IF(AND(U287&gt;=73,U287&lt;=78),VLOOKUP(I287,'H&amp;R Look Up'!$I$13:$J$19,2,TRUE),IF(AND(U287&gt;=79),VLOOKUP(I287,'H&amp;R Look Up'!$M$13:$N$18,2,TRUE),"")))))</f>
        <v/>
      </c>
      <c r="U287" s="222" t="str">
        <f t="shared" si="5"/>
        <v/>
      </c>
    </row>
    <row r="288" spans="1:21" s="108" customFormat="1" ht="15.75">
      <c r="A288" s="119"/>
      <c r="B288" s="120"/>
      <c r="C288" s="111"/>
      <c r="D288" s="111"/>
      <c r="E288" s="121"/>
      <c r="F288" s="121"/>
      <c r="G288" s="113"/>
      <c r="H288" s="104"/>
      <c r="I288" s="219"/>
      <c r="J288" s="200" t="str">
        <f>IF(E288="","",IF(AND(U288&lt;=66),VLOOKUP(I288,'H&amp;R Look Up'!$A$13:$B$21,2,TRUE),IF(AND(U288&gt;=67,U288&lt;=72),VLOOKUP(I288,'H&amp;R Look Up'!$E$13:$F$20,2,TRUE),IF(AND(U288&gt;=73,U288&lt;=78),VLOOKUP(I288,'H&amp;R Look Up'!$I$13:$J$19,2,TRUE),IF(AND(U288&gt;=79),VLOOKUP(I288,'H&amp;R Look Up'!$M$13:$N$18,2,TRUE),"")))))</f>
        <v/>
      </c>
      <c r="U288" s="222" t="str">
        <f t="shared" si="5"/>
        <v/>
      </c>
    </row>
    <row r="289" spans="1:21" s="108" customFormat="1" ht="15.75">
      <c r="A289" s="119"/>
      <c r="B289" s="120"/>
      <c r="C289" s="111"/>
      <c r="D289" s="111"/>
      <c r="E289" s="121"/>
      <c r="F289" s="121"/>
      <c r="G289" s="113"/>
      <c r="H289" s="104"/>
      <c r="I289" s="219"/>
      <c r="J289" s="200" t="str">
        <f>IF(E289="","",IF(AND(U289&lt;=66),VLOOKUP(I289,'H&amp;R Look Up'!$A$13:$B$21,2,TRUE),IF(AND(U289&gt;=67,U289&lt;=72),VLOOKUP(I289,'H&amp;R Look Up'!$E$13:$F$20,2,TRUE),IF(AND(U289&gt;=73,U289&lt;=78),VLOOKUP(I289,'H&amp;R Look Up'!$I$13:$J$19,2,TRUE),IF(AND(U289&gt;=79),VLOOKUP(I289,'H&amp;R Look Up'!$M$13:$N$18,2,TRUE),"")))))</f>
        <v/>
      </c>
      <c r="U289" s="222" t="str">
        <f t="shared" si="5"/>
        <v/>
      </c>
    </row>
    <row r="290" spans="1:21" s="108" customFormat="1" ht="15.75">
      <c r="A290" s="119"/>
      <c r="B290" s="120"/>
      <c r="C290" s="111"/>
      <c r="D290" s="111"/>
      <c r="E290" s="121"/>
      <c r="F290" s="121"/>
      <c r="G290" s="113"/>
      <c r="H290" s="104"/>
      <c r="I290" s="219"/>
      <c r="J290" s="200" t="str">
        <f>IF(E290="","",IF(AND(U290&lt;=66),VLOOKUP(I290,'H&amp;R Look Up'!$A$13:$B$21,2,TRUE),IF(AND(U290&gt;=67,U290&lt;=72),VLOOKUP(I290,'H&amp;R Look Up'!$E$13:$F$20,2,TRUE),IF(AND(U290&gt;=73,U290&lt;=78),VLOOKUP(I290,'H&amp;R Look Up'!$I$13:$J$19,2,TRUE),IF(AND(U290&gt;=79),VLOOKUP(I290,'H&amp;R Look Up'!$M$13:$N$18,2,TRUE),"")))))</f>
        <v/>
      </c>
      <c r="U290" s="222" t="str">
        <f t="shared" si="5"/>
        <v/>
      </c>
    </row>
    <row r="291" spans="1:21" s="108" customFormat="1" ht="15.75">
      <c r="A291" s="119"/>
      <c r="B291" s="120"/>
      <c r="C291" s="111"/>
      <c r="D291" s="111"/>
      <c r="E291" s="121"/>
      <c r="F291" s="121"/>
      <c r="G291" s="113"/>
      <c r="H291" s="104"/>
      <c r="I291" s="219"/>
      <c r="J291" s="200" t="str">
        <f>IF(E291="","",IF(AND(U291&lt;=66),VLOOKUP(I291,'H&amp;R Look Up'!$A$13:$B$21,2,TRUE),IF(AND(U291&gt;=67,U291&lt;=72),VLOOKUP(I291,'H&amp;R Look Up'!$E$13:$F$20,2,TRUE),IF(AND(U291&gt;=73,U291&lt;=78),VLOOKUP(I291,'H&amp;R Look Up'!$I$13:$J$19,2,TRUE),IF(AND(U291&gt;=79),VLOOKUP(I291,'H&amp;R Look Up'!$M$13:$N$18,2,TRUE),"")))))</f>
        <v/>
      </c>
      <c r="U291" s="222" t="str">
        <f t="shared" si="5"/>
        <v/>
      </c>
    </row>
    <row r="292" spans="1:21" s="108" customFormat="1" ht="15.75">
      <c r="A292" s="119"/>
      <c r="B292" s="120"/>
      <c r="C292" s="111"/>
      <c r="D292" s="111"/>
      <c r="E292" s="121"/>
      <c r="F292" s="121"/>
      <c r="G292" s="113"/>
      <c r="H292" s="104"/>
      <c r="I292" s="219"/>
      <c r="J292" s="200" t="str">
        <f>IF(E292="","",IF(AND(U292&lt;=66),VLOOKUP(I292,'H&amp;R Look Up'!$A$13:$B$21,2,TRUE),IF(AND(U292&gt;=67,U292&lt;=72),VLOOKUP(I292,'H&amp;R Look Up'!$E$13:$F$20,2,TRUE),IF(AND(U292&gt;=73,U292&lt;=78),VLOOKUP(I292,'H&amp;R Look Up'!$I$13:$J$19,2,TRUE),IF(AND(U292&gt;=79),VLOOKUP(I292,'H&amp;R Look Up'!$M$13:$N$18,2,TRUE),"")))))</f>
        <v/>
      </c>
      <c r="U292" s="222" t="str">
        <f t="shared" si="5"/>
        <v/>
      </c>
    </row>
    <row r="293" spans="1:21" s="108" customFormat="1" ht="15.75">
      <c r="A293" s="119"/>
      <c r="B293" s="120"/>
      <c r="C293" s="111"/>
      <c r="D293" s="111"/>
      <c r="E293" s="121"/>
      <c r="F293" s="121"/>
      <c r="G293" s="113"/>
      <c r="H293" s="104"/>
      <c r="I293" s="219"/>
      <c r="J293" s="200" t="str">
        <f>IF(E293="","",IF(AND(U293&lt;=66),VLOOKUP(I293,'H&amp;R Look Up'!$A$13:$B$21,2,TRUE),IF(AND(U293&gt;=67,U293&lt;=72),VLOOKUP(I293,'H&amp;R Look Up'!$E$13:$F$20,2,TRUE),IF(AND(U293&gt;=73,U293&lt;=78),VLOOKUP(I293,'H&amp;R Look Up'!$I$13:$J$19,2,TRUE),IF(AND(U293&gt;=79),VLOOKUP(I293,'H&amp;R Look Up'!$M$13:$N$18,2,TRUE),"")))))</f>
        <v/>
      </c>
      <c r="U293" s="222" t="str">
        <f t="shared" si="5"/>
        <v/>
      </c>
    </row>
    <row r="294" spans="1:21" s="108" customFormat="1" ht="15.75">
      <c r="A294" s="119"/>
      <c r="B294" s="120"/>
      <c r="C294" s="111"/>
      <c r="D294" s="111"/>
      <c r="E294" s="121"/>
      <c r="F294" s="121"/>
      <c r="G294" s="113"/>
      <c r="H294" s="104"/>
      <c r="I294" s="219"/>
      <c r="J294" s="200" t="str">
        <f>IF(E294="","",IF(AND(U294&lt;=66),VLOOKUP(I294,'H&amp;R Look Up'!$A$13:$B$21,2,TRUE),IF(AND(U294&gt;=67,U294&lt;=72),VLOOKUP(I294,'H&amp;R Look Up'!$E$13:$F$20,2,TRUE),IF(AND(U294&gt;=73,U294&lt;=78),VLOOKUP(I294,'H&amp;R Look Up'!$I$13:$J$19,2,TRUE),IF(AND(U294&gt;=79),VLOOKUP(I294,'H&amp;R Look Up'!$M$13:$N$18,2,TRUE),"")))))</f>
        <v/>
      </c>
      <c r="U294" s="222" t="str">
        <f t="shared" si="5"/>
        <v/>
      </c>
    </row>
    <row r="295" spans="1:21" s="108" customFormat="1" ht="15.75">
      <c r="A295" s="119"/>
      <c r="B295" s="120"/>
      <c r="C295" s="111"/>
      <c r="D295" s="111"/>
      <c r="E295" s="121"/>
      <c r="F295" s="121"/>
      <c r="G295" s="113"/>
      <c r="H295" s="104"/>
      <c r="I295" s="219"/>
      <c r="J295" s="200" t="str">
        <f>IF(E295="","",IF(AND(U295&lt;=66),VLOOKUP(I295,'H&amp;R Look Up'!$A$13:$B$21,2,TRUE),IF(AND(U295&gt;=67,U295&lt;=72),VLOOKUP(I295,'H&amp;R Look Up'!$E$13:$F$20,2,TRUE),IF(AND(U295&gt;=73,U295&lt;=78),VLOOKUP(I295,'H&amp;R Look Up'!$I$13:$J$19,2,TRUE),IF(AND(U295&gt;=79),VLOOKUP(I295,'H&amp;R Look Up'!$M$13:$N$18,2,TRUE),"")))))</f>
        <v/>
      </c>
      <c r="U295" s="222" t="str">
        <f t="shared" si="5"/>
        <v/>
      </c>
    </row>
    <row r="296" spans="1:21" s="108" customFormat="1" ht="15.75">
      <c r="A296" s="119"/>
      <c r="B296" s="120"/>
      <c r="C296" s="111"/>
      <c r="D296" s="111"/>
      <c r="E296" s="121"/>
      <c r="F296" s="121"/>
      <c r="G296" s="113"/>
      <c r="H296" s="104"/>
      <c r="I296" s="219"/>
      <c r="J296" s="200" t="str">
        <f>IF(E296="","",IF(AND(U296&lt;=66),VLOOKUP(I296,'H&amp;R Look Up'!$A$13:$B$21,2,TRUE),IF(AND(U296&gt;=67,U296&lt;=72),VLOOKUP(I296,'H&amp;R Look Up'!$E$13:$F$20,2,TRUE),IF(AND(U296&gt;=73,U296&lt;=78),VLOOKUP(I296,'H&amp;R Look Up'!$I$13:$J$19,2,TRUE),IF(AND(U296&gt;=79),VLOOKUP(I296,'H&amp;R Look Up'!$M$13:$N$18,2,TRUE),"")))))</f>
        <v/>
      </c>
      <c r="U296" s="222" t="str">
        <f t="shared" si="5"/>
        <v/>
      </c>
    </row>
    <row r="297" spans="1:21" s="108" customFormat="1" ht="15.75">
      <c r="A297" s="119"/>
      <c r="B297" s="120"/>
      <c r="C297" s="111"/>
      <c r="D297" s="111"/>
      <c r="E297" s="121"/>
      <c r="F297" s="121"/>
      <c r="G297" s="113"/>
      <c r="H297" s="104"/>
      <c r="I297" s="219"/>
      <c r="J297" s="200" t="str">
        <f>IF(E297="","",IF(AND(U297&lt;=66),VLOOKUP(I297,'H&amp;R Look Up'!$A$13:$B$21,2,TRUE),IF(AND(U297&gt;=67,U297&lt;=72),VLOOKUP(I297,'H&amp;R Look Up'!$E$13:$F$20,2,TRUE),IF(AND(U297&gt;=73,U297&lt;=78),VLOOKUP(I297,'H&amp;R Look Up'!$I$13:$J$19,2,TRUE),IF(AND(U297&gt;=79),VLOOKUP(I297,'H&amp;R Look Up'!$M$13:$N$18,2,TRUE),"")))))</f>
        <v/>
      </c>
      <c r="U297" s="222" t="str">
        <f t="shared" si="5"/>
        <v/>
      </c>
    </row>
    <row r="298" spans="1:21" s="108" customFormat="1" ht="15.75">
      <c r="A298" s="119"/>
      <c r="B298" s="120"/>
      <c r="C298" s="111"/>
      <c r="D298" s="111"/>
      <c r="E298" s="121"/>
      <c r="F298" s="121"/>
      <c r="G298" s="113"/>
      <c r="H298" s="104"/>
      <c r="I298" s="219"/>
      <c r="J298" s="200" t="str">
        <f>IF(E298="","",IF(AND(U298&lt;=66),VLOOKUP(I298,'H&amp;R Look Up'!$A$13:$B$21,2,TRUE),IF(AND(U298&gt;=67,U298&lt;=72),VLOOKUP(I298,'H&amp;R Look Up'!$E$13:$F$20,2,TRUE),IF(AND(U298&gt;=73,U298&lt;=78),VLOOKUP(I298,'H&amp;R Look Up'!$I$13:$J$19,2,TRUE),IF(AND(U298&gt;=79),VLOOKUP(I298,'H&amp;R Look Up'!$M$13:$N$18,2,TRUE),"")))))</f>
        <v/>
      </c>
      <c r="U298" s="222" t="str">
        <f t="shared" si="5"/>
        <v/>
      </c>
    </row>
    <row r="299" spans="1:21" s="108" customFormat="1" ht="15.75">
      <c r="A299" s="119"/>
      <c r="B299" s="120"/>
      <c r="C299" s="111"/>
      <c r="D299" s="111"/>
      <c r="E299" s="121"/>
      <c r="F299" s="121"/>
      <c r="G299" s="113"/>
      <c r="H299" s="104"/>
      <c r="I299" s="219"/>
      <c r="J299" s="200" t="str">
        <f>IF(E299="","",IF(AND(U299&lt;=66),VLOOKUP(I299,'H&amp;R Look Up'!$A$13:$B$21,2,TRUE),IF(AND(U299&gt;=67,U299&lt;=72),VLOOKUP(I299,'H&amp;R Look Up'!$E$13:$F$20,2,TRUE),IF(AND(U299&gt;=73,U299&lt;=78),VLOOKUP(I299,'H&amp;R Look Up'!$I$13:$J$19,2,TRUE),IF(AND(U299&gt;=79),VLOOKUP(I299,'H&amp;R Look Up'!$M$13:$N$18,2,TRUE),"")))))</f>
        <v/>
      </c>
      <c r="U299" s="222" t="str">
        <f t="shared" si="5"/>
        <v/>
      </c>
    </row>
    <row r="300" spans="1:21" s="108" customFormat="1" ht="15.75">
      <c r="A300" s="119"/>
      <c r="B300" s="120"/>
      <c r="C300" s="111"/>
      <c r="D300" s="111"/>
      <c r="E300" s="121"/>
      <c r="F300" s="121"/>
      <c r="G300" s="113"/>
      <c r="H300" s="104"/>
      <c r="I300" s="219"/>
      <c r="J300" s="200" t="str">
        <f>IF(E300="","",IF(AND(U300&lt;=66),VLOOKUP(I300,'H&amp;R Look Up'!$A$13:$B$21,2,TRUE),IF(AND(U300&gt;=67,U300&lt;=72),VLOOKUP(I300,'H&amp;R Look Up'!$E$13:$F$20,2,TRUE),IF(AND(U300&gt;=73,U300&lt;=78),VLOOKUP(I300,'H&amp;R Look Up'!$I$13:$J$19,2,TRUE),IF(AND(U300&gt;=79),VLOOKUP(I300,'H&amp;R Look Up'!$M$13:$N$18,2,TRUE),"")))))</f>
        <v/>
      </c>
      <c r="U300" s="222" t="str">
        <f t="shared" si="5"/>
        <v/>
      </c>
    </row>
    <row r="301" spans="1:21" s="108" customFormat="1" ht="15.75">
      <c r="A301" s="119"/>
      <c r="B301" s="120"/>
      <c r="C301" s="111"/>
      <c r="D301" s="111"/>
      <c r="E301" s="121"/>
      <c r="F301" s="121"/>
      <c r="G301" s="113"/>
      <c r="H301" s="104"/>
      <c r="I301" s="219"/>
      <c r="J301" s="200" t="str">
        <f>IF(E301="","",IF(AND(U301&lt;=66),VLOOKUP(I301,'H&amp;R Look Up'!$A$13:$B$21,2,TRUE),IF(AND(U301&gt;=67,U301&lt;=72),VLOOKUP(I301,'H&amp;R Look Up'!$E$13:$F$20,2,TRUE),IF(AND(U301&gt;=73,U301&lt;=78),VLOOKUP(I301,'H&amp;R Look Up'!$I$13:$J$19,2,TRUE),IF(AND(U301&gt;=79),VLOOKUP(I301,'H&amp;R Look Up'!$M$13:$N$18,2,TRUE),"")))))</f>
        <v/>
      </c>
      <c r="U301" s="222" t="str">
        <f t="shared" si="5"/>
        <v/>
      </c>
    </row>
    <row r="302" spans="1:21" s="108" customFormat="1" ht="15.75">
      <c r="A302" s="119"/>
      <c r="B302" s="120"/>
      <c r="C302" s="111"/>
      <c r="D302" s="111"/>
      <c r="E302" s="121"/>
      <c r="F302" s="121"/>
      <c r="G302" s="113"/>
      <c r="H302" s="104"/>
      <c r="I302" s="219"/>
      <c r="J302" s="200" t="str">
        <f>IF(E302="","",IF(AND(U302&lt;=66),VLOOKUP(I302,'H&amp;R Look Up'!$A$13:$B$21,2,TRUE),IF(AND(U302&gt;=67,U302&lt;=72),VLOOKUP(I302,'H&amp;R Look Up'!$E$13:$F$20,2,TRUE),IF(AND(U302&gt;=73,U302&lt;=78),VLOOKUP(I302,'H&amp;R Look Up'!$I$13:$J$19,2,TRUE),IF(AND(U302&gt;=79),VLOOKUP(I302,'H&amp;R Look Up'!$M$13:$N$18,2,TRUE),"")))))</f>
        <v/>
      </c>
      <c r="U302" s="222" t="str">
        <f t="shared" si="5"/>
        <v/>
      </c>
    </row>
    <row r="303" spans="1:21" s="108" customFormat="1" ht="15.75">
      <c r="A303" s="119"/>
      <c r="B303" s="120"/>
      <c r="C303" s="111"/>
      <c r="D303" s="111"/>
      <c r="E303" s="121"/>
      <c r="F303" s="121"/>
      <c r="G303" s="113"/>
      <c r="H303" s="104"/>
      <c r="I303" s="219"/>
      <c r="J303" s="200" t="str">
        <f>IF(E303="","",IF(AND(U303&lt;=66),VLOOKUP(I303,'H&amp;R Look Up'!$A$13:$B$21,2,TRUE),IF(AND(U303&gt;=67,U303&lt;=72),VLOOKUP(I303,'H&amp;R Look Up'!$E$13:$F$20,2,TRUE),IF(AND(U303&gt;=73,U303&lt;=78),VLOOKUP(I303,'H&amp;R Look Up'!$I$13:$J$19,2,TRUE),IF(AND(U303&gt;=79),VLOOKUP(I303,'H&amp;R Look Up'!$M$13:$N$18,2,TRUE),"")))))</f>
        <v/>
      </c>
      <c r="U303" s="222" t="str">
        <f t="shared" si="5"/>
        <v/>
      </c>
    </row>
    <row r="304" spans="1:21" s="108" customFormat="1" ht="15.75">
      <c r="A304" s="119"/>
      <c r="B304" s="120"/>
      <c r="C304" s="111"/>
      <c r="D304" s="111"/>
      <c r="E304" s="121"/>
      <c r="F304" s="121"/>
      <c r="G304" s="113"/>
      <c r="H304" s="104"/>
      <c r="I304" s="219"/>
      <c r="J304" s="200" t="str">
        <f>IF(E304="","",IF(AND(U304&lt;=66),VLOOKUP(I304,'H&amp;R Look Up'!$A$13:$B$21,2,TRUE),IF(AND(U304&gt;=67,U304&lt;=72),VLOOKUP(I304,'H&amp;R Look Up'!$E$13:$F$20,2,TRUE),IF(AND(U304&gt;=73,U304&lt;=78),VLOOKUP(I304,'H&amp;R Look Up'!$I$13:$J$19,2,TRUE),IF(AND(U304&gt;=79),VLOOKUP(I304,'H&amp;R Look Up'!$M$13:$N$18,2,TRUE),"")))))</f>
        <v/>
      </c>
      <c r="U304" s="222" t="str">
        <f t="shared" si="5"/>
        <v/>
      </c>
    </row>
    <row r="305" spans="1:21" s="108" customFormat="1" ht="15.75">
      <c r="A305" s="119"/>
      <c r="B305" s="120"/>
      <c r="C305" s="111"/>
      <c r="D305" s="111"/>
      <c r="E305" s="121"/>
      <c r="F305" s="121"/>
      <c r="G305" s="113"/>
      <c r="H305" s="104"/>
      <c r="I305" s="219"/>
      <c r="J305" s="200" t="str">
        <f>IF(E305="","",IF(AND(U305&lt;=66),VLOOKUP(I305,'H&amp;R Look Up'!$A$13:$B$21,2,TRUE),IF(AND(U305&gt;=67,U305&lt;=72),VLOOKUP(I305,'H&amp;R Look Up'!$E$13:$F$20,2,TRUE),IF(AND(U305&gt;=73,U305&lt;=78),VLOOKUP(I305,'H&amp;R Look Up'!$I$13:$J$19,2,TRUE),IF(AND(U305&gt;=79),VLOOKUP(I305,'H&amp;R Look Up'!$M$13:$N$18,2,TRUE),"")))))</f>
        <v/>
      </c>
      <c r="U305" s="222" t="str">
        <f t="shared" si="5"/>
        <v/>
      </c>
    </row>
    <row r="306" spans="1:21" s="108" customFormat="1" ht="15.75">
      <c r="A306" s="119"/>
      <c r="B306" s="120"/>
      <c r="C306" s="111"/>
      <c r="D306" s="111"/>
      <c r="E306" s="121"/>
      <c r="F306" s="121"/>
      <c r="G306" s="113"/>
      <c r="H306" s="104"/>
      <c r="I306" s="219"/>
      <c r="J306" s="200" t="str">
        <f>IF(E306="","",IF(AND(U306&lt;=66),VLOOKUP(I306,'H&amp;R Look Up'!$A$13:$B$21,2,TRUE),IF(AND(U306&gt;=67,U306&lt;=72),VLOOKUP(I306,'H&amp;R Look Up'!$E$13:$F$20,2,TRUE),IF(AND(U306&gt;=73,U306&lt;=78),VLOOKUP(I306,'H&amp;R Look Up'!$I$13:$J$19,2,TRUE),IF(AND(U306&gt;=79),VLOOKUP(I306,'H&amp;R Look Up'!$M$13:$N$18,2,TRUE),"")))))</f>
        <v/>
      </c>
      <c r="U306" s="222" t="str">
        <f t="shared" si="5"/>
        <v/>
      </c>
    </row>
    <row r="307" spans="1:21" s="108" customFormat="1" ht="15.75">
      <c r="A307" s="119"/>
      <c r="B307" s="120"/>
      <c r="C307" s="111"/>
      <c r="D307" s="111"/>
      <c r="E307" s="121"/>
      <c r="F307" s="121"/>
      <c r="G307" s="113"/>
      <c r="H307" s="104"/>
      <c r="I307" s="219"/>
      <c r="J307" s="200" t="str">
        <f>IF(E307="","",IF(AND(U307&lt;=66),VLOOKUP(I307,'H&amp;R Look Up'!$A$13:$B$21,2,TRUE),IF(AND(U307&gt;=67,U307&lt;=72),VLOOKUP(I307,'H&amp;R Look Up'!$E$13:$F$20,2,TRUE),IF(AND(U307&gt;=73,U307&lt;=78),VLOOKUP(I307,'H&amp;R Look Up'!$I$13:$J$19,2,TRUE),IF(AND(U307&gt;=79),VLOOKUP(I307,'H&amp;R Look Up'!$M$13:$N$18,2,TRUE),"")))))</f>
        <v/>
      </c>
      <c r="U307" s="222" t="str">
        <f t="shared" si="5"/>
        <v/>
      </c>
    </row>
    <row r="308" spans="1:21" s="108" customFormat="1" ht="15.75">
      <c r="A308" s="119"/>
      <c r="B308" s="120"/>
      <c r="C308" s="111"/>
      <c r="D308" s="111"/>
      <c r="E308" s="121"/>
      <c r="F308" s="121"/>
      <c r="G308" s="113"/>
      <c r="H308" s="104"/>
      <c r="I308" s="219"/>
      <c r="J308" s="200" t="str">
        <f>IF(E308="","",IF(AND(U308&lt;=66),VLOOKUP(I308,'H&amp;R Look Up'!$A$13:$B$21,2,TRUE),IF(AND(U308&gt;=67,U308&lt;=72),VLOOKUP(I308,'H&amp;R Look Up'!$E$13:$F$20,2,TRUE),IF(AND(U308&gt;=73,U308&lt;=78),VLOOKUP(I308,'H&amp;R Look Up'!$I$13:$J$19,2,TRUE),IF(AND(U308&gt;=79),VLOOKUP(I308,'H&amp;R Look Up'!$M$13:$N$18,2,TRUE),"")))))</f>
        <v/>
      </c>
      <c r="U308" s="222" t="str">
        <f t="shared" si="5"/>
        <v/>
      </c>
    </row>
    <row r="309" spans="1:21" s="108" customFormat="1" ht="15.75">
      <c r="A309" s="119"/>
      <c r="B309" s="120"/>
      <c r="C309" s="111"/>
      <c r="D309" s="111"/>
      <c r="E309" s="121"/>
      <c r="F309" s="121"/>
      <c r="G309" s="113"/>
      <c r="H309" s="104"/>
      <c r="I309" s="219"/>
      <c r="J309" s="200" t="str">
        <f>IF(E309="","",IF(AND(U309&lt;=66),VLOOKUP(I309,'H&amp;R Look Up'!$A$13:$B$21,2,TRUE),IF(AND(U309&gt;=67,U309&lt;=72),VLOOKUP(I309,'H&amp;R Look Up'!$E$13:$F$20,2,TRUE),IF(AND(U309&gt;=73,U309&lt;=78),VLOOKUP(I309,'H&amp;R Look Up'!$I$13:$J$19,2,TRUE),IF(AND(U309&gt;=79),VLOOKUP(I309,'H&amp;R Look Up'!$M$13:$N$18,2,TRUE),"")))))</f>
        <v/>
      </c>
      <c r="U309" s="222" t="str">
        <f t="shared" si="5"/>
        <v/>
      </c>
    </row>
    <row r="310" spans="1:21" s="108" customFormat="1" ht="15.75">
      <c r="A310" s="119"/>
      <c r="B310" s="120"/>
      <c r="C310" s="111"/>
      <c r="D310" s="111"/>
      <c r="E310" s="121"/>
      <c r="F310" s="121"/>
      <c r="G310" s="113"/>
      <c r="H310" s="104"/>
      <c r="I310" s="219"/>
      <c r="J310" s="200" t="str">
        <f>IF(E310="","",IF(AND(U310&lt;=66),VLOOKUP(I310,'H&amp;R Look Up'!$A$13:$B$21,2,TRUE),IF(AND(U310&gt;=67,U310&lt;=72),VLOOKUP(I310,'H&amp;R Look Up'!$E$13:$F$20,2,TRUE),IF(AND(U310&gt;=73,U310&lt;=78),VLOOKUP(I310,'H&amp;R Look Up'!$I$13:$J$19,2,TRUE),IF(AND(U310&gt;=79),VLOOKUP(I310,'H&amp;R Look Up'!$M$13:$N$18,2,TRUE),"")))))</f>
        <v/>
      </c>
      <c r="U310" s="222" t="str">
        <f t="shared" si="5"/>
        <v/>
      </c>
    </row>
    <row r="311" spans="1:21" s="108" customFormat="1" ht="15.75">
      <c r="A311" s="119"/>
      <c r="B311" s="120"/>
      <c r="C311" s="111"/>
      <c r="D311" s="111"/>
      <c r="E311" s="121"/>
      <c r="F311" s="121"/>
      <c r="G311" s="113"/>
      <c r="H311" s="104"/>
      <c r="I311" s="219"/>
      <c r="J311" s="200" t="str">
        <f>IF(E311="","",IF(AND(U311&lt;=66),VLOOKUP(I311,'H&amp;R Look Up'!$A$13:$B$21,2,TRUE),IF(AND(U311&gt;=67,U311&lt;=72),VLOOKUP(I311,'H&amp;R Look Up'!$E$13:$F$20,2,TRUE),IF(AND(U311&gt;=73,U311&lt;=78),VLOOKUP(I311,'H&amp;R Look Up'!$I$13:$J$19,2,TRUE),IF(AND(U311&gt;=79),VLOOKUP(I311,'H&amp;R Look Up'!$M$13:$N$18,2,TRUE),"")))))</f>
        <v/>
      </c>
      <c r="U311" s="222" t="str">
        <f t="shared" si="5"/>
        <v/>
      </c>
    </row>
    <row r="312" spans="1:21" s="108" customFormat="1" ht="15.75">
      <c r="A312" s="119"/>
      <c r="B312" s="120"/>
      <c r="C312" s="111"/>
      <c r="D312" s="111"/>
      <c r="E312" s="121"/>
      <c r="F312" s="121"/>
      <c r="G312" s="113"/>
      <c r="H312" s="104"/>
      <c r="I312" s="219"/>
      <c r="J312" s="200" t="str">
        <f>IF(E312="","",IF(AND(U312&lt;=66),VLOOKUP(I312,'H&amp;R Look Up'!$A$13:$B$21,2,TRUE),IF(AND(U312&gt;=67,U312&lt;=72),VLOOKUP(I312,'H&amp;R Look Up'!$E$13:$F$20,2,TRUE),IF(AND(U312&gt;=73,U312&lt;=78),VLOOKUP(I312,'H&amp;R Look Up'!$I$13:$J$19,2,TRUE),IF(AND(U312&gt;=79),VLOOKUP(I312,'H&amp;R Look Up'!$M$13:$N$18,2,TRUE),"")))))</f>
        <v/>
      </c>
      <c r="U312" s="222" t="str">
        <f t="shared" si="5"/>
        <v/>
      </c>
    </row>
    <row r="313" spans="1:21" s="108" customFormat="1" ht="15.75">
      <c r="A313" s="119"/>
      <c r="B313" s="120"/>
      <c r="C313" s="111"/>
      <c r="D313" s="111"/>
      <c r="E313" s="121"/>
      <c r="F313" s="121"/>
      <c r="G313" s="113"/>
      <c r="H313" s="104"/>
      <c r="I313" s="219"/>
      <c r="J313" s="200" t="str">
        <f>IF(E313="","",IF(AND(U313&lt;=66),VLOOKUP(I313,'H&amp;R Look Up'!$A$13:$B$21,2,TRUE),IF(AND(U313&gt;=67,U313&lt;=72),VLOOKUP(I313,'H&amp;R Look Up'!$E$13:$F$20,2,TRUE),IF(AND(U313&gt;=73,U313&lt;=78),VLOOKUP(I313,'H&amp;R Look Up'!$I$13:$J$19,2,TRUE),IF(AND(U313&gt;=79),VLOOKUP(I313,'H&amp;R Look Up'!$M$13:$N$18,2,TRUE),"")))))</f>
        <v/>
      </c>
      <c r="U313" s="222" t="str">
        <f t="shared" si="5"/>
        <v/>
      </c>
    </row>
    <row r="314" spans="1:21" s="108" customFormat="1" ht="15.75">
      <c r="A314" s="119"/>
      <c r="B314" s="120"/>
      <c r="C314" s="111"/>
      <c r="D314" s="111"/>
      <c r="E314" s="121"/>
      <c r="F314" s="121"/>
      <c r="G314" s="113"/>
      <c r="H314" s="104"/>
      <c r="I314" s="219"/>
      <c r="J314" s="200" t="str">
        <f>IF(E314="","",IF(AND(U314&lt;=66),VLOOKUP(I314,'H&amp;R Look Up'!$A$13:$B$21,2,TRUE),IF(AND(U314&gt;=67,U314&lt;=72),VLOOKUP(I314,'H&amp;R Look Up'!$E$13:$F$20,2,TRUE),IF(AND(U314&gt;=73,U314&lt;=78),VLOOKUP(I314,'H&amp;R Look Up'!$I$13:$J$19,2,TRUE),IF(AND(U314&gt;=79),VLOOKUP(I314,'H&amp;R Look Up'!$M$13:$N$18,2,TRUE),"")))))</f>
        <v/>
      </c>
      <c r="U314" s="222" t="str">
        <f t="shared" si="5"/>
        <v/>
      </c>
    </row>
    <row r="315" spans="1:21" s="108" customFormat="1" ht="15.75">
      <c r="A315" s="119"/>
      <c r="B315" s="120"/>
      <c r="C315" s="111"/>
      <c r="D315" s="111"/>
      <c r="E315" s="121"/>
      <c r="F315" s="121"/>
      <c r="G315" s="113"/>
      <c r="H315" s="104"/>
      <c r="I315" s="219"/>
      <c r="J315" s="200" t="str">
        <f>IF(E315="","",IF(AND(U315&lt;=66),VLOOKUP(I315,'H&amp;R Look Up'!$A$13:$B$21,2,TRUE),IF(AND(U315&gt;=67,U315&lt;=72),VLOOKUP(I315,'H&amp;R Look Up'!$E$13:$F$20,2,TRUE),IF(AND(U315&gt;=73,U315&lt;=78),VLOOKUP(I315,'H&amp;R Look Up'!$I$13:$J$19,2,TRUE),IF(AND(U315&gt;=79),VLOOKUP(I315,'H&amp;R Look Up'!$M$13:$N$18,2,TRUE),"")))))</f>
        <v/>
      </c>
      <c r="U315" s="222" t="str">
        <f t="shared" si="5"/>
        <v/>
      </c>
    </row>
    <row r="316" spans="1:21" s="108" customFormat="1" ht="15.75">
      <c r="A316" s="119"/>
      <c r="B316" s="120"/>
      <c r="C316" s="111"/>
      <c r="D316" s="111"/>
      <c r="E316" s="121"/>
      <c r="F316" s="121"/>
      <c r="G316" s="113"/>
      <c r="H316" s="104"/>
      <c r="I316" s="219"/>
      <c r="J316" s="200" t="str">
        <f>IF(E316="","",IF(AND(U316&lt;=66),VLOOKUP(I316,'H&amp;R Look Up'!$A$13:$B$21,2,TRUE),IF(AND(U316&gt;=67,U316&lt;=72),VLOOKUP(I316,'H&amp;R Look Up'!$E$13:$F$20,2,TRUE),IF(AND(U316&gt;=73,U316&lt;=78),VLOOKUP(I316,'H&amp;R Look Up'!$I$13:$J$19,2,TRUE),IF(AND(U316&gt;=79),VLOOKUP(I316,'H&amp;R Look Up'!$M$13:$N$18,2,TRUE),"")))))</f>
        <v/>
      </c>
      <c r="U316" s="222" t="str">
        <f t="shared" si="5"/>
        <v/>
      </c>
    </row>
    <row r="317" spans="1:21" s="108" customFormat="1" ht="15.75">
      <c r="A317" s="119"/>
      <c r="B317" s="120"/>
      <c r="C317" s="111"/>
      <c r="D317" s="111"/>
      <c r="E317" s="121"/>
      <c r="F317" s="121"/>
      <c r="G317" s="113"/>
      <c r="H317" s="104"/>
      <c r="I317" s="219"/>
      <c r="J317" s="200" t="str">
        <f>IF(E317="","",IF(AND(U317&lt;=66),VLOOKUP(I317,'H&amp;R Look Up'!$A$13:$B$21,2,TRUE),IF(AND(U317&gt;=67,U317&lt;=72),VLOOKUP(I317,'H&amp;R Look Up'!$E$13:$F$20,2,TRUE),IF(AND(U317&gt;=73,U317&lt;=78),VLOOKUP(I317,'H&amp;R Look Up'!$I$13:$J$19,2,TRUE),IF(AND(U317&gt;=79),VLOOKUP(I317,'H&amp;R Look Up'!$M$13:$N$18,2,TRUE),"")))))</f>
        <v/>
      </c>
      <c r="U317" s="222" t="str">
        <f t="shared" si="5"/>
        <v/>
      </c>
    </row>
    <row r="318" spans="1:21" s="108" customFormat="1" ht="15.75">
      <c r="A318" s="119"/>
      <c r="B318" s="120"/>
      <c r="C318" s="111"/>
      <c r="D318" s="111"/>
      <c r="E318" s="121"/>
      <c r="F318" s="121"/>
      <c r="G318" s="113"/>
      <c r="H318" s="104"/>
      <c r="I318" s="219"/>
      <c r="J318" s="200" t="str">
        <f>IF(E318="","",IF(AND(U318&lt;=66),VLOOKUP(I318,'H&amp;R Look Up'!$A$13:$B$21,2,TRUE),IF(AND(U318&gt;=67,U318&lt;=72),VLOOKUP(I318,'H&amp;R Look Up'!$E$13:$F$20,2,TRUE),IF(AND(U318&gt;=73,U318&lt;=78),VLOOKUP(I318,'H&amp;R Look Up'!$I$13:$J$19,2,TRUE),IF(AND(U318&gt;=79),VLOOKUP(I318,'H&amp;R Look Up'!$M$13:$N$18,2,TRUE),"")))))</f>
        <v/>
      </c>
      <c r="U318" s="222" t="str">
        <f t="shared" si="5"/>
        <v/>
      </c>
    </row>
    <row r="319" spans="1:21" s="108" customFormat="1" ht="15.75">
      <c r="A319" s="119"/>
      <c r="B319" s="120"/>
      <c r="C319" s="111"/>
      <c r="D319" s="111"/>
      <c r="E319" s="121"/>
      <c r="F319" s="121"/>
      <c r="G319" s="113"/>
      <c r="H319" s="104"/>
      <c r="I319" s="219"/>
      <c r="J319" s="200" t="str">
        <f>IF(E319="","",IF(AND(U319&lt;=66),VLOOKUP(I319,'H&amp;R Look Up'!$A$13:$B$21,2,TRUE),IF(AND(U319&gt;=67,U319&lt;=72),VLOOKUP(I319,'H&amp;R Look Up'!$E$13:$F$20,2,TRUE),IF(AND(U319&gt;=73,U319&lt;=78),VLOOKUP(I319,'H&amp;R Look Up'!$I$13:$J$19,2,TRUE),IF(AND(U319&gt;=79),VLOOKUP(I319,'H&amp;R Look Up'!$M$13:$N$18,2,TRUE),"")))))</f>
        <v/>
      </c>
      <c r="U319" s="222" t="str">
        <f t="shared" si="5"/>
        <v/>
      </c>
    </row>
    <row r="320" spans="1:21" s="108" customFormat="1" ht="15.75">
      <c r="A320" s="119"/>
      <c r="B320" s="120"/>
      <c r="C320" s="111"/>
      <c r="D320" s="111"/>
      <c r="E320" s="121"/>
      <c r="F320" s="121"/>
      <c r="G320" s="113"/>
      <c r="H320" s="104"/>
      <c r="I320" s="219"/>
      <c r="J320" s="200" t="str">
        <f>IF(E320="","",IF(AND(U320&lt;=66),VLOOKUP(I320,'H&amp;R Look Up'!$A$13:$B$21,2,TRUE),IF(AND(U320&gt;=67,U320&lt;=72),VLOOKUP(I320,'H&amp;R Look Up'!$E$13:$F$20,2,TRUE),IF(AND(U320&gt;=73,U320&lt;=78),VLOOKUP(I320,'H&amp;R Look Up'!$I$13:$J$19,2,TRUE),IF(AND(U320&gt;=79),VLOOKUP(I320,'H&amp;R Look Up'!$M$13:$N$18,2,TRUE),"")))))</f>
        <v/>
      </c>
      <c r="U320" s="222" t="str">
        <f t="shared" si="5"/>
        <v/>
      </c>
    </row>
    <row r="321" spans="1:21" s="108" customFormat="1" ht="15.75">
      <c r="A321" s="119"/>
      <c r="B321" s="120"/>
      <c r="C321" s="111"/>
      <c r="D321" s="111"/>
      <c r="E321" s="121"/>
      <c r="F321" s="121"/>
      <c r="G321" s="113"/>
      <c r="H321" s="104"/>
      <c r="I321" s="219"/>
      <c r="J321" s="200" t="str">
        <f>IF(E321="","",IF(AND(U321&lt;=66),VLOOKUP(I321,'H&amp;R Look Up'!$A$13:$B$21,2,TRUE),IF(AND(U321&gt;=67,U321&lt;=72),VLOOKUP(I321,'H&amp;R Look Up'!$E$13:$F$20,2,TRUE),IF(AND(U321&gt;=73,U321&lt;=78),VLOOKUP(I321,'H&amp;R Look Up'!$I$13:$J$19,2,TRUE),IF(AND(U321&gt;=79),VLOOKUP(I321,'H&amp;R Look Up'!$M$13:$N$18,2,TRUE),"")))))</f>
        <v/>
      </c>
      <c r="U321" s="222" t="str">
        <f t="shared" si="5"/>
        <v/>
      </c>
    </row>
    <row r="322" spans="1:21" s="108" customFormat="1" ht="15.75">
      <c r="A322" s="119"/>
      <c r="B322" s="120"/>
      <c r="C322" s="111"/>
      <c r="D322" s="111"/>
      <c r="E322" s="121"/>
      <c r="F322" s="121"/>
      <c r="G322" s="113"/>
      <c r="H322" s="104"/>
      <c r="I322" s="219"/>
      <c r="J322" s="200" t="str">
        <f>IF(E322="","",IF(AND(U322&lt;=66),VLOOKUP(I322,'H&amp;R Look Up'!$A$13:$B$21,2,TRUE),IF(AND(U322&gt;=67,U322&lt;=72),VLOOKUP(I322,'H&amp;R Look Up'!$E$13:$F$20,2,TRUE),IF(AND(U322&gt;=73,U322&lt;=78),VLOOKUP(I322,'H&amp;R Look Up'!$I$13:$J$19,2,TRUE),IF(AND(U322&gt;=79),VLOOKUP(I322,'H&amp;R Look Up'!$M$13:$N$18,2,TRUE),"")))))</f>
        <v/>
      </c>
      <c r="U322" s="222" t="str">
        <f t="shared" si="5"/>
        <v/>
      </c>
    </row>
    <row r="323" spans="1:21" s="108" customFormat="1" ht="15.75">
      <c r="A323" s="119"/>
      <c r="B323" s="120"/>
      <c r="C323" s="111"/>
      <c r="D323" s="111"/>
      <c r="E323" s="121"/>
      <c r="F323" s="121"/>
      <c r="G323" s="113"/>
      <c r="H323" s="104"/>
      <c r="I323" s="219"/>
      <c r="J323" s="200" t="str">
        <f>IF(E323="","",IF(AND(U323&lt;=66),VLOOKUP(I323,'H&amp;R Look Up'!$A$13:$B$21,2,TRUE),IF(AND(U323&gt;=67,U323&lt;=72),VLOOKUP(I323,'H&amp;R Look Up'!$E$13:$F$20,2,TRUE),IF(AND(U323&gt;=73,U323&lt;=78),VLOOKUP(I323,'H&amp;R Look Up'!$I$13:$J$19,2,TRUE),IF(AND(U323&gt;=79),VLOOKUP(I323,'H&amp;R Look Up'!$M$13:$N$18,2,TRUE),"")))))</f>
        <v/>
      </c>
      <c r="U323" s="222" t="str">
        <f t="shared" si="5"/>
        <v/>
      </c>
    </row>
    <row r="324" spans="1:21" s="108" customFormat="1" ht="15.75">
      <c r="A324" s="119"/>
      <c r="B324" s="120"/>
      <c r="C324" s="111"/>
      <c r="D324" s="111"/>
      <c r="E324" s="121"/>
      <c r="F324" s="121"/>
      <c r="G324" s="113"/>
      <c r="H324" s="104"/>
      <c r="I324" s="219"/>
      <c r="J324" s="200" t="str">
        <f>IF(E324="","",IF(AND(U324&lt;=66),VLOOKUP(I324,'H&amp;R Look Up'!$A$13:$B$21,2,TRUE),IF(AND(U324&gt;=67,U324&lt;=72),VLOOKUP(I324,'H&amp;R Look Up'!$E$13:$F$20,2,TRUE),IF(AND(U324&gt;=73,U324&lt;=78),VLOOKUP(I324,'H&amp;R Look Up'!$I$13:$J$19,2,TRUE),IF(AND(U324&gt;=79),VLOOKUP(I324,'H&amp;R Look Up'!$M$13:$N$18,2,TRUE),"")))))</f>
        <v/>
      </c>
      <c r="U324" s="222" t="str">
        <f t="shared" si="5"/>
        <v/>
      </c>
    </row>
    <row r="325" spans="1:21" s="108" customFormat="1" ht="15.75">
      <c r="A325" s="119"/>
      <c r="B325" s="120"/>
      <c r="C325" s="111"/>
      <c r="D325" s="111"/>
      <c r="E325" s="121"/>
      <c r="F325" s="121"/>
      <c r="G325" s="113"/>
      <c r="H325" s="104"/>
      <c r="I325" s="219"/>
      <c r="J325" s="200" t="str">
        <f>IF(E325="","",IF(AND(U325&lt;=66),VLOOKUP(I325,'H&amp;R Look Up'!$A$13:$B$21,2,TRUE),IF(AND(U325&gt;=67,U325&lt;=72),VLOOKUP(I325,'H&amp;R Look Up'!$E$13:$F$20,2,TRUE),IF(AND(U325&gt;=73,U325&lt;=78),VLOOKUP(I325,'H&amp;R Look Up'!$I$13:$J$19,2,TRUE),IF(AND(U325&gt;=79),VLOOKUP(I325,'H&amp;R Look Up'!$M$13:$N$18,2,TRUE),"")))))</f>
        <v/>
      </c>
      <c r="U325" s="222" t="str">
        <f t="shared" si="5"/>
        <v/>
      </c>
    </row>
    <row r="326" spans="1:21" s="108" customFormat="1" ht="15.75">
      <c r="A326" s="119"/>
      <c r="B326" s="120"/>
      <c r="C326" s="111"/>
      <c r="D326" s="111"/>
      <c r="E326" s="121"/>
      <c r="F326" s="121"/>
      <c r="G326" s="113"/>
      <c r="H326" s="104"/>
      <c r="I326" s="219"/>
      <c r="J326" s="200" t="str">
        <f>IF(E326="","",IF(AND(U326&lt;=66),VLOOKUP(I326,'H&amp;R Look Up'!$A$13:$B$21,2,TRUE),IF(AND(U326&gt;=67,U326&lt;=72),VLOOKUP(I326,'H&amp;R Look Up'!$E$13:$F$20,2,TRUE),IF(AND(U326&gt;=73,U326&lt;=78),VLOOKUP(I326,'H&amp;R Look Up'!$I$13:$J$19,2,TRUE),IF(AND(U326&gt;=79),VLOOKUP(I326,'H&amp;R Look Up'!$M$13:$N$18,2,TRUE),"")))))</f>
        <v/>
      </c>
      <c r="U326" s="222" t="str">
        <f t="shared" ref="U326:U389" si="6">IF(E326="","",DATEDIF(B326,A326,"m"))</f>
        <v/>
      </c>
    </row>
    <row r="327" spans="1:21" s="108" customFormat="1" ht="15.75">
      <c r="A327" s="119"/>
      <c r="B327" s="120"/>
      <c r="C327" s="111"/>
      <c r="D327" s="111"/>
      <c r="E327" s="121"/>
      <c r="F327" s="121"/>
      <c r="G327" s="113"/>
      <c r="H327" s="104"/>
      <c r="I327" s="219"/>
      <c r="J327" s="200" t="str">
        <f>IF(E327="","",IF(AND(U327&lt;=66),VLOOKUP(I327,'H&amp;R Look Up'!$A$13:$B$21,2,TRUE),IF(AND(U327&gt;=67,U327&lt;=72),VLOOKUP(I327,'H&amp;R Look Up'!$E$13:$F$20,2,TRUE),IF(AND(U327&gt;=73,U327&lt;=78),VLOOKUP(I327,'H&amp;R Look Up'!$I$13:$J$19,2,TRUE),IF(AND(U327&gt;=79),VLOOKUP(I327,'H&amp;R Look Up'!$M$13:$N$18,2,TRUE),"")))))</f>
        <v/>
      </c>
      <c r="U327" s="222" t="str">
        <f t="shared" si="6"/>
        <v/>
      </c>
    </row>
    <row r="328" spans="1:21" s="108" customFormat="1" ht="15.75">
      <c r="A328" s="119"/>
      <c r="B328" s="120"/>
      <c r="C328" s="111"/>
      <c r="D328" s="111"/>
      <c r="E328" s="121"/>
      <c r="F328" s="121"/>
      <c r="G328" s="113"/>
      <c r="H328" s="104"/>
      <c r="I328" s="219"/>
      <c r="J328" s="200" t="str">
        <f>IF(E328="","",IF(AND(U328&lt;=66),VLOOKUP(I328,'H&amp;R Look Up'!$A$13:$B$21,2,TRUE),IF(AND(U328&gt;=67,U328&lt;=72),VLOOKUP(I328,'H&amp;R Look Up'!$E$13:$F$20,2,TRUE),IF(AND(U328&gt;=73,U328&lt;=78),VLOOKUP(I328,'H&amp;R Look Up'!$I$13:$J$19,2,TRUE),IF(AND(U328&gt;=79),VLOOKUP(I328,'H&amp;R Look Up'!$M$13:$N$18,2,TRUE),"")))))</f>
        <v/>
      </c>
      <c r="U328" s="222" t="str">
        <f t="shared" si="6"/>
        <v/>
      </c>
    </row>
    <row r="329" spans="1:21" s="108" customFormat="1" ht="15.75">
      <c r="A329" s="119"/>
      <c r="B329" s="120"/>
      <c r="C329" s="111"/>
      <c r="D329" s="111"/>
      <c r="E329" s="121"/>
      <c r="F329" s="121"/>
      <c r="G329" s="113"/>
      <c r="H329" s="104"/>
      <c r="I329" s="219"/>
      <c r="J329" s="200" t="str">
        <f>IF(E329="","",IF(AND(U329&lt;=66),VLOOKUP(I329,'H&amp;R Look Up'!$A$13:$B$21,2,TRUE),IF(AND(U329&gt;=67,U329&lt;=72),VLOOKUP(I329,'H&amp;R Look Up'!$E$13:$F$20,2,TRUE),IF(AND(U329&gt;=73,U329&lt;=78),VLOOKUP(I329,'H&amp;R Look Up'!$I$13:$J$19,2,TRUE),IF(AND(U329&gt;=79),VLOOKUP(I329,'H&amp;R Look Up'!$M$13:$N$18,2,TRUE),"")))))</f>
        <v/>
      </c>
      <c r="U329" s="222" t="str">
        <f t="shared" si="6"/>
        <v/>
      </c>
    </row>
    <row r="330" spans="1:21" s="108" customFormat="1" ht="15.75">
      <c r="A330" s="119"/>
      <c r="B330" s="120"/>
      <c r="C330" s="111"/>
      <c r="D330" s="111"/>
      <c r="E330" s="121"/>
      <c r="F330" s="121"/>
      <c r="G330" s="113"/>
      <c r="H330" s="104"/>
      <c r="I330" s="219"/>
      <c r="J330" s="200" t="str">
        <f>IF(E330="","",IF(AND(U330&lt;=66),VLOOKUP(I330,'H&amp;R Look Up'!$A$13:$B$21,2,TRUE),IF(AND(U330&gt;=67,U330&lt;=72),VLOOKUP(I330,'H&amp;R Look Up'!$E$13:$F$20,2,TRUE),IF(AND(U330&gt;=73,U330&lt;=78),VLOOKUP(I330,'H&amp;R Look Up'!$I$13:$J$19,2,TRUE),IF(AND(U330&gt;=79),VLOOKUP(I330,'H&amp;R Look Up'!$M$13:$N$18,2,TRUE),"")))))</f>
        <v/>
      </c>
      <c r="U330" s="222" t="str">
        <f t="shared" si="6"/>
        <v/>
      </c>
    </row>
    <row r="331" spans="1:21" s="108" customFormat="1" ht="15.75">
      <c r="A331" s="119"/>
      <c r="B331" s="120"/>
      <c r="C331" s="111"/>
      <c r="D331" s="111"/>
      <c r="E331" s="121"/>
      <c r="F331" s="121"/>
      <c r="G331" s="113"/>
      <c r="H331" s="104"/>
      <c r="I331" s="219"/>
      <c r="J331" s="200" t="str">
        <f>IF(E331="","",IF(AND(U331&lt;=66),VLOOKUP(I331,'H&amp;R Look Up'!$A$13:$B$21,2,TRUE),IF(AND(U331&gt;=67,U331&lt;=72),VLOOKUP(I331,'H&amp;R Look Up'!$E$13:$F$20,2,TRUE),IF(AND(U331&gt;=73,U331&lt;=78),VLOOKUP(I331,'H&amp;R Look Up'!$I$13:$J$19,2,TRUE),IF(AND(U331&gt;=79),VLOOKUP(I331,'H&amp;R Look Up'!$M$13:$N$18,2,TRUE),"")))))</f>
        <v/>
      </c>
      <c r="U331" s="222" t="str">
        <f t="shared" si="6"/>
        <v/>
      </c>
    </row>
    <row r="332" spans="1:21" s="108" customFormat="1" ht="15.75">
      <c r="A332" s="119"/>
      <c r="B332" s="120"/>
      <c r="C332" s="111"/>
      <c r="D332" s="111"/>
      <c r="E332" s="121"/>
      <c r="F332" s="121"/>
      <c r="G332" s="113"/>
      <c r="H332" s="104"/>
      <c r="I332" s="219"/>
      <c r="J332" s="200" t="str">
        <f>IF(E332="","",IF(AND(U332&lt;=66),VLOOKUP(I332,'H&amp;R Look Up'!$A$13:$B$21,2,TRUE),IF(AND(U332&gt;=67,U332&lt;=72),VLOOKUP(I332,'H&amp;R Look Up'!$E$13:$F$20,2,TRUE),IF(AND(U332&gt;=73,U332&lt;=78),VLOOKUP(I332,'H&amp;R Look Up'!$I$13:$J$19,2,TRUE),IF(AND(U332&gt;=79),VLOOKUP(I332,'H&amp;R Look Up'!$M$13:$N$18,2,TRUE),"")))))</f>
        <v/>
      </c>
      <c r="U332" s="222" t="str">
        <f t="shared" si="6"/>
        <v/>
      </c>
    </row>
    <row r="333" spans="1:21" s="108" customFormat="1" ht="15.75">
      <c r="A333" s="119"/>
      <c r="B333" s="120"/>
      <c r="C333" s="111"/>
      <c r="D333" s="111"/>
      <c r="E333" s="121"/>
      <c r="F333" s="121"/>
      <c r="G333" s="113"/>
      <c r="H333" s="104"/>
      <c r="I333" s="219"/>
      <c r="J333" s="200" t="str">
        <f>IF(E333="","",IF(AND(U333&lt;=66),VLOOKUP(I333,'H&amp;R Look Up'!$A$13:$B$21,2,TRUE),IF(AND(U333&gt;=67,U333&lt;=72),VLOOKUP(I333,'H&amp;R Look Up'!$E$13:$F$20,2,TRUE),IF(AND(U333&gt;=73,U333&lt;=78),VLOOKUP(I333,'H&amp;R Look Up'!$I$13:$J$19,2,TRUE),IF(AND(U333&gt;=79),VLOOKUP(I333,'H&amp;R Look Up'!$M$13:$N$18,2,TRUE),"")))))</f>
        <v/>
      </c>
      <c r="U333" s="222" t="str">
        <f t="shared" si="6"/>
        <v/>
      </c>
    </row>
    <row r="334" spans="1:21" s="108" customFormat="1" ht="15.75">
      <c r="A334" s="119"/>
      <c r="B334" s="120"/>
      <c r="C334" s="111"/>
      <c r="D334" s="111"/>
      <c r="E334" s="121"/>
      <c r="F334" s="121"/>
      <c r="G334" s="113"/>
      <c r="H334" s="104"/>
      <c r="I334" s="219"/>
      <c r="J334" s="200" t="str">
        <f>IF(E334="","",IF(AND(U334&lt;=66),VLOOKUP(I334,'H&amp;R Look Up'!$A$13:$B$21,2,TRUE),IF(AND(U334&gt;=67,U334&lt;=72),VLOOKUP(I334,'H&amp;R Look Up'!$E$13:$F$20,2,TRUE),IF(AND(U334&gt;=73,U334&lt;=78),VLOOKUP(I334,'H&amp;R Look Up'!$I$13:$J$19,2,TRUE),IF(AND(U334&gt;=79),VLOOKUP(I334,'H&amp;R Look Up'!$M$13:$N$18,2,TRUE),"")))))</f>
        <v/>
      </c>
      <c r="U334" s="222" t="str">
        <f t="shared" si="6"/>
        <v/>
      </c>
    </row>
    <row r="335" spans="1:21" s="108" customFormat="1" ht="15.75">
      <c r="A335" s="119"/>
      <c r="B335" s="120"/>
      <c r="C335" s="111"/>
      <c r="D335" s="111"/>
      <c r="E335" s="121"/>
      <c r="F335" s="121"/>
      <c r="G335" s="113"/>
      <c r="H335" s="104"/>
      <c r="I335" s="219"/>
      <c r="J335" s="200" t="str">
        <f>IF(E335="","",IF(AND(U335&lt;=66),VLOOKUP(I335,'H&amp;R Look Up'!$A$13:$B$21,2,TRUE),IF(AND(U335&gt;=67,U335&lt;=72),VLOOKUP(I335,'H&amp;R Look Up'!$E$13:$F$20,2,TRUE),IF(AND(U335&gt;=73,U335&lt;=78),VLOOKUP(I335,'H&amp;R Look Up'!$I$13:$J$19,2,TRUE),IF(AND(U335&gt;=79),VLOOKUP(I335,'H&amp;R Look Up'!$M$13:$N$18,2,TRUE),"")))))</f>
        <v/>
      </c>
      <c r="U335" s="222" t="str">
        <f t="shared" si="6"/>
        <v/>
      </c>
    </row>
    <row r="336" spans="1:21" s="108" customFormat="1" ht="15.75">
      <c r="A336" s="119"/>
      <c r="B336" s="120"/>
      <c r="C336" s="111"/>
      <c r="D336" s="111"/>
      <c r="E336" s="121"/>
      <c r="F336" s="121"/>
      <c r="G336" s="113"/>
      <c r="H336" s="104"/>
      <c r="I336" s="219"/>
      <c r="J336" s="200" t="str">
        <f>IF(E336="","",IF(AND(U336&lt;=66),VLOOKUP(I336,'H&amp;R Look Up'!$A$13:$B$21,2,TRUE),IF(AND(U336&gt;=67,U336&lt;=72),VLOOKUP(I336,'H&amp;R Look Up'!$E$13:$F$20,2,TRUE),IF(AND(U336&gt;=73,U336&lt;=78),VLOOKUP(I336,'H&amp;R Look Up'!$I$13:$J$19,2,TRUE),IF(AND(U336&gt;=79),VLOOKUP(I336,'H&amp;R Look Up'!$M$13:$N$18,2,TRUE),"")))))</f>
        <v/>
      </c>
      <c r="U336" s="222" t="str">
        <f t="shared" si="6"/>
        <v/>
      </c>
    </row>
    <row r="337" spans="1:21" s="108" customFormat="1" ht="15.75">
      <c r="A337" s="119"/>
      <c r="B337" s="120"/>
      <c r="C337" s="111"/>
      <c r="D337" s="111"/>
      <c r="E337" s="121"/>
      <c r="F337" s="121"/>
      <c r="G337" s="113"/>
      <c r="H337" s="104"/>
      <c r="I337" s="219"/>
      <c r="J337" s="200" t="str">
        <f>IF(E337="","",IF(AND(U337&lt;=66),VLOOKUP(I337,'H&amp;R Look Up'!$A$13:$B$21,2,TRUE),IF(AND(U337&gt;=67,U337&lt;=72),VLOOKUP(I337,'H&amp;R Look Up'!$E$13:$F$20,2,TRUE),IF(AND(U337&gt;=73,U337&lt;=78),VLOOKUP(I337,'H&amp;R Look Up'!$I$13:$J$19,2,TRUE),IF(AND(U337&gt;=79),VLOOKUP(I337,'H&amp;R Look Up'!$M$13:$N$18,2,TRUE),"")))))</f>
        <v/>
      </c>
      <c r="U337" s="222" t="str">
        <f t="shared" si="6"/>
        <v/>
      </c>
    </row>
    <row r="338" spans="1:21" s="108" customFormat="1" ht="15.75">
      <c r="A338" s="119"/>
      <c r="B338" s="120"/>
      <c r="C338" s="111"/>
      <c r="D338" s="111"/>
      <c r="E338" s="121"/>
      <c r="F338" s="121"/>
      <c r="G338" s="113"/>
      <c r="H338" s="104"/>
      <c r="I338" s="219"/>
      <c r="J338" s="200" t="str">
        <f>IF(E338="","",IF(AND(U338&lt;=66),VLOOKUP(I338,'H&amp;R Look Up'!$A$13:$B$21,2,TRUE),IF(AND(U338&gt;=67,U338&lt;=72),VLOOKUP(I338,'H&amp;R Look Up'!$E$13:$F$20,2,TRUE),IF(AND(U338&gt;=73,U338&lt;=78),VLOOKUP(I338,'H&amp;R Look Up'!$I$13:$J$19,2,TRUE),IF(AND(U338&gt;=79),VLOOKUP(I338,'H&amp;R Look Up'!$M$13:$N$18,2,TRUE),"")))))</f>
        <v/>
      </c>
      <c r="U338" s="222" t="str">
        <f t="shared" si="6"/>
        <v/>
      </c>
    </row>
    <row r="339" spans="1:21" s="108" customFormat="1" ht="15.75">
      <c r="A339" s="119"/>
      <c r="B339" s="120"/>
      <c r="C339" s="111"/>
      <c r="D339" s="111"/>
      <c r="E339" s="121"/>
      <c r="F339" s="121"/>
      <c r="G339" s="113"/>
      <c r="H339" s="104"/>
      <c r="I339" s="219"/>
      <c r="J339" s="200" t="str">
        <f>IF(E339="","",IF(AND(U339&lt;=66),VLOOKUP(I339,'H&amp;R Look Up'!$A$13:$B$21,2,TRUE),IF(AND(U339&gt;=67,U339&lt;=72),VLOOKUP(I339,'H&amp;R Look Up'!$E$13:$F$20,2,TRUE),IF(AND(U339&gt;=73,U339&lt;=78),VLOOKUP(I339,'H&amp;R Look Up'!$I$13:$J$19,2,TRUE),IF(AND(U339&gt;=79),VLOOKUP(I339,'H&amp;R Look Up'!$M$13:$N$18,2,TRUE),"")))))</f>
        <v/>
      </c>
      <c r="U339" s="222" t="str">
        <f t="shared" si="6"/>
        <v/>
      </c>
    </row>
    <row r="340" spans="1:21" s="108" customFormat="1" ht="15.75">
      <c r="A340" s="119"/>
      <c r="B340" s="120"/>
      <c r="C340" s="111"/>
      <c r="D340" s="111"/>
      <c r="E340" s="121"/>
      <c r="F340" s="121"/>
      <c r="G340" s="113"/>
      <c r="H340" s="104"/>
      <c r="I340" s="219"/>
      <c r="J340" s="200" t="str">
        <f>IF(E340="","",IF(AND(U340&lt;=66),VLOOKUP(I340,'H&amp;R Look Up'!$A$13:$B$21,2,TRUE),IF(AND(U340&gt;=67,U340&lt;=72),VLOOKUP(I340,'H&amp;R Look Up'!$E$13:$F$20,2,TRUE),IF(AND(U340&gt;=73,U340&lt;=78),VLOOKUP(I340,'H&amp;R Look Up'!$I$13:$J$19,2,TRUE),IF(AND(U340&gt;=79),VLOOKUP(I340,'H&amp;R Look Up'!$M$13:$N$18,2,TRUE),"")))))</f>
        <v/>
      </c>
      <c r="U340" s="222" t="str">
        <f t="shared" si="6"/>
        <v/>
      </c>
    </row>
    <row r="341" spans="1:21" s="108" customFormat="1" ht="15.75">
      <c r="A341" s="119"/>
      <c r="B341" s="120"/>
      <c r="C341" s="111"/>
      <c r="D341" s="111"/>
      <c r="E341" s="121"/>
      <c r="F341" s="121"/>
      <c r="G341" s="113"/>
      <c r="H341" s="104"/>
      <c r="I341" s="219"/>
      <c r="J341" s="200" t="str">
        <f>IF(E341="","",IF(AND(U341&lt;=66),VLOOKUP(I341,'H&amp;R Look Up'!$A$13:$B$21,2,TRUE),IF(AND(U341&gt;=67,U341&lt;=72),VLOOKUP(I341,'H&amp;R Look Up'!$E$13:$F$20,2,TRUE),IF(AND(U341&gt;=73,U341&lt;=78),VLOOKUP(I341,'H&amp;R Look Up'!$I$13:$J$19,2,TRUE),IF(AND(U341&gt;=79),VLOOKUP(I341,'H&amp;R Look Up'!$M$13:$N$18,2,TRUE),"")))))</f>
        <v/>
      </c>
      <c r="U341" s="222" t="str">
        <f t="shared" si="6"/>
        <v/>
      </c>
    </row>
    <row r="342" spans="1:21" s="108" customFormat="1" ht="15.75">
      <c r="A342" s="119"/>
      <c r="B342" s="120"/>
      <c r="C342" s="111"/>
      <c r="D342" s="111"/>
      <c r="E342" s="121"/>
      <c r="F342" s="121"/>
      <c r="G342" s="113"/>
      <c r="H342" s="104"/>
      <c r="I342" s="219"/>
      <c r="J342" s="200" t="str">
        <f>IF(E342="","",IF(AND(U342&lt;=66),VLOOKUP(I342,'H&amp;R Look Up'!$A$13:$B$21,2,TRUE),IF(AND(U342&gt;=67,U342&lt;=72),VLOOKUP(I342,'H&amp;R Look Up'!$E$13:$F$20,2,TRUE),IF(AND(U342&gt;=73,U342&lt;=78),VLOOKUP(I342,'H&amp;R Look Up'!$I$13:$J$19,2,TRUE),IF(AND(U342&gt;=79),VLOOKUP(I342,'H&amp;R Look Up'!$M$13:$N$18,2,TRUE),"")))))</f>
        <v/>
      </c>
      <c r="U342" s="222" t="str">
        <f t="shared" si="6"/>
        <v/>
      </c>
    </row>
    <row r="343" spans="1:21" s="108" customFormat="1" ht="15.75">
      <c r="A343" s="119"/>
      <c r="B343" s="120"/>
      <c r="C343" s="111"/>
      <c r="D343" s="111"/>
      <c r="E343" s="121"/>
      <c r="F343" s="121"/>
      <c r="G343" s="113"/>
      <c r="H343" s="104"/>
      <c r="I343" s="219"/>
      <c r="J343" s="200" t="str">
        <f>IF(E343="","",IF(AND(U343&lt;=66),VLOOKUP(I343,'H&amp;R Look Up'!$A$13:$B$21,2,TRUE),IF(AND(U343&gt;=67,U343&lt;=72),VLOOKUP(I343,'H&amp;R Look Up'!$E$13:$F$20,2,TRUE),IF(AND(U343&gt;=73,U343&lt;=78),VLOOKUP(I343,'H&amp;R Look Up'!$I$13:$J$19,2,TRUE),IF(AND(U343&gt;=79),VLOOKUP(I343,'H&amp;R Look Up'!$M$13:$N$18,2,TRUE),"")))))</f>
        <v/>
      </c>
      <c r="U343" s="222" t="str">
        <f t="shared" si="6"/>
        <v/>
      </c>
    </row>
    <row r="344" spans="1:21" s="108" customFormat="1" ht="15.75">
      <c r="A344" s="119"/>
      <c r="B344" s="120"/>
      <c r="C344" s="111"/>
      <c r="D344" s="111"/>
      <c r="E344" s="121"/>
      <c r="F344" s="121"/>
      <c r="G344" s="113"/>
      <c r="H344" s="104"/>
      <c r="I344" s="219"/>
      <c r="J344" s="200" t="str">
        <f>IF(E344="","",IF(AND(U344&lt;=66),VLOOKUP(I344,'H&amp;R Look Up'!$A$13:$B$21,2,TRUE),IF(AND(U344&gt;=67,U344&lt;=72),VLOOKUP(I344,'H&amp;R Look Up'!$E$13:$F$20,2,TRUE),IF(AND(U344&gt;=73,U344&lt;=78),VLOOKUP(I344,'H&amp;R Look Up'!$I$13:$J$19,2,TRUE),IF(AND(U344&gt;=79),VLOOKUP(I344,'H&amp;R Look Up'!$M$13:$N$18,2,TRUE),"")))))</f>
        <v/>
      </c>
      <c r="U344" s="222" t="str">
        <f t="shared" si="6"/>
        <v/>
      </c>
    </row>
    <row r="345" spans="1:21" s="108" customFormat="1" ht="15.75">
      <c r="A345" s="119"/>
      <c r="B345" s="120"/>
      <c r="C345" s="111"/>
      <c r="D345" s="111"/>
      <c r="E345" s="121"/>
      <c r="F345" s="121"/>
      <c r="G345" s="113"/>
      <c r="H345" s="104"/>
      <c r="I345" s="219"/>
      <c r="J345" s="200" t="str">
        <f>IF(E345="","",IF(AND(U345&lt;=66),VLOOKUP(I345,'H&amp;R Look Up'!$A$13:$B$21,2,TRUE),IF(AND(U345&gt;=67,U345&lt;=72),VLOOKUP(I345,'H&amp;R Look Up'!$E$13:$F$20,2,TRUE),IF(AND(U345&gt;=73,U345&lt;=78),VLOOKUP(I345,'H&amp;R Look Up'!$I$13:$J$19,2,TRUE),IF(AND(U345&gt;=79),VLOOKUP(I345,'H&amp;R Look Up'!$M$13:$N$18,2,TRUE),"")))))</f>
        <v/>
      </c>
      <c r="U345" s="222" t="str">
        <f t="shared" si="6"/>
        <v/>
      </c>
    </row>
    <row r="346" spans="1:21" s="108" customFormat="1" ht="15.75">
      <c r="A346" s="119"/>
      <c r="B346" s="120"/>
      <c r="C346" s="111"/>
      <c r="D346" s="111"/>
      <c r="E346" s="121"/>
      <c r="F346" s="121"/>
      <c r="G346" s="113"/>
      <c r="H346" s="104"/>
      <c r="I346" s="219"/>
      <c r="J346" s="200" t="str">
        <f>IF(E346="","",IF(AND(U346&lt;=66),VLOOKUP(I346,'H&amp;R Look Up'!$A$13:$B$21,2,TRUE),IF(AND(U346&gt;=67,U346&lt;=72),VLOOKUP(I346,'H&amp;R Look Up'!$E$13:$F$20,2,TRUE),IF(AND(U346&gt;=73,U346&lt;=78),VLOOKUP(I346,'H&amp;R Look Up'!$I$13:$J$19,2,TRUE),IF(AND(U346&gt;=79),VLOOKUP(I346,'H&amp;R Look Up'!$M$13:$N$18,2,TRUE),"")))))</f>
        <v/>
      </c>
      <c r="U346" s="222" t="str">
        <f t="shared" si="6"/>
        <v/>
      </c>
    </row>
    <row r="347" spans="1:21" s="108" customFormat="1" ht="15.75">
      <c r="A347" s="119"/>
      <c r="B347" s="120"/>
      <c r="C347" s="111"/>
      <c r="D347" s="111"/>
      <c r="E347" s="121"/>
      <c r="F347" s="121"/>
      <c r="G347" s="113"/>
      <c r="H347" s="104"/>
      <c r="I347" s="219"/>
      <c r="J347" s="200" t="str">
        <f>IF(E347="","",IF(AND(U347&lt;=66),VLOOKUP(I347,'H&amp;R Look Up'!$A$13:$B$21,2,TRUE),IF(AND(U347&gt;=67,U347&lt;=72),VLOOKUP(I347,'H&amp;R Look Up'!$E$13:$F$20,2,TRUE),IF(AND(U347&gt;=73,U347&lt;=78),VLOOKUP(I347,'H&amp;R Look Up'!$I$13:$J$19,2,TRUE),IF(AND(U347&gt;=79),VLOOKUP(I347,'H&amp;R Look Up'!$M$13:$N$18,2,TRUE),"")))))</f>
        <v/>
      </c>
      <c r="U347" s="222" t="str">
        <f t="shared" si="6"/>
        <v/>
      </c>
    </row>
    <row r="348" spans="1:21" s="108" customFormat="1" ht="15.75">
      <c r="A348" s="119"/>
      <c r="B348" s="120"/>
      <c r="C348" s="111"/>
      <c r="D348" s="111"/>
      <c r="E348" s="121"/>
      <c r="F348" s="121"/>
      <c r="G348" s="113"/>
      <c r="H348" s="104"/>
      <c r="I348" s="219"/>
      <c r="J348" s="200" t="str">
        <f>IF(E348="","",IF(AND(U348&lt;=66),VLOOKUP(I348,'H&amp;R Look Up'!$A$13:$B$21,2,TRUE),IF(AND(U348&gt;=67,U348&lt;=72),VLOOKUP(I348,'H&amp;R Look Up'!$E$13:$F$20,2,TRUE),IF(AND(U348&gt;=73,U348&lt;=78),VLOOKUP(I348,'H&amp;R Look Up'!$I$13:$J$19,2,TRUE),IF(AND(U348&gt;=79),VLOOKUP(I348,'H&amp;R Look Up'!$M$13:$N$18,2,TRUE),"")))))</f>
        <v/>
      </c>
      <c r="U348" s="222" t="str">
        <f t="shared" si="6"/>
        <v/>
      </c>
    </row>
    <row r="349" spans="1:21" s="108" customFormat="1" ht="15.75">
      <c r="A349" s="119"/>
      <c r="B349" s="120"/>
      <c r="C349" s="111"/>
      <c r="D349" s="111"/>
      <c r="E349" s="121"/>
      <c r="F349" s="121"/>
      <c r="G349" s="113"/>
      <c r="H349" s="104"/>
      <c r="I349" s="219"/>
      <c r="J349" s="200" t="str">
        <f>IF(E349="","",IF(AND(U349&lt;=66),VLOOKUP(I349,'H&amp;R Look Up'!$A$13:$B$21,2,TRUE),IF(AND(U349&gt;=67,U349&lt;=72),VLOOKUP(I349,'H&amp;R Look Up'!$E$13:$F$20,2,TRUE),IF(AND(U349&gt;=73,U349&lt;=78),VLOOKUP(I349,'H&amp;R Look Up'!$I$13:$J$19,2,TRUE),IF(AND(U349&gt;=79),VLOOKUP(I349,'H&amp;R Look Up'!$M$13:$N$18,2,TRUE),"")))))</f>
        <v/>
      </c>
      <c r="U349" s="222" t="str">
        <f t="shared" si="6"/>
        <v/>
      </c>
    </row>
    <row r="350" spans="1:21" s="108" customFormat="1" ht="15.75">
      <c r="A350" s="119"/>
      <c r="B350" s="120"/>
      <c r="C350" s="111"/>
      <c r="D350" s="111"/>
      <c r="E350" s="121"/>
      <c r="F350" s="121"/>
      <c r="G350" s="113"/>
      <c r="H350" s="104"/>
      <c r="I350" s="219"/>
      <c r="J350" s="200" t="str">
        <f>IF(E350="","",IF(AND(U350&lt;=66),VLOOKUP(I350,'H&amp;R Look Up'!$A$13:$B$21,2,TRUE),IF(AND(U350&gt;=67,U350&lt;=72),VLOOKUP(I350,'H&amp;R Look Up'!$E$13:$F$20,2,TRUE),IF(AND(U350&gt;=73,U350&lt;=78),VLOOKUP(I350,'H&amp;R Look Up'!$I$13:$J$19,2,TRUE),IF(AND(U350&gt;=79),VLOOKUP(I350,'H&amp;R Look Up'!$M$13:$N$18,2,TRUE),"")))))</f>
        <v/>
      </c>
      <c r="U350" s="222" t="str">
        <f t="shared" si="6"/>
        <v/>
      </c>
    </row>
    <row r="351" spans="1:21" s="108" customFormat="1" ht="15.75">
      <c r="A351" s="119"/>
      <c r="B351" s="120"/>
      <c r="C351" s="111"/>
      <c r="D351" s="111"/>
      <c r="E351" s="121"/>
      <c r="F351" s="121"/>
      <c r="G351" s="113"/>
      <c r="H351" s="104"/>
      <c r="I351" s="219"/>
      <c r="J351" s="200" t="str">
        <f>IF(E351="","",IF(AND(U351&lt;=66),VLOOKUP(I351,'H&amp;R Look Up'!$A$13:$B$21,2,TRUE),IF(AND(U351&gt;=67,U351&lt;=72),VLOOKUP(I351,'H&amp;R Look Up'!$E$13:$F$20,2,TRUE),IF(AND(U351&gt;=73,U351&lt;=78),VLOOKUP(I351,'H&amp;R Look Up'!$I$13:$J$19,2,TRUE),IF(AND(U351&gt;=79),VLOOKUP(I351,'H&amp;R Look Up'!$M$13:$N$18,2,TRUE),"")))))</f>
        <v/>
      </c>
      <c r="U351" s="222" t="str">
        <f t="shared" si="6"/>
        <v/>
      </c>
    </row>
    <row r="352" spans="1:21" s="108" customFormat="1" ht="15.75">
      <c r="A352" s="119"/>
      <c r="B352" s="120"/>
      <c r="C352" s="111"/>
      <c r="D352" s="111"/>
      <c r="E352" s="121"/>
      <c r="F352" s="121"/>
      <c r="G352" s="113"/>
      <c r="H352" s="104"/>
      <c r="I352" s="219"/>
      <c r="J352" s="200" t="str">
        <f>IF(E352="","",IF(AND(U352&lt;=66),VLOOKUP(I352,'H&amp;R Look Up'!$A$13:$B$21,2,TRUE),IF(AND(U352&gt;=67,U352&lt;=72),VLOOKUP(I352,'H&amp;R Look Up'!$E$13:$F$20,2,TRUE),IF(AND(U352&gt;=73,U352&lt;=78),VLOOKUP(I352,'H&amp;R Look Up'!$I$13:$J$19,2,TRUE),IF(AND(U352&gt;=79),VLOOKUP(I352,'H&amp;R Look Up'!$M$13:$N$18,2,TRUE),"")))))</f>
        <v/>
      </c>
      <c r="U352" s="222" t="str">
        <f t="shared" si="6"/>
        <v/>
      </c>
    </row>
    <row r="353" spans="1:21" s="108" customFormat="1" ht="15.75">
      <c r="A353" s="119"/>
      <c r="B353" s="120"/>
      <c r="C353" s="111"/>
      <c r="D353" s="111"/>
      <c r="E353" s="121"/>
      <c r="F353" s="121"/>
      <c r="G353" s="113"/>
      <c r="H353" s="104"/>
      <c r="I353" s="219"/>
      <c r="J353" s="200" t="str">
        <f>IF(E353="","",IF(AND(U353&lt;=66),VLOOKUP(I353,'H&amp;R Look Up'!$A$13:$B$21,2,TRUE),IF(AND(U353&gt;=67,U353&lt;=72),VLOOKUP(I353,'H&amp;R Look Up'!$E$13:$F$20,2,TRUE),IF(AND(U353&gt;=73,U353&lt;=78),VLOOKUP(I353,'H&amp;R Look Up'!$I$13:$J$19,2,TRUE),IF(AND(U353&gt;=79),VLOOKUP(I353,'H&amp;R Look Up'!$M$13:$N$18,2,TRUE),"")))))</f>
        <v/>
      </c>
      <c r="U353" s="222" t="str">
        <f t="shared" si="6"/>
        <v/>
      </c>
    </row>
    <row r="354" spans="1:21" s="108" customFormat="1" ht="15.75">
      <c r="A354" s="119"/>
      <c r="B354" s="120"/>
      <c r="C354" s="111"/>
      <c r="D354" s="111"/>
      <c r="E354" s="121"/>
      <c r="F354" s="121"/>
      <c r="G354" s="113"/>
      <c r="H354" s="104"/>
      <c r="I354" s="219"/>
      <c r="J354" s="200" t="str">
        <f>IF(E354="","",IF(AND(U354&lt;=66),VLOOKUP(I354,'H&amp;R Look Up'!$A$13:$B$21,2,TRUE),IF(AND(U354&gt;=67,U354&lt;=72),VLOOKUP(I354,'H&amp;R Look Up'!$E$13:$F$20,2,TRUE),IF(AND(U354&gt;=73,U354&lt;=78),VLOOKUP(I354,'H&amp;R Look Up'!$I$13:$J$19,2,TRUE),IF(AND(U354&gt;=79),VLOOKUP(I354,'H&amp;R Look Up'!$M$13:$N$18,2,TRUE),"")))))</f>
        <v/>
      </c>
      <c r="U354" s="222" t="str">
        <f t="shared" si="6"/>
        <v/>
      </c>
    </row>
    <row r="355" spans="1:21" s="108" customFormat="1" ht="15.75">
      <c r="A355" s="119"/>
      <c r="B355" s="120"/>
      <c r="C355" s="111"/>
      <c r="D355" s="111"/>
      <c r="E355" s="121"/>
      <c r="F355" s="121"/>
      <c r="G355" s="113"/>
      <c r="H355" s="104"/>
      <c r="I355" s="219"/>
      <c r="J355" s="200" t="str">
        <f>IF(E355="","",IF(AND(U355&lt;=66),VLOOKUP(I355,'H&amp;R Look Up'!$A$13:$B$21,2,TRUE),IF(AND(U355&gt;=67,U355&lt;=72),VLOOKUP(I355,'H&amp;R Look Up'!$E$13:$F$20,2,TRUE),IF(AND(U355&gt;=73,U355&lt;=78),VLOOKUP(I355,'H&amp;R Look Up'!$I$13:$J$19,2,TRUE),IF(AND(U355&gt;=79),VLOOKUP(I355,'H&amp;R Look Up'!$M$13:$N$18,2,TRUE),"")))))</f>
        <v/>
      </c>
      <c r="U355" s="222" t="str">
        <f t="shared" si="6"/>
        <v/>
      </c>
    </row>
    <row r="356" spans="1:21" s="108" customFormat="1" ht="15.75">
      <c r="A356" s="119"/>
      <c r="B356" s="120"/>
      <c r="C356" s="111"/>
      <c r="D356" s="111"/>
      <c r="E356" s="121"/>
      <c r="F356" s="121"/>
      <c r="G356" s="113"/>
      <c r="H356" s="104"/>
      <c r="I356" s="219"/>
      <c r="J356" s="200" t="str">
        <f>IF(E356="","",IF(AND(U356&lt;=66),VLOOKUP(I356,'H&amp;R Look Up'!$A$13:$B$21,2,TRUE),IF(AND(U356&gt;=67,U356&lt;=72),VLOOKUP(I356,'H&amp;R Look Up'!$E$13:$F$20,2,TRUE),IF(AND(U356&gt;=73,U356&lt;=78),VLOOKUP(I356,'H&amp;R Look Up'!$I$13:$J$19,2,TRUE),IF(AND(U356&gt;=79),VLOOKUP(I356,'H&amp;R Look Up'!$M$13:$N$18,2,TRUE),"")))))</f>
        <v/>
      </c>
      <c r="U356" s="222" t="str">
        <f t="shared" si="6"/>
        <v/>
      </c>
    </row>
    <row r="357" spans="1:21" s="108" customFormat="1" ht="15.75">
      <c r="A357" s="119"/>
      <c r="B357" s="120"/>
      <c r="C357" s="111"/>
      <c r="D357" s="111"/>
      <c r="E357" s="121"/>
      <c r="F357" s="121"/>
      <c r="G357" s="113"/>
      <c r="H357" s="104"/>
      <c r="I357" s="219"/>
      <c r="J357" s="200" t="str">
        <f>IF(E357="","",IF(AND(U357&lt;=66),VLOOKUP(I357,'H&amp;R Look Up'!$A$13:$B$21,2,TRUE),IF(AND(U357&gt;=67,U357&lt;=72),VLOOKUP(I357,'H&amp;R Look Up'!$E$13:$F$20,2,TRUE),IF(AND(U357&gt;=73,U357&lt;=78),VLOOKUP(I357,'H&amp;R Look Up'!$I$13:$J$19,2,TRUE),IF(AND(U357&gt;=79),VLOOKUP(I357,'H&amp;R Look Up'!$M$13:$N$18,2,TRUE),"")))))</f>
        <v/>
      </c>
      <c r="U357" s="222" t="str">
        <f t="shared" si="6"/>
        <v/>
      </c>
    </row>
    <row r="358" spans="1:21" s="108" customFormat="1" ht="15.75">
      <c r="A358" s="119"/>
      <c r="B358" s="120"/>
      <c r="C358" s="111"/>
      <c r="D358" s="111"/>
      <c r="E358" s="121"/>
      <c r="F358" s="121"/>
      <c r="G358" s="113"/>
      <c r="H358" s="104"/>
      <c r="I358" s="219"/>
      <c r="J358" s="200" t="str">
        <f>IF(E358="","",IF(AND(U358&lt;=66),VLOOKUP(I358,'H&amp;R Look Up'!$A$13:$B$21,2,TRUE),IF(AND(U358&gt;=67,U358&lt;=72),VLOOKUP(I358,'H&amp;R Look Up'!$E$13:$F$20,2,TRUE),IF(AND(U358&gt;=73,U358&lt;=78),VLOOKUP(I358,'H&amp;R Look Up'!$I$13:$J$19,2,TRUE),IF(AND(U358&gt;=79),VLOOKUP(I358,'H&amp;R Look Up'!$M$13:$N$18,2,TRUE),"")))))</f>
        <v/>
      </c>
      <c r="U358" s="222" t="str">
        <f t="shared" si="6"/>
        <v/>
      </c>
    </row>
    <row r="359" spans="1:21" s="108" customFormat="1" ht="15.75">
      <c r="A359" s="119"/>
      <c r="B359" s="120"/>
      <c r="C359" s="111"/>
      <c r="D359" s="111"/>
      <c r="E359" s="121"/>
      <c r="F359" s="121"/>
      <c r="G359" s="113"/>
      <c r="H359" s="104"/>
      <c r="I359" s="219"/>
      <c r="J359" s="200" t="str">
        <f>IF(E359="","",IF(AND(U359&lt;=66),VLOOKUP(I359,'H&amp;R Look Up'!$A$13:$B$21,2,TRUE),IF(AND(U359&gt;=67,U359&lt;=72),VLOOKUP(I359,'H&amp;R Look Up'!$E$13:$F$20,2,TRUE),IF(AND(U359&gt;=73,U359&lt;=78),VLOOKUP(I359,'H&amp;R Look Up'!$I$13:$J$19,2,TRUE),IF(AND(U359&gt;=79),VLOOKUP(I359,'H&amp;R Look Up'!$M$13:$N$18,2,TRUE),"")))))</f>
        <v/>
      </c>
      <c r="U359" s="222" t="str">
        <f t="shared" si="6"/>
        <v/>
      </c>
    </row>
    <row r="360" spans="1:21" s="108" customFormat="1" ht="15.75">
      <c r="A360" s="119"/>
      <c r="B360" s="120"/>
      <c r="C360" s="111"/>
      <c r="D360" s="111"/>
      <c r="E360" s="121"/>
      <c r="F360" s="121"/>
      <c r="G360" s="113"/>
      <c r="H360" s="104"/>
      <c r="I360" s="219"/>
      <c r="J360" s="200" t="str">
        <f>IF(E360="","",IF(AND(U360&lt;=66),VLOOKUP(I360,'H&amp;R Look Up'!$A$13:$B$21,2,TRUE),IF(AND(U360&gt;=67,U360&lt;=72),VLOOKUP(I360,'H&amp;R Look Up'!$E$13:$F$20,2,TRUE),IF(AND(U360&gt;=73,U360&lt;=78),VLOOKUP(I360,'H&amp;R Look Up'!$I$13:$J$19,2,TRUE),IF(AND(U360&gt;=79),VLOOKUP(I360,'H&amp;R Look Up'!$M$13:$N$18,2,TRUE),"")))))</f>
        <v/>
      </c>
      <c r="U360" s="222" t="str">
        <f t="shared" si="6"/>
        <v/>
      </c>
    </row>
    <row r="361" spans="1:21" s="108" customFormat="1" ht="15.75">
      <c r="A361" s="119"/>
      <c r="B361" s="120"/>
      <c r="C361" s="111"/>
      <c r="D361" s="111"/>
      <c r="E361" s="121"/>
      <c r="F361" s="121"/>
      <c r="G361" s="113"/>
      <c r="H361" s="104"/>
      <c r="I361" s="219"/>
      <c r="J361" s="200" t="str">
        <f>IF(E361="","",IF(AND(U361&lt;=66),VLOOKUP(I361,'H&amp;R Look Up'!$A$13:$B$21,2,TRUE),IF(AND(U361&gt;=67,U361&lt;=72),VLOOKUP(I361,'H&amp;R Look Up'!$E$13:$F$20,2,TRUE),IF(AND(U361&gt;=73,U361&lt;=78),VLOOKUP(I361,'H&amp;R Look Up'!$I$13:$J$19,2,TRUE),IF(AND(U361&gt;=79),VLOOKUP(I361,'H&amp;R Look Up'!$M$13:$N$18,2,TRUE),"")))))</f>
        <v/>
      </c>
      <c r="U361" s="222" t="str">
        <f t="shared" si="6"/>
        <v/>
      </c>
    </row>
    <row r="362" spans="1:21" s="108" customFormat="1" ht="15.75">
      <c r="A362" s="119"/>
      <c r="B362" s="120"/>
      <c r="C362" s="111"/>
      <c r="D362" s="111"/>
      <c r="E362" s="121"/>
      <c r="F362" s="121"/>
      <c r="G362" s="113"/>
      <c r="H362" s="104"/>
      <c r="I362" s="219"/>
      <c r="J362" s="200" t="str">
        <f>IF(E362="","",IF(AND(U362&lt;=66),VLOOKUP(I362,'H&amp;R Look Up'!$A$13:$B$21,2,TRUE),IF(AND(U362&gt;=67,U362&lt;=72),VLOOKUP(I362,'H&amp;R Look Up'!$E$13:$F$20,2,TRUE),IF(AND(U362&gt;=73,U362&lt;=78),VLOOKUP(I362,'H&amp;R Look Up'!$I$13:$J$19,2,TRUE),IF(AND(U362&gt;=79),VLOOKUP(I362,'H&amp;R Look Up'!$M$13:$N$18,2,TRUE),"")))))</f>
        <v/>
      </c>
      <c r="U362" s="222" t="str">
        <f t="shared" si="6"/>
        <v/>
      </c>
    </row>
    <row r="363" spans="1:21" s="108" customFormat="1" ht="15.75">
      <c r="A363" s="119"/>
      <c r="B363" s="120"/>
      <c r="C363" s="111"/>
      <c r="D363" s="111"/>
      <c r="E363" s="121"/>
      <c r="F363" s="121"/>
      <c r="G363" s="113"/>
      <c r="H363" s="104"/>
      <c r="I363" s="219"/>
      <c r="J363" s="200" t="str">
        <f>IF(E363="","",IF(AND(U363&lt;=66),VLOOKUP(I363,'H&amp;R Look Up'!$A$13:$B$21,2,TRUE),IF(AND(U363&gt;=67,U363&lt;=72),VLOOKUP(I363,'H&amp;R Look Up'!$E$13:$F$20,2,TRUE),IF(AND(U363&gt;=73,U363&lt;=78),VLOOKUP(I363,'H&amp;R Look Up'!$I$13:$J$19,2,TRUE),IF(AND(U363&gt;=79),VLOOKUP(I363,'H&amp;R Look Up'!$M$13:$N$18,2,TRUE),"")))))</f>
        <v/>
      </c>
      <c r="U363" s="222" t="str">
        <f t="shared" si="6"/>
        <v/>
      </c>
    </row>
    <row r="364" spans="1:21" s="108" customFormat="1" ht="15.75">
      <c r="A364" s="119"/>
      <c r="B364" s="120"/>
      <c r="C364" s="111"/>
      <c r="D364" s="111"/>
      <c r="E364" s="121"/>
      <c r="F364" s="121"/>
      <c r="G364" s="113"/>
      <c r="H364" s="104"/>
      <c r="I364" s="219"/>
      <c r="J364" s="200" t="str">
        <f>IF(E364="","",IF(AND(U364&lt;=66),VLOOKUP(I364,'H&amp;R Look Up'!$A$13:$B$21,2,TRUE),IF(AND(U364&gt;=67,U364&lt;=72),VLOOKUP(I364,'H&amp;R Look Up'!$E$13:$F$20,2,TRUE),IF(AND(U364&gt;=73,U364&lt;=78),VLOOKUP(I364,'H&amp;R Look Up'!$I$13:$J$19,2,TRUE),IF(AND(U364&gt;=79),VLOOKUP(I364,'H&amp;R Look Up'!$M$13:$N$18,2,TRUE),"")))))</f>
        <v/>
      </c>
      <c r="U364" s="222" t="str">
        <f t="shared" si="6"/>
        <v/>
      </c>
    </row>
    <row r="365" spans="1:21" s="108" customFormat="1" ht="15.75">
      <c r="A365" s="119"/>
      <c r="B365" s="120"/>
      <c r="C365" s="111"/>
      <c r="D365" s="111"/>
      <c r="E365" s="121"/>
      <c r="F365" s="121"/>
      <c r="G365" s="113"/>
      <c r="H365" s="104"/>
      <c r="I365" s="219"/>
      <c r="J365" s="200" t="str">
        <f>IF(E365="","",IF(AND(U365&lt;=66),VLOOKUP(I365,'H&amp;R Look Up'!$A$13:$B$21,2,TRUE),IF(AND(U365&gt;=67,U365&lt;=72),VLOOKUP(I365,'H&amp;R Look Up'!$E$13:$F$20,2,TRUE),IF(AND(U365&gt;=73,U365&lt;=78),VLOOKUP(I365,'H&amp;R Look Up'!$I$13:$J$19,2,TRUE),IF(AND(U365&gt;=79),VLOOKUP(I365,'H&amp;R Look Up'!$M$13:$N$18,2,TRUE),"")))))</f>
        <v/>
      </c>
      <c r="U365" s="222" t="str">
        <f t="shared" si="6"/>
        <v/>
      </c>
    </row>
    <row r="366" spans="1:21" s="108" customFormat="1" ht="15.75">
      <c r="A366" s="119"/>
      <c r="B366" s="120"/>
      <c r="C366" s="111"/>
      <c r="D366" s="111"/>
      <c r="E366" s="121"/>
      <c r="F366" s="121"/>
      <c r="G366" s="113"/>
      <c r="H366" s="104"/>
      <c r="I366" s="219"/>
      <c r="J366" s="200" t="str">
        <f>IF(E366="","",IF(AND(U366&lt;=66),VLOOKUP(I366,'H&amp;R Look Up'!$A$13:$B$21,2,TRUE),IF(AND(U366&gt;=67,U366&lt;=72),VLOOKUP(I366,'H&amp;R Look Up'!$E$13:$F$20,2,TRUE),IF(AND(U366&gt;=73,U366&lt;=78),VLOOKUP(I366,'H&amp;R Look Up'!$I$13:$J$19,2,TRUE),IF(AND(U366&gt;=79),VLOOKUP(I366,'H&amp;R Look Up'!$M$13:$N$18,2,TRUE),"")))))</f>
        <v/>
      </c>
      <c r="U366" s="222" t="str">
        <f t="shared" si="6"/>
        <v/>
      </c>
    </row>
    <row r="367" spans="1:21" s="108" customFormat="1" ht="15.75">
      <c r="A367" s="119"/>
      <c r="B367" s="120"/>
      <c r="C367" s="111"/>
      <c r="D367" s="111"/>
      <c r="E367" s="121"/>
      <c r="F367" s="121"/>
      <c r="G367" s="113"/>
      <c r="H367" s="104"/>
      <c r="I367" s="219"/>
      <c r="J367" s="200" t="str">
        <f>IF(E367="","",IF(AND(U367&lt;=66),VLOOKUP(I367,'H&amp;R Look Up'!$A$13:$B$21,2,TRUE),IF(AND(U367&gt;=67,U367&lt;=72),VLOOKUP(I367,'H&amp;R Look Up'!$E$13:$F$20,2,TRUE),IF(AND(U367&gt;=73,U367&lt;=78),VLOOKUP(I367,'H&amp;R Look Up'!$I$13:$J$19,2,TRUE),IF(AND(U367&gt;=79),VLOOKUP(I367,'H&amp;R Look Up'!$M$13:$N$18,2,TRUE),"")))))</f>
        <v/>
      </c>
      <c r="U367" s="222" t="str">
        <f t="shared" si="6"/>
        <v/>
      </c>
    </row>
    <row r="368" spans="1:21" s="108" customFormat="1" ht="15.75">
      <c r="A368" s="119"/>
      <c r="B368" s="120"/>
      <c r="C368" s="111"/>
      <c r="D368" s="111"/>
      <c r="E368" s="121"/>
      <c r="F368" s="121"/>
      <c r="G368" s="113"/>
      <c r="H368" s="104"/>
      <c r="I368" s="219"/>
      <c r="J368" s="200" t="str">
        <f>IF(E368="","",IF(AND(U368&lt;=66),VLOOKUP(I368,'H&amp;R Look Up'!$A$13:$B$21,2,TRUE),IF(AND(U368&gt;=67,U368&lt;=72),VLOOKUP(I368,'H&amp;R Look Up'!$E$13:$F$20,2,TRUE),IF(AND(U368&gt;=73,U368&lt;=78),VLOOKUP(I368,'H&amp;R Look Up'!$I$13:$J$19,2,TRUE),IF(AND(U368&gt;=79),VLOOKUP(I368,'H&amp;R Look Up'!$M$13:$N$18,2,TRUE),"")))))</f>
        <v/>
      </c>
      <c r="U368" s="222" t="str">
        <f t="shared" si="6"/>
        <v/>
      </c>
    </row>
    <row r="369" spans="1:21" s="108" customFormat="1" ht="15.75">
      <c r="A369" s="119"/>
      <c r="B369" s="120"/>
      <c r="C369" s="111"/>
      <c r="D369" s="111"/>
      <c r="E369" s="121"/>
      <c r="F369" s="121"/>
      <c r="G369" s="113"/>
      <c r="H369" s="104"/>
      <c r="I369" s="219"/>
      <c r="J369" s="200" t="str">
        <f>IF(E369="","",IF(AND(U369&lt;=66),VLOOKUP(I369,'H&amp;R Look Up'!$A$13:$B$21,2,TRUE),IF(AND(U369&gt;=67,U369&lt;=72),VLOOKUP(I369,'H&amp;R Look Up'!$E$13:$F$20,2,TRUE),IF(AND(U369&gt;=73,U369&lt;=78),VLOOKUP(I369,'H&amp;R Look Up'!$I$13:$J$19,2,TRUE),IF(AND(U369&gt;=79),VLOOKUP(I369,'H&amp;R Look Up'!$M$13:$N$18,2,TRUE),"")))))</f>
        <v/>
      </c>
      <c r="U369" s="222" t="str">
        <f t="shared" si="6"/>
        <v/>
      </c>
    </row>
    <row r="370" spans="1:21" s="108" customFormat="1" ht="15.75">
      <c r="A370" s="119"/>
      <c r="B370" s="120"/>
      <c r="C370" s="111"/>
      <c r="D370" s="111"/>
      <c r="E370" s="121"/>
      <c r="F370" s="121"/>
      <c r="G370" s="113"/>
      <c r="H370" s="104"/>
      <c r="I370" s="219"/>
      <c r="J370" s="200" t="str">
        <f>IF(E370="","",IF(AND(U370&lt;=66),VLOOKUP(I370,'H&amp;R Look Up'!$A$13:$B$21,2,TRUE),IF(AND(U370&gt;=67,U370&lt;=72),VLOOKUP(I370,'H&amp;R Look Up'!$E$13:$F$20,2,TRUE),IF(AND(U370&gt;=73,U370&lt;=78),VLOOKUP(I370,'H&amp;R Look Up'!$I$13:$J$19,2,TRUE),IF(AND(U370&gt;=79),VLOOKUP(I370,'H&amp;R Look Up'!$M$13:$N$18,2,TRUE),"")))))</f>
        <v/>
      </c>
      <c r="U370" s="222" t="str">
        <f t="shared" si="6"/>
        <v/>
      </c>
    </row>
    <row r="371" spans="1:21" s="108" customFormat="1" ht="15.75">
      <c r="A371" s="119"/>
      <c r="B371" s="120"/>
      <c r="C371" s="111"/>
      <c r="D371" s="111"/>
      <c r="E371" s="121"/>
      <c r="F371" s="121"/>
      <c r="G371" s="113"/>
      <c r="H371" s="104"/>
      <c r="I371" s="219"/>
      <c r="J371" s="200" t="str">
        <f>IF(E371="","",IF(AND(U371&lt;=66),VLOOKUP(I371,'H&amp;R Look Up'!$A$13:$B$21,2,TRUE),IF(AND(U371&gt;=67,U371&lt;=72),VLOOKUP(I371,'H&amp;R Look Up'!$E$13:$F$20,2,TRUE),IF(AND(U371&gt;=73,U371&lt;=78),VLOOKUP(I371,'H&amp;R Look Up'!$I$13:$J$19,2,TRUE),IF(AND(U371&gt;=79),VLOOKUP(I371,'H&amp;R Look Up'!$M$13:$N$18,2,TRUE),"")))))</f>
        <v/>
      </c>
      <c r="U371" s="222" t="str">
        <f t="shared" si="6"/>
        <v/>
      </c>
    </row>
    <row r="372" spans="1:21" s="108" customFormat="1" ht="15.75">
      <c r="A372" s="119"/>
      <c r="B372" s="120"/>
      <c r="C372" s="111"/>
      <c r="D372" s="111"/>
      <c r="E372" s="121"/>
      <c r="F372" s="121"/>
      <c r="G372" s="113"/>
      <c r="H372" s="104"/>
      <c r="I372" s="219"/>
      <c r="J372" s="200" t="str">
        <f>IF(E372="","",IF(AND(U372&lt;=66),VLOOKUP(I372,'H&amp;R Look Up'!$A$13:$B$21,2,TRUE),IF(AND(U372&gt;=67,U372&lt;=72),VLOOKUP(I372,'H&amp;R Look Up'!$E$13:$F$20,2,TRUE),IF(AND(U372&gt;=73,U372&lt;=78),VLOOKUP(I372,'H&amp;R Look Up'!$I$13:$J$19,2,TRUE),IF(AND(U372&gt;=79),VLOOKUP(I372,'H&amp;R Look Up'!$M$13:$N$18,2,TRUE),"")))))</f>
        <v/>
      </c>
      <c r="U372" s="222" t="str">
        <f t="shared" si="6"/>
        <v/>
      </c>
    </row>
    <row r="373" spans="1:21" s="108" customFormat="1" ht="15.75">
      <c r="A373" s="119"/>
      <c r="B373" s="120"/>
      <c r="C373" s="111"/>
      <c r="D373" s="111"/>
      <c r="E373" s="121"/>
      <c r="F373" s="121"/>
      <c r="G373" s="113"/>
      <c r="H373" s="104"/>
      <c r="I373" s="219"/>
      <c r="J373" s="200" t="str">
        <f>IF(E373="","",IF(AND(U373&lt;=66),VLOOKUP(I373,'H&amp;R Look Up'!$A$13:$B$21,2,TRUE),IF(AND(U373&gt;=67,U373&lt;=72),VLOOKUP(I373,'H&amp;R Look Up'!$E$13:$F$20,2,TRUE),IF(AND(U373&gt;=73,U373&lt;=78),VLOOKUP(I373,'H&amp;R Look Up'!$I$13:$J$19,2,TRUE),IF(AND(U373&gt;=79),VLOOKUP(I373,'H&amp;R Look Up'!$M$13:$N$18,2,TRUE),"")))))</f>
        <v/>
      </c>
      <c r="U373" s="222" t="str">
        <f t="shared" si="6"/>
        <v/>
      </c>
    </row>
    <row r="374" spans="1:21" s="108" customFormat="1" ht="15.75">
      <c r="A374" s="119"/>
      <c r="B374" s="120"/>
      <c r="C374" s="111"/>
      <c r="D374" s="111"/>
      <c r="E374" s="121"/>
      <c r="F374" s="121"/>
      <c r="G374" s="113"/>
      <c r="H374" s="104"/>
      <c r="I374" s="219"/>
      <c r="J374" s="200" t="str">
        <f>IF(E374="","",IF(AND(U374&lt;=66),VLOOKUP(I374,'H&amp;R Look Up'!$A$13:$B$21,2,TRUE),IF(AND(U374&gt;=67,U374&lt;=72),VLOOKUP(I374,'H&amp;R Look Up'!$E$13:$F$20,2,TRUE),IF(AND(U374&gt;=73,U374&lt;=78),VLOOKUP(I374,'H&amp;R Look Up'!$I$13:$J$19,2,TRUE),IF(AND(U374&gt;=79),VLOOKUP(I374,'H&amp;R Look Up'!$M$13:$N$18,2,TRUE),"")))))</f>
        <v/>
      </c>
      <c r="U374" s="222" t="str">
        <f t="shared" si="6"/>
        <v/>
      </c>
    </row>
    <row r="375" spans="1:21" s="108" customFormat="1" ht="15.75">
      <c r="A375" s="119"/>
      <c r="B375" s="120"/>
      <c r="C375" s="111"/>
      <c r="D375" s="111"/>
      <c r="E375" s="121"/>
      <c r="F375" s="121"/>
      <c r="G375" s="113"/>
      <c r="H375" s="104"/>
      <c r="I375" s="219"/>
      <c r="J375" s="200" t="str">
        <f>IF(E375="","",IF(AND(U375&lt;=66),VLOOKUP(I375,'H&amp;R Look Up'!$A$13:$B$21,2,TRUE),IF(AND(U375&gt;=67,U375&lt;=72),VLOOKUP(I375,'H&amp;R Look Up'!$E$13:$F$20,2,TRUE),IF(AND(U375&gt;=73,U375&lt;=78),VLOOKUP(I375,'H&amp;R Look Up'!$I$13:$J$19,2,TRUE),IF(AND(U375&gt;=79),VLOOKUP(I375,'H&amp;R Look Up'!$M$13:$N$18,2,TRUE),"")))))</f>
        <v/>
      </c>
      <c r="U375" s="222" t="str">
        <f t="shared" si="6"/>
        <v/>
      </c>
    </row>
    <row r="376" spans="1:21" s="108" customFormat="1" ht="15.75">
      <c r="A376" s="119"/>
      <c r="B376" s="120"/>
      <c r="C376" s="111"/>
      <c r="D376" s="111"/>
      <c r="E376" s="121"/>
      <c r="F376" s="121"/>
      <c r="G376" s="113"/>
      <c r="H376" s="104"/>
      <c r="I376" s="219"/>
      <c r="J376" s="200" t="str">
        <f>IF(E376="","",IF(AND(U376&lt;=66),VLOOKUP(I376,'H&amp;R Look Up'!$A$13:$B$21,2,TRUE),IF(AND(U376&gt;=67,U376&lt;=72),VLOOKUP(I376,'H&amp;R Look Up'!$E$13:$F$20,2,TRUE),IF(AND(U376&gt;=73,U376&lt;=78),VLOOKUP(I376,'H&amp;R Look Up'!$I$13:$J$19,2,TRUE),IF(AND(U376&gt;=79),VLOOKUP(I376,'H&amp;R Look Up'!$M$13:$N$18,2,TRUE),"")))))</f>
        <v/>
      </c>
      <c r="U376" s="222" t="str">
        <f t="shared" si="6"/>
        <v/>
      </c>
    </row>
    <row r="377" spans="1:21" s="108" customFormat="1" ht="15.75">
      <c r="A377" s="119"/>
      <c r="B377" s="120"/>
      <c r="C377" s="111"/>
      <c r="D377" s="111"/>
      <c r="E377" s="121"/>
      <c r="F377" s="121"/>
      <c r="G377" s="113"/>
      <c r="H377" s="104"/>
      <c r="I377" s="219"/>
      <c r="J377" s="200" t="str">
        <f>IF(E377="","",IF(AND(U377&lt;=66),VLOOKUP(I377,'H&amp;R Look Up'!$A$13:$B$21,2,TRUE),IF(AND(U377&gt;=67,U377&lt;=72),VLOOKUP(I377,'H&amp;R Look Up'!$E$13:$F$20,2,TRUE),IF(AND(U377&gt;=73,U377&lt;=78),VLOOKUP(I377,'H&amp;R Look Up'!$I$13:$J$19,2,TRUE),IF(AND(U377&gt;=79),VLOOKUP(I377,'H&amp;R Look Up'!$M$13:$N$18,2,TRUE),"")))))</f>
        <v/>
      </c>
      <c r="U377" s="222" t="str">
        <f t="shared" si="6"/>
        <v/>
      </c>
    </row>
    <row r="378" spans="1:21" s="108" customFormat="1" ht="15.75">
      <c r="A378" s="119"/>
      <c r="B378" s="120"/>
      <c r="C378" s="111"/>
      <c r="D378" s="111"/>
      <c r="E378" s="121"/>
      <c r="F378" s="121"/>
      <c r="G378" s="113"/>
      <c r="H378" s="104"/>
      <c r="I378" s="219"/>
      <c r="J378" s="200" t="str">
        <f>IF(E378="","",IF(AND(U378&lt;=66),VLOOKUP(I378,'H&amp;R Look Up'!$A$13:$B$21,2,TRUE),IF(AND(U378&gt;=67,U378&lt;=72),VLOOKUP(I378,'H&amp;R Look Up'!$E$13:$F$20,2,TRUE),IF(AND(U378&gt;=73,U378&lt;=78),VLOOKUP(I378,'H&amp;R Look Up'!$I$13:$J$19,2,TRUE),IF(AND(U378&gt;=79),VLOOKUP(I378,'H&amp;R Look Up'!$M$13:$N$18,2,TRUE),"")))))</f>
        <v/>
      </c>
      <c r="U378" s="222" t="str">
        <f t="shared" si="6"/>
        <v/>
      </c>
    </row>
    <row r="379" spans="1:21" s="108" customFormat="1" ht="15.75">
      <c r="A379" s="119"/>
      <c r="B379" s="120"/>
      <c r="C379" s="111"/>
      <c r="D379" s="111"/>
      <c r="E379" s="121"/>
      <c r="F379" s="121"/>
      <c r="G379" s="113"/>
      <c r="H379" s="104"/>
      <c r="I379" s="219"/>
      <c r="J379" s="200" t="str">
        <f>IF(E379="","",IF(AND(U379&lt;=66),VLOOKUP(I379,'H&amp;R Look Up'!$A$13:$B$21,2,TRUE),IF(AND(U379&gt;=67,U379&lt;=72),VLOOKUP(I379,'H&amp;R Look Up'!$E$13:$F$20,2,TRUE),IF(AND(U379&gt;=73,U379&lt;=78),VLOOKUP(I379,'H&amp;R Look Up'!$I$13:$J$19,2,TRUE),IF(AND(U379&gt;=79),VLOOKUP(I379,'H&amp;R Look Up'!$M$13:$N$18,2,TRUE),"")))))</f>
        <v/>
      </c>
      <c r="U379" s="222" t="str">
        <f t="shared" si="6"/>
        <v/>
      </c>
    </row>
    <row r="380" spans="1:21" s="108" customFormat="1" ht="15.75">
      <c r="A380" s="119"/>
      <c r="B380" s="120"/>
      <c r="C380" s="111"/>
      <c r="D380" s="111"/>
      <c r="E380" s="121"/>
      <c r="F380" s="121"/>
      <c r="G380" s="113"/>
      <c r="H380" s="104"/>
      <c r="I380" s="219"/>
      <c r="J380" s="200" t="str">
        <f>IF(E380="","",IF(AND(U380&lt;=66),VLOOKUP(I380,'H&amp;R Look Up'!$A$13:$B$21,2,TRUE),IF(AND(U380&gt;=67,U380&lt;=72),VLOOKUP(I380,'H&amp;R Look Up'!$E$13:$F$20,2,TRUE),IF(AND(U380&gt;=73,U380&lt;=78),VLOOKUP(I380,'H&amp;R Look Up'!$I$13:$J$19,2,TRUE),IF(AND(U380&gt;=79),VLOOKUP(I380,'H&amp;R Look Up'!$M$13:$N$18,2,TRUE),"")))))</f>
        <v/>
      </c>
      <c r="U380" s="222" t="str">
        <f t="shared" si="6"/>
        <v/>
      </c>
    </row>
    <row r="381" spans="1:21" s="108" customFormat="1" ht="15.75">
      <c r="A381" s="119"/>
      <c r="B381" s="120"/>
      <c r="C381" s="111"/>
      <c r="D381" s="111"/>
      <c r="E381" s="121"/>
      <c r="F381" s="121"/>
      <c r="G381" s="113"/>
      <c r="H381" s="104"/>
      <c r="I381" s="219"/>
      <c r="J381" s="200" t="str">
        <f>IF(E381="","",IF(AND(U381&lt;=66),VLOOKUP(I381,'H&amp;R Look Up'!$A$13:$B$21,2,TRUE),IF(AND(U381&gt;=67,U381&lt;=72),VLOOKUP(I381,'H&amp;R Look Up'!$E$13:$F$20,2,TRUE),IF(AND(U381&gt;=73,U381&lt;=78),VLOOKUP(I381,'H&amp;R Look Up'!$I$13:$J$19,2,TRUE),IF(AND(U381&gt;=79),VLOOKUP(I381,'H&amp;R Look Up'!$M$13:$N$18,2,TRUE),"")))))</f>
        <v/>
      </c>
      <c r="U381" s="222" t="str">
        <f t="shared" si="6"/>
        <v/>
      </c>
    </row>
    <row r="382" spans="1:21" s="108" customFormat="1" ht="15.75">
      <c r="A382" s="119"/>
      <c r="B382" s="120"/>
      <c r="C382" s="111"/>
      <c r="D382" s="111"/>
      <c r="E382" s="121"/>
      <c r="F382" s="121"/>
      <c r="G382" s="113"/>
      <c r="H382" s="104"/>
      <c r="I382" s="219"/>
      <c r="J382" s="200" t="str">
        <f>IF(E382="","",IF(AND(U382&lt;=66),VLOOKUP(I382,'H&amp;R Look Up'!$A$13:$B$21,2,TRUE),IF(AND(U382&gt;=67,U382&lt;=72),VLOOKUP(I382,'H&amp;R Look Up'!$E$13:$F$20,2,TRUE),IF(AND(U382&gt;=73,U382&lt;=78),VLOOKUP(I382,'H&amp;R Look Up'!$I$13:$J$19,2,TRUE),IF(AND(U382&gt;=79),VLOOKUP(I382,'H&amp;R Look Up'!$M$13:$N$18,2,TRUE),"")))))</f>
        <v/>
      </c>
      <c r="U382" s="222" t="str">
        <f t="shared" si="6"/>
        <v/>
      </c>
    </row>
    <row r="383" spans="1:21" s="108" customFormat="1" ht="15.75">
      <c r="A383" s="119"/>
      <c r="B383" s="120"/>
      <c r="C383" s="111"/>
      <c r="D383" s="111"/>
      <c r="E383" s="121"/>
      <c r="F383" s="121"/>
      <c r="G383" s="113"/>
      <c r="H383" s="104"/>
      <c r="I383" s="219"/>
      <c r="J383" s="200" t="str">
        <f>IF(E383="","",IF(AND(U383&lt;=66),VLOOKUP(I383,'H&amp;R Look Up'!$A$13:$B$21,2,TRUE),IF(AND(U383&gt;=67,U383&lt;=72),VLOOKUP(I383,'H&amp;R Look Up'!$E$13:$F$20,2,TRUE),IF(AND(U383&gt;=73,U383&lt;=78),VLOOKUP(I383,'H&amp;R Look Up'!$I$13:$J$19,2,TRUE),IF(AND(U383&gt;=79),VLOOKUP(I383,'H&amp;R Look Up'!$M$13:$N$18,2,TRUE),"")))))</f>
        <v/>
      </c>
      <c r="U383" s="222" t="str">
        <f t="shared" si="6"/>
        <v/>
      </c>
    </row>
    <row r="384" spans="1:21" s="108" customFormat="1" ht="15.75">
      <c r="A384" s="119"/>
      <c r="B384" s="120"/>
      <c r="C384" s="111"/>
      <c r="D384" s="111"/>
      <c r="E384" s="121"/>
      <c r="F384" s="121"/>
      <c r="G384" s="113"/>
      <c r="H384" s="104"/>
      <c r="I384" s="219"/>
      <c r="J384" s="200" t="str">
        <f>IF(E384="","",IF(AND(U384&lt;=66),VLOOKUP(I384,'H&amp;R Look Up'!$A$13:$B$21,2,TRUE),IF(AND(U384&gt;=67,U384&lt;=72),VLOOKUP(I384,'H&amp;R Look Up'!$E$13:$F$20,2,TRUE),IF(AND(U384&gt;=73,U384&lt;=78),VLOOKUP(I384,'H&amp;R Look Up'!$I$13:$J$19,2,TRUE),IF(AND(U384&gt;=79),VLOOKUP(I384,'H&amp;R Look Up'!$M$13:$N$18,2,TRUE),"")))))</f>
        <v/>
      </c>
      <c r="U384" s="222" t="str">
        <f t="shared" si="6"/>
        <v/>
      </c>
    </row>
    <row r="385" spans="1:21" s="108" customFormat="1" ht="15.75">
      <c r="A385" s="119"/>
      <c r="B385" s="120"/>
      <c r="C385" s="111"/>
      <c r="D385" s="111"/>
      <c r="E385" s="121"/>
      <c r="F385" s="121"/>
      <c r="G385" s="113"/>
      <c r="H385" s="104"/>
      <c r="I385" s="219"/>
      <c r="J385" s="200" t="str">
        <f>IF(E385="","",IF(AND(U385&lt;=66),VLOOKUP(I385,'H&amp;R Look Up'!$A$13:$B$21,2,TRUE),IF(AND(U385&gt;=67,U385&lt;=72),VLOOKUP(I385,'H&amp;R Look Up'!$E$13:$F$20,2,TRUE),IF(AND(U385&gt;=73,U385&lt;=78),VLOOKUP(I385,'H&amp;R Look Up'!$I$13:$J$19,2,TRUE),IF(AND(U385&gt;=79),VLOOKUP(I385,'H&amp;R Look Up'!$M$13:$N$18,2,TRUE),"")))))</f>
        <v/>
      </c>
      <c r="U385" s="222" t="str">
        <f t="shared" si="6"/>
        <v/>
      </c>
    </row>
    <row r="386" spans="1:21" s="108" customFormat="1" ht="15.75">
      <c r="A386" s="119"/>
      <c r="B386" s="120"/>
      <c r="C386" s="111"/>
      <c r="D386" s="111"/>
      <c r="E386" s="121"/>
      <c r="F386" s="121"/>
      <c r="G386" s="113"/>
      <c r="H386" s="104"/>
      <c r="I386" s="219"/>
      <c r="J386" s="200" t="str">
        <f>IF(E386="","",IF(AND(U386&lt;=66),VLOOKUP(I386,'H&amp;R Look Up'!$A$13:$B$21,2,TRUE),IF(AND(U386&gt;=67,U386&lt;=72),VLOOKUP(I386,'H&amp;R Look Up'!$E$13:$F$20,2,TRUE),IF(AND(U386&gt;=73,U386&lt;=78),VLOOKUP(I386,'H&amp;R Look Up'!$I$13:$J$19,2,TRUE),IF(AND(U386&gt;=79),VLOOKUP(I386,'H&amp;R Look Up'!$M$13:$N$18,2,TRUE),"")))))</f>
        <v/>
      </c>
      <c r="U386" s="222" t="str">
        <f t="shared" si="6"/>
        <v/>
      </c>
    </row>
    <row r="387" spans="1:21" s="108" customFormat="1" ht="15.75">
      <c r="A387" s="119"/>
      <c r="B387" s="120"/>
      <c r="C387" s="111"/>
      <c r="D387" s="111"/>
      <c r="E387" s="121"/>
      <c r="F387" s="121"/>
      <c r="G387" s="113"/>
      <c r="H387" s="104"/>
      <c r="I387" s="219"/>
      <c r="J387" s="200" t="str">
        <f>IF(E387="","",IF(AND(U387&lt;=66),VLOOKUP(I387,'H&amp;R Look Up'!$A$13:$B$21,2,TRUE),IF(AND(U387&gt;=67,U387&lt;=72),VLOOKUP(I387,'H&amp;R Look Up'!$E$13:$F$20,2,TRUE),IF(AND(U387&gt;=73,U387&lt;=78),VLOOKUP(I387,'H&amp;R Look Up'!$I$13:$J$19,2,TRUE),IF(AND(U387&gt;=79),VLOOKUP(I387,'H&amp;R Look Up'!$M$13:$N$18,2,TRUE),"")))))</f>
        <v/>
      </c>
      <c r="U387" s="222" t="str">
        <f t="shared" si="6"/>
        <v/>
      </c>
    </row>
    <row r="388" spans="1:21" s="108" customFormat="1" ht="15.75">
      <c r="A388" s="119"/>
      <c r="B388" s="120"/>
      <c r="C388" s="111"/>
      <c r="D388" s="111"/>
      <c r="E388" s="121"/>
      <c r="F388" s="121"/>
      <c r="G388" s="113"/>
      <c r="H388" s="104"/>
      <c r="I388" s="219"/>
      <c r="J388" s="200" t="str">
        <f>IF(E388="","",IF(AND(U388&lt;=66),VLOOKUP(I388,'H&amp;R Look Up'!$A$13:$B$21,2,TRUE),IF(AND(U388&gt;=67,U388&lt;=72),VLOOKUP(I388,'H&amp;R Look Up'!$E$13:$F$20,2,TRUE),IF(AND(U388&gt;=73,U388&lt;=78),VLOOKUP(I388,'H&amp;R Look Up'!$I$13:$J$19,2,TRUE),IF(AND(U388&gt;=79),VLOOKUP(I388,'H&amp;R Look Up'!$M$13:$N$18,2,TRUE),"")))))</f>
        <v/>
      </c>
      <c r="U388" s="222" t="str">
        <f t="shared" si="6"/>
        <v/>
      </c>
    </row>
    <row r="389" spans="1:21" s="108" customFormat="1" ht="15.75">
      <c r="A389" s="119"/>
      <c r="B389" s="120"/>
      <c r="C389" s="111"/>
      <c r="D389" s="111"/>
      <c r="E389" s="121"/>
      <c r="F389" s="121"/>
      <c r="G389" s="113"/>
      <c r="H389" s="104"/>
      <c r="I389" s="219"/>
      <c r="J389" s="200" t="str">
        <f>IF(E389="","",IF(AND(U389&lt;=66),VLOOKUP(I389,'H&amp;R Look Up'!$A$13:$B$21,2,TRUE),IF(AND(U389&gt;=67,U389&lt;=72),VLOOKUP(I389,'H&amp;R Look Up'!$E$13:$F$20,2,TRUE),IF(AND(U389&gt;=73,U389&lt;=78),VLOOKUP(I389,'H&amp;R Look Up'!$I$13:$J$19,2,TRUE),IF(AND(U389&gt;=79),VLOOKUP(I389,'H&amp;R Look Up'!$M$13:$N$18,2,TRUE),"")))))</f>
        <v/>
      </c>
      <c r="U389" s="222" t="str">
        <f t="shared" si="6"/>
        <v/>
      </c>
    </row>
    <row r="390" spans="1:21" s="108" customFormat="1" ht="15.75">
      <c r="A390" s="119"/>
      <c r="B390" s="120"/>
      <c r="C390" s="111"/>
      <c r="D390" s="111"/>
      <c r="E390" s="121"/>
      <c r="F390" s="121"/>
      <c r="G390" s="113"/>
      <c r="H390" s="104"/>
      <c r="I390" s="219"/>
      <c r="J390" s="200" t="str">
        <f>IF(E390="","",IF(AND(U390&lt;=66),VLOOKUP(I390,'H&amp;R Look Up'!$A$13:$B$21,2,TRUE),IF(AND(U390&gt;=67,U390&lt;=72),VLOOKUP(I390,'H&amp;R Look Up'!$E$13:$F$20,2,TRUE),IF(AND(U390&gt;=73,U390&lt;=78),VLOOKUP(I390,'H&amp;R Look Up'!$I$13:$J$19,2,TRUE),IF(AND(U390&gt;=79),VLOOKUP(I390,'H&amp;R Look Up'!$M$13:$N$18,2,TRUE),"")))))</f>
        <v/>
      </c>
      <c r="U390" s="222" t="str">
        <f t="shared" ref="U390:U453" si="7">IF(E390="","",DATEDIF(B390,A390,"m"))</f>
        <v/>
      </c>
    </row>
    <row r="391" spans="1:21" s="108" customFormat="1" ht="15.75">
      <c r="A391" s="119"/>
      <c r="B391" s="120"/>
      <c r="C391" s="111"/>
      <c r="D391" s="111"/>
      <c r="E391" s="121"/>
      <c r="F391" s="121"/>
      <c r="G391" s="113"/>
      <c r="H391" s="104"/>
      <c r="I391" s="219"/>
      <c r="J391" s="200" t="str">
        <f>IF(E391="","",IF(AND(U391&lt;=66),VLOOKUP(I391,'H&amp;R Look Up'!$A$13:$B$21,2,TRUE),IF(AND(U391&gt;=67,U391&lt;=72),VLOOKUP(I391,'H&amp;R Look Up'!$E$13:$F$20,2,TRUE),IF(AND(U391&gt;=73,U391&lt;=78),VLOOKUP(I391,'H&amp;R Look Up'!$I$13:$J$19,2,TRUE),IF(AND(U391&gt;=79),VLOOKUP(I391,'H&amp;R Look Up'!$M$13:$N$18,2,TRUE),"")))))</f>
        <v/>
      </c>
      <c r="U391" s="222" t="str">
        <f t="shared" si="7"/>
        <v/>
      </c>
    </row>
    <row r="392" spans="1:21" s="108" customFormat="1" ht="15.75">
      <c r="A392" s="119"/>
      <c r="B392" s="120"/>
      <c r="C392" s="111"/>
      <c r="D392" s="111"/>
      <c r="E392" s="121"/>
      <c r="F392" s="121"/>
      <c r="G392" s="113"/>
      <c r="H392" s="104"/>
      <c r="I392" s="219"/>
      <c r="J392" s="200" t="str">
        <f>IF(E392="","",IF(AND(U392&lt;=66),VLOOKUP(I392,'H&amp;R Look Up'!$A$13:$B$21,2,TRUE),IF(AND(U392&gt;=67,U392&lt;=72),VLOOKUP(I392,'H&amp;R Look Up'!$E$13:$F$20,2,TRUE),IF(AND(U392&gt;=73,U392&lt;=78),VLOOKUP(I392,'H&amp;R Look Up'!$I$13:$J$19,2,TRUE),IF(AND(U392&gt;=79),VLOOKUP(I392,'H&amp;R Look Up'!$M$13:$N$18,2,TRUE),"")))))</f>
        <v/>
      </c>
      <c r="U392" s="222" t="str">
        <f t="shared" si="7"/>
        <v/>
      </c>
    </row>
    <row r="393" spans="1:21" s="108" customFormat="1" ht="15.75">
      <c r="A393" s="119"/>
      <c r="B393" s="120"/>
      <c r="C393" s="111"/>
      <c r="D393" s="111"/>
      <c r="E393" s="121"/>
      <c r="F393" s="121"/>
      <c r="G393" s="113"/>
      <c r="H393" s="104"/>
      <c r="I393" s="219"/>
      <c r="J393" s="200" t="str">
        <f>IF(E393="","",IF(AND(U393&lt;=66),VLOOKUP(I393,'H&amp;R Look Up'!$A$13:$B$21,2,TRUE),IF(AND(U393&gt;=67,U393&lt;=72),VLOOKUP(I393,'H&amp;R Look Up'!$E$13:$F$20,2,TRUE),IF(AND(U393&gt;=73,U393&lt;=78),VLOOKUP(I393,'H&amp;R Look Up'!$I$13:$J$19,2,TRUE),IF(AND(U393&gt;=79),VLOOKUP(I393,'H&amp;R Look Up'!$M$13:$N$18,2,TRUE),"")))))</f>
        <v/>
      </c>
      <c r="U393" s="222" t="str">
        <f t="shared" si="7"/>
        <v/>
      </c>
    </row>
    <row r="394" spans="1:21" s="108" customFormat="1" ht="15.75">
      <c r="A394" s="119"/>
      <c r="B394" s="120"/>
      <c r="C394" s="111"/>
      <c r="D394" s="111"/>
      <c r="E394" s="121"/>
      <c r="F394" s="121"/>
      <c r="G394" s="113"/>
      <c r="H394" s="104"/>
      <c r="I394" s="219"/>
      <c r="J394" s="200" t="str">
        <f>IF(E394="","",IF(AND(U394&lt;=66),VLOOKUP(I394,'H&amp;R Look Up'!$A$13:$B$21,2,TRUE),IF(AND(U394&gt;=67,U394&lt;=72),VLOOKUP(I394,'H&amp;R Look Up'!$E$13:$F$20,2,TRUE),IF(AND(U394&gt;=73,U394&lt;=78),VLOOKUP(I394,'H&amp;R Look Up'!$I$13:$J$19,2,TRUE),IF(AND(U394&gt;=79),VLOOKUP(I394,'H&amp;R Look Up'!$M$13:$N$18,2,TRUE),"")))))</f>
        <v/>
      </c>
      <c r="U394" s="222" t="str">
        <f t="shared" si="7"/>
        <v/>
      </c>
    </row>
    <row r="395" spans="1:21" s="108" customFormat="1" ht="15.75">
      <c r="A395" s="119"/>
      <c r="B395" s="120"/>
      <c r="C395" s="111"/>
      <c r="D395" s="111"/>
      <c r="E395" s="121"/>
      <c r="F395" s="121"/>
      <c r="G395" s="113"/>
      <c r="H395" s="104"/>
      <c r="I395" s="219"/>
      <c r="J395" s="200" t="str">
        <f>IF(E395="","",IF(AND(U395&lt;=66),VLOOKUP(I395,'H&amp;R Look Up'!$A$13:$B$21,2,TRUE),IF(AND(U395&gt;=67,U395&lt;=72),VLOOKUP(I395,'H&amp;R Look Up'!$E$13:$F$20,2,TRUE),IF(AND(U395&gt;=73,U395&lt;=78),VLOOKUP(I395,'H&amp;R Look Up'!$I$13:$J$19,2,TRUE),IF(AND(U395&gt;=79),VLOOKUP(I395,'H&amp;R Look Up'!$M$13:$N$18,2,TRUE),"")))))</f>
        <v/>
      </c>
      <c r="U395" s="222" t="str">
        <f t="shared" si="7"/>
        <v/>
      </c>
    </row>
    <row r="396" spans="1:21" s="108" customFormat="1" ht="15.75">
      <c r="A396" s="119"/>
      <c r="B396" s="120"/>
      <c r="C396" s="111"/>
      <c r="D396" s="111"/>
      <c r="E396" s="121"/>
      <c r="F396" s="121"/>
      <c r="G396" s="113"/>
      <c r="H396" s="104"/>
      <c r="I396" s="219"/>
      <c r="J396" s="200" t="str">
        <f>IF(E396="","",IF(AND(U396&lt;=66),VLOOKUP(I396,'H&amp;R Look Up'!$A$13:$B$21,2,TRUE),IF(AND(U396&gt;=67,U396&lt;=72),VLOOKUP(I396,'H&amp;R Look Up'!$E$13:$F$20,2,TRUE),IF(AND(U396&gt;=73,U396&lt;=78),VLOOKUP(I396,'H&amp;R Look Up'!$I$13:$J$19,2,TRUE),IF(AND(U396&gt;=79),VLOOKUP(I396,'H&amp;R Look Up'!$M$13:$N$18,2,TRUE),"")))))</f>
        <v/>
      </c>
      <c r="U396" s="222" t="str">
        <f t="shared" si="7"/>
        <v/>
      </c>
    </row>
    <row r="397" spans="1:21" s="108" customFormat="1" ht="15.75">
      <c r="A397" s="119"/>
      <c r="B397" s="120"/>
      <c r="C397" s="111"/>
      <c r="D397" s="111"/>
      <c r="E397" s="121"/>
      <c r="F397" s="121"/>
      <c r="G397" s="113"/>
      <c r="H397" s="104"/>
      <c r="I397" s="219"/>
      <c r="J397" s="200" t="str">
        <f>IF(E397="","",IF(AND(U397&lt;=66),VLOOKUP(I397,'H&amp;R Look Up'!$A$13:$B$21,2,TRUE),IF(AND(U397&gt;=67,U397&lt;=72),VLOOKUP(I397,'H&amp;R Look Up'!$E$13:$F$20,2,TRUE),IF(AND(U397&gt;=73,U397&lt;=78),VLOOKUP(I397,'H&amp;R Look Up'!$I$13:$J$19,2,TRUE),IF(AND(U397&gt;=79),VLOOKUP(I397,'H&amp;R Look Up'!$M$13:$N$18,2,TRUE),"")))))</f>
        <v/>
      </c>
      <c r="U397" s="222" t="str">
        <f t="shared" si="7"/>
        <v/>
      </c>
    </row>
    <row r="398" spans="1:21" s="108" customFormat="1" ht="15.75">
      <c r="A398" s="119"/>
      <c r="B398" s="120"/>
      <c r="C398" s="111"/>
      <c r="D398" s="111"/>
      <c r="E398" s="121"/>
      <c r="F398" s="121"/>
      <c r="G398" s="113"/>
      <c r="H398" s="104"/>
      <c r="I398" s="219"/>
      <c r="J398" s="200" t="str">
        <f>IF(E398="","",IF(AND(U398&lt;=66),VLOOKUP(I398,'H&amp;R Look Up'!$A$13:$B$21,2,TRUE),IF(AND(U398&gt;=67,U398&lt;=72),VLOOKUP(I398,'H&amp;R Look Up'!$E$13:$F$20,2,TRUE),IF(AND(U398&gt;=73,U398&lt;=78),VLOOKUP(I398,'H&amp;R Look Up'!$I$13:$J$19,2,TRUE),IF(AND(U398&gt;=79),VLOOKUP(I398,'H&amp;R Look Up'!$M$13:$N$18,2,TRUE),"")))))</f>
        <v/>
      </c>
      <c r="U398" s="222" t="str">
        <f t="shared" si="7"/>
        <v/>
      </c>
    </row>
    <row r="399" spans="1:21" s="108" customFormat="1" ht="15.75">
      <c r="A399" s="119"/>
      <c r="B399" s="120"/>
      <c r="C399" s="111"/>
      <c r="D399" s="111"/>
      <c r="E399" s="121"/>
      <c r="F399" s="121"/>
      <c r="G399" s="113"/>
      <c r="H399" s="104"/>
      <c r="I399" s="219"/>
      <c r="J399" s="200" t="str">
        <f>IF(E399="","",IF(AND(U399&lt;=66),VLOOKUP(I399,'H&amp;R Look Up'!$A$13:$B$21,2,TRUE),IF(AND(U399&gt;=67,U399&lt;=72),VLOOKUP(I399,'H&amp;R Look Up'!$E$13:$F$20,2,TRUE),IF(AND(U399&gt;=73,U399&lt;=78),VLOOKUP(I399,'H&amp;R Look Up'!$I$13:$J$19,2,TRUE),IF(AND(U399&gt;=79),VLOOKUP(I399,'H&amp;R Look Up'!$M$13:$N$18,2,TRUE),"")))))</f>
        <v/>
      </c>
      <c r="U399" s="222" t="str">
        <f t="shared" si="7"/>
        <v/>
      </c>
    </row>
    <row r="400" spans="1:21" s="108" customFormat="1" ht="15.75">
      <c r="A400" s="119"/>
      <c r="B400" s="120"/>
      <c r="C400" s="111"/>
      <c r="D400" s="111"/>
      <c r="E400" s="121"/>
      <c r="F400" s="121"/>
      <c r="G400" s="113"/>
      <c r="H400" s="104"/>
      <c r="I400" s="219"/>
      <c r="J400" s="200" t="str">
        <f>IF(E400="","",IF(AND(U400&lt;=66),VLOOKUP(I400,'H&amp;R Look Up'!$A$13:$B$21,2,TRUE),IF(AND(U400&gt;=67,U400&lt;=72),VLOOKUP(I400,'H&amp;R Look Up'!$E$13:$F$20,2,TRUE),IF(AND(U400&gt;=73,U400&lt;=78),VLOOKUP(I400,'H&amp;R Look Up'!$I$13:$J$19,2,TRUE),IF(AND(U400&gt;=79),VLOOKUP(I400,'H&amp;R Look Up'!$M$13:$N$18,2,TRUE),"")))))</f>
        <v/>
      </c>
      <c r="U400" s="222" t="str">
        <f t="shared" si="7"/>
        <v/>
      </c>
    </row>
    <row r="401" spans="1:21" s="108" customFormat="1" ht="15.75">
      <c r="A401" s="119"/>
      <c r="B401" s="120"/>
      <c r="C401" s="111"/>
      <c r="D401" s="111"/>
      <c r="E401" s="121"/>
      <c r="F401" s="121"/>
      <c r="G401" s="113"/>
      <c r="H401" s="104"/>
      <c r="I401" s="219"/>
      <c r="J401" s="200" t="str">
        <f>IF(E401="","",IF(AND(U401&lt;=66),VLOOKUP(I401,'H&amp;R Look Up'!$A$13:$B$21,2,TRUE),IF(AND(U401&gt;=67,U401&lt;=72),VLOOKUP(I401,'H&amp;R Look Up'!$E$13:$F$20,2,TRUE),IF(AND(U401&gt;=73,U401&lt;=78),VLOOKUP(I401,'H&amp;R Look Up'!$I$13:$J$19,2,TRUE),IF(AND(U401&gt;=79),VLOOKUP(I401,'H&amp;R Look Up'!$M$13:$N$18,2,TRUE),"")))))</f>
        <v/>
      </c>
      <c r="U401" s="222" t="str">
        <f t="shared" si="7"/>
        <v/>
      </c>
    </row>
    <row r="402" spans="1:21" s="108" customFormat="1" ht="15.75">
      <c r="A402" s="119"/>
      <c r="B402" s="120"/>
      <c r="C402" s="111"/>
      <c r="D402" s="111"/>
      <c r="E402" s="121"/>
      <c r="F402" s="121"/>
      <c r="G402" s="113"/>
      <c r="H402" s="104"/>
      <c r="I402" s="219"/>
      <c r="J402" s="200" t="str">
        <f>IF(E402="","",IF(AND(U402&lt;=66),VLOOKUP(I402,'H&amp;R Look Up'!$A$13:$B$21,2,TRUE),IF(AND(U402&gt;=67,U402&lt;=72),VLOOKUP(I402,'H&amp;R Look Up'!$E$13:$F$20,2,TRUE),IF(AND(U402&gt;=73,U402&lt;=78),VLOOKUP(I402,'H&amp;R Look Up'!$I$13:$J$19,2,TRUE),IF(AND(U402&gt;=79),VLOOKUP(I402,'H&amp;R Look Up'!$M$13:$N$18,2,TRUE),"")))))</f>
        <v/>
      </c>
      <c r="U402" s="222" t="str">
        <f t="shared" si="7"/>
        <v/>
      </c>
    </row>
    <row r="403" spans="1:21" s="108" customFormat="1" ht="15.75">
      <c r="A403" s="119"/>
      <c r="B403" s="120"/>
      <c r="C403" s="111"/>
      <c r="D403" s="111"/>
      <c r="E403" s="121"/>
      <c r="F403" s="121"/>
      <c r="G403" s="113"/>
      <c r="H403" s="104"/>
      <c r="I403" s="219"/>
      <c r="J403" s="200" t="str">
        <f>IF(E403="","",IF(AND(U403&lt;=66),VLOOKUP(I403,'H&amp;R Look Up'!$A$13:$B$21,2,TRUE),IF(AND(U403&gt;=67,U403&lt;=72),VLOOKUP(I403,'H&amp;R Look Up'!$E$13:$F$20,2,TRUE),IF(AND(U403&gt;=73,U403&lt;=78),VLOOKUP(I403,'H&amp;R Look Up'!$I$13:$J$19,2,TRUE),IF(AND(U403&gt;=79),VLOOKUP(I403,'H&amp;R Look Up'!$M$13:$N$18,2,TRUE),"")))))</f>
        <v/>
      </c>
      <c r="U403" s="222" t="str">
        <f t="shared" si="7"/>
        <v/>
      </c>
    </row>
    <row r="404" spans="1:21" s="108" customFormat="1" ht="15.75">
      <c r="A404" s="119"/>
      <c r="B404" s="120"/>
      <c r="C404" s="111"/>
      <c r="D404" s="111"/>
      <c r="E404" s="121"/>
      <c r="F404" s="121"/>
      <c r="G404" s="113"/>
      <c r="H404" s="104"/>
      <c r="I404" s="219"/>
      <c r="J404" s="200" t="str">
        <f>IF(E404="","",IF(AND(U404&lt;=66),VLOOKUP(I404,'H&amp;R Look Up'!$A$13:$B$21,2,TRUE),IF(AND(U404&gt;=67,U404&lt;=72),VLOOKUP(I404,'H&amp;R Look Up'!$E$13:$F$20,2,TRUE),IF(AND(U404&gt;=73,U404&lt;=78),VLOOKUP(I404,'H&amp;R Look Up'!$I$13:$J$19,2,TRUE),IF(AND(U404&gt;=79),VLOOKUP(I404,'H&amp;R Look Up'!$M$13:$N$18,2,TRUE),"")))))</f>
        <v/>
      </c>
      <c r="U404" s="222" t="str">
        <f t="shared" si="7"/>
        <v/>
      </c>
    </row>
    <row r="405" spans="1:21" s="108" customFormat="1" ht="15.75">
      <c r="A405" s="119"/>
      <c r="B405" s="120"/>
      <c r="C405" s="111"/>
      <c r="D405" s="111"/>
      <c r="E405" s="121"/>
      <c r="F405" s="121"/>
      <c r="G405" s="113"/>
      <c r="H405" s="104"/>
      <c r="I405" s="219"/>
      <c r="J405" s="200" t="str">
        <f>IF(E405="","",IF(AND(U405&lt;=66),VLOOKUP(I405,'H&amp;R Look Up'!$A$13:$B$21,2,TRUE),IF(AND(U405&gt;=67,U405&lt;=72),VLOOKUP(I405,'H&amp;R Look Up'!$E$13:$F$20,2,TRUE),IF(AND(U405&gt;=73,U405&lt;=78),VLOOKUP(I405,'H&amp;R Look Up'!$I$13:$J$19,2,TRUE),IF(AND(U405&gt;=79),VLOOKUP(I405,'H&amp;R Look Up'!$M$13:$N$18,2,TRUE),"")))))</f>
        <v/>
      </c>
      <c r="U405" s="222" t="str">
        <f t="shared" si="7"/>
        <v/>
      </c>
    </row>
    <row r="406" spans="1:21" s="108" customFormat="1" ht="15.75">
      <c r="A406" s="119"/>
      <c r="B406" s="120"/>
      <c r="C406" s="111"/>
      <c r="D406" s="111"/>
      <c r="E406" s="121"/>
      <c r="F406" s="121"/>
      <c r="G406" s="113"/>
      <c r="H406" s="104"/>
      <c r="I406" s="219"/>
      <c r="J406" s="200" t="str">
        <f>IF(E406="","",IF(AND(U406&lt;=66),VLOOKUP(I406,'H&amp;R Look Up'!$A$13:$B$21,2,TRUE),IF(AND(U406&gt;=67,U406&lt;=72),VLOOKUP(I406,'H&amp;R Look Up'!$E$13:$F$20,2,TRUE),IF(AND(U406&gt;=73,U406&lt;=78),VLOOKUP(I406,'H&amp;R Look Up'!$I$13:$J$19,2,TRUE),IF(AND(U406&gt;=79),VLOOKUP(I406,'H&amp;R Look Up'!$M$13:$N$18,2,TRUE),"")))))</f>
        <v/>
      </c>
      <c r="U406" s="222" t="str">
        <f t="shared" si="7"/>
        <v/>
      </c>
    </row>
    <row r="407" spans="1:21" s="108" customFormat="1" ht="15.75">
      <c r="A407" s="119"/>
      <c r="B407" s="120"/>
      <c r="C407" s="111"/>
      <c r="D407" s="111"/>
      <c r="E407" s="121"/>
      <c r="F407" s="121"/>
      <c r="G407" s="113"/>
      <c r="H407" s="104"/>
      <c r="I407" s="219"/>
      <c r="J407" s="200" t="str">
        <f>IF(E407="","",IF(AND(U407&lt;=66),VLOOKUP(I407,'H&amp;R Look Up'!$A$13:$B$21,2,TRUE),IF(AND(U407&gt;=67,U407&lt;=72),VLOOKUP(I407,'H&amp;R Look Up'!$E$13:$F$20,2,TRUE),IF(AND(U407&gt;=73,U407&lt;=78),VLOOKUP(I407,'H&amp;R Look Up'!$I$13:$J$19,2,TRUE),IF(AND(U407&gt;=79),VLOOKUP(I407,'H&amp;R Look Up'!$M$13:$N$18,2,TRUE),"")))))</f>
        <v/>
      </c>
      <c r="U407" s="222" t="str">
        <f t="shared" si="7"/>
        <v/>
      </c>
    </row>
    <row r="408" spans="1:21" s="108" customFormat="1" ht="15.75">
      <c r="A408" s="119"/>
      <c r="B408" s="120"/>
      <c r="C408" s="111"/>
      <c r="D408" s="111"/>
      <c r="E408" s="121"/>
      <c r="F408" s="121"/>
      <c r="G408" s="113"/>
      <c r="H408" s="104"/>
      <c r="I408" s="219"/>
      <c r="J408" s="200" t="str">
        <f>IF(E408="","",IF(AND(U408&lt;=66),VLOOKUP(I408,'H&amp;R Look Up'!$A$13:$B$21,2,TRUE),IF(AND(U408&gt;=67,U408&lt;=72),VLOOKUP(I408,'H&amp;R Look Up'!$E$13:$F$20,2,TRUE),IF(AND(U408&gt;=73,U408&lt;=78),VLOOKUP(I408,'H&amp;R Look Up'!$I$13:$J$19,2,TRUE),IF(AND(U408&gt;=79),VLOOKUP(I408,'H&amp;R Look Up'!$M$13:$N$18,2,TRUE),"")))))</f>
        <v/>
      </c>
      <c r="U408" s="222" t="str">
        <f t="shared" si="7"/>
        <v/>
      </c>
    </row>
    <row r="409" spans="1:21" s="108" customFormat="1" ht="15.75">
      <c r="A409" s="119"/>
      <c r="B409" s="120"/>
      <c r="C409" s="111"/>
      <c r="D409" s="111"/>
      <c r="E409" s="121"/>
      <c r="F409" s="121"/>
      <c r="G409" s="113"/>
      <c r="H409" s="104"/>
      <c r="I409" s="219"/>
      <c r="J409" s="200" t="str">
        <f>IF(E409="","",IF(AND(U409&lt;=66),VLOOKUP(I409,'H&amp;R Look Up'!$A$13:$B$21,2,TRUE),IF(AND(U409&gt;=67,U409&lt;=72),VLOOKUP(I409,'H&amp;R Look Up'!$E$13:$F$20,2,TRUE),IF(AND(U409&gt;=73,U409&lt;=78),VLOOKUP(I409,'H&amp;R Look Up'!$I$13:$J$19,2,TRUE),IF(AND(U409&gt;=79),VLOOKUP(I409,'H&amp;R Look Up'!$M$13:$N$18,2,TRUE),"")))))</f>
        <v/>
      </c>
      <c r="U409" s="222" t="str">
        <f t="shared" si="7"/>
        <v/>
      </c>
    </row>
    <row r="410" spans="1:21" s="108" customFormat="1" ht="15.75">
      <c r="A410" s="119"/>
      <c r="B410" s="120"/>
      <c r="C410" s="111"/>
      <c r="D410" s="111"/>
      <c r="E410" s="121"/>
      <c r="F410" s="121"/>
      <c r="G410" s="113"/>
      <c r="H410" s="104"/>
      <c r="I410" s="219"/>
      <c r="J410" s="200" t="str">
        <f>IF(E410="","",IF(AND(U410&lt;=66),VLOOKUP(I410,'H&amp;R Look Up'!$A$13:$B$21,2,TRUE),IF(AND(U410&gt;=67,U410&lt;=72),VLOOKUP(I410,'H&amp;R Look Up'!$E$13:$F$20,2,TRUE),IF(AND(U410&gt;=73,U410&lt;=78),VLOOKUP(I410,'H&amp;R Look Up'!$I$13:$J$19,2,TRUE),IF(AND(U410&gt;=79),VLOOKUP(I410,'H&amp;R Look Up'!$M$13:$N$18,2,TRUE),"")))))</f>
        <v/>
      </c>
      <c r="U410" s="222" t="str">
        <f t="shared" si="7"/>
        <v/>
      </c>
    </row>
    <row r="411" spans="1:21" s="108" customFormat="1" ht="15.75">
      <c r="A411" s="119"/>
      <c r="B411" s="120"/>
      <c r="C411" s="111"/>
      <c r="D411" s="111"/>
      <c r="E411" s="121"/>
      <c r="F411" s="121"/>
      <c r="G411" s="113"/>
      <c r="H411" s="104"/>
      <c r="I411" s="219"/>
      <c r="J411" s="200" t="str">
        <f>IF(E411="","",IF(AND(U411&lt;=66),VLOOKUP(I411,'H&amp;R Look Up'!$A$13:$B$21,2,TRUE),IF(AND(U411&gt;=67,U411&lt;=72),VLOOKUP(I411,'H&amp;R Look Up'!$E$13:$F$20,2,TRUE),IF(AND(U411&gt;=73,U411&lt;=78),VLOOKUP(I411,'H&amp;R Look Up'!$I$13:$J$19,2,TRUE),IF(AND(U411&gt;=79),VLOOKUP(I411,'H&amp;R Look Up'!$M$13:$N$18,2,TRUE),"")))))</f>
        <v/>
      </c>
      <c r="U411" s="222" t="str">
        <f t="shared" si="7"/>
        <v/>
      </c>
    </row>
    <row r="412" spans="1:21" s="108" customFormat="1" ht="15.75">
      <c r="A412" s="119"/>
      <c r="B412" s="120"/>
      <c r="C412" s="111"/>
      <c r="D412" s="111"/>
      <c r="E412" s="121"/>
      <c r="F412" s="121"/>
      <c r="G412" s="113"/>
      <c r="H412" s="104"/>
      <c r="I412" s="219"/>
      <c r="J412" s="200" t="str">
        <f>IF(E412="","",IF(AND(U412&lt;=66),VLOOKUP(I412,'H&amp;R Look Up'!$A$13:$B$21,2,TRUE),IF(AND(U412&gt;=67,U412&lt;=72),VLOOKUP(I412,'H&amp;R Look Up'!$E$13:$F$20,2,TRUE),IF(AND(U412&gt;=73,U412&lt;=78),VLOOKUP(I412,'H&amp;R Look Up'!$I$13:$J$19,2,TRUE),IF(AND(U412&gt;=79),VLOOKUP(I412,'H&amp;R Look Up'!$M$13:$N$18,2,TRUE),"")))))</f>
        <v/>
      </c>
      <c r="U412" s="222" t="str">
        <f t="shared" si="7"/>
        <v/>
      </c>
    </row>
    <row r="413" spans="1:21" s="108" customFormat="1" ht="15.75">
      <c r="A413" s="119"/>
      <c r="B413" s="120"/>
      <c r="C413" s="111"/>
      <c r="D413" s="111"/>
      <c r="E413" s="121"/>
      <c r="F413" s="121"/>
      <c r="G413" s="113"/>
      <c r="H413" s="104"/>
      <c r="I413" s="219"/>
      <c r="J413" s="200" t="str">
        <f>IF(E413="","",IF(AND(U413&lt;=66),VLOOKUP(I413,'H&amp;R Look Up'!$A$13:$B$21,2,TRUE),IF(AND(U413&gt;=67,U413&lt;=72),VLOOKUP(I413,'H&amp;R Look Up'!$E$13:$F$20,2,TRUE),IF(AND(U413&gt;=73,U413&lt;=78),VLOOKUP(I413,'H&amp;R Look Up'!$I$13:$J$19,2,TRUE),IF(AND(U413&gt;=79),VLOOKUP(I413,'H&amp;R Look Up'!$M$13:$N$18,2,TRUE),"")))))</f>
        <v/>
      </c>
      <c r="U413" s="222" t="str">
        <f t="shared" si="7"/>
        <v/>
      </c>
    </row>
    <row r="414" spans="1:21" s="108" customFormat="1" ht="15.75">
      <c r="A414" s="119"/>
      <c r="B414" s="120"/>
      <c r="C414" s="111"/>
      <c r="D414" s="111"/>
      <c r="E414" s="121"/>
      <c r="F414" s="121"/>
      <c r="G414" s="113"/>
      <c r="H414" s="104"/>
      <c r="I414" s="219"/>
      <c r="J414" s="200" t="str">
        <f>IF(E414="","",IF(AND(U414&lt;=66),VLOOKUP(I414,'H&amp;R Look Up'!$A$13:$B$21,2,TRUE),IF(AND(U414&gt;=67,U414&lt;=72),VLOOKUP(I414,'H&amp;R Look Up'!$E$13:$F$20,2,TRUE),IF(AND(U414&gt;=73,U414&lt;=78),VLOOKUP(I414,'H&amp;R Look Up'!$I$13:$J$19,2,TRUE),IF(AND(U414&gt;=79),VLOOKUP(I414,'H&amp;R Look Up'!$M$13:$N$18,2,TRUE),"")))))</f>
        <v/>
      </c>
      <c r="U414" s="222" t="str">
        <f t="shared" si="7"/>
        <v/>
      </c>
    </row>
    <row r="415" spans="1:21" s="108" customFormat="1" ht="15.75">
      <c r="A415" s="119"/>
      <c r="B415" s="120"/>
      <c r="C415" s="111"/>
      <c r="D415" s="111"/>
      <c r="E415" s="121"/>
      <c r="F415" s="121"/>
      <c r="G415" s="113"/>
      <c r="H415" s="104"/>
      <c r="I415" s="219"/>
      <c r="J415" s="200" t="str">
        <f>IF(E415="","",IF(AND(U415&lt;=66),VLOOKUP(I415,'H&amp;R Look Up'!$A$13:$B$21,2,TRUE),IF(AND(U415&gt;=67,U415&lt;=72),VLOOKUP(I415,'H&amp;R Look Up'!$E$13:$F$20,2,TRUE),IF(AND(U415&gt;=73,U415&lt;=78),VLOOKUP(I415,'H&amp;R Look Up'!$I$13:$J$19,2,TRUE),IF(AND(U415&gt;=79),VLOOKUP(I415,'H&amp;R Look Up'!$M$13:$N$18,2,TRUE),"")))))</f>
        <v/>
      </c>
      <c r="U415" s="222" t="str">
        <f t="shared" si="7"/>
        <v/>
      </c>
    </row>
    <row r="416" spans="1:21" s="108" customFormat="1" ht="15.75">
      <c r="A416" s="119"/>
      <c r="B416" s="120"/>
      <c r="C416" s="111"/>
      <c r="D416" s="111"/>
      <c r="E416" s="121"/>
      <c r="F416" s="121"/>
      <c r="G416" s="113"/>
      <c r="H416" s="104"/>
      <c r="I416" s="219"/>
      <c r="J416" s="200" t="str">
        <f>IF(E416="","",IF(AND(U416&lt;=66),VLOOKUP(I416,'H&amp;R Look Up'!$A$13:$B$21,2,TRUE),IF(AND(U416&gt;=67,U416&lt;=72),VLOOKUP(I416,'H&amp;R Look Up'!$E$13:$F$20,2,TRUE),IF(AND(U416&gt;=73,U416&lt;=78),VLOOKUP(I416,'H&amp;R Look Up'!$I$13:$J$19,2,TRUE),IF(AND(U416&gt;=79),VLOOKUP(I416,'H&amp;R Look Up'!$M$13:$N$18,2,TRUE),"")))))</f>
        <v/>
      </c>
      <c r="U416" s="222" t="str">
        <f t="shared" si="7"/>
        <v/>
      </c>
    </row>
    <row r="417" spans="1:21" s="108" customFormat="1" ht="15.75">
      <c r="A417" s="119"/>
      <c r="B417" s="120"/>
      <c r="C417" s="111"/>
      <c r="D417" s="111"/>
      <c r="E417" s="121"/>
      <c r="F417" s="121"/>
      <c r="G417" s="113"/>
      <c r="H417" s="104"/>
      <c r="I417" s="219"/>
      <c r="J417" s="200" t="str">
        <f>IF(E417="","",IF(AND(U417&lt;=66),VLOOKUP(I417,'H&amp;R Look Up'!$A$13:$B$21,2,TRUE),IF(AND(U417&gt;=67,U417&lt;=72),VLOOKUP(I417,'H&amp;R Look Up'!$E$13:$F$20,2,TRUE),IF(AND(U417&gt;=73,U417&lt;=78),VLOOKUP(I417,'H&amp;R Look Up'!$I$13:$J$19,2,TRUE),IF(AND(U417&gt;=79),VLOOKUP(I417,'H&amp;R Look Up'!$M$13:$N$18,2,TRUE),"")))))</f>
        <v/>
      </c>
      <c r="U417" s="222" t="str">
        <f t="shared" si="7"/>
        <v/>
      </c>
    </row>
    <row r="418" spans="1:21" s="108" customFormat="1" ht="15.75">
      <c r="A418" s="119"/>
      <c r="B418" s="120"/>
      <c r="C418" s="111"/>
      <c r="D418" s="111"/>
      <c r="E418" s="121"/>
      <c r="F418" s="121"/>
      <c r="G418" s="113"/>
      <c r="H418" s="104"/>
      <c r="I418" s="219"/>
      <c r="J418" s="200" t="str">
        <f>IF(E418="","",IF(AND(U418&lt;=66),VLOOKUP(I418,'H&amp;R Look Up'!$A$13:$B$21,2,TRUE),IF(AND(U418&gt;=67,U418&lt;=72),VLOOKUP(I418,'H&amp;R Look Up'!$E$13:$F$20,2,TRUE),IF(AND(U418&gt;=73,U418&lt;=78),VLOOKUP(I418,'H&amp;R Look Up'!$I$13:$J$19,2,TRUE),IF(AND(U418&gt;=79),VLOOKUP(I418,'H&amp;R Look Up'!$M$13:$N$18,2,TRUE),"")))))</f>
        <v/>
      </c>
      <c r="U418" s="222" t="str">
        <f t="shared" si="7"/>
        <v/>
      </c>
    </row>
    <row r="419" spans="1:21" s="108" customFormat="1" ht="15.75">
      <c r="A419" s="119"/>
      <c r="B419" s="120"/>
      <c r="C419" s="111"/>
      <c r="D419" s="111"/>
      <c r="E419" s="121"/>
      <c r="F419" s="121"/>
      <c r="G419" s="113"/>
      <c r="H419" s="104"/>
      <c r="I419" s="219"/>
      <c r="J419" s="200" t="str">
        <f>IF(E419="","",IF(AND(U419&lt;=66),VLOOKUP(I419,'H&amp;R Look Up'!$A$13:$B$21,2,TRUE),IF(AND(U419&gt;=67,U419&lt;=72),VLOOKUP(I419,'H&amp;R Look Up'!$E$13:$F$20,2,TRUE),IF(AND(U419&gt;=73,U419&lt;=78),VLOOKUP(I419,'H&amp;R Look Up'!$I$13:$J$19,2,TRUE),IF(AND(U419&gt;=79),VLOOKUP(I419,'H&amp;R Look Up'!$M$13:$N$18,2,TRUE),"")))))</f>
        <v/>
      </c>
      <c r="U419" s="222" t="str">
        <f t="shared" si="7"/>
        <v/>
      </c>
    </row>
    <row r="420" spans="1:21" s="108" customFormat="1" ht="15.75">
      <c r="A420" s="119"/>
      <c r="B420" s="120"/>
      <c r="C420" s="111"/>
      <c r="D420" s="111"/>
      <c r="E420" s="121"/>
      <c r="F420" s="121"/>
      <c r="G420" s="113"/>
      <c r="H420" s="104"/>
      <c r="I420" s="219"/>
      <c r="J420" s="200" t="str">
        <f>IF(E420="","",IF(AND(U420&lt;=66),VLOOKUP(I420,'H&amp;R Look Up'!$A$13:$B$21,2,TRUE),IF(AND(U420&gt;=67,U420&lt;=72),VLOOKUP(I420,'H&amp;R Look Up'!$E$13:$F$20,2,TRUE),IF(AND(U420&gt;=73,U420&lt;=78),VLOOKUP(I420,'H&amp;R Look Up'!$I$13:$J$19,2,TRUE),IF(AND(U420&gt;=79),VLOOKUP(I420,'H&amp;R Look Up'!$M$13:$N$18,2,TRUE),"")))))</f>
        <v/>
      </c>
      <c r="U420" s="222" t="str">
        <f t="shared" si="7"/>
        <v/>
      </c>
    </row>
    <row r="421" spans="1:21" s="108" customFormat="1" ht="15.75">
      <c r="A421" s="119"/>
      <c r="B421" s="120"/>
      <c r="C421" s="111"/>
      <c r="D421" s="111"/>
      <c r="E421" s="121"/>
      <c r="F421" s="121"/>
      <c r="G421" s="113"/>
      <c r="H421" s="104"/>
      <c r="I421" s="219"/>
      <c r="J421" s="200" t="str">
        <f>IF(E421="","",IF(AND(U421&lt;=66),VLOOKUP(I421,'H&amp;R Look Up'!$A$13:$B$21,2,TRUE),IF(AND(U421&gt;=67,U421&lt;=72),VLOOKUP(I421,'H&amp;R Look Up'!$E$13:$F$20,2,TRUE),IF(AND(U421&gt;=73,U421&lt;=78),VLOOKUP(I421,'H&amp;R Look Up'!$I$13:$J$19,2,TRUE),IF(AND(U421&gt;=79),VLOOKUP(I421,'H&amp;R Look Up'!$M$13:$N$18,2,TRUE),"")))))</f>
        <v/>
      </c>
      <c r="U421" s="222" t="str">
        <f t="shared" si="7"/>
        <v/>
      </c>
    </row>
    <row r="422" spans="1:21" s="108" customFormat="1" ht="15.75">
      <c r="A422" s="119"/>
      <c r="B422" s="120"/>
      <c r="C422" s="111"/>
      <c r="D422" s="111"/>
      <c r="E422" s="121"/>
      <c r="F422" s="121"/>
      <c r="G422" s="113"/>
      <c r="H422" s="104"/>
      <c r="I422" s="219"/>
      <c r="J422" s="200" t="str">
        <f>IF(E422="","",IF(AND(U422&lt;=66),VLOOKUP(I422,'H&amp;R Look Up'!$A$13:$B$21,2,TRUE),IF(AND(U422&gt;=67,U422&lt;=72),VLOOKUP(I422,'H&amp;R Look Up'!$E$13:$F$20,2,TRUE),IF(AND(U422&gt;=73,U422&lt;=78),VLOOKUP(I422,'H&amp;R Look Up'!$I$13:$J$19,2,TRUE),IF(AND(U422&gt;=79),VLOOKUP(I422,'H&amp;R Look Up'!$M$13:$N$18,2,TRUE),"")))))</f>
        <v/>
      </c>
      <c r="U422" s="222" t="str">
        <f t="shared" si="7"/>
        <v/>
      </c>
    </row>
    <row r="423" spans="1:21" s="108" customFormat="1" ht="15.75">
      <c r="A423" s="119"/>
      <c r="B423" s="120"/>
      <c r="C423" s="111"/>
      <c r="D423" s="111"/>
      <c r="E423" s="121"/>
      <c r="F423" s="121"/>
      <c r="G423" s="113"/>
      <c r="H423" s="104"/>
      <c r="I423" s="219"/>
      <c r="J423" s="200" t="str">
        <f>IF(E423="","",IF(AND(U423&lt;=66),VLOOKUP(I423,'H&amp;R Look Up'!$A$13:$B$21,2,TRUE),IF(AND(U423&gt;=67,U423&lt;=72),VLOOKUP(I423,'H&amp;R Look Up'!$E$13:$F$20,2,TRUE),IF(AND(U423&gt;=73,U423&lt;=78),VLOOKUP(I423,'H&amp;R Look Up'!$I$13:$J$19,2,TRUE),IF(AND(U423&gt;=79),VLOOKUP(I423,'H&amp;R Look Up'!$M$13:$N$18,2,TRUE),"")))))</f>
        <v/>
      </c>
      <c r="U423" s="222" t="str">
        <f t="shared" si="7"/>
        <v/>
      </c>
    </row>
    <row r="424" spans="1:21" s="108" customFormat="1" ht="15.75">
      <c r="A424" s="119"/>
      <c r="B424" s="120"/>
      <c r="C424" s="111"/>
      <c r="D424" s="111"/>
      <c r="E424" s="121"/>
      <c r="F424" s="121"/>
      <c r="G424" s="113"/>
      <c r="H424" s="104"/>
      <c r="I424" s="219"/>
      <c r="J424" s="200" t="str">
        <f>IF(E424="","",IF(AND(U424&lt;=66),VLOOKUP(I424,'H&amp;R Look Up'!$A$13:$B$21,2,TRUE),IF(AND(U424&gt;=67,U424&lt;=72),VLOOKUP(I424,'H&amp;R Look Up'!$E$13:$F$20,2,TRUE),IF(AND(U424&gt;=73,U424&lt;=78),VLOOKUP(I424,'H&amp;R Look Up'!$I$13:$J$19,2,TRUE),IF(AND(U424&gt;=79),VLOOKUP(I424,'H&amp;R Look Up'!$M$13:$N$18,2,TRUE),"")))))</f>
        <v/>
      </c>
      <c r="U424" s="222" t="str">
        <f t="shared" si="7"/>
        <v/>
      </c>
    </row>
    <row r="425" spans="1:21" s="108" customFormat="1" ht="15.75">
      <c r="A425" s="119"/>
      <c r="B425" s="120"/>
      <c r="C425" s="111"/>
      <c r="D425" s="111"/>
      <c r="E425" s="121"/>
      <c r="F425" s="121"/>
      <c r="G425" s="113"/>
      <c r="H425" s="104"/>
      <c r="I425" s="219"/>
      <c r="J425" s="200" t="str">
        <f>IF(E425="","",IF(AND(U425&lt;=66),VLOOKUP(I425,'H&amp;R Look Up'!$A$13:$B$21,2,TRUE),IF(AND(U425&gt;=67,U425&lt;=72),VLOOKUP(I425,'H&amp;R Look Up'!$E$13:$F$20,2,TRUE),IF(AND(U425&gt;=73,U425&lt;=78),VLOOKUP(I425,'H&amp;R Look Up'!$I$13:$J$19,2,TRUE),IF(AND(U425&gt;=79),VLOOKUP(I425,'H&amp;R Look Up'!$M$13:$N$18,2,TRUE),"")))))</f>
        <v/>
      </c>
      <c r="U425" s="222" t="str">
        <f t="shared" si="7"/>
        <v/>
      </c>
    </row>
    <row r="426" spans="1:21" s="108" customFormat="1" ht="15.75">
      <c r="A426" s="119"/>
      <c r="B426" s="120"/>
      <c r="C426" s="111"/>
      <c r="D426" s="111"/>
      <c r="E426" s="121"/>
      <c r="F426" s="121"/>
      <c r="G426" s="113"/>
      <c r="H426" s="104"/>
      <c r="I426" s="219"/>
      <c r="J426" s="200" t="str">
        <f>IF(E426="","",IF(AND(U426&lt;=66),VLOOKUP(I426,'H&amp;R Look Up'!$A$13:$B$21,2,TRUE),IF(AND(U426&gt;=67,U426&lt;=72),VLOOKUP(I426,'H&amp;R Look Up'!$E$13:$F$20,2,TRUE),IF(AND(U426&gt;=73,U426&lt;=78),VLOOKUP(I426,'H&amp;R Look Up'!$I$13:$J$19,2,TRUE),IF(AND(U426&gt;=79),VLOOKUP(I426,'H&amp;R Look Up'!$M$13:$N$18,2,TRUE),"")))))</f>
        <v/>
      </c>
      <c r="U426" s="222" t="str">
        <f t="shared" si="7"/>
        <v/>
      </c>
    </row>
    <row r="427" spans="1:21" s="108" customFormat="1" ht="15.75">
      <c r="A427" s="119"/>
      <c r="B427" s="120"/>
      <c r="C427" s="111"/>
      <c r="D427" s="111"/>
      <c r="E427" s="121"/>
      <c r="F427" s="121"/>
      <c r="G427" s="113"/>
      <c r="H427" s="104"/>
      <c r="I427" s="219"/>
      <c r="J427" s="200" t="str">
        <f>IF(E427="","",IF(AND(U427&lt;=66),VLOOKUP(I427,'H&amp;R Look Up'!$A$13:$B$21,2,TRUE),IF(AND(U427&gt;=67,U427&lt;=72),VLOOKUP(I427,'H&amp;R Look Up'!$E$13:$F$20,2,TRUE),IF(AND(U427&gt;=73,U427&lt;=78),VLOOKUP(I427,'H&amp;R Look Up'!$I$13:$J$19,2,TRUE),IF(AND(U427&gt;=79),VLOOKUP(I427,'H&amp;R Look Up'!$M$13:$N$18,2,TRUE),"")))))</f>
        <v/>
      </c>
      <c r="U427" s="222" t="str">
        <f t="shared" si="7"/>
        <v/>
      </c>
    </row>
    <row r="428" spans="1:21" s="108" customFormat="1" ht="15.75">
      <c r="A428" s="119"/>
      <c r="B428" s="120"/>
      <c r="C428" s="111"/>
      <c r="D428" s="111"/>
      <c r="E428" s="121"/>
      <c r="F428" s="121"/>
      <c r="G428" s="113"/>
      <c r="H428" s="104"/>
      <c r="I428" s="219"/>
      <c r="J428" s="200" t="str">
        <f>IF(E428="","",IF(AND(U428&lt;=66),VLOOKUP(I428,'H&amp;R Look Up'!$A$13:$B$21,2,TRUE),IF(AND(U428&gt;=67,U428&lt;=72),VLOOKUP(I428,'H&amp;R Look Up'!$E$13:$F$20,2,TRUE),IF(AND(U428&gt;=73,U428&lt;=78),VLOOKUP(I428,'H&amp;R Look Up'!$I$13:$J$19,2,TRUE),IF(AND(U428&gt;=79),VLOOKUP(I428,'H&amp;R Look Up'!$M$13:$N$18,2,TRUE),"")))))</f>
        <v/>
      </c>
      <c r="U428" s="222" t="str">
        <f t="shared" si="7"/>
        <v/>
      </c>
    </row>
    <row r="429" spans="1:21" s="108" customFormat="1" ht="15.75">
      <c r="A429" s="119"/>
      <c r="B429" s="120"/>
      <c r="C429" s="111"/>
      <c r="D429" s="111"/>
      <c r="E429" s="121"/>
      <c r="F429" s="121"/>
      <c r="G429" s="113"/>
      <c r="H429" s="104"/>
      <c r="I429" s="219"/>
      <c r="J429" s="200" t="str">
        <f>IF(E429="","",IF(AND(U429&lt;=66),VLOOKUP(I429,'H&amp;R Look Up'!$A$13:$B$21,2,TRUE),IF(AND(U429&gt;=67,U429&lt;=72),VLOOKUP(I429,'H&amp;R Look Up'!$E$13:$F$20,2,TRUE),IF(AND(U429&gt;=73,U429&lt;=78),VLOOKUP(I429,'H&amp;R Look Up'!$I$13:$J$19,2,TRUE),IF(AND(U429&gt;=79),VLOOKUP(I429,'H&amp;R Look Up'!$M$13:$N$18,2,TRUE),"")))))</f>
        <v/>
      </c>
      <c r="U429" s="222" t="str">
        <f t="shared" si="7"/>
        <v/>
      </c>
    </row>
    <row r="430" spans="1:21" s="108" customFormat="1" ht="15.75">
      <c r="A430" s="119"/>
      <c r="B430" s="120"/>
      <c r="C430" s="111"/>
      <c r="D430" s="111"/>
      <c r="E430" s="121"/>
      <c r="F430" s="121"/>
      <c r="G430" s="113"/>
      <c r="H430" s="104"/>
      <c r="I430" s="219"/>
      <c r="J430" s="200" t="str">
        <f>IF(E430="","",IF(AND(U430&lt;=66),VLOOKUP(I430,'H&amp;R Look Up'!$A$13:$B$21,2,TRUE),IF(AND(U430&gt;=67,U430&lt;=72),VLOOKUP(I430,'H&amp;R Look Up'!$E$13:$F$20,2,TRUE),IF(AND(U430&gt;=73,U430&lt;=78),VLOOKUP(I430,'H&amp;R Look Up'!$I$13:$J$19,2,TRUE),IF(AND(U430&gt;=79),VLOOKUP(I430,'H&amp;R Look Up'!$M$13:$N$18,2,TRUE),"")))))</f>
        <v/>
      </c>
      <c r="U430" s="222" t="str">
        <f t="shared" si="7"/>
        <v/>
      </c>
    </row>
    <row r="431" spans="1:21" s="108" customFormat="1" ht="15.75">
      <c r="A431" s="119"/>
      <c r="B431" s="120"/>
      <c r="C431" s="111"/>
      <c r="D431" s="111"/>
      <c r="E431" s="121"/>
      <c r="F431" s="121"/>
      <c r="G431" s="113"/>
      <c r="H431" s="104"/>
      <c r="I431" s="219"/>
      <c r="J431" s="200" t="str">
        <f>IF(E431="","",IF(AND(U431&lt;=66),VLOOKUP(I431,'H&amp;R Look Up'!$A$13:$B$21,2,TRUE),IF(AND(U431&gt;=67,U431&lt;=72),VLOOKUP(I431,'H&amp;R Look Up'!$E$13:$F$20,2,TRUE),IF(AND(U431&gt;=73,U431&lt;=78),VLOOKUP(I431,'H&amp;R Look Up'!$I$13:$J$19,2,TRUE),IF(AND(U431&gt;=79),VLOOKUP(I431,'H&amp;R Look Up'!$M$13:$N$18,2,TRUE),"")))))</f>
        <v/>
      </c>
      <c r="U431" s="222" t="str">
        <f t="shared" si="7"/>
        <v/>
      </c>
    </row>
    <row r="432" spans="1:21" s="108" customFormat="1" ht="15.75">
      <c r="A432" s="119"/>
      <c r="B432" s="120"/>
      <c r="C432" s="111"/>
      <c r="D432" s="111"/>
      <c r="E432" s="121"/>
      <c r="F432" s="121"/>
      <c r="G432" s="113"/>
      <c r="H432" s="104"/>
      <c r="I432" s="219"/>
      <c r="J432" s="200" t="str">
        <f>IF(E432="","",IF(AND(U432&lt;=66),VLOOKUP(I432,'H&amp;R Look Up'!$A$13:$B$21,2,TRUE),IF(AND(U432&gt;=67,U432&lt;=72),VLOOKUP(I432,'H&amp;R Look Up'!$E$13:$F$20,2,TRUE),IF(AND(U432&gt;=73,U432&lt;=78),VLOOKUP(I432,'H&amp;R Look Up'!$I$13:$J$19,2,TRUE),IF(AND(U432&gt;=79),VLOOKUP(I432,'H&amp;R Look Up'!$M$13:$N$18,2,TRUE),"")))))</f>
        <v/>
      </c>
      <c r="U432" s="222" t="str">
        <f t="shared" si="7"/>
        <v/>
      </c>
    </row>
    <row r="433" spans="1:21" s="108" customFormat="1" ht="15.75">
      <c r="A433" s="119"/>
      <c r="B433" s="120"/>
      <c r="C433" s="111"/>
      <c r="D433" s="111"/>
      <c r="E433" s="121"/>
      <c r="F433" s="121"/>
      <c r="G433" s="113"/>
      <c r="H433" s="104"/>
      <c r="I433" s="219"/>
      <c r="J433" s="200" t="str">
        <f>IF(E433="","",IF(AND(U433&lt;=66),VLOOKUP(I433,'H&amp;R Look Up'!$A$13:$B$21,2,TRUE),IF(AND(U433&gt;=67,U433&lt;=72),VLOOKUP(I433,'H&amp;R Look Up'!$E$13:$F$20,2,TRUE),IF(AND(U433&gt;=73,U433&lt;=78),VLOOKUP(I433,'H&amp;R Look Up'!$I$13:$J$19,2,TRUE),IF(AND(U433&gt;=79),VLOOKUP(I433,'H&amp;R Look Up'!$M$13:$N$18,2,TRUE),"")))))</f>
        <v/>
      </c>
      <c r="U433" s="222" t="str">
        <f t="shared" si="7"/>
        <v/>
      </c>
    </row>
    <row r="434" spans="1:21" s="108" customFormat="1" ht="15.75">
      <c r="A434" s="119"/>
      <c r="B434" s="120"/>
      <c r="C434" s="111"/>
      <c r="D434" s="111"/>
      <c r="E434" s="121"/>
      <c r="F434" s="121"/>
      <c r="G434" s="113"/>
      <c r="H434" s="104"/>
      <c r="I434" s="219"/>
      <c r="J434" s="200" t="str">
        <f>IF(E434="","",IF(AND(U434&lt;=66),VLOOKUP(I434,'H&amp;R Look Up'!$A$13:$B$21,2,TRUE),IF(AND(U434&gt;=67,U434&lt;=72),VLOOKUP(I434,'H&amp;R Look Up'!$E$13:$F$20,2,TRUE),IF(AND(U434&gt;=73,U434&lt;=78),VLOOKUP(I434,'H&amp;R Look Up'!$I$13:$J$19,2,TRUE),IF(AND(U434&gt;=79),VLOOKUP(I434,'H&amp;R Look Up'!$M$13:$N$18,2,TRUE),"")))))</f>
        <v/>
      </c>
      <c r="U434" s="222" t="str">
        <f t="shared" si="7"/>
        <v/>
      </c>
    </row>
    <row r="435" spans="1:21" s="108" customFormat="1" ht="15.75">
      <c r="A435" s="119"/>
      <c r="B435" s="120"/>
      <c r="C435" s="111"/>
      <c r="D435" s="111"/>
      <c r="E435" s="121"/>
      <c r="F435" s="121"/>
      <c r="G435" s="113"/>
      <c r="H435" s="104"/>
      <c r="I435" s="219"/>
      <c r="J435" s="200" t="str">
        <f>IF(E435="","",IF(AND(U435&lt;=66),VLOOKUP(I435,'H&amp;R Look Up'!$A$13:$B$21,2,TRUE),IF(AND(U435&gt;=67,U435&lt;=72),VLOOKUP(I435,'H&amp;R Look Up'!$E$13:$F$20,2,TRUE),IF(AND(U435&gt;=73,U435&lt;=78),VLOOKUP(I435,'H&amp;R Look Up'!$I$13:$J$19,2,TRUE),IF(AND(U435&gt;=79),VLOOKUP(I435,'H&amp;R Look Up'!$M$13:$N$18,2,TRUE),"")))))</f>
        <v/>
      </c>
      <c r="U435" s="222" t="str">
        <f t="shared" si="7"/>
        <v/>
      </c>
    </row>
    <row r="436" spans="1:21" s="108" customFormat="1" ht="15.75">
      <c r="A436" s="119"/>
      <c r="B436" s="120"/>
      <c r="C436" s="111"/>
      <c r="D436" s="111"/>
      <c r="E436" s="121"/>
      <c r="F436" s="121"/>
      <c r="G436" s="113"/>
      <c r="H436" s="104"/>
      <c r="I436" s="219"/>
      <c r="J436" s="200" t="str">
        <f>IF(E436="","",IF(AND(U436&lt;=66),VLOOKUP(I436,'H&amp;R Look Up'!$A$13:$B$21,2,TRUE),IF(AND(U436&gt;=67,U436&lt;=72),VLOOKUP(I436,'H&amp;R Look Up'!$E$13:$F$20,2,TRUE),IF(AND(U436&gt;=73,U436&lt;=78),VLOOKUP(I436,'H&amp;R Look Up'!$I$13:$J$19,2,TRUE),IF(AND(U436&gt;=79),VLOOKUP(I436,'H&amp;R Look Up'!$M$13:$N$18,2,TRUE),"")))))</f>
        <v/>
      </c>
      <c r="U436" s="222" t="str">
        <f t="shared" si="7"/>
        <v/>
      </c>
    </row>
    <row r="437" spans="1:21" s="108" customFormat="1" ht="15.75">
      <c r="A437" s="119"/>
      <c r="B437" s="120"/>
      <c r="C437" s="111"/>
      <c r="D437" s="111"/>
      <c r="E437" s="121"/>
      <c r="F437" s="121"/>
      <c r="G437" s="113"/>
      <c r="H437" s="104"/>
      <c r="I437" s="219"/>
      <c r="J437" s="200" t="str">
        <f>IF(E437="","",IF(AND(U437&lt;=66),VLOOKUP(I437,'H&amp;R Look Up'!$A$13:$B$21,2,TRUE),IF(AND(U437&gt;=67,U437&lt;=72),VLOOKUP(I437,'H&amp;R Look Up'!$E$13:$F$20,2,TRUE),IF(AND(U437&gt;=73,U437&lt;=78),VLOOKUP(I437,'H&amp;R Look Up'!$I$13:$J$19,2,TRUE),IF(AND(U437&gt;=79),VLOOKUP(I437,'H&amp;R Look Up'!$M$13:$N$18,2,TRUE),"")))))</f>
        <v/>
      </c>
      <c r="U437" s="222" t="str">
        <f t="shared" si="7"/>
        <v/>
      </c>
    </row>
    <row r="438" spans="1:21" s="108" customFormat="1" ht="15.75">
      <c r="A438" s="119"/>
      <c r="B438" s="120"/>
      <c r="C438" s="111"/>
      <c r="D438" s="111"/>
      <c r="E438" s="121"/>
      <c r="F438" s="121"/>
      <c r="G438" s="113"/>
      <c r="H438" s="104"/>
      <c r="I438" s="219"/>
      <c r="J438" s="200" t="str">
        <f>IF(E438="","",IF(AND(U438&lt;=66),VLOOKUP(I438,'H&amp;R Look Up'!$A$13:$B$21,2,TRUE),IF(AND(U438&gt;=67,U438&lt;=72),VLOOKUP(I438,'H&amp;R Look Up'!$E$13:$F$20,2,TRUE),IF(AND(U438&gt;=73,U438&lt;=78),VLOOKUP(I438,'H&amp;R Look Up'!$I$13:$J$19,2,TRUE),IF(AND(U438&gt;=79),VLOOKUP(I438,'H&amp;R Look Up'!$M$13:$N$18,2,TRUE),"")))))</f>
        <v/>
      </c>
      <c r="U438" s="222" t="str">
        <f t="shared" si="7"/>
        <v/>
      </c>
    </row>
    <row r="439" spans="1:21" s="108" customFormat="1" ht="15.75">
      <c r="A439" s="119"/>
      <c r="B439" s="120"/>
      <c r="C439" s="111"/>
      <c r="D439" s="111"/>
      <c r="E439" s="121"/>
      <c r="F439" s="121"/>
      <c r="G439" s="113"/>
      <c r="H439" s="104"/>
      <c r="I439" s="219"/>
      <c r="J439" s="200" t="str">
        <f>IF(E439="","",IF(AND(U439&lt;=66),VLOOKUP(I439,'H&amp;R Look Up'!$A$13:$B$21,2,TRUE),IF(AND(U439&gt;=67,U439&lt;=72),VLOOKUP(I439,'H&amp;R Look Up'!$E$13:$F$20,2,TRUE),IF(AND(U439&gt;=73,U439&lt;=78),VLOOKUP(I439,'H&amp;R Look Up'!$I$13:$J$19,2,TRUE),IF(AND(U439&gt;=79),VLOOKUP(I439,'H&amp;R Look Up'!$M$13:$N$18,2,TRUE),"")))))</f>
        <v/>
      </c>
      <c r="U439" s="222" t="str">
        <f t="shared" si="7"/>
        <v/>
      </c>
    </row>
    <row r="440" spans="1:21" s="108" customFormat="1" ht="15.75">
      <c r="A440" s="119"/>
      <c r="B440" s="120"/>
      <c r="C440" s="111"/>
      <c r="D440" s="111"/>
      <c r="E440" s="121"/>
      <c r="F440" s="121"/>
      <c r="G440" s="113"/>
      <c r="H440" s="104"/>
      <c r="I440" s="219"/>
      <c r="J440" s="200" t="str">
        <f>IF(E440="","",IF(AND(U440&lt;=66),VLOOKUP(I440,'H&amp;R Look Up'!$A$13:$B$21,2,TRUE),IF(AND(U440&gt;=67,U440&lt;=72),VLOOKUP(I440,'H&amp;R Look Up'!$E$13:$F$20,2,TRUE),IF(AND(U440&gt;=73,U440&lt;=78),VLOOKUP(I440,'H&amp;R Look Up'!$I$13:$J$19,2,TRUE),IF(AND(U440&gt;=79),VLOOKUP(I440,'H&amp;R Look Up'!$M$13:$N$18,2,TRUE),"")))))</f>
        <v/>
      </c>
      <c r="U440" s="222" t="str">
        <f t="shared" si="7"/>
        <v/>
      </c>
    </row>
    <row r="441" spans="1:21" s="108" customFormat="1" ht="15.75">
      <c r="A441" s="119"/>
      <c r="B441" s="120"/>
      <c r="C441" s="111"/>
      <c r="D441" s="111"/>
      <c r="E441" s="121"/>
      <c r="F441" s="121"/>
      <c r="G441" s="113"/>
      <c r="H441" s="104"/>
      <c r="I441" s="219"/>
      <c r="J441" s="200" t="str">
        <f>IF(E441="","",IF(AND(U441&lt;=66),VLOOKUP(I441,'H&amp;R Look Up'!$A$13:$B$21,2,TRUE),IF(AND(U441&gt;=67,U441&lt;=72),VLOOKUP(I441,'H&amp;R Look Up'!$E$13:$F$20,2,TRUE),IF(AND(U441&gt;=73,U441&lt;=78),VLOOKUP(I441,'H&amp;R Look Up'!$I$13:$J$19,2,TRUE),IF(AND(U441&gt;=79),VLOOKUP(I441,'H&amp;R Look Up'!$M$13:$N$18,2,TRUE),"")))))</f>
        <v/>
      </c>
      <c r="U441" s="222" t="str">
        <f t="shared" si="7"/>
        <v/>
      </c>
    </row>
    <row r="442" spans="1:21" s="108" customFormat="1" ht="15.75">
      <c r="A442" s="119"/>
      <c r="B442" s="120"/>
      <c r="C442" s="111"/>
      <c r="D442" s="111"/>
      <c r="E442" s="121"/>
      <c r="F442" s="121"/>
      <c r="G442" s="113"/>
      <c r="H442" s="104"/>
      <c r="I442" s="219"/>
      <c r="J442" s="200" t="str">
        <f>IF(E442="","",IF(AND(U442&lt;=66),VLOOKUP(I442,'H&amp;R Look Up'!$A$13:$B$21,2,TRUE),IF(AND(U442&gt;=67,U442&lt;=72),VLOOKUP(I442,'H&amp;R Look Up'!$E$13:$F$20,2,TRUE),IF(AND(U442&gt;=73,U442&lt;=78),VLOOKUP(I442,'H&amp;R Look Up'!$I$13:$J$19,2,TRUE),IF(AND(U442&gt;=79),VLOOKUP(I442,'H&amp;R Look Up'!$M$13:$N$18,2,TRUE),"")))))</f>
        <v/>
      </c>
      <c r="U442" s="222" t="str">
        <f t="shared" si="7"/>
        <v/>
      </c>
    </row>
    <row r="443" spans="1:21" s="108" customFormat="1" ht="15.75">
      <c r="A443" s="119"/>
      <c r="B443" s="120"/>
      <c r="C443" s="111"/>
      <c r="D443" s="111"/>
      <c r="E443" s="121"/>
      <c r="F443" s="121"/>
      <c r="G443" s="113"/>
      <c r="H443" s="104"/>
      <c r="I443" s="219"/>
      <c r="J443" s="200" t="str">
        <f>IF(E443="","",IF(AND(U443&lt;=66),VLOOKUP(I443,'H&amp;R Look Up'!$A$13:$B$21,2,TRUE),IF(AND(U443&gt;=67,U443&lt;=72),VLOOKUP(I443,'H&amp;R Look Up'!$E$13:$F$20,2,TRUE),IF(AND(U443&gt;=73,U443&lt;=78),VLOOKUP(I443,'H&amp;R Look Up'!$I$13:$J$19,2,TRUE),IF(AND(U443&gt;=79),VLOOKUP(I443,'H&amp;R Look Up'!$M$13:$N$18,2,TRUE),"")))))</f>
        <v/>
      </c>
      <c r="U443" s="222" t="str">
        <f t="shared" si="7"/>
        <v/>
      </c>
    </row>
    <row r="444" spans="1:21" s="108" customFormat="1" ht="15.75">
      <c r="A444" s="119"/>
      <c r="B444" s="120"/>
      <c r="C444" s="111"/>
      <c r="D444" s="111"/>
      <c r="E444" s="121"/>
      <c r="F444" s="121"/>
      <c r="G444" s="113"/>
      <c r="H444" s="104"/>
      <c r="I444" s="219"/>
      <c r="J444" s="200" t="str">
        <f>IF(E444="","",IF(AND(U444&lt;=66),VLOOKUP(I444,'H&amp;R Look Up'!$A$13:$B$21,2,TRUE),IF(AND(U444&gt;=67,U444&lt;=72),VLOOKUP(I444,'H&amp;R Look Up'!$E$13:$F$20,2,TRUE),IF(AND(U444&gt;=73,U444&lt;=78),VLOOKUP(I444,'H&amp;R Look Up'!$I$13:$J$19,2,TRUE),IF(AND(U444&gt;=79),VLOOKUP(I444,'H&amp;R Look Up'!$M$13:$N$18,2,TRUE),"")))))</f>
        <v/>
      </c>
      <c r="U444" s="222" t="str">
        <f t="shared" si="7"/>
        <v/>
      </c>
    </row>
    <row r="445" spans="1:21" s="108" customFormat="1" ht="15.75">
      <c r="A445" s="119"/>
      <c r="B445" s="120"/>
      <c r="C445" s="111"/>
      <c r="D445" s="111"/>
      <c r="E445" s="121"/>
      <c r="F445" s="121"/>
      <c r="G445" s="113"/>
      <c r="H445" s="104"/>
      <c r="I445" s="219"/>
      <c r="J445" s="200" t="str">
        <f>IF(E445="","",IF(AND(U445&lt;=66),VLOOKUP(I445,'H&amp;R Look Up'!$A$13:$B$21,2,TRUE),IF(AND(U445&gt;=67,U445&lt;=72),VLOOKUP(I445,'H&amp;R Look Up'!$E$13:$F$20,2,TRUE),IF(AND(U445&gt;=73,U445&lt;=78),VLOOKUP(I445,'H&amp;R Look Up'!$I$13:$J$19,2,TRUE),IF(AND(U445&gt;=79),VLOOKUP(I445,'H&amp;R Look Up'!$M$13:$N$18,2,TRUE),"")))))</f>
        <v/>
      </c>
      <c r="U445" s="222" t="str">
        <f t="shared" si="7"/>
        <v/>
      </c>
    </row>
    <row r="446" spans="1:21" s="108" customFormat="1" ht="15.75">
      <c r="A446" s="119"/>
      <c r="B446" s="120"/>
      <c r="C446" s="111"/>
      <c r="D446" s="111"/>
      <c r="E446" s="121"/>
      <c r="F446" s="121"/>
      <c r="G446" s="113"/>
      <c r="H446" s="104"/>
      <c r="I446" s="219"/>
      <c r="J446" s="200" t="str">
        <f>IF(E446="","",IF(AND(U446&lt;=66),VLOOKUP(I446,'H&amp;R Look Up'!$A$13:$B$21,2,TRUE),IF(AND(U446&gt;=67,U446&lt;=72),VLOOKUP(I446,'H&amp;R Look Up'!$E$13:$F$20,2,TRUE),IF(AND(U446&gt;=73,U446&lt;=78),VLOOKUP(I446,'H&amp;R Look Up'!$I$13:$J$19,2,TRUE),IF(AND(U446&gt;=79),VLOOKUP(I446,'H&amp;R Look Up'!$M$13:$N$18,2,TRUE),"")))))</f>
        <v/>
      </c>
      <c r="U446" s="222" t="str">
        <f t="shared" si="7"/>
        <v/>
      </c>
    </row>
    <row r="447" spans="1:21" s="108" customFormat="1" ht="15.75">
      <c r="A447" s="119"/>
      <c r="B447" s="120"/>
      <c r="C447" s="111"/>
      <c r="D447" s="111"/>
      <c r="E447" s="121"/>
      <c r="F447" s="121"/>
      <c r="G447" s="113"/>
      <c r="H447" s="104"/>
      <c r="I447" s="219"/>
      <c r="J447" s="200" t="str">
        <f>IF(E447="","",IF(AND(U447&lt;=66),VLOOKUP(I447,'H&amp;R Look Up'!$A$13:$B$21,2,TRUE),IF(AND(U447&gt;=67,U447&lt;=72),VLOOKUP(I447,'H&amp;R Look Up'!$E$13:$F$20,2,TRUE),IF(AND(U447&gt;=73,U447&lt;=78),VLOOKUP(I447,'H&amp;R Look Up'!$I$13:$J$19,2,TRUE),IF(AND(U447&gt;=79),VLOOKUP(I447,'H&amp;R Look Up'!$M$13:$N$18,2,TRUE),"")))))</f>
        <v/>
      </c>
      <c r="U447" s="222" t="str">
        <f t="shared" si="7"/>
        <v/>
      </c>
    </row>
    <row r="448" spans="1:21" s="108" customFormat="1" ht="15.75">
      <c r="A448" s="119"/>
      <c r="B448" s="120"/>
      <c r="C448" s="111"/>
      <c r="D448" s="111"/>
      <c r="E448" s="121"/>
      <c r="F448" s="121"/>
      <c r="G448" s="113"/>
      <c r="H448" s="104"/>
      <c r="I448" s="219"/>
      <c r="J448" s="200" t="str">
        <f>IF(E448="","",IF(AND(U448&lt;=66),VLOOKUP(I448,'H&amp;R Look Up'!$A$13:$B$21,2,TRUE),IF(AND(U448&gt;=67,U448&lt;=72),VLOOKUP(I448,'H&amp;R Look Up'!$E$13:$F$20,2,TRUE),IF(AND(U448&gt;=73,U448&lt;=78),VLOOKUP(I448,'H&amp;R Look Up'!$I$13:$J$19,2,TRUE),IF(AND(U448&gt;=79),VLOOKUP(I448,'H&amp;R Look Up'!$M$13:$N$18,2,TRUE),"")))))</f>
        <v/>
      </c>
      <c r="U448" s="222" t="str">
        <f t="shared" si="7"/>
        <v/>
      </c>
    </row>
    <row r="449" spans="1:21" s="108" customFormat="1" ht="15.75">
      <c r="A449" s="119"/>
      <c r="B449" s="120"/>
      <c r="C449" s="111"/>
      <c r="D449" s="111"/>
      <c r="E449" s="121"/>
      <c r="F449" s="121"/>
      <c r="G449" s="113"/>
      <c r="H449" s="104"/>
      <c r="I449" s="219"/>
      <c r="J449" s="200" t="str">
        <f>IF(E449="","",IF(AND(U449&lt;=66),VLOOKUP(I449,'H&amp;R Look Up'!$A$13:$B$21,2,TRUE),IF(AND(U449&gt;=67,U449&lt;=72),VLOOKUP(I449,'H&amp;R Look Up'!$E$13:$F$20,2,TRUE),IF(AND(U449&gt;=73,U449&lt;=78),VLOOKUP(I449,'H&amp;R Look Up'!$I$13:$J$19,2,TRUE),IF(AND(U449&gt;=79),VLOOKUP(I449,'H&amp;R Look Up'!$M$13:$N$18,2,TRUE),"")))))</f>
        <v/>
      </c>
      <c r="U449" s="222" t="str">
        <f t="shared" si="7"/>
        <v/>
      </c>
    </row>
    <row r="450" spans="1:21" s="108" customFormat="1" ht="15.75">
      <c r="A450" s="119"/>
      <c r="B450" s="120"/>
      <c r="C450" s="111"/>
      <c r="D450" s="111"/>
      <c r="E450" s="121"/>
      <c r="F450" s="121"/>
      <c r="G450" s="113"/>
      <c r="H450" s="104"/>
      <c r="I450" s="219"/>
      <c r="J450" s="200" t="str">
        <f>IF(E450="","",IF(AND(U450&lt;=66),VLOOKUP(I450,'H&amp;R Look Up'!$A$13:$B$21,2,TRUE),IF(AND(U450&gt;=67,U450&lt;=72),VLOOKUP(I450,'H&amp;R Look Up'!$E$13:$F$20,2,TRUE),IF(AND(U450&gt;=73,U450&lt;=78),VLOOKUP(I450,'H&amp;R Look Up'!$I$13:$J$19,2,TRUE),IF(AND(U450&gt;=79),VLOOKUP(I450,'H&amp;R Look Up'!$M$13:$N$18,2,TRUE),"")))))</f>
        <v/>
      </c>
      <c r="U450" s="222" t="str">
        <f t="shared" si="7"/>
        <v/>
      </c>
    </row>
    <row r="451" spans="1:21" s="108" customFormat="1" ht="15.75">
      <c r="A451" s="119"/>
      <c r="B451" s="120"/>
      <c r="C451" s="111"/>
      <c r="D451" s="111"/>
      <c r="E451" s="121"/>
      <c r="F451" s="121"/>
      <c r="G451" s="113"/>
      <c r="H451" s="104"/>
      <c r="I451" s="219"/>
      <c r="J451" s="200" t="str">
        <f>IF(E451="","",IF(AND(U451&lt;=66),VLOOKUP(I451,'H&amp;R Look Up'!$A$13:$B$21,2,TRUE),IF(AND(U451&gt;=67,U451&lt;=72),VLOOKUP(I451,'H&amp;R Look Up'!$E$13:$F$20,2,TRUE),IF(AND(U451&gt;=73,U451&lt;=78),VLOOKUP(I451,'H&amp;R Look Up'!$I$13:$J$19,2,TRUE),IF(AND(U451&gt;=79),VLOOKUP(I451,'H&amp;R Look Up'!$M$13:$N$18,2,TRUE),"")))))</f>
        <v/>
      </c>
      <c r="U451" s="222" t="str">
        <f t="shared" si="7"/>
        <v/>
      </c>
    </row>
    <row r="452" spans="1:21" s="108" customFormat="1" ht="15.75">
      <c r="A452" s="119"/>
      <c r="B452" s="120"/>
      <c r="C452" s="111"/>
      <c r="D452" s="111"/>
      <c r="E452" s="121"/>
      <c r="F452" s="121"/>
      <c r="G452" s="113"/>
      <c r="H452" s="104"/>
      <c r="I452" s="219"/>
      <c r="J452" s="200" t="str">
        <f>IF(E452="","",IF(AND(U452&lt;=66),VLOOKUP(I452,'H&amp;R Look Up'!$A$13:$B$21,2,TRUE),IF(AND(U452&gt;=67,U452&lt;=72),VLOOKUP(I452,'H&amp;R Look Up'!$E$13:$F$20,2,TRUE),IF(AND(U452&gt;=73,U452&lt;=78),VLOOKUP(I452,'H&amp;R Look Up'!$I$13:$J$19,2,TRUE),IF(AND(U452&gt;=79),VLOOKUP(I452,'H&amp;R Look Up'!$M$13:$N$18,2,TRUE),"")))))</f>
        <v/>
      </c>
      <c r="U452" s="222" t="str">
        <f t="shared" si="7"/>
        <v/>
      </c>
    </row>
    <row r="453" spans="1:21" s="108" customFormat="1" ht="15.75">
      <c r="A453" s="119"/>
      <c r="B453" s="120"/>
      <c r="C453" s="111"/>
      <c r="D453" s="111"/>
      <c r="E453" s="121"/>
      <c r="F453" s="121"/>
      <c r="G453" s="113"/>
      <c r="H453" s="104"/>
      <c r="I453" s="219"/>
      <c r="J453" s="200" t="str">
        <f>IF(E453="","",IF(AND(U453&lt;=66),VLOOKUP(I453,'H&amp;R Look Up'!$A$13:$B$21,2,TRUE),IF(AND(U453&gt;=67,U453&lt;=72),VLOOKUP(I453,'H&amp;R Look Up'!$E$13:$F$20,2,TRUE),IF(AND(U453&gt;=73,U453&lt;=78),VLOOKUP(I453,'H&amp;R Look Up'!$I$13:$J$19,2,TRUE),IF(AND(U453&gt;=79),VLOOKUP(I453,'H&amp;R Look Up'!$M$13:$N$18,2,TRUE),"")))))</f>
        <v/>
      </c>
      <c r="U453" s="222" t="str">
        <f t="shared" si="7"/>
        <v/>
      </c>
    </row>
    <row r="454" spans="1:21" s="108" customFormat="1" ht="15.75">
      <c r="A454" s="119"/>
      <c r="B454" s="120"/>
      <c r="C454" s="111"/>
      <c r="D454" s="111"/>
      <c r="E454" s="121"/>
      <c r="F454" s="121"/>
      <c r="G454" s="113"/>
      <c r="H454" s="104"/>
      <c r="I454" s="219"/>
      <c r="J454" s="200" t="str">
        <f>IF(E454="","",IF(AND(U454&lt;=66),VLOOKUP(I454,'H&amp;R Look Up'!$A$13:$B$21,2,TRUE),IF(AND(U454&gt;=67,U454&lt;=72),VLOOKUP(I454,'H&amp;R Look Up'!$E$13:$F$20,2,TRUE),IF(AND(U454&gt;=73,U454&lt;=78),VLOOKUP(I454,'H&amp;R Look Up'!$I$13:$J$19,2,TRUE),IF(AND(U454&gt;=79),VLOOKUP(I454,'H&amp;R Look Up'!$M$13:$N$18,2,TRUE),"")))))</f>
        <v/>
      </c>
      <c r="U454" s="222" t="str">
        <f t="shared" ref="U454:U500" si="8">IF(E454="","",DATEDIF(B454,A454,"m"))</f>
        <v/>
      </c>
    </row>
    <row r="455" spans="1:21" s="108" customFormat="1" ht="15.75">
      <c r="A455" s="119"/>
      <c r="B455" s="120"/>
      <c r="C455" s="111"/>
      <c r="D455" s="111"/>
      <c r="E455" s="121"/>
      <c r="F455" s="121"/>
      <c r="G455" s="113"/>
      <c r="H455" s="104"/>
      <c r="I455" s="219"/>
      <c r="J455" s="200" t="str">
        <f>IF(E455="","",IF(AND(U455&lt;=66),VLOOKUP(I455,'H&amp;R Look Up'!$A$13:$B$21,2,TRUE),IF(AND(U455&gt;=67,U455&lt;=72),VLOOKUP(I455,'H&amp;R Look Up'!$E$13:$F$20,2,TRUE),IF(AND(U455&gt;=73,U455&lt;=78),VLOOKUP(I455,'H&amp;R Look Up'!$I$13:$J$19,2,TRUE),IF(AND(U455&gt;=79),VLOOKUP(I455,'H&amp;R Look Up'!$M$13:$N$18,2,TRUE),"")))))</f>
        <v/>
      </c>
      <c r="U455" s="222" t="str">
        <f t="shared" si="8"/>
        <v/>
      </c>
    </row>
    <row r="456" spans="1:21" s="108" customFormat="1" ht="15.75">
      <c r="A456" s="119"/>
      <c r="B456" s="120"/>
      <c r="C456" s="111"/>
      <c r="D456" s="111"/>
      <c r="E456" s="121"/>
      <c r="F456" s="121"/>
      <c r="G456" s="113"/>
      <c r="H456" s="104"/>
      <c r="I456" s="219"/>
      <c r="J456" s="200" t="str">
        <f>IF(E456="","",IF(AND(U456&lt;=66),VLOOKUP(I456,'H&amp;R Look Up'!$A$13:$B$21,2,TRUE),IF(AND(U456&gt;=67,U456&lt;=72),VLOOKUP(I456,'H&amp;R Look Up'!$E$13:$F$20,2,TRUE),IF(AND(U456&gt;=73,U456&lt;=78),VLOOKUP(I456,'H&amp;R Look Up'!$I$13:$J$19,2,TRUE),IF(AND(U456&gt;=79),VLOOKUP(I456,'H&amp;R Look Up'!$M$13:$N$18,2,TRUE),"")))))</f>
        <v/>
      </c>
      <c r="U456" s="222" t="str">
        <f t="shared" si="8"/>
        <v/>
      </c>
    </row>
    <row r="457" spans="1:21" s="108" customFormat="1" ht="15.75">
      <c r="A457" s="119"/>
      <c r="B457" s="120"/>
      <c r="C457" s="111"/>
      <c r="D457" s="111"/>
      <c r="E457" s="121"/>
      <c r="F457" s="121"/>
      <c r="G457" s="113"/>
      <c r="H457" s="104"/>
      <c r="I457" s="219"/>
      <c r="J457" s="200" t="str">
        <f>IF(E457="","",IF(AND(U457&lt;=66),VLOOKUP(I457,'H&amp;R Look Up'!$A$13:$B$21,2,TRUE),IF(AND(U457&gt;=67,U457&lt;=72),VLOOKUP(I457,'H&amp;R Look Up'!$E$13:$F$20,2,TRUE),IF(AND(U457&gt;=73,U457&lt;=78),VLOOKUP(I457,'H&amp;R Look Up'!$I$13:$J$19,2,TRUE),IF(AND(U457&gt;=79),VLOOKUP(I457,'H&amp;R Look Up'!$M$13:$N$18,2,TRUE),"")))))</f>
        <v/>
      </c>
      <c r="U457" s="222" t="str">
        <f t="shared" si="8"/>
        <v/>
      </c>
    </row>
    <row r="458" spans="1:21" s="108" customFormat="1" ht="15.75">
      <c r="A458" s="119"/>
      <c r="B458" s="120"/>
      <c r="C458" s="111"/>
      <c r="D458" s="111"/>
      <c r="E458" s="121"/>
      <c r="F458" s="121"/>
      <c r="G458" s="113"/>
      <c r="H458" s="104"/>
      <c r="I458" s="219"/>
      <c r="J458" s="200" t="str">
        <f>IF(E458="","",IF(AND(U458&lt;=66),VLOOKUP(I458,'H&amp;R Look Up'!$A$13:$B$21,2,TRUE),IF(AND(U458&gt;=67,U458&lt;=72),VLOOKUP(I458,'H&amp;R Look Up'!$E$13:$F$20,2,TRUE),IF(AND(U458&gt;=73,U458&lt;=78),VLOOKUP(I458,'H&amp;R Look Up'!$I$13:$J$19,2,TRUE),IF(AND(U458&gt;=79),VLOOKUP(I458,'H&amp;R Look Up'!$M$13:$N$18,2,TRUE),"")))))</f>
        <v/>
      </c>
      <c r="U458" s="222" t="str">
        <f t="shared" si="8"/>
        <v/>
      </c>
    </row>
    <row r="459" spans="1:21" s="108" customFormat="1" ht="15.75">
      <c r="A459" s="119"/>
      <c r="B459" s="120"/>
      <c r="C459" s="111"/>
      <c r="D459" s="111"/>
      <c r="E459" s="121"/>
      <c r="F459" s="121"/>
      <c r="G459" s="113"/>
      <c r="H459" s="104"/>
      <c r="I459" s="219"/>
      <c r="J459" s="200" t="str">
        <f>IF(E459="","",IF(AND(U459&lt;=66),VLOOKUP(I459,'H&amp;R Look Up'!$A$13:$B$21,2,TRUE),IF(AND(U459&gt;=67,U459&lt;=72),VLOOKUP(I459,'H&amp;R Look Up'!$E$13:$F$20,2,TRUE),IF(AND(U459&gt;=73,U459&lt;=78),VLOOKUP(I459,'H&amp;R Look Up'!$I$13:$J$19,2,TRUE),IF(AND(U459&gt;=79),VLOOKUP(I459,'H&amp;R Look Up'!$M$13:$N$18,2,TRUE),"")))))</f>
        <v/>
      </c>
      <c r="U459" s="222" t="str">
        <f t="shared" si="8"/>
        <v/>
      </c>
    </row>
    <row r="460" spans="1:21" s="108" customFormat="1" ht="15.75">
      <c r="A460" s="119"/>
      <c r="B460" s="120"/>
      <c r="C460" s="111"/>
      <c r="D460" s="111"/>
      <c r="E460" s="121"/>
      <c r="F460" s="121"/>
      <c r="G460" s="113"/>
      <c r="H460" s="104"/>
      <c r="I460" s="219"/>
      <c r="J460" s="200" t="str">
        <f>IF(E460="","",IF(AND(U460&lt;=66),VLOOKUP(I460,'H&amp;R Look Up'!$A$13:$B$21,2,TRUE),IF(AND(U460&gt;=67,U460&lt;=72),VLOOKUP(I460,'H&amp;R Look Up'!$E$13:$F$20,2,TRUE),IF(AND(U460&gt;=73,U460&lt;=78),VLOOKUP(I460,'H&amp;R Look Up'!$I$13:$J$19,2,TRUE),IF(AND(U460&gt;=79),VLOOKUP(I460,'H&amp;R Look Up'!$M$13:$N$18,2,TRUE),"")))))</f>
        <v/>
      </c>
      <c r="U460" s="222" t="str">
        <f t="shared" si="8"/>
        <v/>
      </c>
    </row>
    <row r="461" spans="1:21" s="108" customFormat="1" ht="15.75">
      <c r="A461" s="119"/>
      <c r="B461" s="120"/>
      <c r="C461" s="111"/>
      <c r="D461" s="111"/>
      <c r="E461" s="121"/>
      <c r="F461" s="121"/>
      <c r="G461" s="113"/>
      <c r="H461" s="104"/>
      <c r="I461" s="219"/>
      <c r="J461" s="200" t="str">
        <f>IF(E461="","",IF(AND(U461&lt;=66),VLOOKUP(I461,'H&amp;R Look Up'!$A$13:$B$21,2,TRUE),IF(AND(U461&gt;=67,U461&lt;=72),VLOOKUP(I461,'H&amp;R Look Up'!$E$13:$F$20,2,TRUE),IF(AND(U461&gt;=73,U461&lt;=78),VLOOKUP(I461,'H&amp;R Look Up'!$I$13:$J$19,2,TRUE),IF(AND(U461&gt;=79),VLOOKUP(I461,'H&amp;R Look Up'!$M$13:$N$18,2,TRUE),"")))))</f>
        <v/>
      </c>
      <c r="U461" s="222" t="str">
        <f t="shared" si="8"/>
        <v/>
      </c>
    </row>
    <row r="462" spans="1:21" s="108" customFormat="1" ht="15.75">
      <c r="A462" s="119"/>
      <c r="B462" s="120"/>
      <c r="C462" s="111"/>
      <c r="D462" s="111"/>
      <c r="E462" s="121"/>
      <c r="F462" s="121"/>
      <c r="G462" s="113"/>
      <c r="H462" s="104"/>
      <c r="I462" s="219"/>
      <c r="J462" s="200" t="str">
        <f>IF(E462="","",IF(AND(U462&lt;=66),VLOOKUP(I462,'H&amp;R Look Up'!$A$13:$B$21,2,TRUE),IF(AND(U462&gt;=67,U462&lt;=72),VLOOKUP(I462,'H&amp;R Look Up'!$E$13:$F$20,2,TRUE),IF(AND(U462&gt;=73,U462&lt;=78),VLOOKUP(I462,'H&amp;R Look Up'!$I$13:$J$19,2,TRUE),IF(AND(U462&gt;=79),VLOOKUP(I462,'H&amp;R Look Up'!$M$13:$N$18,2,TRUE),"")))))</f>
        <v/>
      </c>
      <c r="U462" s="222" t="str">
        <f t="shared" si="8"/>
        <v/>
      </c>
    </row>
    <row r="463" spans="1:21" s="108" customFormat="1" ht="15.75">
      <c r="A463" s="119"/>
      <c r="B463" s="120"/>
      <c r="C463" s="111"/>
      <c r="D463" s="111"/>
      <c r="E463" s="121"/>
      <c r="F463" s="121"/>
      <c r="G463" s="113"/>
      <c r="H463" s="104"/>
      <c r="I463" s="219"/>
      <c r="J463" s="200" t="str">
        <f>IF(E463="","",IF(AND(U463&lt;=66),VLOOKUP(I463,'H&amp;R Look Up'!$A$13:$B$21,2,TRUE),IF(AND(U463&gt;=67,U463&lt;=72),VLOOKUP(I463,'H&amp;R Look Up'!$E$13:$F$20,2,TRUE),IF(AND(U463&gt;=73,U463&lt;=78),VLOOKUP(I463,'H&amp;R Look Up'!$I$13:$J$19,2,TRUE),IF(AND(U463&gt;=79),VLOOKUP(I463,'H&amp;R Look Up'!$M$13:$N$18,2,TRUE),"")))))</f>
        <v/>
      </c>
      <c r="U463" s="222" t="str">
        <f t="shared" si="8"/>
        <v/>
      </c>
    </row>
    <row r="464" spans="1:21" s="108" customFormat="1" ht="15.75">
      <c r="A464" s="119"/>
      <c r="B464" s="120"/>
      <c r="C464" s="111"/>
      <c r="D464" s="111"/>
      <c r="E464" s="121"/>
      <c r="F464" s="121"/>
      <c r="G464" s="113"/>
      <c r="H464" s="104"/>
      <c r="I464" s="219"/>
      <c r="J464" s="200" t="str">
        <f>IF(E464="","",IF(AND(U464&lt;=66),VLOOKUP(I464,'H&amp;R Look Up'!$A$13:$B$21,2,TRUE),IF(AND(U464&gt;=67,U464&lt;=72),VLOOKUP(I464,'H&amp;R Look Up'!$E$13:$F$20,2,TRUE),IF(AND(U464&gt;=73,U464&lt;=78),VLOOKUP(I464,'H&amp;R Look Up'!$I$13:$J$19,2,TRUE),IF(AND(U464&gt;=79),VLOOKUP(I464,'H&amp;R Look Up'!$M$13:$N$18,2,TRUE),"")))))</f>
        <v/>
      </c>
      <c r="U464" s="222" t="str">
        <f t="shared" si="8"/>
        <v/>
      </c>
    </row>
    <row r="465" spans="1:21" s="108" customFormat="1" ht="15.75">
      <c r="A465" s="119"/>
      <c r="B465" s="120"/>
      <c r="C465" s="111"/>
      <c r="D465" s="111"/>
      <c r="E465" s="121"/>
      <c r="F465" s="121"/>
      <c r="G465" s="113"/>
      <c r="H465" s="104"/>
      <c r="I465" s="219"/>
      <c r="J465" s="200" t="str">
        <f>IF(E465="","",IF(AND(U465&lt;=66),VLOOKUP(I465,'H&amp;R Look Up'!$A$13:$B$21,2,TRUE),IF(AND(U465&gt;=67,U465&lt;=72),VLOOKUP(I465,'H&amp;R Look Up'!$E$13:$F$20,2,TRUE),IF(AND(U465&gt;=73,U465&lt;=78),VLOOKUP(I465,'H&amp;R Look Up'!$I$13:$J$19,2,TRUE),IF(AND(U465&gt;=79),VLOOKUP(I465,'H&amp;R Look Up'!$M$13:$N$18,2,TRUE),"")))))</f>
        <v/>
      </c>
      <c r="U465" s="222" t="str">
        <f t="shared" si="8"/>
        <v/>
      </c>
    </row>
    <row r="466" spans="1:21" s="108" customFormat="1" ht="15.75">
      <c r="A466" s="119"/>
      <c r="B466" s="120"/>
      <c r="C466" s="111"/>
      <c r="D466" s="111"/>
      <c r="E466" s="121"/>
      <c r="F466" s="121"/>
      <c r="G466" s="113"/>
      <c r="H466" s="104"/>
      <c r="I466" s="219"/>
      <c r="J466" s="200" t="str">
        <f>IF(E466="","",IF(AND(U466&lt;=66),VLOOKUP(I466,'H&amp;R Look Up'!$A$13:$B$21,2,TRUE),IF(AND(U466&gt;=67,U466&lt;=72),VLOOKUP(I466,'H&amp;R Look Up'!$E$13:$F$20,2,TRUE),IF(AND(U466&gt;=73,U466&lt;=78),VLOOKUP(I466,'H&amp;R Look Up'!$I$13:$J$19,2,TRUE),IF(AND(U466&gt;=79),VLOOKUP(I466,'H&amp;R Look Up'!$M$13:$N$18,2,TRUE),"")))))</f>
        <v/>
      </c>
      <c r="U466" s="222" t="str">
        <f t="shared" si="8"/>
        <v/>
      </c>
    </row>
    <row r="467" spans="1:21" s="108" customFormat="1" ht="15.75">
      <c r="A467" s="119"/>
      <c r="B467" s="120"/>
      <c r="C467" s="111"/>
      <c r="D467" s="111"/>
      <c r="E467" s="121"/>
      <c r="F467" s="121"/>
      <c r="G467" s="113"/>
      <c r="H467" s="104"/>
      <c r="I467" s="219"/>
      <c r="J467" s="200" t="str">
        <f>IF(E467="","",IF(AND(U467&lt;=66),VLOOKUP(I467,'H&amp;R Look Up'!$A$13:$B$21,2,TRUE),IF(AND(U467&gt;=67,U467&lt;=72),VLOOKUP(I467,'H&amp;R Look Up'!$E$13:$F$20,2,TRUE),IF(AND(U467&gt;=73,U467&lt;=78),VLOOKUP(I467,'H&amp;R Look Up'!$I$13:$J$19,2,TRUE),IF(AND(U467&gt;=79),VLOOKUP(I467,'H&amp;R Look Up'!$M$13:$N$18,2,TRUE),"")))))</f>
        <v/>
      </c>
      <c r="U467" s="222" t="str">
        <f t="shared" si="8"/>
        <v/>
      </c>
    </row>
    <row r="468" spans="1:21" s="108" customFormat="1" ht="15.75">
      <c r="A468" s="119"/>
      <c r="B468" s="120"/>
      <c r="C468" s="111"/>
      <c r="D468" s="111"/>
      <c r="E468" s="121"/>
      <c r="F468" s="121"/>
      <c r="G468" s="113"/>
      <c r="H468" s="104"/>
      <c r="I468" s="219"/>
      <c r="J468" s="200" t="str">
        <f>IF(E468="","",IF(AND(U468&lt;=66),VLOOKUP(I468,'H&amp;R Look Up'!$A$13:$B$21,2,TRUE),IF(AND(U468&gt;=67,U468&lt;=72),VLOOKUP(I468,'H&amp;R Look Up'!$E$13:$F$20,2,TRUE),IF(AND(U468&gt;=73,U468&lt;=78),VLOOKUP(I468,'H&amp;R Look Up'!$I$13:$J$19,2,TRUE),IF(AND(U468&gt;=79),VLOOKUP(I468,'H&amp;R Look Up'!$M$13:$N$18,2,TRUE),"")))))</f>
        <v/>
      </c>
      <c r="U468" s="222" t="str">
        <f t="shared" si="8"/>
        <v/>
      </c>
    </row>
    <row r="469" spans="1:21" s="108" customFormat="1" ht="15.75">
      <c r="A469" s="119"/>
      <c r="B469" s="120"/>
      <c r="C469" s="111"/>
      <c r="D469" s="111"/>
      <c r="E469" s="121"/>
      <c r="F469" s="121"/>
      <c r="G469" s="113"/>
      <c r="H469" s="104"/>
      <c r="I469" s="219"/>
      <c r="J469" s="200" t="str">
        <f>IF(E469="","",IF(AND(U469&lt;=66),VLOOKUP(I469,'H&amp;R Look Up'!$A$13:$B$21,2,TRUE),IF(AND(U469&gt;=67,U469&lt;=72),VLOOKUP(I469,'H&amp;R Look Up'!$E$13:$F$20,2,TRUE),IF(AND(U469&gt;=73,U469&lt;=78),VLOOKUP(I469,'H&amp;R Look Up'!$I$13:$J$19,2,TRUE),IF(AND(U469&gt;=79),VLOOKUP(I469,'H&amp;R Look Up'!$M$13:$N$18,2,TRUE),"")))))</f>
        <v/>
      </c>
      <c r="U469" s="222" t="str">
        <f t="shared" si="8"/>
        <v/>
      </c>
    </row>
    <row r="470" spans="1:21" s="108" customFormat="1" ht="15.75">
      <c r="A470" s="119"/>
      <c r="B470" s="120"/>
      <c r="C470" s="111"/>
      <c r="D470" s="111"/>
      <c r="E470" s="121"/>
      <c r="F470" s="121"/>
      <c r="G470" s="113"/>
      <c r="H470" s="104"/>
      <c r="I470" s="219"/>
      <c r="J470" s="200" t="str">
        <f>IF(E470="","",IF(AND(U470&lt;=66),VLOOKUP(I470,'H&amp;R Look Up'!$A$13:$B$21,2,TRUE),IF(AND(U470&gt;=67,U470&lt;=72),VLOOKUP(I470,'H&amp;R Look Up'!$E$13:$F$20,2,TRUE),IF(AND(U470&gt;=73,U470&lt;=78),VLOOKUP(I470,'H&amp;R Look Up'!$I$13:$J$19,2,TRUE),IF(AND(U470&gt;=79),VLOOKUP(I470,'H&amp;R Look Up'!$M$13:$N$18,2,TRUE),"")))))</f>
        <v/>
      </c>
      <c r="U470" s="222" t="str">
        <f t="shared" si="8"/>
        <v/>
      </c>
    </row>
    <row r="471" spans="1:21" s="108" customFormat="1" ht="15.75">
      <c r="A471" s="119"/>
      <c r="B471" s="120"/>
      <c r="C471" s="111"/>
      <c r="D471" s="111"/>
      <c r="E471" s="121"/>
      <c r="F471" s="121"/>
      <c r="G471" s="113"/>
      <c r="H471" s="104"/>
      <c r="I471" s="219"/>
      <c r="J471" s="200" t="str">
        <f>IF(E471="","",IF(AND(U471&lt;=66),VLOOKUP(I471,'H&amp;R Look Up'!$A$13:$B$21,2,TRUE),IF(AND(U471&gt;=67,U471&lt;=72),VLOOKUP(I471,'H&amp;R Look Up'!$E$13:$F$20,2,TRUE),IF(AND(U471&gt;=73,U471&lt;=78),VLOOKUP(I471,'H&amp;R Look Up'!$I$13:$J$19,2,TRUE),IF(AND(U471&gt;=79),VLOOKUP(I471,'H&amp;R Look Up'!$M$13:$N$18,2,TRUE),"")))))</f>
        <v/>
      </c>
      <c r="U471" s="222" t="str">
        <f t="shared" si="8"/>
        <v/>
      </c>
    </row>
    <row r="472" spans="1:21" s="108" customFormat="1" ht="15.75">
      <c r="A472" s="119"/>
      <c r="B472" s="120"/>
      <c r="C472" s="111"/>
      <c r="D472" s="111"/>
      <c r="E472" s="121"/>
      <c r="F472" s="121"/>
      <c r="G472" s="113"/>
      <c r="H472" s="104"/>
      <c r="I472" s="219"/>
      <c r="J472" s="200" t="str">
        <f>IF(E472="","",IF(AND(U472&lt;=66),VLOOKUP(I472,'H&amp;R Look Up'!$A$13:$B$21,2,TRUE),IF(AND(U472&gt;=67,U472&lt;=72),VLOOKUP(I472,'H&amp;R Look Up'!$E$13:$F$20,2,TRUE),IF(AND(U472&gt;=73,U472&lt;=78),VLOOKUP(I472,'H&amp;R Look Up'!$I$13:$J$19,2,TRUE),IF(AND(U472&gt;=79),VLOOKUP(I472,'H&amp;R Look Up'!$M$13:$N$18,2,TRUE),"")))))</f>
        <v/>
      </c>
      <c r="U472" s="222" t="str">
        <f t="shared" si="8"/>
        <v/>
      </c>
    </row>
    <row r="473" spans="1:21" s="108" customFormat="1" ht="15.75">
      <c r="A473" s="119"/>
      <c r="B473" s="120"/>
      <c r="C473" s="111"/>
      <c r="D473" s="111"/>
      <c r="E473" s="121"/>
      <c r="F473" s="121"/>
      <c r="G473" s="113"/>
      <c r="H473" s="104"/>
      <c r="I473" s="219"/>
      <c r="J473" s="200" t="str">
        <f>IF(E473="","",IF(AND(U473&lt;=66),VLOOKUP(I473,'H&amp;R Look Up'!$A$13:$B$21,2,TRUE),IF(AND(U473&gt;=67,U473&lt;=72),VLOOKUP(I473,'H&amp;R Look Up'!$E$13:$F$20,2,TRUE),IF(AND(U473&gt;=73,U473&lt;=78),VLOOKUP(I473,'H&amp;R Look Up'!$I$13:$J$19,2,TRUE),IF(AND(U473&gt;=79),VLOOKUP(I473,'H&amp;R Look Up'!$M$13:$N$18,2,TRUE),"")))))</f>
        <v/>
      </c>
      <c r="U473" s="222" t="str">
        <f t="shared" si="8"/>
        <v/>
      </c>
    </row>
    <row r="474" spans="1:21" s="108" customFormat="1" ht="15.75">
      <c r="A474" s="119"/>
      <c r="B474" s="120"/>
      <c r="C474" s="111"/>
      <c r="D474" s="111"/>
      <c r="E474" s="121"/>
      <c r="F474" s="121"/>
      <c r="G474" s="113"/>
      <c r="H474" s="104"/>
      <c r="I474" s="219"/>
      <c r="J474" s="200" t="str">
        <f>IF(E474="","",IF(AND(U474&lt;=66),VLOOKUP(I474,'H&amp;R Look Up'!$A$13:$B$21,2,TRUE),IF(AND(U474&gt;=67,U474&lt;=72),VLOOKUP(I474,'H&amp;R Look Up'!$E$13:$F$20,2,TRUE),IF(AND(U474&gt;=73,U474&lt;=78),VLOOKUP(I474,'H&amp;R Look Up'!$I$13:$J$19,2,TRUE),IF(AND(U474&gt;=79),VLOOKUP(I474,'H&amp;R Look Up'!$M$13:$N$18,2,TRUE),"")))))</f>
        <v/>
      </c>
      <c r="U474" s="222" t="str">
        <f t="shared" si="8"/>
        <v/>
      </c>
    </row>
    <row r="475" spans="1:21" s="108" customFormat="1" ht="15.75">
      <c r="A475" s="119"/>
      <c r="B475" s="120"/>
      <c r="C475" s="111"/>
      <c r="D475" s="111"/>
      <c r="E475" s="121"/>
      <c r="F475" s="121"/>
      <c r="G475" s="113"/>
      <c r="H475" s="104"/>
      <c r="I475" s="219"/>
      <c r="J475" s="200" t="str">
        <f>IF(E475="","",IF(AND(U475&lt;=66),VLOOKUP(I475,'H&amp;R Look Up'!$A$13:$B$21,2,TRUE),IF(AND(U475&gt;=67,U475&lt;=72),VLOOKUP(I475,'H&amp;R Look Up'!$E$13:$F$20,2,TRUE),IF(AND(U475&gt;=73,U475&lt;=78),VLOOKUP(I475,'H&amp;R Look Up'!$I$13:$J$19,2,TRUE),IF(AND(U475&gt;=79),VLOOKUP(I475,'H&amp;R Look Up'!$M$13:$N$18,2,TRUE),"")))))</f>
        <v/>
      </c>
      <c r="U475" s="222" t="str">
        <f t="shared" si="8"/>
        <v/>
      </c>
    </row>
    <row r="476" spans="1:21" s="108" customFormat="1" ht="15.75">
      <c r="A476" s="119"/>
      <c r="B476" s="120"/>
      <c r="C476" s="111"/>
      <c r="D476" s="111"/>
      <c r="E476" s="121"/>
      <c r="F476" s="121"/>
      <c r="G476" s="113"/>
      <c r="H476" s="104"/>
      <c r="I476" s="219"/>
      <c r="J476" s="200" t="str">
        <f>IF(E476="","",IF(AND(U476&lt;=66),VLOOKUP(I476,'H&amp;R Look Up'!$A$13:$B$21,2,TRUE),IF(AND(U476&gt;=67,U476&lt;=72),VLOOKUP(I476,'H&amp;R Look Up'!$E$13:$F$20,2,TRUE),IF(AND(U476&gt;=73,U476&lt;=78),VLOOKUP(I476,'H&amp;R Look Up'!$I$13:$J$19,2,TRUE),IF(AND(U476&gt;=79),VLOOKUP(I476,'H&amp;R Look Up'!$M$13:$N$18,2,TRUE),"")))))</f>
        <v/>
      </c>
      <c r="U476" s="222" t="str">
        <f t="shared" si="8"/>
        <v/>
      </c>
    </row>
    <row r="477" spans="1:21" s="108" customFormat="1" ht="15.75">
      <c r="A477" s="119"/>
      <c r="B477" s="120"/>
      <c r="C477" s="111"/>
      <c r="D477" s="111"/>
      <c r="E477" s="121"/>
      <c r="F477" s="121"/>
      <c r="G477" s="113"/>
      <c r="H477" s="104"/>
      <c r="I477" s="219"/>
      <c r="J477" s="200" t="str">
        <f>IF(E477="","",IF(AND(U477&lt;=66),VLOOKUP(I477,'H&amp;R Look Up'!$A$13:$B$21,2,TRUE),IF(AND(U477&gt;=67,U477&lt;=72),VLOOKUP(I477,'H&amp;R Look Up'!$E$13:$F$20,2,TRUE),IF(AND(U477&gt;=73,U477&lt;=78),VLOOKUP(I477,'H&amp;R Look Up'!$I$13:$J$19,2,TRUE),IF(AND(U477&gt;=79),VLOOKUP(I477,'H&amp;R Look Up'!$M$13:$N$18,2,TRUE),"")))))</f>
        <v/>
      </c>
      <c r="U477" s="222" t="str">
        <f t="shared" si="8"/>
        <v/>
      </c>
    </row>
    <row r="478" spans="1:21" s="108" customFormat="1" ht="15.75">
      <c r="A478" s="119"/>
      <c r="B478" s="120"/>
      <c r="C478" s="111"/>
      <c r="D478" s="111"/>
      <c r="E478" s="121"/>
      <c r="F478" s="121"/>
      <c r="G478" s="113"/>
      <c r="H478" s="104"/>
      <c r="I478" s="219"/>
      <c r="J478" s="200" t="str">
        <f>IF(E478="","",IF(AND(U478&lt;=66),VLOOKUP(I478,'H&amp;R Look Up'!$A$13:$B$21,2,TRUE),IF(AND(U478&gt;=67,U478&lt;=72),VLOOKUP(I478,'H&amp;R Look Up'!$E$13:$F$20,2,TRUE),IF(AND(U478&gt;=73,U478&lt;=78),VLOOKUP(I478,'H&amp;R Look Up'!$I$13:$J$19,2,TRUE),IF(AND(U478&gt;=79),VLOOKUP(I478,'H&amp;R Look Up'!$M$13:$N$18,2,TRUE),"")))))</f>
        <v/>
      </c>
      <c r="U478" s="222" t="str">
        <f t="shared" si="8"/>
        <v/>
      </c>
    </row>
    <row r="479" spans="1:21" s="108" customFormat="1" ht="15.75">
      <c r="A479" s="119"/>
      <c r="B479" s="120"/>
      <c r="C479" s="111"/>
      <c r="D479" s="111"/>
      <c r="E479" s="121"/>
      <c r="F479" s="121"/>
      <c r="G479" s="113"/>
      <c r="H479" s="104"/>
      <c r="I479" s="219"/>
      <c r="J479" s="200" t="str">
        <f>IF(E479="","",IF(AND(U479&lt;=66),VLOOKUP(I479,'H&amp;R Look Up'!$A$13:$B$21,2,TRUE),IF(AND(U479&gt;=67,U479&lt;=72),VLOOKUP(I479,'H&amp;R Look Up'!$E$13:$F$20,2,TRUE),IF(AND(U479&gt;=73,U479&lt;=78),VLOOKUP(I479,'H&amp;R Look Up'!$I$13:$J$19,2,TRUE),IF(AND(U479&gt;=79),VLOOKUP(I479,'H&amp;R Look Up'!$M$13:$N$18,2,TRUE),"")))))</f>
        <v/>
      </c>
      <c r="U479" s="222" t="str">
        <f t="shared" si="8"/>
        <v/>
      </c>
    </row>
    <row r="480" spans="1:21" s="108" customFormat="1" ht="15.75">
      <c r="A480" s="119"/>
      <c r="B480" s="120"/>
      <c r="C480" s="111"/>
      <c r="D480" s="111"/>
      <c r="E480" s="121"/>
      <c r="F480" s="121"/>
      <c r="G480" s="113"/>
      <c r="H480" s="104"/>
      <c r="I480" s="219"/>
      <c r="J480" s="200" t="str">
        <f>IF(E480="","",IF(AND(U480&lt;=66),VLOOKUP(I480,'H&amp;R Look Up'!$A$13:$B$21,2,TRUE),IF(AND(U480&gt;=67,U480&lt;=72),VLOOKUP(I480,'H&amp;R Look Up'!$E$13:$F$20,2,TRUE),IF(AND(U480&gt;=73,U480&lt;=78),VLOOKUP(I480,'H&amp;R Look Up'!$I$13:$J$19,2,TRUE),IF(AND(U480&gt;=79),VLOOKUP(I480,'H&amp;R Look Up'!$M$13:$N$18,2,TRUE),"")))))</f>
        <v/>
      </c>
      <c r="U480" s="222" t="str">
        <f t="shared" si="8"/>
        <v/>
      </c>
    </row>
    <row r="481" spans="1:21" s="108" customFormat="1" ht="15.75">
      <c r="A481" s="119"/>
      <c r="B481" s="120"/>
      <c r="C481" s="111"/>
      <c r="D481" s="111"/>
      <c r="E481" s="121"/>
      <c r="F481" s="121"/>
      <c r="G481" s="113"/>
      <c r="H481" s="104"/>
      <c r="I481" s="219"/>
      <c r="J481" s="200" t="str">
        <f>IF(E481="","",IF(AND(U481&lt;=66),VLOOKUP(I481,'H&amp;R Look Up'!$A$13:$B$21,2,TRUE),IF(AND(U481&gt;=67,U481&lt;=72),VLOOKUP(I481,'H&amp;R Look Up'!$E$13:$F$20,2,TRUE),IF(AND(U481&gt;=73,U481&lt;=78),VLOOKUP(I481,'H&amp;R Look Up'!$I$13:$J$19,2,TRUE),IF(AND(U481&gt;=79),VLOOKUP(I481,'H&amp;R Look Up'!$M$13:$N$18,2,TRUE),"")))))</f>
        <v/>
      </c>
      <c r="U481" s="222" t="str">
        <f t="shared" si="8"/>
        <v/>
      </c>
    </row>
    <row r="482" spans="1:21" s="108" customFormat="1" ht="15.75">
      <c r="A482" s="119"/>
      <c r="B482" s="120"/>
      <c r="C482" s="111"/>
      <c r="D482" s="111"/>
      <c r="E482" s="121"/>
      <c r="F482" s="121"/>
      <c r="G482" s="113"/>
      <c r="H482" s="104"/>
      <c r="I482" s="219"/>
      <c r="J482" s="200" t="str">
        <f>IF(E482="","",IF(AND(U482&lt;=66),VLOOKUP(I482,'H&amp;R Look Up'!$A$13:$B$21,2,TRUE),IF(AND(U482&gt;=67,U482&lt;=72),VLOOKUP(I482,'H&amp;R Look Up'!$E$13:$F$20,2,TRUE),IF(AND(U482&gt;=73,U482&lt;=78),VLOOKUP(I482,'H&amp;R Look Up'!$I$13:$J$19,2,TRUE),IF(AND(U482&gt;=79),VLOOKUP(I482,'H&amp;R Look Up'!$M$13:$N$18,2,TRUE),"")))))</f>
        <v/>
      </c>
      <c r="U482" s="222" t="str">
        <f t="shared" si="8"/>
        <v/>
      </c>
    </row>
    <row r="483" spans="1:21" s="108" customFormat="1" ht="15.75">
      <c r="A483" s="119"/>
      <c r="B483" s="120"/>
      <c r="C483" s="111"/>
      <c r="D483" s="111"/>
      <c r="E483" s="121"/>
      <c r="F483" s="121"/>
      <c r="G483" s="113"/>
      <c r="H483" s="104"/>
      <c r="I483" s="219"/>
      <c r="J483" s="200" t="str">
        <f>IF(E483="","",IF(AND(U483&lt;=66),VLOOKUP(I483,'H&amp;R Look Up'!$A$13:$B$21,2,TRUE),IF(AND(U483&gt;=67,U483&lt;=72),VLOOKUP(I483,'H&amp;R Look Up'!$E$13:$F$20,2,TRUE),IF(AND(U483&gt;=73,U483&lt;=78),VLOOKUP(I483,'H&amp;R Look Up'!$I$13:$J$19,2,TRUE),IF(AND(U483&gt;=79),VLOOKUP(I483,'H&amp;R Look Up'!$M$13:$N$18,2,TRUE),"")))))</f>
        <v/>
      </c>
      <c r="U483" s="222" t="str">
        <f t="shared" si="8"/>
        <v/>
      </c>
    </row>
    <row r="484" spans="1:21" s="108" customFormat="1" ht="15.75">
      <c r="A484" s="119"/>
      <c r="B484" s="120"/>
      <c r="C484" s="111"/>
      <c r="D484" s="111"/>
      <c r="E484" s="121"/>
      <c r="F484" s="121"/>
      <c r="G484" s="113"/>
      <c r="H484" s="104"/>
      <c r="I484" s="219"/>
      <c r="J484" s="200" t="str">
        <f>IF(E484="","",IF(AND(U484&lt;=66),VLOOKUP(I484,'H&amp;R Look Up'!$A$13:$B$21,2,TRUE),IF(AND(U484&gt;=67,U484&lt;=72),VLOOKUP(I484,'H&amp;R Look Up'!$E$13:$F$20,2,TRUE),IF(AND(U484&gt;=73,U484&lt;=78),VLOOKUP(I484,'H&amp;R Look Up'!$I$13:$J$19,2,TRUE),IF(AND(U484&gt;=79),VLOOKUP(I484,'H&amp;R Look Up'!$M$13:$N$18,2,TRUE),"")))))</f>
        <v/>
      </c>
      <c r="U484" s="222" t="str">
        <f t="shared" si="8"/>
        <v/>
      </c>
    </row>
    <row r="485" spans="1:21" s="108" customFormat="1" ht="15.75">
      <c r="A485" s="119"/>
      <c r="B485" s="120"/>
      <c r="C485" s="111"/>
      <c r="D485" s="111"/>
      <c r="E485" s="121"/>
      <c r="F485" s="121"/>
      <c r="G485" s="113"/>
      <c r="H485" s="104"/>
      <c r="I485" s="219"/>
      <c r="J485" s="200" t="str">
        <f>IF(E485="","",IF(AND(U485&lt;=66),VLOOKUP(I485,'H&amp;R Look Up'!$A$13:$B$21,2,TRUE),IF(AND(U485&gt;=67,U485&lt;=72),VLOOKUP(I485,'H&amp;R Look Up'!$E$13:$F$20,2,TRUE),IF(AND(U485&gt;=73,U485&lt;=78),VLOOKUP(I485,'H&amp;R Look Up'!$I$13:$J$19,2,TRUE),IF(AND(U485&gt;=79),VLOOKUP(I485,'H&amp;R Look Up'!$M$13:$N$18,2,TRUE),"")))))</f>
        <v/>
      </c>
      <c r="U485" s="222" t="str">
        <f t="shared" si="8"/>
        <v/>
      </c>
    </row>
    <row r="486" spans="1:21" s="108" customFormat="1" ht="15.75">
      <c r="A486" s="119"/>
      <c r="B486" s="120"/>
      <c r="C486" s="111"/>
      <c r="D486" s="111"/>
      <c r="E486" s="121"/>
      <c r="F486" s="121"/>
      <c r="G486" s="113"/>
      <c r="H486" s="104"/>
      <c r="I486" s="219"/>
      <c r="J486" s="200" t="str">
        <f>IF(E486="","",IF(AND(U486&lt;=66),VLOOKUP(I486,'H&amp;R Look Up'!$A$13:$B$21,2,TRUE),IF(AND(U486&gt;=67,U486&lt;=72),VLOOKUP(I486,'H&amp;R Look Up'!$E$13:$F$20,2,TRUE),IF(AND(U486&gt;=73,U486&lt;=78),VLOOKUP(I486,'H&amp;R Look Up'!$I$13:$J$19,2,TRUE),IF(AND(U486&gt;=79),VLOOKUP(I486,'H&amp;R Look Up'!$M$13:$N$18,2,TRUE),"")))))</f>
        <v/>
      </c>
      <c r="U486" s="222" t="str">
        <f t="shared" si="8"/>
        <v/>
      </c>
    </row>
    <row r="487" spans="1:21" s="108" customFormat="1" ht="15.75">
      <c r="A487" s="119"/>
      <c r="B487" s="120"/>
      <c r="C487" s="111"/>
      <c r="D487" s="111"/>
      <c r="E487" s="121"/>
      <c r="F487" s="121"/>
      <c r="G487" s="113"/>
      <c r="H487" s="104"/>
      <c r="I487" s="219"/>
      <c r="J487" s="200" t="str">
        <f>IF(E487="","",IF(AND(U487&lt;=66),VLOOKUP(I487,'H&amp;R Look Up'!$A$13:$B$21,2,TRUE),IF(AND(U487&gt;=67,U487&lt;=72),VLOOKUP(I487,'H&amp;R Look Up'!$E$13:$F$20,2,TRUE),IF(AND(U487&gt;=73,U487&lt;=78),VLOOKUP(I487,'H&amp;R Look Up'!$I$13:$J$19,2,TRUE),IF(AND(U487&gt;=79),VLOOKUP(I487,'H&amp;R Look Up'!$M$13:$N$18,2,TRUE),"")))))</f>
        <v/>
      </c>
      <c r="U487" s="222" t="str">
        <f t="shared" si="8"/>
        <v/>
      </c>
    </row>
    <row r="488" spans="1:21" s="108" customFormat="1" ht="15.75">
      <c r="A488" s="119"/>
      <c r="B488" s="120"/>
      <c r="C488" s="111"/>
      <c r="D488" s="111"/>
      <c r="E488" s="121"/>
      <c r="F488" s="121"/>
      <c r="G488" s="113"/>
      <c r="H488" s="104"/>
      <c r="I488" s="219"/>
      <c r="J488" s="200" t="str">
        <f>IF(E488="","",IF(AND(U488&lt;=66),VLOOKUP(I488,'H&amp;R Look Up'!$A$13:$B$21,2,TRUE),IF(AND(U488&gt;=67,U488&lt;=72),VLOOKUP(I488,'H&amp;R Look Up'!$E$13:$F$20,2,TRUE),IF(AND(U488&gt;=73,U488&lt;=78),VLOOKUP(I488,'H&amp;R Look Up'!$I$13:$J$19,2,TRUE),IF(AND(U488&gt;=79),VLOOKUP(I488,'H&amp;R Look Up'!$M$13:$N$18,2,TRUE),"")))))</f>
        <v/>
      </c>
      <c r="U488" s="222" t="str">
        <f t="shared" si="8"/>
        <v/>
      </c>
    </row>
    <row r="489" spans="1:21" s="108" customFormat="1" ht="15.75">
      <c r="A489" s="119"/>
      <c r="B489" s="120"/>
      <c r="C489" s="111"/>
      <c r="D489" s="111"/>
      <c r="E489" s="121"/>
      <c r="F489" s="121"/>
      <c r="G489" s="113"/>
      <c r="H489" s="104"/>
      <c r="I489" s="219"/>
      <c r="J489" s="200" t="str">
        <f>IF(E489="","",IF(AND(U489&lt;=66),VLOOKUP(I489,'H&amp;R Look Up'!$A$13:$B$21,2,TRUE),IF(AND(U489&gt;=67,U489&lt;=72),VLOOKUP(I489,'H&amp;R Look Up'!$E$13:$F$20,2,TRUE),IF(AND(U489&gt;=73,U489&lt;=78),VLOOKUP(I489,'H&amp;R Look Up'!$I$13:$J$19,2,TRUE),IF(AND(U489&gt;=79),VLOOKUP(I489,'H&amp;R Look Up'!$M$13:$N$18,2,TRUE),"")))))</f>
        <v/>
      </c>
      <c r="U489" s="222" t="str">
        <f t="shared" si="8"/>
        <v/>
      </c>
    </row>
    <row r="490" spans="1:21" s="108" customFormat="1" ht="15.75">
      <c r="A490" s="119"/>
      <c r="B490" s="120"/>
      <c r="C490" s="111"/>
      <c r="D490" s="111"/>
      <c r="E490" s="121"/>
      <c r="F490" s="121"/>
      <c r="G490" s="113"/>
      <c r="H490" s="104"/>
      <c r="I490" s="219"/>
      <c r="J490" s="200" t="str">
        <f>IF(E490="","",IF(AND(U490&lt;=66),VLOOKUP(I490,'H&amp;R Look Up'!$A$13:$B$21,2,TRUE),IF(AND(U490&gt;=67,U490&lt;=72),VLOOKUP(I490,'H&amp;R Look Up'!$E$13:$F$20,2,TRUE),IF(AND(U490&gt;=73,U490&lt;=78),VLOOKUP(I490,'H&amp;R Look Up'!$I$13:$J$19,2,TRUE),IF(AND(U490&gt;=79),VLOOKUP(I490,'H&amp;R Look Up'!$M$13:$N$18,2,TRUE),"")))))</f>
        <v/>
      </c>
      <c r="U490" s="222" t="str">
        <f t="shared" si="8"/>
        <v/>
      </c>
    </row>
    <row r="491" spans="1:21" s="108" customFormat="1" ht="15.75">
      <c r="A491" s="119"/>
      <c r="B491" s="120"/>
      <c r="C491" s="111"/>
      <c r="D491" s="111"/>
      <c r="E491" s="121"/>
      <c r="F491" s="121"/>
      <c r="G491" s="113"/>
      <c r="H491" s="104"/>
      <c r="I491" s="219"/>
      <c r="J491" s="200" t="str">
        <f>IF(E491="","",IF(AND(U491&lt;=66),VLOOKUP(I491,'H&amp;R Look Up'!$A$13:$B$21,2,TRUE),IF(AND(U491&gt;=67,U491&lt;=72),VLOOKUP(I491,'H&amp;R Look Up'!$E$13:$F$20,2,TRUE),IF(AND(U491&gt;=73,U491&lt;=78),VLOOKUP(I491,'H&amp;R Look Up'!$I$13:$J$19,2,TRUE),IF(AND(U491&gt;=79),VLOOKUP(I491,'H&amp;R Look Up'!$M$13:$N$18,2,TRUE),"")))))</f>
        <v/>
      </c>
      <c r="U491" s="222" t="str">
        <f t="shared" si="8"/>
        <v/>
      </c>
    </row>
    <row r="492" spans="1:21" s="108" customFormat="1" ht="15.75">
      <c r="A492" s="119"/>
      <c r="B492" s="120"/>
      <c r="C492" s="111"/>
      <c r="D492" s="111"/>
      <c r="E492" s="121"/>
      <c r="F492" s="121"/>
      <c r="G492" s="113"/>
      <c r="H492" s="104"/>
      <c r="I492" s="219"/>
      <c r="J492" s="200" t="str">
        <f>IF(E492="","",IF(AND(U492&lt;=66),VLOOKUP(I492,'H&amp;R Look Up'!$A$13:$B$21,2,TRUE),IF(AND(U492&gt;=67,U492&lt;=72),VLOOKUP(I492,'H&amp;R Look Up'!$E$13:$F$20,2,TRUE),IF(AND(U492&gt;=73,U492&lt;=78),VLOOKUP(I492,'H&amp;R Look Up'!$I$13:$J$19,2,TRUE),IF(AND(U492&gt;=79),VLOOKUP(I492,'H&amp;R Look Up'!$M$13:$N$18,2,TRUE),"")))))</f>
        <v/>
      </c>
      <c r="U492" s="222" t="str">
        <f t="shared" si="8"/>
        <v/>
      </c>
    </row>
    <row r="493" spans="1:21" s="108" customFormat="1" ht="15.75">
      <c r="A493" s="119"/>
      <c r="B493" s="120"/>
      <c r="C493" s="111"/>
      <c r="D493" s="111"/>
      <c r="E493" s="121"/>
      <c r="F493" s="121"/>
      <c r="G493" s="113"/>
      <c r="H493" s="104"/>
      <c r="I493" s="219"/>
      <c r="J493" s="200" t="str">
        <f>IF(E493="","",IF(AND(U493&lt;=66),VLOOKUP(I493,'H&amp;R Look Up'!$A$13:$B$21,2,TRUE),IF(AND(U493&gt;=67,U493&lt;=72),VLOOKUP(I493,'H&amp;R Look Up'!$E$13:$F$20,2,TRUE),IF(AND(U493&gt;=73,U493&lt;=78),VLOOKUP(I493,'H&amp;R Look Up'!$I$13:$J$19,2,TRUE),IF(AND(U493&gt;=79),VLOOKUP(I493,'H&amp;R Look Up'!$M$13:$N$18,2,TRUE),"")))))</f>
        <v/>
      </c>
      <c r="U493" s="222" t="str">
        <f t="shared" si="8"/>
        <v/>
      </c>
    </row>
    <row r="494" spans="1:21" s="108" customFormat="1" ht="15.75">
      <c r="A494" s="119"/>
      <c r="B494" s="120"/>
      <c r="C494" s="111"/>
      <c r="D494" s="111"/>
      <c r="E494" s="121"/>
      <c r="F494" s="121"/>
      <c r="G494" s="113"/>
      <c r="H494" s="104"/>
      <c r="I494" s="219"/>
      <c r="J494" s="200" t="str">
        <f>IF(E494="","",IF(AND(U494&lt;=66),VLOOKUP(I494,'H&amp;R Look Up'!$A$13:$B$21,2,TRUE),IF(AND(U494&gt;=67,U494&lt;=72),VLOOKUP(I494,'H&amp;R Look Up'!$E$13:$F$20,2,TRUE),IF(AND(U494&gt;=73,U494&lt;=78),VLOOKUP(I494,'H&amp;R Look Up'!$I$13:$J$19,2,TRUE),IF(AND(U494&gt;=79),VLOOKUP(I494,'H&amp;R Look Up'!$M$13:$N$18,2,TRUE),"")))))</f>
        <v/>
      </c>
      <c r="U494" s="222" t="str">
        <f t="shared" si="8"/>
        <v/>
      </c>
    </row>
    <row r="495" spans="1:21" s="108" customFormat="1" ht="15.75">
      <c r="A495" s="260"/>
      <c r="B495" s="261"/>
      <c r="C495" s="262"/>
      <c r="D495" s="262"/>
      <c r="E495" s="263"/>
      <c r="F495" s="263"/>
      <c r="G495" s="264"/>
      <c r="H495" s="291"/>
      <c r="I495" s="292"/>
      <c r="J495" s="201" t="str">
        <f>IF(E495="","",IF(AND(U495&lt;=66),VLOOKUP(I495,'H&amp;R Look Up'!$A$13:$B$21,2,TRUE),IF(AND(U495&gt;=67,U495&lt;=72),VLOOKUP(I495,'H&amp;R Look Up'!$E$13:$F$20,2,TRUE),IF(AND(U495&gt;=73,U495&lt;=78),VLOOKUP(I495,'H&amp;R Look Up'!$I$13:$J$19,2,TRUE),IF(AND(U495&gt;=79),VLOOKUP(I495,'H&amp;R Look Up'!$M$13:$N$18,2,TRUE),"")))))</f>
        <v/>
      </c>
      <c r="U495" s="222" t="str">
        <f t="shared" si="8"/>
        <v/>
      </c>
    </row>
    <row r="496" spans="1:21" s="108" customFormat="1" ht="15.75">
      <c r="A496" s="110"/>
      <c r="B496" s="110"/>
      <c r="C496" s="111"/>
      <c r="D496" s="111"/>
      <c r="E496" s="121"/>
      <c r="F496" s="121"/>
      <c r="G496" s="113"/>
      <c r="H496" s="113"/>
      <c r="I496" s="293"/>
      <c r="J496" s="286" t="str">
        <f>IF(E496="","",IF(AND(U496&lt;=66),VLOOKUP(I496,'H&amp;R Look Up'!$A$13:$B$21,2,TRUE),IF(AND(U496&gt;=67,U496&lt;=72),VLOOKUP(I496,'H&amp;R Look Up'!$E$13:$F$20,2,TRUE),IF(AND(U496&gt;=73,U496&lt;=78),VLOOKUP(I496,'H&amp;R Look Up'!$I$13:$J$19,2,TRUE),IF(AND(U496&gt;=79),VLOOKUP(I496,'H&amp;R Look Up'!$M$13:$N$18,2,TRUE),"")))))</f>
        <v/>
      </c>
      <c r="U496" s="222" t="str">
        <f t="shared" si="8"/>
        <v/>
      </c>
    </row>
    <row r="497" spans="1:21" s="108" customFormat="1" ht="15.75">
      <c r="A497" s="110"/>
      <c r="B497" s="110"/>
      <c r="C497" s="111"/>
      <c r="D497" s="111"/>
      <c r="E497" s="121"/>
      <c r="F497" s="121"/>
      <c r="G497" s="113"/>
      <c r="H497" s="113"/>
      <c r="I497" s="293"/>
      <c r="J497" s="286" t="str">
        <f>IF(E497="","",IF(AND(U497&lt;=66),VLOOKUP(I497,'H&amp;R Look Up'!$A$13:$B$21,2,TRUE),IF(AND(U497&gt;=67,U497&lt;=72),VLOOKUP(I497,'H&amp;R Look Up'!$E$13:$F$20,2,TRUE),IF(AND(U497&gt;=73,U497&lt;=78),VLOOKUP(I497,'H&amp;R Look Up'!$I$13:$J$19,2,TRUE),IF(AND(U497&gt;=79),VLOOKUP(I497,'H&amp;R Look Up'!$M$13:$N$18,2,TRUE),"")))))</f>
        <v/>
      </c>
      <c r="U497" s="222" t="str">
        <f t="shared" si="8"/>
        <v/>
      </c>
    </row>
    <row r="498" spans="1:21">
      <c r="A498" s="279"/>
      <c r="B498" s="279"/>
      <c r="C498" s="115"/>
      <c r="D498" s="115"/>
      <c r="E498" s="280"/>
      <c r="F498" s="280"/>
      <c r="G498" s="281"/>
      <c r="H498" s="281"/>
      <c r="I498" s="293"/>
      <c r="J498" s="286" t="str">
        <f>IF(E498="","",IF(AND(U498&lt;=66),VLOOKUP(I498,'H&amp;R Look Up'!$A$13:$B$21,2,TRUE),IF(AND(U498&gt;=67,U498&lt;=72),VLOOKUP(I498,'H&amp;R Look Up'!$E$13:$F$20,2,TRUE),IF(AND(U498&gt;=73,U498&lt;=78),VLOOKUP(I498,'H&amp;R Look Up'!$I$13:$J$19,2,TRUE),IF(AND(U498&gt;=79),VLOOKUP(I498,'H&amp;R Look Up'!$M$13:$N$18,2,TRUE),"")))))</f>
        <v/>
      </c>
      <c r="U498" s="222" t="str">
        <f t="shared" si="8"/>
        <v/>
      </c>
    </row>
    <row r="499" spans="1:21">
      <c r="A499" s="279"/>
      <c r="B499" s="279"/>
      <c r="C499" s="115"/>
      <c r="D499" s="115"/>
      <c r="E499" s="280"/>
      <c r="F499" s="280"/>
      <c r="G499" s="281"/>
      <c r="H499" s="281"/>
      <c r="I499" s="293"/>
      <c r="J499" s="286" t="str">
        <f>IF(E499="","",IF(AND(U499&lt;=66),VLOOKUP(I499,'H&amp;R Look Up'!$A$13:$B$21,2,TRUE),IF(AND(U499&gt;=67,U499&lt;=72),VLOOKUP(I499,'H&amp;R Look Up'!$E$13:$F$20,2,TRUE),IF(AND(U499&gt;=73,U499&lt;=78),VLOOKUP(I499,'H&amp;R Look Up'!$I$13:$J$19,2,TRUE),IF(AND(U499&gt;=79),VLOOKUP(I499,'H&amp;R Look Up'!$M$13:$N$18,2,TRUE),"")))))</f>
        <v/>
      </c>
      <c r="U499" s="222" t="str">
        <f t="shared" si="8"/>
        <v/>
      </c>
    </row>
    <row r="500" spans="1:21" ht="15.75" thickBot="1">
      <c r="A500" s="287"/>
      <c r="B500" s="287"/>
      <c r="C500" s="282"/>
      <c r="D500" s="282"/>
      <c r="E500" s="288"/>
      <c r="F500" s="288"/>
      <c r="G500" s="289"/>
      <c r="H500" s="289"/>
      <c r="I500" s="220"/>
      <c r="J500" s="290" t="str">
        <f>IF(E500="","",IF(AND(U500&lt;=66),VLOOKUP(I500,'H&amp;R Look Up'!$A$13:$B$21,2,TRUE),IF(AND(U500&gt;=67,U500&lt;=72),VLOOKUP(I500,'H&amp;R Look Up'!$E$13:$F$20,2,TRUE),IF(AND(U500&gt;=73,U500&lt;=78),VLOOKUP(I500,'H&amp;R Look Up'!$I$13:$J$19,2,TRUE),IF(AND(U500&gt;=79),VLOOKUP(I500,'H&amp;R Look Up'!$M$13:$N$18,2,TRUE),"")))))</f>
        <v/>
      </c>
      <c r="U500" s="222" t="str">
        <f t="shared" si="8"/>
        <v/>
      </c>
    </row>
  </sheetData>
  <mergeCells count="2">
    <mergeCell ref="F1:I1"/>
    <mergeCell ref="F3:J3"/>
  </mergeCells>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505"/>
  <sheetViews>
    <sheetView topLeftCell="H5" workbookViewId="0">
      <selection activeCell="N18" sqref="N18"/>
    </sheetView>
  </sheetViews>
  <sheetFormatPr defaultRowHeight="15"/>
  <cols>
    <col min="1" max="1" width="45" style="1" customWidth="1"/>
    <col min="2" max="2" width="17.7109375" style="1" bestFit="1" customWidth="1"/>
    <col min="5" max="5" width="46.7109375" customWidth="1"/>
    <col min="6" max="6" width="17.7109375" bestFit="1" customWidth="1"/>
    <col min="7" max="8" width="9.85546875" bestFit="1" customWidth="1"/>
    <col min="9" max="9" width="47.7109375" customWidth="1"/>
    <col min="10" max="10" width="17.7109375" bestFit="1" customWidth="1"/>
    <col min="13" max="13" width="46" customWidth="1"/>
    <col min="14" max="14" width="17.7109375" bestFit="1" customWidth="1"/>
  </cols>
  <sheetData>
    <row r="1" spans="1:14" ht="27.75">
      <c r="A1" s="21"/>
      <c r="B1" s="21"/>
      <c r="C1" s="20"/>
      <c r="D1" s="20"/>
      <c r="E1" s="20"/>
      <c r="F1" s="20"/>
      <c r="G1" s="20"/>
      <c r="H1" s="20"/>
      <c r="I1" s="20"/>
      <c r="J1" s="20"/>
      <c r="K1" s="20"/>
      <c r="L1" s="20"/>
      <c r="M1" s="20"/>
      <c r="N1" s="20"/>
    </row>
    <row r="2" spans="1:14" ht="26.25">
      <c r="A2" s="19"/>
      <c r="B2" s="19"/>
      <c r="C2" s="10"/>
      <c r="D2" s="10"/>
      <c r="E2" s="10"/>
      <c r="F2" s="10"/>
      <c r="G2" s="10"/>
      <c r="H2" s="10"/>
      <c r="I2" s="10"/>
      <c r="J2" s="10"/>
      <c r="K2" s="10"/>
      <c r="L2" s="10"/>
      <c r="M2" s="10"/>
      <c r="N2" s="10"/>
    </row>
    <row r="3" spans="1:14">
      <c r="A3" s="16"/>
      <c r="B3" s="16"/>
      <c r="C3" s="7"/>
      <c r="D3" s="7"/>
      <c r="E3" s="7"/>
      <c r="F3" s="7"/>
      <c r="G3" s="7"/>
      <c r="H3" s="7"/>
      <c r="I3" s="7"/>
      <c r="J3" s="7"/>
      <c r="K3" s="7"/>
      <c r="L3" s="7"/>
      <c r="M3" s="7"/>
      <c r="N3" s="7"/>
    </row>
    <row r="4" spans="1:14" ht="20.25">
      <c r="A4" s="18"/>
      <c r="B4" s="18"/>
      <c r="C4" s="9"/>
      <c r="D4" s="9"/>
      <c r="E4" s="9"/>
      <c r="F4" s="9"/>
      <c r="G4" s="9"/>
      <c r="H4" s="9"/>
      <c r="I4" s="9"/>
      <c r="J4" s="9"/>
      <c r="K4" s="9"/>
      <c r="L4" s="9"/>
      <c r="M4" s="9"/>
      <c r="N4" s="9"/>
    </row>
    <row r="5" spans="1:14">
      <c r="A5" s="15"/>
      <c r="B5" s="15"/>
      <c r="C5" s="6"/>
      <c r="D5" s="6"/>
      <c r="E5" s="6"/>
      <c r="F5" s="6"/>
      <c r="G5" s="6"/>
      <c r="H5" s="6"/>
      <c r="I5" s="6"/>
      <c r="J5" s="6"/>
      <c r="K5" s="6"/>
      <c r="L5" s="6"/>
      <c r="M5" s="6"/>
      <c r="N5" s="6"/>
    </row>
    <row r="6" spans="1:14">
      <c r="A6" s="16"/>
      <c r="B6" s="16"/>
      <c r="C6" s="7"/>
      <c r="D6" s="7"/>
      <c r="E6" s="7"/>
      <c r="F6" s="7"/>
      <c r="G6" s="7"/>
      <c r="H6" s="7"/>
      <c r="I6" s="7"/>
      <c r="J6" s="7"/>
      <c r="K6" s="7"/>
      <c r="L6" s="7"/>
      <c r="M6" s="7"/>
      <c r="N6" s="7"/>
    </row>
    <row r="7" spans="1:14">
      <c r="A7" s="17"/>
      <c r="B7" s="17"/>
      <c r="C7" s="8"/>
      <c r="D7" s="8"/>
      <c r="E7" s="8"/>
      <c r="F7" s="8"/>
      <c r="G7" s="8"/>
      <c r="H7" s="8"/>
      <c r="I7" s="8"/>
      <c r="J7" s="8"/>
      <c r="K7" s="8"/>
      <c r="L7" s="8"/>
      <c r="M7" s="8"/>
      <c r="N7" s="8"/>
    </row>
    <row r="8" spans="1:14">
      <c r="A8" s="17"/>
      <c r="B8" s="17"/>
      <c r="C8" s="8"/>
      <c r="D8" s="8"/>
      <c r="E8" s="8"/>
      <c r="F8" s="8"/>
      <c r="G8" s="8"/>
      <c r="H8" s="8"/>
      <c r="I8" s="8"/>
      <c r="J8" s="8"/>
      <c r="K8" s="8"/>
      <c r="L8" s="8"/>
      <c r="M8" s="8"/>
      <c r="N8" s="8"/>
    </row>
    <row r="9" spans="1:14">
      <c r="A9" s="16" t="s">
        <v>114</v>
      </c>
      <c r="B9" s="16"/>
      <c r="C9" s="7"/>
      <c r="D9" s="7"/>
      <c r="E9" s="7"/>
      <c r="F9" s="7"/>
      <c r="G9" s="7"/>
      <c r="H9" s="7"/>
      <c r="I9" s="7"/>
      <c r="J9" s="7"/>
      <c r="K9" s="7"/>
      <c r="L9" s="7"/>
      <c r="M9" s="7"/>
      <c r="N9" s="7"/>
    </row>
    <row r="10" spans="1:14">
      <c r="A10" s="15"/>
      <c r="B10" s="15"/>
      <c r="C10" s="6"/>
      <c r="D10" s="6"/>
      <c r="E10" s="6"/>
      <c r="F10" s="6"/>
      <c r="G10" s="6"/>
      <c r="H10" s="6"/>
      <c r="I10" s="6"/>
      <c r="J10" s="6"/>
      <c r="K10" s="6"/>
      <c r="L10" s="6"/>
      <c r="M10" s="6"/>
      <c r="N10" s="6"/>
    </row>
    <row r="11" spans="1:14" s="25" customFormat="1" ht="45">
      <c r="A11" s="27" t="s">
        <v>122</v>
      </c>
      <c r="B11" s="26"/>
      <c r="C11" s="29"/>
      <c r="D11" s="29"/>
      <c r="E11" s="27" t="s">
        <v>121</v>
      </c>
      <c r="F11" s="26"/>
      <c r="G11" s="28"/>
      <c r="H11" s="28"/>
      <c r="I11" s="27" t="s">
        <v>120</v>
      </c>
      <c r="J11" s="26"/>
      <c r="K11" s="28"/>
      <c r="L11" s="28"/>
      <c r="M11" s="27" t="s">
        <v>119</v>
      </c>
      <c r="N11" s="26"/>
    </row>
    <row r="12" spans="1:14" ht="15.75">
      <c r="A12" s="24" t="s">
        <v>43</v>
      </c>
      <c r="B12" s="24" t="s">
        <v>42</v>
      </c>
      <c r="C12" s="2"/>
      <c r="D12" s="2"/>
      <c r="E12" s="24" t="s">
        <v>43</v>
      </c>
      <c r="F12" s="24" t="s">
        <v>42</v>
      </c>
      <c r="G12" s="5"/>
      <c r="H12" s="5"/>
      <c r="I12" s="13" t="s">
        <v>43</v>
      </c>
      <c r="J12" s="13" t="s">
        <v>42</v>
      </c>
      <c r="K12" s="5"/>
      <c r="L12" s="5"/>
      <c r="M12" s="13" t="s">
        <v>43</v>
      </c>
      <c r="N12" s="13" t="s">
        <v>42</v>
      </c>
    </row>
    <row r="13" spans="1:14" ht="15.75">
      <c r="A13" s="3">
        <v>0</v>
      </c>
      <c r="B13" s="3">
        <v>1</v>
      </c>
      <c r="C13" s="2"/>
      <c r="D13" s="2"/>
      <c r="E13" s="3">
        <v>0</v>
      </c>
      <c r="F13" s="3">
        <v>1</v>
      </c>
      <c r="G13" s="4"/>
      <c r="H13" s="4"/>
      <c r="I13" s="23">
        <v>0</v>
      </c>
      <c r="J13" s="23">
        <v>1</v>
      </c>
      <c r="K13" s="4"/>
      <c r="L13" s="4"/>
      <c r="M13" s="23">
        <v>0</v>
      </c>
      <c r="N13" s="23">
        <v>1</v>
      </c>
    </row>
    <row r="14" spans="1:14" ht="15.75">
      <c r="A14" s="3">
        <v>1</v>
      </c>
      <c r="B14" s="3">
        <v>2</v>
      </c>
      <c r="C14" s="2"/>
      <c r="D14" s="2"/>
      <c r="E14" s="3">
        <v>2</v>
      </c>
      <c r="F14" s="3">
        <v>2</v>
      </c>
      <c r="G14" s="5"/>
      <c r="H14" s="5"/>
      <c r="I14" s="23">
        <v>9</v>
      </c>
      <c r="J14" s="23">
        <v>2</v>
      </c>
      <c r="K14" s="5"/>
      <c r="L14" s="5"/>
      <c r="M14" s="23">
        <v>15</v>
      </c>
      <c r="N14" s="23">
        <v>2</v>
      </c>
    </row>
    <row r="15" spans="1:14" ht="15.75">
      <c r="A15" s="3">
        <v>2</v>
      </c>
      <c r="B15" s="3">
        <v>3</v>
      </c>
      <c r="C15" s="2"/>
      <c r="D15" s="2"/>
      <c r="E15" s="3">
        <v>8</v>
      </c>
      <c r="F15" s="3">
        <v>3</v>
      </c>
      <c r="G15" s="5"/>
      <c r="H15" s="5"/>
      <c r="I15" s="23">
        <v>20</v>
      </c>
      <c r="J15" s="23">
        <v>3</v>
      </c>
      <c r="K15" s="5"/>
      <c r="L15" s="5"/>
      <c r="M15" s="23">
        <v>29</v>
      </c>
      <c r="N15" s="23">
        <v>3</v>
      </c>
    </row>
    <row r="16" spans="1:14" ht="15.75">
      <c r="A16" s="3">
        <v>5</v>
      </c>
      <c r="B16" s="3">
        <v>4</v>
      </c>
      <c r="C16" s="2"/>
      <c r="D16" s="2"/>
      <c r="E16" s="3">
        <v>16</v>
      </c>
      <c r="F16" s="3">
        <v>4</v>
      </c>
      <c r="G16" s="5"/>
      <c r="H16" s="5"/>
      <c r="I16" s="23">
        <v>28</v>
      </c>
      <c r="J16" s="23">
        <v>4</v>
      </c>
      <c r="K16" s="5"/>
      <c r="L16" s="5"/>
      <c r="M16" s="23">
        <v>33</v>
      </c>
      <c r="N16" s="22" t="s">
        <v>118</v>
      </c>
    </row>
    <row r="17" spans="1:14" ht="15.75">
      <c r="A17" s="3">
        <v>12</v>
      </c>
      <c r="B17" s="3">
        <v>5</v>
      </c>
      <c r="C17" s="2"/>
      <c r="D17" s="2"/>
      <c r="E17" s="3">
        <v>23</v>
      </c>
      <c r="F17" s="3">
        <v>5</v>
      </c>
      <c r="G17" s="5"/>
      <c r="H17" s="5"/>
      <c r="I17" s="23">
        <v>33</v>
      </c>
      <c r="J17" s="23">
        <v>5</v>
      </c>
      <c r="K17" s="5"/>
      <c r="L17" s="5"/>
      <c r="M17" s="23">
        <v>36</v>
      </c>
      <c r="N17" s="22" t="s">
        <v>117</v>
      </c>
    </row>
    <row r="18" spans="1:14" ht="15.75">
      <c r="A18" s="3">
        <v>19</v>
      </c>
      <c r="B18" s="3">
        <v>6</v>
      </c>
      <c r="C18" s="2"/>
      <c r="D18" s="2"/>
      <c r="E18" s="3">
        <v>30</v>
      </c>
      <c r="F18" s="3">
        <v>6</v>
      </c>
      <c r="G18" s="4"/>
      <c r="H18" s="4"/>
      <c r="I18" s="23">
        <v>36</v>
      </c>
      <c r="J18" s="23">
        <v>6</v>
      </c>
      <c r="K18" s="4"/>
      <c r="L18" s="4"/>
      <c r="M18" s="23">
        <v>37</v>
      </c>
      <c r="N18" s="22" t="s">
        <v>105</v>
      </c>
    </row>
    <row r="19" spans="1:14" ht="15.75">
      <c r="A19" s="3">
        <v>27</v>
      </c>
      <c r="B19" s="3">
        <v>7</v>
      </c>
      <c r="C19" s="2"/>
      <c r="D19" s="2"/>
      <c r="E19" s="3">
        <v>34</v>
      </c>
      <c r="F19" s="12" t="s">
        <v>116</v>
      </c>
      <c r="G19" s="2"/>
      <c r="H19" s="2"/>
      <c r="I19" s="23">
        <v>37</v>
      </c>
      <c r="J19" s="22" t="s">
        <v>104</v>
      </c>
      <c r="K19" s="2"/>
      <c r="L19" s="2"/>
      <c r="M19" s="4"/>
      <c r="N19" s="4"/>
    </row>
    <row r="20" spans="1:14" ht="15.75">
      <c r="A20" s="3">
        <v>34</v>
      </c>
      <c r="B20" s="12" t="s">
        <v>115</v>
      </c>
      <c r="C20" s="2"/>
      <c r="D20" s="2"/>
      <c r="E20" s="3">
        <v>37</v>
      </c>
      <c r="F20" s="12" t="s">
        <v>41</v>
      </c>
      <c r="G20" s="5"/>
      <c r="H20" s="5"/>
      <c r="I20" s="5"/>
      <c r="J20" s="5"/>
      <c r="K20" s="5"/>
      <c r="L20" s="5"/>
      <c r="M20" s="2"/>
      <c r="N20" s="2"/>
    </row>
    <row r="21" spans="1:14" ht="15.75">
      <c r="A21" s="3">
        <v>37</v>
      </c>
      <c r="B21" s="3">
        <v>9</v>
      </c>
      <c r="C21" s="2"/>
      <c r="D21" s="2"/>
      <c r="E21" s="11"/>
      <c r="F21" s="11"/>
      <c r="G21" s="5"/>
      <c r="H21" s="5"/>
      <c r="I21" s="5"/>
      <c r="J21" s="5"/>
      <c r="K21" s="5"/>
      <c r="L21" s="5"/>
      <c r="M21" s="5"/>
      <c r="N21" s="5"/>
    </row>
    <row r="22" spans="1:14" ht="15.75">
      <c r="A22" s="11"/>
      <c r="B22" s="11"/>
      <c r="C22" s="2"/>
      <c r="D22" s="2"/>
      <c r="E22" s="11"/>
      <c r="F22" s="11"/>
      <c r="G22" s="4"/>
      <c r="H22" s="4"/>
      <c r="I22" s="4"/>
      <c r="J22" s="4"/>
      <c r="K22" s="4"/>
      <c r="L22" s="4"/>
      <c r="M22" s="5"/>
      <c r="N22" s="5"/>
    </row>
    <row r="23" spans="1:14" ht="15.75">
      <c r="A23" s="11"/>
      <c r="B23" s="11"/>
      <c r="C23" s="2"/>
      <c r="D23" s="2"/>
      <c r="E23" s="11"/>
      <c r="F23" s="11"/>
      <c r="G23" s="2"/>
      <c r="H23" s="2"/>
      <c r="I23" s="2"/>
      <c r="J23" s="2"/>
      <c r="K23" s="2"/>
      <c r="L23" s="2"/>
      <c r="M23" s="4"/>
      <c r="N23" s="4"/>
    </row>
    <row r="24" spans="1:14" ht="15.75">
      <c r="A24" s="11"/>
      <c r="B24" s="11"/>
      <c r="C24" s="2"/>
      <c r="D24" s="2"/>
      <c r="E24" s="11"/>
      <c r="F24" s="11"/>
      <c r="G24" s="5"/>
      <c r="H24" s="5"/>
      <c r="I24" s="2"/>
      <c r="J24" s="2"/>
      <c r="K24" s="5"/>
      <c r="L24" s="5"/>
      <c r="M24" s="2"/>
      <c r="N24" s="2"/>
    </row>
    <row r="25" spans="1:14" ht="15.75">
      <c r="A25" s="11"/>
      <c r="B25" s="11"/>
      <c r="C25" s="2"/>
      <c r="D25" s="2"/>
      <c r="E25" s="11"/>
      <c r="F25" s="11"/>
      <c r="G25" s="5"/>
      <c r="H25" s="5"/>
      <c r="I25" s="2"/>
      <c r="J25" s="2"/>
      <c r="K25" s="5"/>
      <c r="L25" s="5"/>
      <c r="M25" s="2"/>
      <c r="N25" s="2"/>
    </row>
    <row r="26" spans="1:14" ht="15.75">
      <c r="A26" s="11"/>
      <c r="B26" s="11"/>
      <c r="C26" s="2"/>
      <c r="D26" s="2"/>
      <c r="E26" s="11"/>
      <c r="F26" s="11"/>
      <c r="G26" s="4"/>
      <c r="H26" s="4"/>
      <c r="I26" s="2"/>
      <c r="J26" s="2"/>
      <c r="K26" s="4"/>
      <c r="L26" s="4"/>
      <c r="M26" s="2"/>
      <c r="N26" s="2"/>
    </row>
    <row r="27" spans="1:14">
      <c r="A27" s="11"/>
      <c r="B27" s="11"/>
      <c r="C27" s="2"/>
      <c r="D27" s="2"/>
      <c r="E27" s="11"/>
      <c r="F27" s="11"/>
      <c r="G27" s="2"/>
      <c r="H27" s="2"/>
      <c r="I27" s="2"/>
      <c r="J27" s="2"/>
      <c r="K27" s="2"/>
      <c r="L27" s="2"/>
      <c r="M27" s="2"/>
      <c r="N27" s="2"/>
    </row>
    <row r="28" spans="1:14">
      <c r="A28" s="11"/>
      <c r="B28" s="11"/>
      <c r="C28" s="2"/>
      <c r="D28" s="2"/>
      <c r="E28" s="11"/>
      <c r="F28" s="11"/>
      <c r="G28" s="2"/>
      <c r="H28" s="2"/>
      <c r="I28" s="2"/>
      <c r="J28" s="2"/>
      <c r="K28" s="2"/>
      <c r="L28" s="2"/>
      <c r="M28" s="2"/>
      <c r="N28" s="2"/>
    </row>
    <row r="29" spans="1:14">
      <c r="A29" s="11"/>
      <c r="B29" s="11"/>
      <c r="C29" s="2"/>
      <c r="D29" s="2"/>
      <c r="E29" s="11"/>
      <c r="F29" s="11"/>
      <c r="G29" s="2"/>
      <c r="H29" s="2"/>
      <c r="I29" s="2"/>
      <c r="J29" s="2"/>
      <c r="K29" s="2"/>
      <c r="L29" s="2"/>
      <c r="M29" s="2"/>
      <c r="N29" s="2"/>
    </row>
    <row r="30" spans="1:14">
      <c r="A30" s="11"/>
      <c r="B30" s="11"/>
      <c r="C30" s="2"/>
      <c r="D30" s="2"/>
      <c r="E30" s="11"/>
      <c r="F30" s="11"/>
      <c r="G30" s="2"/>
      <c r="H30" s="2"/>
      <c r="I30" s="2"/>
      <c r="J30" s="2"/>
      <c r="K30" s="2"/>
      <c r="L30" s="2"/>
      <c r="M30" s="2"/>
      <c r="N30" s="2"/>
    </row>
    <row r="31" spans="1:14">
      <c r="A31" s="11"/>
      <c r="B31" s="11"/>
      <c r="C31" s="2"/>
      <c r="D31" s="2"/>
      <c r="E31" s="11"/>
      <c r="F31" s="11"/>
      <c r="G31" s="2"/>
      <c r="H31" s="2"/>
      <c r="I31" s="2"/>
      <c r="J31" s="2"/>
      <c r="K31" s="2"/>
      <c r="L31" s="2"/>
      <c r="M31" s="2"/>
      <c r="N31" s="2"/>
    </row>
    <row r="32" spans="1:14">
      <c r="A32" s="11"/>
      <c r="B32" s="11"/>
      <c r="C32" s="2"/>
      <c r="D32" s="2"/>
      <c r="E32" s="11"/>
      <c r="F32" s="11"/>
      <c r="G32" s="2"/>
      <c r="H32" s="2"/>
      <c r="I32" s="2"/>
      <c r="J32" s="2"/>
      <c r="K32" s="2"/>
      <c r="L32" s="2"/>
      <c r="M32" s="2"/>
      <c r="N32" s="2"/>
    </row>
    <row r="33" spans="1:14">
      <c r="A33" s="11"/>
      <c r="B33" s="11"/>
      <c r="C33" s="2"/>
      <c r="D33" s="2"/>
      <c r="E33" s="11"/>
      <c r="F33" s="11"/>
      <c r="G33" s="2"/>
      <c r="H33" s="2"/>
      <c r="I33" s="2"/>
      <c r="J33" s="2"/>
      <c r="K33" s="2"/>
      <c r="L33" s="2"/>
      <c r="M33" s="2"/>
      <c r="N33" s="2"/>
    </row>
    <row r="34" spans="1:14">
      <c r="A34" s="11"/>
      <c r="B34" s="11"/>
      <c r="C34" s="2"/>
      <c r="D34" s="2"/>
      <c r="E34" s="11"/>
      <c r="F34" s="11"/>
      <c r="G34" s="2"/>
      <c r="H34" s="2"/>
      <c r="I34" s="2"/>
      <c r="J34" s="2"/>
      <c r="K34" s="2"/>
      <c r="L34" s="2"/>
      <c r="M34" s="2"/>
      <c r="N34" s="2"/>
    </row>
    <row r="35" spans="1:14">
      <c r="A35" s="11"/>
      <c r="B35" s="11"/>
      <c r="C35" s="2"/>
      <c r="D35" s="2"/>
      <c r="E35" s="11"/>
      <c r="F35" s="11"/>
      <c r="G35" s="2"/>
      <c r="H35" s="2"/>
      <c r="I35" s="2"/>
      <c r="J35" s="2"/>
      <c r="K35" s="2"/>
      <c r="L35" s="2"/>
      <c r="M35" s="2"/>
      <c r="N35" s="2"/>
    </row>
    <row r="36" spans="1:14">
      <c r="A36" s="11"/>
      <c r="B36" s="11"/>
      <c r="C36" s="2"/>
      <c r="D36" s="2"/>
      <c r="E36" s="2"/>
      <c r="F36" s="2"/>
      <c r="G36" s="2"/>
      <c r="H36" s="2"/>
      <c r="I36" s="2"/>
      <c r="J36" s="2"/>
      <c r="K36" s="2"/>
      <c r="L36" s="2"/>
      <c r="M36" s="2"/>
      <c r="N36" s="2"/>
    </row>
    <row r="37" spans="1:14">
      <c r="A37" s="11"/>
      <c r="B37" s="11"/>
      <c r="C37" s="2"/>
      <c r="D37" s="2"/>
      <c r="E37" s="2"/>
      <c r="F37" s="2"/>
      <c r="G37" s="2"/>
      <c r="H37" s="2"/>
      <c r="I37" s="2"/>
      <c r="J37" s="2"/>
      <c r="K37" s="2"/>
      <c r="L37" s="2"/>
      <c r="M37" s="2"/>
      <c r="N37" s="2"/>
    </row>
    <row r="38" spans="1:14">
      <c r="A38" s="11"/>
      <c r="B38" s="11"/>
      <c r="C38" s="2"/>
      <c r="D38" s="2"/>
      <c r="E38" s="2"/>
      <c r="F38" s="2"/>
      <c r="G38" s="2"/>
      <c r="H38" s="2"/>
      <c r="I38" s="2"/>
      <c r="J38" s="2"/>
      <c r="K38" s="2"/>
      <c r="L38" s="2"/>
      <c r="M38" s="2"/>
      <c r="N38" s="2"/>
    </row>
    <row r="39" spans="1:14">
      <c r="A39" s="11"/>
      <c r="B39" s="11"/>
      <c r="C39" s="2"/>
      <c r="D39" s="2"/>
      <c r="E39" s="2"/>
      <c r="F39" s="2"/>
      <c r="G39" s="2"/>
      <c r="H39" s="2"/>
      <c r="I39" s="2"/>
      <c r="J39" s="2"/>
      <c r="K39" s="2"/>
      <c r="L39" s="2"/>
      <c r="M39" s="2"/>
      <c r="N39" s="2"/>
    </row>
    <row r="40" spans="1:14">
      <c r="A40" s="11"/>
      <c r="B40" s="11"/>
      <c r="C40" s="2"/>
      <c r="D40" s="2"/>
      <c r="E40" s="2"/>
      <c r="F40" s="2"/>
      <c r="G40" s="2"/>
      <c r="H40" s="2"/>
      <c r="I40" s="2"/>
      <c r="J40" s="2"/>
      <c r="K40" s="2"/>
      <c r="L40" s="2"/>
      <c r="M40" s="2"/>
      <c r="N40" s="2"/>
    </row>
    <row r="41" spans="1:14">
      <c r="A41" s="11"/>
      <c r="B41" s="11"/>
      <c r="C41" s="2"/>
      <c r="D41" s="2"/>
      <c r="E41" s="2"/>
      <c r="F41" s="2"/>
      <c r="G41" s="2"/>
      <c r="H41" s="2"/>
      <c r="I41" s="2"/>
      <c r="J41" s="2"/>
      <c r="K41" s="2"/>
      <c r="L41" s="2"/>
      <c r="M41" s="2"/>
      <c r="N41" s="2"/>
    </row>
    <row r="42" spans="1:14">
      <c r="A42" s="11"/>
      <c r="B42" s="11"/>
      <c r="C42" s="2"/>
      <c r="D42" s="2"/>
      <c r="E42" s="2"/>
      <c r="F42" s="2"/>
      <c r="G42" s="2"/>
      <c r="H42" s="2"/>
      <c r="I42" s="2"/>
      <c r="J42" s="2"/>
      <c r="K42" s="2"/>
      <c r="L42" s="2"/>
      <c r="M42" s="2"/>
      <c r="N42" s="2"/>
    </row>
    <row r="43" spans="1:14">
      <c r="A43" s="11"/>
      <c r="B43" s="11"/>
      <c r="C43" s="2"/>
      <c r="D43" s="2"/>
      <c r="E43" s="2"/>
      <c r="F43" s="2"/>
      <c r="G43" s="2"/>
      <c r="H43" s="2"/>
      <c r="I43" s="2"/>
      <c r="J43" s="2"/>
      <c r="K43" s="2"/>
      <c r="L43" s="2"/>
      <c r="M43" s="2"/>
      <c r="N43" s="2"/>
    </row>
    <row r="44" spans="1:14">
      <c r="A44" s="11"/>
      <c r="B44" s="11"/>
      <c r="C44" s="2"/>
      <c r="D44" s="2"/>
      <c r="E44" s="2"/>
      <c r="F44" s="2"/>
      <c r="G44" s="2"/>
      <c r="H44" s="2"/>
      <c r="I44" s="2"/>
      <c r="J44" s="2"/>
      <c r="K44" s="2"/>
      <c r="L44" s="2"/>
      <c r="M44" s="2"/>
      <c r="N44" s="2"/>
    </row>
    <row r="45" spans="1:14">
      <c r="A45" s="11"/>
      <c r="B45" s="11"/>
      <c r="C45" s="2"/>
      <c r="D45" s="2"/>
      <c r="E45" s="2"/>
      <c r="F45" s="2"/>
      <c r="G45" s="2"/>
      <c r="H45" s="2"/>
      <c r="I45" s="2"/>
      <c r="J45" s="2"/>
      <c r="K45" s="2"/>
      <c r="L45" s="2"/>
      <c r="M45" s="2"/>
      <c r="N45" s="2"/>
    </row>
    <row r="46" spans="1:14">
      <c r="A46" s="11"/>
      <c r="B46" s="11"/>
      <c r="C46" s="2"/>
      <c r="D46" s="2"/>
      <c r="E46" s="2"/>
      <c r="F46" s="2"/>
      <c r="G46" s="2"/>
      <c r="H46" s="2"/>
      <c r="I46" s="2"/>
      <c r="J46" s="2"/>
      <c r="K46" s="2"/>
      <c r="L46" s="2"/>
      <c r="M46" s="2"/>
      <c r="N46" s="2"/>
    </row>
    <row r="47" spans="1:14">
      <c r="A47" s="11"/>
      <c r="B47" s="11"/>
      <c r="C47" s="2"/>
      <c r="D47" s="2"/>
      <c r="E47" s="2"/>
      <c r="F47" s="2"/>
      <c r="G47" s="2"/>
      <c r="H47" s="2"/>
      <c r="I47" s="2"/>
      <c r="J47" s="2"/>
      <c r="K47" s="2"/>
      <c r="L47" s="2"/>
      <c r="M47" s="2"/>
      <c r="N47" s="2"/>
    </row>
    <row r="48" spans="1:14">
      <c r="A48" s="11"/>
      <c r="B48" s="11"/>
      <c r="C48" s="2"/>
      <c r="D48" s="2"/>
      <c r="E48" s="2"/>
      <c r="F48" s="2"/>
      <c r="G48" s="2"/>
      <c r="H48" s="2"/>
      <c r="I48" s="2"/>
      <c r="J48" s="2"/>
      <c r="K48" s="2"/>
      <c r="L48" s="2"/>
      <c r="M48" s="2"/>
      <c r="N48" s="2"/>
    </row>
    <row r="49" spans="1:14">
      <c r="A49" s="11"/>
      <c r="B49" s="11"/>
      <c r="C49" s="2"/>
      <c r="D49" s="2"/>
      <c r="E49" s="2"/>
      <c r="F49" s="2"/>
      <c r="G49" s="2"/>
      <c r="H49" s="2"/>
      <c r="I49" s="2"/>
      <c r="J49" s="2"/>
      <c r="K49" s="2"/>
      <c r="L49" s="2"/>
      <c r="M49" s="2"/>
      <c r="N49" s="2"/>
    </row>
    <row r="50" spans="1:14">
      <c r="A50" s="11"/>
      <c r="B50" s="11"/>
      <c r="C50" s="2"/>
      <c r="D50" s="2"/>
      <c r="E50" s="2"/>
      <c r="F50" s="2"/>
      <c r="G50" s="2"/>
      <c r="H50" s="2"/>
      <c r="I50" s="2"/>
      <c r="J50" s="2"/>
      <c r="K50" s="2"/>
      <c r="L50" s="2"/>
      <c r="M50" s="2"/>
      <c r="N50" s="2"/>
    </row>
    <row r="51" spans="1:14">
      <c r="A51" s="11"/>
      <c r="B51" s="11"/>
      <c r="C51" s="2"/>
      <c r="D51" s="2"/>
      <c r="E51" s="2"/>
      <c r="F51" s="2"/>
      <c r="G51" s="2"/>
      <c r="H51" s="2"/>
      <c r="I51" s="2"/>
      <c r="J51" s="2"/>
      <c r="K51" s="2"/>
      <c r="L51" s="2"/>
      <c r="M51" s="2"/>
      <c r="N51" s="2"/>
    </row>
    <row r="52" spans="1:14">
      <c r="A52" s="11"/>
      <c r="B52" s="11"/>
      <c r="C52" s="2"/>
      <c r="D52" s="2"/>
      <c r="E52" s="2"/>
      <c r="F52" s="2"/>
      <c r="G52" s="2"/>
      <c r="H52" s="2"/>
      <c r="I52" s="2"/>
      <c r="J52" s="2"/>
      <c r="K52" s="2"/>
      <c r="L52" s="2"/>
      <c r="M52" s="2"/>
      <c r="N52" s="2"/>
    </row>
    <row r="53" spans="1:14">
      <c r="A53" s="11"/>
      <c r="B53" s="11"/>
      <c r="C53" s="2"/>
      <c r="D53" s="2"/>
      <c r="E53" s="2"/>
      <c r="F53" s="2"/>
      <c r="G53" s="2"/>
      <c r="H53" s="2"/>
      <c r="I53" s="2"/>
      <c r="J53" s="2"/>
      <c r="K53" s="2"/>
      <c r="L53" s="2"/>
      <c r="M53" s="2"/>
      <c r="N53" s="2"/>
    </row>
    <row r="54" spans="1:14">
      <c r="A54" s="11"/>
      <c r="B54" s="11"/>
      <c r="C54" s="2"/>
      <c r="D54" s="2"/>
      <c r="E54" s="2"/>
      <c r="F54" s="2"/>
      <c r="G54" s="2"/>
      <c r="H54" s="2"/>
      <c r="I54" s="2"/>
      <c r="J54" s="2"/>
      <c r="K54" s="2"/>
      <c r="L54" s="2"/>
      <c r="M54" s="2"/>
      <c r="N54" s="2"/>
    </row>
    <row r="55" spans="1:14">
      <c r="A55" s="11"/>
      <c r="B55" s="11"/>
      <c r="C55" s="2"/>
      <c r="D55" s="2"/>
      <c r="E55" s="2"/>
      <c r="F55" s="2"/>
      <c r="G55" s="2"/>
      <c r="H55" s="2"/>
      <c r="I55" s="2"/>
      <c r="J55" s="2"/>
      <c r="K55" s="2"/>
      <c r="L55" s="2"/>
      <c r="M55" s="2"/>
      <c r="N55" s="2"/>
    </row>
    <row r="56" spans="1:14">
      <c r="A56" s="11"/>
      <c r="B56" s="11"/>
      <c r="C56" s="2"/>
      <c r="D56" s="2"/>
      <c r="E56" s="2"/>
      <c r="F56" s="2"/>
      <c r="G56" s="2"/>
      <c r="H56" s="2"/>
      <c r="I56" s="2"/>
      <c r="J56" s="2"/>
      <c r="K56" s="2"/>
      <c r="L56" s="2"/>
      <c r="M56" s="2"/>
      <c r="N56" s="2"/>
    </row>
    <row r="57" spans="1:14">
      <c r="A57" s="11"/>
      <c r="B57" s="11"/>
      <c r="C57" s="2"/>
      <c r="D57" s="2"/>
      <c r="E57" s="2"/>
      <c r="F57" s="2"/>
      <c r="G57" s="2"/>
      <c r="H57" s="2"/>
      <c r="I57" s="2"/>
      <c r="J57" s="2"/>
      <c r="K57" s="2"/>
      <c r="L57" s="2"/>
      <c r="M57" s="2"/>
      <c r="N57" s="2"/>
    </row>
    <row r="58" spans="1:14">
      <c r="A58" s="11"/>
      <c r="B58" s="11"/>
      <c r="C58" s="2"/>
      <c r="D58" s="2"/>
      <c r="E58" s="2"/>
      <c r="F58" s="2"/>
      <c r="G58" s="2"/>
      <c r="H58" s="2"/>
      <c r="I58" s="2"/>
      <c r="J58" s="2"/>
      <c r="K58" s="2"/>
      <c r="L58" s="2"/>
      <c r="M58" s="2"/>
      <c r="N58" s="2"/>
    </row>
    <row r="59" spans="1:14">
      <c r="A59" s="11"/>
      <c r="B59" s="11"/>
      <c r="C59" s="2"/>
      <c r="D59" s="2"/>
      <c r="E59" s="2"/>
      <c r="F59" s="2"/>
      <c r="G59" s="2"/>
      <c r="H59" s="2"/>
      <c r="I59" s="2"/>
      <c r="J59" s="2"/>
      <c r="K59" s="2"/>
      <c r="L59" s="2"/>
      <c r="M59" s="2"/>
      <c r="N59" s="2"/>
    </row>
    <row r="60" spans="1:14">
      <c r="A60" s="11"/>
      <c r="B60" s="11"/>
      <c r="C60" s="2"/>
      <c r="D60" s="2"/>
      <c r="E60" s="2"/>
      <c r="F60" s="2"/>
      <c r="G60" s="2"/>
      <c r="H60" s="2"/>
      <c r="I60" s="2"/>
      <c r="J60" s="2"/>
      <c r="K60" s="2"/>
      <c r="L60" s="2"/>
      <c r="M60" s="2"/>
      <c r="N60" s="2"/>
    </row>
    <row r="61" spans="1:14">
      <c r="A61" s="11"/>
      <c r="B61" s="11"/>
      <c r="C61" s="2"/>
      <c r="D61" s="2"/>
      <c r="E61" s="2"/>
      <c r="F61" s="2"/>
      <c r="G61" s="2"/>
      <c r="H61" s="2"/>
      <c r="I61" s="2"/>
      <c r="J61" s="2"/>
      <c r="K61" s="2"/>
      <c r="L61" s="2"/>
      <c r="M61" s="2"/>
      <c r="N61" s="2"/>
    </row>
    <row r="62" spans="1:14">
      <c r="A62" s="11"/>
      <c r="B62" s="11"/>
      <c r="C62" s="2"/>
      <c r="D62" s="2"/>
      <c r="E62" s="2"/>
      <c r="F62" s="2"/>
      <c r="G62" s="2"/>
      <c r="H62" s="2"/>
      <c r="I62" s="2"/>
      <c r="J62" s="2"/>
      <c r="K62" s="2"/>
      <c r="L62" s="2"/>
      <c r="M62" s="2"/>
      <c r="N62" s="2"/>
    </row>
    <row r="63" spans="1:14">
      <c r="A63" s="11"/>
      <c r="B63" s="11"/>
      <c r="C63" s="2"/>
      <c r="D63" s="2"/>
      <c r="E63" s="2"/>
      <c r="F63" s="2"/>
      <c r="G63" s="2"/>
      <c r="H63" s="2"/>
      <c r="I63" s="2"/>
      <c r="J63" s="2"/>
      <c r="K63" s="2"/>
      <c r="L63" s="2"/>
      <c r="M63" s="2"/>
      <c r="N63" s="2"/>
    </row>
    <row r="64" spans="1:14">
      <c r="A64" s="11"/>
      <c r="B64" s="11"/>
      <c r="C64" s="2"/>
      <c r="D64" s="2"/>
      <c r="E64" s="2"/>
      <c r="F64" s="2"/>
      <c r="G64" s="2"/>
      <c r="H64" s="2"/>
      <c r="I64" s="2"/>
      <c r="J64" s="2"/>
      <c r="K64" s="2"/>
      <c r="L64" s="2"/>
      <c r="M64" s="2"/>
      <c r="N64" s="2"/>
    </row>
    <row r="65" spans="1:14">
      <c r="A65" s="11"/>
      <c r="B65" s="11"/>
      <c r="C65" s="2"/>
      <c r="D65" s="2"/>
      <c r="E65" s="2"/>
      <c r="F65" s="2"/>
      <c r="G65" s="2"/>
      <c r="H65" s="2"/>
      <c r="I65" s="2"/>
      <c r="J65" s="2"/>
      <c r="K65" s="2"/>
      <c r="L65" s="2"/>
      <c r="M65" s="2"/>
      <c r="N65" s="2"/>
    </row>
    <row r="66" spans="1:14">
      <c r="A66" s="11"/>
      <c r="B66" s="11"/>
      <c r="C66" s="2"/>
      <c r="D66" s="2"/>
      <c r="E66" s="2"/>
      <c r="F66" s="2"/>
      <c r="G66" s="2"/>
      <c r="H66" s="2"/>
      <c r="I66" s="2"/>
      <c r="J66" s="2"/>
      <c r="K66" s="2"/>
      <c r="L66" s="2"/>
      <c r="M66" s="2"/>
      <c r="N66" s="2"/>
    </row>
    <row r="67" spans="1:14">
      <c r="A67" s="11"/>
      <c r="B67" s="11"/>
      <c r="C67" s="2"/>
      <c r="D67" s="2"/>
      <c r="E67" s="2"/>
      <c r="F67" s="2"/>
      <c r="G67" s="2"/>
      <c r="H67" s="2"/>
      <c r="I67" s="2"/>
      <c r="J67" s="2"/>
      <c r="K67" s="2"/>
      <c r="L67" s="2"/>
      <c r="M67" s="2"/>
      <c r="N67" s="2"/>
    </row>
    <row r="68" spans="1:14">
      <c r="A68" s="11"/>
      <c r="B68" s="11"/>
      <c r="C68" s="2"/>
      <c r="D68" s="2"/>
      <c r="E68" s="2"/>
      <c r="F68" s="2"/>
      <c r="G68" s="2"/>
      <c r="H68" s="2"/>
      <c r="I68" s="2"/>
      <c r="J68" s="2"/>
      <c r="K68" s="2"/>
      <c r="L68" s="2"/>
      <c r="M68" s="2"/>
      <c r="N68" s="2"/>
    </row>
    <row r="69" spans="1:14">
      <c r="A69" s="11"/>
      <c r="B69" s="11"/>
      <c r="C69" s="2"/>
      <c r="D69" s="2"/>
      <c r="E69" s="2"/>
      <c r="F69" s="2"/>
      <c r="G69" s="2"/>
      <c r="H69" s="2"/>
      <c r="I69" s="2"/>
      <c r="J69" s="2"/>
      <c r="K69" s="2"/>
      <c r="L69" s="2"/>
      <c r="M69" s="2"/>
      <c r="N69" s="2"/>
    </row>
    <row r="70" spans="1:14">
      <c r="A70" s="11"/>
      <c r="B70" s="11"/>
      <c r="C70" s="2"/>
      <c r="D70" s="2"/>
      <c r="E70" s="2"/>
      <c r="F70" s="2"/>
      <c r="G70" s="2"/>
      <c r="H70" s="2"/>
      <c r="I70" s="2"/>
      <c r="J70" s="2"/>
      <c r="K70" s="2"/>
      <c r="L70" s="2"/>
      <c r="M70" s="2"/>
      <c r="N70" s="2"/>
    </row>
    <row r="71" spans="1:14">
      <c r="A71" s="11"/>
      <c r="B71" s="11"/>
      <c r="C71" s="2"/>
      <c r="D71" s="2"/>
      <c r="E71" s="2"/>
      <c r="F71" s="2"/>
      <c r="G71" s="2"/>
      <c r="H71" s="2"/>
      <c r="I71" s="2"/>
      <c r="J71" s="2"/>
      <c r="K71" s="2"/>
      <c r="L71" s="2"/>
      <c r="M71" s="2"/>
      <c r="N71" s="2"/>
    </row>
    <row r="72" spans="1:14">
      <c r="A72" s="11"/>
      <c r="B72" s="11"/>
      <c r="C72" s="2"/>
      <c r="D72" s="2"/>
      <c r="E72" s="2"/>
      <c r="F72" s="2"/>
      <c r="G72" s="2"/>
      <c r="H72" s="2"/>
      <c r="I72" s="2"/>
      <c r="J72" s="2"/>
      <c r="K72" s="2"/>
      <c r="L72" s="2"/>
      <c r="M72" s="2"/>
      <c r="N72" s="2"/>
    </row>
    <row r="73" spans="1:14">
      <c r="A73" s="11"/>
      <c r="B73" s="11"/>
      <c r="C73" s="2"/>
      <c r="D73" s="2"/>
      <c r="E73" s="2"/>
      <c r="F73" s="2"/>
      <c r="G73" s="2"/>
      <c r="H73" s="2"/>
      <c r="I73" s="2"/>
      <c r="J73" s="2"/>
      <c r="K73" s="2"/>
      <c r="L73" s="2"/>
      <c r="M73" s="2"/>
      <c r="N73" s="2"/>
    </row>
    <row r="74" spans="1:14">
      <c r="A74" s="11"/>
      <c r="B74" s="11"/>
      <c r="C74" s="2"/>
      <c r="D74" s="2"/>
      <c r="E74" s="2"/>
      <c r="F74" s="2"/>
      <c r="G74" s="2"/>
      <c r="H74" s="2"/>
      <c r="I74" s="2"/>
      <c r="J74" s="2"/>
      <c r="K74" s="2"/>
      <c r="L74" s="2"/>
      <c r="M74" s="2"/>
      <c r="N74" s="2"/>
    </row>
    <row r="75" spans="1:14">
      <c r="A75" s="11"/>
      <c r="B75" s="11"/>
      <c r="C75" s="2"/>
      <c r="D75" s="2"/>
      <c r="E75" s="2"/>
      <c r="F75" s="2"/>
      <c r="G75" s="2"/>
      <c r="H75" s="2"/>
      <c r="I75" s="2"/>
      <c r="J75" s="2"/>
      <c r="K75" s="2"/>
      <c r="L75" s="2"/>
      <c r="M75" s="2"/>
      <c r="N75" s="2"/>
    </row>
    <row r="76" spans="1:14">
      <c r="A76" s="11"/>
      <c r="B76" s="11"/>
      <c r="C76" s="2"/>
      <c r="D76" s="2"/>
      <c r="E76" s="2"/>
      <c r="F76" s="2"/>
      <c r="G76" s="2"/>
      <c r="H76" s="2"/>
      <c r="I76" s="2"/>
      <c r="J76" s="2"/>
      <c r="K76" s="2"/>
      <c r="L76" s="2"/>
      <c r="M76" s="2"/>
      <c r="N76" s="2"/>
    </row>
    <row r="77" spans="1:14">
      <c r="A77" s="11"/>
      <c r="B77" s="11"/>
      <c r="C77" s="2"/>
      <c r="D77" s="2"/>
      <c r="E77" s="2"/>
      <c r="F77" s="2"/>
      <c r="G77" s="2"/>
      <c r="H77" s="2"/>
      <c r="I77" s="2"/>
      <c r="J77" s="2"/>
      <c r="K77" s="2"/>
      <c r="L77" s="2"/>
      <c r="M77" s="2"/>
      <c r="N77" s="2"/>
    </row>
    <row r="78" spans="1:14">
      <c r="A78" s="11"/>
      <c r="B78" s="11"/>
      <c r="C78" s="2"/>
      <c r="D78" s="2"/>
      <c r="E78" s="2"/>
      <c r="F78" s="2"/>
      <c r="G78" s="2"/>
      <c r="H78" s="2"/>
      <c r="I78" s="2"/>
      <c r="J78" s="2"/>
      <c r="K78" s="2"/>
      <c r="L78" s="2"/>
      <c r="M78" s="2"/>
      <c r="N78" s="2"/>
    </row>
    <row r="79" spans="1:14">
      <c r="A79" s="11"/>
      <c r="B79" s="11"/>
      <c r="C79" s="2"/>
      <c r="D79" s="2"/>
      <c r="E79" s="2"/>
      <c r="F79" s="2"/>
      <c r="G79" s="2"/>
      <c r="H79" s="2"/>
      <c r="I79" s="2"/>
      <c r="J79" s="2"/>
      <c r="K79" s="2"/>
      <c r="L79" s="2"/>
      <c r="M79" s="2"/>
      <c r="N79" s="2"/>
    </row>
    <row r="80" spans="1:14">
      <c r="A80" s="11"/>
      <c r="B80" s="11"/>
      <c r="C80" s="2"/>
      <c r="D80" s="2"/>
      <c r="E80" s="2"/>
      <c r="F80" s="2"/>
      <c r="G80" s="2"/>
      <c r="H80" s="2"/>
      <c r="I80" s="2"/>
      <c r="J80" s="2"/>
      <c r="K80" s="2"/>
      <c r="L80" s="2"/>
      <c r="M80" s="2"/>
      <c r="N80" s="2"/>
    </row>
    <row r="81" spans="1:14">
      <c r="A81" s="11"/>
      <c r="B81" s="11"/>
      <c r="C81" s="2"/>
      <c r="D81" s="2"/>
      <c r="E81" s="2"/>
      <c r="F81" s="2"/>
      <c r="G81" s="2"/>
      <c r="H81" s="2"/>
      <c r="I81" s="2"/>
      <c r="J81" s="2"/>
      <c r="K81" s="2"/>
      <c r="L81" s="2"/>
      <c r="M81" s="2"/>
      <c r="N81" s="2"/>
    </row>
    <row r="82" spans="1:14">
      <c r="A82" s="11"/>
      <c r="B82" s="11"/>
      <c r="C82" s="2"/>
      <c r="D82" s="2"/>
      <c r="E82" s="2"/>
      <c r="F82" s="2"/>
      <c r="G82" s="2"/>
      <c r="H82" s="2"/>
      <c r="I82" s="2"/>
      <c r="J82" s="2"/>
      <c r="K82" s="2"/>
      <c r="L82" s="2"/>
      <c r="M82" s="2"/>
      <c r="N82" s="2"/>
    </row>
    <row r="83" spans="1:14">
      <c r="A83" s="11"/>
      <c r="B83" s="11"/>
      <c r="C83" s="2"/>
      <c r="D83" s="2"/>
      <c r="E83" s="2"/>
      <c r="F83" s="2"/>
      <c r="G83" s="2"/>
      <c r="H83" s="2"/>
      <c r="I83" s="2"/>
      <c r="J83" s="2"/>
      <c r="K83" s="2"/>
      <c r="L83" s="2"/>
      <c r="M83" s="2"/>
      <c r="N83" s="2"/>
    </row>
    <row r="84" spans="1:14">
      <c r="A84" s="11"/>
      <c r="B84" s="11"/>
      <c r="C84" s="2"/>
      <c r="D84" s="2"/>
      <c r="E84" s="2"/>
      <c r="F84" s="2"/>
      <c r="G84" s="2"/>
      <c r="H84" s="2"/>
      <c r="I84" s="2"/>
      <c r="J84" s="2"/>
      <c r="K84" s="2"/>
      <c r="L84" s="2"/>
      <c r="M84" s="2"/>
      <c r="N84" s="2"/>
    </row>
    <row r="85" spans="1:14">
      <c r="A85" s="11"/>
      <c r="B85" s="11"/>
      <c r="C85" s="2"/>
      <c r="D85" s="2"/>
      <c r="E85" s="2"/>
      <c r="F85" s="2"/>
      <c r="G85" s="2"/>
      <c r="H85" s="2"/>
      <c r="I85" s="2"/>
      <c r="J85" s="2"/>
      <c r="K85" s="2"/>
      <c r="L85" s="2"/>
      <c r="M85" s="2"/>
      <c r="N85" s="2"/>
    </row>
    <row r="86" spans="1:14">
      <c r="A86" s="11"/>
      <c r="B86" s="11"/>
      <c r="C86" s="2"/>
      <c r="D86" s="2"/>
      <c r="E86" s="2"/>
      <c r="F86" s="2"/>
      <c r="G86" s="2"/>
      <c r="H86" s="2"/>
      <c r="I86" s="2"/>
      <c r="J86" s="2"/>
      <c r="K86" s="2"/>
      <c r="L86" s="2"/>
      <c r="M86" s="2"/>
      <c r="N86" s="2"/>
    </row>
    <row r="87" spans="1:14">
      <c r="A87" s="11"/>
      <c r="B87" s="11"/>
      <c r="C87" s="2"/>
      <c r="D87" s="2"/>
      <c r="E87" s="2"/>
      <c r="F87" s="2"/>
      <c r="G87" s="2"/>
      <c r="H87" s="2"/>
      <c r="I87" s="2"/>
      <c r="J87" s="2"/>
      <c r="K87" s="2"/>
      <c r="L87" s="2"/>
      <c r="M87" s="2"/>
      <c r="N87" s="2"/>
    </row>
    <row r="88" spans="1:14">
      <c r="A88" s="11"/>
      <c r="B88" s="11"/>
      <c r="C88" s="2"/>
      <c r="D88" s="2"/>
      <c r="E88" s="2"/>
      <c r="F88" s="2"/>
      <c r="G88" s="2"/>
      <c r="H88" s="2"/>
      <c r="I88" s="2"/>
      <c r="J88" s="2"/>
      <c r="K88" s="2"/>
      <c r="L88" s="2"/>
      <c r="M88" s="2"/>
      <c r="N88" s="2"/>
    </row>
    <row r="89" spans="1:14">
      <c r="A89" s="11"/>
      <c r="B89" s="11"/>
      <c r="C89" s="2"/>
      <c r="D89" s="2"/>
      <c r="E89" s="2"/>
      <c r="F89" s="2"/>
      <c r="G89" s="2"/>
      <c r="H89" s="2"/>
      <c r="I89" s="2"/>
      <c r="J89" s="2"/>
      <c r="K89" s="2"/>
      <c r="L89" s="2"/>
      <c r="M89" s="2"/>
      <c r="N89" s="2"/>
    </row>
    <row r="90" spans="1:14">
      <c r="A90" s="11"/>
      <c r="B90" s="11"/>
      <c r="C90" s="2"/>
      <c r="D90" s="2"/>
      <c r="E90" s="2"/>
      <c r="F90" s="2"/>
      <c r="G90" s="2"/>
      <c r="H90" s="2"/>
      <c r="I90" s="2"/>
      <c r="J90" s="2"/>
      <c r="K90" s="2"/>
      <c r="L90" s="2"/>
      <c r="M90" s="2"/>
      <c r="N90" s="2"/>
    </row>
    <row r="91" spans="1:14">
      <c r="A91" s="11"/>
      <c r="B91" s="11"/>
      <c r="C91" s="2"/>
      <c r="D91" s="2"/>
      <c r="E91" s="2"/>
      <c r="F91" s="2"/>
      <c r="G91" s="2"/>
      <c r="H91" s="2"/>
      <c r="I91" s="2"/>
      <c r="J91" s="2"/>
      <c r="K91" s="2"/>
      <c r="L91" s="2"/>
      <c r="M91" s="2"/>
      <c r="N91" s="2"/>
    </row>
    <row r="92" spans="1:14">
      <c r="A92" s="11"/>
      <c r="B92" s="11"/>
      <c r="C92" s="2"/>
      <c r="D92" s="2"/>
      <c r="E92" s="2"/>
      <c r="F92" s="2"/>
      <c r="G92" s="2"/>
      <c r="H92" s="2"/>
      <c r="I92" s="2"/>
      <c r="J92" s="2"/>
      <c r="K92" s="2"/>
      <c r="L92" s="2"/>
      <c r="M92" s="2"/>
      <c r="N92" s="2"/>
    </row>
    <row r="93" spans="1:14">
      <c r="A93" s="11"/>
      <c r="B93" s="11"/>
      <c r="C93" s="2"/>
      <c r="D93" s="2"/>
      <c r="E93" s="2"/>
      <c r="F93" s="2"/>
      <c r="G93" s="2"/>
      <c r="H93" s="2"/>
      <c r="I93" s="2"/>
      <c r="J93" s="2"/>
      <c r="K93" s="2"/>
      <c r="L93" s="2"/>
      <c r="M93" s="2"/>
      <c r="N93" s="2"/>
    </row>
    <row r="94" spans="1:14">
      <c r="A94" s="11"/>
      <c r="B94" s="11"/>
      <c r="C94" s="2"/>
      <c r="D94" s="2"/>
      <c r="E94" s="2"/>
      <c r="F94" s="2"/>
      <c r="G94" s="2"/>
      <c r="H94" s="2"/>
      <c r="I94" s="2"/>
      <c r="J94" s="2"/>
      <c r="K94" s="2"/>
      <c r="L94" s="2"/>
      <c r="M94" s="2"/>
      <c r="N94" s="2"/>
    </row>
    <row r="95" spans="1:14">
      <c r="A95" s="11"/>
      <c r="B95" s="11"/>
      <c r="C95" s="2"/>
      <c r="D95" s="2"/>
      <c r="E95" s="2"/>
      <c r="F95" s="2"/>
      <c r="G95" s="2"/>
      <c r="H95" s="2"/>
      <c r="I95" s="2"/>
      <c r="J95" s="2"/>
      <c r="K95" s="2"/>
      <c r="L95" s="2"/>
      <c r="M95" s="2"/>
      <c r="N95" s="2"/>
    </row>
    <row r="96" spans="1:14">
      <c r="A96" s="11"/>
      <c r="B96" s="11"/>
      <c r="C96" s="2"/>
      <c r="D96" s="2"/>
      <c r="E96" s="2"/>
      <c r="F96" s="2"/>
      <c r="G96" s="2"/>
      <c r="H96" s="2"/>
      <c r="I96" s="2"/>
      <c r="J96" s="2"/>
      <c r="K96" s="2"/>
      <c r="L96" s="2"/>
      <c r="M96" s="2"/>
      <c r="N96" s="2"/>
    </row>
    <row r="97" spans="1:14">
      <c r="A97" s="11"/>
      <c r="B97" s="11"/>
      <c r="C97" s="2"/>
      <c r="D97" s="2"/>
      <c r="E97" s="2"/>
      <c r="F97" s="2"/>
      <c r="G97" s="2"/>
      <c r="H97" s="2"/>
      <c r="I97" s="2"/>
      <c r="J97" s="2"/>
      <c r="K97" s="2"/>
      <c r="L97" s="2"/>
      <c r="M97" s="2"/>
      <c r="N97" s="2"/>
    </row>
    <row r="98" spans="1:14">
      <c r="A98" s="11"/>
      <c r="B98" s="11"/>
      <c r="C98" s="2"/>
      <c r="D98" s="2"/>
      <c r="E98" s="2"/>
      <c r="F98" s="2"/>
      <c r="G98" s="2"/>
      <c r="H98" s="2"/>
      <c r="I98" s="2"/>
      <c r="J98" s="2"/>
      <c r="K98" s="2"/>
      <c r="L98" s="2"/>
      <c r="M98" s="2"/>
      <c r="N98" s="2"/>
    </row>
    <row r="99" spans="1:14">
      <c r="A99" s="11"/>
      <c r="B99" s="11"/>
      <c r="C99" s="2"/>
      <c r="D99" s="2"/>
      <c r="E99" s="2"/>
      <c r="F99" s="2"/>
      <c r="G99" s="2"/>
      <c r="H99" s="2"/>
      <c r="I99" s="2"/>
      <c r="J99" s="2"/>
      <c r="K99" s="2"/>
      <c r="L99" s="2"/>
      <c r="M99" s="2"/>
      <c r="N99" s="2"/>
    </row>
    <row r="100" spans="1:14">
      <c r="A100" s="11"/>
      <c r="B100" s="11"/>
      <c r="C100" s="2"/>
      <c r="D100" s="2"/>
      <c r="E100" s="2"/>
      <c r="F100" s="2"/>
      <c r="G100" s="2"/>
      <c r="H100" s="2"/>
      <c r="I100" s="2"/>
      <c r="J100" s="2"/>
      <c r="K100" s="2"/>
      <c r="L100" s="2"/>
      <c r="M100" s="2"/>
      <c r="N100" s="2"/>
    </row>
    <row r="101" spans="1:14">
      <c r="A101" s="11"/>
      <c r="B101" s="11"/>
      <c r="C101" s="2"/>
      <c r="D101" s="2"/>
      <c r="E101" s="2"/>
      <c r="F101" s="2"/>
      <c r="G101" s="2"/>
      <c r="H101" s="2"/>
      <c r="I101" s="2"/>
      <c r="J101" s="2"/>
      <c r="K101" s="2"/>
      <c r="L101" s="2"/>
      <c r="M101" s="2"/>
      <c r="N101" s="2"/>
    </row>
    <row r="102" spans="1:14">
      <c r="A102" s="11"/>
      <c r="B102" s="11"/>
      <c r="C102" s="2"/>
      <c r="D102" s="2"/>
      <c r="E102" s="2"/>
      <c r="F102" s="2"/>
      <c r="G102" s="2"/>
      <c r="H102" s="2"/>
      <c r="I102" s="2"/>
      <c r="J102" s="2"/>
      <c r="K102" s="2"/>
      <c r="L102" s="2"/>
      <c r="M102" s="2"/>
      <c r="N102" s="2"/>
    </row>
    <row r="103" spans="1:14">
      <c r="A103" s="11"/>
      <c r="B103" s="11"/>
      <c r="C103" s="2"/>
      <c r="D103" s="2"/>
      <c r="E103" s="2"/>
      <c r="F103" s="2"/>
      <c r="G103" s="2"/>
      <c r="H103" s="2"/>
      <c r="I103" s="2"/>
      <c r="J103" s="2"/>
      <c r="K103" s="2"/>
      <c r="L103" s="2"/>
      <c r="M103" s="2"/>
      <c r="N103" s="2"/>
    </row>
    <row r="104" spans="1:14">
      <c r="A104" s="11"/>
      <c r="B104" s="11"/>
      <c r="C104" s="2"/>
      <c r="D104" s="2"/>
      <c r="E104" s="2"/>
      <c r="F104" s="2"/>
      <c r="G104" s="2"/>
      <c r="H104" s="2"/>
      <c r="I104" s="2"/>
      <c r="J104" s="2"/>
      <c r="K104" s="2"/>
      <c r="L104" s="2"/>
      <c r="M104" s="2"/>
      <c r="N104" s="2"/>
    </row>
    <row r="105" spans="1:14">
      <c r="A105" s="11"/>
      <c r="B105" s="11"/>
      <c r="C105" s="2"/>
      <c r="D105" s="2"/>
      <c r="E105" s="2"/>
      <c r="F105" s="2"/>
      <c r="G105" s="2"/>
      <c r="H105" s="2"/>
      <c r="I105" s="2"/>
      <c r="J105" s="2"/>
      <c r="K105" s="2"/>
      <c r="L105" s="2"/>
      <c r="M105" s="2"/>
      <c r="N105" s="2"/>
    </row>
    <row r="106" spans="1:14">
      <c r="A106" s="11"/>
      <c r="B106" s="11"/>
      <c r="C106" s="2"/>
      <c r="D106" s="2"/>
      <c r="E106" s="2"/>
      <c r="F106" s="2"/>
      <c r="G106" s="2"/>
      <c r="H106" s="2"/>
      <c r="I106" s="2"/>
      <c r="J106" s="2"/>
      <c r="K106" s="2"/>
      <c r="L106" s="2"/>
      <c r="M106" s="2"/>
      <c r="N106" s="2"/>
    </row>
    <row r="107" spans="1:14">
      <c r="A107" s="11"/>
      <c r="B107" s="11"/>
      <c r="C107" s="2"/>
      <c r="D107" s="2"/>
      <c r="E107" s="2"/>
      <c r="F107" s="2"/>
      <c r="G107" s="2"/>
      <c r="H107" s="2"/>
      <c r="I107" s="2"/>
      <c r="J107" s="2"/>
      <c r="K107" s="2"/>
      <c r="L107" s="2"/>
      <c r="M107" s="2"/>
      <c r="N107" s="2"/>
    </row>
    <row r="108" spans="1:14">
      <c r="A108" s="11"/>
      <c r="B108" s="11"/>
      <c r="C108" s="2"/>
      <c r="D108" s="2"/>
      <c r="E108" s="2"/>
      <c r="F108" s="2"/>
      <c r="G108" s="2"/>
      <c r="H108" s="2"/>
      <c r="I108" s="2"/>
      <c r="J108" s="2"/>
      <c r="K108" s="2"/>
      <c r="L108" s="2"/>
      <c r="M108" s="2"/>
      <c r="N108" s="2"/>
    </row>
    <row r="109" spans="1:14">
      <c r="A109" s="11"/>
      <c r="B109" s="11"/>
      <c r="C109" s="2"/>
      <c r="D109" s="2"/>
      <c r="E109" s="2"/>
      <c r="F109" s="2"/>
      <c r="G109" s="2"/>
      <c r="H109" s="2"/>
      <c r="I109" s="2"/>
      <c r="J109" s="2"/>
      <c r="K109" s="2"/>
      <c r="L109" s="2"/>
      <c r="M109" s="2"/>
      <c r="N109" s="2"/>
    </row>
    <row r="110" spans="1:14">
      <c r="A110" s="11"/>
      <c r="B110" s="11"/>
      <c r="C110" s="2"/>
      <c r="D110" s="2"/>
      <c r="E110" s="2"/>
      <c r="F110" s="2"/>
      <c r="G110" s="2"/>
      <c r="H110" s="2"/>
      <c r="I110" s="2"/>
      <c r="J110" s="2"/>
      <c r="K110" s="2"/>
      <c r="L110" s="2"/>
      <c r="M110" s="2"/>
      <c r="N110" s="2"/>
    </row>
    <row r="111" spans="1:14">
      <c r="A111" s="11"/>
      <c r="B111" s="11"/>
      <c r="C111" s="2"/>
      <c r="D111" s="2"/>
      <c r="E111" s="2"/>
      <c r="F111" s="2"/>
      <c r="G111" s="2"/>
      <c r="H111" s="2"/>
      <c r="I111" s="2"/>
      <c r="J111" s="2"/>
      <c r="K111" s="2"/>
      <c r="L111" s="2"/>
      <c r="M111" s="2"/>
      <c r="N111" s="2"/>
    </row>
    <row r="112" spans="1:14">
      <c r="A112" s="11"/>
      <c r="B112" s="11"/>
      <c r="C112" s="2"/>
      <c r="D112" s="2"/>
      <c r="E112" s="2"/>
      <c r="F112" s="2"/>
      <c r="G112" s="2"/>
      <c r="H112" s="2"/>
      <c r="I112" s="2"/>
      <c r="J112" s="2"/>
      <c r="K112" s="2"/>
      <c r="L112" s="2"/>
      <c r="M112" s="2"/>
      <c r="N112" s="2"/>
    </row>
    <row r="113" spans="1:14">
      <c r="A113" s="11"/>
      <c r="B113" s="11"/>
      <c r="C113" s="2"/>
      <c r="D113" s="2"/>
      <c r="E113" s="2"/>
      <c r="F113" s="2"/>
      <c r="G113" s="2"/>
      <c r="H113" s="2"/>
      <c r="I113" s="2"/>
      <c r="J113" s="2"/>
      <c r="K113" s="2"/>
      <c r="L113" s="2"/>
      <c r="M113" s="2"/>
      <c r="N113" s="2"/>
    </row>
    <row r="114" spans="1:14">
      <c r="A114" s="11"/>
      <c r="B114" s="11"/>
      <c r="C114" s="2"/>
      <c r="D114" s="2"/>
      <c r="E114" s="2"/>
      <c r="F114" s="2"/>
      <c r="G114" s="2"/>
      <c r="H114" s="2"/>
      <c r="I114" s="2"/>
      <c r="J114" s="2"/>
      <c r="K114" s="2"/>
      <c r="L114" s="2"/>
      <c r="M114" s="2"/>
      <c r="N114" s="2"/>
    </row>
    <row r="115" spans="1:14">
      <c r="A115" s="11"/>
      <c r="B115" s="11"/>
      <c r="C115" s="2"/>
      <c r="D115" s="2"/>
      <c r="E115" s="2"/>
      <c r="F115" s="2"/>
      <c r="G115" s="2"/>
      <c r="H115" s="2"/>
      <c r="I115" s="2"/>
      <c r="J115" s="2"/>
      <c r="K115" s="2"/>
      <c r="L115" s="2"/>
      <c r="M115" s="2"/>
      <c r="N115" s="2"/>
    </row>
    <row r="116" spans="1:14">
      <c r="A116" s="11"/>
      <c r="B116" s="11"/>
      <c r="C116" s="2"/>
      <c r="D116" s="2"/>
      <c r="E116" s="2"/>
      <c r="F116" s="2"/>
      <c r="G116" s="2"/>
      <c r="H116" s="2"/>
      <c r="I116" s="2"/>
      <c r="J116" s="2"/>
      <c r="K116" s="2"/>
      <c r="L116" s="2"/>
      <c r="M116" s="2"/>
      <c r="N116" s="2"/>
    </row>
    <row r="117" spans="1:14">
      <c r="A117" s="11"/>
      <c r="B117" s="11"/>
      <c r="C117" s="2"/>
      <c r="D117" s="2"/>
      <c r="E117" s="2"/>
      <c r="F117" s="2"/>
      <c r="G117" s="2"/>
      <c r="H117" s="2"/>
      <c r="I117" s="2"/>
      <c r="J117" s="2"/>
      <c r="K117" s="2"/>
      <c r="L117" s="2"/>
      <c r="M117" s="2"/>
      <c r="N117" s="2"/>
    </row>
    <row r="118" spans="1:14">
      <c r="A118" s="11"/>
      <c r="B118" s="11"/>
      <c r="C118" s="2"/>
      <c r="D118" s="2"/>
      <c r="E118" s="2"/>
      <c r="F118" s="2"/>
      <c r="G118" s="2"/>
      <c r="H118" s="2"/>
      <c r="I118" s="2"/>
      <c r="J118" s="2"/>
      <c r="K118" s="2"/>
      <c r="L118" s="2"/>
      <c r="M118" s="2"/>
      <c r="N118" s="2"/>
    </row>
    <row r="119" spans="1:14">
      <c r="A119" s="11"/>
      <c r="B119" s="11"/>
      <c r="C119" s="2"/>
      <c r="D119" s="2"/>
      <c r="E119" s="2"/>
      <c r="F119" s="2"/>
      <c r="G119" s="2"/>
      <c r="H119" s="2"/>
      <c r="I119" s="2"/>
      <c r="J119" s="2"/>
      <c r="K119" s="2"/>
      <c r="L119" s="2"/>
      <c r="M119" s="2"/>
      <c r="N119" s="2"/>
    </row>
    <row r="120" spans="1:14">
      <c r="A120" s="11"/>
      <c r="B120" s="11"/>
      <c r="C120" s="2"/>
      <c r="D120" s="2"/>
      <c r="E120" s="2"/>
      <c r="F120" s="2"/>
      <c r="G120" s="2"/>
      <c r="H120" s="2"/>
      <c r="I120" s="2"/>
      <c r="J120" s="2"/>
      <c r="K120" s="2"/>
      <c r="L120" s="2"/>
      <c r="M120" s="2"/>
      <c r="N120" s="2"/>
    </row>
    <row r="121" spans="1:14">
      <c r="A121" s="11"/>
      <c r="B121" s="11"/>
      <c r="C121" s="2"/>
      <c r="D121" s="2"/>
      <c r="E121" s="2"/>
      <c r="F121" s="2"/>
      <c r="G121" s="2"/>
      <c r="H121" s="2"/>
      <c r="I121" s="2"/>
      <c r="J121" s="2"/>
      <c r="K121" s="2"/>
      <c r="L121" s="2"/>
      <c r="M121" s="2"/>
      <c r="N121" s="2"/>
    </row>
    <row r="122" spans="1:14">
      <c r="A122" s="11"/>
      <c r="B122" s="11"/>
      <c r="C122" s="2"/>
      <c r="D122" s="2"/>
      <c r="E122" s="2"/>
      <c r="F122" s="2"/>
      <c r="G122" s="2"/>
      <c r="H122" s="2"/>
      <c r="I122" s="2"/>
      <c r="J122" s="2"/>
      <c r="K122" s="2"/>
      <c r="L122" s="2"/>
      <c r="M122" s="2"/>
      <c r="N122" s="2"/>
    </row>
    <row r="123" spans="1:14">
      <c r="A123" s="11"/>
      <c r="B123" s="11"/>
      <c r="C123" s="2"/>
      <c r="D123" s="2"/>
      <c r="E123" s="2"/>
      <c r="F123" s="2"/>
      <c r="G123" s="2"/>
      <c r="H123" s="2"/>
      <c r="I123" s="2"/>
      <c r="J123" s="2"/>
      <c r="K123" s="2"/>
      <c r="L123" s="2"/>
      <c r="M123" s="2"/>
      <c r="N123" s="2"/>
    </row>
    <row r="124" spans="1:14">
      <c r="A124" s="11"/>
      <c r="B124" s="11"/>
      <c r="C124" s="2"/>
      <c r="D124" s="2"/>
      <c r="E124" s="2"/>
      <c r="F124" s="2"/>
      <c r="G124" s="2"/>
      <c r="H124" s="2"/>
      <c r="I124" s="2"/>
      <c r="J124" s="2"/>
      <c r="K124" s="2"/>
      <c r="L124" s="2"/>
      <c r="M124" s="2"/>
      <c r="N124" s="2"/>
    </row>
    <row r="125" spans="1:14">
      <c r="A125" s="11"/>
      <c r="B125" s="11"/>
      <c r="C125" s="2"/>
      <c r="D125" s="2"/>
      <c r="E125" s="2"/>
      <c r="F125" s="2"/>
      <c r="G125" s="2"/>
      <c r="H125" s="2"/>
      <c r="I125" s="2"/>
      <c r="J125" s="2"/>
      <c r="K125" s="2"/>
      <c r="L125" s="2"/>
      <c r="M125" s="2"/>
      <c r="N125" s="2"/>
    </row>
    <row r="126" spans="1:14">
      <c r="A126" s="11"/>
      <c r="B126" s="11"/>
      <c r="C126" s="2"/>
      <c r="D126" s="2"/>
      <c r="E126" s="2"/>
      <c r="F126" s="2"/>
      <c r="G126" s="2"/>
      <c r="H126" s="2"/>
      <c r="I126" s="2"/>
      <c r="J126" s="2"/>
      <c r="K126" s="2"/>
      <c r="L126" s="2"/>
      <c r="M126" s="2"/>
      <c r="N126" s="2"/>
    </row>
    <row r="127" spans="1:14">
      <c r="A127" s="11"/>
      <c r="B127" s="11"/>
      <c r="C127" s="2"/>
      <c r="D127" s="2"/>
      <c r="E127" s="2"/>
      <c r="F127" s="2"/>
      <c r="G127" s="2"/>
      <c r="H127" s="2"/>
      <c r="I127" s="2"/>
      <c r="J127" s="2"/>
      <c r="K127" s="2"/>
      <c r="L127" s="2"/>
      <c r="M127" s="2"/>
      <c r="N127" s="2"/>
    </row>
    <row r="128" spans="1:14">
      <c r="A128" s="11"/>
      <c r="B128" s="11"/>
      <c r="C128" s="2"/>
      <c r="D128" s="2"/>
      <c r="E128" s="2"/>
      <c r="F128" s="2"/>
      <c r="G128" s="2"/>
      <c r="H128" s="2"/>
      <c r="I128" s="2"/>
      <c r="J128" s="2"/>
      <c r="K128" s="2"/>
      <c r="L128" s="2"/>
      <c r="M128" s="2"/>
      <c r="N128" s="2"/>
    </row>
    <row r="129" spans="1:14">
      <c r="A129" s="11"/>
      <c r="B129" s="11"/>
      <c r="C129" s="2"/>
      <c r="D129" s="2"/>
      <c r="E129" s="2"/>
      <c r="F129" s="2"/>
      <c r="G129" s="2"/>
      <c r="H129" s="2"/>
      <c r="I129" s="2"/>
      <c r="J129" s="2"/>
      <c r="K129" s="2"/>
      <c r="L129" s="2"/>
      <c r="M129" s="2"/>
      <c r="N129" s="2"/>
    </row>
    <row r="130" spans="1:14">
      <c r="A130" s="11"/>
      <c r="B130" s="11"/>
      <c r="C130" s="2"/>
      <c r="D130" s="2"/>
      <c r="E130" s="2"/>
      <c r="F130" s="2"/>
      <c r="G130" s="2"/>
      <c r="H130" s="2"/>
      <c r="I130" s="2"/>
      <c r="J130" s="2"/>
      <c r="K130" s="2"/>
      <c r="L130" s="2"/>
      <c r="M130" s="2"/>
      <c r="N130" s="2"/>
    </row>
    <row r="131" spans="1:14">
      <c r="A131" s="11"/>
      <c r="B131" s="11"/>
      <c r="C131" s="2"/>
      <c r="D131" s="2"/>
      <c r="E131" s="2"/>
      <c r="F131" s="2"/>
      <c r="G131" s="2"/>
      <c r="H131" s="2"/>
      <c r="I131" s="2"/>
      <c r="J131" s="2"/>
      <c r="K131" s="2"/>
      <c r="L131" s="2"/>
      <c r="M131" s="2"/>
      <c r="N131" s="2"/>
    </row>
    <row r="132" spans="1:14">
      <c r="A132" s="11"/>
      <c r="B132" s="11"/>
      <c r="C132" s="2"/>
      <c r="D132" s="2"/>
      <c r="E132" s="2"/>
      <c r="F132" s="2"/>
      <c r="G132" s="2"/>
      <c r="H132" s="2"/>
      <c r="I132" s="2"/>
      <c r="J132" s="2"/>
      <c r="K132" s="2"/>
      <c r="L132" s="2"/>
      <c r="M132" s="2"/>
      <c r="N132" s="2"/>
    </row>
    <row r="133" spans="1:14">
      <c r="A133" s="11"/>
      <c r="B133" s="11"/>
      <c r="C133" s="2"/>
      <c r="D133" s="2"/>
      <c r="E133" s="2"/>
      <c r="F133" s="2"/>
      <c r="G133" s="2"/>
      <c r="H133" s="2"/>
      <c r="I133" s="2"/>
      <c r="J133" s="2"/>
      <c r="K133" s="2"/>
      <c r="L133" s="2"/>
      <c r="M133" s="2"/>
      <c r="N133" s="2"/>
    </row>
    <row r="134" spans="1:14">
      <c r="A134" s="11"/>
      <c r="B134" s="11"/>
      <c r="C134" s="2"/>
      <c r="D134" s="2"/>
      <c r="E134" s="2"/>
      <c r="F134" s="2"/>
      <c r="G134" s="2"/>
      <c r="H134" s="2"/>
      <c r="I134" s="2"/>
      <c r="J134" s="2"/>
      <c r="K134" s="2"/>
      <c r="L134" s="2"/>
      <c r="M134" s="2"/>
      <c r="N134" s="2"/>
    </row>
    <row r="135" spans="1:14">
      <c r="A135" s="11"/>
      <c r="B135" s="11"/>
      <c r="C135" s="2"/>
      <c r="D135" s="2"/>
      <c r="E135" s="2"/>
      <c r="F135" s="2"/>
      <c r="G135" s="2"/>
      <c r="H135" s="2"/>
      <c r="I135" s="2"/>
      <c r="J135" s="2"/>
      <c r="K135" s="2"/>
      <c r="L135" s="2"/>
      <c r="M135" s="2"/>
      <c r="N135" s="2"/>
    </row>
    <row r="136" spans="1:14">
      <c r="A136" s="11"/>
      <c r="B136" s="11"/>
      <c r="C136" s="2"/>
      <c r="D136" s="2"/>
      <c r="E136" s="2"/>
      <c r="F136" s="2"/>
      <c r="G136" s="2"/>
      <c r="H136" s="2"/>
      <c r="I136" s="2"/>
      <c r="J136" s="2"/>
      <c r="K136" s="2"/>
      <c r="L136" s="2"/>
      <c r="M136" s="2"/>
      <c r="N136" s="2"/>
    </row>
    <row r="137" spans="1:14">
      <c r="A137" s="11"/>
      <c r="B137" s="11"/>
      <c r="C137" s="2"/>
      <c r="D137" s="2"/>
      <c r="E137" s="2"/>
      <c r="F137" s="2"/>
      <c r="G137" s="2"/>
      <c r="H137" s="2"/>
      <c r="I137" s="2"/>
      <c r="J137" s="2"/>
      <c r="K137" s="2"/>
      <c r="L137" s="2"/>
      <c r="M137" s="2"/>
      <c r="N137" s="2"/>
    </row>
    <row r="138" spans="1:14">
      <c r="A138" s="11"/>
      <c r="B138" s="11"/>
      <c r="C138" s="2"/>
      <c r="D138" s="2"/>
      <c r="E138" s="2"/>
      <c r="F138" s="2"/>
      <c r="G138" s="2"/>
      <c r="H138" s="2"/>
      <c r="I138" s="2"/>
      <c r="J138" s="2"/>
      <c r="K138" s="2"/>
      <c r="L138" s="2"/>
      <c r="M138" s="2"/>
      <c r="N138" s="2"/>
    </row>
    <row r="139" spans="1:14">
      <c r="A139" s="11"/>
      <c r="B139" s="11"/>
      <c r="C139" s="2"/>
      <c r="D139" s="2"/>
      <c r="E139" s="2"/>
      <c r="F139" s="2"/>
      <c r="G139" s="2"/>
      <c r="H139" s="2"/>
      <c r="I139" s="2"/>
      <c r="J139" s="2"/>
      <c r="K139" s="2"/>
      <c r="L139" s="2"/>
      <c r="M139" s="2"/>
      <c r="N139" s="2"/>
    </row>
    <row r="140" spans="1:14">
      <c r="A140" s="11"/>
      <c r="B140" s="11"/>
      <c r="C140" s="2"/>
      <c r="D140" s="2"/>
      <c r="E140" s="2"/>
      <c r="F140" s="2"/>
      <c r="G140" s="2"/>
      <c r="H140" s="2"/>
      <c r="I140" s="2"/>
      <c r="J140" s="2"/>
      <c r="K140" s="2"/>
      <c r="L140" s="2"/>
      <c r="M140" s="2"/>
      <c r="N140" s="2"/>
    </row>
    <row r="141" spans="1:14">
      <c r="A141" s="11"/>
      <c r="B141" s="11"/>
      <c r="C141" s="2"/>
      <c r="D141" s="2"/>
      <c r="E141" s="2"/>
      <c r="F141" s="2"/>
      <c r="G141" s="2"/>
      <c r="H141" s="2"/>
      <c r="I141" s="2"/>
      <c r="J141" s="2"/>
      <c r="K141" s="2"/>
      <c r="L141" s="2"/>
      <c r="M141" s="2"/>
      <c r="N141" s="2"/>
    </row>
    <row r="142" spans="1:14">
      <c r="A142" s="11"/>
      <c r="B142" s="11"/>
      <c r="C142" s="2"/>
      <c r="D142" s="2"/>
      <c r="E142" s="2"/>
      <c r="F142" s="2"/>
      <c r="G142" s="2"/>
      <c r="H142" s="2"/>
      <c r="I142" s="2"/>
      <c r="J142" s="2"/>
      <c r="K142" s="2"/>
      <c r="L142" s="2"/>
      <c r="M142" s="2"/>
      <c r="N142" s="2"/>
    </row>
    <row r="143" spans="1:14">
      <c r="A143" s="11"/>
      <c r="B143" s="11"/>
      <c r="C143" s="2"/>
      <c r="D143" s="2"/>
      <c r="E143" s="2"/>
      <c r="F143" s="2"/>
      <c r="G143" s="2"/>
      <c r="H143" s="2"/>
      <c r="I143" s="2"/>
      <c r="J143" s="2"/>
      <c r="K143" s="2"/>
      <c r="L143" s="2"/>
      <c r="M143" s="2"/>
      <c r="N143" s="2"/>
    </row>
    <row r="144" spans="1:14">
      <c r="A144" s="11"/>
      <c r="B144" s="11"/>
      <c r="C144" s="2"/>
      <c r="D144" s="2"/>
      <c r="E144" s="2"/>
      <c r="F144" s="2"/>
      <c r="G144" s="2"/>
      <c r="H144" s="2"/>
      <c r="I144" s="2"/>
      <c r="J144" s="2"/>
      <c r="K144" s="2"/>
      <c r="L144" s="2"/>
      <c r="M144" s="2"/>
      <c r="N144" s="2"/>
    </row>
    <row r="145" spans="1:14">
      <c r="A145" s="11"/>
      <c r="B145" s="11"/>
      <c r="C145" s="2"/>
      <c r="D145" s="2"/>
      <c r="E145" s="2"/>
      <c r="F145" s="2"/>
      <c r="G145" s="2"/>
      <c r="H145" s="2"/>
      <c r="I145" s="2"/>
      <c r="J145" s="2"/>
      <c r="K145" s="2"/>
      <c r="L145" s="2"/>
      <c r="M145" s="2"/>
      <c r="N145" s="2"/>
    </row>
    <row r="146" spans="1:14">
      <c r="A146" s="11"/>
      <c r="B146" s="11"/>
      <c r="C146" s="2"/>
      <c r="D146" s="2"/>
      <c r="E146" s="2"/>
      <c r="F146" s="2"/>
      <c r="G146" s="2"/>
      <c r="H146" s="2"/>
      <c r="I146" s="2"/>
      <c r="J146" s="2"/>
      <c r="K146" s="2"/>
      <c r="L146" s="2"/>
      <c r="M146" s="2"/>
      <c r="N146" s="2"/>
    </row>
    <row r="147" spans="1:14">
      <c r="A147" s="11"/>
      <c r="B147" s="11"/>
      <c r="C147" s="2"/>
      <c r="D147" s="2"/>
      <c r="E147" s="2"/>
      <c r="F147" s="2"/>
      <c r="G147" s="2"/>
      <c r="H147" s="2"/>
      <c r="I147" s="2"/>
      <c r="J147" s="2"/>
      <c r="K147" s="2"/>
      <c r="L147" s="2"/>
      <c r="M147" s="2"/>
      <c r="N147" s="2"/>
    </row>
    <row r="148" spans="1:14">
      <c r="A148" s="11"/>
      <c r="B148" s="11"/>
      <c r="C148" s="2"/>
      <c r="D148" s="2"/>
      <c r="E148" s="2"/>
      <c r="F148" s="2"/>
      <c r="G148" s="2"/>
      <c r="H148" s="2"/>
      <c r="I148" s="2"/>
      <c r="J148" s="2"/>
      <c r="K148" s="2"/>
      <c r="L148" s="2"/>
      <c r="M148" s="2"/>
      <c r="N148" s="2"/>
    </row>
    <row r="149" spans="1:14">
      <c r="A149" s="11"/>
      <c r="B149" s="11"/>
      <c r="C149" s="2"/>
      <c r="D149" s="2"/>
      <c r="E149" s="2"/>
      <c r="F149" s="2"/>
      <c r="G149" s="2"/>
      <c r="H149" s="2"/>
      <c r="I149" s="2"/>
      <c r="J149" s="2"/>
      <c r="K149" s="2"/>
      <c r="L149" s="2"/>
      <c r="M149" s="2"/>
      <c r="N149" s="2"/>
    </row>
    <row r="150" spans="1:14">
      <c r="A150" s="11"/>
      <c r="B150" s="11"/>
      <c r="C150" s="2"/>
      <c r="D150" s="2"/>
      <c r="E150" s="2"/>
      <c r="F150" s="2"/>
      <c r="G150" s="2"/>
      <c r="H150" s="2"/>
      <c r="I150" s="2"/>
      <c r="J150" s="2"/>
      <c r="K150" s="2"/>
      <c r="L150" s="2"/>
      <c r="M150" s="2"/>
      <c r="N150" s="2"/>
    </row>
    <row r="151" spans="1:14">
      <c r="A151" s="11"/>
      <c r="B151" s="11"/>
      <c r="C151" s="2"/>
      <c r="D151" s="2"/>
      <c r="E151" s="2"/>
      <c r="F151" s="2"/>
      <c r="G151" s="2"/>
      <c r="H151" s="2"/>
      <c r="I151" s="2"/>
      <c r="J151" s="2"/>
      <c r="K151" s="2"/>
      <c r="L151" s="2"/>
      <c r="M151" s="2"/>
      <c r="N151" s="2"/>
    </row>
    <row r="152" spans="1:14">
      <c r="A152" s="11"/>
      <c r="B152" s="11"/>
      <c r="C152" s="2"/>
      <c r="D152" s="2"/>
      <c r="E152" s="2"/>
      <c r="F152" s="2"/>
      <c r="G152" s="2"/>
      <c r="H152" s="2"/>
      <c r="I152" s="2"/>
      <c r="J152" s="2"/>
      <c r="K152" s="2"/>
      <c r="L152" s="2"/>
      <c r="M152" s="2"/>
      <c r="N152" s="2"/>
    </row>
    <row r="153" spans="1:14">
      <c r="A153" s="11"/>
      <c r="B153" s="11"/>
      <c r="C153" s="2"/>
      <c r="D153" s="2"/>
      <c r="E153" s="2"/>
      <c r="F153" s="2"/>
      <c r="G153" s="2"/>
      <c r="H153" s="2"/>
      <c r="I153" s="2"/>
      <c r="J153" s="2"/>
      <c r="K153" s="2"/>
      <c r="L153" s="2"/>
      <c r="M153" s="2"/>
      <c r="N153" s="2"/>
    </row>
    <row r="154" spans="1:14">
      <c r="A154" s="11"/>
      <c r="B154" s="11"/>
      <c r="C154" s="2"/>
      <c r="D154" s="2"/>
      <c r="E154" s="2"/>
      <c r="F154" s="2"/>
      <c r="G154" s="2"/>
      <c r="H154" s="2"/>
      <c r="I154" s="2"/>
      <c r="J154" s="2"/>
      <c r="K154" s="2"/>
      <c r="L154" s="2"/>
      <c r="M154" s="2"/>
      <c r="N154" s="2"/>
    </row>
    <row r="155" spans="1:14">
      <c r="A155" s="11"/>
      <c r="B155" s="11"/>
      <c r="C155" s="2"/>
      <c r="D155" s="2"/>
      <c r="E155" s="2"/>
      <c r="F155" s="2"/>
      <c r="G155" s="2"/>
      <c r="H155" s="2"/>
      <c r="I155" s="2"/>
      <c r="J155" s="2"/>
      <c r="K155" s="2"/>
      <c r="L155" s="2"/>
      <c r="M155" s="2"/>
      <c r="N155" s="2"/>
    </row>
    <row r="156" spans="1:14">
      <c r="A156" s="11"/>
      <c r="B156" s="11"/>
      <c r="C156" s="2"/>
      <c r="D156" s="2"/>
      <c r="E156" s="2"/>
      <c r="F156" s="2"/>
      <c r="G156" s="2"/>
      <c r="H156" s="2"/>
      <c r="I156" s="2"/>
      <c r="J156" s="2"/>
      <c r="K156" s="2"/>
      <c r="L156" s="2"/>
      <c r="M156" s="2"/>
      <c r="N156" s="2"/>
    </row>
    <row r="157" spans="1:14">
      <c r="A157" s="11"/>
      <c r="B157" s="11"/>
      <c r="C157" s="2"/>
      <c r="D157" s="2"/>
      <c r="E157" s="2"/>
      <c r="F157" s="2"/>
      <c r="G157" s="2"/>
      <c r="H157" s="2"/>
      <c r="I157" s="2"/>
      <c r="J157" s="2"/>
      <c r="K157" s="2"/>
      <c r="L157" s="2"/>
      <c r="M157" s="2"/>
      <c r="N157" s="2"/>
    </row>
    <row r="158" spans="1:14">
      <c r="A158" s="11"/>
      <c r="B158" s="11"/>
      <c r="C158" s="2"/>
      <c r="D158" s="2"/>
      <c r="E158" s="2"/>
      <c r="F158" s="2"/>
      <c r="G158" s="2"/>
      <c r="H158" s="2"/>
      <c r="I158" s="2"/>
      <c r="J158" s="2"/>
      <c r="K158" s="2"/>
      <c r="L158" s="2"/>
      <c r="M158" s="2"/>
      <c r="N158" s="2"/>
    </row>
    <row r="159" spans="1:14">
      <c r="A159" s="11"/>
      <c r="B159" s="11"/>
      <c r="C159" s="2"/>
      <c r="D159" s="2"/>
      <c r="E159" s="2"/>
      <c r="F159" s="2"/>
      <c r="G159" s="2"/>
      <c r="H159" s="2"/>
      <c r="I159" s="2"/>
      <c r="J159" s="2"/>
      <c r="K159" s="2"/>
      <c r="L159" s="2"/>
      <c r="M159" s="2"/>
      <c r="N159" s="2"/>
    </row>
    <row r="160" spans="1:14">
      <c r="A160" s="11"/>
      <c r="B160" s="11"/>
      <c r="C160" s="2"/>
      <c r="D160" s="2"/>
      <c r="E160" s="2"/>
      <c r="F160" s="2"/>
      <c r="G160" s="2"/>
      <c r="H160" s="2"/>
      <c r="I160" s="2"/>
      <c r="J160" s="2"/>
      <c r="K160" s="2"/>
      <c r="L160" s="2"/>
      <c r="M160" s="2"/>
      <c r="N160" s="2"/>
    </row>
    <row r="161" spans="1:14">
      <c r="A161" s="11"/>
      <c r="B161" s="11"/>
      <c r="C161" s="2"/>
      <c r="D161" s="2"/>
      <c r="E161" s="2"/>
      <c r="F161" s="2"/>
      <c r="G161" s="2"/>
      <c r="H161" s="2"/>
      <c r="I161" s="2"/>
      <c r="J161" s="2"/>
      <c r="K161" s="2"/>
      <c r="L161" s="2"/>
      <c r="M161" s="2"/>
      <c r="N161" s="2"/>
    </row>
    <row r="162" spans="1:14">
      <c r="A162" s="11"/>
      <c r="B162" s="11"/>
      <c r="C162" s="2"/>
      <c r="D162" s="2"/>
      <c r="E162" s="2"/>
      <c r="F162" s="2"/>
      <c r="G162" s="2"/>
      <c r="H162" s="2"/>
      <c r="I162" s="2"/>
      <c r="J162" s="2"/>
      <c r="K162" s="2"/>
      <c r="L162" s="2"/>
      <c r="M162" s="2"/>
      <c r="N162" s="2"/>
    </row>
    <row r="163" spans="1:14">
      <c r="A163" s="11"/>
      <c r="B163" s="11"/>
      <c r="C163" s="2"/>
      <c r="D163" s="2"/>
      <c r="E163" s="2"/>
      <c r="F163" s="2"/>
      <c r="G163" s="2"/>
      <c r="H163" s="2"/>
      <c r="I163" s="2"/>
      <c r="J163" s="2"/>
      <c r="K163" s="2"/>
      <c r="L163" s="2"/>
      <c r="M163" s="2"/>
      <c r="N163" s="2"/>
    </row>
    <row r="164" spans="1:14">
      <c r="A164" s="11"/>
      <c r="B164" s="11"/>
      <c r="C164" s="2"/>
      <c r="D164" s="2"/>
      <c r="E164" s="2"/>
      <c r="F164" s="2"/>
      <c r="G164" s="2"/>
      <c r="H164" s="2"/>
      <c r="I164" s="2"/>
      <c r="J164" s="2"/>
      <c r="K164" s="2"/>
      <c r="L164" s="2"/>
      <c r="M164" s="2"/>
      <c r="N164" s="2"/>
    </row>
    <row r="165" spans="1:14">
      <c r="A165" s="11"/>
      <c r="B165" s="11"/>
      <c r="C165" s="2"/>
      <c r="D165" s="2"/>
      <c r="E165" s="2"/>
      <c r="F165" s="2"/>
      <c r="G165" s="2"/>
      <c r="H165" s="2"/>
      <c r="I165" s="2"/>
      <c r="J165" s="2"/>
      <c r="K165" s="2"/>
      <c r="L165" s="2"/>
      <c r="M165" s="2"/>
      <c r="N165" s="2"/>
    </row>
    <row r="166" spans="1:14">
      <c r="A166" s="11"/>
      <c r="B166" s="11"/>
      <c r="C166" s="2"/>
      <c r="D166" s="2"/>
      <c r="E166" s="2"/>
      <c r="F166" s="2"/>
      <c r="G166" s="2"/>
      <c r="H166" s="2"/>
      <c r="I166" s="2"/>
      <c r="J166" s="2"/>
      <c r="K166" s="2"/>
      <c r="L166" s="2"/>
      <c r="M166" s="2"/>
      <c r="N166" s="2"/>
    </row>
    <row r="167" spans="1:14">
      <c r="A167" s="11"/>
      <c r="B167" s="11"/>
      <c r="C167" s="2"/>
      <c r="D167" s="2"/>
      <c r="E167" s="2"/>
      <c r="F167" s="2"/>
      <c r="G167" s="2"/>
      <c r="H167" s="2"/>
      <c r="I167" s="2"/>
      <c r="J167" s="2"/>
      <c r="K167" s="2"/>
      <c r="L167" s="2"/>
      <c r="M167" s="2"/>
      <c r="N167" s="2"/>
    </row>
    <row r="168" spans="1:14">
      <c r="A168" s="11"/>
      <c r="B168" s="11"/>
      <c r="C168" s="2"/>
      <c r="D168" s="2"/>
      <c r="E168" s="2"/>
      <c r="F168" s="2"/>
      <c r="G168" s="2"/>
      <c r="H168" s="2"/>
      <c r="I168" s="2"/>
      <c r="J168" s="2"/>
      <c r="K168" s="2"/>
      <c r="L168" s="2"/>
      <c r="M168" s="2"/>
      <c r="N168" s="2"/>
    </row>
    <row r="169" spans="1:14">
      <c r="A169" s="11"/>
      <c r="B169" s="11"/>
      <c r="C169" s="2"/>
      <c r="D169" s="2"/>
      <c r="E169" s="2"/>
      <c r="F169" s="2"/>
      <c r="G169" s="2"/>
      <c r="H169" s="2"/>
      <c r="I169" s="2"/>
      <c r="J169" s="2"/>
      <c r="K169" s="2"/>
      <c r="L169" s="2"/>
      <c r="M169" s="2"/>
      <c r="N169" s="2"/>
    </row>
    <row r="170" spans="1:14">
      <c r="A170" s="11"/>
      <c r="B170" s="11"/>
      <c r="C170" s="2"/>
      <c r="D170" s="2"/>
      <c r="E170" s="2"/>
      <c r="F170" s="2"/>
      <c r="G170" s="2"/>
      <c r="H170" s="2"/>
      <c r="I170" s="2"/>
      <c r="J170" s="2"/>
      <c r="K170" s="2"/>
      <c r="L170" s="2"/>
      <c r="M170" s="2"/>
      <c r="N170" s="2"/>
    </row>
    <row r="171" spans="1:14">
      <c r="A171" s="11"/>
      <c r="B171" s="11"/>
      <c r="C171" s="2"/>
      <c r="D171" s="2"/>
      <c r="E171" s="2"/>
      <c r="F171" s="2"/>
      <c r="G171" s="2"/>
      <c r="H171" s="2"/>
      <c r="I171" s="2"/>
      <c r="J171" s="2"/>
      <c r="K171" s="2"/>
      <c r="L171" s="2"/>
      <c r="M171" s="2"/>
      <c r="N171" s="2"/>
    </row>
    <row r="172" spans="1:14">
      <c r="A172" s="11"/>
      <c r="B172" s="11"/>
      <c r="C172" s="2"/>
      <c r="D172" s="2"/>
      <c r="E172" s="2"/>
      <c r="F172" s="2"/>
      <c r="G172" s="2"/>
      <c r="H172" s="2"/>
      <c r="I172" s="2"/>
      <c r="J172" s="2"/>
      <c r="K172" s="2"/>
      <c r="L172" s="2"/>
      <c r="M172" s="2"/>
      <c r="N172" s="2"/>
    </row>
    <row r="173" spans="1:14">
      <c r="A173" s="11"/>
      <c r="B173" s="11"/>
      <c r="C173" s="2"/>
      <c r="D173" s="2"/>
      <c r="E173" s="2"/>
      <c r="F173" s="2"/>
      <c r="G173" s="2"/>
      <c r="H173" s="2"/>
      <c r="I173" s="2"/>
      <c r="J173" s="2"/>
      <c r="K173" s="2"/>
      <c r="L173" s="2"/>
      <c r="M173" s="2"/>
      <c r="N173" s="2"/>
    </row>
    <row r="174" spans="1:14">
      <c r="A174" s="11"/>
      <c r="B174" s="11"/>
      <c r="C174" s="2"/>
      <c r="D174" s="2"/>
      <c r="E174" s="2"/>
      <c r="F174" s="2"/>
      <c r="G174" s="2"/>
      <c r="H174" s="2"/>
      <c r="I174" s="2"/>
      <c r="J174" s="2"/>
      <c r="K174" s="2"/>
      <c r="L174" s="2"/>
      <c r="M174" s="2"/>
      <c r="N174" s="2"/>
    </row>
    <row r="175" spans="1:14">
      <c r="A175" s="11"/>
      <c r="B175" s="11"/>
      <c r="C175" s="2"/>
      <c r="D175" s="2"/>
      <c r="E175" s="2"/>
      <c r="F175" s="2"/>
      <c r="G175" s="2"/>
      <c r="H175" s="2"/>
      <c r="I175" s="2"/>
      <c r="J175" s="2"/>
      <c r="K175" s="2"/>
      <c r="L175" s="2"/>
      <c r="M175" s="2"/>
      <c r="N175" s="2"/>
    </row>
    <row r="176" spans="1:14">
      <c r="A176" s="11"/>
      <c r="B176" s="11"/>
      <c r="C176" s="2"/>
      <c r="D176" s="2"/>
      <c r="E176" s="2"/>
      <c r="F176" s="2"/>
      <c r="G176" s="2"/>
      <c r="H176" s="2"/>
      <c r="I176" s="2"/>
      <c r="J176" s="2"/>
      <c r="K176" s="2"/>
      <c r="L176" s="2"/>
      <c r="M176" s="2"/>
      <c r="N176" s="2"/>
    </row>
    <row r="177" spans="1:14">
      <c r="A177" s="11"/>
      <c r="B177" s="11"/>
      <c r="C177" s="2"/>
      <c r="D177" s="2"/>
      <c r="E177" s="2"/>
      <c r="F177" s="2"/>
      <c r="G177" s="2"/>
      <c r="H177" s="2"/>
      <c r="I177" s="2"/>
      <c r="J177" s="2"/>
      <c r="K177" s="2"/>
      <c r="L177" s="2"/>
      <c r="M177" s="2"/>
      <c r="N177" s="2"/>
    </row>
    <row r="178" spans="1:14">
      <c r="A178" s="11"/>
      <c r="B178" s="11"/>
      <c r="C178" s="2"/>
      <c r="D178" s="2"/>
      <c r="E178" s="2"/>
      <c r="F178" s="2"/>
      <c r="G178" s="2"/>
      <c r="H178" s="2"/>
      <c r="I178" s="2"/>
      <c r="J178" s="2"/>
      <c r="K178" s="2"/>
      <c r="L178" s="2"/>
      <c r="M178" s="2"/>
      <c r="N178" s="2"/>
    </row>
    <row r="179" spans="1:14">
      <c r="A179" s="11"/>
      <c r="B179" s="11"/>
      <c r="C179" s="2"/>
      <c r="D179" s="2"/>
      <c r="E179" s="2"/>
      <c r="F179" s="2"/>
      <c r="G179" s="2"/>
      <c r="H179" s="2"/>
      <c r="I179" s="2"/>
      <c r="J179" s="2"/>
      <c r="K179" s="2"/>
      <c r="L179" s="2"/>
      <c r="M179" s="2"/>
      <c r="N179" s="2"/>
    </row>
    <row r="180" spans="1:14">
      <c r="A180" s="11"/>
      <c r="B180" s="11"/>
      <c r="C180" s="2"/>
      <c r="D180" s="2"/>
      <c r="E180" s="2"/>
      <c r="F180" s="2"/>
      <c r="G180" s="2"/>
      <c r="H180" s="2"/>
      <c r="I180" s="2"/>
      <c r="J180" s="2"/>
      <c r="K180" s="2"/>
      <c r="L180" s="2"/>
      <c r="M180" s="2"/>
      <c r="N180" s="2"/>
    </row>
    <row r="181" spans="1:14">
      <c r="A181" s="11"/>
      <c r="B181" s="11"/>
      <c r="C181" s="2"/>
      <c r="D181" s="2"/>
      <c r="E181" s="2"/>
      <c r="F181" s="2"/>
      <c r="G181" s="2"/>
      <c r="H181" s="2"/>
      <c r="I181" s="2"/>
      <c r="J181" s="2"/>
      <c r="K181" s="2"/>
      <c r="L181" s="2"/>
      <c r="M181" s="2"/>
      <c r="N181" s="2"/>
    </row>
    <row r="182" spans="1:14">
      <c r="A182" s="11"/>
      <c r="B182" s="11"/>
      <c r="C182" s="2"/>
      <c r="D182" s="2"/>
      <c r="E182" s="2"/>
      <c r="F182" s="2"/>
      <c r="G182" s="2"/>
      <c r="H182" s="2"/>
      <c r="I182" s="2"/>
      <c r="J182" s="2"/>
      <c r="K182" s="2"/>
      <c r="L182" s="2"/>
      <c r="M182" s="2"/>
      <c r="N182" s="2"/>
    </row>
    <row r="183" spans="1:14">
      <c r="A183" s="11"/>
      <c r="B183" s="11"/>
      <c r="C183" s="2"/>
      <c r="D183" s="2"/>
      <c r="E183" s="2"/>
      <c r="F183" s="2"/>
      <c r="G183" s="2"/>
      <c r="H183" s="2"/>
      <c r="I183" s="2"/>
      <c r="J183" s="2"/>
      <c r="K183" s="2"/>
      <c r="L183" s="2"/>
      <c r="M183" s="2"/>
      <c r="N183" s="2"/>
    </row>
    <row r="184" spans="1:14">
      <c r="A184" s="11"/>
      <c r="B184" s="11"/>
      <c r="C184" s="2"/>
      <c r="D184" s="2"/>
      <c r="E184" s="2"/>
      <c r="F184" s="2"/>
      <c r="G184" s="2"/>
      <c r="H184" s="2"/>
      <c r="I184" s="2"/>
      <c r="J184" s="2"/>
      <c r="K184" s="2"/>
      <c r="L184" s="2"/>
      <c r="M184" s="2"/>
      <c r="N184" s="2"/>
    </row>
    <row r="185" spans="1:14">
      <c r="A185" s="11"/>
      <c r="B185" s="11"/>
      <c r="C185" s="2"/>
      <c r="D185" s="2"/>
      <c r="E185" s="2"/>
      <c r="F185" s="2"/>
      <c r="G185" s="2"/>
      <c r="H185" s="2"/>
      <c r="I185" s="2"/>
      <c r="J185" s="2"/>
      <c r="K185" s="2"/>
      <c r="L185" s="2"/>
      <c r="M185" s="2"/>
      <c r="N185" s="2"/>
    </row>
    <row r="186" spans="1:14">
      <c r="A186" s="11"/>
      <c r="B186" s="11"/>
      <c r="C186" s="2"/>
      <c r="D186" s="2"/>
      <c r="E186" s="2"/>
      <c r="F186" s="2"/>
      <c r="G186" s="2"/>
      <c r="H186" s="2"/>
      <c r="I186" s="2"/>
      <c r="J186" s="2"/>
      <c r="K186" s="2"/>
      <c r="L186" s="2"/>
      <c r="M186" s="2"/>
      <c r="N186" s="2"/>
    </row>
    <row r="187" spans="1:14">
      <c r="A187" s="11"/>
      <c r="B187" s="11"/>
      <c r="C187" s="2"/>
      <c r="D187" s="2"/>
      <c r="E187" s="2"/>
      <c r="F187" s="2"/>
      <c r="G187" s="2"/>
      <c r="H187" s="2"/>
      <c r="I187" s="2"/>
      <c r="J187" s="2"/>
      <c r="K187" s="2"/>
      <c r="L187" s="2"/>
      <c r="M187" s="2"/>
      <c r="N187" s="2"/>
    </row>
    <row r="188" spans="1:14">
      <c r="A188" s="11"/>
      <c r="B188" s="11"/>
      <c r="C188" s="2"/>
      <c r="D188" s="2"/>
      <c r="E188" s="2"/>
      <c r="F188" s="2"/>
      <c r="G188" s="2"/>
      <c r="H188" s="2"/>
      <c r="I188" s="2"/>
      <c r="J188" s="2"/>
      <c r="K188" s="2"/>
      <c r="L188" s="2"/>
      <c r="M188" s="2"/>
      <c r="N188" s="2"/>
    </row>
    <row r="189" spans="1:14">
      <c r="A189" s="11"/>
      <c r="B189" s="11"/>
      <c r="C189" s="2"/>
      <c r="D189" s="2"/>
      <c r="E189" s="2"/>
      <c r="F189" s="2"/>
      <c r="G189" s="2"/>
      <c r="H189" s="2"/>
      <c r="I189" s="2"/>
      <c r="J189" s="2"/>
      <c r="K189" s="2"/>
      <c r="L189" s="2"/>
      <c r="M189" s="2"/>
      <c r="N189" s="2"/>
    </row>
    <row r="190" spans="1:14">
      <c r="A190" s="11"/>
      <c r="B190" s="11"/>
      <c r="C190" s="2"/>
      <c r="D190" s="2"/>
      <c r="E190" s="2"/>
      <c r="F190" s="2"/>
      <c r="G190" s="2"/>
      <c r="H190" s="2"/>
      <c r="I190" s="2"/>
      <c r="J190" s="2"/>
      <c r="K190" s="2"/>
      <c r="L190" s="2"/>
      <c r="M190" s="2"/>
      <c r="N190" s="2"/>
    </row>
    <row r="191" spans="1:14">
      <c r="A191" s="11"/>
      <c r="B191" s="11"/>
      <c r="C191" s="2"/>
      <c r="D191" s="2"/>
      <c r="E191" s="2"/>
      <c r="F191" s="2"/>
      <c r="G191" s="2"/>
      <c r="H191" s="2"/>
      <c r="I191" s="2"/>
      <c r="J191" s="2"/>
      <c r="K191" s="2"/>
      <c r="L191" s="2"/>
      <c r="M191" s="2"/>
      <c r="N191" s="2"/>
    </row>
    <row r="192" spans="1:14">
      <c r="A192" s="11"/>
      <c r="B192" s="11"/>
      <c r="C192" s="2"/>
      <c r="D192" s="2"/>
      <c r="E192" s="2"/>
      <c r="F192" s="2"/>
      <c r="G192" s="2"/>
      <c r="H192" s="2"/>
      <c r="I192" s="2"/>
      <c r="J192" s="2"/>
      <c r="K192" s="2"/>
      <c r="L192" s="2"/>
      <c r="M192" s="2"/>
      <c r="N192" s="2"/>
    </row>
    <row r="193" spans="1:14">
      <c r="A193" s="11"/>
      <c r="B193" s="11"/>
      <c r="C193" s="2"/>
      <c r="D193" s="2"/>
      <c r="E193" s="2"/>
      <c r="F193" s="2"/>
      <c r="G193" s="2"/>
      <c r="H193" s="2"/>
      <c r="I193" s="2"/>
      <c r="J193" s="2"/>
      <c r="K193" s="2"/>
      <c r="L193" s="2"/>
      <c r="M193" s="2"/>
      <c r="N193" s="2"/>
    </row>
    <row r="194" spans="1:14">
      <c r="A194" s="11"/>
      <c r="B194" s="11"/>
      <c r="C194" s="2"/>
      <c r="D194" s="2"/>
      <c r="E194" s="2"/>
      <c r="F194" s="2"/>
      <c r="G194" s="2"/>
      <c r="H194" s="2"/>
      <c r="I194" s="2"/>
      <c r="J194" s="2"/>
      <c r="K194" s="2"/>
      <c r="L194" s="2"/>
      <c r="M194" s="2"/>
      <c r="N194" s="2"/>
    </row>
    <row r="195" spans="1:14">
      <c r="A195" s="11"/>
      <c r="B195" s="11"/>
      <c r="C195" s="2"/>
      <c r="D195" s="2"/>
      <c r="E195" s="2"/>
      <c r="F195" s="2"/>
      <c r="G195" s="2"/>
      <c r="H195" s="2"/>
      <c r="I195" s="2"/>
      <c r="J195" s="2"/>
      <c r="K195" s="2"/>
      <c r="L195" s="2"/>
      <c r="M195" s="2"/>
      <c r="N195" s="2"/>
    </row>
    <row r="196" spans="1:14">
      <c r="A196" s="11"/>
      <c r="B196" s="11"/>
      <c r="C196" s="2"/>
      <c r="D196" s="2"/>
      <c r="E196" s="2"/>
      <c r="F196" s="2"/>
      <c r="G196" s="2"/>
      <c r="H196" s="2"/>
      <c r="I196" s="2"/>
      <c r="J196" s="2"/>
      <c r="K196" s="2"/>
      <c r="L196" s="2"/>
      <c r="M196" s="2"/>
      <c r="N196" s="2"/>
    </row>
    <row r="197" spans="1:14">
      <c r="A197" s="11"/>
      <c r="B197" s="11"/>
      <c r="C197" s="2"/>
      <c r="D197" s="2"/>
      <c r="E197" s="2"/>
      <c r="F197" s="2"/>
      <c r="G197" s="2"/>
      <c r="H197" s="2"/>
      <c r="I197" s="2"/>
      <c r="J197" s="2"/>
      <c r="K197" s="2"/>
      <c r="L197" s="2"/>
      <c r="M197" s="2"/>
      <c r="N197" s="2"/>
    </row>
    <row r="198" spans="1:14">
      <c r="A198" s="11"/>
      <c r="B198" s="11"/>
      <c r="C198" s="2"/>
      <c r="D198" s="2"/>
      <c r="E198" s="2"/>
      <c r="F198" s="2"/>
      <c r="G198" s="2"/>
      <c r="H198" s="2"/>
      <c r="I198" s="2"/>
      <c r="J198" s="2"/>
      <c r="K198" s="2"/>
      <c r="L198" s="2"/>
      <c r="M198" s="2"/>
      <c r="N198" s="2"/>
    </row>
    <row r="199" spans="1:14">
      <c r="A199" s="11"/>
      <c r="B199" s="11"/>
      <c r="C199" s="2"/>
      <c r="D199" s="2"/>
      <c r="E199" s="2"/>
      <c r="F199" s="2"/>
      <c r="G199" s="2"/>
      <c r="H199" s="2"/>
      <c r="I199" s="2"/>
      <c r="J199" s="2"/>
      <c r="K199" s="2"/>
      <c r="L199" s="2"/>
      <c r="M199" s="2"/>
      <c r="N199" s="2"/>
    </row>
    <row r="200" spans="1:14">
      <c r="A200" s="11"/>
      <c r="B200" s="11"/>
      <c r="C200" s="2"/>
      <c r="D200" s="2"/>
      <c r="E200" s="2"/>
      <c r="F200" s="2"/>
      <c r="G200" s="2"/>
      <c r="H200" s="2"/>
      <c r="I200" s="2"/>
      <c r="J200" s="2"/>
      <c r="K200" s="2"/>
      <c r="L200" s="2"/>
      <c r="M200" s="2"/>
      <c r="N200" s="2"/>
    </row>
    <row r="201" spans="1:14">
      <c r="A201" s="11"/>
      <c r="B201" s="11"/>
      <c r="C201" s="2"/>
      <c r="D201" s="2"/>
      <c r="E201" s="2"/>
      <c r="F201" s="2"/>
      <c r="G201" s="2"/>
      <c r="H201" s="2"/>
      <c r="I201" s="2"/>
      <c r="J201" s="2"/>
      <c r="K201" s="2"/>
      <c r="L201" s="2"/>
      <c r="M201" s="2"/>
      <c r="N201" s="2"/>
    </row>
    <row r="202" spans="1:14">
      <c r="A202" s="11"/>
      <c r="B202" s="11"/>
      <c r="C202" s="2"/>
      <c r="D202" s="2"/>
      <c r="E202" s="2"/>
      <c r="F202" s="2"/>
      <c r="G202" s="2"/>
      <c r="H202" s="2"/>
      <c r="I202" s="2"/>
      <c r="J202" s="2"/>
      <c r="K202" s="2"/>
      <c r="L202" s="2"/>
      <c r="M202" s="2"/>
      <c r="N202" s="2"/>
    </row>
    <row r="203" spans="1:14">
      <c r="A203" s="11"/>
      <c r="B203" s="11"/>
      <c r="C203" s="2"/>
      <c r="D203" s="2"/>
      <c r="E203" s="2"/>
      <c r="F203" s="2"/>
      <c r="G203" s="2"/>
      <c r="H203" s="2"/>
      <c r="I203" s="2"/>
      <c r="J203" s="2"/>
      <c r="K203" s="2"/>
      <c r="L203" s="2"/>
      <c r="M203" s="2"/>
      <c r="N203" s="2"/>
    </row>
    <row r="204" spans="1:14">
      <c r="A204" s="11"/>
      <c r="B204" s="11"/>
      <c r="C204" s="2"/>
      <c r="D204" s="2"/>
      <c r="E204" s="2"/>
      <c r="F204" s="2"/>
      <c r="G204" s="2"/>
      <c r="H204" s="2"/>
      <c r="I204" s="2"/>
      <c r="J204" s="2"/>
      <c r="K204" s="2"/>
      <c r="L204" s="2"/>
      <c r="M204" s="2"/>
      <c r="N204" s="2"/>
    </row>
    <row r="205" spans="1:14">
      <c r="A205" s="11"/>
      <c r="B205" s="11"/>
      <c r="C205" s="2"/>
      <c r="D205" s="2"/>
      <c r="E205" s="2"/>
      <c r="F205" s="2"/>
      <c r="G205" s="2"/>
      <c r="H205" s="2"/>
      <c r="I205" s="2"/>
      <c r="J205" s="2"/>
      <c r="K205" s="2"/>
      <c r="L205" s="2"/>
      <c r="M205" s="2"/>
      <c r="N205" s="2"/>
    </row>
    <row r="206" spans="1:14">
      <c r="A206" s="11"/>
      <c r="B206" s="11"/>
      <c r="C206" s="2"/>
      <c r="D206" s="2"/>
      <c r="E206" s="2"/>
      <c r="F206" s="2"/>
      <c r="G206" s="2"/>
      <c r="H206" s="2"/>
      <c r="I206" s="2"/>
      <c r="J206" s="2"/>
      <c r="K206" s="2"/>
      <c r="L206" s="2"/>
      <c r="M206" s="2"/>
      <c r="N206" s="2"/>
    </row>
    <row r="207" spans="1:14">
      <c r="A207" s="11"/>
      <c r="B207" s="11"/>
      <c r="C207" s="2"/>
      <c r="D207" s="2"/>
      <c r="E207" s="2"/>
      <c r="F207" s="2"/>
      <c r="G207" s="2"/>
      <c r="H207" s="2"/>
      <c r="I207" s="2"/>
      <c r="J207" s="2"/>
      <c r="K207" s="2"/>
      <c r="L207" s="2"/>
      <c r="M207" s="2"/>
      <c r="N207" s="2"/>
    </row>
    <row r="208" spans="1:14">
      <c r="A208" s="11"/>
      <c r="B208" s="11"/>
      <c r="C208" s="2"/>
      <c r="D208" s="2"/>
      <c r="E208" s="2"/>
      <c r="F208" s="2"/>
      <c r="G208" s="2"/>
      <c r="H208" s="2"/>
      <c r="I208" s="2"/>
      <c r="J208" s="2"/>
      <c r="K208" s="2"/>
      <c r="L208" s="2"/>
      <c r="M208" s="2"/>
      <c r="N208" s="2"/>
    </row>
    <row r="209" spans="1:14">
      <c r="A209" s="11"/>
      <c r="B209" s="11"/>
      <c r="C209" s="2"/>
      <c r="D209" s="2"/>
      <c r="E209" s="2"/>
      <c r="F209" s="2"/>
      <c r="G209" s="2"/>
      <c r="H209" s="2"/>
      <c r="I209" s="2"/>
      <c r="J209" s="2"/>
      <c r="K209" s="2"/>
      <c r="L209" s="2"/>
      <c r="M209" s="2"/>
      <c r="N209" s="2"/>
    </row>
    <row r="210" spans="1:14">
      <c r="A210" s="11"/>
      <c r="B210" s="11"/>
      <c r="C210" s="2"/>
      <c r="D210" s="2"/>
      <c r="E210" s="2"/>
      <c r="F210" s="2"/>
      <c r="G210" s="2"/>
      <c r="H210" s="2"/>
      <c r="I210" s="2"/>
      <c r="J210" s="2"/>
      <c r="K210" s="2"/>
      <c r="L210" s="2"/>
      <c r="M210" s="2"/>
      <c r="N210" s="2"/>
    </row>
    <row r="211" spans="1:14">
      <c r="A211" s="11"/>
      <c r="B211" s="11"/>
      <c r="C211" s="2"/>
      <c r="D211" s="2"/>
      <c r="E211" s="2"/>
      <c r="F211" s="2"/>
      <c r="G211" s="2"/>
      <c r="H211" s="2"/>
      <c r="I211" s="2"/>
      <c r="J211" s="2"/>
      <c r="K211" s="2"/>
      <c r="L211" s="2"/>
      <c r="M211" s="2"/>
      <c r="N211" s="2"/>
    </row>
    <row r="212" spans="1:14">
      <c r="A212" s="11"/>
      <c r="B212" s="11"/>
      <c r="C212" s="2"/>
      <c r="D212" s="2"/>
      <c r="E212" s="2"/>
      <c r="F212" s="2"/>
      <c r="G212" s="2"/>
      <c r="H212" s="2"/>
      <c r="I212" s="2"/>
      <c r="J212" s="2"/>
      <c r="K212" s="2"/>
      <c r="L212" s="2"/>
      <c r="M212" s="2"/>
      <c r="N212" s="2"/>
    </row>
    <row r="213" spans="1:14">
      <c r="A213" s="11"/>
      <c r="B213" s="11"/>
      <c r="C213" s="2"/>
      <c r="D213" s="2"/>
      <c r="E213" s="2"/>
      <c r="F213" s="2"/>
      <c r="G213" s="2"/>
      <c r="H213" s="2"/>
      <c r="I213" s="2"/>
      <c r="J213" s="2"/>
      <c r="K213" s="2"/>
      <c r="L213" s="2"/>
      <c r="M213" s="2"/>
      <c r="N213" s="2"/>
    </row>
    <row r="214" spans="1:14">
      <c r="A214" s="11"/>
      <c r="B214" s="11"/>
      <c r="C214" s="2"/>
      <c r="D214" s="2"/>
      <c r="E214" s="2"/>
      <c r="F214" s="2"/>
      <c r="G214" s="2"/>
      <c r="H214" s="2"/>
      <c r="I214" s="2"/>
      <c r="J214" s="2"/>
      <c r="K214" s="2"/>
      <c r="L214" s="2"/>
      <c r="M214" s="2"/>
      <c r="N214" s="2"/>
    </row>
    <row r="215" spans="1:14">
      <c r="A215" s="11"/>
      <c r="B215" s="11"/>
      <c r="C215" s="2"/>
      <c r="D215" s="2"/>
      <c r="E215" s="2"/>
      <c r="F215" s="2"/>
      <c r="G215" s="2"/>
      <c r="H215" s="2"/>
      <c r="I215" s="2"/>
      <c r="J215" s="2"/>
      <c r="K215" s="2"/>
      <c r="L215" s="2"/>
      <c r="M215" s="2"/>
      <c r="N215" s="2"/>
    </row>
    <row r="216" spans="1:14">
      <c r="A216" s="11"/>
      <c r="B216" s="11"/>
      <c r="C216" s="2"/>
      <c r="D216" s="2"/>
      <c r="E216" s="2"/>
      <c r="F216" s="2"/>
      <c r="G216" s="2"/>
      <c r="H216" s="2"/>
      <c r="I216" s="2"/>
      <c r="J216" s="2"/>
      <c r="K216" s="2"/>
      <c r="L216" s="2"/>
      <c r="M216" s="2"/>
      <c r="N216" s="2"/>
    </row>
    <row r="217" spans="1:14">
      <c r="A217" s="11"/>
      <c r="B217" s="11"/>
      <c r="C217" s="2"/>
      <c r="D217" s="2"/>
      <c r="E217" s="2"/>
      <c r="F217" s="2"/>
      <c r="G217" s="2"/>
      <c r="H217" s="2"/>
      <c r="I217" s="2"/>
      <c r="J217" s="2"/>
      <c r="K217" s="2"/>
      <c r="L217" s="2"/>
      <c r="M217" s="2"/>
      <c r="N217" s="2"/>
    </row>
    <row r="218" spans="1:14">
      <c r="A218" s="11"/>
      <c r="B218" s="11"/>
      <c r="C218" s="2"/>
      <c r="D218" s="2"/>
      <c r="E218" s="2"/>
      <c r="F218" s="2"/>
      <c r="G218" s="2"/>
      <c r="H218" s="2"/>
      <c r="I218" s="2"/>
      <c r="J218" s="2"/>
      <c r="K218" s="2"/>
      <c r="L218" s="2"/>
      <c r="M218" s="2"/>
      <c r="N218" s="2"/>
    </row>
    <row r="219" spans="1:14">
      <c r="A219" s="11"/>
      <c r="B219" s="11"/>
      <c r="C219" s="2"/>
      <c r="D219" s="2"/>
      <c r="E219" s="2"/>
      <c r="F219" s="2"/>
      <c r="G219" s="2"/>
      <c r="H219" s="2"/>
      <c r="I219" s="2"/>
      <c r="J219" s="2"/>
      <c r="K219" s="2"/>
      <c r="L219" s="2"/>
      <c r="M219" s="2"/>
      <c r="N219" s="2"/>
    </row>
    <row r="220" spans="1:14">
      <c r="A220" s="11"/>
      <c r="B220" s="11"/>
      <c r="C220" s="2"/>
      <c r="D220" s="2"/>
      <c r="E220" s="2"/>
      <c r="F220" s="2"/>
      <c r="G220" s="2"/>
      <c r="H220" s="2"/>
      <c r="I220" s="2"/>
      <c r="J220" s="2"/>
      <c r="K220" s="2"/>
      <c r="L220" s="2"/>
      <c r="M220" s="2"/>
      <c r="N220" s="2"/>
    </row>
    <row r="221" spans="1:14">
      <c r="A221" s="11"/>
      <c r="B221" s="11"/>
      <c r="C221" s="2"/>
      <c r="D221" s="2"/>
      <c r="E221" s="2"/>
      <c r="F221" s="2"/>
      <c r="G221" s="2"/>
      <c r="H221" s="2"/>
      <c r="I221" s="2"/>
      <c r="J221" s="2"/>
      <c r="K221" s="2"/>
      <c r="L221" s="2"/>
      <c r="M221" s="2"/>
      <c r="N221" s="2"/>
    </row>
    <row r="222" spans="1:14">
      <c r="A222" s="11"/>
      <c r="B222" s="11"/>
      <c r="C222" s="2"/>
      <c r="D222" s="2"/>
      <c r="E222" s="2"/>
      <c r="F222" s="2"/>
      <c r="G222" s="2"/>
      <c r="H222" s="2"/>
      <c r="I222" s="2"/>
      <c r="J222" s="2"/>
      <c r="K222" s="2"/>
      <c r="L222" s="2"/>
      <c r="M222" s="2"/>
      <c r="N222" s="2"/>
    </row>
    <row r="223" spans="1:14">
      <c r="A223" s="11"/>
      <c r="B223" s="11"/>
      <c r="C223" s="2"/>
      <c r="D223" s="2"/>
      <c r="E223" s="2"/>
      <c r="F223" s="2"/>
      <c r="G223" s="2"/>
      <c r="H223" s="2"/>
      <c r="I223" s="2"/>
      <c r="J223" s="2"/>
      <c r="K223" s="2"/>
      <c r="L223" s="2"/>
      <c r="M223" s="2"/>
      <c r="N223" s="2"/>
    </row>
    <row r="224" spans="1:14">
      <c r="A224" s="11"/>
      <c r="B224" s="11"/>
      <c r="C224" s="2"/>
      <c r="D224" s="2"/>
      <c r="E224" s="2"/>
      <c r="F224" s="2"/>
      <c r="G224" s="2"/>
      <c r="H224" s="2"/>
      <c r="I224" s="2"/>
      <c r="J224" s="2"/>
      <c r="K224" s="2"/>
      <c r="L224" s="2"/>
      <c r="M224" s="2"/>
      <c r="N224" s="2"/>
    </row>
    <row r="225" spans="1:14">
      <c r="A225" s="11"/>
      <c r="B225" s="11"/>
      <c r="C225" s="2"/>
      <c r="D225" s="2"/>
      <c r="E225" s="2"/>
      <c r="F225" s="2"/>
      <c r="G225" s="2"/>
      <c r="H225" s="2"/>
      <c r="I225" s="2"/>
      <c r="J225" s="2"/>
      <c r="K225" s="2"/>
      <c r="L225" s="2"/>
      <c r="M225" s="2"/>
      <c r="N225" s="2"/>
    </row>
    <row r="226" spans="1:14">
      <c r="A226" s="11"/>
      <c r="B226" s="11"/>
      <c r="C226" s="2"/>
      <c r="D226" s="2"/>
      <c r="E226" s="2"/>
      <c r="F226" s="2"/>
      <c r="G226" s="2"/>
      <c r="H226" s="2"/>
      <c r="I226" s="2"/>
      <c r="J226" s="2"/>
      <c r="K226" s="2"/>
      <c r="L226" s="2"/>
      <c r="M226" s="2"/>
      <c r="N226" s="2"/>
    </row>
    <row r="227" spans="1:14">
      <c r="A227" s="11"/>
      <c r="B227" s="11"/>
      <c r="C227" s="2"/>
      <c r="D227" s="2"/>
      <c r="E227" s="2"/>
      <c r="F227" s="2"/>
      <c r="G227" s="2"/>
      <c r="H227" s="2"/>
      <c r="I227" s="2"/>
      <c r="J227" s="2"/>
      <c r="K227" s="2"/>
      <c r="L227" s="2"/>
      <c r="M227" s="2"/>
      <c r="N227" s="2"/>
    </row>
    <row r="228" spans="1:14">
      <c r="A228" s="11"/>
      <c r="B228" s="11"/>
      <c r="C228" s="2"/>
      <c r="D228" s="2"/>
      <c r="E228" s="2"/>
      <c r="F228" s="2"/>
      <c r="G228" s="2"/>
      <c r="H228" s="2"/>
      <c r="I228" s="2"/>
      <c r="J228" s="2"/>
      <c r="K228" s="2"/>
      <c r="L228" s="2"/>
      <c r="M228" s="2"/>
      <c r="N228" s="2"/>
    </row>
    <row r="229" spans="1:14">
      <c r="A229" s="11"/>
      <c r="B229" s="11"/>
      <c r="C229" s="2"/>
      <c r="D229" s="2"/>
      <c r="E229" s="2"/>
      <c r="F229" s="2"/>
      <c r="G229" s="2"/>
      <c r="H229" s="2"/>
      <c r="I229" s="2"/>
      <c r="J229" s="2"/>
      <c r="K229" s="2"/>
      <c r="L229" s="2"/>
      <c r="M229" s="2"/>
      <c r="N229" s="2"/>
    </row>
    <row r="230" spans="1:14">
      <c r="A230" s="11"/>
      <c r="B230" s="11"/>
      <c r="C230" s="2"/>
      <c r="D230" s="2"/>
      <c r="E230" s="2"/>
      <c r="F230" s="2"/>
      <c r="G230" s="2"/>
      <c r="H230" s="2"/>
      <c r="I230" s="2"/>
      <c r="J230" s="2"/>
      <c r="K230" s="2"/>
      <c r="L230" s="2"/>
      <c r="M230" s="2"/>
      <c r="N230" s="2"/>
    </row>
    <row r="231" spans="1:14">
      <c r="A231" s="11"/>
      <c r="B231" s="11"/>
      <c r="C231" s="2"/>
      <c r="D231" s="2"/>
      <c r="E231" s="2"/>
      <c r="F231" s="2"/>
      <c r="G231" s="2"/>
      <c r="H231" s="2"/>
      <c r="I231" s="2"/>
      <c r="J231" s="2"/>
      <c r="K231" s="2"/>
      <c r="L231" s="2"/>
      <c r="M231" s="2"/>
      <c r="N231" s="2"/>
    </row>
    <row r="232" spans="1:14">
      <c r="A232" s="11"/>
      <c r="B232" s="11"/>
      <c r="C232" s="2"/>
      <c r="D232" s="2"/>
      <c r="E232" s="2"/>
      <c r="F232" s="2"/>
      <c r="G232" s="2"/>
      <c r="H232" s="2"/>
      <c r="I232" s="2"/>
      <c r="J232" s="2"/>
      <c r="K232" s="2"/>
      <c r="L232" s="2"/>
      <c r="M232" s="2"/>
      <c r="N232" s="2"/>
    </row>
    <row r="233" spans="1:14">
      <c r="A233" s="11"/>
      <c r="B233" s="11"/>
      <c r="C233" s="2"/>
      <c r="D233" s="2"/>
      <c r="E233" s="2"/>
      <c r="F233" s="2"/>
      <c r="G233" s="2"/>
      <c r="H233" s="2"/>
      <c r="I233" s="2"/>
      <c r="J233" s="2"/>
      <c r="K233" s="2"/>
      <c r="L233" s="2"/>
      <c r="M233" s="2"/>
      <c r="N233" s="2"/>
    </row>
    <row r="234" spans="1:14">
      <c r="A234" s="11"/>
      <c r="B234" s="11"/>
      <c r="C234" s="2"/>
      <c r="D234" s="2"/>
      <c r="E234" s="2"/>
      <c r="F234" s="2"/>
      <c r="G234" s="2"/>
      <c r="H234" s="2"/>
      <c r="I234" s="2"/>
      <c r="J234" s="2"/>
      <c r="K234" s="2"/>
      <c r="L234" s="2"/>
      <c r="M234" s="2"/>
      <c r="N234" s="2"/>
    </row>
    <row r="235" spans="1:14">
      <c r="A235" s="11"/>
      <c r="B235" s="11"/>
      <c r="C235" s="2"/>
      <c r="D235" s="2"/>
      <c r="E235" s="2"/>
      <c r="F235" s="2"/>
      <c r="G235" s="2"/>
      <c r="H235" s="2"/>
      <c r="I235" s="2"/>
      <c r="J235" s="2"/>
      <c r="K235" s="2"/>
      <c r="L235" s="2"/>
      <c r="M235" s="2"/>
      <c r="N235" s="2"/>
    </row>
    <row r="236" spans="1:14">
      <c r="A236" s="11"/>
      <c r="B236" s="11"/>
      <c r="C236" s="2"/>
      <c r="D236" s="2"/>
      <c r="E236" s="2"/>
      <c r="F236" s="2"/>
      <c r="G236" s="2"/>
      <c r="H236" s="2"/>
      <c r="I236" s="2"/>
      <c r="J236" s="2"/>
      <c r="K236" s="2"/>
      <c r="L236" s="2"/>
      <c r="M236" s="2"/>
      <c r="N236" s="2"/>
    </row>
    <row r="237" spans="1:14">
      <c r="A237" s="11"/>
      <c r="B237" s="11"/>
      <c r="C237" s="2"/>
      <c r="D237" s="2"/>
      <c r="E237" s="2"/>
      <c r="F237" s="2"/>
      <c r="G237" s="2"/>
      <c r="H237" s="2"/>
      <c r="I237" s="2"/>
      <c r="J237" s="2"/>
      <c r="K237" s="2"/>
      <c r="L237" s="2"/>
      <c r="M237" s="2"/>
      <c r="N237" s="2"/>
    </row>
    <row r="238" spans="1:14">
      <c r="A238" s="11"/>
      <c r="B238" s="11"/>
      <c r="C238" s="2"/>
      <c r="D238" s="2"/>
      <c r="E238" s="2"/>
      <c r="F238" s="2"/>
      <c r="G238" s="2"/>
      <c r="H238" s="2"/>
      <c r="I238" s="2"/>
      <c r="J238" s="2"/>
      <c r="K238" s="2"/>
      <c r="L238" s="2"/>
      <c r="M238" s="2"/>
      <c r="N238" s="2"/>
    </row>
    <row r="239" spans="1:14">
      <c r="A239" s="11"/>
      <c r="B239" s="11"/>
      <c r="C239" s="2"/>
      <c r="D239" s="2"/>
      <c r="E239" s="2"/>
      <c r="F239" s="2"/>
      <c r="G239" s="2"/>
      <c r="H239" s="2"/>
      <c r="I239" s="2"/>
      <c r="J239" s="2"/>
      <c r="K239" s="2"/>
      <c r="L239" s="2"/>
      <c r="M239" s="2"/>
      <c r="N239" s="2"/>
    </row>
    <row r="240" spans="1:14">
      <c r="A240" s="11"/>
      <c r="B240" s="11"/>
      <c r="C240" s="2"/>
      <c r="D240" s="2"/>
      <c r="E240" s="2"/>
      <c r="F240" s="2"/>
      <c r="G240" s="2"/>
      <c r="H240" s="2"/>
      <c r="I240" s="2"/>
      <c r="J240" s="2"/>
      <c r="K240" s="2"/>
      <c r="L240" s="2"/>
      <c r="M240" s="2"/>
      <c r="N240" s="2"/>
    </row>
    <row r="241" spans="1:14">
      <c r="A241" s="11"/>
      <c r="B241" s="11"/>
      <c r="C241" s="2"/>
      <c r="D241" s="2"/>
      <c r="E241" s="2"/>
      <c r="F241" s="2"/>
      <c r="G241" s="2"/>
      <c r="H241" s="2"/>
      <c r="I241" s="2"/>
      <c r="J241" s="2"/>
      <c r="K241" s="2"/>
      <c r="L241" s="2"/>
      <c r="M241" s="2"/>
      <c r="N241" s="2"/>
    </row>
    <row r="242" spans="1:14">
      <c r="A242" s="11"/>
      <c r="B242" s="11"/>
      <c r="C242" s="2"/>
      <c r="D242" s="2"/>
      <c r="E242" s="2"/>
      <c r="F242" s="2"/>
      <c r="G242" s="2"/>
      <c r="H242" s="2"/>
      <c r="I242" s="2"/>
      <c r="J242" s="2"/>
      <c r="K242" s="2"/>
      <c r="L242" s="2"/>
      <c r="M242" s="2"/>
      <c r="N242" s="2"/>
    </row>
    <row r="243" spans="1:14">
      <c r="A243" s="11"/>
      <c r="B243" s="11"/>
      <c r="C243" s="2"/>
      <c r="D243" s="2"/>
      <c r="E243" s="2"/>
      <c r="F243" s="2"/>
      <c r="G243" s="2"/>
      <c r="H243" s="2"/>
      <c r="I243" s="2"/>
      <c r="J243" s="2"/>
      <c r="K243" s="2"/>
      <c r="L243" s="2"/>
      <c r="M243" s="2"/>
      <c r="N243" s="2"/>
    </row>
    <row r="244" spans="1:14">
      <c r="A244" s="11"/>
      <c r="B244" s="11"/>
      <c r="C244" s="2"/>
      <c r="D244" s="2"/>
      <c r="E244" s="2"/>
      <c r="F244" s="2"/>
      <c r="G244" s="2"/>
      <c r="H244" s="2"/>
      <c r="I244" s="2"/>
      <c r="J244" s="2"/>
      <c r="K244" s="2"/>
      <c r="L244" s="2"/>
      <c r="M244" s="2"/>
      <c r="N244" s="2"/>
    </row>
    <row r="245" spans="1:14">
      <c r="A245" s="11"/>
      <c r="B245" s="11"/>
      <c r="C245" s="2"/>
      <c r="D245" s="2"/>
      <c r="E245" s="2"/>
      <c r="F245" s="2"/>
      <c r="G245" s="2"/>
      <c r="H245" s="2"/>
      <c r="I245" s="2"/>
      <c r="J245" s="2"/>
      <c r="K245" s="2"/>
      <c r="L245" s="2"/>
      <c r="M245" s="2"/>
      <c r="N245" s="2"/>
    </row>
    <row r="246" spans="1:14">
      <c r="A246" s="11"/>
      <c r="B246" s="11"/>
      <c r="C246" s="2"/>
      <c r="D246" s="2"/>
      <c r="E246" s="2"/>
      <c r="F246" s="2"/>
      <c r="G246" s="2"/>
      <c r="H246" s="2"/>
      <c r="I246" s="2"/>
      <c r="J246" s="2"/>
      <c r="K246" s="2"/>
      <c r="L246" s="2"/>
      <c r="M246" s="2"/>
      <c r="N246" s="2"/>
    </row>
    <row r="247" spans="1:14">
      <c r="A247" s="11"/>
      <c r="B247" s="11"/>
      <c r="C247" s="2"/>
      <c r="D247" s="2"/>
      <c r="E247" s="2"/>
      <c r="F247" s="2"/>
      <c r="G247" s="2"/>
      <c r="H247" s="2"/>
      <c r="I247" s="2"/>
      <c r="J247" s="2"/>
      <c r="K247" s="2"/>
      <c r="L247" s="2"/>
      <c r="M247" s="2"/>
      <c r="N247" s="2"/>
    </row>
    <row r="248" spans="1:14">
      <c r="A248" s="11"/>
      <c r="B248" s="11"/>
      <c r="C248" s="2"/>
      <c r="D248" s="2"/>
      <c r="E248" s="2"/>
      <c r="F248" s="2"/>
      <c r="G248" s="2"/>
      <c r="H248" s="2"/>
      <c r="I248" s="2"/>
      <c r="J248" s="2"/>
      <c r="K248" s="2"/>
      <c r="L248" s="2"/>
      <c r="M248" s="2"/>
      <c r="N248" s="2"/>
    </row>
    <row r="249" spans="1:14">
      <c r="A249" s="11"/>
      <c r="B249" s="11"/>
      <c r="C249" s="2"/>
      <c r="D249" s="2"/>
      <c r="E249" s="2"/>
      <c r="F249" s="2"/>
      <c r="G249" s="2"/>
      <c r="H249" s="2"/>
      <c r="I249" s="2"/>
      <c r="J249" s="2"/>
      <c r="K249" s="2"/>
      <c r="L249" s="2"/>
      <c r="M249" s="2"/>
      <c r="N249" s="2"/>
    </row>
    <row r="250" spans="1:14">
      <c r="A250" s="11"/>
      <c r="B250" s="11"/>
      <c r="C250" s="2"/>
      <c r="D250" s="2"/>
      <c r="E250" s="2"/>
      <c r="F250" s="2"/>
      <c r="G250" s="2"/>
      <c r="H250" s="2"/>
      <c r="I250" s="2"/>
      <c r="J250" s="2"/>
      <c r="K250" s="2"/>
      <c r="L250" s="2"/>
      <c r="M250" s="2"/>
      <c r="N250" s="2"/>
    </row>
    <row r="251" spans="1:14">
      <c r="A251" s="11"/>
      <c r="B251" s="11"/>
      <c r="C251" s="2"/>
      <c r="D251" s="2"/>
      <c r="E251" s="2"/>
      <c r="F251" s="2"/>
      <c r="G251" s="2"/>
      <c r="H251" s="2"/>
      <c r="I251" s="2"/>
      <c r="J251" s="2"/>
      <c r="K251" s="2"/>
      <c r="L251" s="2"/>
      <c r="M251" s="2"/>
      <c r="N251" s="2"/>
    </row>
    <row r="252" spans="1:14">
      <c r="A252" s="11"/>
      <c r="B252" s="11"/>
      <c r="C252" s="2"/>
      <c r="D252" s="2"/>
      <c r="E252" s="2"/>
      <c r="F252" s="2"/>
      <c r="G252" s="2"/>
      <c r="H252" s="2"/>
      <c r="I252" s="2"/>
      <c r="J252" s="2"/>
      <c r="K252" s="2"/>
      <c r="L252" s="2"/>
      <c r="M252" s="2"/>
      <c r="N252" s="2"/>
    </row>
    <row r="253" spans="1:14">
      <c r="A253" s="11"/>
      <c r="B253" s="11"/>
      <c r="C253" s="2"/>
      <c r="D253" s="2"/>
      <c r="E253" s="2"/>
      <c r="F253" s="2"/>
      <c r="G253" s="2"/>
      <c r="H253" s="2"/>
      <c r="I253" s="2"/>
      <c r="J253" s="2"/>
      <c r="K253" s="2"/>
      <c r="L253" s="2"/>
      <c r="M253" s="2"/>
      <c r="N253" s="2"/>
    </row>
    <row r="254" spans="1:14">
      <c r="A254" s="11"/>
      <c r="B254" s="11"/>
      <c r="C254" s="2"/>
      <c r="D254" s="2"/>
      <c r="E254" s="2"/>
      <c r="F254" s="2"/>
      <c r="G254" s="2"/>
      <c r="H254" s="2"/>
      <c r="I254" s="2"/>
      <c r="J254" s="2"/>
      <c r="K254" s="2"/>
      <c r="L254" s="2"/>
      <c r="M254" s="2"/>
      <c r="N254" s="2"/>
    </row>
    <row r="255" spans="1:14">
      <c r="A255" s="11"/>
      <c r="B255" s="11"/>
      <c r="C255" s="2"/>
      <c r="D255" s="2"/>
      <c r="E255" s="2"/>
      <c r="F255" s="2"/>
      <c r="G255" s="2"/>
      <c r="H255" s="2"/>
      <c r="I255" s="2"/>
      <c r="J255" s="2"/>
      <c r="K255" s="2"/>
      <c r="L255" s="2"/>
      <c r="M255" s="2"/>
      <c r="N255" s="2"/>
    </row>
    <row r="256" spans="1:14">
      <c r="A256" s="11"/>
      <c r="B256" s="11"/>
      <c r="C256" s="2"/>
      <c r="D256" s="2"/>
      <c r="E256" s="2"/>
      <c r="F256" s="2"/>
      <c r="G256" s="2"/>
      <c r="H256" s="2"/>
      <c r="I256" s="2"/>
      <c r="J256" s="2"/>
      <c r="K256" s="2"/>
      <c r="L256" s="2"/>
      <c r="M256" s="2"/>
      <c r="N256" s="2"/>
    </row>
    <row r="257" spans="1:14">
      <c r="A257" s="11"/>
      <c r="B257" s="11"/>
      <c r="C257" s="2"/>
      <c r="D257" s="2"/>
      <c r="E257" s="2"/>
      <c r="F257" s="2"/>
      <c r="G257" s="2"/>
      <c r="H257" s="2"/>
      <c r="I257" s="2"/>
      <c r="J257" s="2"/>
      <c r="K257" s="2"/>
      <c r="L257" s="2"/>
      <c r="M257" s="2"/>
      <c r="N257" s="2"/>
    </row>
    <row r="258" spans="1:14">
      <c r="A258" s="11"/>
      <c r="B258" s="11"/>
      <c r="C258" s="2"/>
      <c r="D258" s="2"/>
      <c r="E258" s="2"/>
      <c r="F258" s="2"/>
      <c r="G258" s="2"/>
      <c r="H258" s="2"/>
      <c r="I258" s="2"/>
      <c r="J258" s="2"/>
      <c r="K258" s="2"/>
      <c r="L258" s="2"/>
      <c r="M258" s="2"/>
      <c r="N258" s="2"/>
    </row>
    <row r="259" spans="1:14">
      <c r="A259" s="11"/>
      <c r="B259" s="11"/>
      <c r="C259" s="2"/>
      <c r="D259" s="2"/>
      <c r="E259" s="2"/>
      <c r="F259" s="2"/>
      <c r="G259" s="2"/>
      <c r="H259" s="2"/>
      <c r="I259" s="2"/>
      <c r="J259" s="2"/>
      <c r="K259" s="2"/>
      <c r="L259" s="2"/>
      <c r="M259" s="2"/>
      <c r="N259" s="2"/>
    </row>
    <row r="260" spans="1:14">
      <c r="A260" s="11"/>
      <c r="B260" s="11"/>
      <c r="C260" s="2"/>
      <c r="D260" s="2"/>
      <c r="E260" s="2"/>
      <c r="F260" s="2"/>
      <c r="G260" s="2"/>
      <c r="H260" s="2"/>
      <c r="I260" s="2"/>
      <c r="J260" s="2"/>
      <c r="K260" s="2"/>
      <c r="L260" s="2"/>
      <c r="M260" s="2"/>
      <c r="N260" s="2"/>
    </row>
    <row r="261" spans="1:14">
      <c r="A261" s="11"/>
      <c r="B261" s="11"/>
      <c r="C261" s="2"/>
      <c r="D261" s="2"/>
      <c r="E261" s="2"/>
      <c r="F261" s="2"/>
      <c r="G261" s="2"/>
      <c r="H261" s="2"/>
      <c r="I261" s="2"/>
      <c r="J261" s="2"/>
      <c r="K261" s="2"/>
      <c r="L261" s="2"/>
      <c r="M261" s="2"/>
      <c r="N261" s="2"/>
    </row>
    <row r="262" spans="1:14">
      <c r="A262" s="11"/>
      <c r="B262" s="11"/>
      <c r="C262" s="2"/>
      <c r="D262" s="2"/>
      <c r="E262" s="2"/>
      <c r="F262" s="2"/>
      <c r="G262" s="2"/>
      <c r="H262" s="2"/>
      <c r="I262" s="2"/>
      <c r="J262" s="2"/>
      <c r="K262" s="2"/>
      <c r="L262" s="2"/>
      <c r="M262" s="2"/>
      <c r="N262" s="2"/>
    </row>
    <row r="263" spans="1:14">
      <c r="A263" s="11"/>
      <c r="B263" s="11"/>
      <c r="C263" s="2"/>
      <c r="D263" s="2"/>
      <c r="E263" s="2"/>
      <c r="F263" s="2"/>
      <c r="G263" s="2"/>
      <c r="H263" s="2"/>
      <c r="I263" s="2"/>
      <c r="J263" s="2"/>
      <c r="K263" s="2"/>
      <c r="L263" s="2"/>
      <c r="M263" s="2"/>
      <c r="N263" s="2"/>
    </row>
    <row r="264" spans="1:14">
      <c r="A264" s="11"/>
      <c r="B264" s="11"/>
      <c r="C264" s="2"/>
      <c r="D264" s="2"/>
      <c r="E264" s="2"/>
      <c r="F264" s="2"/>
      <c r="G264" s="2"/>
      <c r="H264" s="2"/>
      <c r="I264" s="2"/>
      <c r="J264" s="2"/>
      <c r="K264" s="2"/>
      <c r="L264" s="2"/>
      <c r="M264" s="2"/>
      <c r="N264" s="2"/>
    </row>
    <row r="265" spans="1:14">
      <c r="A265" s="11"/>
      <c r="B265" s="11"/>
      <c r="C265" s="2"/>
      <c r="D265" s="2"/>
      <c r="E265" s="2"/>
      <c r="F265" s="2"/>
      <c r="G265" s="2"/>
      <c r="H265" s="2"/>
      <c r="I265" s="2"/>
      <c r="J265" s="2"/>
      <c r="K265" s="2"/>
      <c r="L265" s="2"/>
      <c r="M265" s="2"/>
      <c r="N265" s="2"/>
    </row>
    <row r="266" spans="1:14">
      <c r="A266" s="11"/>
      <c r="B266" s="11"/>
      <c r="C266" s="2"/>
      <c r="D266" s="2"/>
      <c r="E266" s="2"/>
      <c r="F266" s="2"/>
      <c r="G266" s="2"/>
      <c r="H266" s="2"/>
      <c r="I266" s="2"/>
      <c r="J266" s="2"/>
      <c r="K266" s="2"/>
      <c r="L266" s="2"/>
      <c r="M266" s="2"/>
      <c r="N266" s="2"/>
    </row>
    <row r="267" spans="1:14">
      <c r="A267" s="11"/>
      <c r="B267" s="11"/>
      <c r="C267" s="2"/>
      <c r="D267" s="2"/>
      <c r="E267" s="2"/>
      <c r="F267" s="2"/>
      <c r="G267" s="2"/>
      <c r="H267" s="2"/>
      <c r="I267" s="2"/>
      <c r="J267" s="2"/>
      <c r="K267" s="2"/>
      <c r="L267" s="2"/>
      <c r="M267" s="2"/>
      <c r="N267" s="2"/>
    </row>
    <row r="268" spans="1:14">
      <c r="A268" s="11"/>
      <c r="B268" s="11"/>
      <c r="C268" s="2"/>
      <c r="D268" s="2"/>
      <c r="E268" s="2"/>
      <c r="F268" s="2"/>
      <c r="G268" s="2"/>
      <c r="H268" s="2"/>
      <c r="I268" s="2"/>
      <c r="J268" s="2"/>
      <c r="K268" s="2"/>
      <c r="L268" s="2"/>
      <c r="M268" s="2"/>
      <c r="N268" s="2"/>
    </row>
    <row r="269" spans="1:14">
      <c r="A269" s="11"/>
      <c r="B269" s="11"/>
      <c r="C269" s="2"/>
      <c r="D269" s="2"/>
      <c r="E269" s="2"/>
      <c r="F269" s="2"/>
      <c r="G269" s="2"/>
      <c r="H269" s="2"/>
      <c r="I269" s="2"/>
      <c r="J269" s="2"/>
      <c r="K269" s="2"/>
      <c r="L269" s="2"/>
      <c r="M269" s="2"/>
      <c r="N269" s="2"/>
    </row>
    <row r="270" spans="1:14">
      <c r="A270" s="11"/>
      <c r="B270" s="11"/>
      <c r="C270" s="2"/>
      <c r="D270" s="2"/>
      <c r="E270" s="2"/>
      <c r="F270" s="2"/>
      <c r="G270" s="2"/>
      <c r="H270" s="2"/>
      <c r="I270" s="2"/>
      <c r="J270" s="2"/>
      <c r="K270" s="2"/>
      <c r="L270" s="2"/>
      <c r="M270" s="2"/>
      <c r="N270" s="2"/>
    </row>
    <row r="271" spans="1:14">
      <c r="A271" s="11"/>
      <c r="B271" s="11"/>
      <c r="C271" s="2"/>
      <c r="D271" s="2"/>
      <c r="E271" s="2"/>
      <c r="F271" s="2"/>
      <c r="G271" s="2"/>
      <c r="H271" s="2"/>
      <c r="I271" s="2"/>
      <c r="J271" s="2"/>
      <c r="K271" s="2"/>
      <c r="L271" s="2"/>
      <c r="M271" s="2"/>
      <c r="N271" s="2"/>
    </row>
    <row r="272" spans="1:14">
      <c r="A272" s="11"/>
      <c r="B272" s="11"/>
      <c r="C272" s="2"/>
      <c r="D272" s="2"/>
      <c r="E272" s="2"/>
      <c r="F272" s="2"/>
      <c r="G272" s="2"/>
      <c r="H272" s="2"/>
      <c r="I272" s="2"/>
      <c r="J272" s="2"/>
      <c r="K272" s="2"/>
      <c r="L272" s="2"/>
      <c r="M272" s="2"/>
      <c r="N272" s="2"/>
    </row>
    <row r="273" spans="1:14">
      <c r="A273" s="11"/>
      <c r="B273" s="11"/>
      <c r="C273" s="2"/>
      <c r="D273" s="2"/>
      <c r="E273" s="2"/>
      <c r="F273" s="2"/>
      <c r="G273" s="2"/>
      <c r="H273" s="2"/>
      <c r="I273" s="2"/>
      <c r="J273" s="2"/>
      <c r="K273" s="2"/>
      <c r="L273" s="2"/>
      <c r="M273" s="2"/>
      <c r="N273" s="2"/>
    </row>
    <row r="274" spans="1:14">
      <c r="A274" s="11"/>
      <c r="B274" s="11"/>
      <c r="C274" s="2"/>
      <c r="D274" s="2"/>
      <c r="E274" s="2"/>
      <c r="F274" s="2"/>
      <c r="G274" s="2"/>
      <c r="H274" s="2"/>
      <c r="I274" s="2"/>
      <c r="J274" s="2"/>
      <c r="K274" s="2"/>
      <c r="L274" s="2"/>
      <c r="M274" s="2"/>
      <c r="N274" s="2"/>
    </row>
    <row r="275" spans="1:14">
      <c r="A275" s="11"/>
      <c r="B275" s="11"/>
      <c r="C275" s="2"/>
      <c r="D275" s="2"/>
      <c r="E275" s="2"/>
      <c r="F275" s="2"/>
      <c r="G275" s="2"/>
      <c r="H275" s="2"/>
      <c r="I275" s="2"/>
      <c r="J275" s="2"/>
      <c r="K275" s="2"/>
      <c r="L275" s="2"/>
      <c r="M275" s="2"/>
      <c r="N275" s="2"/>
    </row>
    <row r="276" spans="1:14">
      <c r="A276" s="11"/>
      <c r="B276" s="11"/>
      <c r="C276" s="2"/>
      <c r="D276" s="2"/>
      <c r="E276" s="2"/>
      <c r="F276" s="2"/>
      <c r="G276" s="2"/>
      <c r="H276" s="2"/>
      <c r="I276" s="2"/>
      <c r="J276" s="2"/>
      <c r="K276" s="2"/>
      <c r="L276" s="2"/>
      <c r="M276" s="2"/>
      <c r="N276" s="2"/>
    </row>
    <row r="277" spans="1:14">
      <c r="A277" s="11"/>
      <c r="B277" s="11"/>
      <c r="C277" s="2"/>
      <c r="D277" s="2"/>
      <c r="E277" s="2"/>
      <c r="F277" s="2"/>
      <c r="G277" s="2"/>
      <c r="H277" s="2"/>
      <c r="I277" s="2"/>
      <c r="J277" s="2"/>
      <c r="K277" s="2"/>
      <c r="L277" s="2"/>
      <c r="M277" s="2"/>
      <c r="N277" s="2"/>
    </row>
    <row r="278" spans="1:14">
      <c r="A278" s="11"/>
      <c r="B278" s="11"/>
      <c r="C278" s="2"/>
      <c r="D278" s="2"/>
      <c r="E278" s="2"/>
      <c r="F278" s="2"/>
      <c r="G278" s="2"/>
      <c r="H278" s="2"/>
      <c r="I278" s="2"/>
      <c r="J278" s="2"/>
      <c r="K278" s="2"/>
      <c r="L278" s="2"/>
      <c r="M278" s="2"/>
      <c r="N278" s="2"/>
    </row>
    <row r="279" spans="1:14">
      <c r="A279" s="11"/>
      <c r="B279" s="11"/>
      <c r="C279" s="2"/>
      <c r="D279" s="2"/>
      <c r="E279" s="2"/>
      <c r="F279" s="2"/>
      <c r="G279" s="2"/>
      <c r="H279" s="2"/>
      <c r="I279" s="2"/>
      <c r="J279" s="2"/>
      <c r="K279" s="2"/>
      <c r="L279" s="2"/>
      <c r="M279" s="2"/>
      <c r="N279" s="2"/>
    </row>
    <row r="280" spans="1:14">
      <c r="A280" s="11"/>
      <c r="B280" s="11"/>
      <c r="C280" s="2"/>
      <c r="D280" s="2"/>
      <c r="E280" s="2"/>
      <c r="F280" s="2"/>
      <c r="G280" s="2"/>
      <c r="H280" s="2"/>
      <c r="I280" s="2"/>
      <c r="J280" s="2"/>
      <c r="K280" s="2"/>
      <c r="L280" s="2"/>
      <c r="M280" s="2"/>
      <c r="N280" s="2"/>
    </row>
    <row r="281" spans="1:14">
      <c r="A281" s="11"/>
      <c r="B281" s="11"/>
      <c r="C281" s="2"/>
      <c r="D281" s="2"/>
      <c r="E281" s="2"/>
      <c r="F281" s="2"/>
      <c r="G281" s="2"/>
      <c r="H281" s="2"/>
      <c r="I281" s="2"/>
      <c r="J281" s="2"/>
      <c r="K281" s="2"/>
      <c r="L281" s="2"/>
      <c r="M281" s="2"/>
      <c r="N281" s="2"/>
    </row>
    <row r="282" spans="1:14">
      <c r="A282" s="11"/>
      <c r="B282" s="11"/>
      <c r="C282" s="2"/>
      <c r="D282" s="2"/>
      <c r="E282" s="2"/>
      <c r="F282" s="2"/>
      <c r="G282" s="2"/>
      <c r="H282" s="2"/>
      <c r="I282" s="2"/>
      <c r="J282" s="2"/>
      <c r="K282" s="2"/>
      <c r="L282" s="2"/>
      <c r="M282" s="2"/>
      <c r="N282" s="2"/>
    </row>
    <row r="283" spans="1:14">
      <c r="A283" s="11"/>
      <c r="B283" s="11"/>
      <c r="C283" s="2"/>
      <c r="D283" s="2"/>
      <c r="E283" s="2"/>
      <c r="F283" s="2"/>
      <c r="G283" s="2"/>
      <c r="H283" s="2"/>
      <c r="I283" s="2"/>
      <c r="J283" s="2"/>
      <c r="K283" s="2"/>
      <c r="L283" s="2"/>
      <c r="M283" s="2"/>
      <c r="N283" s="2"/>
    </row>
    <row r="284" spans="1:14">
      <c r="A284" s="11"/>
      <c r="B284" s="11"/>
      <c r="C284" s="2"/>
      <c r="D284" s="2"/>
      <c r="E284" s="2"/>
      <c r="F284" s="2"/>
      <c r="G284" s="2"/>
      <c r="H284" s="2"/>
      <c r="I284" s="2"/>
      <c r="J284" s="2"/>
      <c r="K284" s="2"/>
      <c r="L284" s="2"/>
      <c r="M284" s="2"/>
      <c r="N284" s="2"/>
    </row>
    <row r="285" spans="1:14">
      <c r="A285" s="11"/>
      <c r="B285" s="11"/>
      <c r="C285" s="2"/>
      <c r="D285" s="2"/>
      <c r="E285" s="2"/>
      <c r="F285" s="2"/>
      <c r="G285" s="2"/>
      <c r="H285" s="2"/>
      <c r="I285" s="2"/>
      <c r="J285" s="2"/>
      <c r="K285" s="2"/>
      <c r="L285" s="2"/>
      <c r="M285" s="2"/>
      <c r="N285" s="2"/>
    </row>
    <row r="286" spans="1:14">
      <c r="A286" s="11"/>
      <c r="B286" s="11"/>
      <c r="C286" s="2"/>
      <c r="D286" s="2"/>
      <c r="E286" s="2"/>
      <c r="F286" s="2"/>
      <c r="G286" s="2"/>
      <c r="H286" s="2"/>
      <c r="I286" s="2"/>
      <c r="J286" s="2"/>
      <c r="K286" s="2"/>
      <c r="L286" s="2"/>
      <c r="M286" s="2"/>
      <c r="N286" s="2"/>
    </row>
    <row r="287" spans="1:14">
      <c r="A287" s="11"/>
      <c r="B287" s="11"/>
      <c r="C287" s="2"/>
      <c r="D287" s="2"/>
      <c r="E287" s="2"/>
      <c r="F287" s="2"/>
      <c r="G287" s="2"/>
      <c r="H287" s="2"/>
      <c r="I287" s="2"/>
      <c r="J287" s="2"/>
      <c r="K287" s="2"/>
      <c r="L287" s="2"/>
      <c r="M287" s="2"/>
      <c r="N287" s="2"/>
    </row>
    <row r="288" spans="1:14">
      <c r="A288" s="11"/>
      <c r="B288" s="11"/>
      <c r="C288" s="2"/>
      <c r="D288" s="2"/>
      <c r="E288" s="2"/>
      <c r="F288" s="2"/>
      <c r="G288" s="2"/>
      <c r="H288" s="2"/>
      <c r="I288" s="2"/>
      <c r="J288" s="2"/>
      <c r="K288" s="2"/>
      <c r="L288" s="2"/>
      <c r="M288" s="2"/>
      <c r="N288" s="2"/>
    </row>
    <row r="289" spans="1:14">
      <c r="A289" s="11"/>
      <c r="B289" s="11"/>
      <c r="C289" s="2"/>
      <c r="D289" s="2"/>
      <c r="E289" s="2"/>
      <c r="F289" s="2"/>
      <c r="G289" s="2"/>
      <c r="H289" s="2"/>
      <c r="I289" s="2"/>
      <c r="J289" s="2"/>
      <c r="K289" s="2"/>
      <c r="L289" s="2"/>
      <c r="M289" s="2"/>
      <c r="N289" s="2"/>
    </row>
    <row r="290" spans="1:14">
      <c r="A290" s="11"/>
      <c r="B290" s="11"/>
      <c r="C290" s="2"/>
      <c r="D290" s="2"/>
      <c r="E290" s="2"/>
      <c r="F290" s="2"/>
      <c r="G290" s="2"/>
      <c r="H290" s="2"/>
      <c r="I290" s="2"/>
      <c r="J290" s="2"/>
      <c r="K290" s="2"/>
      <c r="L290" s="2"/>
      <c r="M290" s="2"/>
      <c r="N290" s="2"/>
    </row>
    <row r="291" spans="1:14">
      <c r="A291" s="11"/>
      <c r="B291" s="11"/>
      <c r="C291" s="2"/>
      <c r="D291" s="2"/>
      <c r="E291" s="2"/>
      <c r="F291" s="2"/>
      <c r="G291" s="2"/>
      <c r="H291" s="2"/>
      <c r="I291" s="2"/>
      <c r="J291" s="2"/>
      <c r="K291" s="2"/>
      <c r="L291" s="2"/>
      <c r="M291" s="2"/>
      <c r="N291" s="2"/>
    </row>
    <row r="292" spans="1:14">
      <c r="A292" s="11"/>
      <c r="B292" s="11"/>
      <c r="C292" s="2"/>
      <c r="D292" s="2"/>
      <c r="E292" s="2"/>
      <c r="F292" s="2"/>
      <c r="G292" s="2"/>
      <c r="H292" s="2"/>
      <c r="I292" s="2"/>
      <c r="J292" s="2"/>
      <c r="K292" s="2"/>
      <c r="L292" s="2"/>
      <c r="M292" s="2"/>
      <c r="N292" s="2"/>
    </row>
    <row r="293" spans="1:14">
      <c r="A293" s="11"/>
      <c r="B293" s="11"/>
      <c r="C293" s="2"/>
      <c r="D293" s="2"/>
      <c r="E293" s="2"/>
      <c r="F293" s="2"/>
      <c r="G293" s="2"/>
      <c r="H293" s="2"/>
      <c r="I293" s="2"/>
      <c r="J293" s="2"/>
      <c r="K293" s="2"/>
      <c r="L293" s="2"/>
      <c r="M293" s="2"/>
      <c r="N293" s="2"/>
    </row>
    <row r="294" spans="1:14">
      <c r="A294" s="11"/>
      <c r="B294" s="11"/>
      <c r="C294" s="2"/>
      <c r="D294" s="2"/>
      <c r="E294" s="2"/>
      <c r="F294" s="2"/>
      <c r="G294" s="2"/>
      <c r="H294" s="2"/>
      <c r="I294" s="2"/>
      <c r="J294" s="2"/>
      <c r="K294" s="2"/>
      <c r="L294" s="2"/>
      <c r="M294" s="2"/>
      <c r="N294" s="2"/>
    </row>
    <row r="295" spans="1:14">
      <c r="A295" s="11"/>
      <c r="B295" s="11"/>
      <c r="C295" s="2"/>
      <c r="D295" s="2"/>
      <c r="E295" s="2"/>
      <c r="F295" s="2"/>
      <c r="G295" s="2"/>
      <c r="H295" s="2"/>
      <c r="I295" s="2"/>
      <c r="J295" s="2"/>
      <c r="K295" s="2"/>
      <c r="L295" s="2"/>
      <c r="M295" s="2"/>
      <c r="N295" s="2"/>
    </row>
    <row r="296" spans="1:14">
      <c r="A296" s="11"/>
      <c r="B296" s="11"/>
      <c r="C296" s="2"/>
      <c r="D296" s="2"/>
      <c r="E296" s="2"/>
      <c r="F296" s="2"/>
      <c r="G296" s="2"/>
      <c r="H296" s="2"/>
      <c r="I296" s="2"/>
      <c r="J296" s="2"/>
      <c r="K296" s="2"/>
      <c r="L296" s="2"/>
      <c r="M296" s="2"/>
      <c r="N296" s="2"/>
    </row>
    <row r="297" spans="1:14">
      <c r="A297" s="11"/>
      <c r="B297" s="11"/>
      <c r="C297" s="2"/>
      <c r="D297" s="2"/>
      <c r="E297" s="2"/>
      <c r="F297" s="2"/>
      <c r="G297" s="2"/>
      <c r="H297" s="2"/>
      <c r="I297" s="2"/>
      <c r="J297" s="2"/>
      <c r="K297" s="2"/>
      <c r="L297" s="2"/>
      <c r="M297" s="2"/>
      <c r="N297" s="2"/>
    </row>
    <row r="298" spans="1:14">
      <c r="A298" s="11"/>
      <c r="B298" s="11"/>
      <c r="C298" s="2"/>
      <c r="D298" s="2"/>
      <c r="E298" s="2"/>
      <c r="F298" s="2"/>
      <c r="G298" s="2"/>
      <c r="H298" s="2"/>
      <c r="I298" s="2"/>
      <c r="J298" s="2"/>
      <c r="K298" s="2"/>
      <c r="L298" s="2"/>
      <c r="M298" s="2"/>
      <c r="N298" s="2"/>
    </row>
    <row r="299" spans="1:14">
      <c r="A299" s="11"/>
      <c r="B299" s="11"/>
      <c r="C299" s="2"/>
      <c r="D299" s="2"/>
      <c r="E299" s="2"/>
      <c r="F299" s="2"/>
      <c r="G299" s="2"/>
      <c r="H299" s="2"/>
      <c r="I299" s="2"/>
      <c r="J299" s="2"/>
      <c r="K299" s="2"/>
      <c r="L299" s="2"/>
      <c r="M299" s="2"/>
      <c r="N299" s="2"/>
    </row>
    <row r="300" spans="1:14">
      <c r="A300" s="11"/>
      <c r="B300" s="11"/>
      <c r="C300" s="2"/>
      <c r="D300" s="2"/>
      <c r="E300" s="2"/>
      <c r="F300" s="2"/>
      <c r="G300" s="2"/>
      <c r="H300" s="2"/>
      <c r="I300" s="2"/>
      <c r="J300" s="2"/>
      <c r="K300" s="2"/>
      <c r="L300" s="2"/>
      <c r="M300" s="2"/>
      <c r="N300" s="2"/>
    </row>
    <row r="301" spans="1:14">
      <c r="A301" s="11"/>
      <c r="B301" s="11"/>
      <c r="C301" s="2"/>
      <c r="D301" s="2"/>
      <c r="E301" s="2"/>
      <c r="F301" s="2"/>
      <c r="G301" s="2"/>
      <c r="H301" s="2"/>
      <c r="I301" s="2"/>
      <c r="J301" s="2"/>
      <c r="K301" s="2"/>
      <c r="L301" s="2"/>
      <c r="M301" s="2"/>
      <c r="N301" s="2"/>
    </row>
    <row r="302" spans="1:14">
      <c r="A302" s="11"/>
      <c r="B302" s="11"/>
      <c r="C302" s="2"/>
      <c r="D302" s="2"/>
      <c r="E302" s="2"/>
      <c r="F302" s="2"/>
      <c r="G302" s="2"/>
      <c r="H302" s="2"/>
      <c r="I302" s="2"/>
      <c r="J302" s="2"/>
      <c r="K302" s="2"/>
      <c r="L302" s="2"/>
      <c r="M302" s="2"/>
      <c r="N302" s="2"/>
    </row>
    <row r="303" spans="1:14">
      <c r="A303" s="11"/>
      <c r="B303" s="11"/>
      <c r="C303" s="2"/>
      <c r="D303" s="2"/>
      <c r="E303" s="2"/>
      <c r="F303" s="2"/>
      <c r="G303" s="2"/>
      <c r="H303" s="2"/>
      <c r="I303" s="2"/>
      <c r="J303" s="2"/>
      <c r="K303" s="2"/>
      <c r="L303" s="2"/>
      <c r="M303" s="2"/>
      <c r="N303" s="2"/>
    </row>
    <row r="304" spans="1:14">
      <c r="A304" s="11"/>
      <c r="B304" s="11"/>
      <c r="C304" s="2"/>
      <c r="D304" s="2"/>
      <c r="E304" s="2"/>
      <c r="F304" s="2"/>
      <c r="G304" s="2"/>
      <c r="H304" s="2"/>
      <c r="I304" s="2"/>
      <c r="J304" s="2"/>
      <c r="K304" s="2"/>
      <c r="L304" s="2"/>
      <c r="M304" s="2"/>
      <c r="N304" s="2"/>
    </row>
    <row r="305" spans="1:14">
      <c r="A305" s="11"/>
      <c r="B305" s="11"/>
      <c r="C305" s="2"/>
      <c r="D305" s="2"/>
      <c r="E305" s="2"/>
      <c r="F305" s="2"/>
      <c r="G305" s="2"/>
      <c r="H305" s="2"/>
      <c r="I305" s="2"/>
      <c r="J305" s="2"/>
      <c r="K305" s="2"/>
      <c r="L305" s="2"/>
      <c r="M305" s="2"/>
      <c r="N305" s="2"/>
    </row>
    <row r="306" spans="1:14">
      <c r="A306" s="11"/>
      <c r="B306" s="11"/>
      <c r="C306" s="2"/>
      <c r="D306" s="2"/>
      <c r="E306" s="2"/>
      <c r="F306" s="2"/>
      <c r="G306" s="2"/>
      <c r="H306" s="2"/>
      <c r="I306" s="2"/>
      <c r="J306" s="2"/>
      <c r="K306" s="2"/>
      <c r="L306" s="2"/>
      <c r="M306" s="2"/>
      <c r="N306" s="2"/>
    </row>
    <row r="307" spans="1:14">
      <c r="A307" s="11"/>
      <c r="B307" s="11"/>
      <c r="C307" s="2"/>
      <c r="D307" s="2"/>
      <c r="E307" s="2"/>
      <c r="F307" s="2"/>
      <c r="G307" s="2"/>
      <c r="H307" s="2"/>
      <c r="I307" s="2"/>
      <c r="J307" s="2"/>
      <c r="K307" s="2"/>
      <c r="L307" s="2"/>
      <c r="M307" s="2"/>
      <c r="N307" s="2"/>
    </row>
    <row r="308" spans="1:14">
      <c r="A308" s="11"/>
      <c r="B308" s="11"/>
      <c r="C308" s="2"/>
      <c r="D308" s="2"/>
      <c r="E308" s="2"/>
      <c r="F308" s="2"/>
      <c r="G308" s="2"/>
      <c r="H308" s="2"/>
      <c r="I308" s="2"/>
      <c r="J308" s="2"/>
      <c r="K308" s="2"/>
      <c r="L308" s="2"/>
      <c r="M308" s="2"/>
      <c r="N308" s="2"/>
    </row>
    <row r="309" spans="1:14">
      <c r="A309" s="11"/>
      <c r="B309" s="11"/>
      <c r="C309" s="2"/>
      <c r="D309" s="2"/>
      <c r="E309" s="2"/>
      <c r="F309" s="2"/>
      <c r="G309" s="2"/>
      <c r="H309" s="2"/>
      <c r="I309" s="2"/>
      <c r="J309" s="2"/>
      <c r="K309" s="2"/>
      <c r="L309" s="2"/>
      <c r="M309" s="2"/>
      <c r="N309" s="2"/>
    </row>
    <row r="310" spans="1:14">
      <c r="A310" s="11"/>
      <c r="B310" s="11"/>
      <c r="C310" s="2"/>
      <c r="D310" s="2"/>
      <c r="E310" s="2"/>
      <c r="F310" s="2"/>
      <c r="G310" s="2"/>
      <c r="H310" s="2"/>
      <c r="I310" s="2"/>
      <c r="J310" s="2"/>
      <c r="K310" s="2"/>
      <c r="L310" s="2"/>
      <c r="M310" s="2"/>
      <c r="N310" s="2"/>
    </row>
    <row r="311" spans="1:14">
      <c r="A311" s="11"/>
      <c r="B311" s="11"/>
      <c r="C311" s="2"/>
      <c r="D311" s="2"/>
      <c r="E311" s="2"/>
      <c r="F311" s="2"/>
      <c r="G311" s="2"/>
      <c r="H311" s="2"/>
      <c r="I311" s="2"/>
      <c r="J311" s="2"/>
      <c r="K311" s="2"/>
      <c r="L311" s="2"/>
      <c r="M311" s="2"/>
      <c r="N311" s="2"/>
    </row>
    <row r="312" spans="1:14">
      <c r="A312" s="11"/>
      <c r="B312" s="11"/>
      <c r="C312" s="2"/>
      <c r="D312" s="2"/>
      <c r="E312" s="2"/>
      <c r="F312" s="2"/>
      <c r="G312" s="2"/>
      <c r="H312" s="2"/>
      <c r="I312" s="2"/>
      <c r="J312" s="2"/>
      <c r="K312" s="2"/>
      <c r="L312" s="2"/>
      <c r="M312" s="2"/>
      <c r="N312" s="2"/>
    </row>
    <row r="313" spans="1:14">
      <c r="A313" s="11"/>
      <c r="B313" s="11"/>
      <c r="C313" s="2"/>
      <c r="D313" s="2"/>
      <c r="E313" s="2"/>
      <c r="F313" s="2"/>
      <c r="G313" s="2"/>
      <c r="H313" s="2"/>
      <c r="I313" s="2"/>
      <c r="J313" s="2"/>
      <c r="K313" s="2"/>
      <c r="L313" s="2"/>
      <c r="M313" s="2"/>
      <c r="N313" s="2"/>
    </row>
    <row r="314" spans="1:14">
      <c r="A314" s="11"/>
      <c r="B314" s="11"/>
      <c r="C314" s="2"/>
      <c r="D314" s="2"/>
      <c r="E314" s="2"/>
      <c r="F314" s="2"/>
      <c r="G314" s="2"/>
      <c r="H314" s="2"/>
      <c r="I314" s="2"/>
      <c r="J314" s="2"/>
      <c r="K314" s="2"/>
      <c r="L314" s="2"/>
      <c r="M314" s="2"/>
      <c r="N314" s="2"/>
    </row>
    <row r="315" spans="1:14">
      <c r="A315" s="11"/>
      <c r="B315" s="11"/>
      <c r="C315" s="2"/>
      <c r="D315" s="2"/>
      <c r="E315" s="2"/>
      <c r="F315" s="2"/>
      <c r="G315" s="2"/>
      <c r="H315" s="2"/>
      <c r="I315" s="2"/>
      <c r="J315" s="2"/>
      <c r="K315" s="2"/>
      <c r="L315" s="2"/>
      <c r="M315" s="2"/>
      <c r="N315" s="2"/>
    </row>
    <row r="316" spans="1:14">
      <c r="A316" s="11"/>
      <c r="B316" s="11"/>
      <c r="C316" s="2"/>
      <c r="D316" s="2"/>
      <c r="E316" s="2"/>
      <c r="F316" s="2"/>
      <c r="G316" s="2"/>
      <c r="H316" s="2"/>
      <c r="I316" s="2"/>
      <c r="J316" s="2"/>
      <c r="K316" s="2"/>
      <c r="L316" s="2"/>
      <c r="M316" s="2"/>
      <c r="N316" s="2"/>
    </row>
    <row r="317" spans="1:14">
      <c r="A317" s="11"/>
      <c r="B317" s="11"/>
      <c r="C317" s="2"/>
      <c r="D317" s="2"/>
      <c r="E317" s="2"/>
      <c r="F317" s="2"/>
      <c r="G317" s="2"/>
      <c r="H317" s="2"/>
      <c r="I317" s="2"/>
      <c r="J317" s="2"/>
      <c r="K317" s="2"/>
      <c r="L317" s="2"/>
      <c r="M317" s="2"/>
      <c r="N317" s="2"/>
    </row>
    <row r="318" spans="1:14">
      <c r="A318" s="11"/>
      <c r="B318" s="11"/>
      <c r="C318" s="2"/>
      <c r="D318" s="2"/>
      <c r="E318" s="2"/>
      <c r="F318" s="2"/>
      <c r="G318" s="2"/>
      <c r="H318" s="2"/>
      <c r="I318" s="2"/>
      <c r="J318" s="2"/>
      <c r="K318" s="2"/>
      <c r="L318" s="2"/>
      <c r="M318" s="2"/>
      <c r="N318" s="2"/>
    </row>
    <row r="319" spans="1:14">
      <c r="A319" s="11"/>
      <c r="B319" s="11"/>
      <c r="C319" s="2"/>
      <c r="D319" s="2"/>
      <c r="E319" s="2"/>
      <c r="F319" s="2"/>
      <c r="G319" s="2"/>
      <c r="H319" s="2"/>
      <c r="I319" s="2"/>
      <c r="J319" s="2"/>
      <c r="K319" s="2"/>
      <c r="L319" s="2"/>
      <c r="M319" s="2"/>
      <c r="N319" s="2"/>
    </row>
    <row r="320" spans="1:14">
      <c r="A320" s="11"/>
      <c r="B320" s="11"/>
      <c r="C320" s="2"/>
      <c r="D320" s="2"/>
      <c r="E320" s="2"/>
      <c r="F320" s="2"/>
      <c r="G320" s="2"/>
      <c r="H320" s="2"/>
      <c r="I320" s="2"/>
      <c r="J320" s="2"/>
      <c r="K320" s="2"/>
      <c r="L320" s="2"/>
      <c r="M320" s="2"/>
      <c r="N320" s="2"/>
    </row>
    <row r="321" spans="1:14">
      <c r="A321" s="11"/>
      <c r="B321" s="11"/>
      <c r="C321" s="2"/>
      <c r="D321" s="2"/>
      <c r="E321" s="2"/>
      <c r="F321" s="2"/>
      <c r="G321" s="2"/>
      <c r="H321" s="2"/>
      <c r="I321" s="2"/>
      <c r="J321" s="2"/>
      <c r="K321" s="2"/>
      <c r="L321" s="2"/>
      <c r="M321" s="2"/>
      <c r="N321" s="2"/>
    </row>
    <row r="322" spans="1:14">
      <c r="A322" s="11"/>
      <c r="B322" s="11"/>
      <c r="C322" s="2"/>
      <c r="D322" s="2"/>
      <c r="E322" s="2"/>
      <c r="F322" s="2"/>
      <c r="G322" s="2"/>
      <c r="H322" s="2"/>
      <c r="I322" s="2"/>
      <c r="J322" s="2"/>
      <c r="K322" s="2"/>
      <c r="L322" s="2"/>
      <c r="M322" s="2"/>
      <c r="N322" s="2"/>
    </row>
    <row r="323" spans="1:14">
      <c r="A323" s="11"/>
      <c r="B323" s="11"/>
      <c r="C323" s="2"/>
      <c r="D323" s="2"/>
      <c r="E323" s="2"/>
      <c r="F323" s="2"/>
      <c r="G323" s="2"/>
      <c r="H323" s="2"/>
      <c r="I323" s="2"/>
      <c r="J323" s="2"/>
      <c r="K323" s="2"/>
      <c r="L323" s="2"/>
      <c r="M323" s="2"/>
      <c r="N323" s="2"/>
    </row>
    <row r="324" spans="1:14">
      <c r="A324" s="11"/>
      <c r="B324" s="11"/>
      <c r="C324" s="2"/>
      <c r="D324" s="2"/>
      <c r="E324" s="2"/>
      <c r="F324" s="2"/>
      <c r="G324" s="2"/>
      <c r="H324" s="2"/>
      <c r="I324" s="2"/>
      <c r="J324" s="2"/>
      <c r="K324" s="2"/>
      <c r="L324" s="2"/>
      <c r="M324" s="2"/>
      <c r="N324" s="2"/>
    </row>
    <row r="325" spans="1:14">
      <c r="A325" s="11"/>
      <c r="B325" s="11"/>
      <c r="C325" s="2"/>
      <c r="D325" s="2"/>
      <c r="E325" s="2"/>
      <c r="F325" s="2"/>
      <c r="G325" s="2"/>
      <c r="H325" s="2"/>
      <c r="I325" s="2"/>
      <c r="J325" s="2"/>
      <c r="K325" s="2"/>
      <c r="L325" s="2"/>
      <c r="M325" s="2"/>
      <c r="N325" s="2"/>
    </row>
    <row r="326" spans="1:14">
      <c r="A326" s="11"/>
      <c r="B326" s="11"/>
      <c r="C326" s="2"/>
      <c r="D326" s="2"/>
      <c r="E326" s="2"/>
      <c r="F326" s="2"/>
      <c r="G326" s="2"/>
      <c r="H326" s="2"/>
      <c r="I326" s="2"/>
      <c r="J326" s="2"/>
      <c r="K326" s="2"/>
      <c r="L326" s="2"/>
      <c r="M326" s="2"/>
      <c r="N326" s="2"/>
    </row>
    <row r="327" spans="1:14">
      <c r="A327" s="11"/>
      <c r="B327" s="11"/>
      <c r="C327" s="2"/>
      <c r="D327" s="2"/>
      <c r="E327" s="2"/>
      <c r="F327" s="2"/>
      <c r="G327" s="2"/>
      <c r="H327" s="2"/>
      <c r="I327" s="2"/>
      <c r="J327" s="2"/>
      <c r="K327" s="2"/>
      <c r="L327" s="2"/>
      <c r="M327" s="2"/>
      <c r="N327" s="2"/>
    </row>
    <row r="328" spans="1:14">
      <c r="A328" s="11"/>
      <c r="B328" s="11"/>
      <c r="C328" s="2"/>
      <c r="D328" s="2"/>
      <c r="E328" s="2"/>
      <c r="F328" s="2"/>
      <c r="G328" s="2"/>
      <c r="H328" s="2"/>
      <c r="I328" s="2"/>
      <c r="J328" s="2"/>
      <c r="K328" s="2"/>
      <c r="L328" s="2"/>
      <c r="M328" s="2"/>
      <c r="N328" s="2"/>
    </row>
    <row r="329" spans="1:14">
      <c r="A329" s="11"/>
      <c r="B329" s="11"/>
      <c r="C329" s="2"/>
      <c r="D329" s="2"/>
      <c r="E329" s="2"/>
      <c r="F329" s="2"/>
      <c r="G329" s="2"/>
      <c r="H329" s="2"/>
      <c r="I329" s="2"/>
      <c r="J329" s="2"/>
      <c r="K329" s="2"/>
      <c r="L329" s="2"/>
      <c r="M329" s="2"/>
      <c r="N329" s="2"/>
    </row>
    <row r="330" spans="1:14">
      <c r="A330" s="11"/>
      <c r="B330" s="11"/>
      <c r="C330" s="2"/>
      <c r="D330" s="2"/>
      <c r="E330" s="2"/>
      <c r="F330" s="2"/>
      <c r="G330" s="2"/>
      <c r="H330" s="2"/>
      <c r="I330" s="2"/>
      <c r="J330" s="2"/>
      <c r="K330" s="2"/>
      <c r="L330" s="2"/>
      <c r="M330" s="2"/>
      <c r="N330" s="2"/>
    </row>
    <row r="331" spans="1:14">
      <c r="A331" s="11"/>
      <c r="B331" s="11"/>
      <c r="C331" s="2"/>
      <c r="D331" s="2"/>
      <c r="E331" s="2"/>
      <c r="F331" s="2"/>
      <c r="G331" s="2"/>
      <c r="H331" s="2"/>
      <c r="I331" s="2"/>
      <c r="J331" s="2"/>
      <c r="K331" s="2"/>
      <c r="L331" s="2"/>
      <c r="M331" s="2"/>
      <c r="N331" s="2"/>
    </row>
    <row r="332" spans="1:14">
      <c r="A332" s="11"/>
      <c r="B332" s="11"/>
      <c r="C332" s="2"/>
      <c r="D332" s="2"/>
      <c r="E332" s="2"/>
      <c r="F332" s="2"/>
      <c r="G332" s="2"/>
      <c r="H332" s="2"/>
      <c r="I332" s="2"/>
      <c r="J332" s="2"/>
      <c r="K332" s="2"/>
      <c r="L332" s="2"/>
      <c r="M332" s="2"/>
      <c r="N332" s="2"/>
    </row>
    <row r="333" spans="1:14">
      <c r="A333" s="11"/>
      <c r="B333" s="11"/>
      <c r="C333" s="2"/>
      <c r="D333" s="2"/>
      <c r="E333" s="2"/>
      <c r="F333" s="2"/>
      <c r="G333" s="2"/>
      <c r="H333" s="2"/>
      <c r="I333" s="2"/>
      <c r="J333" s="2"/>
      <c r="K333" s="2"/>
      <c r="L333" s="2"/>
      <c r="M333" s="2"/>
      <c r="N333" s="2"/>
    </row>
    <row r="334" spans="1:14">
      <c r="A334" s="11"/>
      <c r="B334" s="11"/>
      <c r="C334" s="2"/>
      <c r="D334" s="2"/>
      <c r="E334" s="2"/>
      <c r="F334" s="2"/>
      <c r="G334" s="2"/>
      <c r="H334" s="2"/>
      <c r="I334" s="2"/>
      <c r="J334" s="2"/>
      <c r="K334" s="2"/>
      <c r="L334" s="2"/>
      <c r="M334" s="2"/>
      <c r="N334" s="2"/>
    </row>
    <row r="335" spans="1:14">
      <c r="A335" s="11"/>
      <c r="B335" s="11"/>
      <c r="C335" s="2"/>
      <c r="D335" s="2"/>
      <c r="E335" s="2"/>
      <c r="F335" s="2"/>
      <c r="G335" s="2"/>
      <c r="H335" s="2"/>
      <c r="I335" s="2"/>
      <c r="J335" s="2"/>
      <c r="K335" s="2"/>
      <c r="L335" s="2"/>
      <c r="M335" s="2"/>
      <c r="N335" s="2"/>
    </row>
    <row r="336" spans="1:14">
      <c r="A336" s="11"/>
      <c r="B336" s="11"/>
      <c r="C336" s="2"/>
      <c r="D336" s="2"/>
      <c r="E336" s="2"/>
      <c r="F336" s="2"/>
      <c r="G336" s="2"/>
      <c r="H336" s="2"/>
      <c r="I336" s="2"/>
      <c r="J336" s="2"/>
      <c r="K336" s="2"/>
      <c r="L336" s="2"/>
      <c r="M336" s="2"/>
      <c r="N336" s="2"/>
    </row>
    <row r="337" spans="1:14">
      <c r="A337" s="11"/>
      <c r="B337" s="11"/>
      <c r="C337" s="2"/>
      <c r="D337" s="2"/>
      <c r="E337" s="2"/>
      <c r="F337" s="2"/>
      <c r="G337" s="2"/>
      <c r="H337" s="2"/>
      <c r="I337" s="2"/>
      <c r="J337" s="2"/>
      <c r="K337" s="2"/>
      <c r="L337" s="2"/>
      <c r="M337" s="2"/>
      <c r="N337" s="2"/>
    </row>
    <row r="338" spans="1:14">
      <c r="A338" s="11"/>
      <c r="B338" s="11"/>
      <c r="C338" s="2"/>
      <c r="D338" s="2"/>
      <c r="E338" s="2"/>
      <c r="F338" s="2"/>
      <c r="G338" s="2"/>
      <c r="H338" s="2"/>
      <c r="I338" s="2"/>
      <c r="J338" s="2"/>
      <c r="K338" s="2"/>
      <c r="L338" s="2"/>
      <c r="M338" s="2"/>
      <c r="N338" s="2"/>
    </row>
    <row r="339" spans="1:14">
      <c r="A339" s="11"/>
      <c r="B339" s="11"/>
      <c r="C339" s="2"/>
      <c r="D339" s="2"/>
      <c r="E339" s="2"/>
      <c r="F339" s="2"/>
      <c r="G339" s="2"/>
      <c r="H339" s="2"/>
      <c r="I339" s="2"/>
      <c r="J339" s="2"/>
      <c r="K339" s="2"/>
      <c r="L339" s="2"/>
      <c r="M339" s="2"/>
      <c r="N339" s="2"/>
    </row>
    <row r="340" spans="1:14">
      <c r="A340" s="11"/>
      <c r="B340" s="11"/>
      <c r="C340" s="2"/>
      <c r="D340" s="2"/>
      <c r="E340" s="2"/>
      <c r="F340" s="2"/>
      <c r="G340" s="2"/>
      <c r="H340" s="2"/>
      <c r="I340" s="2"/>
      <c r="J340" s="2"/>
      <c r="K340" s="2"/>
      <c r="L340" s="2"/>
      <c r="M340" s="2"/>
      <c r="N340" s="2"/>
    </row>
    <row r="341" spans="1:14">
      <c r="A341" s="11"/>
      <c r="B341" s="11"/>
      <c r="C341" s="2"/>
      <c r="D341" s="2"/>
      <c r="E341" s="2"/>
      <c r="F341" s="2"/>
      <c r="G341" s="2"/>
      <c r="H341" s="2"/>
      <c r="I341" s="2"/>
      <c r="J341" s="2"/>
      <c r="K341" s="2"/>
      <c r="L341" s="2"/>
      <c r="M341" s="2"/>
      <c r="N341" s="2"/>
    </row>
    <row r="342" spans="1:14">
      <c r="A342" s="11"/>
      <c r="B342" s="11"/>
      <c r="C342" s="2"/>
      <c r="D342" s="2"/>
      <c r="E342" s="2"/>
      <c r="F342" s="2"/>
      <c r="G342" s="2"/>
      <c r="H342" s="2"/>
      <c r="I342" s="2"/>
      <c r="J342" s="2"/>
      <c r="K342" s="2"/>
      <c r="L342" s="2"/>
      <c r="M342" s="2"/>
      <c r="N342" s="2"/>
    </row>
    <row r="343" spans="1:14">
      <c r="A343" s="11"/>
      <c r="B343" s="11"/>
      <c r="C343" s="2"/>
      <c r="D343" s="2"/>
      <c r="E343" s="2"/>
      <c r="F343" s="2"/>
      <c r="G343" s="2"/>
      <c r="H343" s="2"/>
      <c r="I343" s="2"/>
      <c r="J343" s="2"/>
      <c r="K343" s="2"/>
      <c r="L343" s="2"/>
      <c r="M343" s="2"/>
      <c r="N343" s="2"/>
    </row>
    <row r="344" spans="1:14">
      <c r="A344" s="11"/>
      <c r="B344" s="11"/>
      <c r="C344" s="2"/>
      <c r="D344" s="2"/>
      <c r="E344" s="2"/>
      <c r="F344" s="2"/>
      <c r="G344" s="2"/>
      <c r="H344" s="2"/>
      <c r="I344" s="2"/>
      <c r="J344" s="2"/>
      <c r="K344" s="2"/>
      <c r="L344" s="2"/>
      <c r="M344" s="2"/>
      <c r="N344" s="2"/>
    </row>
    <row r="345" spans="1:14">
      <c r="A345" s="11"/>
      <c r="B345" s="11"/>
      <c r="C345" s="2"/>
      <c r="D345" s="2"/>
      <c r="E345" s="2"/>
      <c r="F345" s="2"/>
      <c r="G345" s="2"/>
      <c r="H345" s="2"/>
      <c r="I345" s="2"/>
      <c r="J345" s="2"/>
      <c r="K345" s="2"/>
      <c r="L345" s="2"/>
      <c r="M345" s="2"/>
      <c r="N345" s="2"/>
    </row>
    <row r="346" spans="1:14">
      <c r="A346" s="11"/>
      <c r="B346" s="11"/>
      <c r="C346" s="2"/>
      <c r="D346" s="2"/>
      <c r="E346" s="2"/>
      <c r="F346" s="2"/>
      <c r="G346" s="2"/>
      <c r="H346" s="2"/>
      <c r="I346" s="2"/>
      <c r="J346" s="2"/>
      <c r="K346" s="2"/>
      <c r="L346" s="2"/>
      <c r="M346" s="2"/>
      <c r="N346" s="2"/>
    </row>
    <row r="347" spans="1:14">
      <c r="A347" s="11"/>
      <c r="B347" s="11"/>
      <c r="C347" s="2"/>
      <c r="D347" s="2"/>
      <c r="E347" s="2"/>
      <c r="F347" s="2"/>
      <c r="G347" s="2"/>
      <c r="H347" s="2"/>
      <c r="I347" s="2"/>
      <c r="J347" s="2"/>
      <c r="K347" s="2"/>
      <c r="L347" s="2"/>
      <c r="M347" s="2"/>
      <c r="N347" s="2"/>
    </row>
    <row r="348" spans="1:14">
      <c r="A348" s="11"/>
      <c r="B348" s="11"/>
      <c r="C348" s="2"/>
      <c r="D348" s="2"/>
      <c r="E348" s="2"/>
      <c r="F348" s="2"/>
      <c r="G348" s="2"/>
      <c r="H348" s="2"/>
      <c r="I348" s="2"/>
      <c r="J348" s="2"/>
      <c r="K348" s="2"/>
      <c r="L348" s="2"/>
      <c r="M348" s="2"/>
      <c r="N348" s="2"/>
    </row>
    <row r="349" spans="1:14">
      <c r="A349" s="11"/>
      <c r="B349" s="11"/>
      <c r="C349" s="2"/>
      <c r="D349" s="2"/>
      <c r="E349" s="2"/>
      <c r="F349" s="2"/>
      <c r="G349" s="2"/>
      <c r="H349" s="2"/>
      <c r="I349" s="2"/>
      <c r="J349" s="2"/>
      <c r="K349" s="2"/>
      <c r="L349" s="2"/>
      <c r="M349" s="2"/>
      <c r="N349" s="2"/>
    </row>
    <row r="350" spans="1:14">
      <c r="A350" s="11"/>
      <c r="B350" s="11"/>
      <c r="C350" s="2"/>
      <c r="D350" s="2"/>
      <c r="E350" s="2"/>
      <c r="F350" s="2"/>
      <c r="G350" s="2"/>
      <c r="H350" s="2"/>
      <c r="I350" s="2"/>
      <c r="J350" s="2"/>
      <c r="K350" s="2"/>
      <c r="L350" s="2"/>
      <c r="M350" s="2"/>
      <c r="N350" s="2"/>
    </row>
    <row r="351" spans="1:14">
      <c r="A351" s="11"/>
      <c r="B351" s="11"/>
      <c r="C351" s="2"/>
      <c r="D351" s="2"/>
      <c r="E351" s="2"/>
      <c r="F351" s="2"/>
      <c r="G351" s="2"/>
      <c r="H351" s="2"/>
      <c r="I351" s="2"/>
      <c r="J351" s="2"/>
      <c r="K351" s="2"/>
      <c r="L351" s="2"/>
      <c r="M351" s="2"/>
      <c r="N351" s="2"/>
    </row>
    <row r="352" spans="1:14">
      <c r="A352" s="11"/>
      <c r="B352" s="11"/>
      <c r="C352" s="2"/>
      <c r="D352" s="2"/>
      <c r="E352" s="2"/>
      <c r="F352" s="2"/>
      <c r="G352" s="2"/>
      <c r="H352" s="2"/>
      <c r="I352" s="2"/>
      <c r="J352" s="2"/>
      <c r="K352" s="2"/>
      <c r="L352" s="2"/>
      <c r="M352" s="2"/>
      <c r="N352" s="2"/>
    </row>
    <row r="353" spans="1:14">
      <c r="A353" s="11"/>
      <c r="B353" s="11"/>
      <c r="C353" s="2"/>
      <c r="D353" s="2"/>
      <c r="E353" s="2"/>
      <c r="F353" s="2"/>
      <c r="G353" s="2"/>
      <c r="H353" s="2"/>
      <c r="I353" s="2"/>
      <c r="J353" s="2"/>
      <c r="K353" s="2"/>
      <c r="L353" s="2"/>
      <c r="M353" s="2"/>
      <c r="N353" s="2"/>
    </row>
    <row r="354" spans="1:14">
      <c r="A354" s="11"/>
      <c r="B354" s="11"/>
      <c r="C354" s="2"/>
      <c r="D354" s="2"/>
      <c r="E354" s="2"/>
      <c r="F354" s="2"/>
      <c r="G354" s="2"/>
      <c r="H354" s="2"/>
      <c r="I354" s="2"/>
      <c r="J354" s="2"/>
      <c r="K354" s="2"/>
      <c r="L354" s="2"/>
      <c r="M354" s="2"/>
      <c r="N354" s="2"/>
    </row>
    <row r="355" spans="1:14">
      <c r="A355" s="11"/>
      <c r="B355" s="11"/>
      <c r="C355" s="2"/>
      <c r="D355" s="2"/>
      <c r="E355" s="2"/>
      <c r="F355" s="2"/>
      <c r="G355" s="2"/>
      <c r="H355" s="2"/>
      <c r="I355" s="2"/>
      <c r="J355" s="2"/>
      <c r="K355" s="2"/>
      <c r="L355" s="2"/>
      <c r="M355" s="2"/>
      <c r="N355" s="2"/>
    </row>
    <row r="356" spans="1:14">
      <c r="A356" s="11"/>
      <c r="B356" s="11"/>
      <c r="C356" s="2"/>
      <c r="D356" s="2"/>
      <c r="E356" s="2"/>
      <c r="F356" s="2"/>
      <c r="G356" s="2"/>
      <c r="H356" s="2"/>
      <c r="I356" s="2"/>
      <c r="J356" s="2"/>
      <c r="K356" s="2"/>
      <c r="L356" s="2"/>
      <c r="M356" s="2"/>
      <c r="N356" s="2"/>
    </row>
    <row r="357" spans="1:14">
      <c r="A357" s="11"/>
      <c r="B357" s="11"/>
      <c r="C357" s="2"/>
      <c r="D357" s="2"/>
      <c r="E357" s="2"/>
      <c r="F357" s="2"/>
      <c r="G357" s="2"/>
      <c r="H357" s="2"/>
      <c r="I357" s="2"/>
      <c r="J357" s="2"/>
      <c r="K357" s="2"/>
      <c r="L357" s="2"/>
      <c r="M357" s="2"/>
      <c r="N357" s="2"/>
    </row>
    <row r="358" spans="1:14">
      <c r="A358" s="11"/>
      <c r="B358" s="11"/>
      <c r="C358" s="2"/>
      <c r="D358" s="2"/>
      <c r="E358" s="2"/>
      <c r="F358" s="2"/>
      <c r="G358" s="2"/>
      <c r="H358" s="2"/>
      <c r="I358" s="2"/>
      <c r="J358" s="2"/>
      <c r="K358" s="2"/>
      <c r="L358" s="2"/>
      <c r="M358" s="2"/>
      <c r="N358" s="2"/>
    </row>
    <row r="359" spans="1:14">
      <c r="A359" s="11"/>
      <c r="B359" s="11"/>
      <c r="C359" s="2"/>
      <c r="D359" s="2"/>
      <c r="E359" s="2"/>
      <c r="F359" s="2"/>
      <c r="G359" s="2"/>
      <c r="H359" s="2"/>
      <c r="I359" s="2"/>
      <c r="J359" s="2"/>
      <c r="K359" s="2"/>
      <c r="L359" s="2"/>
      <c r="M359" s="2"/>
      <c r="N359" s="2"/>
    </row>
    <row r="360" spans="1:14">
      <c r="A360" s="11"/>
      <c r="B360" s="11"/>
      <c r="C360" s="2"/>
      <c r="D360" s="2"/>
      <c r="E360" s="2"/>
      <c r="F360" s="2"/>
      <c r="G360" s="2"/>
      <c r="H360" s="2"/>
      <c r="I360" s="2"/>
      <c r="J360" s="2"/>
      <c r="K360" s="2"/>
      <c r="L360" s="2"/>
      <c r="M360" s="2"/>
      <c r="N360" s="2"/>
    </row>
    <row r="361" spans="1:14">
      <c r="A361" s="11"/>
      <c r="B361" s="11"/>
      <c r="C361" s="2"/>
      <c r="D361" s="2"/>
      <c r="E361" s="2"/>
      <c r="F361" s="2"/>
      <c r="G361" s="2"/>
      <c r="H361" s="2"/>
      <c r="I361" s="2"/>
      <c r="J361" s="2"/>
      <c r="K361" s="2"/>
      <c r="L361" s="2"/>
      <c r="M361" s="2"/>
      <c r="N361" s="2"/>
    </row>
    <row r="362" spans="1:14">
      <c r="A362" s="11"/>
      <c r="B362" s="11"/>
      <c r="C362" s="2"/>
      <c r="D362" s="2"/>
      <c r="E362" s="2"/>
      <c r="F362" s="2"/>
      <c r="G362" s="2"/>
      <c r="H362" s="2"/>
      <c r="I362" s="2"/>
      <c r="J362" s="2"/>
      <c r="K362" s="2"/>
      <c r="L362" s="2"/>
      <c r="M362" s="2"/>
      <c r="N362" s="2"/>
    </row>
    <row r="363" spans="1:14">
      <c r="A363" s="11"/>
      <c r="B363" s="11"/>
      <c r="C363" s="2"/>
      <c r="D363" s="2"/>
      <c r="E363" s="2"/>
      <c r="F363" s="2"/>
      <c r="G363" s="2"/>
      <c r="H363" s="2"/>
      <c r="I363" s="2"/>
      <c r="J363" s="2"/>
      <c r="K363" s="2"/>
      <c r="L363" s="2"/>
      <c r="M363" s="2"/>
      <c r="N363" s="2"/>
    </row>
    <row r="364" spans="1:14">
      <c r="A364" s="11"/>
      <c r="B364" s="11"/>
      <c r="C364" s="2"/>
      <c r="D364" s="2"/>
      <c r="E364" s="2"/>
      <c r="F364" s="2"/>
      <c r="G364" s="2"/>
      <c r="H364" s="2"/>
      <c r="I364" s="2"/>
      <c r="J364" s="2"/>
      <c r="K364" s="2"/>
      <c r="L364" s="2"/>
      <c r="M364" s="2"/>
      <c r="N364" s="2"/>
    </row>
    <row r="365" spans="1:14">
      <c r="A365" s="11"/>
      <c r="B365" s="11"/>
      <c r="C365" s="2"/>
      <c r="D365" s="2"/>
      <c r="E365" s="2"/>
      <c r="F365" s="2"/>
      <c r="G365" s="2"/>
      <c r="H365" s="2"/>
      <c r="I365" s="2"/>
      <c r="J365" s="2"/>
      <c r="K365" s="2"/>
      <c r="L365" s="2"/>
      <c r="M365" s="2"/>
      <c r="N365" s="2"/>
    </row>
    <row r="366" spans="1:14">
      <c r="A366" s="11"/>
      <c r="B366" s="11"/>
      <c r="C366" s="2"/>
      <c r="D366" s="2"/>
      <c r="E366" s="2"/>
      <c r="F366" s="2"/>
      <c r="G366" s="2"/>
      <c r="H366" s="2"/>
      <c r="I366" s="2"/>
      <c r="J366" s="2"/>
      <c r="K366" s="2"/>
      <c r="L366" s="2"/>
      <c r="M366" s="2"/>
      <c r="N366" s="2"/>
    </row>
    <row r="367" spans="1:14">
      <c r="A367" s="11"/>
      <c r="B367" s="11"/>
      <c r="C367" s="2"/>
      <c r="D367" s="2"/>
      <c r="E367" s="2"/>
      <c r="F367" s="2"/>
      <c r="G367" s="2"/>
      <c r="H367" s="2"/>
      <c r="I367" s="2"/>
      <c r="J367" s="2"/>
      <c r="K367" s="2"/>
      <c r="L367" s="2"/>
      <c r="M367" s="2"/>
      <c r="N367" s="2"/>
    </row>
    <row r="368" spans="1:14">
      <c r="A368" s="11"/>
      <c r="B368" s="11"/>
      <c r="C368" s="2"/>
      <c r="D368" s="2"/>
      <c r="E368" s="2"/>
      <c r="F368" s="2"/>
      <c r="G368" s="2"/>
      <c r="H368" s="2"/>
      <c r="I368" s="2"/>
      <c r="J368" s="2"/>
      <c r="K368" s="2"/>
      <c r="L368" s="2"/>
      <c r="M368" s="2"/>
      <c r="N368" s="2"/>
    </row>
    <row r="369" spans="1:14">
      <c r="A369" s="11"/>
      <c r="B369" s="11"/>
      <c r="C369" s="2"/>
      <c r="D369" s="2"/>
      <c r="E369" s="2"/>
      <c r="F369" s="2"/>
      <c r="G369" s="2"/>
      <c r="H369" s="2"/>
      <c r="I369" s="2"/>
      <c r="J369" s="2"/>
      <c r="K369" s="2"/>
      <c r="L369" s="2"/>
      <c r="M369" s="2"/>
      <c r="N369" s="2"/>
    </row>
    <row r="370" spans="1:14">
      <c r="A370" s="11"/>
      <c r="B370" s="11"/>
      <c r="C370" s="2"/>
      <c r="D370" s="2"/>
      <c r="E370" s="2"/>
      <c r="F370" s="2"/>
      <c r="G370" s="2"/>
      <c r="H370" s="2"/>
      <c r="I370" s="2"/>
      <c r="J370" s="2"/>
      <c r="K370" s="2"/>
      <c r="L370" s="2"/>
      <c r="M370" s="2"/>
      <c r="N370" s="2"/>
    </row>
    <row r="371" spans="1:14">
      <c r="A371" s="11"/>
      <c r="B371" s="11"/>
      <c r="C371" s="2"/>
      <c r="D371" s="2"/>
      <c r="E371" s="2"/>
      <c r="F371" s="2"/>
      <c r="G371" s="2"/>
      <c r="H371" s="2"/>
      <c r="I371" s="2"/>
      <c r="J371" s="2"/>
      <c r="K371" s="2"/>
      <c r="L371" s="2"/>
      <c r="M371" s="2"/>
      <c r="N371" s="2"/>
    </row>
    <row r="372" spans="1:14">
      <c r="A372" s="11"/>
      <c r="B372" s="11"/>
      <c r="C372" s="2"/>
      <c r="D372" s="2"/>
      <c r="E372" s="2"/>
      <c r="F372" s="2"/>
      <c r="G372" s="2"/>
      <c r="H372" s="2"/>
      <c r="I372" s="2"/>
      <c r="J372" s="2"/>
      <c r="K372" s="2"/>
      <c r="L372" s="2"/>
      <c r="M372" s="2"/>
      <c r="N372" s="2"/>
    </row>
    <row r="373" spans="1:14">
      <c r="A373" s="11"/>
      <c r="B373" s="11"/>
      <c r="C373" s="2"/>
      <c r="D373" s="2"/>
      <c r="E373" s="2"/>
      <c r="F373" s="2"/>
      <c r="G373" s="2"/>
      <c r="H373" s="2"/>
      <c r="I373" s="2"/>
      <c r="J373" s="2"/>
      <c r="K373" s="2"/>
      <c r="L373" s="2"/>
      <c r="M373" s="2"/>
      <c r="N373" s="2"/>
    </row>
    <row r="374" spans="1:14">
      <c r="A374" s="11"/>
      <c r="B374" s="11"/>
      <c r="C374" s="2"/>
      <c r="D374" s="2"/>
      <c r="E374" s="2"/>
      <c r="F374" s="2"/>
      <c r="G374" s="2"/>
      <c r="H374" s="2"/>
      <c r="I374" s="2"/>
      <c r="J374" s="2"/>
      <c r="K374" s="2"/>
      <c r="L374" s="2"/>
      <c r="M374" s="2"/>
      <c r="N374" s="2"/>
    </row>
    <row r="375" spans="1:14">
      <c r="A375" s="11"/>
      <c r="B375" s="11"/>
      <c r="C375" s="2"/>
      <c r="D375" s="2"/>
      <c r="E375" s="2"/>
      <c r="F375" s="2"/>
      <c r="G375" s="2"/>
      <c r="H375" s="2"/>
      <c r="I375" s="2"/>
      <c r="J375" s="2"/>
      <c r="K375" s="2"/>
      <c r="L375" s="2"/>
      <c r="M375" s="2"/>
      <c r="N375" s="2"/>
    </row>
    <row r="376" spans="1:14">
      <c r="A376" s="11"/>
      <c r="B376" s="11"/>
      <c r="C376" s="2"/>
      <c r="D376" s="2"/>
      <c r="E376" s="2"/>
      <c r="F376" s="2"/>
      <c r="G376" s="2"/>
      <c r="H376" s="2"/>
      <c r="I376" s="2"/>
      <c r="J376" s="2"/>
      <c r="K376" s="2"/>
      <c r="L376" s="2"/>
      <c r="M376" s="2"/>
      <c r="N376" s="2"/>
    </row>
    <row r="377" spans="1:14">
      <c r="A377" s="11"/>
      <c r="B377" s="11"/>
      <c r="C377" s="2"/>
      <c r="D377" s="2"/>
      <c r="E377" s="2"/>
      <c r="F377" s="2"/>
      <c r="G377" s="2"/>
      <c r="H377" s="2"/>
      <c r="I377" s="2"/>
      <c r="J377" s="2"/>
      <c r="K377" s="2"/>
      <c r="L377" s="2"/>
      <c r="M377" s="2"/>
      <c r="N377" s="2"/>
    </row>
    <row r="378" spans="1:14">
      <c r="A378" s="11"/>
      <c r="B378" s="11"/>
      <c r="C378" s="2"/>
      <c r="D378" s="2"/>
      <c r="E378" s="2"/>
      <c r="F378" s="2"/>
      <c r="G378" s="2"/>
      <c r="H378" s="2"/>
      <c r="I378" s="2"/>
      <c r="J378" s="2"/>
      <c r="K378" s="2"/>
      <c r="L378" s="2"/>
      <c r="M378" s="2"/>
      <c r="N378" s="2"/>
    </row>
    <row r="379" spans="1:14">
      <c r="A379" s="11"/>
      <c r="B379" s="11"/>
      <c r="C379" s="2"/>
      <c r="D379" s="2"/>
      <c r="E379" s="2"/>
      <c r="F379" s="2"/>
      <c r="G379" s="2"/>
      <c r="H379" s="2"/>
      <c r="I379" s="2"/>
      <c r="J379" s="2"/>
      <c r="K379" s="2"/>
      <c r="L379" s="2"/>
      <c r="M379" s="2"/>
      <c r="N379" s="2"/>
    </row>
    <row r="380" spans="1:14">
      <c r="A380" s="11"/>
      <c r="B380" s="11"/>
      <c r="C380" s="2"/>
      <c r="D380" s="2"/>
      <c r="E380" s="2"/>
      <c r="F380" s="2"/>
      <c r="G380" s="2"/>
      <c r="H380" s="2"/>
      <c r="I380" s="2"/>
      <c r="J380" s="2"/>
      <c r="K380" s="2"/>
      <c r="L380" s="2"/>
      <c r="M380" s="2"/>
      <c r="N380" s="2"/>
    </row>
    <row r="381" spans="1:14">
      <c r="A381" s="11"/>
      <c r="B381" s="11"/>
      <c r="C381" s="2"/>
      <c r="D381" s="2"/>
      <c r="E381" s="2"/>
      <c r="F381" s="2"/>
      <c r="G381" s="2"/>
      <c r="H381" s="2"/>
      <c r="I381" s="2"/>
      <c r="J381" s="2"/>
      <c r="K381" s="2"/>
      <c r="L381" s="2"/>
      <c r="M381" s="2"/>
      <c r="N381" s="2"/>
    </row>
    <row r="382" spans="1:14">
      <c r="A382" s="11"/>
      <c r="B382" s="11"/>
      <c r="C382" s="2"/>
      <c r="D382" s="2"/>
      <c r="E382" s="2"/>
      <c r="F382" s="2"/>
      <c r="G382" s="2"/>
      <c r="H382" s="2"/>
      <c r="I382" s="2"/>
      <c r="J382" s="2"/>
      <c r="K382" s="2"/>
      <c r="L382" s="2"/>
      <c r="M382" s="2"/>
      <c r="N382" s="2"/>
    </row>
    <row r="383" spans="1:14">
      <c r="A383" s="11"/>
      <c r="B383" s="11"/>
      <c r="C383" s="2"/>
      <c r="D383" s="2"/>
      <c r="E383" s="2"/>
      <c r="F383" s="2"/>
      <c r="G383" s="2"/>
      <c r="H383" s="2"/>
      <c r="I383" s="2"/>
      <c r="J383" s="2"/>
      <c r="K383" s="2"/>
      <c r="L383" s="2"/>
      <c r="M383" s="2"/>
      <c r="N383" s="2"/>
    </row>
    <row r="384" spans="1:14">
      <c r="A384" s="11"/>
      <c r="B384" s="11"/>
      <c r="C384" s="2"/>
      <c r="D384" s="2"/>
      <c r="E384" s="2"/>
      <c r="F384" s="2"/>
      <c r="G384" s="2"/>
      <c r="H384" s="2"/>
      <c r="I384" s="2"/>
      <c r="J384" s="2"/>
      <c r="K384" s="2"/>
      <c r="L384" s="2"/>
      <c r="M384" s="2"/>
      <c r="N384" s="2"/>
    </row>
    <row r="385" spans="1:14">
      <c r="A385" s="11"/>
      <c r="B385" s="11"/>
      <c r="C385" s="2"/>
      <c r="D385" s="2"/>
      <c r="E385" s="2"/>
      <c r="F385" s="2"/>
      <c r="G385" s="2"/>
      <c r="H385" s="2"/>
      <c r="I385" s="2"/>
      <c r="J385" s="2"/>
      <c r="K385" s="2"/>
      <c r="L385" s="2"/>
      <c r="M385" s="2"/>
      <c r="N385" s="2"/>
    </row>
    <row r="386" spans="1:14">
      <c r="A386" s="11"/>
      <c r="B386" s="11"/>
      <c r="C386" s="2"/>
      <c r="D386" s="2"/>
      <c r="E386" s="2"/>
      <c r="F386" s="2"/>
      <c r="G386" s="2"/>
      <c r="H386" s="2"/>
      <c r="I386" s="2"/>
      <c r="J386" s="2"/>
      <c r="K386" s="2"/>
      <c r="L386" s="2"/>
      <c r="M386" s="2"/>
      <c r="N386" s="2"/>
    </row>
    <row r="387" spans="1:14">
      <c r="A387" s="11"/>
      <c r="B387" s="11"/>
      <c r="C387" s="2"/>
      <c r="D387" s="2"/>
      <c r="E387" s="2"/>
      <c r="F387" s="2"/>
      <c r="G387" s="2"/>
      <c r="H387" s="2"/>
      <c r="I387" s="2"/>
      <c r="J387" s="2"/>
      <c r="K387" s="2"/>
      <c r="L387" s="2"/>
      <c r="M387" s="2"/>
      <c r="N387" s="2"/>
    </row>
    <row r="388" spans="1:14">
      <c r="A388" s="11"/>
      <c r="B388" s="11"/>
      <c r="C388" s="2"/>
      <c r="D388" s="2"/>
      <c r="E388" s="2"/>
      <c r="F388" s="2"/>
      <c r="G388" s="2"/>
      <c r="H388" s="2"/>
      <c r="I388" s="2"/>
      <c r="J388" s="2"/>
      <c r="K388" s="2"/>
      <c r="L388" s="2"/>
      <c r="M388" s="2"/>
      <c r="N388" s="2"/>
    </row>
    <row r="389" spans="1:14">
      <c r="A389" s="11"/>
      <c r="B389" s="11"/>
      <c r="C389" s="2"/>
      <c r="D389" s="2"/>
      <c r="E389" s="2"/>
      <c r="F389" s="2"/>
      <c r="G389" s="2"/>
      <c r="H389" s="2"/>
      <c r="I389" s="2"/>
      <c r="J389" s="2"/>
      <c r="K389" s="2"/>
      <c r="L389" s="2"/>
      <c r="M389" s="2"/>
      <c r="N389" s="2"/>
    </row>
    <row r="390" spans="1:14">
      <c r="A390" s="11"/>
      <c r="B390" s="11"/>
      <c r="C390" s="2"/>
      <c r="D390" s="2"/>
      <c r="E390" s="2"/>
      <c r="F390" s="2"/>
      <c r="G390" s="2"/>
      <c r="H390" s="2"/>
      <c r="I390" s="2"/>
      <c r="J390" s="2"/>
      <c r="K390" s="2"/>
      <c r="L390" s="2"/>
      <c r="M390" s="2"/>
      <c r="N390" s="2"/>
    </row>
    <row r="391" spans="1:14">
      <c r="A391" s="11"/>
      <c r="B391" s="11"/>
      <c r="C391" s="2"/>
      <c r="D391" s="2"/>
      <c r="E391" s="2"/>
      <c r="F391" s="2"/>
      <c r="G391" s="2"/>
      <c r="H391" s="2"/>
      <c r="I391" s="2"/>
      <c r="J391" s="2"/>
      <c r="K391" s="2"/>
      <c r="L391" s="2"/>
      <c r="M391" s="2"/>
      <c r="N391" s="2"/>
    </row>
    <row r="392" spans="1:14">
      <c r="A392" s="11"/>
      <c r="B392" s="11"/>
      <c r="C392" s="2"/>
      <c r="D392" s="2"/>
      <c r="E392" s="2"/>
      <c r="F392" s="2"/>
      <c r="G392" s="2"/>
      <c r="H392" s="2"/>
      <c r="I392" s="2"/>
      <c r="J392" s="2"/>
      <c r="K392" s="2"/>
      <c r="L392" s="2"/>
      <c r="M392" s="2"/>
      <c r="N392" s="2"/>
    </row>
    <row r="393" spans="1:14">
      <c r="A393" s="11"/>
      <c r="B393" s="11"/>
      <c r="C393" s="2"/>
      <c r="D393" s="2"/>
      <c r="E393" s="2"/>
      <c r="F393" s="2"/>
      <c r="G393" s="2"/>
      <c r="H393" s="2"/>
      <c r="I393" s="2"/>
      <c r="J393" s="2"/>
      <c r="K393" s="2"/>
      <c r="L393" s="2"/>
      <c r="M393" s="2"/>
      <c r="N393" s="2"/>
    </row>
    <row r="394" spans="1:14">
      <c r="A394" s="11"/>
      <c r="B394" s="11"/>
      <c r="C394" s="2"/>
      <c r="D394" s="2"/>
      <c r="E394" s="2"/>
      <c r="F394" s="2"/>
      <c r="G394" s="2"/>
      <c r="H394" s="2"/>
      <c r="I394" s="2"/>
      <c r="J394" s="2"/>
      <c r="K394" s="2"/>
      <c r="L394" s="2"/>
      <c r="M394" s="2"/>
      <c r="N394" s="2"/>
    </row>
    <row r="395" spans="1:14">
      <c r="A395" s="11"/>
      <c r="B395" s="11"/>
      <c r="C395" s="2"/>
      <c r="D395" s="2"/>
      <c r="E395" s="2"/>
      <c r="F395" s="2"/>
      <c r="G395" s="2"/>
      <c r="H395" s="2"/>
      <c r="I395" s="2"/>
      <c r="J395" s="2"/>
      <c r="K395" s="2"/>
      <c r="L395" s="2"/>
      <c r="M395" s="2"/>
      <c r="N395" s="2"/>
    </row>
    <row r="396" spans="1:14">
      <c r="A396" s="11"/>
      <c r="B396" s="11"/>
      <c r="C396" s="2"/>
      <c r="D396" s="2"/>
      <c r="E396" s="2"/>
      <c r="F396" s="2"/>
      <c r="G396" s="2"/>
      <c r="H396" s="2"/>
      <c r="I396" s="2"/>
      <c r="J396" s="2"/>
      <c r="K396" s="2"/>
      <c r="L396" s="2"/>
      <c r="M396" s="2"/>
      <c r="N396" s="2"/>
    </row>
    <row r="397" spans="1:14">
      <c r="A397" s="11"/>
      <c r="B397" s="11"/>
      <c r="C397" s="2"/>
      <c r="D397" s="2"/>
      <c r="E397" s="2"/>
      <c r="F397" s="2"/>
      <c r="G397" s="2"/>
      <c r="H397" s="2"/>
      <c r="I397" s="2"/>
      <c r="J397" s="2"/>
      <c r="K397" s="2"/>
      <c r="L397" s="2"/>
      <c r="M397" s="2"/>
      <c r="N397" s="2"/>
    </row>
    <row r="398" spans="1:14">
      <c r="A398" s="11"/>
      <c r="B398" s="11"/>
      <c r="C398" s="2"/>
      <c r="D398" s="2"/>
      <c r="E398" s="2"/>
      <c r="F398" s="2"/>
      <c r="G398" s="2"/>
      <c r="H398" s="2"/>
      <c r="I398" s="2"/>
      <c r="J398" s="2"/>
      <c r="K398" s="2"/>
      <c r="L398" s="2"/>
      <c r="M398" s="2"/>
      <c r="N398" s="2"/>
    </row>
    <row r="399" spans="1:14">
      <c r="A399" s="11"/>
      <c r="B399" s="11"/>
      <c r="C399" s="2"/>
      <c r="D399" s="2"/>
      <c r="E399" s="2"/>
      <c r="F399" s="2"/>
      <c r="G399" s="2"/>
      <c r="H399" s="2"/>
      <c r="I399" s="2"/>
      <c r="J399" s="2"/>
      <c r="K399" s="2"/>
      <c r="L399" s="2"/>
      <c r="M399" s="2"/>
      <c r="N399" s="2"/>
    </row>
    <row r="400" spans="1:14">
      <c r="A400" s="11"/>
      <c r="B400" s="11"/>
      <c r="C400" s="2"/>
      <c r="D400" s="2"/>
      <c r="E400" s="2"/>
      <c r="F400" s="2"/>
      <c r="G400" s="2"/>
      <c r="H400" s="2"/>
      <c r="I400" s="2"/>
      <c r="J400" s="2"/>
      <c r="K400" s="2"/>
      <c r="L400" s="2"/>
      <c r="M400" s="2"/>
      <c r="N400" s="2"/>
    </row>
    <row r="401" spans="1:14">
      <c r="A401" s="11"/>
      <c r="B401" s="11"/>
      <c r="C401" s="2"/>
      <c r="D401" s="2"/>
      <c r="E401" s="2"/>
      <c r="F401" s="2"/>
      <c r="G401" s="2"/>
      <c r="H401" s="2"/>
      <c r="I401" s="2"/>
      <c r="J401" s="2"/>
      <c r="K401" s="2"/>
      <c r="L401" s="2"/>
      <c r="M401" s="2"/>
      <c r="N401" s="2"/>
    </row>
    <row r="402" spans="1:14">
      <c r="A402" s="11"/>
      <c r="B402" s="11"/>
      <c r="C402" s="2"/>
      <c r="D402" s="2"/>
      <c r="E402" s="2"/>
      <c r="F402" s="2"/>
      <c r="G402" s="2"/>
      <c r="H402" s="2"/>
      <c r="I402" s="2"/>
      <c r="J402" s="2"/>
      <c r="K402" s="2"/>
      <c r="L402" s="2"/>
      <c r="M402" s="2"/>
      <c r="N402" s="2"/>
    </row>
    <row r="403" spans="1:14">
      <c r="A403" s="11"/>
      <c r="B403" s="11"/>
      <c r="C403" s="2"/>
      <c r="D403" s="2"/>
      <c r="E403" s="2"/>
      <c r="F403" s="2"/>
      <c r="G403" s="2"/>
      <c r="H403" s="2"/>
      <c r="I403" s="2"/>
      <c r="J403" s="2"/>
      <c r="K403" s="2"/>
      <c r="L403" s="2"/>
      <c r="M403" s="2"/>
      <c r="N403" s="2"/>
    </row>
    <row r="404" spans="1:14">
      <c r="A404" s="11"/>
      <c r="B404" s="11"/>
      <c r="C404" s="2"/>
      <c r="D404" s="2"/>
      <c r="E404" s="2"/>
      <c r="F404" s="2"/>
      <c r="G404" s="2"/>
      <c r="H404" s="2"/>
      <c r="I404" s="2"/>
      <c r="J404" s="2"/>
      <c r="K404" s="2"/>
      <c r="L404" s="2"/>
      <c r="M404" s="2"/>
      <c r="N404" s="2"/>
    </row>
    <row r="405" spans="1:14">
      <c r="A405" s="11"/>
      <c r="B405" s="11"/>
      <c r="C405" s="2"/>
      <c r="D405" s="2"/>
      <c r="E405" s="2"/>
      <c r="F405" s="2"/>
      <c r="G405" s="2"/>
      <c r="H405" s="2"/>
      <c r="I405" s="2"/>
      <c r="J405" s="2"/>
      <c r="K405" s="2"/>
      <c r="L405" s="2"/>
      <c r="M405" s="2"/>
      <c r="N405" s="2"/>
    </row>
    <row r="406" spans="1:14">
      <c r="A406" s="11"/>
      <c r="B406" s="11"/>
      <c r="C406" s="2"/>
      <c r="D406" s="2"/>
      <c r="E406" s="2"/>
      <c r="F406" s="2"/>
      <c r="G406" s="2"/>
      <c r="H406" s="2"/>
      <c r="I406" s="2"/>
      <c r="J406" s="2"/>
      <c r="K406" s="2"/>
      <c r="L406" s="2"/>
      <c r="M406" s="2"/>
      <c r="N406" s="2"/>
    </row>
    <row r="407" spans="1:14">
      <c r="A407" s="11"/>
      <c r="B407" s="11"/>
      <c r="C407" s="2"/>
      <c r="D407" s="2"/>
      <c r="E407" s="2"/>
      <c r="F407" s="2"/>
      <c r="G407" s="2"/>
      <c r="H407" s="2"/>
      <c r="I407" s="2"/>
      <c r="J407" s="2"/>
      <c r="K407" s="2"/>
      <c r="L407" s="2"/>
      <c r="M407" s="2"/>
      <c r="N407" s="2"/>
    </row>
    <row r="408" spans="1:14">
      <c r="A408" s="11"/>
      <c r="B408" s="11"/>
      <c r="C408" s="2"/>
      <c r="D408" s="2"/>
      <c r="E408" s="2"/>
      <c r="F408" s="2"/>
      <c r="G408" s="2"/>
      <c r="H408" s="2"/>
      <c r="I408" s="2"/>
      <c r="J408" s="2"/>
      <c r="K408" s="2"/>
      <c r="L408" s="2"/>
      <c r="M408" s="2"/>
      <c r="N408" s="2"/>
    </row>
    <row r="409" spans="1:14">
      <c r="A409" s="11"/>
      <c r="B409" s="11"/>
      <c r="C409" s="2"/>
      <c r="D409" s="2"/>
      <c r="E409" s="2"/>
      <c r="F409" s="2"/>
      <c r="G409" s="2"/>
      <c r="H409" s="2"/>
      <c r="I409" s="2"/>
      <c r="J409" s="2"/>
      <c r="K409" s="2"/>
      <c r="L409" s="2"/>
      <c r="M409" s="2"/>
      <c r="N409" s="2"/>
    </row>
    <row r="410" spans="1:14">
      <c r="A410" s="11"/>
      <c r="B410" s="11"/>
      <c r="C410" s="2"/>
      <c r="D410" s="2"/>
      <c r="E410" s="2"/>
      <c r="F410" s="2"/>
      <c r="G410" s="2"/>
      <c r="H410" s="2"/>
      <c r="I410" s="2"/>
      <c r="J410" s="2"/>
      <c r="K410" s="2"/>
      <c r="L410" s="2"/>
      <c r="M410" s="2"/>
      <c r="N410" s="2"/>
    </row>
    <row r="411" spans="1:14">
      <c r="A411" s="11"/>
      <c r="B411" s="11"/>
      <c r="C411" s="2"/>
      <c r="D411" s="2"/>
      <c r="E411" s="2"/>
      <c r="F411" s="2"/>
      <c r="G411" s="2"/>
      <c r="H411" s="2"/>
      <c r="I411" s="2"/>
      <c r="J411" s="2"/>
      <c r="K411" s="2"/>
      <c r="L411" s="2"/>
      <c r="M411" s="2"/>
      <c r="N411" s="2"/>
    </row>
    <row r="412" spans="1:14">
      <c r="A412" s="11"/>
      <c r="B412" s="11"/>
      <c r="C412" s="2"/>
      <c r="D412" s="2"/>
      <c r="E412" s="2"/>
      <c r="F412" s="2"/>
      <c r="G412" s="2"/>
      <c r="H412" s="2"/>
      <c r="I412" s="2"/>
      <c r="J412" s="2"/>
      <c r="K412" s="2"/>
      <c r="L412" s="2"/>
      <c r="M412" s="2"/>
      <c r="N412" s="2"/>
    </row>
    <row r="413" spans="1:14">
      <c r="A413" s="11"/>
      <c r="B413" s="11"/>
      <c r="C413" s="2"/>
      <c r="D413" s="2"/>
      <c r="E413" s="2"/>
      <c r="F413" s="2"/>
      <c r="G413" s="2"/>
      <c r="H413" s="2"/>
      <c r="I413" s="2"/>
      <c r="J413" s="2"/>
      <c r="K413" s="2"/>
      <c r="L413" s="2"/>
      <c r="M413" s="2"/>
      <c r="N413" s="2"/>
    </row>
    <row r="414" spans="1:14">
      <c r="A414" s="11"/>
      <c r="B414" s="11"/>
      <c r="C414" s="2"/>
      <c r="D414" s="2"/>
      <c r="E414" s="2"/>
      <c r="F414" s="2"/>
      <c r="G414" s="2"/>
      <c r="H414" s="2"/>
      <c r="I414" s="2"/>
      <c r="J414" s="2"/>
      <c r="K414" s="2"/>
      <c r="L414" s="2"/>
      <c r="M414" s="2"/>
      <c r="N414" s="2"/>
    </row>
    <row r="415" spans="1:14">
      <c r="A415" s="11"/>
      <c r="B415" s="11"/>
      <c r="C415" s="2"/>
      <c r="D415" s="2"/>
      <c r="E415" s="2"/>
      <c r="F415" s="2"/>
      <c r="G415" s="2"/>
      <c r="H415" s="2"/>
      <c r="I415" s="2"/>
      <c r="J415" s="2"/>
      <c r="K415" s="2"/>
      <c r="L415" s="2"/>
      <c r="M415" s="2"/>
      <c r="N415" s="2"/>
    </row>
    <row r="416" spans="1:14">
      <c r="A416" s="11"/>
      <c r="B416" s="11"/>
      <c r="C416" s="2"/>
      <c r="D416" s="2"/>
      <c r="E416" s="2"/>
      <c r="F416" s="2"/>
      <c r="G416" s="2"/>
      <c r="H416" s="2"/>
      <c r="I416" s="2"/>
      <c r="J416" s="2"/>
      <c r="K416" s="2"/>
      <c r="L416" s="2"/>
      <c r="M416" s="2"/>
      <c r="N416" s="2"/>
    </row>
    <row r="417" spans="1:14">
      <c r="A417" s="11"/>
      <c r="B417" s="11"/>
      <c r="C417" s="2"/>
      <c r="D417" s="2"/>
      <c r="E417" s="2"/>
      <c r="F417" s="2"/>
      <c r="G417" s="2"/>
      <c r="H417" s="2"/>
      <c r="I417" s="2"/>
      <c r="J417" s="2"/>
      <c r="K417" s="2"/>
      <c r="L417" s="2"/>
      <c r="M417" s="2"/>
      <c r="N417" s="2"/>
    </row>
    <row r="418" spans="1:14">
      <c r="A418" s="11"/>
      <c r="B418" s="11"/>
      <c r="C418" s="2"/>
      <c r="D418" s="2"/>
      <c r="E418" s="2"/>
      <c r="F418" s="2"/>
      <c r="G418" s="2"/>
      <c r="H418" s="2"/>
      <c r="I418" s="2"/>
      <c r="J418" s="2"/>
      <c r="K418" s="2"/>
      <c r="L418" s="2"/>
      <c r="M418" s="2"/>
      <c r="N418" s="2"/>
    </row>
    <row r="419" spans="1:14">
      <c r="A419" s="11"/>
      <c r="B419" s="11"/>
      <c r="C419" s="2"/>
      <c r="D419" s="2"/>
      <c r="E419" s="2"/>
      <c r="F419" s="2"/>
      <c r="G419" s="2"/>
      <c r="H419" s="2"/>
      <c r="I419" s="2"/>
      <c r="J419" s="2"/>
      <c r="K419" s="2"/>
      <c r="L419" s="2"/>
      <c r="M419" s="2"/>
      <c r="N419" s="2"/>
    </row>
    <row r="420" spans="1:14">
      <c r="A420" s="11"/>
      <c r="B420" s="11"/>
      <c r="C420" s="2"/>
      <c r="D420" s="2"/>
      <c r="E420" s="2"/>
      <c r="F420" s="2"/>
      <c r="G420" s="2"/>
      <c r="H420" s="2"/>
      <c r="I420" s="2"/>
      <c r="J420" s="2"/>
      <c r="K420" s="2"/>
      <c r="L420" s="2"/>
      <c r="M420" s="2"/>
      <c r="N420" s="2"/>
    </row>
    <row r="421" spans="1:14">
      <c r="A421" s="11"/>
      <c r="B421" s="11"/>
      <c r="C421" s="2"/>
      <c r="D421" s="2"/>
      <c r="E421" s="2"/>
      <c r="F421" s="2"/>
      <c r="G421" s="2"/>
      <c r="H421" s="2"/>
      <c r="I421" s="2"/>
      <c r="J421" s="2"/>
      <c r="K421" s="2"/>
      <c r="L421" s="2"/>
      <c r="M421" s="2"/>
      <c r="N421" s="2"/>
    </row>
    <row r="422" spans="1:14">
      <c r="A422" s="11"/>
      <c r="B422" s="11"/>
      <c r="C422" s="2"/>
      <c r="D422" s="2"/>
      <c r="E422" s="2"/>
      <c r="F422" s="2"/>
      <c r="G422" s="2"/>
      <c r="H422" s="2"/>
      <c r="I422" s="2"/>
      <c r="J422" s="2"/>
      <c r="K422" s="2"/>
      <c r="L422" s="2"/>
      <c r="M422" s="2"/>
      <c r="N422" s="2"/>
    </row>
    <row r="423" spans="1:14">
      <c r="A423" s="11"/>
      <c r="B423" s="11"/>
      <c r="C423" s="2"/>
      <c r="D423" s="2"/>
      <c r="E423" s="2"/>
      <c r="F423" s="2"/>
      <c r="G423" s="2"/>
      <c r="H423" s="2"/>
      <c r="I423" s="2"/>
      <c r="J423" s="2"/>
      <c r="K423" s="2"/>
      <c r="L423" s="2"/>
      <c r="M423" s="2"/>
      <c r="N423" s="2"/>
    </row>
    <row r="424" spans="1:14">
      <c r="A424" s="11"/>
      <c r="B424" s="11"/>
      <c r="C424" s="2"/>
      <c r="D424" s="2"/>
      <c r="E424" s="2"/>
      <c r="F424" s="2"/>
      <c r="G424" s="2"/>
      <c r="H424" s="2"/>
      <c r="I424" s="2"/>
      <c r="J424" s="2"/>
      <c r="K424" s="2"/>
      <c r="L424" s="2"/>
      <c r="M424" s="2"/>
      <c r="N424" s="2"/>
    </row>
    <row r="425" spans="1:14">
      <c r="A425" s="11"/>
      <c r="B425" s="11"/>
      <c r="C425" s="2"/>
      <c r="D425" s="2"/>
      <c r="E425" s="2"/>
      <c r="F425" s="2"/>
      <c r="G425" s="2"/>
      <c r="H425" s="2"/>
      <c r="I425" s="2"/>
      <c r="J425" s="2"/>
      <c r="K425" s="2"/>
      <c r="L425" s="2"/>
      <c r="M425" s="2"/>
      <c r="N425" s="2"/>
    </row>
    <row r="426" spans="1:14">
      <c r="A426" s="11"/>
      <c r="B426" s="11"/>
      <c r="C426" s="2"/>
      <c r="D426" s="2"/>
      <c r="E426" s="2"/>
      <c r="F426" s="2"/>
      <c r="G426" s="2"/>
      <c r="H426" s="2"/>
      <c r="I426" s="2"/>
      <c r="J426" s="2"/>
      <c r="K426" s="2"/>
      <c r="L426" s="2"/>
      <c r="M426" s="2"/>
      <c r="N426" s="2"/>
    </row>
    <row r="427" spans="1:14">
      <c r="A427" s="11"/>
      <c r="B427" s="11"/>
      <c r="C427" s="2"/>
      <c r="D427" s="2"/>
      <c r="E427" s="2"/>
      <c r="F427" s="2"/>
      <c r="G427" s="2"/>
      <c r="H427" s="2"/>
      <c r="I427" s="2"/>
      <c r="J427" s="2"/>
      <c r="K427" s="2"/>
      <c r="L427" s="2"/>
      <c r="M427" s="2"/>
      <c r="N427" s="2"/>
    </row>
    <row r="428" spans="1:14">
      <c r="A428" s="11"/>
      <c r="B428" s="11"/>
      <c r="C428" s="2"/>
      <c r="D428" s="2"/>
      <c r="E428" s="2"/>
      <c r="F428" s="2"/>
      <c r="G428" s="2"/>
      <c r="H428" s="2"/>
      <c r="I428" s="2"/>
      <c r="J428" s="2"/>
      <c r="K428" s="2"/>
      <c r="L428" s="2"/>
      <c r="M428" s="2"/>
      <c r="N428" s="2"/>
    </row>
    <row r="429" spans="1:14">
      <c r="A429" s="11"/>
      <c r="B429" s="11"/>
      <c r="C429" s="2"/>
      <c r="D429" s="2"/>
      <c r="E429" s="2"/>
      <c r="F429" s="2"/>
      <c r="G429" s="2"/>
      <c r="H429" s="2"/>
      <c r="I429" s="2"/>
      <c r="J429" s="2"/>
      <c r="K429" s="2"/>
      <c r="L429" s="2"/>
      <c r="M429" s="2"/>
      <c r="N429" s="2"/>
    </row>
    <row r="430" spans="1:14">
      <c r="A430" s="11"/>
      <c r="B430" s="11"/>
      <c r="C430" s="2"/>
      <c r="D430" s="2"/>
      <c r="E430" s="2"/>
      <c r="F430" s="2"/>
      <c r="G430" s="2"/>
      <c r="H430" s="2"/>
      <c r="I430" s="2"/>
      <c r="J430" s="2"/>
      <c r="K430" s="2"/>
      <c r="L430" s="2"/>
      <c r="M430" s="2"/>
      <c r="N430" s="2"/>
    </row>
    <row r="431" spans="1:14">
      <c r="A431" s="11"/>
      <c r="B431" s="11"/>
      <c r="C431" s="2"/>
      <c r="D431" s="2"/>
      <c r="E431" s="2"/>
      <c r="F431" s="2"/>
      <c r="G431" s="2"/>
      <c r="H431" s="2"/>
      <c r="I431" s="2"/>
      <c r="J431" s="2"/>
      <c r="K431" s="2"/>
      <c r="L431" s="2"/>
      <c r="M431" s="2"/>
      <c r="N431" s="2"/>
    </row>
    <row r="432" spans="1:14">
      <c r="A432" s="11"/>
      <c r="B432" s="11"/>
      <c r="C432" s="2"/>
      <c r="D432" s="2"/>
      <c r="E432" s="2"/>
      <c r="F432" s="2"/>
      <c r="G432" s="2"/>
      <c r="H432" s="2"/>
      <c r="I432" s="2"/>
      <c r="J432" s="2"/>
      <c r="K432" s="2"/>
      <c r="L432" s="2"/>
      <c r="M432" s="2"/>
      <c r="N432" s="2"/>
    </row>
    <row r="433" spans="1:14">
      <c r="A433" s="11"/>
      <c r="B433" s="11"/>
      <c r="C433" s="2"/>
      <c r="D433" s="2"/>
      <c r="E433" s="2"/>
      <c r="F433" s="2"/>
      <c r="G433" s="2"/>
      <c r="H433" s="2"/>
      <c r="I433" s="2"/>
      <c r="J433" s="2"/>
      <c r="K433" s="2"/>
      <c r="L433" s="2"/>
      <c r="M433" s="2"/>
      <c r="N433" s="2"/>
    </row>
    <row r="434" spans="1:14">
      <c r="A434" s="11"/>
      <c r="B434" s="11"/>
      <c r="C434" s="2"/>
      <c r="D434" s="2"/>
      <c r="E434" s="2"/>
      <c r="F434" s="2"/>
      <c r="G434" s="2"/>
      <c r="H434" s="2"/>
      <c r="I434" s="2"/>
      <c r="J434" s="2"/>
      <c r="K434" s="2"/>
      <c r="L434" s="2"/>
      <c r="M434" s="2"/>
      <c r="N434" s="2"/>
    </row>
    <row r="435" spans="1:14">
      <c r="A435" s="11"/>
      <c r="B435" s="11"/>
      <c r="C435" s="2"/>
      <c r="D435" s="2"/>
      <c r="E435" s="2"/>
      <c r="F435" s="2"/>
      <c r="G435" s="2"/>
      <c r="H435" s="2"/>
      <c r="I435" s="2"/>
      <c r="J435" s="2"/>
      <c r="K435" s="2"/>
      <c r="L435" s="2"/>
      <c r="M435" s="2"/>
      <c r="N435" s="2"/>
    </row>
    <row r="436" spans="1:14">
      <c r="A436" s="11"/>
      <c r="B436" s="11"/>
      <c r="C436" s="2"/>
      <c r="D436" s="2"/>
      <c r="E436" s="2"/>
      <c r="F436" s="2"/>
      <c r="G436" s="2"/>
      <c r="H436" s="2"/>
      <c r="I436" s="2"/>
      <c r="J436" s="2"/>
      <c r="K436" s="2"/>
      <c r="L436" s="2"/>
      <c r="M436" s="2"/>
      <c r="N436" s="2"/>
    </row>
    <row r="437" spans="1:14">
      <c r="A437" s="11"/>
      <c r="B437" s="11"/>
      <c r="C437" s="2"/>
      <c r="D437" s="2"/>
      <c r="E437" s="2"/>
      <c r="F437" s="2"/>
      <c r="G437" s="2"/>
      <c r="H437" s="2"/>
      <c r="I437" s="2"/>
      <c r="J437" s="2"/>
      <c r="K437" s="2"/>
      <c r="L437" s="2"/>
      <c r="M437" s="2"/>
      <c r="N437" s="2"/>
    </row>
    <row r="438" spans="1:14">
      <c r="A438" s="11"/>
      <c r="B438" s="11"/>
      <c r="C438" s="2"/>
      <c r="D438" s="2"/>
      <c r="E438" s="2"/>
      <c r="F438" s="2"/>
      <c r="G438" s="2"/>
      <c r="H438" s="2"/>
      <c r="I438" s="2"/>
      <c r="J438" s="2"/>
      <c r="K438" s="2"/>
      <c r="L438" s="2"/>
      <c r="M438" s="2"/>
      <c r="N438" s="2"/>
    </row>
    <row r="439" spans="1:14">
      <c r="A439" s="11"/>
      <c r="B439" s="11"/>
      <c r="C439" s="2"/>
      <c r="D439" s="2"/>
      <c r="E439" s="2"/>
      <c r="F439" s="2"/>
      <c r="G439" s="2"/>
      <c r="H439" s="2"/>
      <c r="I439" s="2"/>
      <c r="J439" s="2"/>
      <c r="K439" s="2"/>
      <c r="L439" s="2"/>
      <c r="M439" s="2"/>
      <c r="N439" s="2"/>
    </row>
    <row r="440" spans="1:14">
      <c r="A440" s="11"/>
      <c r="B440" s="11"/>
      <c r="C440" s="2"/>
      <c r="D440" s="2"/>
      <c r="E440" s="2"/>
      <c r="F440" s="2"/>
      <c r="G440" s="2"/>
      <c r="H440" s="2"/>
      <c r="I440" s="2"/>
      <c r="J440" s="2"/>
      <c r="K440" s="2"/>
      <c r="L440" s="2"/>
      <c r="M440" s="2"/>
      <c r="N440" s="2"/>
    </row>
    <row r="441" spans="1:14">
      <c r="A441" s="11"/>
      <c r="B441" s="11"/>
      <c r="C441" s="2"/>
      <c r="D441" s="2"/>
      <c r="E441" s="2"/>
      <c r="F441" s="2"/>
      <c r="G441" s="2"/>
      <c r="H441" s="2"/>
      <c r="I441" s="2"/>
      <c r="J441" s="2"/>
      <c r="K441" s="2"/>
      <c r="L441" s="2"/>
      <c r="M441" s="2"/>
      <c r="N441" s="2"/>
    </row>
    <row r="442" spans="1:14">
      <c r="A442" s="11"/>
      <c r="B442" s="11"/>
      <c r="C442" s="2"/>
      <c r="D442" s="2"/>
      <c r="E442" s="2"/>
      <c r="F442" s="2"/>
      <c r="G442" s="2"/>
      <c r="H442" s="2"/>
      <c r="I442" s="2"/>
      <c r="J442" s="2"/>
      <c r="K442" s="2"/>
      <c r="L442" s="2"/>
      <c r="M442" s="2"/>
      <c r="N442" s="2"/>
    </row>
    <row r="443" spans="1:14">
      <c r="A443" s="11"/>
      <c r="B443" s="11"/>
      <c r="C443" s="2"/>
      <c r="D443" s="2"/>
      <c r="E443" s="2"/>
      <c r="F443" s="2"/>
      <c r="G443" s="2"/>
      <c r="H443" s="2"/>
      <c r="I443" s="2"/>
      <c r="J443" s="2"/>
      <c r="K443" s="2"/>
      <c r="L443" s="2"/>
      <c r="M443" s="2"/>
      <c r="N443" s="2"/>
    </row>
    <row r="444" spans="1:14">
      <c r="A444" s="11"/>
      <c r="B444" s="11"/>
      <c r="C444" s="2"/>
      <c r="D444" s="2"/>
      <c r="E444" s="2"/>
      <c r="F444" s="2"/>
      <c r="G444" s="2"/>
      <c r="H444" s="2"/>
      <c r="I444" s="2"/>
      <c r="J444" s="2"/>
      <c r="K444" s="2"/>
      <c r="L444" s="2"/>
      <c r="M444" s="2"/>
      <c r="N444" s="2"/>
    </row>
    <row r="445" spans="1:14">
      <c r="A445" s="11"/>
      <c r="B445" s="11"/>
      <c r="C445" s="2"/>
      <c r="D445" s="2"/>
      <c r="E445" s="2"/>
      <c r="F445" s="2"/>
      <c r="G445" s="2"/>
      <c r="H445" s="2"/>
      <c r="I445" s="2"/>
      <c r="J445" s="2"/>
      <c r="K445" s="2"/>
      <c r="L445" s="2"/>
      <c r="M445" s="2"/>
      <c r="N445" s="2"/>
    </row>
    <row r="446" spans="1:14">
      <c r="A446" s="11"/>
      <c r="B446" s="11"/>
      <c r="C446" s="2"/>
      <c r="D446" s="2"/>
      <c r="E446" s="2"/>
      <c r="F446" s="2"/>
      <c r="G446" s="2"/>
      <c r="H446" s="2"/>
      <c r="I446" s="2"/>
      <c r="J446" s="2"/>
      <c r="K446" s="2"/>
      <c r="L446" s="2"/>
      <c r="M446" s="2"/>
      <c r="N446" s="2"/>
    </row>
    <row r="447" spans="1:14">
      <c r="A447" s="11"/>
      <c r="B447" s="11"/>
      <c r="C447" s="2"/>
      <c r="D447" s="2"/>
      <c r="E447" s="2"/>
      <c r="F447" s="2"/>
      <c r="G447" s="2"/>
      <c r="H447" s="2"/>
      <c r="I447" s="2"/>
      <c r="J447" s="2"/>
      <c r="K447" s="2"/>
      <c r="L447" s="2"/>
      <c r="M447" s="2"/>
      <c r="N447" s="2"/>
    </row>
    <row r="448" spans="1:14">
      <c r="A448" s="11"/>
      <c r="B448" s="11"/>
      <c r="C448" s="2"/>
      <c r="D448" s="2"/>
      <c r="E448" s="2"/>
      <c r="F448" s="2"/>
      <c r="G448" s="2"/>
      <c r="H448" s="2"/>
      <c r="I448" s="2"/>
      <c r="J448" s="2"/>
      <c r="K448" s="2"/>
      <c r="L448" s="2"/>
      <c r="M448" s="2"/>
      <c r="N448" s="2"/>
    </row>
    <row r="449" spans="1:14">
      <c r="A449" s="11"/>
      <c r="B449" s="11"/>
      <c r="C449" s="2"/>
      <c r="D449" s="2"/>
      <c r="E449" s="2"/>
      <c r="F449" s="2"/>
      <c r="G449" s="2"/>
      <c r="H449" s="2"/>
      <c r="I449" s="2"/>
      <c r="J449" s="2"/>
      <c r="K449" s="2"/>
      <c r="L449" s="2"/>
      <c r="M449" s="2"/>
      <c r="N449" s="2"/>
    </row>
    <row r="450" spans="1:14">
      <c r="A450" s="11"/>
      <c r="B450" s="11"/>
      <c r="C450" s="2"/>
      <c r="D450" s="2"/>
      <c r="E450" s="2"/>
      <c r="F450" s="2"/>
      <c r="G450" s="2"/>
      <c r="H450" s="2"/>
      <c r="I450" s="2"/>
      <c r="J450" s="2"/>
      <c r="K450" s="2"/>
      <c r="L450" s="2"/>
      <c r="M450" s="2"/>
      <c r="N450" s="2"/>
    </row>
    <row r="451" spans="1:14">
      <c r="A451" s="11"/>
      <c r="B451" s="11"/>
      <c r="C451" s="2"/>
      <c r="D451" s="2"/>
      <c r="E451" s="2"/>
      <c r="F451" s="2"/>
      <c r="G451" s="2"/>
      <c r="H451" s="2"/>
      <c r="I451" s="2"/>
      <c r="J451" s="2"/>
      <c r="K451" s="2"/>
      <c r="L451" s="2"/>
      <c r="M451" s="2"/>
      <c r="N451" s="2"/>
    </row>
    <row r="452" spans="1:14">
      <c r="A452" s="11"/>
      <c r="B452" s="11"/>
      <c r="C452" s="2"/>
      <c r="D452" s="2"/>
      <c r="E452" s="2"/>
      <c r="F452" s="2"/>
      <c r="G452" s="2"/>
      <c r="H452" s="2"/>
      <c r="I452" s="2"/>
      <c r="J452" s="2"/>
      <c r="K452" s="2"/>
      <c r="L452" s="2"/>
      <c r="M452" s="2"/>
      <c r="N452" s="2"/>
    </row>
    <row r="453" spans="1:14">
      <c r="A453" s="11"/>
      <c r="B453" s="11"/>
      <c r="C453" s="2"/>
      <c r="D453" s="2"/>
      <c r="E453" s="2"/>
      <c r="F453" s="2"/>
      <c r="G453" s="2"/>
      <c r="H453" s="2"/>
      <c r="I453" s="2"/>
      <c r="J453" s="2"/>
      <c r="K453" s="2"/>
      <c r="L453" s="2"/>
      <c r="M453" s="2"/>
      <c r="N453" s="2"/>
    </row>
    <row r="454" spans="1:14">
      <c r="A454" s="11"/>
      <c r="B454" s="11"/>
      <c r="C454" s="2"/>
      <c r="D454" s="2"/>
      <c r="E454" s="2"/>
      <c r="F454" s="2"/>
      <c r="G454" s="2"/>
      <c r="H454" s="2"/>
      <c r="I454" s="2"/>
      <c r="J454" s="2"/>
      <c r="K454" s="2"/>
      <c r="L454" s="2"/>
      <c r="M454" s="2"/>
      <c r="N454" s="2"/>
    </row>
    <row r="455" spans="1:14">
      <c r="A455" s="11"/>
      <c r="B455" s="11"/>
      <c r="C455" s="2"/>
      <c r="D455" s="2"/>
      <c r="E455" s="2"/>
      <c r="F455" s="2"/>
      <c r="G455" s="2"/>
      <c r="H455" s="2"/>
      <c r="I455" s="2"/>
      <c r="J455" s="2"/>
      <c r="K455" s="2"/>
      <c r="L455" s="2"/>
      <c r="M455" s="2"/>
      <c r="N455" s="2"/>
    </row>
    <row r="456" spans="1:14">
      <c r="A456" s="11"/>
      <c r="B456" s="11"/>
      <c r="C456" s="2"/>
      <c r="D456" s="2"/>
      <c r="E456" s="2"/>
      <c r="F456" s="2"/>
      <c r="G456" s="2"/>
      <c r="H456" s="2"/>
      <c r="I456" s="2"/>
      <c r="J456" s="2"/>
      <c r="K456" s="2"/>
      <c r="L456" s="2"/>
      <c r="M456" s="2"/>
      <c r="N456" s="2"/>
    </row>
    <row r="457" spans="1:14">
      <c r="A457" s="11"/>
      <c r="B457" s="11"/>
      <c r="C457" s="2"/>
      <c r="D457" s="2"/>
      <c r="E457" s="2"/>
      <c r="F457" s="2"/>
      <c r="G457" s="2"/>
      <c r="H457" s="2"/>
      <c r="I457" s="2"/>
      <c r="J457" s="2"/>
      <c r="K457" s="2"/>
      <c r="L457" s="2"/>
      <c r="M457" s="2"/>
      <c r="N457" s="2"/>
    </row>
    <row r="458" spans="1:14">
      <c r="A458" s="11"/>
      <c r="B458" s="11"/>
      <c r="C458" s="2"/>
      <c r="D458" s="2"/>
      <c r="E458" s="2"/>
      <c r="F458" s="2"/>
      <c r="G458" s="2"/>
      <c r="H458" s="2"/>
      <c r="I458" s="2"/>
      <c r="J458" s="2"/>
      <c r="K458" s="2"/>
      <c r="L458" s="2"/>
      <c r="M458" s="2"/>
      <c r="N458" s="2"/>
    </row>
    <row r="459" spans="1:14">
      <c r="A459" s="11"/>
      <c r="B459" s="11"/>
      <c r="C459" s="2"/>
      <c r="D459" s="2"/>
      <c r="E459" s="2"/>
      <c r="F459" s="2"/>
      <c r="G459" s="2"/>
      <c r="H459" s="2"/>
      <c r="I459" s="2"/>
      <c r="J459" s="2"/>
      <c r="K459" s="2"/>
      <c r="L459" s="2"/>
      <c r="M459" s="2"/>
      <c r="N459" s="2"/>
    </row>
    <row r="460" spans="1:14">
      <c r="A460" s="11"/>
      <c r="B460" s="11"/>
      <c r="C460" s="2"/>
      <c r="D460" s="2"/>
      <c r="E460" s="2"/>
      <c r="F460" s="2"/>
      <c r="G460" s="2"/>
      <c r="H460" s="2"/>
      <c r="I460" s="2"/>
      <c r="J460" s="2"/>
      <c r="K460" s="2"/>
      <c r="L460" s="2"/>
      <c r="M460" s="2"/>
      <c r="N460" s="2"/>
    </row>
    <row r="461" spans="1:14">
      <c r="A461" s="11"/>
      <c r="B461" s="11"/>
      <c r="C461" s="2"/>
      <c r="D461" s="2"/>
      <c r="E461" s="2"/>
      <c r="F461" s="2"/>
      <c r="G461" s="2"/>
      <c r="H461" s="2"/>
      <c r="I461" s="2"/>
      <c r="J461" s="2"/>
      <c r="K461" s="2"/>
      <c r="L461" s="2"/>
      <c r="M461" s="2"/>
      <c r="N461" s="2"/>
    </row>
    <row r="462" spans="1:14">
      <c r="A462" s="11"/>
      <c r="B462" s="11"/>
      <c r="C462" s="2"/>
      <c r="D462" s="2"/>
      <c r="E462" s="2"/>
      <c r="F462" s="2"/>
      <c r="G462" s="2"/>
      <c r="H462" s="2"/>
      <c r="I462" s="2"/>
      <c r="J462" s="2"/>
      <c r="K462" s="2"/>
      <c r="L462" s="2"/>
      <c r="M462" s="2"/>
      <c r="N462" s="2"/>
    </row>
    <row r="463" spans="1:14">
      <c r="A463" s="11"/>
      <c r="B463" s="11"/>
      <c r="C463" s="2"/>
      <c r="D463" s="2"/>
      <c r="E463" s="2"/>
      <c r="F463" s="2"/>
      <c r="G463" s="2"/>
      <c r="H463" s="2"/>
      <c r="I463" s="2"/>
      <c r="J463" s="2"/>
      <c r="K463" s="2"/>
      <c r="L463" s="2"/>
      <c r="M463" s="2"/>
      <c r="N463" s="2"/>
    </row>
    <row r="464" spans="1:14">
      <c r="A464" s="11"/>
      <c r="B464" s="11"/>
      <c r="C464" s="2"/>
      <c r="D464" s="2"/>
      <c r="E464" s="2"/>
      <c r="F464" s="2"/>
      <c r="G464" s="2"/>
      <c r="H464" s="2"/>
      <c r="I464" s="2"/>
      <c r="J464" s="2"/>
      <c r="K464" s="2"/>
      <c r="L464" s="2"/>
      <c r="M464" s="2"/>
      <c r="N464" s="2"/>
    </row>
    <row r="465" spans="1:14">
      <c r="A465" s="11"/>
      <c r="B465" s="11"/>
      <c r="C465" s="2"/>
      <c r="D465" s="2"/>
      <c r="E465" s="2"/>
      <c r="F465" s="2"/>
      <c r="G465" s="2"/>
      <c r="H465" s="2"/>
      <c r="I465" s="2"/>
      <c r="J465" s="2"/>
      <c r="K465" s="2"/>
      <c r="L465" s="2"/>
      <c r="M465" s="2"/>
      <c r="N465" s="2"/>
    </row>
    <row r="466" spans="1:14">
      <c r="A466" s="11"/>
      <c r="B466" s="11"/>
      <c r="C466" s="2"/>
      <c r="D466" s="2"/>
      <c r="E466" s="2"/>
      <c r="F466" s="2"/>
      <c r="G466" s="2"/>
      <c r="H466" s="2"/>
      <c r="I466" s="2"/>
      <c r="J466" s="2"/>
      <c r="K466" s="2"/>
      <c r="L466" s="2"/>
      <c r="M466" s="2"/>
      <c r="N466" s="2"/>
    </row>
    <row r="467" spans="1:14">
      <c r="A467" s="11"/>
      <c r="B467" s="11"/>
      <c r="C467" s="2"/>
      <c r="D467" s="2"/>
      <c r="E467" s="2"/>
      <c r="F467" s="2"/>
      <c r="G467" s="2"/>
      <c r="H467" s="2"/>
      <c r="I467" s="2"/>
      <c r="J467" s="2"/>
      <c r="K467" s="2"/>
      <c r="L467" s="2"/>
      <c r="M467" s="2"/>
      <c r="N467" s="2"/>
    </row>
    <row r="468" spans="1:14">
      <c r="A468" s="11"/>
      <c r="B468" s="11"/>
      <c r="C468" s="2"/>
      <c r="D468" s="2"/>
      <c r="E468" s="2"/>
      <c r="F468" s="2"/>
      <c r="G468" s="2"/>
      <c r="H468" s="2"/>
      <c r="I468" s="2"/>
      <c r="J468" s="2"/>
      <c r="K468" s="2"/>
      <c r="L468" s="2"/>
      <c r="M468" s="2"/>
      <c r="N468" s="2"/>
    </row>
    <row r="469" spans="1:14">
      <c r="A469" s="11"/>
      <c r="B469" s="11"/>
      <c r="C469" s="2"/>
      <c r="D469" s="2"/>
      <c r="E469" s="2"/>
      <c r="F469" s="2"/>
      <c r="G469" s="2"/>
      <c r="H469" s="2"/>
      <c r="I469" s="2"/>
      <c r="J469" s="2"/>
      <c r="K469" s="2"/>
      <c r="L469" s="2"/>
      <c r="M469" s="2"/>
      <c r="N469" s="2"/>
    </row>
    <row r="470" spans="1:14">
      <c r="A470" s="11"/>
      <c r="B470" s="11"/>
      <c r="C470" s="2"/>
      <c r="D470" s="2"/>
      <c r="E470" s="2"/>
      <c r="F470" s="2"/>
      <c r="G470" s="2"/>
      <c r="H470" s="2"/>
      <c r="I470" s="2"/>
      <c r="J470" s="2"/>
      <c r="K470" s="2"/>
      <c r="L470" s="2"/>
      <c r="M470" s="2"/>
      <c r="N470" s="2"/>
    </row>
    <row r="471" spans="1:14">
      <c r="A471" s="11"/>
      <c r="B471" s="11"/>
      <c r="C471" s="2"/>
      <c r="D471" s="2"/>
      <c r="E471" s="2"/>
      <c r="F471" s="2"/>
      <c r="G471" s="2"/>
      <c r="H471" s="2"/>
      <c r="I471" s="2"/>
      <c r="J471" s="2"/>
      <c r="K471" s="2"/>
      <c r="L471" s="2"/>
      <c r="M471" s="2"/>
      <c r="N471" s="2"/>
    </row>
    <row r="472" spans="1:14">
      <c r="A472" s="11"/>
      <c r="B472" s="11"/>
      <c r="C472" s="2"/>
      <c r="D472" s="2"/>
      <c r="E472" s="2"/>
      <c r="F472" s="2"/>
      <c r="G472" s="2"/>
      <c r="H472" s="2"/>
      <c r="I472" s="2"/>
      <c r="J472" s="2"/>
      <c r="K472" s="2"/>
      <c r="L472" s="2"/>
      <c r="M472" s="2"/>
      <c r="N472" s="2"/>
    </row>
    <row r="473" spans="1:14">
      <c r="A473" s="11"/>
      <c r="B473" s="11"/>
      <c r="C473" s="2"/>
      <c r="D473" s="2"/>
      <c r="E473" s="2"/>
      <c r="F473" s="2"/>
      <c r="G473" s="2"/>
      <c r="H473" s="2"/>
      <c r="I473" s="2"/>
      <c r="J473" s="2"/>
      <c r="K473" s="2"/>
      <c r="L473" s="2"/>
      <c r="M473" s="2"/>
      <c r="N473" s="2"/>
    </row>
    <row r="474" spans="1:14">
      <c r="A474" s="11"/>
      <c r="B474" s="11"/>
      <c r="C474" s="2"/>
      <c r="D474" s="2"/>
      <c r="E474" s="2"/>
      <c r="F474" s="2"/>
      <c r="G474" s="2"/>
      <c r="H474" s="2"/>
      <c r="I474" s="2"/>
      <c r="J474" s="2"/>
      <c r="K474" s="2"/>
      <c r="L474" s="2"/>
      <c r="M474" s="2"/>
      <c r="N474" s="2"/>
    </row>
    <row r="475" spans="1:14">
      <c r="A475" s="11"/>
      <c r="B475" s="11"/>
      <c r="C475" s="2"/>
      <c r="D475" s="2"/>
      <c r="E475" s="2"/>
      <c r="F475" s="2"/>
      <c r="G475" s="2"/>
      <c r="H475" s="2"/>
      <c r="I475" s="2"/>
      <c r="J475" s="2"/>
      <c r="K475" s="2"/>
      <c r="L475" s="2"/>
      <c r="M475" s="2"/>
      <c r="N475" s="2"/>
    </row>
    <row r="476" spans="1:14">
      <c r="A476" s="11"/>
      <c r="B476" s="11"/>
      <c r="C476" s="2"/>
      <c r="D476" s="2"/>
      <c r="E476" s="2"/>
      <c r="F476" s="2"/>
      <c r="G476" s="2"/>
      <c r="H476" s="2"/>
      <c r="I476" s="2"/>
      <c r="J476" s="2"/>
      <c r="K476" s="2"/>
      <c r="L476" s="2"/>
      <c r="M476" s="2"/>
      <c r="N476" s="2"/>
    </row>
    <row r="477" spans="1:14">
      <c r="A477" s="11"/>
      <c r="B477" s="11"/>
      <c r="C477" s="2"/>
      <c r="D477" s="2"/>
      <c r="E477" s="2"/>
      <c r="F477" s="2"/>
      <c r="G477" s="2"/>
      <c r="H477" s="2"/>
      <c r="I477" s="2"/>
      <c r="J477" s="2"/>
      <c r="K477" s="2"/>
      <c r="L477" s="2"/>
      <c r="M477" s="2"/>
      <c r="N477" s="2"/>
    </row>
    <row r="478" spans="1:14">
      <c r="A478" s="11"/>
      <c r="B478" s="11"/>
      <c r="C478" s="2"/>
      <c r="D478" s="2"/>
      <c r="E478" s="2"/>
      <c r="F478" s="2"/>
      <c r="G478" s="2"/>
      <c r="H478" s="2"/>
      <c r="I478" s="2"/>
      <c r="J478" s="2"/>
      <c r="K478" s="2"/>
      <c r="L478" s="2"/>
      <c r="M478" s="2"/>
      <c r="N478" s="2"/>
    </row>
    <row r="479" spans="1:14">
      <c r="A479" s="11"/>
      <c r="B479" s="11"/>
      <c r="C479" s="2"/>
      <c r="D479" s="2"/>
      <c r="E479" s="2"/>
      <c r="F479" s="2"/>
      <c r="G479" s="2"/>
      <c r="H479" s="2"/>
      <c r="I479" s="2"/>
      <c r="J479" s="2"/>
      <c r="K479" s="2"/>
      <c r="L479" s="2"/>
      <c r="M479" s="2"/>
      <c r="N479" s="2"/>
    </row>
    <row r="480" spans="1:14">
      <c r="A480" s="11"/>
      <c r="B480" s="11"/>
      <c r="C480" s="2"/>
      <c r="D480" s="2"/>
      <c r="E480" s="2"/>
      <c r="F480" s="2"/>
      <c r="G480" s="2"/>
      <c r="H480" s="2"/>
      <c r="I480" s="2"/>
      <c r="J480" s="2"/>
      <c r="K480" s="2"/>
      <c r="L480" s="2"/>
      <c r="M480" s="2"/>
      <c r="N480" s="2"/>
    </row>
    <row r="481" spans="1:14">
      <c r="A481" s="11"/>
      <c r="B481" s="11"/>
      <c r="C481" s="2"/>
      <c r="D481" s="2"/>
      <c r="E481" s="2"/>
      <c r="F481" s="2"/>
      <c r="G481" s="2"/>
      <c r="H481" s="2"/>
      <c r="I481" s="2"/>
      <c r="J481" s="2"/>
      <c r="K481" s="2"/>
      <c r="L481" s="2"/>
      <c r="M481" s="2"/>
      <c r="N481" s="2"/>
    </row>
    <row r="482" spans="1:14">
      <c r="A482" s="11"/>
      <c r="B482" s="11"/>
      <c r="C482" s="2"/>
      <c r="D482" s="2"/>
      <c r="E482" s="2"/>
      <c r="F482" s="2"/>
      <c r="G482" s="2"/>
      <c r="H482" s="2"/>
      <c r="I482" s="2"/>
      <c r="J482" s="2"/>
      <c r="K482" s="2"/>
      <c r="L482" s="2"/>
      <c r="M482" s="2"/>
      <c r="N482" s="2"/>
    </row>
    <row r="483" spans="1:14">
      <c r="A483" s="11"/>
      <c r="B483" s="11"/>
      <c r="C483" s="2"/>
      <c r="D483" s="2"/>
      <c r="E483" s="2"/>
      <c r="F483" s="2"/>
      <c r="G483" s="2"/>
      <c r="H483" s="2"/>
      <c r="I483" s="2"/>
      <c r="J483" s="2"/>
      <c r="K483" s="2"/>
      <c r="L483" s="2"/>
      <c r="M483" s="2"/>
      <c r="N483" s="2"/>
    </row>
    <row r="484" spans="1:14">
      <c r="A484" s="11"/>
      <c r="B484" s="11"/>
      <c r="C484" s="2"/>
      <c r="D484" s="2"/>
      <c r="E484" s="2"/>
      <c r="F484" s="2"/>
      <c r="G484" s="2"/>
      <c r="H484" s="2"/>
      <c r="I484" s="2"/>
      <c r="J484" s="2"/>
      <c r="K484" s="2"/>
      <c r="L484" s="2"/>
      <c r="M484" s="2"/>
      <c r="N484" s="2"/>
    </row>
    <row r="485" spans="1:14">
      <c r="A485" s="11"/>
      <c r="B485" s="11"/>
      <c r="C485" s="2"/>
      <c r="D485" s="2"/>
      <c r="E485" s="2"/>
      <c r="F485" s="2"/>
      <c r="G485" s="2"/>
      <c r="H485" s="2"/>
      <c r="I485" s="2"/>
      <c r="J485" s="2"/>
      <c r="K485" s="2"/>
      <c r="L485" s="2"/>
      <c r="M485" s="2"/>
      <c r="N485" s="2"/>
    </row>
    <row r="486" spans="1:14">
      <c r="A486" s="11"/>
      <c r="B486" s="11"/>
      <c r="C486" s="2"/>
      <c r="D486" s="2"/>
      <c r="E486" s="2"/>
      <c r="F486" s="2"/>
      <c r="G486" s="2"/>
      <c r="H486" s="2"/>
      <c r="I486" s="2"/>
      <c r="J486" s="2"/>
      <c r="K486" s="2"/>
      <c r="L486" s="2"/>
      <c r="M486" s="2"/>
      <c r="N486" s="2"/>
    </row>
    <row r="487" spans="1:14">
      <c r="A487" s="11"/>
      <c r="B487" s="11"/>
      <c r="C487" s="2"/>
      <c r="D487" s="2"/>
      <c r="E487" s="2"/>
      <c r="F487" s="2"/>
      <c r="G487" s="2"/>
      <c r="H487" s="2"/>
      <c r="I487" s="2"/>
      <c r="J487" s="2"/>
      <c r="K487" s="2"/>
      <c r="L487" s="2"/>
      <c r="M487" s="2"/>
      <c r="N487" s="2"/>
    </row>
    <row r="488" spans="1:14">
      <c r="A488" s="11"/>
      <c r="B488" s="11"/>
      <c r="C488" s="2"/>
      <c r="D488" s="2"/>
      <c r="E488" s="2"/>
      <c r="F488" s="2"/>
      <c r="G488" s="2"/>
      <c r="H488" s="2"/>
      <c r="I488" s="2"/>
      <c r="J488" s="2"/>
      <c r="K488" s="2"/>
      <c r="L488" s="2"/>
      <c r="M488" s="2"/>
      <c r="N488" s="2"/>
    </row>
    <row r="489" spans="1:14">
      <c r="A489" s="11"/>
      <c r="B489" s="11"/>
      <c r="C489" s="2"/>
      <c r="D489" s="2"/>
      <c r="E489" s="2"/>
      <c r="F489" s="2"/>
      <c r="G489" s="2"/>
      <c r="H489" s="2"/>
      <c r="I489" s="2"/>
      <c r="J489" s="2"/>
      <c r="K489" s="2"/>
      <c r="L489" s="2"/>
      <c r="M489" s="2"/>
      <c r="N489" s="2"/>
    </row>
    <row r="490" spans="1:14">
      <c r="A490" s="11"/>
      <c r="B490" s="11"/>
      <c r="C490" s="2"/>
      <c r="D490" s="2"/>
      <c r="E490" s="2"/>
      <c r="F490" s="2"/>
      <c r="G490" s="2"/>
      <c r="H490" s="2"/>
      <c r="I490" s="2"/>
      <c r="J490" s="2"/>
      <c r="K490" s="2"/>
      <c r="L490" s="2"/>
      <c r="M490" s="2"/>
      <c r="N490" s="2"/>
    </row>
    <row r="491" spans="1:14">
      <c r="A491" s="11"/>
      <c r="B491" s="11"/>
      <c r="C491" s="2"/>
      <c r="D491" s="2"/>
      <c r="E491" s="2"/>
      <c r="F491" s="2"/>
      <c r="G491" s="2"/>
      <c r="H491" s="2"/>
      <c r="I491" s="2"/>
      <c r="J491" s="2"/>
      <c r="K491" s="2"/>
      <c r="L491" s="2"/>
      <c r="M491" s="2"/>
      <c r="N491" s="2"/>
    </row>
    <row r="492" spans="1:14">
      <c r="A492" s="11"/>
      <c r="B492" s="11"/>
      <c r="C492" s="2"/>
      <c r="D492" s="2"/>
      <c r="E492" s="2"/>
      <c r="F492" s="2"/>
      <c r="G492" s="2"/>
      <c r="H492" s="2"/>
      <c r="I492" s="2"/>
      <c r="J492" s="2"/>
      <c r="K492" s="2"/>
      <c r="L492" s="2"/>
      <c r="M492" s="2"/>
      <c r="N492" s="2"/>
    </row>
    <row r="493" spans="1:14">
      <c r="A493" s="11"/>
      <c r="B493" s="11"/>
      <c r="C493" s="2"/>
      <c r="D493" s="2"/>
      <c r="E493" s="2"/>
      <c r="F493" s="2"/>
      <c r="G493" s="2"/>
      <c r="H493" s="2"/>
      <c r="I493" s="2"/>
      <c r="J493" s="2"/>
      <c r="K493" s="2"/>
      <c r="L493" s="2"/>
      <c r="M493" s="2"/>
      <c r="N493" s="2"/>
    </row>
    <row r="494" spans="1:14">
      <c r="A494" s="11"/>
      <c r="B494" s="11"/>
      <c r="C494" s="2"/>
      <c r="D494" s="2"/>
      <c r="E494" s="2"/>
      <c r="F494" s="2"/>
      <c r="G494" s="2"/>
      <c r="H494" s="2"/>
      <c r="I494" s="2"/>
      <c r="J494" s="2"/>
      <c r="K494" s="2"/>
      <c r="L494" s="2"/>
      <c r="M494" s="2"/>
      <c r="N494" s="2"/>
    </row>
    <row r="495" spans="1:14">
      <c r="A495" s="11"/>
      <c r="B495" s="11"/>
      <c r="C495" s="2"/>
      <c r="D495" s="2"/>
      <c r="E495" s="2"/>
      <c r="F495" s="2"/>
      <c r="G495" s="2"/>
      <c r="H495" s="2"/>
      <c r="I495" s="2"/>
      <c r="J495" s="2"/>
      <c r="K495" s="2"/>
      <c r="L495" s="2"/>
      <c r="M495" s="2"/>
      <c r="N495" s="2"/>
    </row>
    <row r="496" spans="1:14">
      <c r="A496" s="11"/>
      <c r="B496" s="11"/>
      <c r="C496" s="2"/>
      <c r="D496" s="2"/>
      <c r="E496" s="2"/>
      <c r="F496" s="2"/>
      <c r="G496" s="2"/>
      <c r="H496" s="2"/>
      <c r="I496" s="2"/>
      <c r="J496" s="2"/>
      <c r="K496" s="2"/>
      <c r="L496" s="2"/>
      <c r="M496" s="2"/>
      <c r="N496" s="2"/>
    </row>
    <row r="497" spans="1:14">
      <c r="A497" s="11"/>
      <c r="B497" s="11"/>
      <c r="C497" s="2"/>
      <c r="D497" s="2"/>
      <c r="E497" s="2"/>
      <c r="F497" s="2"/>
      <c r="G497" s="2"/>
      <c r="H497" s="2"/>
      <c r="I497" s="2"/>
      <c r="J497" s="2"/>
      <c r="K497" s="2"/>
      <c r="L497" s="2"/>
      <c r="M497" s="2"/>
      <c r="N497" s="2"/>
    </row>
    <row r="498" spans="1:14">
      <c r="A498" s="11"/>
      <c r="B498" s="11"/>
      <c r="C498" s="2"/>
      <c r="D498" s="2"/>
      <c r="E498" s="2"/>
      <c r="F498" s="2"/>
      <c r="G498" s="2"/>
      <c r="H498" s="2"/>
      <c r="I498" s="2"/>
      <c r="J498" s="2"/>
      <c r="K498" s="2"/>
      <c r="L498" s="2"/>
      <c r="M498" s="2"/>
      <c r="N498" s="2"/>
    </row>
    <row r="499" spans="1:14">
      <c r="A499" s="11"/>
      <c r="B499" s="11"/>
      <c r="C499" s="2"/>
      <c r="D499" s="2"/>
      <c r="E499" s="2"/>
      <c r="F499" s="2"/>
      <c r="G499" s="2"/>
      <c r="H499" s="2"/>
      <c r="I499" s="2"/>
      <c r="J499" s="2"/>
      <c r="K499" s="2"/>
      <c r="L499" s="2"/>
      <c r="M499" s="2"/>
      <c r="N499" s="2"/>
    </row>
    <row r="500" spans="1:14">
      <c r="A500" s="11"/>
      <c r="B500" s="11"/>
      <c r="C500" s="2"/>
      <c r="D500" s="2"/>
      <c r="E500" s="2"/>
      <c r="F500" s="2"/>
      <c r="G500" s="2"/>
      <c r="H500" s="2"/>
      <c r="I500" s="2"/>
      <c r="J500" s="2"/>
      <c r="K500" s="2"/>
      <c r="L500" s="2"/>
      <c r="M500" s="2"/>
      <c r="N500" s="2"/>
    </row>
    <row r="501" spans="1:14">
      <c r="A501" s="11"/>
      <c r="B501" s="11"/>
      <c r="C501" s="2"/>
      <c r="D501" s="2"/>
      <c r="E501" s="2"/>
      <c r="F501" s="2"/>
      <c r="G501" s="2"/>
      <c r="H501" s="2"/>
      <c r="I501" s="2"/>
      <c r="J501" s="2"/>
      <c r="K501" s="2"/>
      <c r="L501" s="2"/>
      <c r="M501" s="2"/>
      <c r="N501" s="2"/>
    </row>
    <row r="502" spans="1:14">
      <c r="A502" s="11"/>
      <c r="B502" s="11"/>
      <c r="C502" s="2"/>
      <c r="D502" s="2"/>
      <c r="E502" s="2"/>
      <c r="F502" s="2"/>
      <c r="G502" s="2"/>
      <c r="H502" s="2"/>
      <c r="K502" s="2"/>
      <c r="L502" s="2"/>
      <c r="M502" s="2"/>
      <c r="N502" s="2"/>
    </row>
    <row r="503" spans="1:14">
      <c r="A503" s="11"/>
      <c r="B503" s="11"/>
      <c r="C503" s="2"/>
      <c r="D503" s="2"/>
      <c r="E503" s="2"/>
      <c r="F503" s="2"/>
      <c r="G503" s="2"/>
      <c r="H503" s="2"/>
      <c r="K503" s="2"/>
      <c r="L503" s="2"/>
    </row>
    <row r="504" spans="1:14">
      <c r="A504" s="11"/>
      <c r="B504" s="11"/>
      <c r="C504" s="2"/>
      <c r="D504" s="2"/>
      <c r="G504" s="2"/>
      <c r="H504" s="2"/>
      <c r="K504" s="2"/>
      <c r="L504" s="2"/>
    </row>
    <row r="505" spans="1:14">
      <c r="C505" s="2"/>
      <c r="D505" s="2"/>
      <c r="G505" s="2"/>
      <c r="H505" s="2"/>
      <c r="K505" s="2"/>
      <c r="L50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I500"/>
  <sheetViews>
    <sheetView zoomScale="80" zoomScaleNormal="80" workbookViewId="0">
      <selection activeCell="A8" sqref="A8:G18"/>
    </sheetView>
  </sheetViews>
  <sheetFormatPr defaultRowHeight="15"/>
  <cols>
    <col min="1" max="2" width="15.85546875" style="129" customWidth="1"/>
    <col min="3" max="3" width="10.7109375" style="130" customWidth="1"/>
    <col min="4" max="4" width="6.85546875" style="130" customWidth="1"/>
    <col min="5" max="6" width="13.85546875" style="131" customWidth="1"/>
    <col min="7" max="7" width="11.28515625" style="132" bestFit="1" customWidth="1"/>
    <col min="8" max="8" width="9.85546875" style="133" customWidth="1"/>
    <col min="9" max="9" width="13.7109375" style="133" customWidth="1"/>
    <col min="10" max="13" width="5.5703125" style="130" customWidth="1"/>
    <col min="14" max="24" width="6.85546875" style="130" customWidth="1"/>
    <col min="25" max="25" width="5.140625" style="135" customWidth="1"/>
    <col min="26" max="26" width="8.5703125" style="135" customWidth="1"/>
    <col min="27" max="33" width="9.140625" style="135"/>
    <col min="34" max="34" width="8.42578125" style="135" customWidth="1"/>
    <col min="35" max="35" width="11.42578125" style="136" hidden="1" customWidth="1"/>
    <col min="36" max="16384" width="9.140625" style="135"/>
  </cols>
  <sheetData>
    <row r="1" spans="1:35" s="45" customFormat="1" ht="27.6" customHeight="1" thickBot="1">
      <c r="A1" s="42"/>
      <c r="B1" s="42"/>
      <c r="C1" s="42"/>
      <c r="D1" s="42"/>
      <c r="E1" s="42"/>
      <c r="F1" s="347" t="s">
        <v>181</v>
      </c>
      <c r="G1" s="348"/>
      <c r="H1" s="348"/>
      <c r="I1" s="43"/>
      <c r="J1" s="349"/>
      <c r="K1" s="349"/>
      <c r="L1" s="349"/>
      <c r="M1" s="349"/>
      <c r="N1" s="349"/>
      <c r="O1" s="349"/>
      <c r="P1" s="349"/>
      <c r="Q1" s="349"/>
      <c r="R1" s="349"/>
      <c r="S1" s="349"/>
      <c r="T1" s="349"/>
      <c r="U1" s="349"/>
      <c r="V1" s="349"/>
      <c r="W1" s="349"/>
      <c r="X1" s="349"/>
      <c r="Y1" s="44"/>
      <c r="AI1" s="46"/>
    </row>
    <row r="2" spans="1:35" s="53" customFormat="1" ht="18" customHeight="1" thickBot="1">
      <c r="A2" s="47"/>
      <c r="B2" s="47"/>
      <c r="C2" s="48"/>
      <c r="D2" s="48"/>
      <c r="E2" s="49"/>
      <c r="F2" s="50"/>
      <c r="G2" s="50"/>
      <c r="H2" s="51"/>
      <c r="I2" s="51"/>
      <c r="J2" s="52"/>
      <c r="K2" s="52"/>
      <c r="L2" s="52"/>
      <c r="M2" s="52"/>
      <c r="N2" s="52"/>
      <c r="O2" s="52"/>
      <c r="P2" s="52"/>
      <c r="Q2" s="52"/>
      <c r="R2" s="52"/>
      <c r="S2" s="52"/>
      <c r="T2" s="52"/>
      <c r="U2" s="52"/>
      <c r="V2" s="52"/>
      <c r="W2" s="52"/>
      <c r="X2" s="52"/>
      <c r="AI2" s="54"/>
    </row>
    <row r="3" spans="1:35" s="58" customFormat="1" ht="98.25" customHeight="1" thickBot="1">
      <c r="A3" s="55"/>
      <c r="B3" s="55"/>
      <c r="C3" s="55"/>
      <c r="D3" s="56"/>
      <c r="E3" s="57"/>
      <c r="G3" s="59"/>
      <c r="H3" s="60"/>
      <c r="I3" s="61"/>
      <c r="J3" s="375" t="s">
        <v>190</v>
      </c>
      <c r="K3" s="350"/>
      <c r="L3" s="350"/>
      <c r="M3" s="350"/>
      <c r="N3" s="350"/>
      <c r="O3" s="350"/>
      <c r="P3" s="350"/>
      <c r="Q3" s="350"/>
      <c r="R3" s="350"/>
      <c r="S3" s="350"/>
      <c r="T3" s="350"/>
      <c r="U3" s="350"/>
      <c r="V3" s="350"/>
      <c r="W3" s="350"/>
      <c r="X3" s="351"/>
      <c r="AI3" s="62"/>
    </row>
    <row r="4" spans="1:35" s="67" customFormat="1" ht="23.25" customHeight="1" thickBot="1">
      <c r="A4" s="63"/>
      <c r="B4" s="63"/>
      <c r="C4" s="64"/>
      <c r="D4" s="64"/>
      <c r="E4" s="65"/>
      <c r="F4" s="223"/>
      <c r="G4" s="224"/>
      <c r="H4" s="387" t="s">
        <v>102</v>
      </c>
      <c r="I4" s="388"/>
      <c r="J4" s="151">
        <v>1</v>
      </c>
      <c r="K4" s="152">
        <v>2</v>
      </c>
      <c r="L4" s="152">
        <v>3</v>
      </c>
      <c r="M4" s="152">
        <v>4</v>
      </c>
      <c r="N4" s="153">
        <v>5</v>
      </c>
      <c r="O4" s="153">
        <v>6</v>
      </c>
      <c r="P4" s="153">
        <v>7</v>
      </c>
      <c r="Q4" s="153">
        <v>8</v>
      </c>
      <c r="R4" s="153">
        <v>9</v>
      </c>
      <c r="S4" s="153">
        <v>10</v>
      </c>
      <c r="T4" s="153">
        <v>11</v>
      </c>
      <c r="U4" s="153">
        <v>12</v>
      </c>
      <c r="V4" s="153">
        <v>13</v>
      </c>
      <c r="W4" s="153">
        <v>14</v>
      </c>
      <c r="X4" s="225">
        <v>15</v>
      </c>
      <c r="AI4" s="68"/>
    </row>
    <row r="5" spans="1:35" s="53" customFormat="1" ht="102" customHeight="1" thickBot="1">
      <c r="A5" s="204"/>
      <c r="B5" s="204"/>
      <c r="C5" s="205"/>
      <c r="D5" s="205"/>
      <c r="E5" s="206"/>
      <c r="F5" s="226"/>
      <c r="G5" s="227"/>
      <c r="H5" s="385" t="s">
        <v>137</v>
      </c>
      <c r="I5" s="386"/>
      <c r="J5" s="389" t="s">
        <v>80</v>
      </c>
      <c r="K5" s="383" t="s">
        <v>136</v>
      </c>
      <c r="L5" s="383" t="s">
        <v>135</v>
      </c>
      <c r="M5" s="383" t="s">
        <v>134</v>
      </c>
      <c r="N5" s="383" t="s">
        <v>133</v>
      </c>
      <c r="O5" s="383" t="s">
        <v>132</v>
      </c>
      <c r="P5" s="383" t="s">
        <v>131</v>
      </c>
      <c r="Q5" s="383" t="s">
        <v>130</v>
      </c>
      <c r="R5" s="383" t="s">
        <v>129</v>
      </c>
      <c r="S5" s="383" t="s">
        <v>128</v>
      </c>
      <c r="T5" s="383" t="s">
        <v>127</v>
      </c>
      <c r="U5" s="383" t="s">
        <v>126</v>
      </c>
      <c r="V5" s="383" t="s">
        <v>125</v>
      </c>
      <c r="W5" s="383" t="s">
        <v>124</v>
      </c>
      <c r="X5" s="391" t="s">
        <v>123</v>
      </c>
    </row>
    <row r="6" spans="1:35" s="53" customFormat="1" ht="21.75" customHeight="1" thickBot="1">
      <c r="A6" s="228" t="s">
        <v>15</v>
      </c>
      <c r="B6" s="229" t="s">
        <v>15</v>
      </c>
      <c r="C6" s="230" t="s">
        <v>15</v>
      </c>
      <c r="D6" s="231"/>
      <c r="E6" s="231" t="s">
        <v>15</v>
      </c>
      <c r="F6" s="232" t="s">
        <v>15</v>
      </c>
      <c r="G6" s="232" t="s">
        <v>15</v>
      </c>
      <c r="H6" s="233"/>
      <c r="I6" s="234"/>
      <c r="J6" s="390"/>
      <c r="K6" s="384"/>
      <c r="L6" s="384"/>
      <c r="M6" s="384"/>
      <c r="N6" s="384"/>
      <c r="O6" s="384"/>
      <c r="P6" s="384"/>
      <c r="Q6" s="384"/>
      <c r="R6" s="384"/>
      <c r="S6" s="384"/>
      <c r="T6" s="384"/>
      <c r="U6" s="384"/>
      <c r="V6" s="384"/>
      <c r="W6" s="384"/>
      <c r="X6" s="392"/>
    </row>
    <row r="7" spans="1:35" s="99" customFormat="1" ht="30.75" thickBot="1">
      <c r="A7" s="162" t="s">
        <v>14</v>
      </c>
      <c r="B7" s="163" t="s">
        <v>13</v>
      </c>
      <c r="C7" s="164" t="s">
        <v>12</v>
      </c>
      <c r="D7" s="164" t="s">
        <v>11</v>
      </c>
      <c r="E7" s="165" t="s">
        <v>10</v>
      </c>
      <c r="F7" s="235" t="s">
        <v>9</v>
      </c>
      <c r="G7" s="236" t="s">
        <v>8</v>
      </c>
      <c r="H7" s="237" t="s">
        <v>6</v>
      </c>
      <c r="I7" s="238" t="s">
        <v>5</v>
      </c>
      <c r="J7" s="169" t="s">
        <v>4</v>
      </c>
      <c r="K7" s="170" t="s">
        <v>4</v>
      </c>
      <c r="L7" s="170" t="s">
        <v>4</v>
      </c>
      <c r="M7" s="170" t="s">
        <v>4</v>
      </c>
      <c r="N7" s="170" t="s">
        <v>4</v>
      </c>
      <c r="O7" s="170" t="s">
        <v>4</v>
      </c>
      <c r="P7" s="170" t="s">
        <v>4</v>
      </c>
      <c r="Q7" s="170" t="s">
        <v>4</v>
      </c>
      <c r="R7" s="170" t="s">
        <v>4</v>
      </c>
      <c r="S7" s="170" t="s">
        <v>4</v>
      </c>
      <c r="T7" s="170" t="s">
        <v>4</v>
      </c>
      <c r="U7" s="170" t="s">
        <v>4</v>
      </c>
      <c r="V7" s="170" t="s">
        <v>4</v>
      </c>
      <c r="W7" s="170" t="s">
        <v>4</v>
      </c>
      <c r="X7" s="172" t="s">
        <v>4</v>
      </c>
      <c r="Y7" s="174">
        <f>COUNTIF(J7:X7,"y")</f>
        <v>15</v>
      </c>
      <c r="Z7" s="175" t="s">
        <v>3</v>
      </c>
      <c r="AA7" s="176"/>
      <c r="AI7" s="177" t="s">
        <v>2</v>
      </c>
    </row>
    <row r="8" spans="1:35" s="108" customFormat="1" ht="15.75">
      <c r="A8" s="178">
        <v>45950</v>
      </c>
      <c r="B8" s="178">
        <v>40959</v>
      </c>
      <c r="C8" s="179">
        <v>3</v>
      </c>
      <c r="D8" s="179"/>
      <c r="E8" s="180" t="s">
        <v>206</v>
      </c>
      <c r="F8" s="180" t="s">
        <v>207</v>
      </c>
      <c r="G8" s="181" t="s">
        <v>195</v>
      </c>
      <c r="H8" s="199">
        <f t="shared" ref="H8:H71" si="0">IF(E8="","",COUNTIF(J8:X8,"y"))</f>
        <v>0</v>
      </c>
      <c r="I8" s="200">
        <f>IF(H8="","",IF(AND(AI8&lt;=66),VLOOKUP(H8,'WordRead Look Up'!$A$13:$B$20,2,TRUE),IF(AND(AI8&gt;=67,AI8&lt;=72),VLOOKUP(H8,'WordRead Look Up'!$E$13:$F$20,2,TRUE),IF(AND(AI8&gt;=73,AI8&lt;=78),VLOOKUP(H8,'WordRead Look Up'!$I$13:$J$18,2,TRUE),IF(AND(AI8&gt;=79),VLOOKUP(H8,'WordRead Look Up'!$M$13:$N$18,2,TRUE),"")))))</f>
        <v>1</v>
      </c>
      <c r="J8" s="182"/>
      <c r="K8" s="182"/>
      <c r="L8" s="182"/>
      <c r="M8" s="182"/>
      <c r="N8" s="182"/>
      <c r="O8" s="182"/>
      <c r="P8" s="182"/>
      <c r="Q8" s="182"/>
      <c r="R8" s="182"/>
      <c r="S8" s="182"/>
      <c r="T8" s="182"/>
      <c r="U8" s="182"/>
      <c r="V8" s="182"/>
      <c r="W8" s="182"/>
      <c r="X8" s="239"/>
      <c r="AG8" s="185"/>
      <c r="AH8" s="185"/>
      <c r="AI8" s="222">
        <f t="shared" ref="AI8:AI71" si="1">IF(E8="","",DATEDIF(B8,A8,"m"))</f>
        <v>164</v>
      </c>
    </row>
    <row r="9" spans="1:35" s="108" customFormat="1" ht="15.75">
      <c r="A9" s="178">
        <v>45950</v>
      </c>
      <c r="B9" s="178">
        <v>40960</v>
      </c>
      <c r="C9" s="186">
        <v>3</v>
      </c>
      <c r="D9" s="179"/>
      <c r="E9" s="187" t="s">
        <v>208</v>
      </c>
      <c r="F9" s="187" t="s">
        <v>209</v>
      </c>
      <c r="G9" s="188" t="s">
        <v>196</v>
      </c>
      <c r="H9" s="199">
        <f t="shared" si="0"/>
        <v>0</v>
      </c>
      <c r="I9" s="200">
        <f>IF(H9="","",IF(AND(AI9&lt;=66),VLOOKUP(H9,'WordRead Look Up'!$A$13:$B$20,2,TRUE),IF(AND(AI9&gt;=67,AI9&lt;=72),VLOOKUP(H9,'WordRead Look Up'!$E$13:$F$20,2,TRUE),IF(AND(AI9&gt;=73,AI9&lt;=78),VLOOKUP(H9,'WordRead Look Up'!$I$13:$J$18,2,TRUE),IF(AND(AI9&gt;=79),VLOOKUP(H9,'WordRead Look Up'!$M$13:$N$18,2,TRUE),"")))))</f>
        <v>1</v>
      </c>
      <c r="J9" s="182"/>
      <c r="K9" s="182"/>
      <c r="L9" s="182"/>
      <c r="M9" s="182"/>
      <c r="N9" s="182"/>
      <c r="O9" s="182"/>
      <c r="P9" s="182"/>
      <c r="Q9" s="182"/>
      <c r="R9" s="182"/>
      <c r="S9" s="182"/>
      <c r="T9" s="182"/>
      <c r="U9" s="182"/>
      <c r="V9" s="182"/>
      <c r="W9" s="182"/>
      <c r="X9" s="239"/>
      <c r="AG9" s="185"/>
      <c r="AH9" s="185"/>
      <c r="AI9" s="222">
        <f t="shared" si="1"/>
        <v>163</v>
      </c>
    </row>
    <row r="10" spans="1:35" s="108" customFormat="1" ht="15.75">
      <c r="A10" s="178">
        <v>45950</v>
      </c>
      <c r="B10" s="178">
        <v>40961</v>
      </c>
      <c r="C10" s="186">
        <v>3</v>
      </c>
      <c r="D10" s="179"/>
      <c r="E10" s="187" t="s">
        <v>210</v>
      </c>
      <c r="F10" s="187" t="s">
        <v>211</v>
      </c>
      <c r="G10" s="188" t="s">
        <v>197</v>
      </c>
      <c r="H10" s="199">
        <f t="shared" si="0"/>
        <v>0</v>
      </c>
      <c r="I10" s="200">
        <f>IF(H10="","",IF(AND(AI10&lt;=66),VLOOKUP(H10,'WordRead Look Up'!$A$13:$B$20,2,TRUE),IF(AND(AI10&gt;=67,AI10&lt;=72),VLOOKUP(H10,'WordRead Look Up'!$E$13:$F$20,2,TRUE),IF(AND(AI10&gt;=73,AI10&lt;=78),VLOOKUP(H10,'WordRead Look Up'!$I$13:$J$18,2,TRUE),IF(AND(AI10&gt;=79),VLOOKUP(H10,'WordRead Look Up'!$M$13:$N$18,2,TRUE),"")))))</f>
        <v>1</v>
      </c>
      <c r="J10" s="182"/>
      <c r="K10" s="182"/>
      <c r="L10" s="182"/>
      <c r="M10" s="182"/>
      <c r="N10" s="182"/>
      <c r="O10" s="182"/>
      <c r="P10" s="182"/>
      <c r="Q10" s="182"/>
      <c r="R10" s="182"/>
      <c r="S10" s="182"/>
      <c r="T10" s="182"/>
      <c r="U10" s="182"/>
      <c r="V10" s="182"/>
      <c r="W10" s="182"/>
      <c r="X10" s="239"/>
      <c r="AA10" s="99"/>
      <c r="AG10" s="185"/>
      <c r="AH10" s="185"/>
      <c r="AI10" s="222">
        <f t="shared" si="1"/>
        <v>163</v>
      </c>
    </row>
    <row r="11" spans="1:35" s="108" customFormat="1" ht="15.75">
      <c r="A11" s="178">
        <v>45950</v>
      </c>
      <c r="B11" s="178">
        <v>40962</v>
      </c>
      <c r="C11" s="186">
        <v>3</v>
      </c>
      <c r="D11" s="179"/>
      <c r="E11" s="187" t="s">
        <v>212</v>
      </c>
      <c r="F11" s="187" t="s">
        <v>213</v>
      </c>
      <c r="G11" s="188" t="s">
        <v>198</v>
      </c>
      <c r="H11" s="199">
        <f t="shared" si="0"/>
        <v>0</v>
      </c>
      <c r="I11" s="200">
        <f>IF(H11="","",IF(AND(AI11&lt;=66),VLOOKUP(H11,'WordRead Look Up'!$A$13:$B$20,2,TRUE),IF(AND(AI11&gt;=67,AI11&lt;=72),VLOOKUP(H11,'WordRead Look Up'!$E$13:$F$20,2,TRUE),IF(AND(AI11&gt;=73,AI11&lt;=78),VLOOKUP(H11,'WordRead Look Up'!$I$13:$J$18,2,TRUE),IF(AND(AI11&gt;=79),VLOOKUP(H11,'WordRead Look Up'!$M$13:$N$18,2,TRUE),"")))))</f>
        <v>1</v>
      </c>
      <c r="J11" s="182"/>
      <c r="K11" s="182"/>
      <c r="L11" s="182"/>
      <c r="M11" s="182"/>
      <c r="N11" s="182"/>
      <c r="O11" s="182"/>
      <c r="P11" s="182"/>
      <c r="Q11" s="182"/>
      <c r="R11" s="182"/>
      <c r="S11" s="182"/>
      <c r="T11" s="182"/>
      <c r="U11" s="182"/>
      <c r="V11" s="182"/>
      <c r="W11" s="182"/>
      <c r="X11" s="239"/>
      <c r="AG11" s="185"/>
      <c r="AH11" s="185"/>
      <c r="AI11" s="222">
        <f t="shared" si="1"/>
        <v>163</v>
      </c>
    </row>
    <row r="12" spans="1:35" s="108" customFormat="1" ht="15.75">
      <c r="A12" s="178">
        <v>45950</v>
      </c>
      <c r="B12" s="189">
        <v>40970</v>
      </c>
      <c r="C12" s="186">
        <v>3</v>
      </c>
      <c r="D12" s="179"/>
      <c r="E12" s="187" t="s">
        <v>214</v>
      </c>
      <c r="F12" s="187" t="s">
        <v>215</v>
      </c>
      <c r="G12" s="188" t="s">
        <v>199</v>
      </c>
      <c r="H12" s="199">
        <f t="shared" si="0"/>
        <v>0</v>
      </c>
      <c r="I12" s="200">
        <f>IF(H12="","",IF(AND(AI12&lt;=66),VLOOKUP(H12,'WordRead Look Up'!$A$13:$B$20,2,TRUE),IF(AND(AI12&gt;=67,AI12&lt;=72),VLOOKUP(H12,'WordRead Look Up'!$E$13:$F$20,2,TRUE),IF(AND(AI12&gt;=73,AI12&lt;=78),VLOOKUP(H12,'WordRead Look Up'!$I$13:$J$18,2,TRUE),IF(AND(AI12&gt;=79),VLOOKUP(H12,'WordRead Look Up'!$M$13:$N$18,2,TRUE),"")))))</f>
        <v>1</v>
      </c>
      <c r="J12" s="182"/>
      <c r="K12" s="182"/>
      <c r="L12" s="182"/>
      <c r="M12" s="182"/>
      <c r="N12" s="182"/>
      <c r="O12" s="182"/>
      <c r="P12" s="182"/>
      <c r="Q12" s="182"/>
      <c r="R12" s="182"/>
      <c r="S12" s="182"/>
      <c r="T12" s="182"/>
      <c r="U12" s="182"/>
      <c r="V12" s="182"/>
      <c r="W12" s="182"/>
      <c r="X12" s="239"/>
      <c r="AG12" s="185"/>
      <c r="AH12" s="185"/>
      <c r="AI12" s="222">
        <f t="shared" si="1"/>
        <v>163</v>
      </c>
    </row>
    <row r="13" spans="1:35" s="108" customFormat="1" ht="15.75">
      <c r="A13" s="178">
        <v>45950</v>
      </c>
      <c r="B13" s="189">
        <v>40963</v>
      </c>
      <c r="C13" s="186">
        <v>3</v>
      </c>
      <c r="D13" s="179"/>
      <c r="E13" s="187" t="s">
        <v>216</v>
      </c>
      <c r="F13" s="187" t="s">
        <v>217</v>
      </c>
      <c r="G13" s="188" t="s">
        <v>200</v>
      </c>
      <c r="H13" s="199">
        <f t="shared" si="0"/>
        <v>0</v>
      </c>
      <c r="I13" s="200">
        <f>IF(H13="","",IF(AND(AI13&lt;=66),VLOOKUP(H13,'WordRead Look Up'!$A$13:$B$20,2,TRUE),IF(AND(AI13&gt;=67,AI13&lt;=72),VLOOKUP(H13,'WordRead Look Up'!$E$13:$F$20,2,TRUE),IF(AND(AI13&gt;=73,AI13&lt;=78),VLOOKUP(H13,'WordRead Look Up'!$I$13:$J$18,2,TRUE),IF(AND(AI13&gt;=79),VLOOKUP(H13,'WordRead Look Up'!$M$13:$N$18,2,TRUE),"")))))</f>
        <v>1</v>
      </c>
      <c r="J13" s="182"/>
      <c r="K13" s="182"/>
      <c r="L13" s="182"/>
      <c r="M13" s="182"/>
      <c r="N13" s="182"/>
      <c r="O13" s="182"/>
      <c r="P13" s="182"/>
      <c r="Q13" s="182"/>
      <c r="R13" s="182"/>
      <c r="S13" s="182"/>
      <c r="T13" s="182"/>
      <c r="U13" s="182"/>
      <c r="V13" s="182"/>
      <c r="W13" s="182"/>
      <c r="X13" s="239"/>
      <c r="AG13" s="185"/>
      <c r="AH13" s="185"/>
      <c r="AI13" s="222">
        <f t="shared" si="1"/>
        <v>163</v>
      </c>
    </row>
    <row r="14" spans="1:35" s="108" customFormat="1" ht="15.75">
      <c r="A14" s="178">
        <v>45950</v>
      </c>
      <c r="B14" s="189">
        <v>40964</v>
      </c>
      <c r="C14" s="186">
        <v>3</v>
      </c>
      <c r="D14" s="179"/>
      <c r="E14" s="187" t="s">
        <v>218</v>
      </c>
      <c r="F14" s="187" t="s">
        <v>219</v>
      </c>
      <c r="G14" s="188" t="s">
        <v>201</v>
      </c>
      <c r="H14" s="199">
        <f t="shared" si="0"/>
        <v>0</v>
      </c>
      <c r="I14" s="200">
        <f>IF(H14="","",IF(AND(AI14&lt;=66),VLOOKUP(H14,'WordRead Look Up'!$A$13:$B$20,2,TRUE),IF(AND(AI14&gt;=67,AI14&lt;=72),VLOOKUP(H14,'WordRead Look Up'!$E$13:$F$20,2,TRUE),IF(AND(AI14&gt;=73,AI14&lt;=78),VLOOKUP(H14,'WordRead Look Up'!$I$13:$J$18,2,TRUE),IF(AND(AI14&gt;=79),VLOOKUP(H14,'WordRead Look Up'!$M$13:$N$18,2,TRUE),"")))))</f>
        <v>1</v>
      </c>
      <c r="J14" s="182"/>
      <c r="K14" s="182"/>
      <c r="L14" s="182"/>
      <c r="M14" s="182"/>
      <c r="N14" s="182"/>
      <c r="O14" s="182"/>
      <c r="P14" s="182"/>
      <c r="Q14" s="182"/>
      <c r="R14" s="182"/>
      <c r="S14" s="182"/>
      <c r="T14" s="182"/>
      <c r="U14" s="182"/>
      <c r="V14" s="182"/>
      <c r="W14" s="182"/>
      <c r="X14" s="239"/>
      <c r="AG14" s="185"/>
      <c r="AH14" s="185"/>
      <c r="AI14" s="222">
        <f t="shared" si="1"/>
        <v>163</v>
      </c>
    </row>
    <row r="15" spans="1:35" s="108" customFormat="1" ht="15.75">
      <c r="A15" s="178">
        <v>45950</v>
      </c>
      <c r="B15" s="189">
        <v>40965</v>
      </c>
      <c r="C15" s="186">
        <v>3</v>
      </c>
      <c r="D15" s="186"/>
      <c r="E15" s="187" t="s">
        <v>220</v>
      </c>
      <c r="F15" s="187" t="s">
        <v>221</v>
      </c>
      <c r="G15" s="188" t="s">
        <v>202</v>
      </c>
      <c r="H15" s="199">
        <f t="shared" si="0"/>
        <v>0</v>
      </c>
      <c r="I15" s="200">
        <f>IF(H15="","",IF(AND(AI15&lt;=66),VLOOKUP(H15,'WordRead Look Up'!$A$13:$B$20,2,TRUE),IF(AND(AI15&gt;=67,AI15&lt;=72),VLOOKUP(H15,'WordRead Look Up'!$E$13:$F$20,2,TRUE),IF(AND(AI15&gt;=73,AI15&lt;=78),VLOOKUP(H15,'WordRead Look Up'!$I$13:$J$18,2,TRUE),IF(AND(AI15&gt;=79),VLOOKUP(H15,'WordRead Look Up'!$M$13:$N$18,2,TRUE),"")))))</f>
        <v>1</v>
      </c>
      <c r="J15" s="182"/>
      <c r="K15" s="182"/>
      <c r="L15" s="182"/>
      <c r="M15" s="182"/>
      <c r="N15" s="182"/>
      <c r="O15" s="182"/>
      <c r="P15" s="182"/>
      <c r="Q15" s="182"/>
      <c r="R15" s="182"/>
      <c r="S15" s="182"/>
      <c r="T15" s="182"/>
      <c r="U15" s="182"/>
      <c r="V15" s="182"/>
      <c r="W15" s="182"/>
      <c r="X15" s="239"/>
      <c r="AG15" s="185"/>
      <c r="AH15" s="185"/>
      <c r="AI15" s="222">
        <f t="shared" si="1"/>
        <v>163</v>
      </c>
    </row>
    <row r="16" spans="1:35" s="108" customFormat="1" ht="15.75">
      <c r="A16" s="178">
        <v>45950</v>
      </c>
      <c r="B16" s="189">
        <v>40966</v>
      </c>
      <c r="C16" s="186">
        <v>3</v>
      </c>
      <c r="D16" s="186"/>
      <c r="E16" s="187" t="s">
        <v>222</v>
      </c>
      <c r="F16" s="187" t="s">
        <v>223</v>
      </c>
      <c r="G16" s="188" t="s">
        <v>203</v>
      </c>
      <c r="H16" s="199">
        <f t="shared" si="0"/>
        <v>0</v>
      </c>
      <c r="I16" s="200">
        <f>IF(H16="","",IF(AND(AI16&lt;=66),VLOOKUP(H16,'WordRead Look Up'!$A$13:$B$20,2,TRUE),IF(AND(AI16&gt;=67,AI16&lt;=72),VLOOKUP(H16,'WordRead Look Up'!$E$13:$F$20,2,TRUE),IF(AND(AI16&gt;=73,AI16&lt;=78),VLOOKUP(H16,'WordRead Look Up'!$I$13:$J$18,2,TRUE),IF(AND(AI16&gt;=79),VLOOKUP(H16,'WordRead Look Up'!$M$13:$N$18,2,TRUE),"")))))</f>
        <v>1</v>
      </c>
      <c r="J16" s="182"/>
      <c r="K16" s="182"/>
      <c r="L16" s="182"/>
      <c r="M16" s="182"/>
      <c r="N16" s="182"/>
      <c r="O16" s="182"/>
      <c r="P16" s="182"/>
      <c r="Q16" s="182"/>
      <c r="R16" s="182"/>
      <c r="S16" s="182"/>
      <c r="T16" s="182"/>
      <c r="U16" s="182"/>
      <c r="V16" s="182"/>
      <c r="W16" s="182"/>
      <c r="X16" s="239"/>
      <c r="AG16" s="185"/>
      <c r="AH16" s="185"/>
      <c r="AI16" s="222">
        <f t="shared" si="1"/>
        <v>163</v>
      </c>
    </row>
    <row r="17" spans="1:35" s="108" customFormat="1" ht="15.75">
      <c r="A17" s="178">
        <v>45950</v>
      </c>
      <c r="B17" s="189">
        <v>40967</v>
      </c>
      <c r="C17" s="186">
        <v>3</v>
      </c>
      <c r="D17" s="186"/>
      <c r="E17" s="187" t="s">
        <v>224</v>
      </c>
      <c r="F17" s="187" t="s">
        <v>225</v>
      </c>
      <c r="G17" s="188" t="s">
        <v>204</v>
      </c>
      <c r="H17" s="199">
        <f t="shared" si="0"/>
        <v>0</v>
      </c>
      <c r="I17" s="200">
        <f>IF(H17="","",IF(AND(AI17&lt;=66),VLOOKUP(H17,'WordRead Look Up'!$A$13:$B$20,2,TRUE),IF(AND(AI17&gt;=67,AI17&lt;=72),VLOOKUP(H17,'WordRead Look Up'!$E$13:$F$20,2,TRUE),IF(AND(AI17&gt;=73,AI17&lt;=78),VLOOKUP(H17,'WordRead Look Up'!$I$13:$J$18,2,TRUE),IF(AND(AI17&gt;=79),VLOOKUP(H17,'WordRead Look Up'!$M$13:$N$18,2,TRUE),"")))))</f>
        <v>1</v>
      </c>
      <c r="J17" s="182"/>
      <c r="K17" s="182"/>
      <c r="L17" s="182"/>
      <c r="M17" s="182"/>
      <c r="N17" s="182"/>
      <c r="O17" s="182"/>
      <c r="P17" s="182"/>
      <c r="Q17" s="182"/>
      <c r="R17" s="182"/>
      <c r="S17" s="182"/>
      <c r="T17" s="182"/>
      <c r="U17" s="182"/>
      <c r="V17" s="182"/>
      <c r="W17" s="182"/>
      <c r="X17" s="239"/>
      <c r="AG17" s="185"/>
      <c r="AH17" s="185"/>
      <c r="AI17" s="222">
        <f t="shared" si="1"/>
        <v>163</v>
      </c>
    </row>
    <row r="18" spans="1:35" s="108" customFormat="1" ht="15.75">
      <c r="A18" s="178">
        <v>45950</v>
      </c>
      <c r="B18" s="189">
        <v>40968</v>
      </c>
      <c r="C18" s="186">
        <v>3</v>
      </c>
      <c r="D18" s="186"/>
      <c r="E18" s="187" t="s">
        <v>226</v>
      </c>
      <c r="F18" s="187" t="s">
        <v>227</v>
      </c>
      <c r="G18" s="188" t="s">
        <v>205</v>
      </c>
      <c r="H18" s="199">
        <f t="shared" si="0"/>
        <v>0</v>
      </c>
      <c r="I18" s="200">
        <f>IF(H18="","",IF(AND(AI18&lt;=66),VLOOKUP(H18,'WordRead Look Up'!$A$13:$B$20,2,TRUE),IF(AND(AI18&gt;=67,AI18&lt;=72),VLOOKUP(H18,'WordRead Look Up'!$E$13:$F$20,2,TRUE),IF(AND(AI18&gt;=73,AI18&lt;=78),VLOOKUP(H18,'WordRead Look Up'!$I$13:$J$18,2,TRUE),IF(AND(AI18&gt;=79),VLOOKUP(H18,'WordRead Look Up'!$M$13:$N$18,2,TRUE),"")))))</f>
        <v>1</v>
      </c>
      <c r="J18" s="182"/>
      <c r="K18" s="182"/>
      <c r="L18" s="182"/>
      <c r="M18" s="182"/>
      <c r="N18" s="182"/>
      <c r="O18" s="182"/>
      <c r="P18" s="182"/>
      <c r="Q18" s="182"/>
      <c r="R18" s="182"/>
      <c r="S18" s="182"/>
      <c r="T18" s="182"/>
      <c r="U18" s="182"/>
      <c r="V18" s="182"/>
      <c r="W18" s="182"/>
      <c r="X18" s="239"/>
      <c r="AG18" s="185"/>
      <c r="AH18" s="185"/>
      <c r="AI18" s="222">
        <f t="shared" si="1"/>
        <v>163</v>
      </c>
    </row>
    <row r="19" spans="1:35" s="108" customFormat="1" ht="15.75">
      <c r="A19" s="178"/>
      <c r="B19" s="189"/>
      <c r="C19" s="186"/>
      <c r="D19" s="186"/>
      <c r="E19" s="187"/>
      <c r="F19" s="187"/>
      <c r="G19" s="188"/>
      <c r="H19" s="199" t="str">
        <f t="shared" si="0"/>
        <v/>
      </c>
      <c r="I19" s="200" t="str">
        <f>IF(H19="","",IF(AND(AI19&lt;=66),VLOOKUP(H19,'WordRead Look Up'!$A$13:$B$20,2,TRUE),IF(AND(AI19&gt;=67,AI19&lt;=72),VLOOKUP(H19,'WordRead Look Up'!$E$13:$F$20,2,TRUE),IF(AND(AI19&gt;=73,AI19&lt;=78),VLOOKUP(H19,'WordRead Look Up'!$I$13:$J$18,2,TRUE),IF(AND(AI19&gt;=79),VLOOKUP(H19,'WordRead Look Up'!$M$13:$N$18,2,TRUE),"")))))</f>
        <v/>
      </c>
      <c r="J19" s="182"/>
      <c r="K19" s="182"/>
      <c r="L19" s="182"/>
      <c r="M19" s="182"/>
      <c r="N19" s="182"/>
      <c r="O19" s="182"/>
      <c r="P19" s="182"/>
      <c r="Q19" s="182"/>
      <c r="R19" s="182"/>
      <c r="S19" s="182"/>
      <c r="T19" s="182"/>
      <c r="U19" s="182"/>
      <c r="V19" s="182"/>
      <c r="W19" s="182"/>
      <c r="X19" s="239"/>
      <c r="AG19" s="185" t="str">
        <f t="shared" ref="AG19" si="2">IF(AD19="","",COUNTIF(AI19:CH19,"y"))</f>
        <v/>
      </c>
      <c r="AH19" s="185" t="str">
        <f>IF(AD19="","",IF(AND(CS19&lt;=2008),VLOOKUP(AG19,'WordRead Look Up'!$A$13:$B$20,2,TRUE),IF(AND(CS19&gt;2009,CS19&lt;=2191),VLOOKUP(AG19,'WordRead Look Up'!$E$13:$F$19,2,TRUE),IF(AND(CS19&gt;2192,CS19&lt;=2374),VLOOKUP(AG19,'WordRead Look Up'!$I$13:$J$19,2,TRUE),IF(AND(CS19&gt;2375,CS19&gt;=2556),VLOOKUP(AG19,'WordRead Look Up'!$M$13:$N$17,2,TRUE),"")))))</f>
        <v/>
      </c>
      <c r="AI19" s="222" t="str">
        <f t="shared" si="1"/>
        <v/>
      </c>
    </row>
    <row r="20" spans="1:35" s="108" customFormat="1" ht="15.75">
      <c r="A20" s="178"/>
      <c r="B20" s="178"/>
      <c r="C20" s="186"/>
      <c r="D20" s="179"/>
      <c r="E20" s="187"/>
      <c r="F20" s="187"/>
      <c r="G20" s="188"/>
      <c r="H20" s="199" t="str">
        <f t="shared" si="0"/>
        <v/>
      </c>
      <c r="I20" s="200" t="str">
        <f>IF(H20="","",IF(AND(AI20&lt;=66),VLOOKUP(H20,'WordRead Look Up'!$A$13:$B$20,2,TRUE),IF(AND(AI20&gt;=67,AI20&lt;=72),VLOOKUP(H20,'WordRead Look Up'!$E$13:$F$20,2,TRUE),IF(AND(AI20&gt;=73,AI20&lt;=78),VLOOKUP(H20,'WordRead Look Up'!$I$13:$J$18,2,TRUE),IF(AND(AI20&gt;=79),VLOOKUP(H20,'WordRead Look Up'!$M$13:$N$18,2,TRUE),"")))))</f>
        <v/>
      </c>
      <c r="J20" s="182"/>
      <c r="K20" s="182"/>
      <c r="L20" s="182"/>
      <c r="M20" s="182"/>
      <c r="N20" s="182"/>
      <c r="O20" s="182"/>
      <c r="P20" s="182"/>
      <c r="Q20" s="182"/>
      <c r="R20" s="182"/>
      <c r="S20" s="182"/>
      <c r="T20" s="182"/>
      <c r="U20" s="182"/>
      <c r="V20" s="182"/>
      <c r="W20" s="182"/>
      <c r="X20" s="239"/>
      <c r="AI20" s="222" t="str">
        <f t="shared" si="1"/>
        <v/>
      </c>
    </row>
    <row r="21" spans="1:35" s="108" customFormat="1" ht="15.75">
      <c r="A21" s="178"/>
      <c r="B21" s="178"/>
      <c r="C21" s="186"/>
      <c r="D21" s="179"/>
      <c r="E21" s="187"/>
      <c r="F21" s="187"/>
      <c r="G21" s="188"/>
      <c r="H21" s="199" t="str">
        <f t="shared" si="0"/>
        <v/>
      </c>
      <c r="I21" s="200" t="str">
        <f>IF(H21="","",IF(AND(AI21&lt;=66),VLOOKUP(H21,'WordRead Look Up'!$A$13:$B$20,2,TRUE),IF(AND(AI21&gt;=67,AI21&lt;=72),VLOOKUP(H21,'WordRead Look Up'!$E$13:$F$20,2,TRUE),IF(AND(AI21&gt;=73,AI21&lt;=78),VLOOKUP(H21,'WordRead Look Up'!$I$13:$J$18,2,TRUE),IF(AND(AI21&gt;=79),VLOOKUP(H21,'WordRead Look Up'!$M$13:$N$18,2,TRUE),"")))))</f>
        <v/>
      </c>
      <c r="J21" s="182"/>
      <c r="K21" s="182"/>
      <c r="L21" s="182"/>
      <c r="M21" s="182"/>
      <c r="N21" s="182"/>
      <c r="O21" s="182"/>
      <c r="P21" s="182"/>
      <c r="Q21" s="182"/>
      <c r="R21" s="182"/>
      <c r="S21" s="182"/>
      <c r="T21" s="182"/>
      <c r="U21" s="182"/>
      <c r="V21" s="182"/>
      <c r="W21" s="182"/>
      <c r="X21" s="239"/>
      <c r="AI21" s="222" t="str">
        <f t="shared" si="1"/>
        <v/>
      </c>
    </row>
    <row r="22" spans="1:35" s="108" customFormat="1" ht="15.75">
      <c r="A22" s="178"/>
      <c r="B22" s="178"/>
      <c r="C22" s="186"/>
      <c r="D22" s="179"/>
      <c r="E22" s="187"/>
      <c r="F22" s="187"/>
      <c r="G22" s="188"/>
      <c r="H22" s="199" t="str">
        <f t="shared" si="0"/>
        <v/>
      </c>
      <c r="I22" s="200" t="str">
        <f>IF(H22="","",IF(AND(AI22&lt;=66),VLOOKUP(H22,'WordRead Look Up'!$A$13:$B$20,2,TRUE),IF(AND(AI22&gt;=67,AI22&lt;=72),VLOOKUP(H22,'WordRead Look Up'!$E$13:$F$20,2,TRUE),IF(AND(AI22&gt;=73,AI22&lt;=78),VLOOKUP(H22,'WordRead Look Up'!$I$13:$J$18,2,TRUE),IF(AND(AI22&gt;=79),VLOOKUP(H22,'WordRead Look Up'!$M$13:$N$18,2,TRUE),"")))))</f>
        <v/>
      </c>
      <c r="J22" s="182"/>
      <c r="K22" s="182"/>
      <c r="L22" s="182"/>
      <c r="M22" s="182"/>
      <c r="N22" s="182"/>
      <c r="O22" s="182"/>
      <c r="P22" s="182"/>
      <c r="Q22" s="182"/>
      <c r="R22" s="182"/>
      <c r="S22" s="182"/>
      <c r="T22" s="182"/>
      <c r="U22" s="182"/>
      <c r="V22" s="182"/>
      <c r="W22" s="182"/>
      <c r="X22" s="239"/>
      <c r="AI22" s="222" t="str">
        <f t="shared" si="1"/>
        <v/>
      </c>
    </row>
    <row r="23" spans="1:35" s="108" customFormat="1" ht="15.75">
      <c r="A23" s="178"/>
      <c r="B23" s="189"/>
      <c r="C23" s="186"/>
      <c r="D23" s="179"/>
      <c r="E23" s="187"/>
      <c r="F23" s="187"/>
      <c r="G23" s="188"/>
      <c r="H23" s="199" t="str">
        <f t="shared" si="0"/>
        <v/>
      </c>
      <c r="I23" s="200" t="str">
        <f>IF(H23="","",IF(AND(AI23&lt;=66),VLOOKUP(H23,'WordRead Look Up'!$A$13:$B$20,2,TRUE),IF(AND(AI23&gt;=67,AI23&lt;=72),VLOOKUP(H23,'WordRead Look Up'!$E$13:$F$20,2,TRUE),IF(AND(AI23&gt;=73,AI23&lt;=78),VLOOKUP(H23,'WordRead Look Up'!$I$13:$J$18,2,TRUE),IF(AND(AI23&gt;=79),VLOOKUP(H23,'WordRead Look Up'!$M$13:$N$18,2,TRUE),"")))))</f>
        <v/>
      </c>
      <c r="J23" s="182"/>
      <c r="K23" s="182"/>
      <c r="L23" s="182"/>
      <c r="M23" s="182"/>
      <c r="N23" s="182"/>
      <c r="O23" s="182"/>
      <c r="P23" s="182"/>
      <c r="Q23" s="182"/>
      <c r="R23" s="182"/>
      <c r="S23" s="182"/>
      <c r="T23" s="182"/>
      <c r="U23" s="182"/>
      <c r="V23" s="182"/>
      <c r="W23" s="182"/>
      <c r="X23" s="239"/>
      <c r="AI23" s="222" t="str">
        <f t="shared" si="1"/>
        <v/>
      </c>
    </row>
    <row r="24" spans="1:35" s="108" customFormat="1" ht="15.75">
      <c r="A24" s="178"/>
      <c r="B24" s="189"/>
      <c r="C24" s="186"/>
      <c r="D24" s="179"/>
      <c r="E24" s="187"/>
      <c r="F24" s="187"/>
      <c r="G24" s="188"/>
      <c r="H24" s="199" t="str">
        <f t="shared" si="0"/>
        <v/>
      </c>
      <c r="I24" s="200" t="str">
        <f>IF(H24="","",IF(AND(AI24&lt;=66),VLOOKUP(H24,'WordRead Look Up'!$A$13:$B$20,2,TRUE),IF(AND(AI24&gt;=67,AI24&lt;=72),VLOOKUP(H24,'WordRead Look Up'!$E$13:$F$20,2,TRUE),IF(AND(AI24&gt;=73,AI24&lt;=78),VLOOKUP(H24,'WordRead Look Up'!$I$13:$J$18,2,TRUE),IF(AND(AI24&gt;=79),VLOOKUP(H24,'WordRead Look Up'!$M$13:$N$18,2,TRUE),"")))))</f>
        <v/>
      </c>
      <c r="J24" s="182"/>
      <c r="K24" s="182"/>
      <c r="L24" s="182"/>
      <c r="M24" s="182"/>
      <c r="N24" s="182"/>
      <c r="O24" s="182"/>
      <c r="P24" s="182"/>
      <c r="Q24" s="182"/>
      <c r="R24" s="182"/>
      <c r="S24" s="182"/>
      <c r="T24" s="182"/>
      <c r="U24" s="182"/>
      <c r="V24" s="182"/>
      <c r="W24" s="182"/>
      <c r="X24" s="239"/>
      <c r="AI24" s="222" t="str">
        <f t="shared" si="1"/>
        <v/>
      </c>
    </row>
    <row r="25" spans="1:35" s="108" customFormat="1" ht="15.75">
      <c r="A25" s="178"/>
      <c r="B25" s="189"/>
      <c r="C25" s="186"/>
      <c r="D25" s="179"/>
      <c r="E25" s="187"/>
      <c r="F25" s="187"/>
      <c r="G25" s="188"/>
      <c r="H25" s="199" t="str">
        <f t="shared" si="0"/>
        <v/>
      </c>
      <c r="I25" s="200" t="str">
        <f>IF(H25="","",IF(AND(AI25&lt;=66),VLOOKUP(H25,'WordRead Look Up'!$A$13:$B$20,2,TRUE),IF(AND(AI25&gt;=67,AI25&lt;=72),VLOOKUP(H25,'WordRead Look Up'!$E$13:$F$20,2,TRUE),IF(AND(AI25&gt;=73,AI25&lt;=78),VLOOKUP(H25,'WordRead Look Up'!$I$13:$J$18,2,TRUE),IF(AND(AI25&gt;=79),VLOOKUP(H25,'WordRead Look Up'!$M$13:$N$18,2,TRUE),"")))))</f>
        <v/>
      </c>
      <c r="J25" s="182"/>
      <c r="K25" s="182"/>
      <c r="L25" s="182"/>
      <c r="M25" s="182"/>
      <c r="N25" s="182"/>
      <c r="O25" s="182"/>
      <c r="P25" s="182"/>
      <c r="Q25" s="182"/>
      <c r="R25" s="182"/>
      <c r="S25" s="182"/>
      <c r="T25" s="182"/>
      <c r="U25" s="182"/>
      <c r="V25" s="182"/>
      <c r="W25" s="182"/>
      <c r="X25" s="239"/>
      <c r="AI25" s="222" t="str">
        <f t="shared" si="1"/>
        <v/>
      </c>
    </row>
    <row r="26" spans="1:35" s="108" customFormat="1" ht="15.75">
      <c r="A26" s="178"/>
      <c r="B26" s="189"/>
      <c r="C26" s="186"/>
      <c r="D26" s="186"/>
      <c r="E26" s="187"/>
      <c r="F26" s="187"/>
      <c r="G26" s="188"/>
      <c r="H26" s="199" t="str">
        <f t="shared" si="0"/>
        <v/>
      </c>
      <c r="I26" s="200" t="str">
        <f>IF(H26="","",IF(AND(AI26&lt;=66),VLOOKUP(H26,'WordRead Look Up'!$A$13:$B$20,2,TRUE),IF(AND(AI26&gt;=67,AI26&lt;=72),VLOOKUP(H26,'WordRead Look Up'!$E$13:$F$20,2,TRUE),IF(AND(AI26&gt;=73,AI26&lt;=78),VLOOKUP(H26,'WordRead Look Up'!$I$13:$J$18,2,TRUE),IF(AND(AI26&gt;=79),VLOOKUP(H26,'WordRead Look Up'!$M$13:$N$18,2,TRUE),"")))))</f>
        <v/>
      </c>
      <c r="J26" s="182"/>
      <c r="K26" s="182"/>
      <c r="L26" s="182"/>
      <c r="M26" s="182"/>
      <c r="N26" s="182"/>
      <c r="O26" s="182"/>
      <c r="P26" s="182"/>
      <c r="Q26" s="182"/>
      <c r="R26" s="182"/>
      <c r="S26" s="182"/>
      <c r="T26" s="182"/>
      <c r="U26" s="182"/>
      <c r="V26" s="182"/>
      <c r="W26" s="182"/>
      <c r="X26" s="239"/>
      <c r="AI26" s="222" t="str">
        <f t="shared" si="1"/>
        <v/>
      </c>
    </row>
    <row r="27" spans="1:35" s="108" customFormat="1" ht="15.75">
      <c r="A27" s="178"/>
      <c r="B27" s="189"/>
      <c r="C27" s="186"/>
      <c r="D27" s="186"/>
      <c r="E27" s="187"/>
      <c r="F27" s="187"/>
      <c r="G27" s="188"/>
      <c r="H27" s="199" t="str">
        <f t="shared" si="0"/>
        <v/>
      </c>
      <c r="I27" s="200" t="str">
        <f>IF(H27="","",IF(AND(AI27&lt;=66),VLOOKUP(H27,'WordRead Look Up'!$A$13:$B$20,2,TRUE),IF(AND(AI27&gt;=67,AI27&lt;=72),VLOOKUP(H27,'WordRead Look Up'!$E$13:$F$20,2,TRUE),IF(AND(AI27&gt;=73,AI27&lt;=78),VLOOKUP(H27,'WordRead Look Up'!$I$13:$J$18,2,TRUE),IF(AND(AI27&gt;=79),VLOOKUP(H27,'WordRead Look Up'!$M$13:$N$18,2,TRUE),"")))))</f>
        <v/>
      </c>
      <c r="J27" s="182"/>
      <c r="K27" s="182"/>
      <c r="L27" s="182"/>
      <c r="M27" s="182"/>
      <c r="N27" s="182"/>
      <c r="O27" s="182"/>
      <c r="P27" s="182"/>
      <c r="Q27" s="182"/>
      <c r="R27" s="182"/>
      <c r="S27" s="182"/>
      <c r="T27" s="182"/>
      <c r="U27" s="182"/>
      <c r="V27" s="182"/>
      <c r="W27" s="182"/>
      <c r="X27" s="239"/>
      <c r="AI27" s="222" t="str">
        <f t="shared" si="1"/>
        <v/>
      </c>
    </row>
    <row r="28" spans="1:35" s="108" customFormat="1" ht="15.75">
      <c r="A28" s="178"/>
      <c r="B28" s="189"/>
      <c r="C28" s="186"/>
      <c r="D28" s="186"/>
      <c r="E28" s="187"/>
      <c r="F28" s="187"/>
      <c r="G28" s="188"/>
      <c r="H28" s="199" t="str">
        <f t="shared" si="0"/>
        <v/>
      </c>
      <c r="I28" s="200" t="str">
        <f>IF(H28="","",IF(AND(AI28&lt;=66),VLOOKUP(H28,'WordRead Look Up'!$A$13:$B$20,2,TRUE),IF(AND(AI28&gt;=67,AI28&lt;=72),VLOOKUP(H28,'WordRead Look Up'!$E$13:$F$20,2,TRUE),IF(AND(AI28&gt;=73,AI28&lt;=78),VLOOKUP(H28,'WordRead Look Up'!$I$13:$J$18,2,TRUE),IF(AND(AI28&gt;=79),VLOOKUP(H28,'WordRead Look Up'!$M$13:$N$18,2,TRUE),"")))))</f>
        <v/>
      </c>
      <c r="J28" s="182"/>
      <c r="K28" s="182"/>
      <c r="L28" s="182"/>
      <c r="M28" s="182"/>
      <c r="N28" s="182"/>
      <c r="O28" s="182"/>
      <c r="P28" s="182"/>
      <c r="Q28" s="182"/>
      <c r="R28" s="182"/>
      <c r="S28" s="182"/>
      <c r="T28" s="182"/>
      <c r="U28" s="182"/>
      <c r="V28" s="182"/>
      <c r="W28" s="182"/>
      <c r="X28" s="239"/>
      <c r="AI28" s="222" t="str">
        <f t="shared" si="1"/>
        <v/>
      </c>
    </row>
    <row r="29" spans="1:35" s="108" customFormat="1" ht="15.75">
      <c r="A29" s="178"/>
      <c r="B29" s="189"/>
      <c r="C29" s="186"/>
      <c r="D29" s="186"/>
      <c r="E29" s="187"/>
      <c r="F29" s="187"/>
      <c r="G29" s="188"/>
      <c r="H29" s="199" t="str">
        <f t="shared" si="0"/>
        <v/>
      </c>
      <c r="I29" s="200" t="str">
        <f>IF(H29="","",IF(AND(AI29&lt;=66),VLOOKUP(H29,'WordRead Look Up'!$A$13:$B$20,2,TRUE),IF(AND(AI29&gt;=67,AI29&lt;=72),VLOOKUP(H29,'WordRead Look Up'!$E$13:$F$20,2,TRUE),IF(AND(AI29&gt;=73,AI29&lt;=78),VLOOKUP(H29,'WordRead Look Up'!$I$13:$J$18,2,TRUE),IF(AND(AI29&gt;=79),VLOOKUP(H29,'WordRead Look Up'!$M$13:$N$18,2,TRUE),"")))))</f>
        <v/>
      </c>
      <c r="J29" s="182"/>
      <c r="K29" s="182"/>
      <c r="L29" s="182"/>
      <c r="M29" s="182"/>
      <c r="N29" s="182"/>
      <c r="O29" s="182"/>
      <c r="P29" s="182"/>
      <c r="Q29" s="182"/>
      <c r="R29" s="182"/>
      <c r="S29" s="182"/>
      <c r="T29" s="182"/>
      <c r="U29" s="182"/>
      <c r="V29" s="182"/>
      <c r="W29" s="182"/>
      <c r="X29" s="239"/>
      <c r="AI29" s="222" t="str">
        <f t="shared" si="1"/>
        <v/>
      </c>
    </row>
    <row r="30" spans="1:35" s="108" customFormat="1" ht="15.75">
      <c r="A30" s="178"/>
      <c r="B30" s="178"/>
      <c r="C30" s="186"/>
      <c r="D30" s="179"/>
      <c r="E30" s="187"/>
      <c r="F30" s="187"/>
      <c r="G30" s="188"/>
      <c r="H30" s="199" t="str">
        <f t="shared" si="0"/>
        <v/>
      </c>
      <c r="I30" s="200" t="str">
        <f>IF(H30="","",IF(AND(AI30&lt;=66),VLOOKUP(H30,'WordRead Look Up'!$A$13:$B$20,2,TRUE),IF(AND(AI30&gt;=67,AI30&lt;=72),VLOOKUP(H30,'WordRead Look Up'!$E$13:$F$20,2,TRUE),IF(AND(AI30&gt;=73,AI30&lt;=78),VLOOKUP(H30,'WordRead Look Up'!$I$13:$J$18,2,TRUE),IF(AND(AI30&gt;=79),VLOOKUP(H30,'WordRead Look Up'!$M$13:$N$18,2,TRUE),"")))))</f>
        <v/>
      </c>
      <c r="J30" s="190"/>
      <c r="K30" s="186"/>
      <c r="L30" s="186"/>
      <c r="M30" s="186"/>
      <c r="N30" s="186"/>
      <c r="O30" s="186"/>
      <c r="P30" s="186"/>
      <c r="Q30" s="186"/>
      <c r="R30" s="186"/>
      <c r="S30" s="186"/>
      <c r="T30" s="186"/>
      <c r="U30" s="186"/>
      <c r="V30" s="186"/>
      <c r="W30" s="186"/>
      <c r="X30" s="240"/>
      <c r="AI30" s="222" t="str">
        <f t="shared" si="1"/>
        <v/>
      </c>
    </row>
    <row r="31" spans="1:35" s="108" customFormat="1" ht="15.75">
      <c r="A31" s="178"/>
      <c r="B31" s="178"/>
      <c r="C31" s="186"/>
      <c r="D31" s="179"/>
      <c r="E31" s="187"/>
      <c r="F31" s="187"/>
      <c r="G31" s="188"/>
      <c r="H31" s="199" t="str">
        <f t="shared" si="0"/>
        <v/>
      </c>
      <c r="I31" s="200" t="str">
        <f>IF(H31="","",IF(AND(AI31&lt;=66),VLOOKUP(H31,'WordRead Look Up'!$A$13:$B$20,2,TRUE),IF(AND(AI31&gt;=67,AI31&lt;=72),VLOOKUP(H31,'WordRead Look Up'!$E$13:$F$20,2,TRUE),IF(AND(AI31&gt;=73,AI31&lt;=78),VLOOKUP(H31,'WordRead Look Up'!$I$13:$J$18,2,TRUE),IF(AND(AI31&gt;=79),VLOOKUP(H31,'WordRead Look Up'!$M$13:$N$18,2,TRUE),"")))))</f>
        <v/>
      </c>
      <c r="J31" s="190"/>
      <c r="K31" s="186"/>
      <c r="L31" s="186"/>
      <c r="M31" s="186"/>
      <c r="N31" s="186"/>
      <c r="O31" s="186"/>
      <c r="P31" s="186"/>
      <c r="Q31" s="186"/>
      <c r="R31" s="186"/>
      <c r="S31" s="186"/>
      <c r="T31" s="186"/>
      <c r="U31" s="186"/>
      <c r="V31" s="186"/>
      <c r="W31" s="186"/>
      <c r="X31" s="240"/>
      <c r="AI31" s="222" t="str">
        <f t="shared" si="1"/>
        <v/>
      </c>
    </row>
    <row r="32" spans="1:35" s="108" customFormat="1" ht="15.75">
      <c r="A32" s="178"/>
      <c r="B32" s="189"/>
      <c r="C32" s="186"/>
      <c r="D32" s="179"/>
      <c r="E32" s="187"/>
      <c r="F32" s="187"/>
      <c r="G32" s="188"/>
      <c r="H32" s="199" t="str">
        <f t="shared" si="0"/>
        <v/>
      </c>
      <c r="I32" s="200" t="str">
        <f>IF(H32="","",IF(AND(AI32&lt;=66),VLOOKUP(H32,'WordRead Look Up'!$A$13:$B$20,2,TRUE),IF(AND(AI32&gt;=67,AI32&lt;=72),VLOOKUP(H32,'WordRead Look Up'!$E$13:$F$20,2,TRUE),IF(AND(AI32&gt;=73,AI32&lt;=78),VLOOKUP(H32,'WordRead Look Up'!$I$13:$J$18,2,TRUE),IF(AND(AI32&gt;=79),VLOOKUP(H32,'WordRead Look Up'!$M$13:$N$18,2,TRUE),"")))))</f>
        <v/>
      </c>
      <c r="J32" s="190"/>
      <c r="K32" s="186"/>
      <c r="L32" s="186"/>
      <c r="M32" s="186"/>
      <c r="N32" s="186"/>
      <c r="O32" s="186"/>
      <c r="P32" s="186"/>
      <c r="Q32" s="186"/>
      <c r="R32" s="186"/>
      <c r="S32" s="186"/>
      <c r="T32" s="186"/>
      <c r="U32" s="186"/>
      <c r="V32" s="186"/>
      <c r="W32" s="186"/>
      <c r="X32" s="240"/>
      <c r="AI32" s="222" t="str">
        <f t="shared" si="1"/>
        <v/>
      </c>
    </row>
    <row r="33" spans="1:35" s="108" customFormat="1" ht="15.75">
      <c r="A33" s="178"/>
      <c r="B33" s="189"/>
      <c r="C33" s="186"/>
      <c r="D33" s="179"/>
      <c r="E33" s="187"/>
      <c r="F33" s="187"/>
      <c r="G33" s="188"/>
      <c r="H33" s="199" t="str">
        <f t="shared" si="0"/>
        <v/>
      </c>
      <c r="I33" s="200" t="str">
        <f>IF(H33="","",IF(AND(AI33&lt;=66),VLOOKUP(H33,'WordRead Look Up'!$A$13:$B$20,2,TRUE),IF(AND(AI33&gt;=67,AI33&lt;=72),VLOOKUP(H33,'WordRead Look Up'!$E$13:$F$20,2,TRUE),IF(AND(AI33&gt;=73,AI33&lt;=78),VLOOKUP(H33,'WordRead Look Up'!$I$13:$J$18,2,TRUE),IF(AND(AI33&gt;=79),VLOOKUP(H33,'WordRead Look Up'!$M$13:$N$18,2,TRUE),"")))))</f>
        <v/>
      </c>
      <c r="J33" s="190"/>
      <c r="K33" s="186"/>
      <c r="L33" s="186"/>
      <c r="M33" s="186"/>
      <c r="N33" s="186"/>
      <c r="O33" s="186"/>
      <c r="P33" s="186"/>
      <c r="Q33" s="186"/>
      <c r="R33" s="186"/>
      <c r="S33" s="186"/>
      <c r="T33" s="186"/>
      <c r="U33" s="186"/>
      <c r="V33" s="186"/>
      <c r="W33" s="186"/>
      <c r="X33" s="240"/>
      <c r="AI33" s="222" t="str">
        <f t="shared" si="1"/>
        <v/>
      </c>
    </row>
    <row r="34" spans="1:35" s="108" customFormat="1" ht="15.75">
      <c r="A34" s="178"/>
      <c r="B34" s="189"/>
      <c r="C34" s="186"/>
      <c r="D34" s="179"/>
      <c r="E34" s="187"/>
      <c r="F34" s="187"/>
      <c r="G34" s="188"/>
      <c r="H34" s="199" t="str">
        <f t="shared" si="0"/>
        <v/>
      </c>
      <c r="I34" s="200" t="str">
        <f>IF(H34="","",IF(AND(AI34&lt;=66),VLOOKUP(H34,'WordRead Look Up'!$A$13:$B$20,2,TRUE),IF(AND(AI34&gt;=67,AI34&lt;=72),VLOOKUP(H34,'WordRead Look Up'!$E$13:$F$20,2,TRUE),IF(AND(AI34&gt;=73,AI34&lt;=78),VLOOKUP(H34,'WordRead Look Up'!$I$13:$J$18,2,TRUE),IF(AND(AI34&gt;=79),VLOOKUP(H34,'WordRead Look Up'!$M$13:$N$18,2,TRUE),"")))))</f>
        <v/>
      </c>
      <c r="J34" s="190"/>
      <c r="K34" s="186"/>
      <c r="L34" s="186"/>
      <c r="M34" s="186"/>
      <c r="N34" s="186"/>
      <c r="O34" s="186"/>
      <c r="P34" s="186"/>
      <c r="Q34" s="186"/>
      <c r="R34" s="186"/>
      <c r="S34" s="186"/>
      <c r="T34" s="186"/>
      <c r="U34" s="186"/>
      <c r="V34" s="186"/>
      <c r="W34" s="186"/>
      <c r="X34" s="240"/>
      <c r="AI34" s="222" t="str">
        <f t="shared" si="1"/>
        <v/>
      </c>
    </row>
    <row r="35" spans="1:35" s="108" customFormat="1" ht="15.75">
      <c r="A35" s="178"/>
      <c r="B35" s="189"/>
      <c r="C35" s="186"/>
      <c r="D35" s="186"/>
      <c r="E35" s="187"/>
      <c r="F35" s="187"/>
      <c r="G35" s="188"/>
      <c r="H35" s="199" t="str">
        <f t="shared" si="0"/>
        <v/>
      </c>
      <c r="I35" s="200" t="str">
        <f>IF(H35="","",IF(AND(AI35&lt;=66),VLOOKUP(H35,'WordRead Look Up'!$A$13:$B$20,2,TRUE),IF(AND(AI35&gt;=67,AI35&lt;=72),VLOOKUP(H35,'WordRead Look Up'!$E$13:$F$20,2,TRUE),IF(AND(AI35&gt;=73,AI35&lt;=78),VLOOKUP(H35,'WordRead Look Up'!$I$13:$J$18,2,TRUE),IF(AND(AI35&gt;=79),VLOOKUP(H35,'WordRead Look Up'!$M$13:$N$18,2,TRUE),"")))))</f>
        <v/>
      </c>
      <c r="J35" s="190"/>
      <c r="K35" s="186"/>
      <c r="L35" s="186"/>
      <c r="M35" s="186"/>
      <c r="N35" s="186"/>
      <c r="O35" s="186"/>
      <c r="P35" s="186"/>
      <c r="Q35" s="186"/>
      <c r="R35" s="186"/>
      <c r="S35" s="186"/>
      <c r="T35" s="186"/>
      <c r="U35" s="186"/>
      <c r="V35" s="186"/>
      <c r="W35" s="186"/>
      <c r="X35" s="240"/>
      <c r="AI35" s="222" t="str">
        <f t="shared" si="1"/>
        <v/>
      </c>
    </row>
    <row r="36" spans="1:35" s="108" customFormat="1" ht="15.75">
      <c r="A36" s="178"/>
      <c r="B36" s="189"/>
      <c r="C36" s="186"/>
      <c r="D36" s="186"/>
      <c r="E36" s="187"/>
      <c r="F36" s="187"/>
      <c r="G36" s="188"/>
      <c r="H36" s="199" t="str">
        <f t="shared" si="0"/>
        <v/>
      </c>
      <c r="I36" s="200" t="str">
        <f>IF(H36="","",IF(AND(AI36&lt;=66),VLOOKUP(H36,'WordRead Look Up'!$A$13:$B$20,2,TRUE),IF(AND(AI36&gt;=67,AI36&lt;=72),VLOOKUP(H36,'WordRead Look Up'!$E$13:$F$20,2,TRUE),IF(AND(AI36&gt;=73,AI36&lt;=78),VLOOKUP(H36,'WordRead Look Up'!$I$13:$J$18,2,TRUE),IF(AND(AI36&gt;=79),VLOOKUP(H36,'WordRead Look Up'!$M$13:$N$18,2,TRUE),"")))))</f>
        <v/>
      </c>
      <c r="J36" s="190"/>
      <c r="K36" s="186"/>
      <c r="L36" s="186"/>
      <c r="M36" s="186"/>
      <c r="N36" s="186"/>
      <c r="O36" s="186"/>
      <c r="P36" s="186"/>
      <c r="Q36" s="186"/>
      <c r="R36" s="186"/>
      <c r="S36" s="186"/>
      <c r="T36" s="186"/>
      <c r="U36" s="186"/>
      <c r="V36" s="186"/>
      <c r="W36" s="186"/>
      <c r="X36" s="240"/>
      <c r="AI36" s="222" t="str">
        <f t="shared" si="1"/>
        <v/>
      </c>
    </row>
    <row r="37" spans="1:35" s="108" customFormat="1" ht="15.75">
      <c r="A37" s="178"/>
      <c r="B37" s="189"/>
      <c r="C37" s="186"/>
      <c r="D37" s="186"/>
      <c r="E37" s="187"/>
      <c r="F37" s="187"/>
      <c r="G37" s="188"/>
      <c r="H37" s="199" t="str">
        <f t="shared" si="0"/>
        <v/>
      </c>
      <c r="I37" s="200" t="str">
        <f>IF(H37="","",IF(AND(AI37&lt;=66),VLOOKUP(H37,'WordRead Look Up'!$A$13:$B$20,2,TRUE),IF(AND(AI37&gt;=67,AI37&lt;=72),VLOOKUP(H37,'WordRead Look Up'!$E$13:$F$20,2,TRUE),IF(AND(AI37&gt;=73,AI37&lt;=78),VLOOKUP(H37,'WordRead Look Up'!$I$13:$J$18,2,TRUE),IF(AND(AI37&gt;=79),VLOOKUP(H37,'WordRead Look Up'!$M$13:$N$18,2,TRUE),"")))))</f>
        <v/>
      </c>
      <c r="J37" s="190"/>
      <c r="K37" s="186"/>
      <c r="L37" s="186"/>
      <c r="M37" s="186"/>
      <c r="N37" s="186"/>
      <c r="O37" s="186"/>
      <c r="P37" s="186"/>
      <c r="Q37" s="186"/>
      <c r="R37" s="186"/>
      <c r="S37" s="186"/>
      <c r="T37" s="186"/>
      <c r="U37" s="186"/>
      <c r="V37" s="186"/>
      <c r="W37" s="186"/>
      <c r="X37" s="240"/>
      <c r="AI37" s="222" t="str">
        <f t="shared" si="1"/>
        <v/>
      </c>
    </row>
    <row r="38" spans="1:35" s="108" customFormat="1" ht="15.75">
      <c r="A38" s="178"/>
      <c r="B38" s="189"/>
      <c r="C38" s="186"/>
      <c r="D38" s="186"/>
      <c r="E38" s="187"/>
      <c r="F38" s="187"/>
      <c r="G38" s="188"/>
      <c r="H38" s="199" t="str">
        <f t="shared" si="0"/>
        <v/>
      </c>
      <c r="I38" s="200" t="str">
        <f>IF(H38="","",IF(AND(AI38&lt;=66),VLOOKUP(H38,'WordRead Look Up'!$A$13:$B$20,2,TRUE),IF(AND(AI38&gt;=67,AI38&lt;=72),VLOOKUP(H38,'WordRead Look Up'!$E$13:$F$20,2,TRUE),IF(AND(AI38&gt;=73,AI38&lt;=78),VLOOKUP(H38,'WordRead Look Up'!$I$13:$J$18,2,TRUE),IF(AND(AI38&gt;=79),VLOOKUP(H38,'WordRead Look Up'!$M$13:$N$18,2,TRUE),"")))))</f>
        <v/>
      </c>
      <c r="J38" s="190"/>
      <c r="K38" s="186"/>
      <c r="L38" s="186"/>
      <c r="M38" s="186"/>
      <c r="N38" s="186"/>
      <c r="O38" s="186"/>
      <c r="P38" s="186"/>
      <c r="Q38" s="186"/>
      <c r="R38" s="186"/>
      <c r="S38" s="186"/>
      <c r="T38" s="186"/>
      <c r="U38" s="186"/>
      <c r="V38" s="186"/>
      <c r="W38" s="186"/>
      <c r="X38" s="240"/>
      <c r="AI38" s="222" t="str">
        <f t="shared" si="1"/>
        <v/>
      </c>
    </row>
    <row r="39" spans="1:35" s="108" customFormat="1" ht="15.75">
      <c r="A39" s="101"/>
      <c r="B39" s="110"/>
      <c r="C39" s="111"/>
      <c r="D39" s="111"/>
      <c r="E39" s="112"/>
      <c r="F39" s="112"/>
      <c r="G39" s="113"/>
      <c r="H39" s="199" t="str">
        <f t="shared" si="0"/>
        <v/>
      </c>
      <c r="I39" s="200" t="str">
        <f>IF(H39="","",IF(AND(AI39&lt;=66),VLOOKUP(H39,'WordRead Look Up'!$A$13:$B$20,2,TRUE),IF(AND(AI39&gt;=67,AI39&lt;=72),VLOOKUP(H39,'WordRead Look Up'!$E$13:$F$20,2,TRUE),IF(AND(AI39&gt;=73,AI39&lt;=78),VLOOKUP(H39,'WordRead Look Up'!$I$13:$J$18,2,TRUE),IF(AND(AI39&gt;=79),VLOOKUP(H39,'WordRead Look Up'!$M$13:$N$18,2,TRUE),"")))))</f>
        <v/>
      </c>
      <c r="J39" s="190"/>
      <c r="K39" s="186"/>
      <c r="L39" s="186"/>
      <c r="M39" s="186"/>
      <c r="N39" s="186"/>
      <c r="O39" s="186"/>
      <c r="P39" s="186"/>
      <c r="Q39" s="186"/>
      <c r="R39" s="186"/>
      <c r="S39" s="186"/>
      <c r="T39" s="186"/>
      <c r="U39" s="186"/>
      <c r="V39" s="186"/>
      <c r="W39" s="186"/>
      <c r="X39" s="240"/>
      <c r="AI39" s="222" t="str">
        <f t="shared" si="1"/>
        <v/>
      </c>
    </row>
    <row r="40" spans="1:35" s="108" customFormat="1" ht="15.75">
      <c r="A40" s="119"/>
      <c r="B40" s="120"/>
      <c r="C40" s="111"/>
      <c r="D40" s="111"/>
      <c r="E40" s="121"/>
      <c r="F40" s="121"/>
      <c r="G40" s="113"/>
      <c r="H40" s="199" t="str">
        <f t="shared" si="0"/>
        <v/>
      </c>
      <c r="I40" s="200" t="str">
        <f>IF(H40="","",IF(AND(AI40&lt;=66),VLOOKUP(H40,'WordRead Look Up'!$A$13:$B$20,2,TRUE),IF(AND(AI40&gt;=67,AI40&lt;=72),VLOOKUP(H40,'WordRead Look Up'!$E$13:$F$20,2,TRUE),IF(AND(AI40&gt;=73,AI40&lt;=78),VLOOKUP(H40,'WordRead Look Up'!$I$13:$J$18,2,TRUE),IF(AND(AI40&gt;=79),VLOOKUP(H40,'WordRead Look Up'!$M$13:$N$18,2,TRUE),"")))))</f>
        <v/>
      </c>
      <c r="J40" s="190"/>
      <c r="K40" s="186"/>
      <c r="L40" s="186"/>
      <c r="M40" s="186"/>
      <c r="N40" s="186"/>
      <c r="O40" s="186"/>
      <c r="P40" s="186"/>
      <c r="Q40" s="186"/>
      <c r="R40" s="186"/>
      <c r="S40" s="186"/>
      <c r="T40" s="186"/>
      <c r="U40" s="186"/>
      <c r="V40" s="186"/>
      <c r="W40" s="186"/>
      <c r="X40" s="240"/>
      <c r="AI40" s="222" t="str">
        <f t="shared" si="1"/>
        <v/>
      </c>
    </row>
    <row r="41" spans="1:35" s="108" customFormat="1" ht="15.75">
      <c r="A41" s="119"/>
      <c r="B41" s="120"/>
      <c r="C41" s="111"/>
      <c r="D41" s="111"/>
      <c r="E41" s="121"/>
      <c r="F41" s="121"/>
      <c r="G41" s="113"/>
      <c r="H41" s="199" t="str">
        <f t="shared" si="0"/>
        <v/>
      </c>
      <c r="I41" s="200" t="str">
        <f>IF(H41="","",IF(AND(AI41&lt;=66),VLOOKUP(H41,'WordRead Look Up'!$A$13:$B$20,2,TRUE),IF(AND(AI41&gt;=67,AI41&lt;=72),VLOOKUP(H41,'WordRead Look Up'!$E$13:$F$20,2,TRUE),IF(AND(AI41&gt;=73,AI41&lt;=78),VLOOKUP(H41,'WordRead Look Up'!$I$13:$J$18,2,TRUE),IF(AND(AI41&gt;=79),VLOOKUP(H41,'WordRead Look Up'!$M$13:$N$18,2,TRUE),"")))))</f>
        <v/>
      </c>
      <c r="J41" s="190"/>
      <c r="K41" s="186"/>
      <c r="L41" s="186"/>
      <c r="M41" s="186"/>
      <c r="N41" s="186"/>
      <c r="O41" s="186"/>
      <c r="P41" s="186"/>
      <c r="Q41" s="186"/>
      <c r="R41" s="186"/>
      <c r="S41" s="186"/>
      <c r="T41" s="186"/>
      <c r="U41" s="186"/>
      <c r="V41" s="186"/>
      <c r="W41" s="186"/>
      <c r="X41" s="240"/>
      <c r="AI41" s="222" t="str">
        <f t="shared" si="1"/>
        <v/>
      </c>
    </row>
    <row r="42" spans="1:35" s="108" customFormat="1" ht="15.75">
      <c r="A42" s="119"/>
      <c r="B42" s="120"/>
      <c r="C42" s="111"/>
      <c r="D42" s="111"/>
      <c r="E42" s="121"/>
      <c r="F42" s="121"/>
      <c r="G42" s="113"/>
      <c r="H42" s="199" t="str">
        <f t="shared" si="0"/>
        <v/>
      </c>
      <c r="I42" s="200" t="str">
        <f>IF(H42="","",IF(AND(AI42&lt;=66),VLOOKUP(H42,'WordRead Look Up'!$A$13:$B$20,2,TRUE),IF(AND(AI42&gt;=67,AI42&lt;=72),VLOOKUP(H42,'WordRead Look Up'!$E$13:$F$20,2,TRUE),IF(AND(AI42&gt;=73,AI42&lt;=78),VLOOKUP(H42,'WordRead Look Up'!$I$13:$J$18,2,TRUE),IF(AND(AI42&gt;=79),VLOOKUP(H42,'WordRead Look Up'!$M$13:$N$18,2,TRUE),"")))))</f>
        <v/>
      </c>
      <c r="J42" s="190"/>
      <c r="K42" s="186"/>
      <c r="L42" s="186"/>
      <c r="M42" s="186"/>
      <c r="N42" s="186"/>
      <c r="O42" s="186"/>
      <c r="P42" s="186"/>
      <c r="Q42" s="186"/>
      <c r="R42" s="186"/>
      <c r="S42" s="186"/>
      <c r="T42" s="186"/>
      <c r="U42" s="186"/>
      <c r="V42" s="186"/>
      <c r="W42" s="186"/>
      <c r="X42" s="240"/>
      <c r="AI42" s="222" t="str">
        <f t="shared" si="1"/>
        <v/>
      </c>
    </row>
    <row r="43" spans="1:35" s="108" customFormat="1" ht="15.75">
      <c r="A43" s="119"/>
      <c r="B43" s="120"/>
      <c r="C43" s="111"/>
      <c r="D43" s="111"/>
      <c r="E43" s="121"/>
      <c r="F43" s="121"/>
      <c r="G43" s="113"/>
      <c r="H43" s="199" t="str">
        <f t="shared" si="0"/>
        <v/>
      </c>
      <c r="I43" s="200" t="str">
        <f>IF(H43="","",IF(AND(AI43&lt;=66),VLOOKUP(H43,'WordRead Look Up'!$A$13:$B$20,2,TRUE),IF(AND(AI43&gt;=67,AI43&lt;=72),VLOOKUP(H43,'WordRead Look Up'!$E$13:$F$20,2,TRUE),IF(AND(AI43&gt;=73,AI43&lt;=78),VLOOKUP(H43,'WordRead Look Up'!$I$13:$J$18,2,TRUE),IF(AND(AI43&gt;=79),VLOOKUP(H43,'WordRead Look Up'!$M$13:$N$18,2,TRUE),"")))))</f>
        <v/>
      </c>
      <c r="J43" s="190"/>
      <c r="K43" s="186"/>
      <c r="L43" s="186"/>
      <c r="M43" s="186"/>
      <c r="N43" s="186"/>
      <c r="O43" s="186"/>
      <c r="P43" s="186"/>
      <c r="Q43" s="186"/>
      <c r="R43" s="186"/>
      <c r="S43" s="186"/>
      <c r="T43" s="186"/>
      <c r="U43" s="186"/>
      <c r="V43" s="186"/>
      <c r="W43" s="186"/>
      <c r="X43" s="240"/>
      <c r="AI43" s="222" t="str">
        <f t="shared" si="1"/>
        <v/>
      </c>
    </row>
    <row r="44" spans="1:35" s="108" customFormat="1" ht="15.75">
      <c r="A44" s="119"/>
      <c r="B44" s="120"/>
      <c r="C44" s="111"/>
      <c r="D44" s="111"/>
      <c r="E44" s="121"/>
      <c r="F44" s="121"/>
      <c r="G44" s="113"/>
      <c r="H44" s="199" t="str">
        <f t="shared" si="0"/>
        <v/>
      </c>
      <c r="I44" s="200" t="str">
        <f>IF(H44="","",IF(AND(AI44&lt;=66),VLOOKUP(H44,'WordRead Look Up'!$A$13:$B$20,2,TRUE),IF(AND(AI44&gt;=67,AI44&lt;=72),VLOOKUP(H44,'WordRead Look Up'!$E$13:$F$20,2,TRUE),IF(AND(AI44&gt;=73,AI44&lt;=78),VLOOKUP(H44,'WordRead Look Up'!$I$13:$J$18,2,TRUE),IF(AND(AI44&gt;=79),VLOOKUP(H44,'WordRead Look Up'!$M$13:$N$18,2,TRUE),"")))))</f>
        <v/>
      </c>
      <c r="J44" s="190"/>
      <c r="K44" s="186"/>
      <c r="L44" s="186"/>
      <c r="M44" s="186"/>
      <c r="N44" s="186"/>
      <c r="O44" s="186"/>
      <c r="P44" s="186"/>
      <c r="Q44" s="186"/>
      <c r="R44" s="186"/>
      <c r="S44" s="186"/>
      <c r="T44" s="186"/>
      <c r="U44" s="186"/>
      <c r="V44" s="186"/>
      <c r="W44" s="186"/>
      <c r="X44" s="240"/>
      <c r="AI44" s="222" t="str">
        <f t="shared" si="1"/>
        <v/>
      </c>
    </row>
    <row r="45" spans="1:35" s="108" customFormat="1" ht="15.75">
      <c r="A45" s="119"/>
      <c r="B45" s="120"/>
      <c r="C45" s="111"/>
      <c r="D45" s="111"/>
      <c r="E45" s="121"/>
      <c r="F45" s="121"/>
      <c r="G45" s="113"/>
      <c r="H45" s="199" t="str">
        <f t="shared" si="0"/>
        <v/>
      </c>
      <c r="I45" s="200" t="str">
        <f>IF(H45="","",IF(AND(AI45&lt;=66),VLOOKUP(H45,'WordRead Look Up'!$A$13:$B$20,2,TRUE),IF(AND(AI45&gt;=67,AI45&lt;=72),VLOOKUP(H45,'WordRead Look Up'!$E$13:$F$20,2,TRUE),IF(AND(AI45&gt;=73,AI45&lt;=78),VLOOKUP(H45,'WordRead Look Up'!$I$13:$J$18,2,TRUE),IF(AND(AI45&gt;=79),VLOOKUP(H45,'WordRead Look Up'!$M$13:$N$18,2,TRUE),"")))))</f>
        <v/>
      </c>
      <c r="J45" s="122"/>
      <c r="K45" s="111"/>
      <c r="L45" s="111"/>
      <c r="M45" s="111"/>
      <c r="N45" s="111"/>
      <c r="O45" s="111"/>
      <c r="P45" s="111"/>
      <c r="Q45" s="111"/>
      <c r="R45" s="111"/>
      <c r="S45" s="111"/>
      <c r="T45" s="111"/>
      <c r="U45" s="111"/>
      <c r="V45" s="111"/>
      <c r="W45" s="111"/>
      <c r="X45" s="123"/>
      <c r="AI45" s="222" t="str">
        <f t="shared" si="1"/>
        <v/>
      </c>
    </row>
    <row r="46" spans="1:35" s="108" customFormat="1" ht="15.75">
      <c r="A46" s="119"/>
      <c r="B46" s="120"/>
      <c r="C46" s="111"/>
      <c r="D46" s="111"/>
      <c r="E46" s="121"/>
      <c r="F46" s="121"/>
      <c r="G46" s="113"/>
      <c r="H46" s="199" t="str">
        <f t="shared" si="0"/>
        <v/>
      </c>
      <c r="I46" s="200" t="str">
        <f>IF(H46="","",IF(AND(AI46&lt;=66),VLOOKUP(H46,'WordRead Look Up'!$A$13:$B$20,2,TRUE),IF(AND(AI46&gt;=67,AI46&lt;=72),VLOOKUP(H46,'WordRead Look Up'!$E$13:$F$20,2,TRUE),IF(AND(AI46&gt;=73,AI46&lt;=78),VLOOKUP(H46,'WordRead Look Up'!$I$13:$J$18,2,TRUE),IF(AND(AI46&gt;=79),VLOOKUP(H46,'WordRead Look Up'!$M$13:$N$18,2,TRUE),"")))))</f>
        <v/>
      </c>
      <c r="J46" s="122"/>
      <c r="K46" s="111"/>
      <c r="L46" s="111"/>
      <c r="M46" s="111"/>
      <c r="N46" s="111"/>
      <c r="O46" s="111"/>
      <c r="P46" s="111"/>
      <c r="Q46" s="111"/>
      <c r="R46" s="111"/>
      <c r="S46" s="111"/>
      <c r="T46" s="111"/>
      <c r="U46" s="111"/>
      <c r="V46" s="111"/>
      <c r="W46" s="111"/>
      <c r="X46" s="123"/>
      <c r="AI46" s="222" t="str">
        <f t="shared" si="1"/>
        <v/>
      </c>
    </row>
    <row r="47" spans="1:35" s="108" customFormat="1" ht="15.75">
      <c r="A47" s="119"/>
      <c r="B47" s="120"/>
      <c r="C47" s="111"/>
      <c r="D47" s="111"/>
      <c r="E47" s="121"/>
      <c r="F47" s="121"/>
      <c r="G47" s="113"/>
      <c r="H47" s="199" t="str">
        <f t="shared" si="0"/>
        <v/>
      </c>
      <c r="I47" s="200" t="str">
        <f>IF(H47="","",IF(AND(AI47&lt;=66),VLOOKUP(H47,'WordRead Look Up'!$A$13:$B$20,2,TRUE),IF(AND(AI47&gt;=67,AI47&lt;=72),VLOOKUP(H47,'WordRead Look Up'!$E$13:$F$20,2,TRUE),IF(AND(AI47&gt;=73,AI47&lt;=78),VLOOKUP(H47,'WordRead Look Up'!$I$13:$J$18,2,TRUE),IF(AND(AI47&gt;=79),VLOOKUP(H47,'WordRead Look Up'!$M$13:$N$18,2,TRUE),"")))))</f>
        <v/>
      </c>
      <c r="J47" s="122"/>
      <c r="K47" s="111"/>
      <c r="L47" s="111"/>
      <c r="M47" s="111"/>
      <c r="N47" s="111"/>
      <c r="O47" s="111"/>
      <c r="P47" s="111"/>
      <c r="Q47" s="111"/>
      <c r="R47" s="111"/>
      <c r="S47" s="111"/>
      <c r="T47" s="111"/>
      <c r="U47" s="111"/>
      <c r="V47" s="111"/>
      <c r="W47" s="111"/>
      <c r="X47" s="123"/>
      <c r="AI47" s="222" t="str">
        <f t="shared" si="1"/>
        <v/>
      </c>
    </row>
    <row r="48" spans="1:35" s="108" customFormat="1" ht="15.75">
      <c r="A48" s="119"/>
      <c r="B48" s="120"/>
      <c r="C48" s="111"/>
      <c r="D48" s="111"/>
      <c r="E48" s="121"/>
      <c r="F48" s="121"/>
      <c r="G48" s="113"/>
      <c r="H48" s="199" t="str">
        <f t="shared" si="0"/>
        <v/>
      </c>
      <c r="I48" s="200" t="str">
        <f>IF(H48="","",IF(AND(AI48&lt;=66),VLOOKUP(H48,'WordRead Look Up'!$A$13:$B$20,2,TRUE),IF(AND(AI48&gt;=67,AI48&lt;=72),VLOOKUP(H48,'WordRead Look Up'!$E$13:$F$20,2,TRUE),IF(AND(AI48&gt;=73,AI48&lt;=78),VLOOKUP(H48,'WordRead Look Up'!$I$13:$J$18,2,TRUE),IF(AND(AI48&gt;=79),VLOOKUP(H48,'WordRead Look Up'!$M$13:$N$18,2,TRUE),"")))))</f>
        <v/>
      </c>
      <c r="J48" s="122"/>
      <c r="K48" s="111"/>
      <c r="L48" s="111"/>
      <c r="M48" s="111"/>
      <c r="N48" s="111"/>
      <c r="O48" s="111"/>
      <c r="P48" s="111"/>
      <c r="Q48" s="111"/>
      <c r="R48" s="111"/>
      <c r="S48" s="111"/>
      <c r="T48" s="111"/>
      <c r="U48" s="111"/>
      <c r="V48" s="111"/>
      <c r="W48" s="111"/>
      <c r="X48" s="123"/>
      <c r="AI48" s="222" t="str">
        <f t="shared" si="1"/>
        <v/>
      </c>
    </row>
    <row r="49" spans="1:35" s="108" customFormat="1" ht="15.75">
      <c r="A49" s="119"/>
      <c r="B49" s="120"/>
      <c r="C49" s="111"/>
      <c r="D49" s="111"/>
      <c r="E49" s="121"/>
      <c r="F49" s="121"/>
      <c r="G49" s="113"/>
      <c r="H49" s="199" t="str">
        <f t="shared" si="0"/>
        <v/>
      </c>
      <c r="I49" s="200" t="str">
        <f>IF(H49="","",IF(AND(AI49&lt;=66),VLOOKUP(H49,'WordRead Look Up'!$A$13:$B$20,2,TRUE),IF(AND(AI49&gt;=67,AI49&lt;=72),VLOOKUP(H49,'WordRead Look Up'!$E$13:$F$20,2,TRUE),IF(AND(AI49&gt;=73,AI49&lt;=78),VLOOKUP(H49,'WordRead Look Up'!$I$13:$J$18,2,TRUE),IF(AND(AI49&gt;=79),VLOOKUP(H49,'WordRead Look Up'!$M$13:$N$18,2,TRUE),"")))))</f>
        <v/>
      </c>
      <c r="J49" s="122"/>
      <c r="K49" s="111"/>
      <c r="L49" s="111"/>
      <c r="M49" s="111"/>
      <c r="N49" s="111"/>
      <c r="O49" s="111"/>
      <c r="P49" s="111"/>
      <c r="Q49" s="111"/>
      <c r="R49" s="111"/>
      <c r="S49" s="111"/>
      <c r="T49" s="111"/>
      <c r="U49" s="111"/>
      <c r="V49" s="111"/>
      <c r="W49" s="111"/>
      <c r="X49" s="123"/>
      <c r="AI49" s="222" t="str">
        <f t="shared" si="1"/>
        <v/>
      </c>
    </row>
    <row r="50" spans="1:35" s="108" customFormat="1" ht="15.75">
      <c r="A50" s="119"/>
      <c r="B50" s="120"/>
      <c r="C50" s="111"/>
      <c r="D50" s="111"/>
      <c r="E50" s="121"/>
      <c r="F50" s="121"/>
      <c r="G50" s="113"/>
      <c r="H50" s="199" t="str">
        <f t="shared" si="0"/>
        <v/>
      </c>
      <c r="I50" s="200" t="str">
        <f>IF(H50="","",IF(AND(AI50&lt;=66),VLOOKUP(H50,'WordRead Look Up'!$A$13:$B$20,2,TRUE),IF(AND(AI50&gt;=67,AI50&lt;=72),VLOOKUP(H50,'WordRead Look Up'!$E$13:$F$20,2,TRUE),IF(AND(AI50&gt;=73,AI50&lt;=78),VLOOKUP(H50,'WordRead Look Up'!$I$13:$J$18,2,TRUE),IF(AND(AI50&gt;=79),VLOOKUP(H50,'WordRead Look Up'!$M$13:$N$18,2,TRUE),"")))))</f>
        <v/>
      </c>
      <c r="J50" s="122"/>
      <c r="K50" s="111"/>
      <c r="L50" s="111"/>
      <c r="M50" s="111"/>
      <c r="N50" s="111"/>
      <c r="O50" s="111"/>
      <c r="P50" s="111"/>
      <c r="Q50" s="111"/>
      <c r="R50" s="111"/>
      <c r="S50" s="111"/>
      <c r="T50" s="111"/>
      <c r="U50" s="111"/>
      <c r="V50" s="111"/>
      <c r="W50" s="111"/>
      <c r="X50" s="123"/>
      <c r="AI50" s="222" t="str">
        <f t="shared" si="1"/>
        <v/>
      </c>
    </row>
    <row r="51" spans="1:35" s="108" customFormat="1" ht="15.75">
      <c r="A51" s="119"/>
      <c r="B51" s="120"/>
      <c r="C51" s="111"/>
      <c r="D51" s="111"/>
      <c r="E51" s="121"/>
      <c r="F51" s="121"/>
      <c r="G51" s="113"/>
      <c r="H51" s="199" t="str">
        <f t="shared" si="0"/>
        <v/>
      </c>
      <c r="I51" s="200" t="str">
        <f>IF(H51="","",IF(AND(AI51&lt;=66),VLOOKUP(H51,'WordRead Look Up'!$A$13:$B$20,2,TRUE),IF(AND(AI51&gt;=67,AI51&lt;=72),VLOOKUP(H51,'WordRead Look Up'!$E$13:$F$20,2,TRUE),IF(AND(AI51&gt;=73,AI51&lt;=78),VLOOKUP(H51,'WordRead Look Up'!$I$13:$J$18,2,TRUE),IF(AND(AI51&gt;=79),VLOOKUP(H51,'WordRead Look Up'!$M$13:$N$18,2,TRUE),"")))))</f>
        <v/>
      </c>
      <c r="J51" s="122"/>
      <c r="K51" s="111"/>
      <c r="L51" s="111"/>
      <c r="M51" s="111"/>
      <c r="N51" s="111"/>
      <c r="O51" s="111"/>
      <c r="P51" s="111"/>
      <c r="Q51" s="111"/>
      <c r="R51" s="111"/>
      <c r="S51" s="111"/>
      <c r="T51" s="111"/>
      <c r="U51" s="111"/>
      <c r="V51" s="111"/>
      <c r="W51" s="111"/>
      <c r="X51" s="123"/>
      <c r="AI51" s="222" t="str">
        <f t="shared" si="1"/>
        <v/>
      </c>
    </row>
    <row r="52" spans="1:35" s="108" customFormat="1" ht="15.75">
      <c r="A52" s="119"/>
      <c r="B52" s="120"/>
      <c r="C52" s="111"/>
      <c r="D52" s="111"/>
      <c r="E52" s="121"/>
      <c r="F52" s="121"/>
      <c r="G52" s="113"/>
      <c r="H52" s="199" t="str">
        <f t="shared" si="0"/>
        <v/>
      </c>
      <c r="I52" s="200" t="str">
        <f>IF(H52="","",IF(AND(AI52&lt;=66),VLOOKUP(H52,'WordRead Look Up'!$A$13:$B$20,2,TRUE),IF(AND(AI52&gt;=67,AI52&lt;=72),VLOOKUP(H52,'WordRead Look Up'!$E$13:$F$20,2,TRUE),IF(AND(AI52&gt;=73,AI52&lt;=78),VLOOKUP(H52,'WordRead Look Up'!$I$13:$J$18,2,TRUE),IF(AND(AI52&gt;=79),VLOOKUP(H52,'WordRead Look Up'!$M$13:$N$18,2,TRUE),"")))))</f>
        <v/>
      </c>
      <c r="J52" s="122"/>
      <c r="K52" s="111"/>
      <c r="L52" s="111"/>
      <c r="M52" s="111"/>
      <c r="N52" s="111"/>
      <c r="O52" s="111"/>
      <c r="P52" s="111"/>
      <c r="Q52" s="111"/>
      <c r="R52" s="111"/>
      <c r="S52" s="111"/>
      <c r="T52" s="111"/>
      <c r="U52" s="111"/>
      <c r="V52" s="111"/>
      <c r="W52" s="111"/>
      <c r="X52" s="123"/>
      <c r="AI52" s="222" t="str">
        <f t="shared" si="1"/>
        <v/>
      </c>
    </row>
    <row r="53" spans="1:35" s="108" customFormat="1" ht="15.75">
      <c r="A53" s="119"/>
      <c r="B53" s="120"/>
      <c r="C53" s="111"/>
      <c r="D53" s="111"/>
      <c r="E53" s="121"/>
      <c r="F53" s="121"/>
      <c r="G53" s="113"/>
      <c r="H53" s="199" t="str">
        <f t="shared" si="0"/>
        <v/>
      </c>
      <c r="I53" s="200" t="str">
        <f>IF(H53="","",IF(AND(AI53&lt;=66),VLOOKUP(H53,'WordRead Look Up'!$A$13:$B$20,2,TRUE),IF(AND(AI53&gt;=67,AI53&lt;=72),VLOOKUP(H53,'WordRead Look Up'!$E$13:$F$20,2,TRUE),IF(AND(AI53&gt;=73,AI53&lt;=78),VLOOKUP(H53,'WordRead Look Up'!$I$13:$J$18,2,TRUE),IF(AND(AI53&gt;=79),VLOOKUP(H53,'WordRead Look Up'!$M$13:$N$18,2,TRUE),"")))))</f>
        <v/>
      </c>
      <c r="J53" s="122"/>
      <c r="K53" s="111"/>
      <c r="L53" s="111"/>
      <c r="M53" s="111"/>
      <c r="N53" s="111"/>
      <c r="O53" s="111"/>
      <c r="P53" s="111"/>
      <c r="Q53" s="111"/>
      <c r="R53" s="111"/>
      <c r="S53" s="111"/>
      <c r="T53" s="111"/>
      <c r="U53" s="111"/>
      <c r="V53" s="111"/>
      <c r="W53" s="111"/>
      <c r="X53" s="123"/>
      <c r="AI53" s="222" t="str">
        <f t="shared" si="1"/>
        <v/>
      </c>
    </row>
    <row r="54" spans="1:35" s="108" customFormat="1" ht="15.75">
      <c r="A54" s="119"/>
      <c r="B54" s="120"/>
      <c r="C54" s="111"/>
      <c r="D54" s="111"/>
      <c r="E54" s="121"/>
      <c r="F54" s="121"/>
      <c r="G54" s="113"/>
      <c r="H54" s="199" t="str">
        <f t="shared" si="0"/>
        <v/>
      </c>
      <c r="I54" s="200" t="str">
        <f>IF(H54="","",IF(AND(AI54&lt;=66),VLOOKUP(H54,'WordRead Look Up'!$A$13:$B$20,2,TRUE),IF(AND(AI54&gt;=67,AI54&lt;=72),VLOOKUP(H54,'WordRead Look Up'!$E$13:$F$20,2,TRUE),IF(AND(AI54&gt;=73,AI54&lt;=78),VLOOKUP(H54,'WordRead Look Up'!$I$13:$J$18,2,TRUE),IF(AND(AI54&gt;=79),VLOOKUP(H54,'WordRead Look Up'!$M$13:$N$18,2,TRUE),"")))))</f>
        <v/>
      </c>
      <c r="J54" s="122"/>
      <c r="K54" s="111"/>
      <c r="L54" s="111"/>
      <c r="M54" s="111"/>
      <c r="N54" s="111"/>
      <c r="O54" s="111"/>
      <c r="P54" s="111"/>
      <c r="Q54" s="111"/>
      <c r="R54" s="111"/>
      <c r="S54" s="111"/>
      <c r="T54" s="111"/>
      <c r="U54" s="111"/>
      <c r="V54" s="111"/>
      <c r="W54" s="111"/>
      <c r="X54" s="123"/>
      <c r="AI54" s="222" t="str">
        <f t="shared" si="1"/>
        <v/>
      </c>
    </row>
    <row r="55" spans="1:35" s="108" customFormat="1" ht="15.75">
      <c r="A55" s="119"/>
      <c r="B55" s="120"/>
      <c r="C55" s="111"/>
      <c r="D55" s="111"/>
      <c r="E55" s="121"/>
      <c r="F55" s="121"/>
      <c r="G55" s="113"/>
      <c r="H55" s="199" t="str">
        <f t="shared" si="0"/>
        <v/>
      </c>
      <c r="I55" s="200" t="str">
        <f>IF(H55="","",IF(AND(AI55&lt;=66),VLOOKUP(H55,'WordRead Look Up'!$A$13:$B$20,2,TRUE),IF(AND(AI55&gt;=67,AI55&lt;=72),VLOOKUP(H55,'WordRead Look Up'!$E$13:$F$20,2,TRUE),IF(AND(AI55&gt;=73,AI55&lt;=78),VLOOKUP(H55,'WordRead Look Up'!$I$13:$J$18,2,TRUE),IF(AND(AI55&gt;=79),VLOOKUP(H55,'WordRead Look Up'!$M$13:$N$18,2,TRUE),"")))))</f>
        <v/>
      </c>
      <c r="J55" s="122"/>
      <c r="K55" s="111"/>
      <c r="L55" s="111"/>
      <c r="M55" s="111"/>
      <c r="N55" s="111"/>
      <c r="O55" s="111"/>
      <c r="P55" s="111"/>
      <c r="Q55" s="111"/>
      <c r="R55" s="111"/>
      <c r="S55" s="111"/>
      <c r="T55" s="111"/>
      <c r="U55" s="111"/>
      <c r="V55" s="111"/>
      <c r="W55" s="111"/>
      <c r="X55" s="123"/>
      <c r="AI55" s="222" t="str">
        <f t="shared" si="1"/>
        <v/>
      </c>
    </row>
    <row r="56" spans="1:35" s="108" customFormat="1" ht="15.75">
      <c r="A56" s="119"/>
      <c r="B56" s="120"/>
      <c r="C56" s="111"/>
      <c r="D56" s="111"/>
      <c r="E56" s="121"/>
      <c r="F56" s="121"/>
      <c r="G56" s="113"/>
      <c r="H56" s="199" t="str">
        <f t="shared" si="0"/>
        <v/>
      </c>
      <c r="I56" s="200" t="str">
        <f>IF(H56="","",IF(AND(AI56&lt;=66),VLOOKUP(H56,'WordRead Look Up'!$A$13:$B$20,2,TRUE),IF(AND(AI56&gt;=67,AI56&lt;=72),VLOOKUP(H56,'WordRead Look Up'!$E$13:$F$20,2,TRUE),IF(AND(AI56&gt;=73,AI56&lt;=78),VLOOKUP(H56,'WordRead Look Up'!$I$13:$J$18,2,TRUE),IF(AND(AI56&gt;=79),VLOOKUP(H56,'WordRead Look Up'!$M$13:$N$18,2,TRUE),"")))))</f>
        <v/>
      </c>
      <c r="J56" s="122"/>
      <c r="K56" s="111"/>
      <c r="L56" s="111"/>
      <c r="M56" s="111"/>
      <c r="N56" s="111"/>
      <c r="O56" s="111"/>
      <c r="P56" s="111"/>
      <c r="Q56" s="111"/>
      <c r="R56" s="111"/>
      <c r="S56" s="111"/>
      <c r="T56" s="111"/>
      <c r="U56" s="111"/>
      <c r="V56" s="111"/>
      <c r="W56" s="111"/>
      <c r="X56" s="123"/>
      <c r="AI56" s="222" t="str">
        <f t="shared" si="1"/>
        <v/>
      </c>
    </row>
    <row r="57" spans="1:35" s="108" customFormat="1" ht="15.75">
      <c r="A57" s="119"/>
      <c r="B57" s="120"/>
      <c r="C57" s="111"/>
      <c r="D57" s="111"/>
      <c r="E57" s="121"/>
      <c r="F57" s="121"/>
      <c r="G57" s="113"/>
      <c r="H57" s="199" t="str">
        <f t="shared" si="0"/>
        <v/>
      </c>
      <c r="I57" s="200" t="str">
        <f>IF(H57="","",IF(AND(AI57&lt;=66),VLOOKUP(H57,'WordRead Look Up'!$A$13:$B$20,2,TRUE),IF(AND(AI57&gt;=67,AI57&lt;=72),VLOOKUP(H57,'WordRead Look Up'!$E$13:$F$20,2,TRUE),IF(AND(AI57&gt;=73,AI57&lt;=78),VLOOKUP(H57,'WordRead Look Up'!$I$13:$J$18,2,TRUE),IF(AND(AI57&gt;=79),VLOOKUP(H57,'WordRead Look Up'!$M$13:$N$18,2,TRUE),"")))))</f>
        <v/>
      </c>
      <c r="J57" s="122"/>
      <c r="K57" s="111"/>
      <c r="L57" s="111"/>
      <c r="M57" s="111"/>
      <c r="N57" s="111"/>
      <c r="O57" s="111"/>
      <c r="P57" s="111"/>
      <c r="Q57" s="111"/>
      <c r="R57" s="111"/>
      <c r="S57" s="111"/>
      <c r="T57" s="111"/>
      <c r="U57" s="111"/>
      <c r="V57" s="111"/>
      <c r="W57" s="111"/>
      <c r="X57" s="123"/>
      <c r="AI57" s="222" t="str">
        <f t="shared" si="1"/>
        <v/>
      </c>
    </row>
    <row r="58" spans="1:35" s="108" customFormat="1" ht="15.75">
      <c r="A58" s="119"/>
      <c r="B58" s="120"/>
      <c r="C58" s="111"/>
      <c r="D58" s="111"/>
      <c r="E58" s="121"/>
      <c r="F58" s="121"/>
      <c r="G58" s="113"/>
      <c r="H58" s="199" t="str">
        <f t="shared" si="0"/>
        <v/>
      </c>
      <c r="I58" s="200" t="str">
        <f>IF(H58="","",IF(AND(AI58&lt;=66),VLOOKUP(H58,'WordRead Look Up'!$A$13:$B$20,2,TRUE),IF(AND(AI58&gt;=67,AI58&lt;=72),VLOOKUP(H58,'WordRead Look Up'!$E$13:$F$20,2,TRUE),IF(AND(AI58&gt;=73,AI58&lt;=78),VLOOKUP(H58,'WordRead Look Up'!$I$13:$J$18,2,TRUE),IF(AND(AI58&gt;=79),VLOOKUP(H58,'WordRead Look Up'!$M$13:$N$18,2,TRUE),"")))))</f>
        <v/>
      </c>
      <c r="J58" s="122"/>
      <c r="K58" s="111"/>
      <c r="L58" s="111"/>
      <c r="M58" s="111"/>
      <c r="N58" s="111"/>
      <c r="O58" s="111"/>
      <c r="P58" s="111"/>
      <c r="Q58" s="111"/>
      <c r="R58" s="111"/>
      <c r="S58" s="111"/>
      <c r="T58" s="111"/>
      <c r="U58" s="111"/>
      <c r="V58" s="111"/>
      <c r="W58" s="111"/>
      <c r="X58" s="123"/>
      <c r="AI58" s="222" t="str">
        <f t="shared" si="1"/>
        <v/>
      </c>
    </row>
    <row r="59" spans="1:35" s="108" customFormat="1" ht="15.75">
      <c r="A59" s="119"/>
      <c r="B59" s="120"/>
      <c r="C59" s="111"/>
      <c r="D59" s="111"/>
      <c r="E59" s="121"/>
      <c r="F59" s="121"/>
      <c r="G59" s="113"/>
      <c r="H59" s="199" t="str">
        <f t="shared" si="0"/>
        <v/>
      </c>
      <c r="I59" s="200" t="str">
        <f>IF(H59="","",IF(AND(AI59&lt;=66),VLOOKUP(H59,'WordRead Look Up'!$A$13:$B$20,2,TRUE),IF(AND(AI59&gt;=67,AI59&lt;=72),VLOOKUP(H59,'WordRead Look Up'!$E$13:$F$20,2,TRUE),IF(AND(AI59&gt;=73,AI59&lt;=78),VLOOKUP(H59,'WordRead Look Up'!$I$13:$J$18,2,TRUE),IF(AND(AI59&gt;=79),VLOOKUP(H59,'WordRead Look Up'!$M$13:$N$18,2,TRUE),"")))))</f>
        <v/>
      </c>
      <c r="J59" s="122"/>
      <c r="K59" s="111"/>
      <c r="L59" s="111"/>
      <c r="M59" s="111"/>
      <c r="N59" s="111"/>
      <c r="O59" s="111"/>
      <c r="P59" s="111"/>
      <c r="Q59" s="111"/>
      <c r="R59" s="111"/>
      <c r="S59" s="111"/>
      <c r="T59" s="111"/>
      <c r="U59" s="111"/>
      <c r="V59" s="111"/>
      <c r="W59" s="111"/>
      <c r="X59" s="123"/>
      <c r="AI59" s="222" t="str">
        <f t="shared" si="1"/>
        <v/>
      </c>
    </row>
    <row r="60" spans="1:35" s="108" customFormat="1" ht="15.75">
      <c r="A60" s="119"/>
      <c r="B60" s="120"/>
      <c r="C60" s="111"/>
      <c r="D60" s="111"/>
      <c r="E60" s="121"/>
      <c r="F60" s="121"/>
      <c r="G60" s="113"/>
      <c r="H60" s="199" t="str">
        <f t="shared" si="0"/>
        <v/>
      </c>
      <c r="I60" s="200" t="str">
        <f>IF(H60="","",IF(AND(AI60&lt;=66),VLOOKUP(H60,'WordRead Look Up'!$A$13:$B$20,2,TRUE),IF(AND(AI60&gt;=67,AI60&lt;=72),VLOOKUP(H60,'WordRead Look Up'!$E$13:$F$20,2,TRUE),IF(AND(AI60&gt;=73,AI60&lt;=78),VLOOKUP(H60,'WordRead Look Up'!$I$13:$J$18,2,TRUE),IF(AND(AI60&gt;=79),VLOOKUP(H60,'WordRead Look Up'!$M$13:$N$18,2,TRUE),"")))))</f>
        <v/>
      </c>
      <c r="J60" s="122"/>
      <c r="K60" s="111"/>
      <c r="L60" s="111"/>
      <c r="M60" s="111"/>
      <c r="N60" s="111"/>
      <c r="O60" s="111"/>
      <c r="P60" s="111"/>
      <c r="Q60" s="111"/>
      <c r="R60" s="111"/>
      <c r="S60" s="111"/>
      <c r="T60" s="111"/>
      <c r="U60" s="111"/>
      <c r="V60" s="111"/>
      <c r="W60" s="111"/>
      <c r="X60" s="123"/>
      <c r="AI60" s="222" t="str">
        <f t="shared" si="1"/>
        <v/>
      </c>
    </row>
    <row r="61" spans="1:35" s="108" customFormat="1" ht="15.75">
      <c r="A61" s="119"/>
      <c r="B61" s="120"/>
      <c r="C61" s="111"/>
      <c r="D61" s="111"/>
      <c r="E61" s="121"/>
      <c r="F61" s="121"/>
      <c r="G61" s="113"/>
      <c r="H61" s="199" t="str">
        <f t="shared" si="0"/>
        <v/>
      </c>
      <c r="I61" s="200" t="str">
        <f>IF(H61="","",IF(AND(AI61&lt;=66),VLOOKUP(H61,'WordRead Look Up'!$A$13:$B$20,2,TRUE),IF(AND(AI61&gt;=67,AI61&lt;=72),VLOOKUP(H61,'WordRead Look Up'!$E$13:$F$20,2,TRUE),IF(AND(AI61&gt;=73,AI61&lt;=78),VLOOKUP(H61,'WordRead Look Up'!$I$13:$J$18,2,TRUE),IF(AND(AI61&gt;=79),VLOOKUP(H61,'WordRead Look Up'!$M$13:$N$18,2,TRUE),"")))))</f>
        <v/>
      </c>
      <c r="J61" s="122"/>
      <c r="K61" s="111"/>
      <c r="L61" s="111"/>
      <c r="M61" s="111"/>
      <c r="N61" s="111"/>
      <c r="O61" s="111"/>
      <c r="P61" s="111"/>
      <c r="Q61" s="111"/>
      <c r="R61" s="111"/>
      <c r="S61" s="111"/>
      <c r="T61" s="111"/>
      <c r="U61" s="111"/>
      <c r="V61" s="111"/>
      <c r="W61" s="111"/>
      <c r="X61" s="123"/>
      <c r="AI61" s="222" t="str">
        <f t="shared" si="1"/>
        <v/>
      </c>
    </row>
    <row r="62" spans="1:35" s="108" customFormat="1" ht="15.75">
      <c r="A62" s="119"/>
      <c r="B62" s="120"/>
      <c r="C62" s="111"/>
      <c r="D62" s="111"/>
      <c r="E62" s="121"/>
      <c r="F62" s="121"/>
      <c r="G62" s="113"/>
      <c r="H62" s="199" t="str">
        <f t="shared" si="0"/>
        <v/>
      </c>
      <c r="I62" s="200" t="str">
        <f>IF(H62="","",IF(AND(AI62&lt;=66),VLOOKUP(H62,'WordRead Look Up'!$A$13:$B$20,2,TRUE),IF(AND(AI62&gt;=67,AI62&lt;=72),VLOOKUP(H62,'WordRead Look Up'!$E$13:$F$20,2,TRUE),IF(AND(AI62&gt;=73,AI62&lt;=78),VLOOKUP(H62,'WordRead Look Up'!$I$13:$J$18,2,TRUE),IF(AND(AI62&gt;=79),VLOOKUP(H62,'WordRead Look Up'!$M$13:$N$18,2,TRUE),"")))))</f>
        <v/>
      </c>
      <c r="J62" s="122"/>
      <c r="K62" s="111"/>
      <c r="L62" s="111"/>
      <c r="M62" s="111"/>
      <c r="N62" s="111"/>
      <c r="O62" s="111"/>
      <c r="P62" s="111"/>
      <c r="Q62" s="111"/>
      <c r="R62" s="111"/>
      <c r="S62" s="111"/>
      <c r="T62" s="111"/>
      <c r="U62" s="111"/>
      <c r="V62" s="111"/>
      <c r="W62" s="111"/>
      <c r="X62" s="123"/>
      <c r="AI62" s="222" t="str">
        <f t="shared" si="1"/>
        <v/>
      </c>
    </row>
    <row r="63" spans="1:35" s="108" customFormat="1" ht="15.75">
      <c r="A63" s="119"/>
      <c r="B63" s="120"/>
      <c r="C63" s="111"/>
      <c r="D63" s="111"/>
      <c r="E63" s="121"/>
      <c r="F63" s="121"/>
      <c r="G63" s="113"/>
      <c r="H63" s="199" t="str">
        <f t="shared" si="0"/>
        <v/>
      </c>
      <c r="I63" s="200" t="str">
        <f>IF(H63="","",IF(AND(AI63&lt;=66),VLOOKUP(H63,'WordRead Look Up'!$A$13:$B$20,2,TRUE),IF(AND(AI63&gt;=67,AI63&lt;=72),VLOOKUP(H63,'WordRead Look Up'!$E$13:$F$20,2,TRUE),IF(AND(AI63&gt;=73,AI63&lt;=78),VLOOKUP(H63,'WordRead Look Up'!$I$13:$J$18,2,TRUE),IF(AND(AI63&gt;=79),VLOOKUP(H63,'WordRead Look Up'!$M$13:$N$18,2,TRUE),"")))))</f>
        <v/>
      </c>
      <c r="J63" s="122"/>
      <c r="K63" s="111"/>
      <c r="L63" s="111"/>
      <c r="M63" s="111"/>
      <c r="N63" s="111"/>
      <c r="O63" s="111"/>
      <c r="P63" s="111"/>
      <c r="Q63" s="111"/>
      <c r="R63" s="111"/>
      <c r="S63" s="111"/>
      <c r="T63" s="111"/>
      <c r="U63" s="111"/>
      <c r="V63" s="111"/>
      <c r="W63" s="111"/>
      <c r="X63" s="123"/>
      <c r="AI63" s="222" t="str">
        <f t="shared" si="1"/>
        <v/>
      </c>
    </row>
    <row r="64" spans="1:35" s="108" customFormat="1" ht="15.75">
      <c r="A64" s="119"/>
      <c r="B64" s="120"/>
      <c r="C64" s="111"/>
      <c r="D64" s="111"/>
      <c r="E64" s="121"/>
      <c r="F64" s="121"/>
      <c r="G64" s="113"/>
      <c r="H64" s="199" t="str">
        <f t="shared" si="0"/>
        <v/>
      </c>
      <c r="I64" s="200" t="str">
        <f>IF(H64="","",IF(AND(AI64&lt;=66),VLOOKUP(H64,'WordRead Look Up'!$A$13:$B$20,2,TRUE),IF(AND(AI64&gt;=67,AI64&lt;=72),VLOOKUP(H64,'WordRead Look Up'!$E$13:$F$20,2,TRUE),IF(AND(AI64&gt;=73,AI64&lt;=78),VLOOKUP(H64,'WordRead Look Up'!$I$13:$J$18,2,TRUE),IF(AND(AI64&gt;=79),VLOOKUP(H64,'WordRead Look Up'!$M$13:$N$18,2,TRUE),"")))))</f>
        <v/>
      </c>
      <c r="J64" s="122"/>
      <c r="K64" s="111"/>
      <c r="L64" s="111"/>
      <c r="M64" s="111"/>
      <c r="N64" s="111"/>
      <c r="O64" s="111"/>
      <c r="P64" s="111"/>
      <c r="Q64" s="111"/>
      <c r="R64" s="111"/>
      <c r="S64" s="111"/>
      <c r="T64" s="111"/>
      <c r="U64" s="111"/>
      <c r="V64" s="111"/>
      <c r="W64" s="111"/>
      <c r="X64" s="123"/>
      <c r="AI64" s="222" t="str">
        <f t="shared" si="1"/>
        <v/>
      </c>
    </row>
    <row r="65" spans="1:35" s="108" customFormat="1" ht="15.75">
      <c r="A65" s="119"/>
      <c r="B65" s="120"/>
      <c r="C65" s="111"/>
      <c r="D65" s="111"/>
      <c r="E65" s="121"/>
      <c r="F65" s="121"/>
      <c r="G65" s="113"/>
      <c r="H65" s="199" t="str">
        <f t="shared" si="0"/>
        <v/>
      </c>
      <c r="I65" s="200" t="str">
        <f>IF(H65="","",IF(AND(AI65&lt;=66),VLOOKUP(H65,'WordRead Look Up'!$A$13:$B$20,2,TRUE),IF(AND(AI65&gt;=67,AI65&lt;=72),VLOOKUP(H65,'WordRead Look Up'!$E$13:$F$20,2,TRUE),IF(AND(AI65&gt;=73,AI65&lt;=78),VLOOKUP(H65,'WordRead Look Up'!$I$13:$J$18,2,TRUE),IF(AND(AI65&gt;=79),VLOOKUP(H65,'WordRead Look Up'!$M$13:$N$18,2,TRUE),"")))))</f>
        <v/>
      </c>
      <c r="J65" s="122"/>
      <c r="K65" s="111"/>
      <c r="L65" s="111"/>
      <c r="M65" s="111"/>
      <c r="N65" s="111"/>
      <c r="O65" s="111"/>
      <c r="P65" s="111"/>
      <c r="Q65" s="111"/>
      <c r="R65" s="111"/>
      <c r="S65" s="111"/>
      <c r="T65" s="111"/>
      <c r="U65" s="111"/>
      <c r="V65" s="111"/>
      <c r="W65" s="111"/>
      <c r="X65" s="123"/>
      <c r="AI65" s="222" t="str">
        <f t="shared" si="1"/>
        <v/>
      </c>
    </row>
    <row r="66" spans="1:35" s="108" customFormat="1" ht="15.75">
      <c r="A66" s="119"/>
      <c r="B66" s="120"/>
      <c r="C66" s="111"/>
      <c r="D66" s="111"/>
      <c r="E66" s="121"/>
      <c r="F66" s="121"/>
      <c r="G66" s="113"/>
      <c r="H66" s="199" t="str">
        <f t="shared" si="0"/>
        <v/>
      </c>
      <c r="I66" s="200" t="str">
        <f>IF(H66="","",IF(AND(AI66&lt;=66),VLOOKUP(H66,'WordRead Look Up'!$A$13:$B$20,2,TRUE),IF(AND(AI66&gt;=67,AI66&lt;=72),VLOOKUP(H66,'WordRead Look Up'!$E$13:$F$20,2,TRUE),IF(AND(AI66&gt;=73,AI66&lt;=78),VLOOKUP(H66,'WordRead Look Up'!$I$13:$J$18,2,TRUE),IF(AND(AI66&gt;=79),VLOOKUP(H66,'WordRead Look Up'!$M$13:$N$18,2,TRUE),"")))))</f>
        <v/>
      </c>
      <c r="J66" s="122"/>
      <c r="K66" s="111"/>
      <c r="L66" s="111"/>
      <c r="M66" s="111"/>
      <c r="N66" s="111"/>
      <c r="O66" s="111"/>
      <c r="P66" s="111"/>
      <c r="Q66" s="111"/>
      <c r="R66" s="111"/>
      <c r="S66" s="111"/>
      <c r="T66" s="111"/>
      <c r="U66" s="111"/>
      <c r="V66" s="111"/>
      <c r="W66" s="111"/>
      <c r="X66" s="123"/>
      <c r="AI66" s="222" t="str">
        <f t="shared" si="1"/>
        <v/>
      </c>
    </row>
    <row r="67" spans="1:35" s="108" customFormat="1" ht="15.75">
      <c r="A67" s="119"/>
      <c r="B67" s="120"/>
      <c r="C67" s="111"/>
      <c r="D67" s="111"/>
      <c r="E67" s="121"/>
      <c r="F67" s="121"/>
      <c r="G67" s="113"/>
      <c r="H67" s="199" t="str">
        <f t="shared" si="0"/>
        <v/>
      </c>
      <c r="I67" s="200" t="str">
        <f>IF(H67="","",IF(AND(AI67&lt;=66),VLOOKUP(H67,'WordRead Look Up'!$A$13:$B$20,2,TRUE),IF(AND(AI67&gt;=67,AI67&lt;=72),VLOOKUP(H67,'WordRead Look Up'!$E$13:$F$20,2,TRUE),IF(AND(AI67&gt;=73,AI67&lt;=78),VLOOKUP(H67,'WordRead Look Up'!$I$13:$J$18,2,TRUE),IF(AND(AI67&gt;=79),VLOOKUP(H67,'WordRead Look Up'!$M$13:$N$18,2,TRUE),"")))))</f>
        <v/>
      </c>
      <c r="J67" s="122"/>
      <c r="K67" s="111"/>
      <c r="L67" s="111"/>
      <c r="M67" s="111"/>
      <c r="N67" s="111"/>
      <c r="O67" s="111"/>
      <c r="P67" s="111"/>
      <c r="Q67" s="111"/>
      <c r="R67" s="111"/>
      <c r="S67" s="111"/>
      <c r="T67" s="111"/>
      <c r="U67" s="111"/>
      <c r="V67" s="111"/>
      <c r="W67" s="111"/>
      <c r="X67" s="123"/>
      <c r="AI67" s="222" t="str">
        <f t="shared" si="1"/>
        <v/>
      </c>
    </row>
    <row r="68" spans="1:35" s="108" customFormat="1" ht="15.75">
      <c r="A68" s="119"/>
      <c r="B68" s="120"/>
      <c r="C68" s="111"/>
      <c r="D68" s="111"/>
      <c r="E68" s="121"/>
      <c r="F68" s="121"/>
      <c r="G68" s="113"/>
      <c r="H68" s="199" t="str">
        <f t="shared" si="0"/>
        <v/>
      </c>
      <c r="I68" s="200" t="str">
        <f>IF(H68="","",IF(AND(AI68&lt;=66),VLOOKUP(H68,'WordRead Look Up'!$A$13:$B$20,2,TRUE),IF(AND(AI68&gt;=67,AI68&lt;=72),VLOOKUP(H68,'WordRead Look Up'!$E$13:$F$20,2,TRUE),IF(AND(AI68&gt;=73,AI68&lt;=78),VLOOKUP(H68,'WordRead Look Up'!$I$13:$J$18,2,TRUE),IF(AND(AI68&gt;=79),VLOOKUP(H68,'WordRead Look Up'!$M$13:$N$18,2,TRUE),"")))))</f>
        <v/>
      </c>
      <c r="J68" s="122"/>
      <c r="K68" s="111"/>
      <c r="L68" s="111"/>
      <c r="M68" s="111"/>
      <c r="N68" s="111"/>
      <c r="O68" s="111"/>
      <c r="P68" s="111"/>
      <c r="Q68" s="111"/>
      <c r="R68" s="111"/>
      <c r="S68" s="111"/>
      <c r="T68" s="111"/>
      <c r="U68" s="111"/>
      <c r="V68" s="111"/>
      <c r="W68" s="111"/>
      <c r="X68" s="123"/>
      <c r="AI68" s="222" t="str">
        <f t="shared" si="1"/>
        <v/>
      </c>
    </row>
    <row r="69" spans="1:35" s="108" customFormat="1" ht="15.75">
      <c r="A69" s="119"/>
      <c r="B69" s="120"/>
      <c r="C69" s="111"/>
      <c r="D69" s="111"/>
      <c r="E69" s="121"/>
      <c r="F69" s="121"/>
      <c r="G69" s="113"/>
      <c r="H69" s="199" t="str">
        <f t="shared" si="0"/>
        <v/>
      </c>
      <c r="I69" s="200" t="str">
        <f>IF(H69="","",IF(AND(AI69&lt;=66),VLOOKUP(H69,'WordRead Look Up'!$A$13:$B$20,2,TRUE),IF(AND(AI69&gt;=67,AI69&lt;=72),VLOOKUP(H69,'WordRead Look Up'!$E$13:$F$20,2,TRUE),IF(AND(AI69&gt;=73,AI69&lt;=78),VLOOKUP(H69,'WordRead Look Up'!$I$13:$J$18,2,TRUE),IF(AND(AI69&gt;=79),VLOOKUP(H69,'WordRead Look Up'!$M$13:$N$18,2,TRUE),"")))))</f>
        <v/>
      </c>
      <c r="J69" s="122"/>
      <c r="K69" s="111"/>
      <c r="L69" s="111"/>
      <c r="M69" s="111"/>
      <c r="N69" s="111"/>
      <c r="O69" s="111"/>
      <c r="P69" s="111"/>
      <c r="Q69" s="111"/>
      <c r="R69" s="111"/>
      <c r="S69" s="111"/>
      <c r="T69" s="111"/>
      <c r="U69" s="111"/>
      <c r="V69" s="111"/>
      <c r="W69" s="111"/>
      <c r="X69" s="123"/>
      <c r="AI69" s="222" t="str">
        <f t="shared" si="1"/>
        <v/>
      </c>
    </row>
    <row r="70" spans="1:35" s="108" customFormat="1" ht="15.75">
      <c r="A70" s="119"/>
      <c r="B70" s="120"/>
      <c r="C70" s="111"/>
      <c r="D70" s="111"/>
      <c r="E70" s="121"/>
      <c r="F70" s="121"/>
      <c r="G70" s="113"/>
      <c r="H70" s="199" t="str">
        <f t="shared" si="0"/>
        <v/>
      </c>
      <c r="I70" s="200" t="str">
        <f>IF(H70="","",IF(AND(AI70&lt;=66),VLOOKUP(H70,'WordRead Look Up'!$A$13:$B$20,2,TRUE),IF(AND(AI70&gt;=67,AI70&lt;=72),VLOOKUP(H70,'WordRead Look Up'!$E$13:$F$20,2,TRUE),IF(AND(AI70&gt;=73,AI70&lt;=78),VLOOKUP(H70,'WordRead Look Up'!$I$13:$J$18,2,TRUE),IF(AND(AI70&gt;=79),VLOOKUP(H70,'WordRead Look Up'!$M$13:$N$18,2,TRUE),"")))))</f>
        <v/>
      </c>
      <c r="J70" s="122"/>
      <c r="K70" s="111"/>
      <c r="L70" s="111"/>
      <c r="M70" s="111"/>
      <c r="N70" s="111"/>
      <c r="O70" s="111"/>
      <c r="P70" s="111"/>
      <c r="Q70" s="111"/>
      <c r="R70" s="111"/>
      <c r="S70" s="111"/>
      <c r="T70" s="111"/>
      <c r="U70" s="111"/>
      <c r="V70" s="111"/>
      <c r="W70" s="111"/>
      <c r="X70" s="123"/>
      <c r="AI70" s="222" t="str">
        <f t="shared" si="1"/>
        <v/>
      </c>
    </row>
    <row r="71" spans="1:35" s="108" customFormat="1" ht="15.75">
      <c r="A71" s="119"/>
      <c r="B71" s="120"/>
      <c r="C71" s="111"/>
      <c r="D71" s="111"/>
      <c r="E71" s="121"/>
      <c r="F71" s="121"/>
      <c r="G71" s="113"/>
      <c r="H71" s="199" t="str">
        <f t="shared" si="0"/>
        <v/>
      </c>
      <c r="I71" s="200" t="str">
        <f>IF(H71="","",IF(AND(AI71&lt;=66),VLOOKUP(H71,'WordRead Look Up'!$A$13:$B$20,2,TRUE),IF(AND(AI71&gt;=67,AI71&lt;=72),VLOOKUP(H71,'WordRead Look Up'!$E$13:$F$20,2,TRUE),IF(AND(AI71&gt;=73,AI71&lt;=78),VLOOKUP(H71,'WordRead Look Up'!$I$13:$J$18,2,TRUE),IF(AND(AI71&gt;=79),VLOOKUP(H71,'WordRead Look Up'!$M$13:$N$18,2,TRUE),"")))))</f>
        <v/>
      </c>
      <c r="J71" s="122"/>
      <c r="K71" s="111"/>
      <c r="L71" s="111"/>
      <c r="M71" s="111"/>
      <c r="N71" s="111"/>
      <c r="O71" s="111"/>
      <c r="P71" s="111"/>
      <c r="Q71" s="111"/>
      <c r="R71" s="111"/>
      <c r="S71" s="111"/>
      <c r="T71" s="111"/>
      <c r="U71" s="111"/>
      <c r="V71" s="111"/>
      <c r="W71" s="111"/>
      <c r="X71" s="123"/>
      <c r="AI71" s="222" t="str">
        <f t="shared" si="1"/>
        <v/>
      </c>
    </row>
    <row r="72" spans="1:35" s="108" customFormat="1" ht="15.75">
      <c r="A72" s="119"/>
      <c r="B72" s="120"/>
      <c r="C72" s="111"/>
      <c r="D72" s="111"/>
      <c r="E72" s="121"/>
      <c r="F72" s="121"/>
      <c r="G72" s="113"/>
      <c r="H72" s="199" t="str">
        <f t="shared" ref="H72:H135" si="3">IF(E72="","",COUNTIF(J72:X72,"y"))</f>
        <v/>
      </c>
      <c r="I72" s="200" t="str">
        <f>IF(H72="","",IF(AND(AI72&lt;=66),VLOOKUP(H72,'WordRead Look Up'!$A$13:$B$20,2,TRUE),IF(AND(AI72&gt;=67,AI72&lt;=72),VLOOKUP(H72,'WordRead Look Up'!$E$13:$F$20,2,TRUE),IF(AND(AI72&gt;=73,AI72&lt;=78),VLOOKUP(H72,'WordRead Look Up'!$I$13:$J$18,2,TRUE),IF(AND(AI72&gt;=79),VLOOKUP(H72,'WordRead Look Up'!$M$13:$N$18,2,TRUE),"")))))</f>
        <v/>
      </c>
      <c r="J72" s="122"/>
      <c r="K72" s="111"/>
      <c r="L72" s="111"/>
      <c r="M72" s="111"/>
      <c r="N72" s="111"/>
      <c r="O72" s="111"/>
      <c r="P72" s="111"/>
      <c r="Q72" s="111"/>
      <c r="R72" s="111"/>
      <c r="S72" s="111"/>
      <c r="T72" s="111"/>
      <c r="U72" s="111"/>
      <c r="V72" s="111"/>
      <c r="W72" s="111"/>
      <c r="X72" s="123"/>
      <c r="AI72" s="222" t="str">
        <f t="shared" ref="AI72:AI135" si="4">IF(E72="","",DATEDIF(B72,A72,"m"))</f>
        <v/>
      </c>
    </row>
    <row r="73" spans="1:35" s="108" customFormat="1" ht="15.75">
      <c r="A73" s="119"/>
      <c r="B73" s="120"/>
      <c r="C73" s="111"/>
      <c r="D73" s="111"/>
      <c r="E73" s="121"/>
      <c r="F73" s="121"/>
      <c r="G73" s="113"/>
      <c r="H73" s="199" t="str">
        <f t="shared" si="3"/>
        <v/>
      </c>
      <c r="I73" s="200" t="str">
        <f>IF(H73="","",IF(AND(AI73&lt;=66),VLOOKUP(H73,'WordRead Look Up'!$A$13:$B$20,2,TRUE),IF(AND(AI73&gt;=67,AI73&lt;=72),VLOOKUP(H73,'WordRead Look Up'!$E$13:$F$20,2,TRUE),IF(AND(AI73&gt;=73,AI73&lt;=78),VLOOKUP(H73,'WordRead Look Up'!$I$13:$J$18,2,TRUE),IF(AND(AI73&gt;=79),VLOOKUP(H73,'WordRead Look Up'!$M$13:$N$18,2,TRUE),"")))))</f>
        <v/>
      </c>
      <c r="J73" s="122"/>
      <c r="K73" s="111"/>
      <c r="L73" s="111"/>
      <c r="M73" s="111"/>
      <c r="N73" s="111"/>
      <c r="O73" s="111"/>
      <c r="P73" s="111"/>
      <c r="Q73" s="111"/>
      <c r="R73" s="111"/>
      <c r="S73" s="111"/>
      <c r="T73" s="111"/>
      <c r="U73" s="111"/>
      <c r="V73" s="111"/>
      <c r="W73" s="111"/>
      <c r="X73" s="123"/>
      <c r="AI73" s="222" t="str">
        <f t="shared" si="4"/>
        <v/>
      </c>
    </row>
    <row r="74" spans="1:35" s="108" customFormat="1" ht="15.75">
      <c r="A74" s="119"/>
      <c r="B74" s="120"/>
      <c r="C74" s="111"/>
      <c r="D74" s="111"/>
      <c r="E74" s="121"/>
      <c r="F74" s="121"/>
      <c r="G74" s="113"/>
      <c r="H74" s="199" t="str">
        <f t="shared" si="3"/>
        <v/>
      </c>
      <c r="I74" s="200" t="str">
        <f>IF(H74="","",IF(AND(AI74&lt;=66),VLOOKUP(H74,'WordRead Look Up'!$A$13:$B$20,2,TRUE),IF(AND(AI74&gt;=67,AI74&lt;=72),VLOOKUP(H74,'WordRead Look Up'!$E$13:$F$20,2,TRUE),IF(AND(AI74&gt;=73,AI74&lt;=78),VLOOKUP(H74,'WordRead Look Up'!$I$13:$J$18,2,TRUE),IF(AND(AI74&gt;=79),VLOOKUP(H74,'WordRead Look Up'!$M$13:$N$18,2,TRUE),"")))))</f>
        <v/>
      </c>
      <c r="J74" s="122"/>
      <c r="K74" s="111"/>
      <c r="L74" s="111"/>
      <c r="M74" s="111"/>
      <c r="N74" s="111"/>
      <c r="O74" s="111"/>
      <c r="P74" s="111"/>
      <c r="Q74" s="111"/>
      <c r="R74" s="111"/>
      <c r="S74" s="111"/>
      <c r="T74" s="111"/>
      <c r="U74" s="111"/>
      <c r="V74" s="111"/>
      <c r="W74" s="111"/>
      <c r="X74" s="123"/>
      <c r="AI74" s="222" t="str">
        <f t="shared" si="4"/>
        <v/>
      </c>
    </row>
    <row r="75" spans="1:35" s="108" customFormat="1" ht="15.75">
      <c r="A75" s="119"/>
      <c r="B75" s="120"/>
      <c r="C75" s="111"/>
      <c r="D75" s="111"/>
      <c r="E75" s="121"/>
      <c r="F75" s="121"/>
      <c r="G75" s="113"/>
      <c r="H75" s="199" t="str">
        <f t="shared" si="3"/>
        <v/>
      </c>
      <c r="I75" s="200" t="str">
        <f>IF(H75="","",IF(AND(AI75&lt;=66),VLOOKUP(H75,'WordRead Look Up'!$A$13:$B$20,2,TRUE),IF(AND(AI75&gt;=67,AI75&lt;=72),VLOOKUP(H75,'WordRead Look Up'!$E$13:$F$20,2,TRUE),IF(AND(AI75&gt;=73,AI75&lt;=78),VLOOKUP(H75,'WordRead Look Up'!$I$13:$J$18,2,TRUE),IF(AND(AI75&gt;=79),VLOOKUP(H75,'WordRead Look Up'!$M$13:$N$18,2,TRUE),"")))))</f>
        <v/>
      </c>
      <c r="J75" s="122"/>
      <c r="K75" s="111"/>
      <c r="L75" s="111"/>
      <c r="M75" s="111"/>
      <c r="N75" s="111"/>
      <c r="O75" s="111"/>
      <c r="P75" s="111"/>
      <c r="Q75" s="111"/>
      <c r="R75" s="111"/>
      <c r="S75" s="111"/>
      <c r="T75" s="111"/>
      <c r="U75" s="111"/>
      <c r="V75" s="111"/>
      <c r="W75" s="111"/>
      <c r="X75" s="123"/>
      <c r="AI75" s="222" t="str">
        <f t="shared" si="4"/>
        <v/>
      </c>
    </row>
    <row r="76" spans="1:35" s="108" customFormat="1" ht="15.75">
      <c r="A76" s="119"/>
      <c r="B76" s="120"/>
      <c r="C76" s="111"/>
      <c r="D76" s="111"/>
      <c r="E76" s="121"/>
      <c r="F76" s="121"/>
      <c r="G76" s="113"/>
      <c r="H76" s="199" t="str">
        <f t="shared" si="3"/>
        <v/>
      </c>
      <c r="I76" s="200" t="str">
        <f>IF(H76="","",IF(AND(AI76&lt;=66),VLOOKUP(H76,'WordRead Look Up'!$A$13:$B$20,2,TRUE),IF(AND(AI76&gt;=67,AI76&lt;=72),VLOOKUP(H76,'WordRead Look Up'!$E$13:$F$20,2,TRUE),IF(AND(AI76&gt;=73,AI76&lt;=78),VLOOKUP(H76,'WordRead Look Up'!$I$13:$J$18,2,TRUE),IF(AND(AI76&gt;=79),VLOOKUP(H76,'WordRead Look Up'!$M$13:$N$18,2,TRUE),"")))))</f>
        <v/>
      </c>
      <c r="J76" s="122"/>
      <c r="K76" s="111"/>
      <c r="L76" s="111"/>
      <c r="M76" s="111"/>
      <c r="N76" s="111"/>
      <c r="O76" s="111"/>
      <c r="P76" s="111"/>
      <c r="Q76" s="111"/>
      <c r="R76" s="111"/>
      <c r="S76" s="111"/>
      <c r="T76" s="111"/>
      <c r="U76" s="111"/>
      <c r="V76" s="111"/>
      <c r="W76" s="111"/>
      <c r="X76" s="123"/>
      <c r="AI76" s="222" t="str">
        <f t="shared" si="4"/>
        <v/>
      </c>
    </row>
    <row r="77" spans="1:35" s="108" customFormat="1" ht="15.75">
      <c r="A77" s="119"/>
      <c r="B77" s="120"/>
      <c r="C77" s="111"/>
      <c r="D77" s="111"/>
      <c r="E77" s="121"/>
      <c r="F77" s="121"/>
      <c r="G77" s="113"/>
      <c r="H77" s="199" t="str">
        <f t="shared" si="3"/>
        <v/>
      </c>
      <c r="I77" s="200" t="str">
        <f>IF(H77="","",IF(AND(AI77&lt;=66),VLOOKUP(H77,'WordRead Look Up'!$A$13:$B$20,2,TRUE),IF(AND(AI77&gt;=67,AI77&lt;=72),VLOOKUP(H77,'WordRead Look Up'!$E$13:$F$20,2,TRUE),IF(AND(AI77&gt;=73,AI77&lt;=78),VLOOKUP(H77,'WordRead Look Up'!$I$13:$J$18,2,TRUE),IF(AND(AI77&gt;=79),VLOOKUP(H77,'WordRead Look Up'!$M$13:$N$18,2,TRUE),"")))))</f>
        <v/>
      </c>
      <c r="J77" s="122"/>
      <c r="K77" s="111"/>
      <c r="L77" s="111"/>
      <c r="M77" s="111"/>
      <c r="N77" s="111"/>
      <c r="O77" s="111"/>
      <c r="P77" s="111"/>
      <c r="Q77" s="111"/>
      <c r="R77" s="111"/>
      <c r="S77" s="111"/>
      <c r="T77" s="111"/>
      <c r="U77" s="111"/>
      <c r="V77" s="111"/>
      <c r="W77" s="111"/>
      <c r="X77" s="123"/>
      <c r="AI77" s="222" t="str">
        <f t="shared" si="4"/>
        <v/>
      </c>
    </row>
    <row r="78" spans="1:35" s="108" customFormat="1" ht="15.75">
      <c r="A78" s="119"/>
      <c r="B78" s="120"/>
      <c r="C78" s="111"/>
      <c r="D78" s="111"/>
      <c r="E78" s="121"/>
      <c r="F78" s="121"/>
      <c r="G78" s="113"/>
      <c r="H78" s="199" t="str">
        <f t="shared" si="3"/>
        <v/>
      </c>
      <c r="I78" s="200" t="str">
        <f>IF(H78="","",IF(AND(AI78&lt;=66),VLOOKUP(H78,'WordRead Look Up'!$A$13:$B$20,2,TRUE),IF(AND(AI78&gt;=67,AI78&lt;=72),VLOOKUP(H78,'WordRead Look Up'!$E$13:$F$20,2,TRUE),IF(AND(AI78&gt;=73,AI78&lt;=78),VLOOKUP(H78,'WordRead Look Up'!$I$13:$J$18,2,TRUE),IF(AND(AI78&gt;=79),VLOOKUP(H78,'WordRead Look Up'!$M$13:$N$18,2,TRUE),"")))))</f>
        <v/>
      </c>
      <c r="J78" s="122"/>
      <c r="K78" s="111"/>
      <c r="L78" s="111"/>
      <c r="M78" s="111"/>
      <c r="N78" s="111"/>
      <c r="O78" s="111"/>
      <c r="P78" s="111"/>
      <c r="Q78" s="111"/>
      <c r="R78" s="111"/>
      <c r="S78" s="111"/>
      <c r="T78" s="111"/>
      <c r="U78" s="111"/>
      <c r="V78" s="111"/>
      <c r="W78" s="111"/>
      <c r="X78" s="123"/>
      <c r="AI78" s="222" t="str">
        <f t="shared" si="4"/>
        <v/>
      </c>
    </row>
    <row r="79" spans="1:35" s="108" customFormat="1" ht="15.75">
      <c r="A79" s="119"/>
      <c r="B79" s="120"/>
      <c r="C79" s="111"/>
      <c r="D79" s="111"/>
      <c r="E79" s="121"/>
      <c r="F79" s="121"/>
      <c r="G79" s="113"/>
      <c r="H79" s="199" t="str">
        <f t="shared" si="3"/>
        <v/>
      </c>
      <c r="I79" s="200" t="str">
        <f>IF(H79="","",IF(AND(AI79&lt;=66),VLOOKUP(H79,'WordRead Look Up'!$A$13:$B$20,2,TRUE),IF(AND(AI79&gt;=67,AI79&lt;=72),VLOOKUP(H79,'WordRead Look Up'!$E$13:$F$20,2,TRUE),IF(AND(AI79&gt;=73,AI79&lt;=78),VLOOKUP(H79,'WordRead Look Up'!$I$13:$J$18,2,TRUE),IF(AND(AI79&gt;=79),VLOOKUP(H79,'WordRead Look Up'!$M$13:$N$18,2,TRUE),"")))))</f>
        <v/>
      </c>
      <c r="J79" s="122"/>
      <c r="K79" s="111"/>
      <c r="L79" s="111"/>
      <c r="M79" s="111"/>
      <c r="N79" s="111"/>
      <c r="O79" s="111"/>
      <c r="P79" s="111"/>
      <c r="Q79" s="111"/>
      <c r="R79" s="111"/>
      <c r="S79" s="111"/>
      <c r="T79" s="111"/>
      <c r="U79" s="111"/>
      <c r="V79" s="111"/>
      <c r="W79" s="111"/>
      <c r="X79" s="123"/>
      <c r="AI79" s="222" t="str">
        <f t="shared" si="4"/>
        <v/>
      </c>
    </row>
    <row r="80" spans="1:35" s="108" customFormat="1" ht="15.75">
      <c r="A80" s="119"/>
      <c r="B80" s="120"/>
      <c r="C80" s="111"/>
      <c r="D80" s="111"/>
      <c r="E80" s="121"/>
      <c r="F80" s="121"/>
      <c r="G80" s="113"/>
      <c r="H80" s="199" t="str">
        <f t="shared" si="3"/>
        <v/>
      </c>
      <c r="I80" s="200" t="str">
        <f>IF(H80="","",IF(AND(AI80&lt;=66),VLOOKUP(H80,'WordRead Look Up'!$A$13:$B$20,2,TRUE),IF(AND(AI80&gt;=67,AI80&lt;=72),VLOOKUP(H80,'WordRead Look Up'!$E$13:$F$20,2,TRUE),IF(AND(AI80&gt;=73,AI80&lt;=78),VLOOKUP(H80,'WordRead Look Up'!$I$13:$J$18,2,TRUE),IF(AND(AI80&gt;=79),VLOOKUP(H80,'WordRead Look Up'!$M$13:$N$18,2,TRUE),"")))))</f>
        <v/>
      </c>
      <c r="J80" s="122"/>
      <c r="K80" s="111"/>
      <c r="L80" s="111"/>
      <c r="M80" s="111"/>
      <c r="N80" s="111"/>
      <c r="O80" s="111"/>
      <c r="P80" s="111"/>
      <c r="Q80" s="111"/>
      <c r="R80" s="111"/>
      <c r="S80" s="111"/>
      <c r="T80" s="111"/>
      <c r="U80" s="111"/>
      <c r="V80" s="111"/>
      <c r="W80" s="111"/>
      <c r="X80" s="123"/>
      <c r="AI80" s="222" t="str">
        <f t="shared" si="4"/>
        <v/>
      </c>
    </row>
    <row r="81" spans="1:35" s="108" customFormat="1" ht="15.75">
      <c r="A81" s="119"/>
      <c r="B81" s="120"/>
      <c r="C81" s="111"/>
      <c r="D81" s="111"/>
      <c r="E81" s="121"/>
      <c r="F81" s="121"/>
      <c r="G81" s="113"/>
      <c r="H81" s="199" t="str">
        <f t="shared" si="3"/>
        <v/>
      </c>
      <c r="I81" s="200" t="str">
        <f>IF(H81="","",IF(AND(AI81&lt;=66),VLOOKUP(H81,'WordRead Look Up'!$A$13:$B$20,2,TRUE),IF(AND(AI81&gt;=67,AI81&lt;=72),VLOOKUP(H81,'WordRead Look Up'!$E$13:$F$20,2,TRUE),IF(AND(AI81&gt;=73,AI81&lt;=78),VLOOKUP(H81,'WordRead Look Up'!$I$13:$J$18,2,TRUE),IF(AND(AI81&gt;=79),VLOOKUP(H81,'WordRead Look Up'!$M$13:$N$18,2,TRUE),"")))))</f>
        <v/>
      </c>
      <c r="J81" s="122"/>
      <c r="K81" s="111"/>
      <c r="L81" s="111"/>
      <c r="M81" s="111"/>
      <c r="N81" s="111"/>
      <c r="O81" s="111"/>
      <c r="P81" s="111"/>
      <c r="Q81" s="111"/>
      <c r="R81" s="111"/>
      <c r="S81" s="111"/>
      <c r="T81" s="111"/>
      <c r="U81" s="111"/>
      <c r="V81" s="111"/>
      <c r="W81" s="111"/>
      <c r="X81" s="123"/>
      <c r="AI81" s="222" t="str">
        <f t="shared" si="4"/>
        <v/>
      </c>
    </row>
    <row r="82" spans="1:35" s="108" customFormat="1" ht="15.75">
      <c r="A82" s="119"/>
      <c r="B82" s="120"/>
      <c r="C82" s="111"/>
      <c r="D82" s="111"/>
      <c r="E82" s="121"/>
      <c r="F82" s="121"/>
      <c r="G82" s="113"/>
      <c r="H82" s="199" t="str">
        <f t="shared" si="3"/>
        <v/>
      </c>
      <c r="I82" s="200" t="str">
        <f>IF(H82="","",IF(AND(AI82&lt;=66),VLOOKUP(H82,'WordRead Look Up'!$A$13:$B$20,2,TRUE),IF(AND(AI82&gt;=67,AI82&lt;=72),VLOOKUP(H82,'WordRead Look Up'!$E$13:$F$20,2,TRUE),IF(AND(AI82&gt;=73,AI82&lt;=78),VLOOKUP(H82,'WordRead Look Up'!$I$13:$J$18,2,TRUE),IF(AND(AI82&gt;=79),VLOOKUP(H82,'WordRead Look Up'!$M$13:$N$18,2,TRUE),"")))))</f>
        <v/>
      </c>
      <c r="J82" s="122"/>
      <c r="K82" s="111"/>
      <c r="L82" s="111"/>
      <c r="M82" s="111"/>
      <c r="N82" s="111"/>
      <c r="O82" s="111"/>
      <c r="P82" s="111"/>
      <c r="Q82" s="111"/>
      <c r="R82" s="111"/>
      <c r="S82" s="111"/>
      <c r="T82" s="111"/>
      <c r="U82" s="111"/>
      <c r="V82" s="111"/>
      <c r="W82" s="111"/>
      <c r="X82" s="123"/>
      <c r="AI82" s="222" t="str">
        <f t="shared" si="4"/>
        <v/>
      </c>
    </row>
    <row r="83" spans="1:35" s="108" customFormat="1" ht="15.75">
      <c r="A83" s="119"/>
      <c r="B83" s="120"/>
      <c r="C83" s="111"/>
      <c r="D83" s="111"/>
      <c r="E83" s="121"/>
      <c r="F83" s="121"/>
      <c r="G83" s="113"/>
      <c r="H83" s="199" t="str">
        <f t="shared" si="3"/>
        <v/>
      </c>
      <c r="I83" s="200" t="str">
        <f>IF(H83="","",IF(AND(AI83&lt;=66),VLOOKUP(H83,'WordRead Look Up'!$A$13:$B$20,2,TRUE),IF(AND(AI83&gt;=67,AI83&lt;=72),VLOOKUP(H83,'WordRead Look Up'!$E$13:$F$20,2,TRUE),IF(AND(AI83&gt;=73,AI83&lt;=78),VLOOKUP(H83,'WordRead Look Up'!$I$13:$J$18,2,TRUE),IF(AND(AI83&gt;=79),VLOOKUP(H83,'WordRead Look Up'!$M$13:$N$18,2,TRUE),"")))))</f>
        <v/>
      </c>
      <c r="J83" s="122"/>
      <c r="K83" s="111"/>
      <c r="L83" s="111"/>
      <c r="M83" s="111"/>
      <c r="N83" s="111"/>
      <c r="O83" s="111"/>
      <c r="P83" s="111"/>
      <c r="Q83" s="111"/>
      <c r="R83" s="111"/>
      <c r="S83" s="111"/>
      <c r="T83" s="111"/>
      <c r="U83" s="111"/>
      <c r="V83" s="111"/>
      <c r="W83" s="111"/>
      <c r="X83" s="123"/>
      <c r="AI83" s="222" t="str">
        <f t="shared" si="4"/>
        <v/>
      </c>
    </row>
    <row r="84" spans="1:35" s="108" customFormat="1" ht="15.75">
      <c r="A84" s="119"/>
      <c r="B84" s="120"/>
      <c r="C84" s="111"/>
      <c r="D84" s="111"/>
      <c r="E84" s="121"/>
      <c r="F84" s="121"/>
      <c r="G84" s="113"/>
      <c r="H84" s="199" t="str">
        <f t="shared" si="3"/>
        <v/>
      </c>
      <c r="I84" s="200" t="str">
        <f>IF(H84="","",IF(AND(AI84&lt;=66),VLOOKUP(H84,'WordRead Look Up'!$A$13:$B$20,2,TRUE),IF(AND(AI84&gt;=67,AI84&lt;=72),VLOOKUP(H84,'WordRead Look Up'!$E$13:$F$20,2,TRUE),IF(AND(AI84&gt;=73,AI84&lt;=78),VLOOKUP(H84,'WordRead Look Up'!$I$13:$J$18,2,TRUE),IF(AND(AI84&gt;=79),VLOOKUP(H84,'WordRead Look Up'!$M$13:$N$18,2,TRUE),"")))))</f>
        <v/>
      </c>
      <c r="J84" s="122"/>
      <c r="K84" s="111"/>
      <c r="L84" s="111"/>
      <c r="M84" s="111"/>
      <c r="N84" s="111"/>
      <c r="O84" s="111"/>
      <c r="P84" s="111"/>
      <c r="Q84" s="111"/>
      <c r="R84" s="111"/>
      <c r="S84" s="111"/>
      <c r="T84" s="111"/>
      <c r="U84" s="111"/>
      <c r="V84" s="111"/>
      <c r="W84" s="111"/>
      <c r="X84" s="123"/>
      <c r="AI84" s="222" t="str">
        <f t="shared" si="4"/>
        <v/>
      </c>
    </row>
    <row r="85" spans="1:35" s="108" customFormat="1" ht="15.75">
      <c r="A85" s="119"/>
      <c r="B85" s="120"/>
      <c r="C85" s="111"/>
      <c r="D85" s="111"/>
      <c r="E85" s="121"/>
      <c r="F85" s="121"/>
      <c r="G85" s="113"/>
      <c r="H85" s="199" t="str">
        <f t="shared" si="3"/>
        <v/>
      </c>
      <c r="I85" s="200" t="str">
        <f>IF(H85="","",IF(AND(AI85&lt;=66),VLOOKUP(H85,'WordRead Look Up'!$A$13:$B$20,2,TRUE),IF(AND(AI85&gt;=67,AI85&lt;=72),VLOOKUP(H85,'WordRead Look Up'!$E$13:$F$20,2,TRUE),IF(AND(AI85&gt;=73,AI85&lt;=78),VLOOKUP(H85,'WordRead Look Up'!$I$13:$J$18,2,TRUE),IF(AND(AI85&gt;=79),VLOOKUP(H85,'WordRead Look Up'!$M$13:$N$18,2,TRUE),"")))))</f>
        <v/>
      </c>
      <c r="J85" s="122"/>
      <c r="K85" s="111"/>
      <c r="L85" s="111"/>
      <c r="M85" s="111"/>
      <c r="N85" s="111"/>
      <c r="O85" s="111"/>
      <c r="P85" s="111"/>
      <c r="Q85" s="111"/>
      <c r="R85" s="111"/>
      <c r="S85" s="111"/>
      <c r="T85" s="111"/>
      <c r="U85" s="111"/>
      <c r="V85" s="111"/>
      <c r="W85" s="111"/>
      <c r="X85" s="123"/>
      <c r="AI85" s="222" t="str">
        <f t="shared" si="4"/>
        <v/>
      </c>
    </row>
    <row r="86" spans="1:35" s="108" customFormat="1" ht="15.75">
      <c r="A86" s="119"/>
      <c r="B86" s="120"/>
      <c r="C86" s="111"/>
      <c r="D86" s="111"/>
      <c r="E86" s="121"/>
      <c r="F86" s="121"/>
      <c r="G86" s="113"/>
      <c r="H86" s="199" t="str">
        <f t="shared" si="3"/>
        <v/>
      </c>
      <c r="I86" s="200" t="str">
        <f>IF(H86="","",IF(AND(AI86&lt;=66),VLOOKUP(H86,'WordRead Look Up'!$A$13:$B$20,2,TRUE),IF(AND(AI86&gt;=67,AI86&lt;=72),VLOOKUP(H86,'WordRead Look Up'!$E$13:$F$20,2,TRUE),IF(AND(AI86&gt;=73,AI86&lt;=78),VLOOKUP(H86,'WordRead Look Up'!$I$13:$J$18,2,TRUE),IF(AND(AI86&gt;=79),VLOOKUP(H86,'WordRead Look Up'!$M$13:$N$18,2,TRUE),"")))))</f>
        <v/>
      </c>
      <c r="J86" s="122"/>
      <c r="K86" s="111"/>
      <c r="L86" s="111"/>
      <c r="M86" s="111"/>
      <c r="N86" s="111"/>
      <c r="O86" s="111"/>
      <c r="P86" s="111"/>
      <c r="Q86" s="111"/>
      <c r="R86" s="111"/>
      <c r="S86" s="111"/>
      <c r="T86" s="111"/>
      <c r="U86" s="111"/>
      <c r="V86" s="111"/>
      <c r="W86" s="111"/>
      <c r="X86" s="123"/>
      <c r="AI86" s="222" t="str">
        <f t="shared" si="4"/>
        <v/>
      </c>
    </row>
    <row r="87" spans="1:35" s="108" customFormat="1" ht="15.75">
      <c r="A87" s="119"/>
      <c r="B87" s="120"/>
      <c r="C87" s="111"/>
      <c r="D87" s="111"/>
      <c r="E87" s="121"/>
      <c r="F87" s="121"/>
      <c r="G87" s="113"/>
      <c r="H87" s="199" t="str">
        <f t="shared" si="3"/>
        <v/>
      </c>
      <c r="I87" s="200" t="str">
        <f>IF(H87="","",IF(AND(AI87&lt;=66),VLOOKUP(H87,'WordRead Look Up'!$A$13:$B$20,2,TRUE),IF(AND(AI87&gt;=67,AI87&lt;=72),VLOOKUP(H87,'WordRead Look Up'!$E$13:$F$20,2,TRUE),IF(AND(AI87&gt;=73,AI87&lt;=78),VLOOKUP(H87,'WordRead Look Up'!$I$13:$J$18,2,TRUE),IF(AND(AI87&gt;=79),VLOOKUP(H87,'WordRead Look Up'!$M$13:$N$18,2,TRUE),"")))))</f>
        <v/>
      </c>
      <c r="J87" s="122"/>
      <c r="K87" s="111"/>
      <c r="L87" s="111"/>
      <c r="M87" s="111"/>
      <c r="N87" s="111"/>
      <c r="O87" s="111"/>
      <c r="P87" s="111"/>
      <c r="Q87" s="111"/>
      <c r="R87" s="111"/>
      <c r="S87" s="111"/>
      <c r="T87" s="111"/>
      <c r="U87" s="111"/>
      <c r="V87" s="111"/>
      <c r="W87" s="111"/>
      <c r="X87" s="123"/>
      <c r="AI87" s="222" t="str">
        <f t="shared" si="4"/>
        <v/>
      </c>
    </row>
    <row r="88" spans="1:35" s="108" customFormat="1" ht="15.75">
      <c r="A88" s="119"/>
      <c r="B88" s="120"/>
      <c r="C88" s="111"/>
      <c r="D88" s="111"/>
      <c r="E88" s="121"/>
      <c r="F88" s="121"/>
      <c r="G88" s="113"/>
      <c r="H88" s="199" t="str">
        <f t="shared" si="3"/>
        <v/>
      </c>
      <c r="I88" s="200" t="str">
        <f>IF(H88="","",IF(AND(AI88&lt;=66),VLOOKUP(H88,'WordRead Look Up'!$A$13:$B$20,2,TRUE),IF(AND(AI88&gt;=67,AI88&lt;=72),VLOOKUP(H88,'WordRead Look Up'!$E$13:$F$20,2,TRUE),IF(AND(AI88&gt;=73,AI88&lt;=78),VLOOKUP(H88,'WordRead Look Up'!$I$13:$J$18,2,TRUE),IF(AND(AI88&gt;=79),VLOOKUP(H88,'WordRead Look Up'!$M$13:$N$18,2,TRUE),"")))))</f>
        <v/>
      </c>
      <c r="J88" s="122"/>
      <c r="K88" s="111"/>
      <c r="L88" s="111"/>
      <c r="M88" s="111"/>
      <c r="N88" s="111"/>
      <c r="O88" s="111"/>
      <c r="P88" s="111"/>
      <c r="Q88" s="111"/>
      <c r="R88" s="111"/>
      <c r="S88" s="111"/>
      <c r="T88" s="111"/>
      <c r="U88" s="111"/>
      <c r="V88" s="111"/>
      <c r="W88" s="111"/>
      <c r="X88" s="123"/>
      <c r="AI88" s="222" t="str">
        <f t="shared" si="4"/>
        <v/>
      </c>
    </row>
    <row r="89" spans="1:35" s="108" customFormat="1" ht="15.75">
      <c r="A89" s="119"/>
      <c r="B89" s="120"/>
      <c r="C89" s="111"/>
      <c r="D89" s="111"/>
      <c r="E89" s="121"/>
      <c r="F89" s="121"/>
      <c r="G89" s="113"/>
      <c r="H89" s="199" t="str">
        <f t="shared" si="3"/>
        <v/>
      </c>
      <c r="I89" s="200" t="str">
        <f>IF(H89="","",IF(AND(AI89&lt;=66),VLOOKUP(H89,'WordRead Look Up'!$A$13:$B$20,2,TRUE),IF(AND(AI89&gt;=67,AI89&lt;=72),VLOOKUP(H89,'WordRead Look Up'!$E$13:$F$20,2,TRUE),IF(AND(AI89&gt;=73,AI89&lt;=78),VLOOKUP(H89,'WordRead Look Up'!$I$13:$J$18,2,TRUE),IF(AND(AI89&gt;=79),VLOOKUP(H89,'WordRead Look Up'!$M$13:$N$18,2,TRUE),"")))))</f>
        <v/>
      </c>
      <c r="J89" s="122"/>
      <c r="K89" s="111"/>
      <c r="L89" s="111"/>
      <c r="M89" s="111"/>
      <c r="N89" s="111"/>
      <c r="O89" s="111"/>
      <c r="P89" s="111"/>
      <c r="Q89" s="111"/>
      <c r="R89" s="111"/>
      <c r="S89" s="111"/>
      <c r="T89" s="111"/>
      <c r="U89" s="111"/>
      <c r="V89" s="111"/>
      <c r="W89" s="111"/>
      <c r="X89" s="123"/>
      <c r="AI89" s="222" t="str">
        <f t="shared" si="4"/>
        <v/>
      </c>
    </row>
    <row r="90" spans="1:35" s="108" customFormat="1" ht="15.75">
      <c r="A90" s="119"/>
      <c r="B90" s="120"/>
      <c r="C90" s="111"/>
      <c r="D90" s="111"/>
      <c r="E90" s="121"/>
      <c r="F90" s="121"/>
      <c r="G90" s="113"/>
      <c r="H90" s="199" t="str">
        <f t="shared" si="3"/>
        <v/>
      </c>
      <c r="I90" s="200" t="str">
        <f>IF(H90="","",IF(AND(AI90&lt;=66),VLOOKUP(H90,'WordRead Look Up'!$A$13:$B$20,2,TRUE),IF(AND(AI90&gt;=67,AI90&lt;=72),VLOOKUP(H90,'WordRead Look Up'!$E$13:$F$20,2,TRUE),IF(AND(AI90&gt;=73,AI90&lt;=78),VLOOKUP(H90,'WordRead Look Up'!$I$13:$J$18,2,TRUE),IF(AND(AI90&gt;=79),VLOOKUP(H90,'WordRead Look Up'!$M$13:$N$18,2,TRUE),"")))))</f>
        <v/>
      </c>
      <c r="J90" s="122"/>
      <c r="K90" s="111"/>
      <c r="L90" s="111"/>
      <c r="M90" s="111"/>
      <c r="N90" s="111"/>
      <c r="O90" s="111"/>
      <c r="P90" s="111"/>
      <c r="Q90" s="111"/>
      <c r="R90" s="111"/>
      <c r="S90" s="111"/>
      <c r="T90" s="111"/>
      <c r="U90" s="111"/>
      <c r="V90" s="111"/>
      <c r="W90" s="111"/>
      <c r="X90" s="123"/>
      <c r="AI90" s="222" t="str">
        <f t="shared" si="4"/>
        <v/>
      </c>
    </row>
    <row r="91" spans="1:35" s="108" customFormat="1" ht="15.75">
      <c r="A91" s="119"/>
      <c r="B91" s="120"/>
      <c r="C91" s="111"/>
      <c r="D91" s="111"/>
      <c r="E91" s="121"/>
      <c r="F91" s="121"/>
      <c r="G91" s="113"/>
      <c r="H91" s="199" t="str">
        <f t="shared" si="3"/>
        <v/>
      </c>
      <c r="I91" s="200" t="str">
        <f>IF(H91="","",IF(AND(AI91&lt;=66),VLOOKUP(H91,'WordRead Look Up'!$A$13:$B$20,2,TRUE),IF(AND(AI91&gt;=67,AI91&lt;=72),VLOOKUP(H91,'WordRead Look Up'!$E$13:$F$20,2,TRUE),IF(AND(AI91&gt;=73,AI91&lt;=78),VLOOKUP(H91,'WordRead Look Up'!$I$13:$J$18,2,TRUE),IF(AND(AI91&gt;=79),VLOOKUP(H91,'WordRead Look Up'!$M$13:$N$18,2,TRUE),"")))))</f>
        <v/>
      </c>
      <c r="J91" s="122"/>
      <c r="K91" s="111"/>
      <c r="L91" s="111"/>
      <c r="M91" s="111"/>
      <c r="N91" s="111"/>
      <c r="O91" s="111"/>
      <c r="P91" s="111"/>
      <c r="Q91" s="111"/>
      <c r="R91" s="111"/>
      <c r="S91" s="111"/>
      <c r="T91" s="111"/>
      <c r="U91" s="111"/>
      <c r="V91" s="111"/>
      <c r="W91" s="111"/>
      <c r="X91" s="123"/>
      <c r="AI91" s="222" t="str">
        <f t="shared" si="4"/>
        <v/>
      </c>
    </row>
    <row r="92" spans="1:35" s="108" customFormat="1" ht="15.75">
      <c r="A92" s="119"/>
      <c r="B92" s="120"/>
      <c r="C92" s="111"/>
      <c r="D92" s="111"/>
      <c r="E92" s="121"/>
      <c r="F92" s="121"/>
      <c r="G92" s="113"/>
      <c r="H92" s="199" t="str">
        <f t="shared" si="3"/>
        <v/>
      </c>
      <c r="I92" s="200" t="str">
        <f>IF(H92="","",IF(AND(AI92&lt;=66),VLOOKUP(H92,'WordRead Look Up'!$A$13:$B$20,2,TRUE),IF(AND(AI92&gt;=67,AI92&lt;=72),VLOOKUP(H92,'WordRead Look Up'!$E$13:$F$20,2,TRUE),IF(AND(AI92&gt;=73,AI92&lt;=78),VLOOKUP(H92,'WordRead Look Up'!$I$13:$J$18,2,TRUE),IF(AND(AI92&gt;=79),VLOOKUP(H92,'WordRead Look Up'!$M$13:$N$18,2,TRUE),"")))))</f>
        <v/>
      </c>
      <c r="J92" s="122"/>
      <c r="K92" s="111"/>
      <c r="L92" s="111"/>
      <c r="M92" s="111"/>
      <c r="N92" s="111"/>
      <c r="O92" s="111"/>
      <c r="P92" s="111"/>
      <c r="Q92" s="111"/>
      <c r="R92" s="111"/>
      <c r="S92" s="111"/>
      <c r="T92" s="111"/>
      <c r="U92" s="111"/>
      <c r="V92" s="111"/>
      <c r="W92" s="111"/>
      <c r="X92" s="123"/>
      <c r="AI92" s="222" t="str">
        <f t="shared" si="4"/>
        <v/>
      </c>
    </row>
    <row r="93" spans="1:35" s="108" customFormat="1" ht="15.75">
      <c r="A93" s="119"/>
      <c r="B93" s="120"/>
      <c r="C93" s="111"/>
      <c r="D93" s="111"/>
      <c r="E93" s="121"/>
      <c r="F93" s="121"/>
      <c r="G93" s="113"/>
      <c r="H93" s="199" t="str">
        <f t="shared" si="3"/>
        <v/>
      </c>
      <c r="I93" s="200" t="str">
        <f>IF(H93="","",IF(AND(AI93&lt;=66),VLOOKUP(H93,'WordRead Look Up'!$A$13:$B$20,2,TRUE),IF(AND(AI93&gt;=67,AI93&lt;=72),VLOOKUP(H93,'WordRead Look Up'!$E$13:$F$20,2,TRUE),IF(AND(AI93&gt;=73,AI93&lt;=78),VLOOKUP(H93,'WordRead Look Up'!$I$13:$J$18,2,TRUE),IF(AND(AI93&gt;=79),VLOOKUP(H93,'WordRead Look Up'!$M$13:$N$18,2,TRUE),"")))))</f>
        <v/>
      </c>
      <c r="J93" s="122"/>
      <c r="K93" s="111"/>
      <c r="L93" s="111"/>
      <c r="M93" s="111"/>
      <c r="N93" s="111"/>
      <c r="O93" s="111"/>
      <c r="P93" s="111"/>
      <c r="Q93" s="111"/>
      <c r="R93" s="111"/>
      <c r="S93" s="111"/>
      <c r="T93" s="111"/>
      <c r="U93" s="111"/>
      <c r="V93" s="111"/>
      <c r="W93" s="111"/>
      <c r="X93" s="123"/>
      <c r="AI93" s="222" t="str">
        <f t="shared" si="4"/>
        <v/>
      </c>
    </row>
    <row r="94" spans="1:35" s="108" customFormat="1" ht="15.75">
      <c r="A94" s="119"/>
      <c r="B94" s="120"/>
      <c r="C94" s="111"/>
      <c r="D94" s="111"/>
      <c r="E94" s="121"/>
      <c r="F94" s="121"/>
      <c r="G94" s="113"/>
      <c r="H94" s="199" t="str">
        <f t="shared" si="3"/>
        <v/>
      </c>
      <c r="I94" s="200" t="str">
        <f>IF(H94="","",IF(AND(AI94&lt;=66),VLOOKUP(H94,'WordRead Look Up'!$A$13:$B$20,2,TRUE),IF(AND(AI94&gt;=67,AI94&lt;=72),VLOOKUP(H94,'WordRead Look Up'!$E$13:$F$20,2,TRUE),IF(AND(AI94&gt;=73,AI94&lt;=78),VLOOKUP(H94,'WordRead Look Up'!$I$13:$J$18,2,TRUE),IF(AND(AI94&gt;=79),VLOOKUP(H94,'WordRead Look Up'!$M$13:$N$18,2,TRUE),"")))))</f>
        <v/>
      </c>
      <c r="J94" s="122"/>
      <c r="K94" s="111"/>
      <c r="L94" s="111"/>
      <c r="M94" s="111"/>
      <c r="N94" s="111"/>
      <c r="O94" s="111"/>
      <c r="P94" s="111"/>
      <c r="Q94" s="111"/>
      <c r="R94" s="111"/>
      <c r="S94" s="111"/>
      <c r="T94" s="111"/>
      <c r="U94" s="111"/>
      <c r="V94" s="111"/>
      <c r="W94" s="111"/>
      <c r="X94" s="123"/>
      <c r="AI94" s="222" t="str">
        <f t="shared" si="4"/>
        <v/>
      </c>
    </row>
    <row r="95" spans="1:35" s="108" customFormat="1" ht="15.75">
      <c r="A95" s="119"/>
      <c r="B95" s="120"/>
      <c r="C95" s="111"/>
      <c r="D95" s="111"/>
      <c r="E95" s="121"/>
      <c r="F95" s="121"/>
      <c r="G95" s="113"/>
      <c r="H95" s="199" t="str">
        <f t="shared" si="3"/>
        <v/>
      </c>
      <c r="I95" s="200" t="str">
        <f>IF(H95="","",IF(AND(AI95&lt;=66),VLOOKUP(H95,'WordRead Look Up'!$A$13:$B$20,2,TRUE),IF(AND(AI95&gt;=67,AI95&lt;=72),VLOOKUP(H95,'WordRead Look Up'!$E$13:$F$20,2,TRUE),IF(AND(AI95&gt;=73,AI95&lt;=78),VLOOKUP(H95,'WordRead Look Up'!$I$13:$J$18,2,TRUE),IF(AND(AI95&gt;=79),VLOOKUP(H95,'WordRead Look Up'!$M$13:$N$18,2,TRUE),"")))))</f>
        <v/>
      </c>
      <c r="J95" s="122"/>
      <c r="K95" s="111"/>
      <c r="L95" s="111"/>
      <c r="M95" s="111"/>
      <c r="N95" s="111"/>
      <c r="O95" s="111"/>
      <c r="P95" s="111"/>
      <c r="Q95" s="111"/>
      <c r="R95" s="111"/>
      <c r="S95" s="111"/>
      <c r="T95" s="111"/>
      <c r="U95" s="111"/>
      <c r="V95" s="111"/>
      <c r="W95" s="111"/>
      <c r="X95" s="123"/>
      <c r="AI95" s="222" t="str">
        <f t="shared" si="4"/>
        <v/>
      </c>
    </row>
    <row r="96" spans="1:35" s="108" customFormat="1" ht="15.75">
      <c r="A96" s="119"/>
      <c r="B96" s="120"/>
      <c r="C96" s="111"/>
      <c r="D96" s="111"/>
      <c r="E96" s="121"/>
      <c r="F96" s="121"/>
      <c r="G96" s="113"/>
      <c r="H96" s="199" t="str">
        <f t="shared" si="3"/>
        <v/>
      </c>
      <c r="I96" s="200" t="str">
        <f>IF(H96="","",IF(AND(AI96&lt;=66),VLOOKUP(H96,'WordRead Look Up'!$A$13:$B$20,2,TRUE),IF(AND(AI96&gt;=67,AI96&lt;=72),VLOOKUP(H96,'WordRead Look Up'!$E$13:$F$20,2,TRUE),IF(AND(AI96&gt;=73,AI96&lt;=78),VLOOKUP(H96,'WordRead Look Up'!$I$13:$J$18,2,TRUE),IF(AND(AI96&gt;=79),VLOOKUP(H96,'WordRead Look Up'!$M$13:$N$18,2,TRUE),"")))))</f>
        <v/>
      </c>
      <c r="J96" s="122"/>
      <c r="K96" s="111"/>
      <c r="L96" s="111"/>
      <c r="M96" s="111"/>
      <c r="N96" s="111"/>
      <c r="O96" s="111"/>
      <c r="P96" s="111"/>
      <c r="Q96" s="111"/>
      <c r="R96" s="111"/>
      <c r="S96" s="111"/>
      <c r="T96" s="111"/>
      <c r="U96" s="111"/>
      <c r="V96" s="111"/>
      <c r="W96" s="111"/>
      <c r="X96" s="123"/>
      <c r="AI96" s="222" t="str">
        <f t="shared" si="4"/>
        <v/>
      </c>
    </row>
    <row r="97" spans="1:35" s="108" customFormat="1" ht="15.75">
      <c r="A97" s="119"/>
      <c r="B97" s="120"/>
      <c r="C97" s="111"/>
      <c r="D97" s="111"/>
      <c r="E97" s="121"/>
      <c r="F97" s="121"/>
      <c r="G97" s="113"/>
      <c r="H97" s="199" t="str">
        <f t="shared" si="3"/>
        <v/>
      </c>
      <c r="I97" s="200" t="str">
        <f>IF(H97="","",IF(AND(AI97&lt;=66),VLOOKUP(H97,'WordRead Look Up'!$A$13:$B$20,2,TRUE),IF(AND(AI97&gt;=67,AI97&lt;=72),VLOOKUP(H97,'WordRead Look Up'!$E$13:$F$20,2,TRUE),IF(AND(AI97&gt;=73,AI97&lt;=78),VLOOKUP(H97,'WordRead Look Up'!$I$13:$J$18,2,TRUE),IF(AND(AI97&gt;=79),VLOOKUP(H97,'WordRead Look Up'!$M$13:$N$18,2,TRUE),"")))))</f>
        <v/>
      </c>
      <c r="J97" s="122"/>
      <c r="K97" s="111"/>
      <c r="L97" s="111"/>
      <c r="M97" s="111"/>
      <c r="N97" s="111"/>
      <c r="O97" s="111"/>
      <c r="P97" s="111"/>
      <c r="Q97" s="111"/>
      <c r="R97" s="111"/>
      <c r="S97" s="111"/>
      <c r="T97" s="111"/>
      <c r="U97" s="111"/>
      <c r="V97" s="111"/>
      <c r="W97" s="111"/>
      <c r="X97" s="123"/>
      <c r="AI97" s="222" t="str">
        <f t="shared" si="4"/>
        <v/>
      </c>
    </row>
    <row r="98" spans="1:35" s="108" customFormat="1" ht="15.75">
      <c r="A98" s="119"/>
      <c r="B98" s="120"/>
      <c r="C98" s="111"/>
      <c r="D98" s="111"/>
      <c r="E98" s="121"/>
      <c r="F98" s="121"/>
      <c r="G98" s="113"/>
      <c r="H98" s="199" t="str">
        <f t="shared" si="3"/>
        <v/>
      </c>
      <c r="I98" s="200" t="str">
        <f>IF(H98="","",IF(AND(AI98&lt;=66),VLOOKUP(H98,'WordRead Look Up'!$A$13:$B$20,2,TRUE),IF(AND(AI98&gt;=67,AI98&lt;=72),VLOOKUP(H98,'WordRead Look Up'!$E$13:$F$20,2,TRUE),IF(AND(AI98&gt;=73,AI98&lt;=78),VLOOKUP(H98,'WordRead Look Up'!$I$13:$J$18,2,TRUE),IF(AND(AI98&gt;=79),VLOOKUP(H98,'WordRead Look Up'!$M$13:$N$18,2,TRUE),"")))))</f>
        <v/>
      </c>
      <c r="J98" s="122"/>
      <c r="K98" s="111"/>
      <c r="L98" s="111"/>
      <c r="M98" s="111"/>
      <c r="N98" s="111"/>
      <c r="O98" s="111"/>
      <c r="P98" s="111"/>
      <c r="Q98" s="111"/>
      <c r="R98" s="111"/>
      <c r="S98" s="111"/>
      <c r="T98" s="111"/>
      <c r="U98" s="111"/>
      <c r="V98" s="111"/>
      <c r="W98" s="111"/>
      <c r="X98" s="123"/>
      <c r="AI98" s="222" t="str">
        <f t="shared" si="4"/>
        <v/>
      </c>
    </row>
    <row r="99" spans="1:35" s="108" customFormat="1" ht="15.75">
      <c r="A99" s="119"/>
      <c r="B99" s="120"/>
      <c r="C99" s="111"/>
      <c r="D99" s="111"/>
      <c r="E99" s="121"/>
      <c r="F99" s="121"/>
      <c r="G99" s="113"/>
      <c r="H99" s="199" t="str">
        <f t="shared" si="3"/>
        <v/>
      </c>
      <c r="I99" s="200" t="str">
        <f>IF(H99="","",IF(AND(AI99&lt;=66),VLOOKUP(H99,'WordRead Look Up'!$A$13:$B$20,2,TRUE),IF(AND(AI99&gt;=67,AI99&lt;=72),VLOOKUP(H99,'WordRead Look Up'!$E$13:$F$20,2,TRUE),IF(AND(AI99&gt;=73,AI99&lt;=78),VLOOKUP(H99,'WordRead Look Up'!$I$13:$J$18,2,TRUE),IF(AND(AI99&gt;=79),VLOOKUP(H99,'WordRead Look Up'!$M$13:$N$18,2,TRUE),"")))))</f>
        <v/>
      </c>
      <c r="J99" s="122"/>
      <c r="K99" s="111"/>
      <c r="L99" s="111"/>
      <c r="M99" s="111"/>
      <c r="N99" s="111"/>
      <c r="O99" s="111"/>
      <c r="P99" s="111"/>
      <c r="Q99" s="111"/>
      <c r="R99" s="111"/>
      <c r="S99" s="111"/>
      <c r="T99" s="111"/>
      <c r="U99" s="111"/>
      <c r="V99" s="111"/>
      <c r="W99" s="111"/>
      <c r="X99" s="123"/>
      <c r="AI99" s="222" t="str">
        <f t="shared" si="4"/>
        <v/>
      </c>
    </row>
    <row r="100" spans="1:35" s="108" customFormat="1" ht="15.75">
      <c r="A100" s="119"/>
      <c r="B100" s="120"/>
      <c r="C100" s="111"/>
      <c r="D100" s="111"/>
      <c r="E100" s="121"/>
      <c r="F100" s="121"/>
      <c r="G100" s="113"/>
      <c r="H100" s="199" t="str">
        <f t="shared" si="3"/>
        <v/>
      </c>
      <c r="I100" s="200" t="str">
        <f>IF(H100="","",IF(AND(AI100&lt;=66),VLOOKUP(H100,'WordRead Look Up'!$A$13:$B$20,2,TRUE),IF(AND(AI100&gt;=67,AI100&lt;=72),VLOOKUP(H100,'WordRead Look Up'!$E$13:$F$20,2,TRUE),IF(AND(AI100&gt;=73,AI100&lt;=78),VLOOKUP(H100,'WordRead Look Up'!$I$13:$J$18,2,TRUE),IF(AND(AI100&gt;=79),VLOOKUP(H100,'WordRead Look Up'!$M$13:$N$18,2,TRUE),"")))))</f>
        <v/>
      </c>
      <c r="J100" s="122"/>
      <c r="K100" s="111"/>
      <c r="L100" s="111"/>
      <c r="M100" s="111"/>
      <c r="N100" s="111"/>
      <c r="O100" s="111"/>
      <c r="P100" s="111"/>
      <c r="Q100" s="111"/>
      <c r="R100" s="111"/>
      <c r="S100" s="111"/>
      <c r="T100" s="111"/>
      <c r="U100" s="111"/>
      <c r="V100" s="111"/>
      <c r="W100" s="111"/>
      <c r="X100" s="123"/>
      <c r="AI100" s="222" t="str">
        <f t="shared" si="4"/>
        <v/>
      </c>
    </row>
    <row r="101" spans="1:35" s="108" customFormat="1" ht="15.75">
      <c r="A101" s="119"/>
      <c r="B101" s="120"/>
      <c r="C101" s="111"/>
      <c r="D101" s="111"/>
      <c r="E101" s="121"/>
      <c r="F101" s="121"/>
      <c r="G101" s="113"/>
      <c r="H101" s="199" t="str">
        <f t="shared" si="3"/>
        <v/>
      </c>
      <c r="I101" s="200" t="str">
        <f>IF(H101="","",IF(AND(AI101&lt;=66),VLOOKUP(H101,'WordRead Look Up'!$A$13:$B$20,2,TRUE),IF(AND(AI101&gt;=67,AI101&lt;=72),VLOOKUP(H101,'WordRead Look Up'!$E$13:$F$20,2,TRUE),IF(AND(AI101&gt;=73,AI101&lt;=78),VLOOKUP(H101,'WordRead Look Up'!$I$13:$J$18,2,TRUE),IF(AND(AI101&gt;=79),VLOOKUP(H101,'WordRead Look Up'!$M$13:$N$18,2,TRUE),"")))))</f>
        <v/>
      </c>
      <c r="J101" s="122"/>
      <c r="K101" s="111"/>
      <c r="L101" s="111"/>
      <c r="M101" s="111"/>
      <c r="N101" s="111"/>
      <c r="O101" s="111"/>
      <c r="P101" s="111"/>
      <c r="Q101" s="111"/>
      <c r="R101" s="111"/>
      <c r="S101" s="111"/>
      <c r="T101" s="111"/>
      <c r="U101" s="111"/>
      <c r="V101" s="111"/>
      <c r="W101" s="111"/>
      <c r="X101" s="123"/>
      <c r="AI101" s="222" t="str">
        <f t="shared" si="4"/>
        <v/>
      </c>
    </row>
    <row r="102" spans="1:35" s="108" customFormat="1" ht="15.75">
      <c r="A102" s="119"/>
      <c r="B102" s="120"/>
      <c r="C102" s="111"/>
      <c r="D102" s="111"/>
      <c r="E102" s="121"/>
      <c r="F102" s="121"/>
      <c r="G102" s="113"/>
      <c r="H102" s="199" t="str">
        <f t="shared" si="3"/>
        <v/>
      </c>
      <c r="I102" s="200" t="str">
        <f>IF(H102="","",IF(AND(AI102&lt;=66),VLOOKUP(H102,'WordRead Look Up'!$A$13:$B$20,2,TRUE),IF(AND(AI102&gt;=67,AI102&lt;=72),VLOOKUP(H102,'WordRead Look Up'!$E$13:$F$20,2,TRUE),IF(AND(AI102&gt;=73,AI102&lt;=78),VLOOKUP(H102,'WordRead Look Up'!$I$13:$J$18,2,TRUE),IF(AND(AI102&gt;=79),VLOOKUP(H102,'WordRead Look Up'!$M$13:$N$18,2,TRUE),"")))))</f>
        <v/>
      </c>
      <c r="J102" s="122"/>
      <c r="K102" s="111"/>
      <c r="L102" s="111"/>
      <c r="M102" s="111"/>
      <c r="N102" s="111"/>
      <c r="O102" s="111"/>
      <c r="P102" s="111"/>
      <c r="Q102" s="111"/>
      <c r="R102" s="111"/>
      <c r="S102" s="111"/>
      <c r="T102" s="111"/>
      <c r="U102" s="111"/>
      <c r="V102" s="111"/>
      <c r="W102" s="111"/>
      <c r="X102" s="123"/>
      <c r="AI102" s="222" t="str">
        <f t="shared" si="4"/>
        <v/>
      </c>
    </row>
    <row r="103" spans="1:35" s="108" customFormat="1" ht="15.75">
      <c r="A103" s="119"/>
      <c r="B103" s="120"/>
      <c r="C103" s="111"/>
      <c r="D103" s="111"/>
      <c r="E103" s="121"/>
      <c r="F103" s="121"/>
      <c r="G103" s="113"/>
      <c r="H103" s="199" t="str">
        <f t="shared" si="3"/>
        <v/>
      </c>
      <c r="I103" s="200" t="str">
        <f>IF(H103="","",IF(AND(AI103&lt;=66),VLOOKUP(H103,'WordRead Look Up'!$A$13:$B$20,2,TRUE),IF(AND(AI103&gt;=67,AI103&lt;=72),VLOOKUP(H103,'WordRead Look Up'!$E$13:$F$20,2,TRUE),IF(AND(AI103&gt;=73,AI103&lt;=78),VLOOKUP(H103,'WordRead Look Up'!$I$13:$J$18,2,TRUE),IF(AND(AI103&gt;=79),VLOOKUP(H103,'WordRead Look Up'!$M$13:$N$18,2,TRUE),"")))))</f>
        <v/>
      </c>
      <c r="J103" s="122"/>
      <c r="K103" s="111"/>
      <c r="L103" s="111"/>
      <c r="M103" s="111"/>
      <c r="N103" s="111"/>
      <c r="O103" s="111"/>
      <c r="P103" s="111"/>
      <c r="Q103" s="111"/>
      <c r="R103" s="111"/>
      <c r="S103" s="111"/>
      <c r="T103" s="111"/>
      <c r="U103" s="111"/>
      <c r="V103" s="111"/>
      <c r="W103" s="111"/>
      <c r="X103" s="123"/>
      <c r="AI103" s="222" t="str">
        <f t="shared" si="4"/>
        <v/>
      </c>
    </row>
    <row r="104" spans="1:35" s="108" customFormat="1" ht="15.75">
      <c r="A104" s="119"/>
      <c r="B104" s="120"/>
      <c r="C104" s="111"/>
      <c r="D104" s="111"/>
      <c r="E104" s="121"/>
      <c r="F104" s="121"/>
      <c r="G104" s="113"/>
      <c r="H104" s="199" t="str">
        <f t="shared" si="3"/>
        <v/>
      </c>
      <c r="I104" s="200" t="str">
        <f>IF(H104="","",IF(AND(AI104&lt;=66),VLOOKUP(H104,'WordRead Look Up'!$A$13:$B$20,2,TRUE),IF(AND(AI104&gt;=67,AI104&lt;=72),VLOOKUP(H104,'WordRead Look Up'!$E$13:$F$20,2,TRUE),IF(AND(AI104&gt;=73,AI104&lt;=78),VLOOKUP(H104,'WordRead Look Up'!$I$13:$J$18,2,TRUE),IF(AND(AI104&gt;=79),VLOOKUP(H104,'WordRead Look Up'!$M$13:$N$18,2,TRUE),"")))))</f>
        <v/>
      </c>
      <c r="J104" s="122"/>
      <c r="K104" s="111"/>
      <c r="L104" s="111"/>
      <c r="M104" s="111"/>
      <c r="N104" s="111"/>
      <c r="O104" s="111"/>
      <c r="P104" s="111"/>
      <c r="Q104" s="111"/>
      <c r="R104" s="111"/>
      <c r="S104" s="111"/>
      <c r="T104" s="111"/>
      <c r="U104" s="111"/>
      <c r="V104" s="111"/>
      <c r="W104" s="111"/>
      <c r="X104" s="123"/>
      <c r="AI104" s="222" t="str">
        <f t="shared" si="4"/>
        <v/>
      </c>
    </row>
    <row r="105" spans="1:35" s="108" customFormat="1" ht="15.75">
      <c r="A105" s="119"/>
      <c r="B105" s="120"/>
      <c r="C105" s="111"/>
      <c r="D105" s="111"/>
      <c r="E105" s="121"/>
      <c r="F105" s="121"/>
      <c r="G105" s="113"/>
      <c r="H105" s="199" t="str">
        <f t="shared" si="3"/>
        <v/>
      </c>
      <c r="I105" s="200" t="str">
        <f>IF(H105="","",IF(AND(AI105&lt;=66),VLOOKUP(H105,'WordRead Look Up'!$A$13:$B$20,2,TRUE),IF(AND(AI105&gt;=67,AI105&lt;=72),VLOOKUP(H105,'WordRead Look Up'!$E$13:$F$20,2,TRUE),IF(AND(AI105&gt;=73,AI105&lt;=78),VLOOKUP(H105,'WordRead Look Up'!$I$13:$J$18,2,TRUE),IF(AND(AI105&gt;=79),VLOOKUP(H105,'WordRead Look Up'!$M$13:$N$18,2,TRUE),"")))))</f>
        <v/>
      </c>
      <c r="J105" s="122"/>
      <c r="K105" s="111"/>
      <c r="L105" s="111"/>
      <c r="M105" s="111"/>
      <c r="N105" s="111"/>
      <c r="O105" s="111"/>
      <c r="P105" s="111"/>
      <c r="Q105" s="111"/>
      <c r="R105" s="111"/>
      <c r="S105" s="111"/>
      <c r="T105" s="111"/>
      <c r="U105" s="111"/>
      <c r="V105" s="111"/>
      <c r="W105" s="111"/>
      <c r="X105" s="123"/>
      <c r="AI105" s="222" t="str">
        <f t="shared" si="4"/>
        <v/>
      </c>
    </row>
    <row r="106" spans="1:35" s="108" customFormat="1" ht="15.75">
      <c r="A106" s="119"/>
      <c r="B106" s="120"/>
      <c r="C106" s="111"/>
      <c r="D106" s="111"/>
      <c r="E106" s="121"/>
      <c r="F106" s="121"/>
      <c r="G106" s="113"/>
      <c r="H106" s="199" t="str">
        <f t="shared" si="3"/>
        <v/>
      </c>
      <c r="I106" s="200" t="str">
        <f>IF(H106="","",IF(AND(AI106&lt;=66),VLOOKUP(H106,'WordRead Look Up'!$A$13:$B$20,2,TRUE),IF(AND(AI106&gt;=67,AI106&lt;=72),VLOOKUP(H106,'WordRead Look Up'!$E$13:$F$20,2,TRUE),IF(AND(AI106&gt;=73,AI106&lt;=78),VLOOKUP(H106,'WordRead Look Up'!$I$13:$J$18,2,TRUE),IF(AND(AI106&gt;=79),VLOOKUP(H106,'WordRead Look Up'!$M$13:$N$18,2,TRUE),"")))))</f>
        <v/>
      </c>
      <c r="J106" s="122"/>
      <c r="K106" s="111"/>
      <c r="L106" s="111"/>
      <c r="M106" s="111"/>
      <c r="N106" s="111"/>
      <c r="O106" s="111"/>
      <c r="P106" s="111"/>
      <c r="Q106" s="111"/>
      <c r="R106" s="111"/>
      <c r="S106" s="111"/>
      <c r="T106" s="111"/>
      <c r="U106" s="111"/>
      <c r="V106" s="111"/>
      <c r="W106" s="111"/>
      <c r="X106" s="123"/>
      <c r="AI106" s="222" t="str">
        <f t="shared" si="4"/>
        <v/>
      </c>
    </row>
    <row r="107" spans="1:35" s="108" customFormat="1" ht="15.75">
      <c r="A107" s="119"/>
      <c r="B107" s="120"/>
      <c r="C107" s="111"/>
      <c r="D107" s="111"/>
      <c r="E107" s="121"/>
      <c r="F107" s="121"/>
      <c r="G107" s="113"/>
      <c r="H107" s="199" t="str">
        <f t="shared" si="3"/>
        <v/>
      </c>
      <c r="I107" s="200" t="str">
        <f>IF(H107="","",IF(AND(AI107&lt;=66),VLOOKUP(H107,'WordRead Look Up'!$A$13:$B$20,2,TRUE),IF(AND(AI107&gt;=67,AI107&lt;=72),VLOOKUP(H107,'WordRead Look Up'!$E$13:$F$20,2,TRUE),IF(AND(AI107&gt;=73,AI107&lt;=78),VLOOKUP(H107,'WordRead Look Up'!$I$13:$J$18,2,TRUE),IF(AND(AI107&gt;=79),VLOOKUP(H107,'WordRead Look Up'!$M$13:$N$18,2,TRUE),"")))))</f>
        <v/>
      </c>
      <c r="J107" s="122"/>
      <c r="K107" s="111"/>
      <c r="L107" s="111"/>
      <c r="M107" s="111"/>
      <c r="N107" s="111"/>
      <c r="O107" s="111"/>
      <c r="P107" s="111"/>
      <c r="Q107" s="111"/>
      <c r="R107" s="111"/>
      <c r="S107" s="111"/>
      <c r="T107" s="111"/>
      <c r="U107" s="111"/>
      <c r="V107" s="111"/>
      <c r="W107" s="111"/>
      <c r="X107" s="123"/>
      <c r="AI107" s="222" t="str">
        <f t="shared" si="4"/>
        <v/>
      </c>
    </row>
    <row r="108" spans="1:35" s="108" customFormat="1" ht="15.75">
      <c r="A108" s="119"/>
      <c r="B108" s="120"/>
      <c r="C108" s="111"/>
      <c r="D108" s="111"/>
      <c r="E108" s="121"/>
      <c r="F108" s="121"/>
      <c r="G108" s="113"/>
      <c r="H108" s="199" t="str">
        <f t="shared" si="3"/>
        <v/>
      </c>
      <c r="I108" s="200" t="str">
        <f>IF(H108="","",IF(AND(AI108&lt;=66),VLOOKUP(H108,'WordRead Look Up'!$A$13:$B$20,2,TRUE),IF(AND(AI108&gt;=67,AI108&lt;=72),VLOOKUP(H108,'WordRead Look Up'!$E$13:$F$20,2,TRUE),IF(AND(AI108&gt;=73,AI108&lt;=78),VLOOKUP(H108,'WordRead Look Up'!$I$13:$J$18,2,TRUE),IF(AND(AI108&gt;=79),VLOOKUP(H108,'WordRead Look Up'!$M$13:$N$18,2,TRUE),"")))))</f>
        <v/>
      </c>
      <c r="J108" s="122"/>
      <c r="K108" s="111"/>
      <c r="L108" s="111"/>
      <c r="M108" s="111"/>
      <c r="N108" s="111"/>
      <c r="O108" s="111"/>
      <c r="P108" s="111"/>
      <c r="Q108" s="111"/>
      <c r="R108" s="111"/>
      <c r="S108" s="111"/>
      <c r="T108" s="111"/>
      <c r="U108" s="111"/>
      <c r="V108" s="111"/>
      <c r="W108" s="111"/>
      <c r="X108" s="123"/>
      <c r="AI108" s="222" t="str">
        <f t="shared" si="4"/>
        <v/>
      </c>
    </row>
    <row r="109" spans="1:35" s="108" customFormat="1" ht="15.75">
      <c r="A109" s="119"/>
      <c r="B109" s="120"/>
      <c r="C109" s="111"/>
      <c r="D109" s="111"/>
      <c r="E109" s="121"/>
      <c r="F109" s="121"/>
      <c r="G109" s="113"/>
      <c r="H109" s="199" t="str">
        <f t="shared" si="3"/>
        <v/>
      </c>
      <c r="I109" s="200" t="str">
        <f>IF(H109="","",IF(AND(AI109&lt;=66),VLOOKUP(H109,'WordRead Look Up'!$A$13:$B$20,2,TRUE),IF(AND(AI109&gt;=67,AI109&lt;=72),VLOOKUP(H109,'WordRead Look Up'!$E$13:$F$20,2,TRUE),IF(AND(AI109&gt;=73,AI109&lt;=78),VLOOKUP(H109,'WordRead Look Up'!$I$13:$J$18,2,TRUE),IF(AND(AI109&gt;=79),VLOOKUP(H109,'WordRead Look Up'!$M$13:$N$18,2,TRUE),"")))))</f>
        <v/>
      </c>
      <c r="J109" s="122"/>
      <c r="K109" s="111"/>
      <c r="L109" s="111"/>
      <c r="M109" s="111"/>
      <c r="N109" s="111"/>
      <c r="O109" s="111"/>
      <c r="P109" s="111"/>
      <c r="Q109" s="111"/>
      <c r="R109" s="111"/>
      <c r="S109" s="111"/>
      <c r="T109" s="111"/>
      <c r="U109" s="111"/>
      <c r="V109" s="111"/>
      <c r="W109" s="111"/>
      <c r="X109" s="123"/>
      <c r="AI109" s="222" t="str">
        <f t="shared" si="4"/>
        <v/>
      </c>
    </row>
    <row r="110" spans="1:35" s="108" customFormat="1" ht="15.75">
      <c r="A110" s="119"/>
      <c r="B110" s="120"/>
      <c r="C110" s="111"/>
      <c r="D110" s="111"/>
      <c r="E110" s="121"/>
      <c r="F110" s="121"/>
      <c r="G110" s="113"/>
      <c r="H110" s="199" t="str">
        <f t="shared" si="3"/>
        <v/>
      </c>
      <c r="I110" s="200" t="str">
        <f>IF(H110="","",IF(AND(AI110&lt;=66),VLOOKUP(H110,'WordRead Look Up'!$A$13:$B$20,2,TRUE),IF(AND(AI110&gt;=67,AI110&lt;=72),VLOOKUP(H110,'WordRead Look Up'!$E$13:$F$20,2,TRUE),IF(AND(AI110&gt;=73,AI110&lt;=78),VLOOKUP(H110,'WordRead Look Up'!$I$13:$J$18,2,TRUE),IF(AND(AI110&gt;=79),VLOOKUP(H110,'WordRead Look Up'!$M$13:$N$18,2,TRUE),"")))))</f>
        <v/>
      </c>
      <c r="J110" s="122"/>
      <c r="K110" s="111"/>
      <c r="L110" s="111"/>
      <c r="M110" s="111"/>
      <c r="N110" s="111"/>
      <c r="O110" s="111"/>
      <c r="P110" s="111"/>
      <c r="Q110" s="111"/>
      <c r="R110" s="111"/>
      <c r="S110" s="111"/>
      <c r="T110" s="111"/>
      <c r="U110" s="111"/>
      <c r="V110" s="111"/>
      <c r="W110" s="111"/>
      <c r="X110" s="123"/>
      <c r="AI110" s="222" t="str">
        <f t="shared" si="4"/>
        <v/>
      </c>
    </row>
    <row r="111" spans="1:35" s="108" customFormat="1" ht="15.75">
      <c r="A111" s="119"/>
      <c r="B111" s="120"/>
      <c r="C111" s="111"/>
      <c r="D111" s="111"/>
      <c r="E111" s="121"/>
      <c r="F111" s="121"/>
      <c r="G111" s="113"/>
      <c r="H111" s="199" t="str">
        <f t="shared" si="3"/>
        <v/>
      </c>
      <c r="I111" s="200" t="str">
        <f>IF(H111="","",IF(AND(AI111&lt;=66),VLOOKUP(H111,'WordRead Look Up'!$A$13:$B$20,2,TRUE),IF(AND(AI111&gt;=67,AI111&lt;=72),VLOOKUP(H111,'WordRead Look Up'!$E$13:$F$20,2,TRUE),IF(AND(AI111&gt;=73,AI111&lt;=78),VLOOKUP(H111,'WordRead Look Up'!$I$13:$J$18,2,TRUE),IF(AND(AI111&gt;=79),VLOOKUP(H111,'WordRead Look Up'!$M$13:$N$18,2,TRUE),"")))))</f>
        <v/>
      </c>
      <c r="J111" s="122"/>
      <c r="K111" s="111"/>
      <c r="L111" s="111"/>
      <c r="M111" s="111"/>
      <c r="N111" s="111"/>
      <c r="O111" s="111"/>
      <c r="P111" s="111"/>
      <c r="Q111" s="111"/>
      <c r="R111" s="111"/>
      <c r="S111" s="111"/>
      <c r="T111" s="111"/>
      <c r="U111" s="111"/>
      <c r="V111" s="111"/>
      <c r="W111" s="111"/>
      <c r="X111" s="123"/>
      <c r="AI111" s="222" t="str">
        <f t="shared" si="4"/>
        <v/>
      </c>
    </row>
    <row r="112" spans="1:35" s="108" customFormat="1" ht="15.75">
      <c r="A112" s="119"/>
      <c r="B112" s="120"/>
      <c r="C112" s="111"/>
      <c r="D112" s="111"/>
      <c r="E112" s="121"/>
      <c r="F112" s="121"/>
      <c r="G112" s="113"/>
      <c r="H112" s="199" t="str">
        <f t="shared" si="3"/>
        <v/>
      </c>
      <c r="I112" s="200" t="str">
        <f>IF(H112="","",IF(AND(AI112&lt;=66),VLOOKUP(H112,'WordRead Look Up'!$A$13:$B$20,2,TRUE),IF(AND(AI112&gt;=67,AI112&lt;=72),VLOOKUP(H112,'WordRead Look Up'!$E$13:$F$20,2,TRUE),IF(AND(AI112&gt;=73,AI112&lt;=78),VLOOKUP(H112,'WordRead Look Up'!$I$13:$J$18,2,TRUE),IF(AND(AI112&gt;=79),VLOOKUP(H112,'WordRead Look Up'!$M$13:$N$18,2,TRUE),"")))))</f>
        <v/>
      </c>
      <c r="J112" s="122"/>
      <c r="K112" s="111"/>
      <c r="L112" s="111"/>
      <c r="M112" s="111"/>
      <c r="N112" s="111"/>
      <c r="O112" s="111"/>
      <c r="P112" s="111"/>
      <c r="Q112" s="111"/>
      <c r="R112" s="111"/>
      <c r="S112" s="111"/>
      <c r="T112" s="111"/>
      <c r="U112" s="111"/>
      <c r="V112" s="111"/>
      <c r="W112" s="111"/>
      <c r="X112" s="123"/>
      <c r="AI112" s="222" t="str">
        <f t="shared" si="4"/>
        <v/>
      </c>
    </row>
    <row r="113" spans="1:35" s="108" customFormat="1" ht="15.75">
      <c r="A113" s="119"/>
      <c r="B113" s="120"/>
      <c r="C113" s="111"/>
      <c r="D113" s="111"/>
      <c r="E113" s="121"/>
      <c r="F113" s="121"/>
      <c r="G113" s="113"/>
      <c r="H113" s="199" t="str">
        <f t="shared" si="3"/>
        <v/>
      </c>
      <c r="I113" s="200" t="str">
        <f>IF(H113="","",IF(AND(AI113&lt;=66),VLOOKUP(H113,'WordRead Look Up'!$A$13:$B$20,2,TRUE),IF(AND(AI113&gt;=67,AI113&lt;=72),VLOOKUP(H113,'WordRead Look Up'!$E$13:$F$20,2,TRUE),IF(AND(AI113&gt;=73,AI113&lt;=78),VLOOKUP(H113,'WordRead Look Up'!$I$13:$J$18,2,TRUE),IF(AND(AI113&gt;=79),VLOOKUP(H113,'WordRead Look Up'!$M$13:$N$18,2,TRUE),"")))))</f>
        <v/>
      </c>
      <c r="J113" s="122"/>
      <c r="K113" s="111"/>
      <c r="L113" s="111"/>
      <c r="M113" s="111"/>
      <c r="N113" s="111"/>
      <c r="O113" s="111"/>
      <c r="P113" s="111"/>
      <c r="Q113" s="111"/>
      <c r="R113" s="111"/>
      <c r="S113" s="111"/>
      <c r="T113" s="111"/>
      <c r="U113" s="111"/>
      <c r="V113" s="111"/>
      <c r="W113" s="111"/>
      <c r="X113" s="123"/>
      <c r="AI113" s="222" t="str">
        <f t="shared" si="4"/>
        <v/>
      </c>
    </row>
    <row r="114" spans="1:35" s="108" customFormat="1" ht="15.75">
      <c r="A114" s="119"/>
      <c r="B114" s="120"/>
      <c r="C114" s="111"/>
      <c r="D114" s="111"/>
      <c r="E114" s="121"/>
      <c r="F114" s="121"/>
      <c r="G114" s="113"/>
      <c r="H114" s="199" t="str">
        <f t="shared" si="3"/>
        <v/>
      </c>
      <c r="I114" s="200" t="str">
        <f>IF(H114="","",IF(AND(AI114&lt;=66),VLOOKUP(H114,'WordRead Look Up'!$A$13:$B$20,2,TRUE),IF(AND(AI114&gt;=67,AI114&lt;=72),VLOOKUP(H114,'WordRead Look Up'!$E$13:$F$20,2,TRUE),IF(AND(AI114&gt;=73,AI114&lt;=78),VLOOKUP(H114,'WordRead Look Up'!$I$13:$J$18,2,TRUE),IF(AND(AI114&gt;=79),VLOOKUP(H114,'WordRead Look Up'!$M$13:$N$18,2,TRUE),"")))))</f>
        <v/>
      </c>
      <c r="J114" s="122"/>
      <c r="K114" s="111"/>
      <c r="L114" s="111"/>
      <c r="M114" s="111"/>
      <c r="N114" s="111"/>
      <c r="O114" s="111"/>
      <c r="P114" s="111"/>
      <c r="Q114" s="111"/>
      <c r="R114" s="111"/>
      <c r="S114" s="111"/>
      <c r="T114" s="111"/>
      <c r="U114" s="111"/>
      <c r="V114" s="111"/>
      <c r="W114" s="111"/>
      <c r="X114" s="123"/>
      <c r="AI114" s="222" t="str">
        <f t="shared" si="4"/>
        <v/>
      </c>
    </row>
    <row r="115" spans="1:35" s="108" customFormat="1" ht="15.75">
      <c r="A115" s="119"/>
      <c r="B115" s="120"/>
      <c r="C115" s="111"/>
      <c r="D115" s="111"/>
      <c r="E115" s="121"/>
      <c r="F115" s="121"/>
      <c r="G115" s="113"/>
      <c r="H115" s="199" t="str">
        <f t="shared" si="3"/>
        <v/>
      </c>
      <c r="I115" s="200" t="str">
        <f>IF(H115="","",IF(AND(AI115&lt;=66),VLOOKUP(H115,'WordRead Look Up'!$A$13:$B$20,2,TRUE),IF(AND(AI115&gt;=67,AI115&lt;=72),VLOOKUP(H115,'WordRead Look Up'!$E$13:$F$20,2,TRUE),IF(AND(AI115&gt;=73,AI115&lt;=78),VLOOKUP(H115,'WordRead Look Up'!$I$13:$J$18,2,TRUE),IF(AND(AI115&gt;=79),VLOOKUP(H115,'WordRead Look Up'!$M$13:$N$18,2,TRUE),"")))))</f>
        <v/>
      </c>
      <c r="J115" s="122"/>
      <c r="K115" s="111"/>
      <c r="L115" s="111"/>
      <c r="M115" s="111"/>
      <c r="N115" s="111"/>
      <c r="O115" s="111"/>
      <c r="P115" s="111"/>
      <c r="Q115" s="111"/>
      <c r="R115" s="111"/>
      <c r="S115" s="111"/>
      <c r="T115" s="111"/>
      <c r="U115" s="111"/>
      <c r="V115" s="111"/>
      <c r="W115" s="111"/>
      <c r="X115" s="123"/>
      <c r="AI115" s="222" t="str">
        <f t="shared" si="4"/>
        <v/>
      </c>
    </row>
    <row r="116" spans="1:35" s="108" customFormat="1" ht="15.75">
      <c r="A116" s="119"/>
      <c r="B116" s="120"/>
      <c r="C116" s="111"/>
      <c r="D116" s="111"/>
      <c r="E116" s="121"/>
      <c r="F116" s="121"/>
      <c r="G116" s="113"/>
      <c r="H116" s="199" t="str">
        <f t="shared" si="3"/>
        <v/>
      </c>
      <c r="I116" s="200" t="str">
        <f>IF(H116="","",IF(AND(AI116&lt;=66),VLOOKUP(H116,'WordRead Look Up'!$A$13:$B$20,2,TRUE),IF(AND(AI116&gt;=67,AI116&lt;=72),VLOOKUP(H116,'WordRead Look Up'!$E$13:$F$20,2,TRUE),IF(AND(AI116&gt;=73,AI116&lt;=78),VLOOKUP(H116,'WordRead Look Up'!$I$13:$J$18,2,TRUE),IF(AND(AI116&gt;=79),VLOOKUP(H116,'WordRead Look Up'!$M$13:$N$18,2,TRUE),"")))))</f>
        <v/>
      </c>
      <c r="J116" s="122"/>
      <c r="K116" s="111"/>
      <c r="L116" s="111"/>
      <c r="M116" s="111"/>
      <c r="N116" s="111"/>
      <c r="O116" s="111"/>
      <c r="P116" s="111"/>
      <c r="Q116" s="111"/>
      <c r="R116" s="111"/>
      <c r="S116" s="111"/>
      <c r="T116" s="111"/>
      <c r="U116" s="111"/>
      <c r="V116" s="111"/>
      <c r="W116" s="111"/>
      <c r="X116" s="123"/>
      <c r="AI116" s="222" t="str">
        <f t="shared" si="4"/>
        <v/>
      </c>
    </row>
    <row r="117" spans="1:35" s="108" customFormat="1" ht="15.75">
      <c r="A117" s="119"/>
      <c r="B117" s="120"/>
      <c r="C117" s="111"/>
      <c r="D117" s="111"/>
      <c r="E117" s="121"/>
      <c r="F117" s="121"/>
      <c r="G117" s="113"/>
      <c r="H117" s="199" t="str">
        <f t="shared" si="3"/>
        <v/>
      </c>
      <c r="I117" s="200" t="str">
        <f>IF(H117="","",IF(AND(AI117&lt;=66),VLOOKUP(H117,'WordRead Look Up'!$A$13:$B$20,2,TRUE),IF(AND(AI117&gt;=67,AI117&lt;=72),VLOOKUP(H117,'WordRead Look Up'!$E$13:$F$20,2,TRUE),IF(AND(AI117&gt;=73,AI117&lt;=78),VLOOKUP(H117,'WordRead Look Up'!$I$13:$J$18,2,TRUE),IF(AND(AI117&gt;=79),VLOOKUP(H117,'WordRead Look Up'!$M$13:$N$18,2,TRUE),"")))))</f>
        <v/>
      </c>
      <c r="J117" s="122"/>
      <c r="K117" s="111"/>
      <c r="L117" s="111"/>
      <c r="M117" s="111"/>
      <c r="N117" s="111"/>
      <c r="O117" s="111"/>
      <c r="P117" s="111"/>
      <c r="Q117" s="111"/>
      <c r="R117" s="111"/>
      <c r="S117" s="111"/>
      <c r="T117" s="111"/>
      <c r="U117" s="111"/>
      <c r="V117" s="111"/>
      <c r="W117" s="111"/>
      <c r="X117" s="123"/>
      <c r="AI117" s="222" t="str">
        <f t="shared" si="4"/>
        <v/>
      </c>
    </row>
    <row r="118" spans="1:35" s="108" customFormat="1" ht="15.75">
      <c r="A118" s="119"/>
      <c r="B118" s="120"/>
      <c r="C118" s="111"/>
      <c r="D118" s="111"/>
      <c r="E118" s="121"/>
      <c r="F118" s="121"/>
      <c r="G118" s="113"/>
      <c r="H118" s="199" t="str">
        <f t="shared" si="3"/>
        <v/>
      </c>
      <c r="I118" s="200" t="str">
        <f>IF(H118="","",IF(AND(AI118&lt;=66),VLOOKUP(H118,'WordRead Look Up'!$A$13:$B$20,2,TRUE),IF(AND(AI118&gt;=67,AI118&lt;=72),VLOOKUP(H118,'WordRead Look Up'!$E$13:$F$20,2,TRUE),IF(AND(AI118&gt;=73,AI118&lt;=78),VLOOKUP(H118,'WordRead Look Up'!$I$13:$J$18,2,TRUE),IF(AND(AI118&gt;=79),VLOOKUP(H118,'WordRead Look Up'!$M$13:$N$18,2,TRUE),"")))))</f>
        <v/>
      </c>
      <c r="J118" s="122"/>
      <c r="K118" s="111"/>
      <c r="L118" s="111"/>
      <c r="M118" s="111"/>
      <c r="N118" s="111"/>
      <c r="O118" s="111"/>
      <c r="P118" s="111"/>
      <c r="Q118" s="111"/>
      <c r="R118" s="111"/>
      <c r="S118" s="111"/>
      <c r="T118" s="111"/>
      <c r="U118" s="111"/>
      <c r="V118" s="111"/>
      <c r="W118" s="111"/>
      <c r="X118" s="123"/>
      <c r="AI118" s="222" t="str">
        <f t="shared" si="4"/>
        <v/>
      </c>
    </row>
    <row r="119" spans="1:35" s="108" customFormat="1" ht="15.75">
      <c r="A119" s="119"/>
      <c r="B119" s="120"/>
      <c r="C119" s="111"/>
      <c r="D119" s="111"/>
      <c r="E119" s="121"/>
      <c r="F119" s="121"/>
      <c r="G119" s="113"/>
      <c r="H119" s="199" t="str">
        <f t="shared" si="3"/>
        <v/>
      </c>
      <c r="I119" s="200" t="str">
        <f>IF(H119="","",IF(AND(AI119&lt;=66),VLOOKUP(H119,'WordRead Look Up'!$A$13:$B$20,2,TRUE),IF(AND(AI119&gt;=67,AI119&lt;=72),VLOOKUP(H119,'WordRead Look Up'!$E$13:$F$20,2,TRUE),IF(AND(AI119&gt;=73,AI119&lt;=78),VLOOKUP(H119,'WordRead Look Up'!$I$13:$J$18,2,TRUE),IF(AND(AI119&gt;=79),VLOOKUP(H119,'WordRead Look Up'!$M$13:$N$18,2,TRUE),"")))))</f>
        <v/>
      </c>
      <c r="J119" s="122"/>
      <c r="K119" s="111"/>
      <c r="L119" s="111"/>
      <c r="M119" s="111"/>
      <c r="N119" s="111"/>
      <c r="O119" s="111"/>
      <c r="P119" s="111"/>
      <c r="Q119" s="111"/>
      <c r="R119" s="111"/>
      <c r="S119" s="111"/>
      <c r="T119" s="111"/>
      <c r="U119" s="111"/>
      <c r="V119" s="111"/>
      <c r="W119" s="111"/>
      <c r="X119" s="123"/>
      <c r="AI119" s="222" t="str">
        <f t="shared" si="4"/>
        <v/>
      </c>
    </row>
    <row r="120" spans="1:35" s="108" customFormat="1" ht="15.75">
      <c r="A120" s="119"/>
      <c r="B120" s="120"/>
      <c r="C120" s="111"/>
      <c r="D120" s="111"/>
      <c r="E120" s="121"/>
      <c r="F120" s="121"/>
      <c r="G120" s="113"/>
      <c r="H120" s="199" t="str">
        <f t="shared" si="3"/>
        <v/>
      </c>
      <c r="I120" s="200" t="str">
        <f>IF(H120="","",IF(AND(AI120&lt;=66),VLOOKUP(H120,'WordRead Look Up'!$A$13:$B$20,2,TRUE),IF(AND(AI120&gt;=67,AI120&lt;=72),VLOOKUP(H120,'WordRead Look Up'!$E$13:$F$20,2,TRUE),IF(AND(AI120&gt;=73,AI120&lt;=78),VLOOKUP(H120,'WordRead Look Up'!$I$13:$J$18,2,TRUE),IF(AND(AI120&gt;=79),VLOOKUP(H120,'WordRead Look Up'!$M$13:$N$18,2,TRUE),"")))))</f>
        <v/>
      </c>
      <c r="J120" s="122"/>
      <c r="K120" s="111"/>
      <c r="L120" s="111"/>
      <c r="M120" s="111"/>
      <c r="N120" s="111"/>
      <c r="O120" s="111"/>
      <c r="P120" s="111"/>
      <c r="Q120" s="111"/>
      <c r="R120" s="111"/>
      <c r="S120" s="111"/>
      <c r="T120" s="111"/>
      <c r="U120" s="111"/>
      <c r="V120" s="111"/>
      <c r="W120" s="111"/>
      <c r="X120" s="123"/>
      <c r="AI120" s="222" t="str">
        <f t="shared" si="4"/>
        <v/>
      </c>
    </row>
    <row r="121" spans="1:35" s="108" customFormat="1" ht="15.75">
      <c r="A121" s="119"/>
      <c r="B121" s="120"/>
      <c r="C121" s="111"/>
      <c r="D121" s="111"/>
      <c r="E121" s="121"/>
      <c r="F121" s="121"/>
      <c r="G121" s="113"/>
      <c r="H121" s="199" t="str">
        <f t="shared" si="3"/>
        <v/>
      </c>
      <c r="I121" s="200" t="str">
        <f>IF(H121="","",IF(AND(AI121&lt;=66),VLOOKUP(H121,'WordRead Look Up'!$A$13:$B$20,2,TRUE),IF(AND(AI121&gt;=67,AI121&lt;=72),VLOOKUP(H121,'WordRead Look Up'!$E$13:$F$20,2,TRUE),IF(AND(AI121&gt;=73,AI121&lt;=78),VLOOKUP(H121,'WordRead Look Up'!$I$13:$J$18,2,TRUE),IF(AND(AI121&gt;=79),VLOOKUP(H121,'WordRead Look Up'!$M$13:$N$18,2,TRUE),"")))))</f>
        <v/>
      </c>
      <c r="J121" s="122"/>
      <c r="K121" s="111"/>
      <c r="L121" s="111"/>
      <c r="M121" s="111"/>
      <c r="N121" s="111"/>
      <c r="O121" s="111"/>
      <c r="P121" s="111"/>
      <c r="Q121" s="111"/>
      <c r="R121" s="111"/>
      <c r="S121" s="111"/>
      <c r="T121" s="111"/>
      <c r="U121" s="111"/>
      <c r="V121" s="111"/>
      <c r="W121" s="111"/>
      <c r="X121" s="123"/>
      <c r="AI121" s="222" t="str">
        <f t="shared" si="4"/>
        <v/>
      </c>
    </row>
    <row r="122" spans="1:35" s="108" customFormat="1" ht="15.75">
      <c r="A122" s="119"/>
      <c r="B122" s="120"/>
      <c r="C122" s="111"/>
      <c r="D122" s="111"/>
      <c r="E122" s="121"/>
      <c r="F122" s="121"/>
      <c r="G122" s="113"/>
      <c r="H122" s="199" t="str">
        <f t="shared" si="3"/>
        <v/>
      </c>
      <c r="I122" s="200" t="str">
        <f>IF(H122="","",IF(AND(AI122&lt;=66),VLOOKUP(H122,'WordRead Look Up'!$A$13:$B$20,2,TRUE),IF(AND(AI122&gt;=67,AI122&lt;=72),VLOOKUP(H122,'WordRead Look Up'!$E$13:$F$20,2,TRUE),IF(AND(AI122&gt;=73,AI122&lt;=78),VLOOKUP(H122,'WordRead Look Up'!$I$13:$J$18,2,TRUE),IF(AND(AI122&gt;=79),VLOOKUP(H122,'WordRead Look Up'!$M$13:$N$18,2,TRUE),"")))))</f>
        <v/>
      </c>
      <c r="J122" s="122"/>
      <c r="K122" s="111"/>
      <c r="L122" s="111"/>
      <c r="M122" s="111"/>
      <c r="N122" s="111"/>
      <c r="O122" s="111"/>
      <c r="P122" s="111"/>
      <c r="Q122" s="111"/>
      <c r="R122" s="111"/>
      <c r="S122" s="111"/>
      <c r="T122" s="111"/>
      <c r="U122" s="111"/>
      <c r="V122" s="111"/>
      <c r="W122" s="111"/>
      <c r="X122" s="123"/>
      <c r="AI122" s="222" t="str">
        <f t="shared" si="4"/>
        <v/>
      </c>
    </row>
    <row r="123" spans="1:35" s="108" customFormat="1" ht="15.75">
      <c r="A123" s="119"/>
      <c r="B123" s="120"/>
      <c r="C123" s="111"/>
      <c r="D123" s="111"/>
      <c r="E123" s="121"/>
      <c r="F123" s="121"/>
      <c r="G123" s="113"/>
      <c r="H123" s="199" t="str">
        <f t="shared" si="3"/>
        <v/>
      </c>
      <c r="I123" s="200" t="str">
        <f>IF(H123="","",IF(AND(AI123&lt;=66),VLOOKUP(H123,'WordRead Look Up'!$A$13:$B$20,2,TRUE),IF(AND(AI123&gt;=67,AI123&lt;=72),VLOOKUP(H123,'WordRead Look Up'!$E$13:$F$20,2,TRUE),IF(AND(AI123&gt;=73,AI123&lt;=78),VLOOKUP(H123,'WordRead Look Up'!$I$13:$J$18,2,TRUE),IF(AND(AI123&gt;=79),VLOOKUP(H123,'WordRead Look Up'!$M$13:$N$18,2,TRUE),"")))))</f>
        <v/>
      </c>
      <c r="J123" s="122"/>
      <c r="K123" s="111"/>
      <c r="L123" s="111"/>
      <c r="M123" s="111"/>
      <c r="N123" s="111"/>
      <c r="O123" s="111"/>
      <c r="P123" s="111"/>
      <c r="Q123" s="111"/>
      <c r="R123" s="111"/>
      <c r="S123" s="111"/>
      <c r="T123" s="111"/>
      <c r="U123" s="111"/>
      <c r="V123" s="111"/>
      <c r="W123" s="111"/>
      <c r="X123" s="123"/>
      <c r="AI123" s="222" t="str">
        <f t="shared" si="4"/>
        <v/>
      </c>
    </row>
    <row r="124" spans="1:35" s="108" customFormat="1" ht="15.75">
      <c r="A124" s="119"/>
      <c r="B124" s="120"/>
      <c r="C124" s="111"/>
      <c r="D124" s="111"/>
      <c r="E124" s="121"/>
      <c r="F124" s="121"/>
      <c r="G124" s="113"/>
      <c r="H124" s="199" t="str">
        <f t="shared" si="3"/>
        <v/>
      </c>
      <c r="I124" s="200" t="str">
        <f>IF(H124="","",IF(AND(AI124&lt;=66),VLOOKUP(H124,'WordRead Look Up'!$A$13:$B$20,2,TRUE),IF(AND(AI124&gt;=67,AI124&lt;=72),VLOOKUP(H124,'WordRead Look Up'!$E$13:$F$20,2,TRUE),IF(AND(AI124&gt;=73,AI124&lt;=78),VLOOKUP(H124,'WordRead Look Up'!$I$13:$J$18,2,TRUE),IF(AND(AI124&gt;=79),VLOOKUP(H124,'WordRead Look Up'!$M$13:$N$18,2,TRUE),"")))))</f>
        <v/>
      </c>
      <c r="J124" s="122"/>
      <c r="K124" s="111"/>
      <c r="L124" s="111"/>
      <c r="M124" s="111"/>
      <c r="N124" s="111"/>
      <c r="O124" s="111"/>
      <c r="P124" s="111"/>
      <c r="Q124" s="111"/>
      <c r="R124" s="111"/>
      <c r="S124" s="111"/>
      <c r="T124" s="111"/>
      <c r="U124" s="111"/>
      <c r="V124" s="111"/>
      <c r="W124" s="111"/>
      <c r="X124" s="123"/>
      <c r="AI124" s="222" t="str">
        <f t="shared" si="4"/>
        <v/>
      </c>
    </row>
    <row r="125" spans="1:35" s="108" customFormat="1" ht="15.75">
      <c r="A125" s="119"/>
      <c r="B125" s="120"/>
      <c r="C125" s="111"/>
      <c r="D125" s="111"/>
      <c r="E125" s="121"/>
      <c r="F125" s="121"/>
      <c r="G125" s="113"/>
      <c r="H125" s="199" t="str">
        <f t="shared" si="3"/>
        <v/>
      </c>
      <c r="I125" s="200" t="str">
        <f>IF(H125="","",IF(AND(AI125&lt;=66),VLOOKUP(H125,'WordRead Look Up'!$A$13:$B$20,2,TRUE),IF(AND(AI125&gt;=67,AI125&lt;=72),VLOOKUP(H125,'WordRead Look Up'!$E$13:$F$20,2,TRUE),IF(AND(AI125&gt;=73,AI125&lt;=78),VLOOKUP(H125,'WordRead Look Up'!$I$13:$J$18,2,TRUE),IF(AND(AI125&gt;=79),VLOOKUP(H125,'WordRead Look Up'!$M$13:$N$18,2,TRUE),"")))))</f>
        <v/>
      </c>
      <c r="J125" s="122"/>
      <c r="K125" s="111"/>
      <c r="L125" s="111"/>
      <c r="M125" s="111"/>
      <c r="N125" s="111"/>
      <c r="O125" s="111"/>
      <c r="P125" s="111"/>
      <c r="Q125" s="111"/>
      <c r="R125" s="111"/>
      <c r="S125" s="111"/>
      <c r="T125" s="111"/>
      <c r="U125" s="111"/>
      <c r="V125" s="111"/>
      <c r="W125" s="111"/>
      <c r="X125" s="123"/>
      <c r="AI125" s="222" t="str">
        <f t="shared" si="4"/>
        <v/>
      </c>
    </row>
    <row r="126" spans="1:35" s="108" customFormat="1" ht="15.75">
      <c r="A126" s="119"/>
      <c r="B126" s="120"/>
      <c r="C126" s="111"/>
      <c r="D126" s="111"/>
      <c r="E126" s="121"/>
      <c r="F126" s="121"/>
      <c r="G126" s="113"/>
      <c r="H126" s="199" t="str">
        <f t="shared" si="3"/>
        <v/>
      </c>
      <c r="I126" s="200" t="str">
        <f>IF(H126="","",IF(AND(AI126&lt;=66),VLOOKUP(H126,'WordRead Look Up'!$A$13:$B$20,2,TRUE),IF(AND(AI126&gt;=67,AI126&lt;=72),VLOOKUP(H126,'WordRead Look Up'!$E$13:$F$20,2,TRUE),IF(AND(AI126&gt;=73,AI126&lt;=78),VLOOKUP(H126,'WordRead Look Up'!$I$13:$J$18,2,TRUE),IF(AND(AI126&gt;=79),VLOOKUP(H126,'WordRead Look Up'!$M$13:$N$18,2,TRUE),"")))))</f>
        <v/>
      </c>
      <c r="J126" s="122"/>
      <c r="K126" s="111"/>
      <c r="L126" s="111"/>
      <c r="M126" s="111"/>
      <c r="N126" s="111"/>
      <c r="O126" s="111"/>
      <c r="P126" s="111"/>
      <c r="Q126" s="111"/>
      <c r="R126" s="111"/>
      <c r="S126" s="111"/>
      <c r="T126" s="111"/>
      <c r="U126" s="111"/>
      <c r="V126" s="111"/>
      <c r="W126" s="111"/>
      <c r="X126" s="123"/>
      <c r="AI126" s="222" t="str">
        <f t="shared" si="4"/>
        <v/>
      </c>
    </row>
    <row r="127" spans="1:35" s="108" customFormat="1" ht="15.75">
      <c r="A127" s="119"/>
      <c r="B127" s="120"/>
      <c r="C127" s="111"/>
      <c r="D127" s="111"/>
      <c r="E127" s="121"/>
      <c r="F127" s="121"/>
      <c r="G127" s="113"/>
      <c r="H127" s="199" t="str">
        <f t="shared" si="3"/>
        <v/>
      </c>
      <c r="I127" s="200" t="str">
        <f>IF(H127="","",IF(AND(AI127&lt;=66),VLOOKUP(H127,'WordRead Look Up'!$A$13:$B$20,2,TRUE),IF(AND(AI127&gt;=67,AI127&lt;=72),VLOOKUP(H127,'WordRead Look Up'!$E$13:$F$20,2,TRUE),IF(AND(AI127&gt;=73,AI127&lt;=78),VLOOKUP(H127,'WordRead Look Up'!$I$13:$J$18,2,TRUE),IF(AND(AI127&gt;=79),VLOOKUP(H127,'WordRead Look Up'!$M$13:$N$18,2,TRUE),"")))))</f>
        <v/>
      </c>
      <c r="J127" s="122"/>
      <c r="K127" s="111"/>
      <c r="L127" s="111"/>
      <c r="M127" s="111"/>
      <c r="N127" s="111"/>
      <c r="O127" s="111"/>
      <c r="P127" s="111"/>
      <c r="Q127" s="111"/>
      <c r="R127" s="111"/>
      <c r="S127" s="111"/>
      <c r="T127" s="111"/>
      <c r="U127" s="111"/>
      <c r="V127" s="111"/>
      <c r="W127" s="111"/>
      <c r="X127" s="123"/>
      <c r="AI127" s="222" t="str">
        <f t="shared" si="4"/>
        <v/>
      </c>
    </row>
    <row r="128" spans="1:35" s="108" customFormat="1" ht="15.75">
      <c r="A128" s="119"/>
      <c r="B128" s="120"/>
      <c r="C128" s="111"/>
      <c r="D128" s="111"/>
      <c r="E128" s="121"/>
      <c r="F128" s="121"/>
      <c r="G128" s="113"/>
      <c r="H128" s="199" t="str">
        <f t="shared" si="3"/>
        <v/>
      </c>
      <c r="I128" s="200" t="str">
        <f>IF(H128="","",IF(AND(AI128&lt;=66),VLOOKUP(H128,'WordRead Look Up'!$A$13:$B$20,2,TRUE),IF(AND(AI128&gt;=67,AI128&lt;=72),VLOOKUP(H128,'WordRead Look Up'!$E$13:$F$20,2,TRUE),IF(AND(AI128&gt;=73,AI128&lt;=78),VLOOKUP(H128,'WordRead Look Up'!$I$13:$J$18,2,TRUE),IF(AND(AI128&gt;=79),VLOOKUP(H128,'WordRead Look Up'!$M$13:$N$18,2,TRUE),"")))))</f>
        <v/>
      </c>
      <c r="J128" s="122"/>
      <c r="K128" s="111"/>
      <c r="L128" s="111"/>
      <c r="M128" s="111"/>
      <c r="N128" s="111"/>
      <c r="O128" s="111"/>
      <c r="P128" s="111"/>
      <c r="Q128" s="111"/>
      <c r="R128" s="111"/>
      <c r="S128" s="111"/>
      <c r="T128" s="111"/>
      <c r="U128" s="111"/>
      <c r="V128" s="111"/>
      <c r="W128" s="111"/>
      <c r="X128" s="123"/>
      <c r="AI128" s="222" t="str">
        <f t="shared" si="4"/>
        <v/>
      </c>
    </row>
    <row r="129" spans="1:35" s="108" customFormat="1" ht="15.75">
      <c r="A129" s="119"/>
      <c r="B129" s="120"/>
      <c r="C129" s="111"/>
      <c r="D129" s="111"/>
      <c r="E129" s="121"/>
      <c r="F129" s="121"/>
      <c r="G129" s="113"/>
      <c r="H129" s="199" t="str">
        <f t="shared" si="3"/>
        <v/>
      </c>
      <c r="I129" s="200" t="str">
        <f>IF(H129="","",IF(AND(AI129&lt;=66),VLOOKUP(H129,'WordRead Look Up'!$A$13:$B$20,2,TRUE),IF(AND(AI129&gt;=67,AI129&lt;=72),VLOOKUP(H129,'WordRead Look Up'!$E$13:$F$20,2,TRUE),IF(AND(AI129&gt;=73,AI129&lt;=78),VLOOKUP(H129,'WordRead Look Up'!$I$13:$J$18,2,TRUE),IF(AND(AI129&gt;=79),VLOOKUP(H129,'WordRead Look Up'!$M$13:$N$18,2,TRUE),"")))))</f>
        <v/>
      </c>
      <c r="J129" s="122"/>
      <c r="K129" s="111"/>
      <c r="L129" s="111"/>
      <c r="M129" s="111"/>
      <c r="N129" s="111"/>
      <c r="O129" s="111"/>
      <c r="P129" s="111"/>
      <c r="Q129" s="111"/>
      <c r="R129" s="111"/>
      <c r="S129" s="111"/>
      <c r="T129" s="111"/>
      <c r="U129" s="111"/>
      <c r="V129" s="111"/>
      <c r="W129" s="111"/>
      <c r="X129" s="123"/>
      <c r="AI129" s="222" t="str">
        <f t="shared" si="4"/>
        <v/>
      </c>
    </row>
    <row r="130" spans="1:35" s="108" customFormat="1" ht="15.75">
      <c r="A130" s="119"/>
      <c r="B130" s="120"/>
      <c r="C130" s="111"/>
      <c r="D130" s="111"/>
      <c r="E130" s="121"/>
      <c r="F130" s="121"/>
      <c r="G130" s="113"/>
      <c r="H130" s="199" t="str">
        <f t="shared" si="3"/>
        <v/>
      </c>
      <c r="I130" s="200" t="str">
        <f>IF(H130="","",IF(AND(AI130&lt;=66),VLOOKUP(H130,'WordRead Look Up'!$A$13:$B$20,2,TRUE),IF(AND(AI130&gt;=67,AI130&lt;=72),VLOOKUP(H130,'WordRead Look Up'!$E$13:$F$20,2,TRUE),IF(AND(AI130&gt;=73,AI130&lt;=78),VLOOKUP(H130,'WordRead Look Up'!$I$13:$J$18,2,TRUE),IF(AND(AI130&gt;=79),VLOOKUP(H130,'WordRead Look Up'!$M$13:$N$18,2,TRUE),"")))))</f>
        <v/>
      </c>
      <c r="J130" s="122"/>
      <c r="K130" s="111"/>
      <c r="L130" s="111"/>
      <c r="M130" s="111"/>
      <c r="N130" s="111"/>
      <c r="O130" s="111"/>
      <c r="P130" s="111"/>
      <c r="Q130" s="111"/>
      <c r="R130" s="111"/>
      <c r="S130" s="111"/>
      <c r="T130" s="111"/>
      <c r="U130" s="111"/>
      <c r="V130" s="111"/>
      <c r="W130" s="111"/>
      <c r="X130" s="123"/>
      <c r="AI130" s="222" t="str">
        <f t="shared" si="4"/>
        <v/>
      </c>
    </row>
    <row r="131" spans="1:35" s="108" customFormat="1" ht="15.75">
      <c r="A131" s="119"/>
      <c r="B131" s="120"/>
      <c r="C131" s="111"/>
      <c r="D131" s="111"/>
      <c r="E131" s="121"/>
      <c r="F131" s="121"/>
      <c r="G131" s="113"/>
      <c r="H131" s="199" t="str">
        <f t="shared" si="3"/>
        <v/>
      </c>
      <c r="I131" s="200" t="str">
        <f>IF(H131="","",IF(AND(AI131&lt;=66),VLOOKUP(H131,'WordRead Look Up'!$A$13:$B$20,2,TRUE),IF(AND(AI131&gt;=67,AI131&lt;=72),VLOOKUP(H131,'WordRead Look Up'!$E$13:$F$20,2,TRUE),IF(AND(AI131&gt;=73,AI131&lt;=78),VLOOKUP(H131,'WordRead Look Up'!$I$13:$J$18,2,TRUE),IF(AND(AI131&gt;=79),VLOOKUP(H131,'WordRead Look Up'!$M$13:$N$18,2,TRUE),"")))))</f>
        <v/>
      </c>
      <c r="J131" s="122"/>
      <c r="K131" s="111"/>
      <c r="L131" s="111"/>
      <c r="M131" s="111"/>
      <c r="N131" s="111"/>
      <c r="O131" s="111"/>
      <c r="P131" s="111"/>
      <c r="Q131" s="111"/>
      <c r="R131" s="111"/>
      <c r="S131" s="111"/>
      <c r="T131" s="111"/>
      <c r="U131" s="111"/>
      <c r="V131" s="111"/>
      <c r="W131" s="111"/>
      <c r="X131" s="123"/>
      <c r="AI131" s="222" t="str">
        <f t="shared" si="4"/>
        <v/>
      </c>
    </row>
    <row r="132" spans="1:35" s="108" customFormat="1" ht="15.75">
      <c r="A132" s="119"/>
      <c r="B132" s="120"/>
      <c r="C132" s="111"/>
      <c r="D132" s="111"/>
      <c r="E132" s="121"/>
      <c r="F132" s="121"/>
      <c r="G132" s="113"/>
      <c r="H132" s="199" t="str">
        <f t="shared" si="3"/>
        <v/>
      </c>
      <c r="I132" s="200" t="str">
        <f>IF(H132="","",IF(AND(AI132&lt;=66),VLOOKUP(H132,'WordRead Look Up'!$A$13:$B$20,2,TRUE),IF(AND(AI132&gt;=67,AI132&lt;=72),VLOOKUP(H132,'WordRead Look Up'!$E$13:$F$20,2,TRUE),IF(AND(AI132&gt;=73,AI132&lt;=78),VLOOKUP(H132,'WordRead Look Up'!$I$13:$J$18,2,TRUE),IF(AND(AI132&gt;=79),VLOOKUP(H132,'WordRead Look Up'!$M$13:$N$18,2,TRUE),"")))))</f>
        <v/>
      </c>
      <c r="J132" s="122"/>
      <c r="K132" s="111"/>
      <c r="L132" s="111"/>
      <c r="M132" s="111"/>
      <c r="N132" s="111"/>
      <c r="O132" s="111"/>
      <c r="P132" s="111"/>
      <c r="Q132" s="111"/>
      <c r="R132" s="111"/>
      <c r="S132" s="111"/>
      <c r="T132" s="111"/>
      <c r="U132" s="111"/>
      <c r="V132" s="111"/>
      <c r="W132" s="111"/>
      <c r="X132" s="123"/>
      <c r="AI132" s="222" t="str">
        <f t="shared" si="4"/>
        <v/>
      </c>
    </row>
    <row r="133" spans="1:35" s="108" customFormat="1" ht="15.75">
      <c r="A133" s="119"/>
      <c r="B133" s="120"/>
      <c r="C133" s="111"/>
      <c r="D133" s="111"/>
      <c r="E133" s="121"/>
      <c r="F133" s="121"/>
      <c r="G133" s="113"/>
      <c r="H133" s="199" t="str">
        <f t="shared" si="3"/>
        <v/>
      </c>
      <c r="I133" s="200" t="str">
        <f>IF(H133="","",IF(AND(AI133&lt;=66),VLOOKUP(H133,'WordRead Look Up'!$A$13:$B$20,2,TRUE),IF(AND(AI133&gt;=67,AI133&lt;=72),VLOOKUP(H133,'WordRead Look Up'!$E$13:$F$20,2,TRUE),IF(AND(AI133&gt;=73,AI133&lt;=78),VLOOKUP(H133,'WordRead Look Up'!$I$13:$J$18,2,TRUE),IF(AND(AI133&gt;=79),VLOOKUP(H133,'WordRead Look Up'!$M$13:$N$18,2,TRUE),"")))))</f>
        <v/>
      </c>
      <c r="J133" s="122"/>
      <c r="K133" s="111"/>
      <c r="L133" s="111"/>
      <c r="M133" s="111"/>
      <c r="N133" s="111"/>
      <c r="O133" s="111"/>
      <c r="P133" s="111"/>
      <c r="Q133" s="111"/>
      <c r="R133" s="111"/>
      <c r="S133" s="111"/>
      <c r="T133" s="111"/>
      <c r="U133" s="111"/>
      <c r="V133" s="111"/>
      <c r="W133" s="111"/>
      <c r="X133" s="123"/>
      <c r="AI133" s="222" t="str">
        <f t="shared" si="4"/>
        <v/>
      </c>
    </row>
    <row r="134" spans="1:35" s="108" customFormat="1" ht="15.75">
      <c r="A134" s="119"/>
      <c r="B134" s="120"/>
      <c r="C134" s="111"/>
      <c r="D134" s="111"/>
      <c r="E134" s="121"/>
      <c r="F134" s="121"/>
      <c r="G134" s="113"/>
      <c r="H134" s="199" t="str">
        <f t="shared" si="3"/>
        <v/>
      </c>
      <c r="I134" s="200" t="str">
        <f>IF(H134="","",IF(AND(AI134&lt;=66),VLOOKUP(H134,'WordRead Look Up'!$A$13:$B$20,2,TRUE),IF(AND(AI134&gt;=67,AI134&lt;=72),VLOOKUP(H134,'WordRead Look Up'!$E$13:$F$20,2,TRUE),IF(AND(AI134&gt;=73,AI134&lt;=78),VLOOKUP(H134,'WordRead Look Up'!$I$13:$J$18,2,TRUE),IF(AND(AI134&gt;=79),VLOOKUP(H134,'WordRead Look Up'!$M$13:$N$18,2,TRUE),"")))))</f>
        <v/>
      </c>
      <c r="J134" s="122"/>
      <c r="K134" s="111"/>
      <c r="L134" s="111"/>
      <c r="M134" s="111"/>
      <c r="N134" s="111"/>
      <c r="O134" s="111"/>
      <c r="P134" s="111"/>
      <c r="Q134" s="111"/>
      <c r="R134" s="111"/>
      <c r="S134" s="111"/>
      <c r="T134" s="111"/>
      <c r="U134" s="111"/>
      <c r="V134" s="111"/>
      <c r="W134" s="111"/>
      <c r="X134" s="123"/>
      <c r="AI134" s="222" t="str">
        <f t="shared" si="4"/>
        <v/>
      </c>
    </row>
    <row r="135" spans="1:35" s="108" customFormat="1" ht="15.75">
      <c r="A135" s="119"/>
      <c r="B135" s="120"/>
      <c r="C135" s="111"/>
      <c r="D135" s="111"/>
      <c r="E135" s="121"/>
      <c r="F135" s="121"/>
      <c r="G135" s="113"/>
      <c r="H135" s="199" t="str">
        <f t="shared" si="3"/>
        <v/>
      </c>
      <c r="I135" s="200" t="str">
        <f>IF(H135="","",IF(AND(AI135&lt;=66),VLOOKUP(H135,'WordRead Look Up'!$A$13:$B$20,2,TRUE),IF(AND(AI135&gt;=67,AI135&lt;=72),VLOOKUP(H135,'WordRead Look Up'!$E$13:$F$20,2,TRUE),IF(AND(AI135&gt;=73,AI135&lt;=78),VLOOKUP(H135,'WordRead Look Up'!$I$13:$J$18,2,TRUE),IF(AND(AI135&gt;=79),VLOOKUP(H135,'WordRead Look Up'!$M$13:$N$18,2,TRUE),"")))))</f>
        <v/>
      </c>
      <c r="J135" s="122"/>
      <c r="K135" s="111"/>
      <c r="L135" s="111"/>
      <c r="M135" s="111"/>
      <c r="N135" s="111"/>
      <c r="O135" s="111"/>
      <c r="P135" s="111"/>
      <c r="Q135" s="111"/>
      <c r="R135" s="111"/>
      <c r="S135" s="111"/>
      <c r="T135" s="111"/>
      <c r="U135" s="111"/>
      <c r="V135" s="111"/>
      <c r="W135" s="111"/>
      <c r="X135" s="123"/>
      <c r="AI135" s="222" t="str">
        <f t="shared" si="4"/>
        <v/>
      </c>
    </row>
    <row r="136" spans="1:35" s="108" customFormat="1" ht="15.75">
      <c r="A136" s="119"/>
      <c r="B136" s="120"/>
      <c r="C136" s="111"/>
      <c r="D136" s="111"/>
      <c r="E136" s="121"/>
      <c r="F136" s="121"/>
      <c r="G136" s="113"/>
      <c r="H136" s="199" t="str">
        <f t="shared" ref="H136:H199" si="5">IF(E136="","",COUNTIF(J136:X136,"y"))</f>
        <v/>
      </c>
      <c r="I136" s="200" t="str">
        <f>IF(H136="","",IF(AND(AI136&lt;=66),VLOOKUP(H136,'WordRead Look Up'!$A$13:$B$20,2,TRUE),IF(AND(AI136&gt;=67,AI136&lt;=72),VLOOKUP(H136,'WordRead Look Up'!$E$13:$F$20,2,TRUE),IF(AND(AI136&gt;=73,AI136&lt;=78),VLOOKUP(H136,'WordRead Look Up'!$I$13:$J$18,2,TRUE),IF(AND(AI136&gt;=79),VLOOKUP(H136,'WordRead Look Up'!$M$13:$N$18,2,TRUE),"")))))</f>
        <v/>
      </c>
      <c r="J136" s="122"/>
      <c r="K136" s="111"/>
      <c r="L136" s="111"/>
      <c r="M136" s="111"/>
      <c r="N136" s="111"/>
      <c r="O136" s="111"/>
      <c r="P136" s="111"/>
      <c r="Q136" s="111"/>
      <c r="R136" s="111"/>
      <c r="S136" s="111"/>
      <c r="T136" s="111"/>
      <c r="U136" s="111"/>
      <c r="V136" s="111"/>
      <c r="W136" s="111"/>
      <c r="X136" s="123"/>
      <c r="AI136" s="222" t="str">
        <f t="shared" ref="AI136:AI199" si="6">IF(E136="","",DATEDIF(B136,A136,"m"))</f>
        <v/>
      </c>
    </row>
    <row r="137" spans="1:35" s="108" customFormat="1" ht="15.75">
      <c r="A137" s="119"/>
      <c r="B137" s="120"/>
      <c r="C137" s="111"/>
      <c r="D137" s="111"/>
      <c r="E137" s="121"/>
      <c r="F137" s="121"/>
      <c r="G137" s="113"/>
      <c r="H137" s="199" t="str">
        <f t="shared" si="5"/>
        <v/>
      </c>
      <c r="I137" s="200" t="str">
        <f>IF(H137="","",IF(AND(AI137&lt;=66),VLOOKUP(H137,'WordRead Look Up'!$A$13:$B$20,2,TRUE),IF(AND(AI137&gt;=67,AI137&lt;=72),VLOOKUP(H137,'WordRead Look Up'!$E$13:$F$20,2,TRUE),IF(AND(AI137&gt;=73,AI137&lt;=78),VLOOKUP(H137,'WordRead Look Up'!$I$13:$J$18,2,TRUE),IF(AND(AI137&gt;=79),VLOOKUP(H137,'WordRead Look Up'!$M$13:$N$18,2,TRUE),"")))))</f>
        <v/>
      </c>
      <c r="J137" s="122"/>
      <c r="K137" s="111"/>
      <c r="L137" s="111"/>
      <c r="M137" s="111"/>
      <c r="N137" s="111"/>
      <c r="O137" s="111"/>
      <c r="P137" s="111"/>
      <c r="Q137" s="111"/>
      <c r="R137" s="111"/>
      <c r="S137" s="111"/>
      <c r="T137" s="111"/>
      <c r="U137" s="111"/>
      <c r="V137" s="111"/>
      <c r="W137" s="111"/>
      <c r="X137" s="123"/>
      <c r="AI137" s="222" t="str">
        <f t="shared" si="6"/>
        <v/>
      </c>
    </row>
    <row r="138" spans="1:35" s="108" customFormat="1" ht="15.75">
      <c r="A138" s="119"/>
      <c r="B138" s="120"/>
      <c r="C138" s="111"/>
      <c r="D138" s="111"/>
      <c r="E138" s="121"/>
      <c r="F138" s="121"/>
      <c r="G138" s="113"/>
      <c r="H138" s="199" t="str">
        <f t="shared" si="5"/>
        <v/>
      </c>
      <c r="I138" s="200" t="str">
        <f>IF(H138="","",IF(AND(AI138&lt;=66),VLOOKUP(H138,'WordRead Look Up'!$A$13:$B$20,2,TRUE),IF(AND(AI138&gt;=67,AI138&lt;=72),VLOOKUP(H138,'WordRead Look Up'!$E$13:$F$20,2,TRUE),IF(AND(AI138&gt;=73,AI138&lt;=78),VLOOKUP(H138,'WordRead Look Up'!$I$13:$J$18,2,TRUE),IF(AND(AI138&gt;=79),VLOOKUP(H138,'WordRead Look Up'!$M$13:$N$18,2,TRUE),"")))))</f>
        <v/>
      </c>
      <c r="J138" s="122"/>
      <c r="K138" s="111"/>
      <c r="L138" s="111"/>
      <c r="M138" s="111"/>
      <c r="N138" s="111"/>
      <c r="O138" s="111"/>
      <c r="P138" s="111"/>
      <c r="Q138" s="111"/>
      <c r="R138" s="111"/>
      <c r="S138" s="111"/>
      <c r="T138" s="111"/>
      <c r="U138" s="111"/>
      <c r="V138" s="111"/>
      <c r="W138" s="111"/>
      <c r="X138" s="123"/>
      <c r="AI138" s="222" t="str">
        <f t="shared" si="6"/>
        <v/>
      </c>
    </row>
    <row r="139" spans="1:35" s="108" customFormat="1" ht="15.75">
      <c r="A139" s="119"/>
      <c r="B139" s="120"/>
      <c r="C139" s="111"/>
      <c r="D139" s="111"/>
      <c r="E139" s="121"/>
      <c r="F139" s="121"/>
      <c r="G139" s="113"/>
      <c r="H139" s="199" t="str">
        <f t="shared" si="5"/>
        <v/>
      </c>
      <c r="I139" s="200" t="str">
        <f>IF(H139="","",IF(AND(AI139&lt;=66),VLOOKUP(H139,'WordRead Look Up'!$A$13:$B$20,2,TRUE),IF(AND(AI139&gt;=67,AI139&lt;=72),VLOOKUP(H139,'WordRead Look Up'!$E$13:$F$20,2,TRUE),IF(AND(AI139&gt;=73,AI139&lt;=78),VLOOKUP(H139,'WordRead Look Up'!$I$13:$J$18,2,TRUE),IF(AND(AI139&gt;=79),VLOOKUP(H139,'WordRead Look Up'!$M$13:$N$18,2,TRUE),"")))))</f>
        <v/>
      </c>
      <c r="J139" s="122"/>
      <c r="K139" s="111"/>
      <c r="L139" s="111"/>
      <c r="M139" s="111"/>
      <c r="N139" s="111"/>
      <c r="O139" s="111"/>
      <c r="P139" s="111"/>
      <c r="Q139" s="111"/>
      <c r="R139" s="111"/>
      <c r="S139" s="111"/>
      <c r="T139" s="111"/>
      <c r="U139" s="111"/>
      <c r="V139" s="111"/>
      <c r="W139" s="111"/>
      <c r="X139" s="123"/>
      <c r="AI139" s="222" t="str">
        <f t="shared" si="6"/>
        <v/>
      </c>
    </row>
    <row r="140" spans="1:35" s="108" customFormat="1" ht="15.75">
      <c r="A140" s="119"/>
      <c r="B140" s="120"/>
      <c r="C140" s="111"/>
      <c r="D140" s="111"/>
      <c r="E140" s="121"/>
      <c r="F140" s="121"/>
      <c r="G140" s="113"/>
      <c r="H140" s="199" t="str">
        <f t="shared" si="5"/>
        <v/>
      </c>
      <c r="I140" s="200" t="str">
        <f>IF(H140="","",IF(AND(AI140&lt;=66),VLOOKUP(H140,'WordRead Look Up'!$A$13:$B$20,2,TRUE),IF(AND(AI140&gt;=67,AI140&lt;=72),VLOOKUP(H140,'WordRead Look Up'!$E$13:$F$20,2,TRUE),IF(AND(AI140&gt;=73,AI140&lt;=78),VLOOKUP(H140,'WordRead Look Up'!$I$13:$J$18,2,TRUE),IF(AND(AI140&gt;=79),VLOOKUP(H140,'WordRead Look Up'!$M$13:$N$18,2,TRUE),"")))))</f>
        <v/>
      </c>
      <c r="J140" s="122"/>
      <c r="K140" s="111"/>
      <c r="L140" s="111"/>
      <c r="M140" s="111"/>
      <c r="N140" s="111"/>
      <c r="O140" s="111"/>
      <c r="P140" s="111"/>
      <c r="Q140" s="111"/>
      <c r="R140" s="111"/>
      <c r="S140" s="111"/>
      <c r="T140" s="111"/>
      <c r="U140" s="111"/>
      <c r="V140" s="111"/>
      <c r="W140" s="111"/>
      <c r="X140" s="123"/>
      <c r="AI140" s="222" t="str">
        <f t="shared" si="6"/>
        <v/>
      </c>
    </row>
    <row r="141" spans="1:35" s="108" customFormat="1" ht="15.75">
      <c r="A141" s="119"/>
      <c r="B141" s="120"/>
      <c r="C141" s="111"/>
      <c r="D141" s="111"/>
      <c r="E141" s="121"/>
      <c r="F141" s="121"/>
      <c r="G141" s="113"/>
      <c r="H141" s="199" t="str">
        <f t="shared" si="5"/>
        <v/>
      </c>
      <c r="I141" s="200" t="str">
        <f>IF(H141="","",IF(AND(AI141&lt;=66),VLOOKUP(H141,'WordRead Look Up'!$A$13:$B$20,2,TRUE),IF(AND(AI141&gt;=67,AI141&lt;=72),VLOOKUP(H141,'WordRead Look Up'!$E$13:$F$20,2,TRUE),IF(AND(AI141&gt;=73,AI141&lt;=78),VLOOKUP(H141,'WordRead Look Up'!$I$13:$J$18,2,TRUE),IF(AND(AI141&gt;=79),VLOOKUP(H141,'WordRead Look Up'!$M$13:$N$18,2,TRUE),"")))))</f>
        <v/>
      </c>
      <c r="J141" s="122"/>
      <c r="K141" s="111"/>
      <c r="L141" s="111"/>
      <c r="M141" s="111"/>
      <c r="N141" s="111"/>
      <c r="O141" s="111"/>
      <c r="P141" s="111"/>
      <c r="Q141" s="111"/>
      <c r="R141" s="111"/>
      <c r="S141" s="111"/>
      <c r="T141" s="111"/>
      <c r="U141" s="111"/>
      <c r="V141" s="111"/>
      <c r="W141" s="111"/>
      <c r="X141" s="123"/>
      <c r="AI141" s="222" t="str">
        <f t="shared" si="6"/>
        <v/>
      </c>
    </row>
    <row r="142" spans="1:35" s="108" customFormat="1" ht="15.75">
      <c r="A142" s="119"/>
      <c r="B142" s="120"/>
      <c r="C142" s="111"/>
      <c r="D142" s="111"/>
      <c r="E142" s="121"/>
      <c r="F142" s="121"/>
      <c r="G142" s="113"/>
      <c r="H142" s="199" t="str">
        <f t="shared" si="5"/>
        <v/>
      </c>
      <c r="I142" s="200" t="str">
        <f>IF(H142="","",IF(AND(AI142&lt;=66),VLOOKUP(H142,'WordRead Look Up'!$A$13:$B$20,2,TRUE),IF(AND(AI142&gt;=67,AI142&lt;=72),VLOOKUP(H142,'WordRead Look Up'!$E$13:$F$20,2,TRUE),IF(AND(AI142&gt;=73,AI142&lt;=78),VLOOKUP(H142,'WordRead Look Up'!$I$13:$J$18,2,TRUE),IF(AND(AI142&gt;=79),VLOOKUP(H142,'WordRead Look Up'!$M$13:$N$18,2,TRUE),"")))))</f>
        <v/>
      </c>
      <c r="J142" s="122"/>
      <c r="K142" s="111"/>
      <c r="L142" s="111"/>
      <c r="M142" s="111"/>
      <c r="N142" s="111"/>
      <c r="O142" s="111"/>
      <c r="P142" s="111"/>
      <c r="Q142" s="111"/>
      <c r="R142" s="111"/>
      <c r="S142" s="111"/>
      <c r="T142" s="111"/>
      <c r="U142" s="111"/>
      <c r="V142" s="111"/>
      <c r="W142" s="111"/>
      <c r="X142" s="123"/>
      <c r="AI142" s="222" t="str">
        <f t="shared" si="6"/>
        <v/>
      </c>
    </row>
    <row r="143" spans="1:35" s="108" customFormat="1" ht="15.75">
      <c r="A143" s="119"/>
      <c r="B143" s="120"/>
      <c r="C143" s="111"/>
      <c r="D143" s="111"/>
      <c r="E143" s="121"/>
      <c r="F143" s="121"/>
      <c r="G143" s="113"/>
      <c r="H143" s="199" t="str">
        <f t="shared" si="5"/>
        <v/>
      </c>
      <c r="I143" s="200" t="str">
        <f>IF(H143="","",IF(AND(AI143&lt;=66),VLOOKUP(H143,'WordRead Look Up'!$A$13:$B$20,2,TRUE),IF(AND(AI143&gt;=67,AI143&lt;=72),VLOOKUP(H143,'WordRead Look Up'!$E$13:$F$20,2,TRUE),IF(AND(AI143&gt;=73,AI143&lt;=78),VLOOKUP(H143,'WordRead Look Up'!$I$13:$J$18,2,TRUE),IF(AND(AI143&gt;=79),VLOOKUP(H143,'WordRead Look Up'!$M$13:$N$18,2,TRUE),"")))))</f>
        <v/>
      </c>
      <c r="J143" s="122"/>
      <c r="K143" s="111"/>
      <c r="L143" s="111"/>
      <c r="M143" s="111"/>
      <c r="N143" s="111"/>
      <c r="O143" s="111"/>
      <c r="P143" s="111"/>
      <c r="Q143" s="111"/>
      <c r="R143" s="111"/>
      <c r="S143" s="111"/>
      <c r="T143" s="111"/>
      <c r="U143" s="111"/>
      <c r="V143" s="111"/>
      <c r="W143" s="111"/>
      <c r="X143" s="123"/>
      <c r="AI143" s="222" t="str">
        <f t="shared" si="6"/>
        <v/>
      </c>
    </row>
    <row r="144" spans="1:35" s="108" customFormat="1" ht="15.75">
      <c r="A144" s="119"/>
      <c r="B144" s="120"/>
      <c r="C144" s="111"/>
      <c r="D144" s="111"/>
      <c r="E144" s="121"/>
      <c r="F144" s="121"/>
      <c r="G144" s="113"/>
      <c r="H144" s="199" t="str">
        <f t="shared" si="5"/>
        <v/>
      </c>
      <c r="I144" s="200" t="str">
        <f>IF(H144="","",IF(AND(AI144&lt;=66),VLOOKUP(H144,'WordRead Look Up'!$A$13:$B$20,2,TRUE),IF(AND(AI144&gt;=67,AI144&lt;=72),VLOOKUP(H144,'WordRead Look Up'!$E$13:$F$20,2,TRUE),IF(AND(AI144&gt;=73,AI144&lt;=78),VLOOKUP(H144,'WordRead Look Up'!$I$13:$J$18,2,TRUE),IF(AND(AI144&gt;=79),VLOOKUP(H144,'WordRead Look Up'!$M$13:$N$18,2,TRUE),"")))))</f>
        <v/>
      </c>
      <c r="J144" s="122"/>
      <c r="K144" s="111"/>
      <c r="L144" s="111"/>
      <c r="M144" s="111"/>
      <c r="N144" s="111"/>
      <c r="O144" s="111"/>
      <c r="P144" s="111"/>
      <c r="Q144" s="111"/>
      <c r="R144" s="111"/>
      <c r="S144" s="111"/>
      <c r="T144" s="111"/>
      <c r="U144" s="111"/>
      <c r="V144" s="111"/>
      <c r="W144" s="111"/>
      <c r="X144" s="123"/>
      <c r="AI144" s="222" t="str">
        <f t="shared" si="6"/>
        <v/>
      </c>
    </row>
    <row r="145" spans="1:35" s="108" customFormat="1" ht="15.75">
      <c r="A145" s="119"/>
      <c r="B145" s="120"/>
      <c r="C145" s="111"/>
      <c r="D145" s="111"/>
      <c r="E145" s="121"/>
      <c r="F145" s="121"/>
      <c r="G145" s="113"/>
      <c r="H145" s="199" t="str">
        <f t="shared" si="5"/>
        <v/>
      </c>
      <c r="I145" s="200" t="str">
        <f>IF(H145="","",IF(AND(AI145&lt;=66),VLOOKUP(H145,'WordRead Look Up'!$A$13:$B$20,2,TRUE),IF(AND(AI145&gt;=67,AI145&lt;=72),VLOOKUP(H145,'WordRead Look Up'!$E$13:$F$20,2,TRUE),IF(AND(AI145&gt;=73,AI145&lt;=78),VLOOKUP(H145,'WordRead Look Up'!$I$13:$J$18,2,TRUE),IF(AND(AI145&gt;=79),VLOOKUP(H145,'WordRead Look Up'!$M$13:$N$18,2,TRUE),"")))))</f>
        <v/>
      </c>
      <c r="J145" s="122"/>
      <c r="K145" s="111"/>
      <c r="L145" s="111"/>
      <c r="M145" s="111"/>
      <c r="N145" s="111"/>
      <c r="O145" s="111"/>
      <c r="P145" s="111"/>
      <c r="Q145" s="111"/>
      <c r="R145" s="111"/>
      <c r="S145" s="111"/>
      <c r="T145" s="111"/>
      <c r="U145" s="111"/>
      <c r="V145" s="111"/>
      <c r="W145" s="111"/>
      <c r="X145" s="123"/>
      <c r="AI145" s="222" t="str">
        <f t="shared" si="6"/>
        <v/>
      </c>
    </row>
    <row r="146" spans="1:35" s="108" customFormat="1" ht="15.75">
      <c r="A146" s="119"/>
      <c r="B146" s="120"/>
      <c r="C146" s="111"/>
      <c r="D146" s="111"/>
      <c r="E146" s="121"/>
      <c r="F146" s="121"/>
      <c r="G146" s="113"/>
      <c r="H146" s="199" t="str">
        <f t="shared" si="5"/>
        <v/>
      </c>
      <c r="I146" s="200" t="str">
        <f>IF(H146="","",IF(AND(AI146&lt;=66),VLOOKUP(H146,'WordRead Look Up'!$A$13:$B$20,2,TRUE),IF(AND(AI146&gt;=67,AI146&lt;=72),VLOOKUP(H146,'WordRead Look Up'!$E$13:$F$20,2,TRUE),IF(AND(AI146&gt;=73,AI146&lt;=78),VLOOKUP(H146,'WordRead Look Up'!$I$13:$J$18,2,TRUE),IF(AND(AI146&gt;=79),VLOOKUP(H146,'WordRead Look Up'!$M$13:$N$18,2,TRUE),"")))))</f>
        <v/>
      </c>
      <c r="J146" s="122"/>
      <c r="K146" s="111"/>
      <c r="L146" s="111"/>
      <c r="M146" s="111"/>
      <c r="N146" s="111"/>
      <c r="O146" s="111"/>
      <c r="P146" s="111"/>
      <c r="Q146" s="111"/>
      <c r="R146" s="111"/>
      <c r="S146" s="111"/>
      <c r="T146" s="111"/>
      <c r="U146" s="111"/>
      <c r="V146" s="111"/>
      <c r="W146" s="111"/>
      <c r="X146" s="123"/>
      <c r="AI146" s="222" t="str">
        <f t="shared" si="6"/>
        <v/>
      </c>
    </row>
    <row r="147" spans="1:35" s="108" customFormat="1" ht="15.75">
      <c r="A147" s="119"/>
      <c r="B147" s="120"/>
      <c r="C147" s="111"/>
      <c r="D147" s="111"/>
      <c r="E147" s="121"/>
      <c r="F147" s="121"/>
      <c r="G147" s="113"/>
      <c r="H147" s="199" t="str">
        <f t="shared" si="5"/>
        <v/>
      </c>
      <c r="I147" s="200" t="str">
        <f>IF(H147="","",IF(AND(AI147&lt;=66),VLOOKUP(H147,'WordRead Look Up'!$A$13:$B$20,2,TRUE),IF(AND(AI147&gt;=67,AI147&lt;=72),VLOOKUP(H147,'WordRead Look Up'!$E$13:$F$20,2,TRUE),IF(AND(AI147&gt;=73,AI147&lt;=78),VLOOKUP(H147,'WordRead Look Up'!$I$13:$J$18,2,TRUE),IF(AND(AI147&gt;=79),VLOOKUP(H147,'WordRead Look Up'!$M$13:$N$18,2,TRUE),"")))))</f>
        <v/>
      </c>
      <c r="J147" s="122"/>
      <c r="K147" s="111"/>
      <c r="L147" s="111"/>
      <c r="M147" s="111"/>
      <c r="N147" s="111"/>
      <c r="O147" s="111"/>
      <c r="P147" s="111"/>
      <c r="Q147" s="111"/>
      <c r="R147" s="111"/>
      <c r="S147" s="111"/>
      <c r="T147" s="111"/>
      <c r="U147" s="111"/>
      <c r="V147" s="111"/>
      <c r="W147" s="111"/>
      <c r="X147" s="123"/>
      <c r="AI147" s="222" t="str">
        <f t="shared" si="6"/>
        <v/>
      </c>
    </row>
    <row r="148" spans="1:35" s="108" customFormat="1" ht="15.75">
      <c r="A148" s="119"/>
      <c r="B148" s="120"/>
      <c r="C148" s="111"/>
      <c r="D148" s="111"/>
      <c r="E148" s="121"/>
      <c r="F148" s="121"/>
      <c r="G148" s="113"/>
      <c r="H148" s="199" t="str">
        <f t="shared" si="5"/>
        <v/>
      </c>
      <c r="I148" s="200" t="str">
        <f>IF(H148="","",IF(AND(AI148&lt;=66),VLOOKUP(H148,'WordRead Look Up'!$A$13:$B$20,2,TRUE),IF(AND(AI148&gt;=67,AI148&lt;=72),VLOOKUP(H148,'WordRead Look Up'!$E$13:$F$20,2,TRUE),IF(AND(AI148&gt;=73,AI148&lt;=78),VLOOKUP(H148,'WordRead Look Up'!$I$13:$J$18,2,TRUE),IF(AND(AI148&gt;=79),VLOOKUP(H148,'WordRead Look Up'!$M$13:$N$18,2,TRUE),"")))))</f>
        <v/>
      </c>
      <c r="J148" s="122"/>
      <c r="K148" s="111"/>
      <c r="L148" s="111"/>
      <c r="M148" s="111"/>
      <c r="N148" s="111"/>
      <c r="O148" s="111"/>
      <c r="P148" s="111"/>
      <c r="Q148" s="111"/>
      <c r="R148" s="111"/>
      <c r="S148" s="111"/>
      <c r="T148" s="111"/>
      <c r="U148" s="111"/>
      <c r="V148" s="111"/>
      <c r="W148" s="111"/>
      <c r="X148" s="123"/>
      <c r="AI148" s="222" t="str">
        <f t="shared" si="6"/>
        <v/>
      </c>
    </row>
    <row r="149" spans="1:35" s="108" customFormat="1" ht="15.75">
      <c r="A149" s="119"/>
      <c r="B149" s="120"/>
      <c r="C149" s="111"/>
      <c r="D149" s="111"/>
      <c r="E149" s="121"/>
      <c r="F149" s="121"/>
      <c r="G149" s="113"/>
      <c r="H149" s="199" t="str">
        <f t="shared" si="5"/>
        <v/>
      </c>
      <c r="I149" s="200" t="str">
        <f>IF(H149="","",IF(AND(AI149&lt;=66),VLOOKUP(H149,'WordRead Look Up'!$A$13:$B$20,2,TRUE),IF(AND(AI149&gt;=67,AI149&lt;=72),VLOOKUP(H149,'WordRead Look Up'!$E$13:$F$20,2,TRUE),IF(AND(AI149&gt;=73,AI149&lt;=78),VLOOKUP(H149,'WordRead Look Up'!$I$13:$J$18,2,TRUE),IF(AND(AI149&gt;=79),VLOOKUP(H149,'WordRead Look Up'!$M$13:$N$18,2,TRUE),"")))))</f>
        <v/>
      </c>
      <c r="J149" s="122"/>
      <c r="K149" s="111"/>
      <c r="L149" s="111"/>
      <c r="M149" s="111"/>
      <c r="N149" s="111"/>
      <c r="O149" s="111"/>
      <c r="P149" s="111"/>
      <c r="Q149" s="111"/>
      <c r="R149" s="111"/>
      <c r="S149" s="111"/>
      <c r="T149" s="111"/>
      <c r="U149" s="111"/>
      <c r="V149" s="111"/>
      <c r="W149" s="111"/>
      <c r="X149" s="123"/>
      <c r="AI149" s="222" t="str">
        <f t="shared" si="6"/>
        <v/>
      </c>
    </row>
    <row r="150" spans="1:35" s="108" customFormat="1" ht="15.75">
      <c r="A150" s="119"/>
      <c r="B150" s="120"/>
      <c r="C150" s="111"/>
      <c r="D150" s="111"/>
      <c r="E150" s="121"/>
      <c r="F150" s="121"/>
      <c r="G150" s="113"/>
      <c r="H150" s="199" t="str">
        <f t="shared" si="5"/>
        <v/>
      </c>
      <c r="I150" s="200" t="str">
        <f>IF(H150="","",IF(AND(AI150&lt;=66),VLOOKUP(H150,'WordRead Look Up'!$A$13:$B$20,2,TRUE),IF(AND(AI150&gt;=67,AI150&lt;=72),VLOOKUP(H150,'WordRead Look Up'!$E$13:$F$20,2,TRUE),IF(AND(AI150&gt;=73,AI150&lt;=78),VLOOKUP(H150,'WordRead Look Up'!$I$13:$J$18,2,TRUE),IF(AND(AI150&gt;=79),VLOOKUP(H150,'WordRead Look Up'!$M$13:$N$18,2,TRUE),"")))))</f>
        <v/>
      </c>
      <c r="J150" s="122"/>
      <c r="K150" s="111"/>
      <c r="L150" s="111"/>
      <c r="M150" s="111"/>
      <c r="N150" s="111"/>
      <c r="O150" s="111"/>
      <c r="P150" s="111"/>
      <c r="Q150" s="111"/>
      <c r="R150" s="111"/>
      <c r="S150" s="111"/>
      <c r="T150" s="111"/>
      <c r="U150" s="111"/>
      <c r="V150" s="111"/>
      <c r="W150" s="111"/>
      <c r="X150" s="123"/>
      <c r="AI150" s="222" t="str">
        <f t="shared" si="6"/>
        <v/>
      </c>
    </row>
    <row r="151" spans="1:35" s="108" customFormat="1" ht="15.75">
      <c r="A151" s="119"/>
      <c r="B151" s="120"/>
      <c r="C151" s="111"/>
      <c r="D151" s="111"/>
      <c r="E151" s="121"/>
      <c r="F151" s="121"/>
      <c r="G151" s="113"/>
      <c r="H151" s="199" t="str">
        <f t="shared" si="5"/>
        <v/>
      </c>
      <c r="I151" s="200" t="str">
        <f>IF(H151="","",IF(AND(AI151&lt;=66),VLOOKUP(H151,'WordRead Look Up'!$A$13:$B$20,2,TRUE),IF(AND(AI151&gt;=67,AI151&lt;=72),VLOOKUP(H151,'WordRead Look Up'!$E$13:$F$20,2,TRUE),IF(AND(AI151&gt;=73,AI151&lt;=78),VLOOKUP(H151,'WordRead Look Up'!$I$13:$J$18,2,TRUE),IF(AND(AI151&gt;=79),VLOOKUP(H151,'WordRead Look Up'!$M$13:$N$18,2,TRUE),"")))))</f>
        <v/>
      </c>
      <c r="J151" s="122"/>
      <c r="K151" s="111"/>
      <c r="L151" s="111"/>
      <c r="M151" s="111"/>
      <c r="N151" s="111"/>
      <c r="O151" s="111"/>
      <c r="P151" s="111"/>
      <c r="Q151" s="111"/>
      <c r="R151" s="111"/>
      <c r="S151" s="111"/>
      <c r="T151" s="111"/>
      <c r="U151" s="111"/>
      <c r="V151" s="111"/>
      <c r="W151" s="111"/>
      <c r="X151" s="123"/>
      <c r="AI151" s="222" t="str">
        <f t="shared" si="6"/>
        <v/>
      </c>
    </row>
    <row r="152" spans="1:35" s="108" customFormat="1" ht="15.75">
      <c r="A152" s="119"/>
      <c r="B152" s="120"/>
      <c r="C152" s="111"/>
      <c r="D152" s="111"/>
      <c r="E152" s="121"/>
      <c r="F152" s="121"/>
      <c r="G152" s="113"/>
      <c r="H152" s="199" t="str">
        <f t="shared" si="5"/>
        <v/>
      </c>
      <c r="I152" s="200" t="str">
        <f>IF(H152="","",IF(AND(AI152&lt;=66),VLOOKUP(H152,'WordRead Look Up'!$A$13:$B$20,2,TRUE),IF(AND(AI152&gt;=67,AI152&lt;=72),VLOOKUP(H152,'WordRead Look Up'!$E$13:$F$20,2,TRUE),IF(AND(AI152&gt;=73,AI152&lt;=78),VLOOKUP(H152,'WordRead Look Up'!$I$13:$J$18,2,TRUE),IF(AND(AI152&gt;=79),VLOOKUP(H152,'WordRead Look Up'!$M$13:$N$18,2,TRUE),"")))))</f>
        <v/>
      </c>
      <c r="J152" s="122"/>
      <c r="K152" s="111"/>
      <c r="L152" s="111"/>
      <c r="M152" s="111"/>
      <c r="N152" s="111"/>
      <c r="O152" s="111"/>
      <c r="P152" s="111"/>
      <c r="Q152" s="111"/>
      <c r="R152" s="111"/>
      <c r="S152" s="111"/>
      <c r="T152" s="111"/>
      <c r="U152" s="111"/>
      <c r="V152" s="111"/>
      <c r="W152" s="111"/>
      <c r="X152" s="123"/>
      <c r="AI152" s="222" t="str">
        <f t="shared" si="6"/>
        <v/>
      </c>
    </row>
    <row r="153" spans="1:35" s="108" customFormat="1" ht="15.75">
      <c r="A153" s="119"/>
      <c r="B153" s="120"/>
      <c r="C153" s="111"/>
      <c r="D153" s="111"/>
      <c r="E153" s="121"/>
      <c r="F153" s="121"/>
      <c r="G153" s="113"/>
      <c r="H153" s="199" t="str">
        <f t="shared" si="5"/>
        <v/>
      </c>
      <c r="I153" s="200" t="str">
        <f>IF(H153="","",IF(AND(AI153&lt;=66),VLOOKUP(H153,'WordRead Look Up'!$A$13:$B$20,2,TRUE),IF(AND(AI153&gt;=67,AI153&lt;=72),VLOOKUP(H153,'WordRead Look Up'!$E$13:$F$20,2,TRUE),IF(AND(AI153&gt;=73,AI153&lt;=78),VLOOKUP(H153,'WordRead Look Up'!$I$13:$J$18,2,TRUE),IF(AND(AI153&gt;=79),VLOOKUP(H153,'WordRead Look Up'!$M$13:$N$18,2,TRUE),"")))))</f>
        <v/>
      </c>
      <c r="J153" s="122"/>
      <c r="K153" s="111"/>
      <c r="L153" s="111"/>
      <c r="M153" s="111"/>
      <c r="N153" s="111"/>
      <c r="O153" s="111"/>
      <c r="P153" s="111"/>
      <c r="Q153" s="111"/>
      <c r="R153" s="111"/>
      <c r="S153" s="111"/>
      <c r="T153" s="111"/>
      <c r="U153" s="111"/>
      <c r="V153" s="111"/>
      <c r="W153" s="111"/>
      <c r="X153" s="123"/>
      <c r="AI153" s="222" t="str">
        <f t="shared" si="6"/>
        <v/>
      </c>
    </row>
    <row r="154" spans="1:35" s="108" customFormat="1" ht="15.75">
      <c r="A154" s="119"/>
      <c r="B154" s="120"/>
      <c r="C154" s="111"/>
      <c r="D154" s="111"/>
      <c r="E154" s="121"/>
      <c r="F154" s="121"/>
      <c r="G154" s="113"/>
      <c r="H154" s="199" t="str">
        <f t="shared" si="5"/>
        <v/>
      </c>
      <c r="I154" s="200" t="str">
        <f>IF(H154="","",IF(AND(AI154&lt;=66),VLOOKUP(H154,'WordRead Look Up'!$A$13:$B$20,2,TRUE),IF(AND(AI154&gt;=67,AI154&lt;=72),VLOOKUP(H154,'WordRead Look Up'!$E$13:$F$20,2,TRUE),IF(AND(AI154&gt;=73,AI154&lt;=78),VLOOKUP(H154,'WordRead Look Up'!$I$13:$J$18,2,TRUE),IF(AND(AI154&gt;=79),VLOOKUP(H154,'WordRead Look Up'!$M$13:$N$18,2,TRUE),"")))))</f>
        <v/>
      </c>
      <c r="J154" s="122"/>
      <c r="K154" s="111"/>
      <c r="L154" s="111"/>
      <c r="M154" s="111"/>
      <c r="N154" s="111"/>
      <c r="O154" s="111"/>
      <c r="P154" s="111"/>
      <c r="Q154" s="111"/>
      <c r="R154" s="111"/>
      <c r="S154" s="111"/>
      <c r="T154" s="111"/>
      <c r="U154" s="111"/>
      <c r="V154" s="111"/>
      <c r="W154" s="111"/>
      <c r="X154" s="123"/>
      <c r="AI154" s="222" t="str">
        <f t="shared" si="6"/>
        <v/>
      </c>
    </row>
    <row r="155" spans="1:35" s="108" customFormat="1" ht="15.75">
      <c r="A155" s="119"/>
      <c r="B155" s="120"/>
      <c r="C155" s="111"/>
      <c r="D155" s="111"/>
      <c r="E155" s="121"/>
      <c r="F155" s="121"/>
      <c r="G155" s="113"/>
      <c r="H155" s="199" t="str">
        <f t="shared" si="5"/>
        <v/>
      </c>
      <c r="I155" s="200" t="str">
        <f>IF(H155="","",IF(AND(AI155&lt;=66),VLOOKUP(H155,'WordRead Look Up'!$A$13:$B$20,2,TRUE),IF(AND(AI155&gt;=67,AI155&lt;=72),VLOOKUP(H155,'WordRead Look Up'!$E$13:$F$20,2,TRUE),IF(AND(AI155&gt;=73,AI155&lt;=78),VLOOKUP(H155,'WordRead Look Up'!$I$13:$J$18,2,TRUE),IF(AND(AI155&gt;=79),VLOOKUP(H155,'WordRead Look Up'!$M$13:$N$18,2,TRUE),"")))))</f>
        <v/>
      </c>
      <c r="J155" s="122"/>
      <c r="K155" s="111"/>
      <c r="L155" s="111"/>
      <c r="M155" s="111"/>
      <c r="N155" s="111"/>
      <c r="O155" s="111"/>
      <c r="P155" s="111"/>
      <c r="Q155" s="111"/>
      <c r="R155" s="111"/>
      <c r="S155" s="111"/>
      <c r="T155" s="111"/>
      <c r="U155" s="111"/>
      <c r="V155" s="111"/>
      <c r="W155" s="111"/>
      <c r="X155" s="123"/>
      <c r="AI155" s="222" t="str">
        <f t="shared" si="6"/>
        <v/>
      </c>
    </row>
    <row r="156" spans="1:35" s="108" customFormat="1" ht="15.75">
      <c r="A156" s="119"/>
      <c r="B156" s="120"/>
      <c r="C156" s="111"/>
      <c r="D156" s="111"/>
      <c r="E156" s="121"/>
      <c r="F156" s="121"/>
      <c r="G156" s="113"/>
      <c r="H156" s="199" t="str">
        <f t="shared" si="5"/>
        <v/>
      </c>
      <c r="I156" s="200" t="str">
        <f>IF(H156="","",IF(AND(AI156&lt;=66),VLOOKUP(H156,'WordRead Look Up'!$A$13:$B$20,2,TRUE),IF(AND(AI156&gt;=67,AI156&lt;=72),VLOOKUP(H156,'WordRead Look Up'!$E$13:$F$20,2,TRUE),IF(AND(AI156&gt;=73,AI156&lt;=78),VLOOKUP(H156,'WordRead Look Up'!$I$13:$J$18,2,TRUE),IF(AND(AI156&gt;=79),VLOOKUP(H156,'WordRead Look Up'!$M$13:$N$18,2,TRUE),"")))))</f>
        <v/>
      </c>
      <c r="J156" s="122"/>
      <c r="K156" s="111"/>
      <c r="L156" s="111"/>
      <c r="M156" s="111"/>
      <c r="N156" s="111"/>
      <c r="O156" s="111"/>
      <c r="P156" s="111"/>
      <c r="Q156" s="111"/>
      <c r="R156" s="111"/>
      <c r="S156" s="111"/>
      <c r="T156" s="111"/>
      <c r="U156" s="111"/>
      <c r="V156" s="111"/>
      <c r="W156" s="111"/>
      <c r="X156" s="123"/>
      <c r="AI156" s="222" t="str">
        <f t="shared" si="6"/>
        <v/>
      </c>
    </row>
    <row r="157" spans="1:35" s="108" customFormat="1" ht="15.75">
      <c r="A157" s="119"/>
      <c r="B157" s="120"/>
      <c r="C157" s="111"/>
      <c r="D157" s="111"/>
      <c r="E157" s="121"/>
      <c r="F157" s="121"/>
      <c r="G157" s="113"/>
      <c r="H157" s="199" t="str">
        <f t="shared" si="5"/>
        <v/>
      </c>
      <c r="I157" s="200" t="str">
        <f>IF(H157="","",IF(AND(AI157&lt;=66),VLOOKUP(H157,'WordRead Look Up'!$A$13:$B$20,2,TRUE),IF(AND(AI157&gt;=67,AI157&lt;=72),VLOOKUP(H157,'WordRead Look Up'!$E$13:$F$20,2,TRUE),IF(AND(AI157&gt;=73,AI157&lt;=78),VLOOKUP(H157,'WordRead Look Up'!$I$13:$J$18,2,TRUE),IF(AND(AI157&gt;=79),VLOOKUP(H157,'WordRead Look Up'!$M$13:$N$18,2,TRUE),"")))))</f>
        <v/>
      </c>
      <c r="J157" s="122"/>
      <c r="K157" s="111"/>
      <c r="L157" s="111"/>
      <c r="M157" s="111"/>
      <c r="N157" s="111"/>
      <c r="O157" s="111"/>
      <c r="P157" s="111"/>
      <c r="Q157" s="111"/>
      <c r="R157" s="111"/>
      <c r="S157" s="111"/>
      <c r="T157" s="111"/>
      <c r="U157" s="111"/>
      <c r="V157" s="111"/>
      <c r="W157" s="111"/>
      <c r="X157" s="123"/>
      <c r="AI157" s="222" t="str">
        <f t="shared" si="6"/>
        <v/>
      </c>
    </row>
    <row r="158" spans="1:35" s="108" customFormat="1" ht="15.75">
      <c r="A158" s="119"/>
      <c r="B158" s="120"/>
      <c r="C158" s="111"/>
      <c r="D158" s="111"/>
      <c r="E158" s="121"/>
      <c r="F158" s="121"/>
      <c r="G158" s="113"/>
      <c r="H158" s="199" t="str">
        <f t="shared" si="5"/>
        <v/>
      </c>
      <c r="I158" s="200" t="str">
        <f>IF(H158="","",IF(AND(AI158&lt;=66),VLOOKUP(H158,'WordRead Look Up'!$A$13:$B$20,2,TRUE),IF(AND(AI158&gt;=67,AI158&lt;=72),VLOOKUP(H158,'WordRead Look Up'!$E$13:$F$20,2,TRUE),IF(AND(AI158&gt;=73,AI158&lt;=78),VLOOKUP(H158,'WordRead Look Up'!$I$13:$J$18,2,TRUE),IF(AND(AI158&gt;=79),VLOOKUP(H158,'WordRead Look Up'!$M$13:$N$18,2,TRUE),"")))))</f>
        <v/>
      </c>
      <c r="J158" s="122"/>
      <c r="K158" s="111"/>
      <c r="L158" s="111"/>
      <c r="M158" s="111"/>
      <c r="N158" s="111"/>
      <c r="O158" s="111"/>
      <c r="P158" s="111"/>
      <c r="Q158" s="111"/>
      <c r="R158" s="111"/>
      <c r="S158" s="111"/>
      <c r="T158" s="111"/>
      <c r="U158" s="111"/>
      <c r="V158" s="111"/>
      <c r="W158" s="111"/>
      <c r="X158" s="123"/>
      <c r="AI158" s="222" t="str">
        <f t="shared" si="6"/>
        <v/>
      </c>
    </row>
    <row r="159" spans="1:35" s="108" customFormat="1" ht="15.75">
      <c r="A159" s="119"/>
      <c r="B159" s="120"/>
      <c r="C159" s="111"/>
      <c r="D159" s="111"/>
      <c r="E159" s="121"/>
      <c r="F159" s="121"/>
      <c r="G159" s="113"/>
      <c r="H159" s="199" t="str">
        <f t="shared" si="5"/>
        <v/>
      </c>
      <c r="I159" s="200" t="str">
        <f>IF(H159="","",IF(AND(AI159&lt;=66),VLOOKUP(H159,'WordRead Look Up'!$A$13:$B$20,2,TRUE),IF(AND(AI159&gt;=67,AI159&lt;=72),VLOOKUP(H159,'WordRead Look Up'!$E$13:$F$20,2,TRUE),IF(AND(AI159&gt;=73,AI159&lt;=78),VLOOKUP(H159,'WordRead Look Up'!$I$13:$J$18,2,TRUE),IF(AND(AI159&gt;=79),VLOOKUP(H159,'WordRead Look Up'!$M$13:$N$18,2,TRUE),"")))))</f>
        <v/>
      </c>
      <c r="J159" s="122"/>
      <c r="K159" s="111"/>
      <c r="L159" s="111"/>
      <c r="M159" s="111"/>
      <c r="N159" s="111"/>
      <c r="O159" s="111"/>
      <c r="P159" s="111"/>
      <c r="Q159" s="111"/>
      <c r="R159" s="111"/>
      <c r="S159" s="111"/>
      <c r="T159" s="111"/>
      <c r="U159" s="111"/>
      <c r="V159" s="111"/>
      <c r="W159" s="111"/>
      <c r="X159" s="123"/>
      <c r="AI159" s="222" t="str">
        <f t="shared" si="6"/>
        <v/>
      </c>
    </row>
    <row r="160" spans="1:35" s="108" customFormat="1" ht="15.75">
      <c r="A160" s="119"/>
      <c r="B160" s="120"/>
      <c r="C160" s="111"/>
      <c r="D160" s="111"/>
      <c r="E160" s="121"/>
      <c r="F160" s="121"/>
      <c r="G160" s="113"/>
      <c r="H160" s="199" t="str">
        <f t="shared" si="5"/>
        <v/>
      </c>
      <c r="I160" s="200" t="str">
        <f>IF(H160="","",IF(AND(AI160&lt;=66),VLOOKUP(H160,'WordRead Look Up'!$A$13:$B$20,2,TRUE),IF(AND(AI160&gt;=67,AI160&lt;=72),VLOOKUP(H160,'WordRead Look Up'!$E$13:$F$20,2,TRUE),IF(AND(AI160&gt;=73,AI160&lt;=78),VLOOKUP(H160,'WordRead Look Up'!$I$13:$J$18,2,TRUE),IF(AND(AI160&gt;=79),VLOOKUP(H160,'WordRead Look Up'!$M$13:$N$18,2,TRUE),"")))))</f>
        <v/>
      </c>
      <c r="J160" s="122"/>
      <c r="K160" s="111"/>
      <c r="L160" s="111"/>
      <c r="M160" s="111"/>
      <c r="N160" s="111"/>
      <c r="O160" s="111"/>
      <c r="P160" s="111"/>
      <c r="Q160" s="111"/>
      <c r="R160" s="111"/>
      <c r="S160" s="111"/>
      <c r="T160" s="111"/>
      <c r="U160" s="111"/>
      <c r="V160" s="111"/>
      <c r="W160" s="111"/>
      <c r="X160" s="123"/>
      <c r="AI160" s="222" t="str">
        <f t="shared" si="6"/>
        <v/>
      </c>
    </row>
    <row r="161" spans="1:35" s="108" customFormat="1" ht="15.75">
      <c r="A161" s="119"/>
      <c r="B161" s="120"/>
      <c r="C161" s="111"/>
      <c r="D161" s="111"/>
      <c r="E161" s="121"/>
      <c r="F161" s="121"/>
      <c r="G161" s="113"/>
      <c r="H161" s="199" t="str">
        <f t="shared" si="5"/>
        <v/>
      </c>
      <c r="I161" s="200" t="str">
        <f>IF(H161="","",IF(AND(AI161&lt;=66),VLOOKUP(H161,'WordRead Look Up'!$A$13:$B$20,2,TRUE),IF(AND(AI161&gt;=67,AI161&lt;=72),VLOOKUP(H161,'WordRead Look Up'!$E$13:$F$20,2,TRUE),IF(AND(AI161&gt;=73,AI161&lt;=78),VLOOKUP(H161,'WordRead Look Up'!$I$13:$J$18,2,TRUE),IF(AND(AI161&gt;=79),VLOOKUP(H161,'WordRead Look Up'!$M$13:$N$18,2,TRUE),"")))))</f>
        <v/>
      </c>
      <c r="J161" s="122"/>
      <c r="K161" s="111"/>
      <c r="L161" s="111"/>
      <c r="M161" s="111"/>
      <c r="N161" s="111"/>
      <c r="O161" s="111"/>
      <c r="P161" s="111"/>
      <c r="Q161" s="111"/>
      <c r="R161" s="111"/>
      <c r="S161" s="111"/>
      <c r="T161" s="111"/>
      <c r="U161" s="111"/>
      <c r="V161" s="111"/>
      <c r="W161" s="111"/>
      <c r="X161" s="123"/>
      <c r="AI161" s="222" t="str">
        <f t="shared" si="6"/>
        <v/>
      </c>
    </row>
    <row r="162" spans="1:35" s="108" customFormat="1" ht="15.75">
      <c r="A162" s="119"/>
      <c r="B162" s="120"/>
      <c r="C162" s="111"/>
      <c r="D162" s="111"/>
      <c r="E162" s="121"/>
      <c r="F162" s="121"/>
      <c r="G162" s="113"/>
      <c r="H162" s="199" t="str">
        <f t="shared" si="5"/>
        <v/>
      </c>
      <c r="I162" s="200" t="str">
        <f>IF(H162="","",IF(AND(AI162&lt;=66),VLOOKUP(H162,'WordRead Look Up'!$A$13:$B$20,2,TRUE),IF(AND(AI162&gt;=67,AI162&lt;=72),VLOOKUP(H162,'WordRead Look Up'!$E$13:$F$20,2,TRUE),IF(AND(AI162&gt;=73,AI162&lt;=78),VLOOKUP(H162,'WordRead Look Up'!$I$13:$J$18,2,TRUE),IF(AND(AI162&gt;=79),VLOOKUP(H162,'WordRead Look Up'!$M$13:$N$18,2,TRUE),"")))))</f>
        <v/>
      </c>
      <c r="J162" s="122"/>
      <c r="K162" s="111"/>
      <c r="L162" s="111"/>
      <c r="M162" s="111"/>
      <c r="N162" s="111"/>
      <c r="O162" s="111"/>
      <c r="P162" s="111"/>
      <c r="Q162" s="111"/>
      <c r="R162" s="111"/>
      <c r="S162" s="111"/>
      <c r="T162" s="111"/>
      <c r="U162" s="111"/>
      <c r="V162" s="111"/>
      <c r="W162" s="111"/>
      <c r="X162" s="123"/>
      <c r="AI162" s="222" t="str">
        <f t="shared" si="6"/>
        <v/>
      </c>
    </row>
    <row r="163" spans="1:35" s="108" customFormat="1" ht="15.75">
      <c r="A163" s="119"/>
      <c r="B163" s="120"/>
      <c r="C163" s="111"/>
      <c r="D163" s="111"/>
      <c r="E163" s="121"/>
      <c r="F163" s="121"/>
      <c r="G163" s="113"/>
      <c r="H163" s="199" t="str">
        <f t="shared" si="5"/>
        <v/>
      </c>
      <c r="I163" s="200" t="str">
        <f>IF(H163="","",IF(AND(AI163&lt;=66),VLOOKUP(H163,'WordRead Look Up'!$A$13:$B$20,2,TRUE),IF(AND(AI163&gt;=67,AI163&lt;=72),VLOOKUP(H163,'WordRead Look Up'!$E$13:$F$20,2,TRUE),IF(AND(AI163&gt;=73,AI163&lt;=78),VLOOKUP(H163,'WordRead Look Up'!$I$13:$J$18,2,TRUE),IF(AND(AI163&gt;=79),VLOOKUP(H163,'WordRead Look Up'!$M$13:$N$18,2,TRUE),"")))))</f>
        <v/>
      </c>
      <c r="J163" s="122"/>
      <c r="K163" s="111"/>
      <c r="L163" s="111"/>
      <c r="M163" s="111"/>
      <c r="N163" s="111"/>
      <c r="O163" s="111"/>
      <c r="P163" s="111"/>
      <c r="Q163" s="111"/>
      <c r="R163" s="111"/>
      <c r="S163" s="111"/>
      <c r="T163" s="111"/>
      <c r="U163" s="111"/>
      <c r="V163" s="111"/>
      <c r="W163" s="111"/>
      <c r="X163" s="123"/>
      <c r="AI163" s="222" t="str">
        <f t="shared" si="6"/>
        <v/>
      </c>
    </row>
    <row r="164" spans="1:35" s="108" customFormat="1" ht="15.75">
      <c r="A164" s="119"/>
      <c r="B164" s="120"/>
      <c r="C164" s="111"/>
      <c r="D164" s="111"/>
      <c r="E164" s="121"/>
      <c r="F164" s="121"/>
      <c r="G164" s="113"/>
      <c r="H164" s="199" t="str">
        <f t="shared" si="5"/>
        <v/>
      </c>
      <c r="I164" s="200" t="str">
        <f>IF(H164="","",IF(AND(AI164&lt;=66),VLOOKUP(H164,'WordRead Look Up'!$A$13:$B$20,2,TRUE),IF(AND(AI164&gt;=67,AI164&lt;=72),VLOOKUP(H164,'WordRead Look Up'!$E$13:$F$20,2,TRUE),IF(AND(AI164&gt;=73,AI164&lt;=78),VLOOKUP(H164,'WordRead Look Up'!$I$13:$J$18,2,TRUE),IF(AND(AI164&gt;=79),VLOOKUP(H164,'WordRead Look Up'!$M$13:$N$18,2,TRUE),"")))))</f>
        <v/>
      </c>
      <c r="J164" s="122"/>
      <c r="K164" s="111"/>
      <c r="L164" s="111"/>
      <c r="M164" s="111"/>
      <c r="N164" s="111"/>
      <c r="O164" s="111"/>
      <c r="P164" s="111"/>
      <c r="Q164" s="111"/>
      <c r="R164" s="111"/>
      <c r="S164" s="111"/>
      <c r="T164" s="111"/>
      <c r="U164" s="111"/>
      <c r="V164" s="111"/>
      <c r="W164" s="111"/>
      <c r="X164" s="123"/>
      <c r="AI164" s="222" t="str">
        <f t="shared" si="6"/>
        <v/>
      </c>
    </row>
    <row r="165" spans="1:35" s="108" customFormat="1" ht="15.75">
      <c r="A165" s="119"/>
      <c r="B165" s="120"/>
      <c r="C165" s="111"/>
      <c r="D165" s="111"/>
      <c r="E165" s="121"/>
      <c r="F165" s="121"/>
      <c r="G165" s="113"/>
      <c r="H165" s="199" t="str">
        <f t="shared" si="5"/>
        <v/>
      </c>
      <c r="I165" s="200" t="str">
        <f>IF(H165="","",IF(AND(AI165&lt;=66),VLOOKUP(H165,'WordRead Look Up'!$A$13:$B$20,2,TRUE),IF(AND(AI165&gt;=67,AI165&lt;=72),VLOOKUP(H165,'WordRead Look Up'!$E$13:$F$20,2,TRUE),IF(AND(AI165&gt;=73,AI165&lt;=78),VLOOKUP(H165,'WordRead Look Up'!$I$13:$J$18,2,TRUE),IF(AND(AI165&gt;=79),VLOOKUP(H165,'WordRead Look Up'!$M$13:$N$18,2,TRUE),"")))))</f>
        <v/>
      </c>
      <c r="J165" s="122"/>
      <c r="K165" s="111"/>
      <c r="L165" s="111"/>
      <c r="M165" s="111"/>
      <c r="N165" s="111"/>
      <c r="O165" s="111"/>
      <c r="P165" s="111"/>
      <c r="Q165" s="111"/>
      <c r="R165" s="111"/>
      <c r="S165" s="111"/>
      <c r="T165" s="111"/>
      <c r="U165" s="111"/>
      <c r="V165" s="111"/>
      <c r="W165" s="111"/>
      <c r="X165" s="123"/>
      <c r="AI165" s="222" t="str">
        <f t="shared" si="6"/>
        <v/>
      </c>
    </row>
    <row r="166" spans="1:35" s="108" customFormat="1" ht="15.75">
      <c r="A166" s="119"/>
      <c r="B166" s="120"/>
      <c r="C166" s="111"/>
      <c r="D166" s="111"/>
      <c r="E166" s="121"/>
      <c r="F166" s="121"/>
      <c r="G166" s="113"/>
      <c r="H166" s="199" t="str">
        <f t="shared" si="5"/>
        <v/>
      </c>
      <c r="I166" s="200" t="str">
        <f>IF(H166="","",IF(AND(AI166&lt;=66),VLOOKUP(H166,'WordRead Look Up'!$A$13:$B$20,2,TRUE),IF(AND(AI166&gt;=67,AI166&lt;=72),VLOOKUP(H166,'WordRead Look Up'!$E$13:$F$20,2,TRUE),IF(AND(AI166&gt;=73,AI166&lt;=78),VLOOKUP(H166,'WordRead Look Up'!$I$13:$J$18,2,TRUE),IF(AND(AI166&gt;=79),VLOOKUP(H166,'WordRead Look Up'!$M$13:$N$18,2,TRUE),"")))))</f>
        <v/>
      </c>
      <c r="J166" s="122"/>
      <c r="K166" s="111"/>
      <c r="L166" s="111"/>
      <c r="M166" s="111"/>
      <c r="N166" s="111"/>
      <c r="O166" s="111"/>
      <c r="P166" s="111"/>
      <c r="Q166" s="111"/>
      <c r="R166" s="111"/>
      <c r="S166" s="111"/>
      <c r="T166" s="111"/>
      <c r="U166" s="111"/>
      <c r="V166" s="111"/>
      <c r="W166" s="111"/>
      <c r="X166" s="123"/>
      <c r="AI166" s="222" t="str">
        <f t="shared" si="6"/>
        <v/>
      </c>
    </row>
    <row r="167" spans="1:35" s="108" customFormat="1" ht="15.75">
      <c r="A167" s="119"/>
      <c r="B167" s="120"/>
      <c r="C167" s="111"/>
      <c r="D167" s="111"/>
      <c r="E167" s="121"/>
      <c r="F167" s="121"/>
      <c r="G167" s="113"/>
      <c r="H167" s="199" t="str">
        <f t="shared" si="5"/>
        <v/>
      </c>
      <c r="I167" s="200" t="str">
        <f>IF(H167="","",IF(AND(AI167&lt;=66),VLOOKUP(H167,'WordRead Look Up'!$A$13:$B$20,2,TRUE),IF(AND(AI167&gt;=67,AI167&lt;=72),VLOOKUP(H167,'WordRead Look Up'!$E$13:$F$20,2,TRUE),IF(AND(AI167&gt;=73,AI167&lt;=78),VLOOKUP(H167,'WordRead Look Up'!$I$13:$J$18,2,TRUE),IF(AND(AI167&gt;=79),VLOOKUP(H167,'WordRead Look Up'!$M$13:$N$18,2,TRUE),"")))))</f>
        <v/>
      </c>
      <c r="J167" s="122"/>
      <c r="K167" s="111"/>
      <c r="L167" s="111"/>
      <c r="M167" s="111"/>
      <c r="N167" s="111"/>
      <c r="O167" s="111"/>
      <c r="P167" s="111"/>
      <c r="Q167" s="111"/>
      <c r="R167" s="111"/>
      <c r="S167" s="111"/>
      <c r="T167" s="111"/>
      <c r="U167" s="111"/>
      <c r="V167" s="111"/>
      <c r="W167" s="111"/>
      <c r="X167" s="123"/>
      <c r="AI167" s="222" t="str">
        <f t="shared" si="6"/>
        <v/>
      </c>
    </row>
    <row r="168" spans="1:35" s="108" customFormat="1" ht="15.75">
      <c r="A168" s="119"/>
      <c r="B168" s="120"/>
      <c r="C168" s="111"/>
      <c r="D168" s="111"/>
      <c r="E168" s="121"/>
      <c r="F168" s="121"/>
      <c r="G168" s="113"/>
      <c r="H168" s="199" t="str">
        <f t="shared" si="5"/>
        <v/>
      </c>
      <c r="I168" s="200" t="str">
        <f>IF(H168="","",IF(AND(AI168&lt;=66),VLOOKUP(H168,'WordRead Look Up'!$A$13:$B$20,2,TRUE),IF(AND(AI168&gt;=67,AI168&lt;=72),VLOOKUP(H168,'WordRead Look Up'!$E$13:$F$20,2,TRUE),IF(AND(AI168&gt;=73,AI168&lt;=78),VLOOKUP(H168,'WordRead Look Up'!$I$13:$J$18,2,TRUE),IF(AND(AI168&gt;=79),VLOOKUP(H168,'WordRead Look Up'!$M$13:$N$18,2,TRUE),"")))))</f>
        <v/>
      </c>
      <c r="J168" s="122"/>
      <c r="K168" s="111"/>
      <c r="L168" s="111"/>
      <c r="M168" s="111"/>
      <c r="N168" s="111"/>
      <c r="O168" s="111"/>
      <c r="P168" s="111"/>
      <c r="Q168" s="111"/>
      <c r="R168" s="111"/>
      <c r="S168" s="111"/>
      <c r="T168" s="111"/>
      <c r="U168" s="111"/>
      <c r="V168" s="111"/>
      <c r="W168" s="111"/>
      <c r="X168" s="123"/>
      <c r="AI168" s="222" t="str">
        <f t="shared" si="6"/>
        <v/>
      </c>
    </row>
    <row r="169" spans="1:35" s="108" customFormat="1" ht="15.75">
      <c r="A169" s="119"/>
      <c r="B169" s="120"/>
      <c r="C169" s="111"/>
      <c r="D169" s="111"/>
      <c r="E169" s="121"/>
      <c r="F169" s="121"/>
      <c r="G169" s="113"/>
      <c r="H169" s="199" t="str">
        <f t="shared" si="5"/>
        <v/>
      </c>
      <c r="I169" s="200" t="str">
        <f>IF(H169="","",IF(AND(AI169&lt;=66),VLOOKUP(H169,'WordRead Look Up'!$A$13:$B$20,2,TRUE),IF(AND(AI169&gt;=67,AI169&lt;=72),VLOOKUP(H169,'WordRead Look Up'!$E$13:$F$20,2,TRUE),IF(AND(AI169&gt;=73,AI169&lt;=78),VLOOKUP(H169,'WordRead Look Up'!$I$13:$J$18,2,TRUE),IF(AND(AI169&gt;=79),VLOOKUP(H169,'WordRead Look Up'!$M$13:$N$18,2,TRUE),"")))))</f>
        <v/>
      </c>
      <c r="J169" s="122"/>
      <c r="K169" s="111"/>
      <c r="L169" s="111"/>
      <c r="M169" s="111"/>
      <c r="N169" s="111"/>
      <c r="O169" s="111"/>
      <c r="P169" s="111"/>
      <c r="Q169" s="111"/>
      <c r="R169" s="111"/>
      <c r="S169" s="111"/>
      <c r="T169" s="111"/>
      <c r="U169" s="111"/>
      <c r="V169" s="111"/>
      <c r="W169" s="111"/>
      <c r="X169" s="123"/>
      <c r="AI169" s="222" t="str">
        <f t="shared" si="6"/>
        <v/>
      </c>
    </row>
    <row r="170" spans="1:35" s="108" customFormat="1" ht="15.75">
      <c r="A170" s="119"/>
      <c r="B170" s="120"/>
      <c r="C170" s="111"/>
      <c r="D170" s="111"/>
      <c r="E170" s="121"/>
      <c r="F170" s="121"/>
      <c r="G170" s="113"/>
      <c r="H170" s="199" t="str">
        <f t="shared" si="5"/>
        <v/>
      </c>
      <c r="I170" s="200" t="str">
        <f>IF(H170="","",IF(AND(AI170&lt;=66),VLOOKUP(H170,'WordRead Look Up'!$A$13:$B$20,2,TRUE),IF(AND(AI170&gt;=67,AI170&lt;=72),VLOOKUP(H170,'WordRead Look Up'!$E$13:$F$20,2,TRUE),IF(AND(AI170&gt;=73,AI170&lt;=78),VLOOKUP(H170,'WordRead Look Up'!$I$13:$J$18,2,TRUE),IF(AND(AI170&gt;=79),VLOOKUP(H170,'WordRead Look Up'!$M$13:$N$18,2,TRUE),"")))))</f>
        <v/>
      </c>
      <c r="J170" s="122"/>
      <c r="K170" s="111"/>
      <c r="L170" s="111"/>
      <c r="M170" s="111"/>
      <c r="N170" s="111"/>
      <c r="O170" s="111"/>
      <c r="P170" s="111"/>
      <c r="Q170" s="111"/>
      <c r="R170" s="111"/>
      <c r="S170" s="111"/>
      <c r="T170" s="111"/>
      <c r="U170" s="111"/>
      <c r="V170" s="111"/>
      <c r="W170" s="111"/>
      <c r="X170" s="123"/>
      <c r="AI170" s="222" t="str">
        <f t="shared" si="6"/>
        <v/>
      </c>
    </row>
    <row r="171" spans="1:35" s="108" customFormat="1" ht="15.75">
      <c r="A171" s="119"/>
      <c r="B171" s="120"/>
      <c r="C171" s="111"/>
      <c r="D171" s="111"/>
      <c r="E171" s="121"/>
      <c r="F171" s="121"/>
      <c r="G171" s="113"/>
      <c r="H171" s="199" t="str">
        <f t="shared" si="5"/>
        <v/>
      </c>
      <c r="I171" s="200" t="str">
        <f>IF(H171="","",IF(AND(AI171&lt;=66),VLOOKUP(H171,'WordRead Look Up'!$A$13:$B$20,2,TRUE),IF(AND(AI171&gt;=67,AI171&lt;=72),VLOOKUP(H171,'WordRead Look Up'!$E$13:$F$20,2,TRUE),IF(AND(AI171&gt;=73,AI171&lt;=78),VLOOKUP(H171,'WordRead Look Up'!$I$13:$J$18,2,TRUE),IF(AND(AI171&gt;=79),VLOOKUP(H171,'WordRead Look Up'!$M$13:$N$18,2,TRUE),"")))))</f>
        <v/>
      </c>
      <c r="J171" s="122"/>
      <c r="K171" s="111"/>
      <c r="L171" s="111"/>
      <c r="M171" s="111"/>
      <c r="N171" s="111"/>
      <c r="O171" s="111"/>
      <c r="P171" s="111"/>
      <c r="Q171" s="111"/>
      <c r="R171" s="111"/>
      <c r="S171" s="111"/>
      <c r="T171" s="111"/>
      <c r="U171" s="111"/>
      <c r="V171" s="111"/>
      <c r="W171" s="111"/>
      <c r="X171" s="123"/>
      <c r="AI171" s="222" t="str">
        <f t="shared" si="6"/>
        <v/>
      </c>
    </row>
    <row r="172" spans="1:35" s="108" customFormat="1" ht="15.75">
      <c r="A172" s="119"/>
      <c r="B172" s="120"/>
      <c r="C172" s="111"/>
      <c r="D172" s="111"/>
      <c r="E172" s="121"/>
      <c r="F172" s="121"/>
      <c r="G172" s="113"/>
      <c r="H172" s="199" t="str">
        <f t="shared" si="5"/>
        <v/>
      </c>
      <c r="I172" s="200" t="str">
        <f>IF(H172="","",IF(AND(AI172&lt;=66),VLOOKUP(H172,'WordRead Look Up'!$A$13:$B$20,2,TRUE),IF(AND(AI172&gt;=67,AI172&lt;=72),VLOOKUP(H172,'WordRead Look Up'!$E$13:$F$20,2,TRUE),IF(AND(AI172&gt;=73,AI172&lt;=78),VLOOKUP(H172,'WordRead Look Up'!$I$13:$J$18,2,TRUE),IF(AND(AI172&gt;=79),VLOOKUP(H172,'WordRead Look Up'!$M$13:$N$18,2,TRUE),"")))))</f>
        <v/>
      </c>
      <c r="J172" s="122"/>
      <c r="K172" s="111"/>
      <c r="L172" s="111"/>
      <c r="M172" s="111"/>
      <c r="N172" s="111"/>
      <c r="O172" s="111"/>
      <c r="P172" s="111"/>
      <c r="Q172" s="111"/>
      <c r="R172" s="111"/>
      <c r="S172" s="111"/>
      <c r="T172" s="111"/>
      <c r="U172" s="111"/>
      <c r="V172" s="111"/>
      <c r="W172" s="111"/>
      <c r="X172" s="123"/>
      <c r="AI172" s="222" t="str">
        <f t="shared" si="6"/>
        <v/>
      </c>
    </row>
    <row r="173" spans="1:35" s="108" customFormat="1" ht="15.75">
      <c r="A173" s="119"/>
      <c r="B173" s="120"/>
      <c r="C173" s="111"/>
      <c r="D173" s="111"/>
      <c r="E173" s="121"/>
      <c r="F173" s="121"/>
      <c r="G173" s="113"/>
      <c r="H173" s="199" t="str">
        <f t="shared" si="5"/>
        <v/>
      </c>
      <c r="I173" s="200" t="str">
        <f>IF(H173="","",IF(AND(AI173&lt;=66),VLOOKUP(H173,'WordRead Look Up'!$A$13:$B$20,2,TRUE),IF(AND(AI173&gt;=67,AI173&lt;=72),VLOOKUP(H173,'WordRead Look Up'!$E$13:$F$20,2,TRUE),IF(AND(AI173&gt;=73,AI173&lt;=78),VLOOKUP(H173,'WordRead Look Up'!$I$13:$J$18,2,TRUE),IF(AND(AI173&gt;=79),VLOOKUP(H173,'WordRead Look Up'!$M$13:$N$18,2,TRUE),"")))))</f>
        <v/>
      </c>
      <c r="J173" s="122"/>
      <c r="K173" s="111"/>
      <c r="L173" s="111"/>
      <c r="M173" s="111"/>
      <c r="N173" s="111"/>
      <c r="O173" s="111"/>
      <c r="P173" s="111"/>
      <c r="Q173" s="111"/>
      <c r="R173" s="111"/>
      <c r="S173" s="111"/>
      <c r="T173" s="111"/>
      <c r="U173" s="111"/>
      <c r="V173" s="111"/>
      <c r="W173" s="111"/>
      <c r="X173" s="123"/>
      <c r="AI173" s="222" t="str">
        <f t="shared" si="6"/>
        <v/>
      </c>
    </row>
    <row r="174" spans="1:35" s="108" customFormat="1" ht="15.75">
      <c r="A174" s="119"/>
      <c r="B174" s="120"/>
      <c r="C174" s="111"/>
      <c r="D174" s="111"/>
      <c r="E174" s="121"/>
      <c r="F174" s="121"/>
      <c r="G174" s="113"/>
      <c r="H174" s="199" t="str">
        <f t="shared" si="5"/>
        <v/>
      </c>
      <c r="I174" s="200" t="str">
        <f>IF(H174="","",IF(AND(AI174&lt;=66),VLOOKUP(H174,'WordRead Look Up'!$A$13:$B$20,2,TRUE),IF(AND(AI174&gt;=67,AI174&lt;=72),VLOOKUP(H174,'WordRead Look Up'!$E$13:$F$20,2,TRUE),IF(AND(AI174&gt;=73,AI174&lt;=78),VLOOKUP(H174,'WordRead Look Up'!$I$13:$J$18,2,TRUE),IF(AND(AI174&gt;=79),VLOOKUP(H174,'WordRead Look Up'!$M$13:$N$18,2,TRUE),"")))))</f>
        <v/>
      </c>
      <c r="J174" s="122"/>
      <c r="K174" s="111"/>
      <c r="L174" s="111"/>
      <c r="M174" s="111"/>
      <c r="N174" s="111"/>
      <c r="O174" s="111"/>
      <c r="P174" s="111"/>
      <c r="Q174" s="111"/>
      <c r="R174" s="111"/>
      <c r="S174" s="111"/>
      <c r="T174" s="111"/>
      <c r="U174" s="111"/>
      <c r="V174" s="111"/>
      <c r="W174" s="111"/>
      <c r="X174" s="123"/>
      <c r="AI174" s="222" t="str">
        <f t="shared" si="6"/>
        <v/>
      </c>
    </row>
    <row r="175" spans="1:35" s="108" customFormat="1" ht="15.75">
      <c r="A175" s="119"/>
      <c r="B175" s="120"/>
      <c r="C175" s="111"/>
      <c r="D175" s="111"/>
      <c r="E175" s="121"/>
      <c r="F175" s="121"/>
      <c r="G175" s="113"/>
      <c r="H175" s="199" t="str">
        <f t="shared" si="5"/>
        <v/>
      </c>
      <c r="I175" s="200" t="str">
        <f>IF(H175="","",IF(AND(AI175&lt;=66),VLOOKUP(H175,'WordRead Look Up'!$A$13:$B$20,2,TRUE),IF(AND(AI175&gt;=67,AI175&lt;=72),VLOOKUP(H175,'WordRead Look Up'!$E$13:$F$20,2,TRUE),IF(AND(AI175&gt;=73,AI175&lt;=78),VLOOKUP(H175,'WordRead Look Up'!$I$13:$J$18,2,TRUE),IF(AND(AI175&gt;=79),VLOOKUP(H175,'WordRead Look Up'!$M$13:$N$18,2,TRUE),"")))))</f>
        <v/>
      </c>
      <c r="J175" s="122"/>
      <c r="K175" s="111"/>
      <c r="L175" s="111"/>
      <c r="M175" s="111"/>
      <c r="N175" s="111"/>
      <c r="O175" s="111"/>
      <c r="P175" s="111"/>
      <c r="Q175" s="111"/>
      <c r="R175" s="111"/>
      <c r="S175" s="111"/>
      <c r="T175" s="111"/>
      <c r="U175" s="111"/>
      <c r="V175" s="111"/>
      <c r="W175" s="111"/>
      <c r="X175" s="123"/>
      <c r="AI175" s="222" t="str">
        <f t="shared" si="6"/>
        <v/>
      </c>
    </row>
    <row r="176" spans="1:35" s="108" customFormat="1" ht="15.75">
      <c r="A176" s="119"/>
      <c r="B176" s="120"/>
      <c r="C176" s="111"/>
      <c r="D176" s="111"/>
      <c r="E176" s="121"/>
      <c r="F176" s="121"/>
      <c r="G176" s="113"/>
      <c r="H176" s="199" t="str">
        <f t="shared" si="5"/>
        <v/>
      </c>
      <c r="I176" s="200" t="str">
        <f>IF(H176="","",IF(AND(AI176&lt;=66),VLOOKUP(H176,'WordRead Look Up'!$A$13:$B$20,2,TRUE),IF(AND(AI176&gt;=67,AI176&lt;=72),VLOOKUP(H176,'WordRead Look Up'!$E$13:$F$20,2,TRUE),IF(AND(AI176&gt;=73,AI176&lt;=78),VLOOKUP(H176,'WordRead Look Up'!$I$13:$J$18,2,TRUE),IF(AND(AI176&gt;=79),VLOOKUP(H176,'WordRead Look Up'!$M$13:$N$18,2,TRUE),"")))))</f>
        <v/>
      </c>
      <c r="J176" s="122"/>
      <c r="K176" s="111"/>
      <c r="L176" s="111"/>
      <c r="M176" s="111"/>
      <c r="N176" s="111"/>
      <c r="O176" s="111"/>
      <c r="P176" s="111"/>
      <c r="Q176" s="111"/>
      <c r="R176" s="111"/>
      <c r="S176" s="111"/>
      <c r="T176" s="111"/>
      <c r="U176" s="111"/>
      <c r="V176" s="111"/>
      <c r="W176" s="111"/>
      <c r="X176" s="123"/>
      <c r="AI176" s="222" t="str">
        <f t="shared" si="6"/>
        <v/>
      </c>
    </row>
    <row r="177" spans="1:35" s="108" customFormat="1" ht="15.75">
      <c r="A177" s="119"/>
      <c r="B177" s="120"/>
      <c r="C177" s="111"/>
      <c r="D177" s="111"/>
      <c r="E177" s="121"/>
      <c r="F177" s="121"/>
      <c r="G177" s="113"/>
      <c r="H177" s="199" t="str">
        <f t="shared" si="5"/>
        <v/>
      </c>
      <c r="I177" s="200" t="str">
        <f>IF(H177="","",IF(AND(AI177&lt;=66),VLOOKUP(H177,'WordRead Look Up'!$A$13:$B$20,2,TRUE),IF(AND(AI177&gt;=67,AI177&lt;=72),VLOOKUP(H177,'WordRead Look Up'!$E$13:$F$20,2,TRUE),IF(AND(AI177&gt;=73,AI177&lt;=78),VLOOKUP(H177,'WordRead Look Up'!$I$13:$J$18,2,TRUE),IF(AND(AI177&gt;=79),VLOOKUP(H177,'WordRead Look Up'!$M$13:$N$18,2,TRUE),"")))))</f>
        <v/>
      </c>
      <c r="J177" s="122"/>
      <c r="K177" s="111"/>
      <c r="L177" s="111"/>
      <c r="M177" s="111"/>
      <c r="N177" s="111"/>
      <c r="O177" s="111"/>
      <c r="P177" s="111"/>
      <c r="Q177" s="111"/>
      <c r="R177" s="111"/>
      <c r="S177" s="111"/>
      <c r="T177" s="111"/>
      <c r="U177" s="111"/>
      <c r="V177" s="111"/>
      <c r="W177" s="111"/>
      <c r="X177" s="123"/>
      <c r="AI177" s="222" t="str">
        <f t="shared" si="6"/>
        <v/>
      </c>
    </row>
    <row r="178" spans="1:35" s="108" customFormat="1" ht="15.75">
      <c r="A178" s="119"/>
      <c r="B178" s="120"/>
      <c r="C178" s="111"/>
      <c r="D178" s="111"/>
      <c r="E178" s="121"/>
      <c r="F178" s="121"/>
      <c r="G178" s="113"/>
      <c r="H178" s="199" t="str">
        <f t="shared" si="5"/>
        <v/>
      </c>
      <c r="I178" s="200" t="str">
        <f>IF(H178="","",IF(AND(AI178&lt;=66),VLOOKUP(H178,'WordRead Look Up'!$A$13:$B$20,2,TRUE),IF(AND(AI178&gt;=67,AI178&lt;=72),VLOOKUP(H178,'WordRead Look Up'!$E$13:$F$20,2,TRUE),IF(AND(AI178&gt;=73,AI178&lt;=78),VLOOKUP(H178,'WordRead Look Up'!$I$13:$J$18,2,TRUE),IF(AND(AI178&gt;=79),VLOOKUP(H178,'WordRead Look Up'!$M$13:$N$18,2,TRUE),"")))))</f>
        <v/>
      </c>
      <c r="J178" s="122"/>
      <c r="K178" s="111"/>
      <c r="L178" s="111"/>
      <c r="M178" s="111"/>
      <c r="N178" s="111"/>
      <c r="O178" s="111"/>
      <c r="P178" s="111"/>
      <c r="Q178" s="111"/>
      <c r="R178" s="111"/>
      <c r="S178" s="111"/>
      <c r="T178" s="111"/>
      <c r="U178" s="111"/>
      <c r="V178" s="111"/>
      <c r="W178" s="111"/>
      <c r="X178" s="123"/>
      <c r="AI178" s="222" t="str">
        <f t="shared" si="6"/>
        <v/>
      </c>
    </row>
    <row r="179" spans="1:35" s="108" customFormat="1" ht="15.75">
      <c r="A179" s="119"/>
      <c r="B179" s="120"/>
      <c r="C179" s="111"/>
      <c r="D179" s="111"/>
      <c r="E179" s="121"/>
      <c r="F179" s="121"/>
      <c r="G179" s="113"/>
      <c r="H179" s="199" t="str">
        <f t="shared" si="5"/>
        <v/>
      </c>
      <c r="I179" s="200" t="str">
        <f>IF(H179="","",IF(AND(AI179&lt;=66),VLOOKUP(H179,'WordRead Look Up'!$A$13:$B$20,2,TRUE),IF(AND(AI179&gt;=67,AI179&lt;=72),VLOOKUP(H179,'WordRead Look Up'!$E$13:$F$20,2,TRUE),IF(AND(AI179&gt;=73,AI179&lt;=78),VLOOKUP(H179,'WordRead Look Up'!$I$13:$J$18,2,TRUE),IF(AND(AI179&gt;=79),VLOOKUP(H179,'WordRead Look Up'!$M$13:$N$18,2,TRUE),"")))))</f>
        <v/>
      </c>
      <c r="J179" s="122"/>
      <c r="K179" s="111"/>
      <c r="L179" s="111"/>
      <c r="M179" s="111"/>
      <c r="N179" s="111"/>
      <c r="O179" s="111"/>
      <c r="P179" s="111"/>
      <c r="Q179" s="111"/>
      <c r="R179" s="111"/>
      <c r="S179" s="111"/>
      <c r="T179" s="111"/>
      <c r="U179" s="111"/>
      <c r="V179" s="111"/>
      <c r="W179" s="111"/>
      <c r="X179" s="123"/>
      <c r="AI179" s="222" t="str">
        <f t="shared" si="6"/>
        <v/>
      </c>
    </row>
    <row r="180" spans="1:35" s="108" customFormat="1" ht="15.75">
      <c r="A180" s="119"/>
      <c r="B180" s="120"/>
      <c r="C180" s="111"/>
      <c r="D180" s="111"/>
      <c r="E180" s="121"/>
      <c r="F180" s="121"/>
      <c r="G180" s="113"/>
      <c r="H180" s="199" t="str">
        <f t="shared" si="5"/>
        <v/>
      </c>
      <c r="I180" s="200" t="str">
        <f>IF(H180="","",IF(AND(AI180&lt;=66),VLOOKUP(H180,'WordRead Look Up'!$A$13:$B$20,2,TRUE),IF(AND(AI180&gt;=67,AI180&lt;=72),VLOOKUP(H180,'WordRead Look Up'!$E$13:$F$20,2,TRUE),IF(AND(AI180&gt;=73,AI180&lt;=78),VLOOKUP(H180,'WordRead Look Up'!$I$13:$J$18,2,TRUE),IF(AND(AI180&gt;=79),VLOOKUP(H180,'WordRead Look Up'!$M$13:$N$18,2,TRUE),"")))))</f>
        <v/>
      </c>
      <c r="J180" s="122"/>
      <c r="K180" s="111"/>
      <c r="L180" s="111"/>
      <c r="M180" s="111"/>
      <c r="N180" s="111"/>
      <c r="O180" s="111"/>
      <c r="P180" s="111"/>
      <c r="Q180" s="111"/>
      <c r="R180" s="111"/>
      <c r="S180" s="111"/>
      <c r="T180" s="111"/>
      <c r="U180" s="111"/>
      <c r="V180" s="111"/>
      <c r="W180" s="111"/>
      <c r="X180" s="123"/>
      <c r="AI180" s="222" t="str">
        <f t="shared" si="6"/>
        <v/>
      </c>
    </row>
    <row r="181" spans="1:35" s="108" customFormat="1" ht="15.75">
      <c r="A181" s="119"/>
      <c r="B181" s="120"/>
      <c r="C181" s="111"/>
      <c r="D181" s="111"/>
      <c r="E181" s="121"/>
      <c r="F181" s="121"/>
      <c r="G181" s="113"/>
      <c r="H181" s="199" t="str">
        <f t="shared" si="5"/>
        <v/>
      </c>
      <c r="I181" s="200" t="str">
        <f>IF(H181="","",IF(AND(AI181&lt;=66),VLOOKUP(H181,'WordRead Look Up'!$A$13:$B$20,2,TRUE),IF(AND(AI181&gt;=67,AI181&lt;=72),VLOOKUP(H181,'WordRead Look Up'!$E$13:$F$20,2,TRUE),IF(AND(AI181&gt;=73,AI181&lt;=78),VLOOKUP(H181,'WordRead Look Up'!$I$13:$J$18,2,TRUE),IF(AND(AI181&gt;=79),VLOOKUP(H181,'WordRead Look Up'!$M$13:$N$18,2,TRUE),"")))))</f>
        <v/>
      </c>
      <c r="J181" s="122"/>
      <c r="K181" s="111"/>
      <c r="L181" s="111"/>
      <c r="M181" s="111"/>
      <c r="N181" s="111"/>
      <c r="O181" s="111"/>
      <c r="P181" s="111"/>
      <c r="Q181" s="111"/>
      <c r="R181" s="111"/>
      <c r="S181" s="111"/>
      <c r="T181" s="111"/>
      <c r="U181" s="111"/>
      <c r="V181" s="111"/>
      <c r="W181" s="111"/>
      <c r="X181" s="123"/>
      <c r="AI181" s="222" t="str">
        <f t="shared" si="6"/>
        <v/>
      </c>
    </row>
    <row r="182" spans="1:35" s="108" customFormat="1" ht="15.75">
      <c r="A182" s="119"/>
      <c r="B182" s="120"/>
      <c r="C182" s="111"/>
      <c r="D182" s="111"/>
      <c r="E182" s="121"/>
      <c r="F182" s="121"/>
      <c r="G182" s="113"/>
      <c r="H182" s="199" t="str">
        <f t="shared" si="5"/>
        <v/>
      </c>
      <c r="I182" s="200" t="str">
        <f>IF(H182="","",IF(AND(AI182&lt;=66),VLOOKUP(H182,'WordRead Look Up'!$A$13:$B$20,2,TRUE),IF(AND(AI182&gt;=67,AI182&lt;=72),VLOOKUP(H182,'WordRead Look Up'!$E$13:$F$20,2,TRUE),IF(AND(AI182&gt;=73,AI182&lt;=78),VLOOKUP(H182,'WordRead Look Up'!$I$13:$J$18,2,TRUE),IF(AND(AI182&gt;=79),VLOOKUP(H182,'WordRead Look Up'!$M$13:$N$18,2,TRUE),"")))))</f>
        <v/>
      </c>
      <c r="J182" s="122"/>
      <c r="K182" s="111"/>
      <c r="L182" s="111"/>
      <c r="M182" s="111"/>
      <c r="N182" s="111"/>
      <c r="O182" s="111"/>
      <c r="P182" s="111"/>
      <c r="Q182" s="111"/>
      <c r="R182" s="111"/>
      <c r="S182" s="111"/>
      <c r="T182" s="111"/>
      <c r="U182" s="111"/>
      <c r="V182" s="111"/>
      <c r="W182" s="111"/>
      <c r="X182" s="123"/>
      <c r="AI182" s="222" t="str">
        <f t="shared" si="6"/>
        <v/>
      </c>
    </row>
    <row r="183" spans="1:35" s="108" customFormat="1" ht="15.75">
      <c r="A183" s="119"/>
      <c r="B183" s="120"/>
      <c r="C183" s="111"/>
      <c r="D183" s="111"/>
      <c r="E183" s="121"/>
      <c r="F183" s="121"/>
      <c r="G183" s="113"/>
      <c r="H183" s="199" t="str">
        <f t="shared" si="5"/>
        <v/>
      </c>
      <c r="I183" s="200" t="str">
        <f>IF(H183="","",IF(AND(AI183&lt;=66),VLOOKUP(H183,'WordRead Look Up'!$A$13:$B$20,2,TRUE),IF(AND(AI183&gt;=67,AI183&lt;=72),VLOOKUP(H183,'WordRead Look Up'!$E$13:$F$20,2,TRUE),IF(AND(AI183&gt;=73,AI183&lt;=78),VLOOKUP(H183,'WordRead Look Up'!$I$13:$J$18,2,TRUE),IF(AND(AI183&gt;=79),VLOOKUP(H183,'WordRead Look Up'!$M$13:$N$18,2,TRUE),"")))))</f>
        <v/>
      </c>
      <c r="J183" s="122"/>
      <c r="K183" s="111"/>
      <c r="L183" s="111"/>
      <c r="M183" s="111"/>
      <c r="N183" s="111"/>
      <c r="O183" s="111"/>
      <c r="P183" s="111"/>
      <c r="Q183" s="111"/>
      <c r="R183" s="111"/>
      <c r="S183" s="111"/>
      <c r="T183" s="111"/>
      <c r="U183" s="111"/>
      <c r="V183" s="111"/>
      <c r="W183" s="111"/>
      <c r="X183" s="123"/>
      <c r="AI183" s="222" t="str">
        <f t="shared" si="6"/>
        <v/>
      </c>
    </row>
    <row r="184" spans="1:35" s="108" customFormat="1" ht="15.75">
      <c r="A184" s="119"/>
      <c r="B184" s="120"/>
      <c r="C184" s="111"/>
      <c r="D184" s="111"/>
      <c r="E184" s="121"/>
      <c r="F184" s="121"/>
      <c r="G184" s="113"/>
      <c r="H184" s="199" t="str">
        <f t="shared" si="5"/>
        <v/>
      </c>
      <c r="I184" s="200" t="str">
        <f>IF(H184="","",IF(AND(AI184&lt;=66),VLOOKUP(H184,'WordRead Look Up'!$A$13:$B$20,2,TRUE),IF(AND(AI184&gt;=67,AI184&lt;=72),VLOOKUP(H184,'WordRead Look Up'!$E$13:$F$20,2,TRUE),IF(AND(AI184&gt;=73,AI184&lt;=78),VLOOKUP(H184,'WordRead Look Up'!$I$13:$J$18,2,TRUE),IF(AND(AI184&gt;=79),VLOOKUP(H184,'WordRead Look Up'!$M$13:$N$18,2,TRUE),"")))))</f>
        <v/>
      </c>
      <c r="J184" s="122"/>
      <c r="K184" s="111"/>
      <c r="L184" s="111"/>
      <c r="M184" s="111"/>
      <c r="N184" s="111"/>
      <c r="O184" s="111"/>
      <c r="P184" s="111"/>
      <c r="Q184" s="111"/>
      <c r="R184" s="111"/>
      <c r="S184" s="111"/>
      <c r="T184" s="111"/>
      <c r="U184" s="111"/>
      <c r="V184" s="111"/>
      <c r="W184" s="111"/>
      <c r="X184" s="123"/>
      <c r="AI184" s="222" t="str">
        <f t="shared" si="6"/>
        <v/>
      </c>
    </row>
    <row r="185" spans="1:35" s="108" customFormat="1" ht="15.75">
      <c r="A185" s="119"/>
      <c r="B185" s="120"/>
      <c r="C185" s="111"/>
      <c r="D185" s="111"/>
      <c r="E185" s="121"/>
      <c r="F185" s="121"/>
      <c r="G185" s="113"/>
      <c r="H185" s="199" t="str">
        <f t="shared" si="5"/>
        <v/>
      </c>
      <c r="I185" s="200" t="str">
        <f>IF(H185="","",IF(AND(AI185&lt;=66),VLOOKUP(H185,'WordRead Look Up'!$A$13:$B$20,2,TRUE),IF(AND(AI185&gt;=67,AI185&lt;=72),VLOOKUP(H185,'WordRead Look Up'!$E$13:$F$20,2,TRUE),IF(AND(AI185&gt;=73,AI185&lt;=78),VLOOKUP(H185,'WordRead Look Up'!$I$13:$J$18,2,TRUE),IF(AND(AI185&gt;=79),VLOOKUP(H185,'WordRead Look Up'!$M$13:$N$18,2,TRUE),"")))))</f>
        <v/>
      </c>
      <c r="J185" s="122"/>
      <c r="K185" s="111"/>
      <c r="L185" s="111"/>
      <c r="M185" s="111"/>
      <c r="N185" s="111"/>
      <c r="O185" s="111"/>
      <c r="P185" s="111"/>
      <c r="Q185" s="111"/>
      <c r="R185" s="111"/>
      <c r="S185" s="111"/>
      <c r="T185" s="111"/>
      <c r="U185" s="111"/>
      <c r="V185" s="111"/>
      <c r="W185" s="111"/>
      <c r="X185" s="123"/>
      <c r="AI185" s="222" t="str">
        <f t="shared" si="6"/>
        <v/>
      </c>
    </row>
    <row r="186" spans="1:35" s="108" customFormat="1" ht="15.75">
      <c r="A186" s="119"/>
      <c r="B186" s="120"/>
      <c r="C186" s="111"/>
      <c r="D186" s="111"/>
      <c r="E186" s="121"/>
      <c r="F186" s="121"/>
      <c r="G186" s="113"/>
      <c r="H186" s="199" t="str">
        <f t="shared" si="5"/>
        <v/>
      </c>
      <c r="I186" s="200" t="str">
        <f>IF(H186="","",IF(AND(AI186&lt;=66),VLOOKUP(H186,'WordRead Look Up'!$A$13:$B$20,2,TRUE),IF(AND(AI186&gt;=67,AI186&lt;=72),VLOOKUP(H186,'WordRead Look Up'!$E$13:$F$20,2,TRUE),IF(AND(AI186&gt;=73,AI186&lt;=78),VLOOKUP(H186,'WordRead Look Up'!$I$13:$J$18,2,TRUE),IF(AND(AI186&gt;=79),VLOOKUP(H186,'WordRead Look Up'!$M$13:$N$18,2,TRUE),"")))))</f>
        <v/>
      </c>
      <c r="J186" s="122"/>
      <c r="K186" s="111"/>
      <c r="L186" s="111"/>
      <c r="M186" s="111"/>
      <c r="N186" s="111"/>
      <c r="O186" s="111"/>
      <c r="P186" s="111"/>
      <c r="Q186" s="111"/>
      <c r="R186" s="111"/>
      <c r="S186" s="111"/>
      <c r="T186" s="111"/>
      <c r="U186" s="111"/>
      <c r="V186" s="111"/>
      <c r="W186" s="111"/>
      <c r="X186" s="123"/>
      <c r="AI186" s="222" t="str">
        <f t="shared" si="6"/>
        <v/>
      </c>
    </row>
    <row r="187" spans="1:35" s="108" customFormat="1" ht="15.75">
      <c r="A187" s="119"/>
      <c r="B187" s="120"/>
      <c r="C187" s="111"/>
      <c r="D187" s="111"/>
      <c r="E187" s="121"/>
      <c r="F187" s="121"/>
      <c r="G187" s="113"/>
      <c r="H187" s="199" t="str">
        <f t="shared" si="5"/>
        <v/>
      </c>
      <c r="I187" s="200" t="str">
        <f>IF(H187="","",IF(AND(AI187&lt;=66),VLOOKUP(H187,'WordRead Look Up'!$A$13:$B$20,2,TRUE),IF(AND(AI187&gt;=67,AI187&lt;=72),VLOOKUP(H187,'WordRead Look Up'!$E$13:$F$20,2,TRUE),IF(AND(AI187&gt;=73,AI187&lt;=78),VLOOKUP(H187,'WordRead Look Up'!$I$13:$J$18,2,TRUE),IF(AND(AI187&gt;=79),VLOOKUP(H187,'WordRead Look Up'!$M$13:$N$18,2,TRUE),"")))))</f>
        <v/>
      </c>
      <c r="J187" s="122"/>
      <c r="K187" s="111"/>
      <c r="L187" s="111"/>
      <c r="M187" s="111"/>
      <c r="N187" s="111"/>
      <c r="O187" s="111"/>
      <c r="P187" s="111"/>
      <c r="Q187" s="111"/>
      <c r="R187" s="111"/>
      <c r="S187" s="111"/>
      <c r="T187" s="111"/>
      <c r="U187" s="111"/>
      <c r="V187" s="111"/>
      <c r="W187" s="111"/>
      <c r="X187" s="123"/>
      <c r="AI187" s="222" t="str">
        <f t="shared" si="6"/>
        <v/>
      </c>
    </row>
    <row r="188" spans="1:35" s="108" customFormat="1" ht="15.75">
      <c r="A188" s="119"/>
      <c r="B188" s="120"/>
      <c r="C188" s="111"/>
      <c r="D188" s="111"/>
      <c r="E188" s="121"/>
      <c r="F188" s="121"/>
      <c r="G188" s="113"/>
      <c r="H188" s="199" t="str">
        <f t="shared" si="5"/>
        <v/>
      </c>
      <c r="I188" s="200" t="str">
        <f>IF(H188="","",IF(AND(AI188&lt;=66),VLOOKUP(H188,'WordRead Look Up'!$A$13:$B$20,2,TRUE),IF(AND(AI188&gt;=67,AI188&lt;=72),VLOOKUP(H188,'WordRead Look Up'!$E$13:$F$20,2,TRUE),IF(AND(AI188&gt;=73,AI188&lt;=78),VLOOKUP(H188,'WordRead Look Up'!$I$13:$J$18,2,TRUE),IF(AND(AI188&gt;=79),VLOOKUP(H188,'WordRead Look Up'!$M$13:$N$18,2,TRUE),"")))))</f>
        <v/>
      </c>
      <c r="J188" s="122"/>
      <c r="K188" s="111"/>
      <c r="L188" s="111"/>
      <c r="M188" s="111"/>
      <c r="N188" s="111"/>
      <c r="O188" s="111"/>
      <c r="P188" s="111"/>
      <c r="Q188" s="111"/>
      <c r="R188" s="111"/>
      <c r="S188" s="111"/>
      <c r="T188" s="111"/>
      <c r="U188" s="111"/>
      <c r="V188" s="111"/>
      <c r="W188" s="111"/>
      <c r="X188" s="123"/>
      <c r="AI188" s="222" t="str">
        <f t="shared" si="6"/>
        <v/>
      </c>
    </row>
    <row r="189" spans="1:35" s="108" customFormat="1" ht="15.75">
      <c r="A189" s="119"/>
      <c r="B189" s="120"/>
      <c r="C189" s="111"/>
      <c r="D189" s="111"/>
      <c r="E189" s="121"/>
      <c r="F189" s="121"/>
      <c r="G189" s="113"/>
      <c r="H189" s="199" t="str">
        <f t="shared" si="5"/>
        <v/>
      </c>
      <c r="I189" s="200" t="str">
        <f>IF(H189="","",IF(AND(AI189&lt;=66),VLOOKUP(H189,'WordRead Look Up'!$A$13:$B$20,2,TRUE),IF(AND(AI189&gt;=67,AI189&lt;=72),VLOOKUP(H189,'WordRead Look Up'!$E$13:$F$20,2,TRUE),IF(AND(AI189&gt;=73,AI189&lt;=78),VLOOKUP(H189,'WordRead Look Up'!$I$13:$J$18,2,TRUE),IF(AND(AI189&gt;=79),VLOOKUP(H189,'WordRead Look Up'!$M$13:$N$18,2,TRUE),"")))))</f>
        <v/>
      </c>
      <c r="J189" s="122"/>
      <c r="K189" s="111"/>
      <c r="L189" s="111"/>
      <c r="M189" s="111"/>
      <c r="N189" s="111"/>
      <c r="O189" s="111"/>
      <c r="P189" s="111"/>
      <c r="Q189" s="111"/>
      <c r="R189" s="111"/>
      <c r="S189" s="111"/>
      <c r="T189" s="111"/>
      <c r="U189" s="111"/>
      <c r="V189" s="111"/>
      <c r="W189" s="111"/>
      <c r="X189" s="123"/>
      <c r="AI189" s="222" t="str">
        <f t="shared" si="6"/>
        <v/>
      </c>
    </row>
    <row r="190" spans="1:35" s="108" customFormat="1" ht="15.75">
      <c r="A190" s="119"/>
      <c r="B190" s="120"/>
      <c r="C190" s="111"/>
      <c r="D190" s="111"/>
      <c r="E190" s="121"/>
      <c r="F190" s="121"/>
      <c r="G190" s="113"/>
      <c r="H190" s="199" t="str">
        <f t="shared" si="5"/>
        <v/>
      </c>
      <c r="I190" s="200" t="str">
        <f>IF(H190="","",IF(AND(AI190&lt;=66),VLOOKUP(H190,'WordRead Look Up'!$A$13:$B$20,2,TRUE),IF(AND(AI190&gt;=67,AI190&lt;=72),VLOOKUP(H190,'WordRead Look Up'!$E$13:$F$20,2,TRUE),IF(AND(AI190&gt;=73,AI190&lt;=78),VLOOKUP(H190,'WordRead Look Up'!$I$13:$J$18,2,TRUE),IF(AND(AI190&gt;=79),VLOOKUP(H190,'WordRead Look Up'!$M$13:$N$18,2,TRUE),"")))))</f>
        <v/>
      </c>
      <c r="J190" s="122"/>
      <c r="K190" s="111"/>
      <c r="L190" s="111"/>
      <c r="M190" s="111"/>
      <c r="N190" s="111"/>
      <c r="O190" s="111"/>
      <c r="P190" s="111"/>
      <c r="Q190" s="111"/>
      <c r="R190" s="111"/>
      <c r="S190" s="111"/>
      <c r="T190" s="111"/>
      <c r="U190" s="111"/>
      <c r="V190" s="111"/>
      <c r="W190" s="111"/>
      <c r="X190" s="123"/>
      <c r="AI190" s="222" t="str">
        <f t="shared" si="6"/>
        <v/>
      </c>
    </row>
    <row r="191" spans="1:35" s="108" customFormat="1" ht="15.75">
      <c r="A191" s="119"/>
      <c r="B191" s="120"/>
      <c r="C191" s="111"/>
      <c r="D191" s="111"/>
      <c r="E191" s="121"/>
      <c r="F191" s="121"/>
      <c r="G191" s="113"/>
      <c r="H191" s="199" t="str">
        <f t="shared" si="5"/>
        <v/>
      </c>
      <c r="I191" s="200" t="str">
        <f>IF(H191="","",IF(AND(AI191&lt;=66),VLOOKUP(H191,'WordRead Look Up'!$A$13:$B$20,2,TRUE),IF(AND(AI191&gt;=67,AI191&lt;=72),VLOOKUP(H191,'WordRead Look Up'!$E$13:$F$20,2,TRUE),IF(AND(AI191&gt;=73,AI191&lt;=78),VLOOKUP(H191,'WordRead Look Up'!$I$13:$J$18,2,TRUE),IF(AND(AI191&gt;=79),VLOOKUP(H191,'WordRead Look Up'!$M$13:$N$18,2,TRUE),"")))))</f>
        <v/>
      </c>
      <c r="J191" s="122"/>
      <c r="K191" s="111"/>
      <c r="L191" s="111"/>
      <c r="M191" s="111"/>
      <c r="N191" s="111"/>
      <c r="O191" s="111"/>
      <c r="P191" s="111"/>
      <c r="Q191" s="111"/>
      <c r="R191" s="111"/>
      <c r="S191" s="111"/>
      <c r="T191" s="111"/>
      <c r="U191" s="111"/>
      <c r="V191" s="111"/>
      <c r="W191" s="111"/>
      <c r="X191" s="123"/>
      <c r="AI191" s="222" t="str">
        <f t="shared" si="6"/>
        <v/>
      </c>
    </row>
    <row r="192" spans="1:35" s="108" customFormat="1" ht="15.75">
      <c r="A192" s="119"/>
      <c r="B192" s="120"/>
      <c r="C192" s="111"/>
      <c r="D192" s="111"/>
      <c r="E192" s="121"/>
      <c r="F192" s="121"/>
      <c r="G192" s="113"/>
      <c r="H192" s="199" t="str">
        <f t="shared" si="5"/>
        <v/>
      </c>
      <c r="I192" s="200" t="str">
        <f>IF(H192="","",IF(AND(AI192&lt;=66),VLOOKUP(H192,'WordRead Look Up'!$A$13:$B$20,2,TRUE),IF(AND(AI192&gt;=67,AI192&lt;=72),VLOOKUP(H192,'WordRead Look Up'!$E$13:$F$20,2,TRUE),IF(AND(AI192&gt;=73,AI192&lt;=78),VLOOKUP(H192,'WordRead Look Up'!$I$13:$J$18,2,TRUE),IF(AND(AI192&gt;=79),VLOOKUP(H192,'WordRead Look Up'!$M$13:$N$18,2,TRUE),"")))))</f>
        <v/>
      </c>
      <c r="J192" s="122"/>
      <c r="K192" s="111"/>
      <c r="L192" s="111"/>
      <c r="M192" s="111"/>
      <c r="N192" s="111"/>
      <c r="O192" s="111"/>
      <c r="P192" s="111"/>
      <c r="Q192" s="111"/>
      <c r="R192" s="111"/>
      <c r="S192" s="111"/>
      <c r="T192" s="111"/>
      <c r="U192" s="111"/>
      <c r="V192" s="111"/>
      <c r="W192" s="111"/>
      <c r="X192" s="123"/>
      <c r="AI192" s="222" t="str">
        <f t="shared" si="6"/>
        <v/>
      </c>
    </row>
    <row r="193" spans="1:35" s="108" customFormat="1" ht="15.75">
      <c r="A193" s="119"/>
      <c r="B193" s="120"/>
      <c r="C193" s="111"/>
      <c r="D193" s="111"/>
      <c r="E193" s="121"/>
      <c r="F193" s="121"/>
      <c r="G193" s="113"/>
      <c r="H193" s="199" t="str">
        <f t="shared" si="5"/>
        <v/>
      </c>
      <c r="I193" s="200" t="str">
        <f>IF(H193="","",IF(AND(AI193&lt;=66),VLOOKUP(H193,'WordRead Look Up'!$A$13:$B$20,2,TRUE),IF(AND(AI193&gt;=67,AI193&lt;=72),VLOOKUP(H193,'WordRead Look Up'!$E$13:$F$20,2,TRUE),IF(AND(AI193&gt;=73,AI193&lt;=78),VLOOKUP(H193,'WordRead Look Up'!$I$13:$J$18,2,TRUE),IF(AND(AI193&gt;=79),VLOOKUP(H193,'WordRead Look Up'!$M$13:$N$18,2,TRUE),"")))))</f>
        <v/>
      </c>
      <c r="J193" s="122"/>
      <c r="K193" s="111"/>
      <c r="L193" s="111"/>
      <c r="M193" s="111"/>
      <c r="N193" s="111"/>
      <c r="O193" s="111"/>
      <c r="P193" s="111"/>
      <c r="Q193" s="111"/>
      <c r="R193" s="111"/>
      <c r="S193" s="111"/>
      <c r="T193" s="111"/>
      <c r="U193" s="111"/>
      <c r="V193" s="111"/>
      <c r="W193" s="111"/>
      <c r="X193" s="123"/>
      <c r="AI193" s="222" t="str">
        <f t="shared" si="6"/>
        <v/>
      </c>
    </row>
    <row r="194" spans="1:35" s="108" customFormat="1" ht="15.75">
      <c r="A194" s="119"/>
      <c r="B194" s="120"/>
      <c r="C194" s="111"/>
      <c r="D194" s="111"/>
      <c r="E194" s="121"/>
      <c r="F194" s="121"/>
      <c r="G194" s="113"/>
      <c r="H194" s="199" t="str">
        <f t="shared" si="5"/>
        <v/>
      </c>
      <c r="I194" s="200" t="str">
        <f>IF(H194="","",IF(AND(AI194&lt;=66),VLOOKUP(H194,'WordRead Look Up'!$A$13:$B$20,2,TRUE),IF(AND(AI194&gt;=67,AI194&lt;=72),VLOOKUP(H194,'WordRead Look Up'!$E$13:$F$20,2,TRUE),IF(AND(AI194&gt;=73,AI194&lt;=78),VLOOKUP(H194,'WordRead Look Up'!$I$13:$J$18,2,TRUE),IF(AND(AI194&gt;=79),VLOOKUP(H194,'WordRead Look Up'!$M$13:$N$18,2,TRUE),"")))))</f>
        <v/>
      </c>
      <c r="J194" s="122"/>
      <c r="K194" s="111"/>
      <c r="L194" s="111"/>
      <c r="M194" s="111"/>
      <c r="N194" s="111"/>
      <c r="O194" s="111"/>
      <c r="P194" s="111"/>
      <c r="Q194" s="111"/>
      <c r="R194" s="111"/>
      <c r="S194" s="111"/>
      <c r="T194" s="111"/>
      <c r="U194" s="111"/>
      <c r="V194" s="111"/>
      <c r="W194" s="111"/>
      <c r="X194" s="123"/>
      <c r="AI194" s="222" t="str">
        <f t="shared" si="6"/>
        <v/>
      </c>
    </row>
    <row r="195" spans="1:35" s="108" customFormat="1" ht="15.75">
      <c r="A195" s="119"/>
      <c r="B195" s="120"/>
      <c r="C195" s="111"/>
      <c r="D195" s="111"/>
      <c r="E195" s="121"/>
      <c r="F195" s="121"/>
      <c r="G195" s="113"/>
      <c r="H195" s="199" t="str">
        <f t="shared" si="5"/>
        <v/>
      </c>
      <c r="I195" s="200" t="str">
        <f>IF(H195="","",IF(AND(AI195&lt;=66),VLOOKUP(H195,'WordRead Look Up'!$A$13:$B$20,2,TRUE),IF(AND(AI195&gt;=67,AI195&lt;=72),VLOOKUP(H195,'WordRead Look Up'!$E$13:$F$20,2,TRUE),IF(AND(AI195&gt;=73,AI195&lt;=78),VLOOKUP(H195,'WordRead Look Up'!$I$13:$J$18,2,TRUE),IF(AND(AI195&gt;=79),VLOOKUP(H195,'WordRead Look Up'!$M$13:$N$18,2,TRUE),"")))))</f>
        <v/>
      </c>
      <c r="J195" s="122"/>
      <c r="K195" s="111"/>
      <c r="L195" s="111"/>
      <c r="M195" s="111"/>
      <c r="N195" s="111"/>
      <c r="O195" s="111"/>
      <c r="P195" s="111"/>
      <c r="Q195" s="111"/>
      <c r="R195" s="111"/>
      <c r="S195" s="111"/>
      <c r="T195" s="111"/>
      <c r="U195" s="111"/>
      <c r="V195" s="111"/>
      <c r="W195" s="111"/>
      <c r="X195" s="123"/>
      <c r="AI195" s="222" t="str">
        <f t="shared" si="6"/>
        <v/>
      </c>
    </row>
    <row r="196" spans="1:35" s="108" customFormat="1" ht="15.75">
      <c r="A196" s="119"/>
      <c r="B196" s="120"/>
      <c r="C196" s="111"/>
      <c r="D196" s="111"/>
      <c r="E196" s="121"/>
      <c r="F196" s="121"/>
      <c r="G196" s="113"/>
      <c r="H196" s="199" t="str">
        <f t="shared" si="5"/>
        <v/>
      </c>
      <c r="I196" s="200" t="str">
        <f>IF(H196="","",IF(AND(AI196&lt;=66),VLOOKUP(H196,'WordRead Look Up'!$A$13:$B$20,2,TRUE),IF(AND(AI196&gt;=67,AI196&lt;=72),VLOOKUP(H196,'WordRead Look Up'!$E$13:$F$20,2,TRUE),IF(AND(AI196&gt;=73,AI196&lt;=78),VLOOKUP(H196,'WordRead Look Up'!$I$13:$J$18,2,TRUE),IF(AND(AI196&gt;=79),VLOOKUP(H196,'WordRead Look Up'!$M$13:$N$18,2,TRUE),"")))))</f>
        <v/>
      </c>
      <c r="J196" s="122"/>
      <c r="K196" s="111"/>
      <c r="L196" s="111"/>
      <c r="M196" s="111"/>
      <c r="N196" s="111"/>
      <c r="O196" s="111"/>
      <c r="P196" s="111"/>
      <c r="Q196" s="111"/>
      <c r="R196" s="111"/>
      <c r="S196" s="111"/>
      <c r="T196" s="111"/>
      <c r="U196" s="111"/>
      <c r="V196" s="111"/>
      <c r="W196" s="111"/>
      <c r="X196" s="123"/>
      <c r="AI196" s="222" t="str">
        <f t="shared" si="6"/>
        <v/>
      </c>
    </row>
    <row r="197" spans="1:35" s="108" customFormat="1" ht="15.75">
      <c r="A197" s="119"/>
      <c r="B197" s="120"/>
      <c r="C197" s="111"/>
      <c r="D197" s="111"/>
      <c r="E197" s="121"/>
      <c r="F197" s="121"/>
      <c r="G197" s="113"/>
      <c r="H197" s="199" t="str">
        <f t="shared" si="5"/>
        <v/>
      </c>
      <c r="I197" s="200" t="str">
        <f>IF(H197="","",IF(AND(AI197&lt;=66),VLOOKUP(H197,'WordRead Look Up'!$A$13:$B$20,2,TRUE),IF(AND(AI197&gt;=67,AI197&lt;=72),VLOOKUP(H197,'WordRead Look Up'!$E$13:$F$20,2,TRUE),IF(AND(AI197&gt;=73,AI197&lt;=78),VLOOKUP(H197,'WordRead Look Up'!$I$13:$J$18,2,TRUE),IF(AND(AI197&gt;=79),VLOOKUP(H197,'WordRead Look Up'!$M$13:$N$18,2,TRUE),"")))))</f>
        <v/>
      </c>
      <c r="J197" s="122"/>
      <c r="K197" s="111"/>
      <c r="L197" s="111"/>
      <c r="M197" s="111"/>
      <c r="N197" s="111"/>
      <c r="O197" s="111"/>
      <c r="P197" s="111"/>
      <c r="Q197" s="111"/>
      <c r="R197" s="111"/>
      <c r="S197" s="111"/>
      <c r="T197" s="111"/>
      <c r="U197" s="111"/>
      <c r="V197" s="111"/>
      <c r="W197" s="111"/>
      <c r="X197" s="123"/>
      <c r="AI197" s="222" t="str">
        <f t="shared" si="6"/>
        <v/>
      </c>
    </row>
    <row r="198" spans="1:35" s="108" customFormat="1" ht="15.75">
      <c r="A198" s="119"/>
      <c r="B198" s="120"/>
      <c r="C198" s="111"/>
      <c r="D198" s="111"/>
      <c r="E198" s="121"/>
      <c r="F198" s="121"/>
      <c r="G198" s="113"/>
      <c r="H198" s="199" t="str">
        <f t="shared" si="5"/>
        <v/>
      </c>
      <c r="I198" s="200" t="str">
        <f>IF(H198="","",IF(AND(AI198&lt;=66),VLOOKUP(H198,'WordRead Look Up'!$A$13:$B$20,2,TRUE),IF(AND(AI198&gt;=67,AI198&lt;=72),VLOOKUP(H198,'WordRead Look Up'!$E$13:$F$20,2,TRUE),IF(AND(AI198&gt;=73,AI198&lt;=78),VLOOKUP(H198,'WordRead Look Up'!$I$13:$J$18,2,TRUE),IF(AND(AI198&gt;=79),VLOOKUP(H198,'WordRead Look Up'!$M$13:$N$18,2,TRUE),"")))))</f>
        <v/>
      </c>
      <c r="J198" s="122"/>
      <c r="K198" s="111"/>
      <c r="L198" s="111"/>
      <c r="M198" s="111"/>
      <c r="N198" s="111"/>
      <c r="O198" s="111"/>
      <c r="P198" s="111"/>
      <c r="Q198" s="111"/>
      <c r="R198" s="111"/>
      <c r="S198" s="111"/>
      <c r="T198" s="111"/>
      <c r="U198" s="111"/>
      <c r="V198" s="111"/>
      <c r="W198" s="111"/>
      <c r="X198" s="123"/>
      <c r="AI198" s="222" t="str">
        <f t="shared" si="6"/>
        <v/>
      </c>
    </row>
    <row r="199" spans="1:35" s="108" customFormat="1" ht="15.75">
      <c r="A199" s="119"/>
      <c r="B199" s="120"/>
      <c r="C199" s="111"/>
      <c r="D199" s="111"/>
      <c r="E199" s="121"/>
      <c r="F199" s="121"/>
      <c r="G199" s="113"/>
      <c r="H199" s="199" t="str">
        <f t="shared" si="5"/>
        <v/>
      </c>
      <c r="I199" s="200" t="str">
        <f>IF(H199="","",IF(AND(AI199&lt;=66),VLOOKUP(H199,'WordRead Look Up'!$A$13:$B$20,2,TRUE),IF(AND(AI199&gt;=67,AI199&lt;=72),VLOOKUP(H199,'WordRead Look Up'!$E$13:$F$20,2,TRUE),IF(AND(AI199&gt;=73,AI199&lt;=78),VLOOKUP(H199,'WordRead Look Up'!$I$13:$J$18,2,TRUE),IF(AND(AI199&gt;=79),VLOOKUP(H199,'WordRead Look Up'!$M$13:$N$18,2,TRUE),"")))))</f>
        <v/>
      </c>
      <c r="J199" s="122"/>
      <c r="K199" s="111"/>
      <c r="L199" s="111"/>
      <c r="M199" s="111"/>
      <c r="N199" s="111"/>
      <c r="O199" s="111"/>
      <c r="P199" s="111"/>
      <c r="Q199" s="111"/>
      <c r="R199" s="111"/>
      <c r="S199" s="111"/>
      <c r="T199" s="111"/>
      <c r="U199" s="111"/>
      <c r="V199" s="111"/>
      <c r="W199" s="111"/>
      <c r="X199" s="123"/>
      <c r="AI199" s="222" t="str">
        <f t="shared" si="6"/>
        <v/>
      </c>
    </row>
    <row r="200" spans="1:35" s="108" customFormat="1" ht="15.75">
      <c r="A200" s="119"/>
      <c r="B200" s="120"/>
      <c r="C200" s="111"/>
      <c r="D200" s="111"/>
      <c r="E200" s="121"/>
      <c r="F200" s="121"/>
      <c r="G200" s="113"/>
      <c r="H200" s="199" t="str">
        <f t="shared" ref="H200:H263" si="7">IF(E200="","",COUNTIF(J200:X200,"y"))</f>
        <v/>
      </c>
      <c r="I200" s="200" t="str">
        <f>IF(H200="","",IF(AND(AI200&lt;=66),VLOOKUP(H200,'WordRead Look Up'!$A$13:$B$20,2,TRUE),IF(AND(AI200&gt;=67,AI200&lt;=72),VLOOKUP(H200,'WordRead Look Up'!$E$13:$F$20,2,TRUE),IF(AND(AI200&gt;=73,AI200&lt;=78),VLOOKUP(H200,'WordRead Look Up'!$I$13:$J$18,2,TRUE),IF(AND(AI200&gt;=79),VLOOKUP(H200,'WordRead Look Up'!$M$13:$N$18,2,TRUE),"")))))</f>
        <v/>
      </c>
      <c r="J200" s="122"/>
      <c r="K200" s="111"/>
      <c r="L200" s="111"/>
      <c r="M200" s="111"/>
      <c r="N200" s="111"/>
      <c r="O200" s="111"/>
      <c r="P200" s="111"/>
      <c r="Q200" s="111"/>
      <c r="R200" s="111"/>
      <c r="S200" s="111"/>
      <c r="T200" s="111"/>
      <c r="U200" s="111"/>
      <c r="V200" s="111"/>
      <c r="W200" s="111"/>
      <c r="X200" s="123"/>
      <c r="AI200" s="222" t="str">
        <f t="shared" ref="AI200:AI263" si="8">IF(E200="","",DATEDIF(B200,A200,"m"))</f>
        <v/>
      </c>
    </row>
    <row r="201" spans="1:35" s="108" customFormat="1" ht="15.75">
      <c r="A201" s="119"/>
      <c r="B201" s="120"/>
      <c r="C201" s="111"/>
      <c r="D201" s="111"/>
      <c r="E201" s="121"/>
      <c r="F201" s="121"/>
      <c r="G201" s="113"/>
      <c r="H201" s="199" t="str">
        <f t="shared" si="7"/>
        <v/>
      </c>
      <c r="I201" s="200" t="str">
        <f>IF(H201="","",IF(AND(AI201&lt;=66),VLOOKUP(H201,'WordRead Look Up'!$A$13:$B$20,2,TRUE),IF(AND(AI201&gt;=67,AI201&lt;=72),VLOOKUP(H201,'WordRead Look Up'!$E$13:$F$20,2,TRUE),IF(AND(AI201&gt;=73,AI201&lt;=78),VLOOKUP(H201,'WordRead Look Up'!$I$13:$J$18,2,TRUE),IF(AND(AI201&gt;=79),VLOOKUP(H201,'WordRead Look Up'!$M$13:$N$18,2,TRUE),"")))))</f>
        <v/>
      </c>
      <c r="J201" s="122"/>
      <c r="K201" s="111"/>
      <c r="L201" s="111"/>
      <c r="M201" s="111"/>
      <c r="N201" s="111"/>
      <c r="O201" s="111"/>
      <c r="P201" s="111"/>
      <c r="Q201" s="111"/>
      <c r="R201" s="111"/>
      <c r="S201" s="111"/>
      <c r="T201" s="111"/>
      <c r="U201" s="111"/>
      <c r="V201" s="111"/>
      <c r="W201" s="111"/>
      <c r="X201" s="123"/>
      <c r="AI201" s="222" t="str">
        <f t="shared" si="8"/>
        <v/>
      </c>
    </row>
    <row r="202" spans="1:35" s="108" customFormat="1" ht="15.75">
      <c r="A202" s="119"/>
      <c r="B202" s="120"/>
      <c r="C202" s="111"/>
      <c r="D202" s="111"/>
      <c r="E202" s="121"/>
      <c r="F202" s="121"/>
      <c r="G202" s="113"/>
      <c r="H202" s="199" t="str">
        <f t="shared" si="7"/>
        <v/>
      </c>
      <c r="I202" s="200" t="str">
        <f>IF(H202="","",IF(AND(AI202&lt;=66),VLOOKUP(H202,'WordRead Look Up'!$A$13:$B$20,2,TRUE),IF(AND(AI202&gt;=67,AI202&lt;=72),VLOOKUP(H202,'WordRead Look Up'!$E$13:$F$20,2,TRUE),IF(AND(AI202&gt;=73,AI202&lt;=78),VLOOKUP(H202,'WordRead Look Up'!$I$13:$J$18,2,TRUE),IF(AND(AI202&gt;=79),VLOOKUP(H202,'WordRead Look Up'!$M$13:$N$18,2,TRUE),"")))))</f>
        <v/>
      </c>
      <c r="J202" s="122"/>
      <c r="K202" s="111"/>
      <c r="L202" s="111"/>
      <c r="M202" s="111"/>
      <c r="N202" s="111"/>
      <c r="O202" s="111"/>
      <c r="P202" s="111"/>
      <c r="Q202" s="111"/>
      <c r="R202" s="111"/>
      <c r="S202" s="111"/>
      <c r="T202" s="111"/>
      <c r="U202" s="111"/>
      <c r="V202" s="111"/>
      <c r="W202" s="111"/>
      <c r="X202" s="123"/>
      <c r="AI202" s="222" t="str">
        <f t="shared" si="8"/>
        <v/>
      </c>
    </row>
    <row r="203" spans="1:35" s="108" customFormat="1" ht="15.75">
      <c r="A203" s="119"/>
      <c r="B203" s="120"/>
      <c r="C203" s="111"/>
      <c r="D203" s="111"/>
      <c r="E203" s="121"/>
      <c r="F203" s="121"/>
      <c r="G203" s="113"/>
      <c r="H203" s="199" t="str">
        <f t="shared" si="7"/>
        <v/>
      </c>
      <c r="I203" s="200" t="str">
        <f>IF(H203="","",IF(AND(AI203&lt;=66),VLOOKUP(H203,'WordRead Look Up'!$A$13:$B$20,2,TRUE),IF(AND(AI203&gt;=67,AI203&lt;=72),VLOOKUP(H203,'WordRead Look Up'!$E$13:$F$20,2,TRUE),IF(AND(AI203&gt;=73,AI203&lt;=78),VLOOKUP(H203,'WordRead Look Up'!$I$13:$J$18,2,TRUE),IF(AND(AI203&gt;=79),VLOOKUP(H203,'WordRead Look Up'!$M$13:$N$18,2,TRUE),"")))))</f>
        <v/>
      </c>
      <c r="J203" s="122"/>
      <c r="K203" s="111"/>
      <c r="L203" s="111"/>
      <c r="M203" s="111"/>
      <c r="N203" s="111"/>
      <c r="O203" s="111"/>
      <c r="P203" s="111"/>
      <c r="Q203" s="111"/>
      <c r="R203" s="111"/>
      <c r="S203" s="111"/>
      <c r="T203" s="111"/>
      <c r="U203" s="111"/>
      <c r="V203" s="111"/>
      <c r="W203" s="111"/>
      <c r="X203" s="123"/>
      <c r="AI203" s="222" t="str">
        <f t="shared" si="8"/>
        <v/>
      </c>
    </row>
    <row r="204" spans="1:35" s="108" customFormat="1" ht="15.75">
      <c r="A204" s="119"/>
      <c r="B204" s="120"/>
      <c r="C204" s="111"/>
      <c r="D204" s="111"/>
      <c r="E204" s="121"/>
      <c r="F204" s="121"/>
      <c r="G204" s="113"/>
      <c r="H204" s="199" t="str">
        <f t="shared" si="7"/>
        <v/>
      </c>
      <c r="I204" s="200" t="str">
        <f>IF(H204="","",IF(AND(AI204&lt;=66),VLOOKUP(H204,'WordRead Look Up'!$A$13:$B$20,2,TRUE),IF(AND(AI204&gt;=67,AI204&lt;=72),VLOOKUP(H204,'WordRead Look Up'!$E$13:$F$20,2,TRUE),IF(AND(AI204&gt;=73,AI204&lt;=78),VLOOKUP(H204,'WordRead Look Up'!$I$13:$J$18,2,TRUE),IF(AND(AI204&gt;=79),VLOOKUP(H204,'WordRead Look Up'!$M$13:$N$18,2,TRUE),"")))))</f>
        <v/>
      </c>
      <c r="J204" s="122"/>
      <c r="K204" s="111"/>
      <c r="L204" s="111"/>
      <c r="M204" s="111"/>
      <c r="N204" s="111"/>
      <c r="O204" s="111"/>
      <c r="P204" s="111"/>
      <c r="Q204" s="111"/>
      <c r="R204" s="111"/>
      <c r="S204" s="111"/>
      <c r="T204" s="111"/>
      <c r="U204" s="111"/>
      <c r="V204" s="111"/>
      <c r="W204" s="111"/>
      <c r="X204" s="123"/>
      <c r="AI204" s="222" t="str">
        <f t="shared" si="8"/>
        <v/>
      </c>
    </row>
    <row r="205" spans="1:35" s="108" customFormat="1" ht="15.75">
      <c r="A205" s="119"/>
      <c r="B205" s="120"/>
      <c r="C205" s="111"/>
      <c r="D205" s="111"/>
      <c r="E205" s="121"/>
      <c r="F205" s="121"/>
      <c r="G205" s="113"/>
      <c r="H205" s="199" t="str">
        <f t="shared" si="7"/>
        <v/>
      </c>
      <c r="I205" s="200" t="str">
        <f>IF(H205="","",IF(AND(AI205&lt;=66),VLOOKUP(H205,'WordRead Look Up'!$A$13:$B$20,2,TRUE),IF(AND(AI205&gt;=67,AI205&lt;=72),VLOOKUP(H205,'WordRead Look Up'!$E$13:$F$20,2,TRUE),IF(AND(AI205&gt;=73,AI205&lt;=78),VLOOKUP(H205,'WordRead Look Up'!$I$13:$J$18,2,TRUE),IF(AND(AI205&gt;=79),VLOOKUP(H205,'WordRead Look Up'!$M$13:$N$18,2,TRUE),"")))))</f>
        <v/>
      </c>
      <c r="J205" s="122"/>
      <c r="K205" s="111"/>
      <c r="L205" s="111"/>
      <c r="M205" s="111"/>
      <c r="N205" s="111"/>
      <c r="O205" s="111"/>
      <c r="P205" s="111"/>
      <c r="Q205" s="111"/>
      <c r="R205" s="111"/>
      <c r="S205" s="111"/>
      <c r="T205" s="111"/>
      <c r="U205" s="111"/>
      <c r="V205" s="111"/>
      <c r="W205" s="111"/>
      <c r="X205" s="123"/>
      <c r="AI205" s="222" t="str">
        <f t="shared" si="8"/>
        <v/>
      </c>
    </row>
    <row r="206" spans="1:35" s="108" customFormat="1" ht="15.75">
      <c r="A206" s="119"/>
      <c r="B206" s="120"/>
      <c r="C206" s="111"/>
      <c r="D206" s="111"/>
      <c r="E206" s="121"/>
      <c r="F206" s="121"/>
      <c r="G206" s="113"/>
      <c r="H206" s="199" t="str">
        <f t="shared" si="7"/>
        <v/>
      </c>
      <c r="I206" s="200" t="str">
        <f>IF(H206="","",IF(AND(AI206&lt;=66),VLOOKUP(H206,'WordRead Look Up'!$A$13:$B$20,2,TRUE),IF(AND(AI206&gt;=67,AI206&lt;=72),VLOOKUP(H206,'WordRead Look Up'!$E$13:$F$20,2,TRUE),IF(AND(AI206&gt;=73,AI206&lt;=78),VLOOKUP(H206,'WordRead Look Up'!$I$13:$J$18,2,TRUE),IF(AND(AI206&gt;=79),VLOOKUP(H206,'WordRead Look Up'!$M$13:$N$18,2,TRUE),"")))))</f>
        <v/>
      </c>
      <c r="J206" s="122"/>
      <c r="K206" s="111"/>
      <c r="L206" s="111"/>
      <c r="M206" s="111"/>
      <c r="N206" s="111"/>
      <c r="O206" s="111"/>
      <c r="P206" s="111"/>
      <c r="Q206" s="111"/>
      <c r="R206" s="111"/>
      <c r="S206" s="111"/>
      <c r="T206" s="111"/>
      <c r="U206" s="111"/>
      <c r="V206" s="111"/>
      <c r="W206" s="111"/>
      <c r="X206" s="123"/>
      <c r="AI206" s="222" t="str">
        <f t="shared" si="8"/>
        <v/>
      </c>
    </row>
    <row r="207" spans="1:35" s="108" customFormat="1" ht="15.75">
      <c r="A207" s="119"/>
      <c r="B207" s="120"/>
      <c r="C207" s="111"/>
      <c r="D207" s="111"/>
      <c r="E207" s="121"/>
      <c r="F207" s="121"/>
      <c r="G207" s="113"/>
      <c r="H207" s="199" t="str">
        <f t="shared" si="7"/>
        <v/>
      </c>
      <c r="I207" s="200" t="str">
        <f>IF(H207="","",IF(AND(AI207&lt;=66),VLOOKUP(H207,'WordRead Look Up'!$A$13:$B$20,2,TRUE),IF(AND(AI207&gt;=67,AI207&lt;=72),VLOOKUP(H207,'WordRead Look Up'!$E$13:$F$20,2,TRUE),IF(AND(AI207&gt;=73,AI207&lt;=78),VLOOKUP(H207,'WordRead Look Up'!$I$13:$J$18,2,TRUE),IF(AND(AI207&gt;=79),VLOOKUP(H207,'WordRead Look Up'!$M$13:$N$18,2,TRUE),"")))))</f>
        <v/>
      </c>
      <c r="J207" s="122"/>
      <c r="K207" s="111"/>
      <c r="L207" s="111"/>
      <c r="M207" s="111"/>
      <c r="N207" s="111"/>
      <c r="O207" s="111"/>
      <c r="P207" s="111"/>
      <c r="Q207" s="111"/>
      <c r="R207" s="111"/>
      <c r="S207" s="111"/>
      <c r="T207" s="111"/>
      <c r="U207" s="111"/>
      <c r="V207" s="111"/>
      <c r="W207" s="111"/>
      <c r="X207" s="123"/>
      <c r="AI207" s="222" t="str">
        <f t="shared" si="8"/>
        <v/>
      </c>
    </row>
    <row r="208" spans="1:35" s="108" customFormat="1" ht="15.75">
      <c r="A208" s="119"/>
      <c r="B208" s="120"/>
      <c r="C208" s="111"/>
      <c r="D208" s="111"/>
      <c r="E208" s="121"/>
      <c r="F208" s="121"/>
      <c r="G208" s="113"/>
      <c r="H208" s="199" t="str">
        <f t="shared" si="7"/>
        <v/>
      </c>
      <c r="I208" s="200" t="str">
        <f>IF(H208="","",IF(AND(AI208&lt;=66),VLOOKUP(H208,'WordRead Look Up'!$A$13:$B$20,2,TRUE),IF(AND(AI208&gt;=67,AI208&lt;=72),VLOOKUP(H208,'WordRead Look Up'!$E$13:$F$20,2,TRUE),IF(AND(AI208&gt;=73,AI208&lt;=78),VLOOKUP(H208,'WordRead Look Up'!$I$13:$J$18,2,TRUE),IF(AND(AI208&gt;=79),VLOOKUP(H208,'WordRead Look Up'!$M$13:$N$18,2,TRUE),"")))))</f>
        <v/>
      </c>
      <c r="J208" s="122"/>
      <c r="K208" s="111"/>
      <c r="L208" s="111"/>
      <c r="M208" s="111"/>
      <c r="N208" s="111"/>
      <c r="O208" s="111"/>
      <c r="P208" s="111"/>
      <c r="Q208" s="111"/>
      <c r="R208" s="111"/>
      <c r="S208" s="111"/>
      <c r="T208" s="111"/>
      <c r="U208" s="111"/>
      <c r="V208" s="111"/>
      <c r="W208" s="111"/>
      <c r="X208" s="123"/>
      <c r="AI208" s="222" t="str">
        <f t="shared" si="8"/>
        <v/>
      </c>
    </row>
    <row r="209" spans="1:35" s="108" customFormat="1" ht="15.75">
      <c r="A209" s="119"/>
      <c r="B209" s="120"/>
      <c r="C209" s="111"/>
      <c r="D209" s="111"/>
      <c r="E209" s="121"/>
      <c r="F209" s="121"/>
      <c r="G209" s="113"/>
      <c r="H209" s="199" t="str">
        <f t="shared" si="7"/>
        <v/>
      </c>
      <c r="I209" s="200" t="str">
        <f>IF(H209="","",IF(AND(AI209&lt;=66),VLOOKUP(H209,'WordRead Look Up'!$A$13:$B$20,2,TRUE),IF(AND(AI209&gt;=67,AI209&lt;=72),VLOOKUP(H209,'WordRead Look Up'!$E$13:$F$20,2,TRUE),IF(AND(AI209&gt;=73,AI209&lt;=78),VLOOKUP(H209,'WordRead Look Up'!$I$13:$J$18,2,TRUE),IF(AND(AI209&gt;=79),VLOOKUP(H209,'WordRead Look Up'!$M$13:$N$18,2,TRUE),"")))))</f>
        <v/>
      </c>
      <c r="J209" s="122"/>
      <c r="K209" s="111"/>
      <c r="L209" s="111"/>
      <c r="M209" s="111"/>
      <c r="N209" s="111"/>
      <c r="O209" s="111"/>
      <c r="P209" s="111"/>
      <c r="Q209" s="111"/>
      <c r="R209" s="111"/>
      <c r="S209" s="111"/>
      <c r="T209" s="111"/>
      <c r="U209" s="111"/>
      <c r="V209" s="111"/>
      <c r="W209" s="111"/>
      <c r="X209" s="123"/>
      <c r="AI209" s="222" t="str">
        <f t="shared" si="8"/>
        <v/>
      </c>
    </row>
    <row r="210" spans="1:35" s="108" customFormat="1" ht="15.75">
      <c r="A210" s="119"/>
      <c r="B210" s="120"/>
      <c r="C210" s="111"/>
      <c r="D210" s="111"/>
      <c r="E210" s="121"/>
      <c r="F210" s="121"/>
      <c r="G210" s="113"/>
      <c r="H210" s="199" t="str">
        <f t="shared" si="7"/>
        <v/>
      </c>
      <c r="I210" s="200" t="str">
        <f>IF(H210="","",IF(AND(AI210&lt;=66),VLOOKUP(H210,'WordRead Look Up'!$A$13:$B$20,2,TRUE),IF(AND(AI210&gt;=67,AI210&lt;=72),VLOOKUP(H210,'WordRead Look Up'!$E$13:$F$20,2,TRUE),IF(AND(AI210&gt;=73,AI210&lt;=78),VLOOKUP(H210,'WordRead Look Up'!$I$13:$J$18,2,TRUE),IF(AND(AI210&gt;=79),VLOOKUP(H210,'WordRead Look Up'!$M$13:$N$18,2,TRUE),"")))))</f>
        <v/>
      </c>
      <c r="J210" s="122"/>
      <c r="K210" s="111"/>
      <c r="L210" s="111"/>
      <c r="M210" s="111"/>
      <c r="N210" s="111"/>
      <c r="O210" s="111"/>
      <c r="P210" s="111"/>
      <c r="Q210" s="111"/>
      <c r="R210" s="111"/>
      <c r="S210" s="111"/>
      <c r="T210" s="111"/>
      <c r="U210" s="111"/>
      <c r="V210" s="111"/>
      <c r="W210" s="111"/>
      <c r="X210" s="123"/>
      <c r="AI210" s="222" t="str">
        <f t="shared" si="8"/>
        <v/>
      </c>
    </row>
    <row r="211" spans="1:35" s="108" customFormat="1" ht="15.75">
      <c r="A211" s="119"/>
      <c r="B211" s="120"/>
      <c r="C211" s="111"/>
      <c r="D211" s="111"/>
      <c r="E211" s="121"/>
      <c r="F211" s="121"/>
      <c r="G211" s="113"/>
      <c r="H211" s="199" t="str">
        <f t="shared" si="7"/>
        <v/>
      </c>
      <c r="I211" s="200" t="str">
        <f>IF(H211="","",IF(AND(AI211&lt;=66),VLOOKUP(H211,'WordRead Look Up'!$A$13:$B$20,2,TRUE),IF(AND(AI211&gt;=67,AI211&lt;=72),VLOOKUP(H211,'WordRead Look Up'!$E$13:$F$20,2,TRUE),IF(AND(AI211&gt;=73,AI211&lt;=78),VLOOKUP(H211,'WordRead Look Up'!$I$13:$J$18,2,TRUE),IF(AND(AI211&gt;=79),VLOOKUP(H211,'WordRead Look Up'!$M$13:$N$18,2,TRUE),"")))))</f>
        <v/>
      </c>
      <c r="J211" s="122"/>
      <c r="K211" s="111"/>
      <c r="L211" s="111"/>
      <c r="M211" s="111"/>
      <c r="N211" s="111"/>
      <c r="O211" s="111"/>
      <c r="P211" s="111"/>
      <c r="Q211" s="111"/>
      <c r="R211" s="111"/>
      <c r="S211" s="111"/>
      <c r="T211" s="111"/>
      <c r="U211" s="111"/>
      <c r="V211" s="111"/>
      <c r="W211" s="111"/>
      <c r="X211" s="123"/>
      <c r="AI211" s="222" t="str">
        <f t="shared" si="8"/>
        <v/>
      </c>
    </row>
    <row r="212" spans="1:35" s="108" customFormat="1" ht="15.75">
      <c r="A212" s="119"/>
      <c r="B212" s="120"/>
      <c r="C212" s="111"/>
      <c r="D212" s="111"/>
      <c r="E212" s="121"/>
      <c r="F212" s="121"/>
      <c r="G212" s="113"/>
      <c r="H212" s="199" t="str">
        <f t="shared" si="7"/>
        <v/>
      </c>
      <c r="I212" s="200" t="str">
        <f>IF(H212="","",IF(AND(AI212&lt;=66),VLOOKUP(H212,'WordRead Look Up'!$A$13:$B$20,2,TRUE),IF(AND(AI212&gt;=67,AI212&lt;=72),VLOOKUP(H212,'WordRead Look Up'!$E$13:$F$20,2,TRUE),IF(AND(AI212&gt;=73,AI212&lt;=78),VLOOKUP(H212,'WordRead Look Up'!$I$13:$J$18,2,TRUE),IF(AND(AI212&gt;=79),VLOOKUP(H212,'WordRead Look Up'!$M$13:$N$18,2,TRUE),"")))))</f>
        <v/>
      </c>
      <c r="J212" s="122"/>
      <c r="K212" s="111"/>
      <c r="L212" s="111"/>
      <c r="M212" s="111"/>
      <c r="N212" s="111"/>
      <c r="O212" s="111"/>
      <c r="P212" s="111"/>
      <c r="Q212" s="111"/>
      <c r="R212" s="111"/>
      <c r="S212" s="111"/>
      <c r="T212" s="111"/>
      <c r="U212" s="111"/>
      <c r="V212" s="111"/>
      <c r="W212" s="111"/>
      <c r="X212" s="123"/>
      <c r="AI212" s="222" t="str">
        <f t="shared" si="8"/>
        <v/>
      </c>
    </row>
    <row r="213" spans="1:35" s="108" customFormat="1" ht="15.75">
      <c r="A213" s="119"/>
      <c r="B213" s="120"/>
      <c r="C213" s="111"/>
      <c r="D213" s="111"/>
      <c r="E213" s="121"/>
      <c r="F213" s="121"/>
      <c r="G213" s="113"/>
      <c r="H213" s="199" t="str">
        <f t="shared" si="7"/>
        <v/>
      </c>
      <c r="I213" s="200" t="str">
        <f>IF(H213="","",IF(AND(AI213&lt;=66),VLOOKUP(H213,'WordRead Look Up'!$A$13:$B$20,2,TRUE),IF(AND(AI213&gt;=67,AI213&lt;=72),VLOOKUP(H213,'WordRead Look Up'!$E$13:$F$20,2,TRUE),IF(AND(AI213&gt;=73,AI213&lt;=78),VLOOKUP(H213,'WordRead Look Up'!$I$13:$J$18,2,TRUE),IF(AND(AI213&gt;=79),VLOOKUP(H213,'WordRead Look Up'!$M$13:$N$18,2,TRUE),"")))))</f>
        <v/>
      </c>
      <c r="J213" s="122"/>
      <c r="K213" s="111"/>
      <c r="L213" s="111"/>
      <c r="M213" s="111"/>
      <c r="N213" s="111"/>
      <c r="O213" s="111"/>
      <c r="P213" s="111"/>
      <c r="Q213" s="111"/>
      <c r="R213" s="111"/>
      <c r="S213" s="111"/>
      <c r="T213" s="111"/>
      <c r="U213" s="111"/>
      <c r="V213" s="111"/>
      <c r="W213" s="111"/>
      <c r="X213" s="123"/>
      <c r="AI213" s="222" t="str">
        <f t="shared" si="8"/>
        <v/>
      </c>
    </row>
    <row r="214" spans="1:35" s="108" customFormat="1" ht="15.75">
      <c r="A214" s="119"/>
      <c r="B214" s="120"/>
      <c r="C214" s="111"/>
      <c r="D214" s="111"/>
      <c r="E214" s="121"/>
      <c r="F214" s="121"/>
      <c r="G214" s="113"/>
      <c r="H214" s="199" t="str">
        <f t="shared" si="7"/>
        <v/>
      </c>
      <c r="I214" s="200" t="str">
        <f>IF(H214="","",IF(AND(AI214&lt;=66),VLOOKUP(H214,'WordRead Look Up'!$A$13:$B$20,2,TRUE),IF(AND(AI214&gt;=67,AI214&lt;=72),VLOOKUP(H214,'WordRead Look Up'!$E$13:$F$20,2,TRUE),IF(AND(AI214&gt;=73,AI214&lt;=78),VLOOKUP(H214,'WordRead Look Up'!$I$13:$J$18,2,TRUE),IF(AND(AI214&gt;=79),VLOOKUP(H214,'WordRead Look Up'!$M$13:$N$18,2,TRUE),"")))))</f>
        <v/>
      </c>
      <c r="J214" s="122"/>
      <c r="K214" s="111"/>
      <c r="L214" s="111"/>
      <c r="M214" s="111"/>
      <c r="N214" s="111"/>
      <c r="O214" s="111"/>
      <c r="P214" s="111"/>
      <c r="Q214" s="111"/>
      <c r="R214" s="111"/>
      <c r="S214" s="111"/>
      <c r="T214" s="111"/>
      <c r="U214" s="111"/>
      <c r="V214" s="111"/>
      <c r="W214" s="111"/>
      <c r="X214" s="123"/>
      <c r="AI214" s="222" t="str">
        <f t="shared" si="8"/>
        <v/>
      </c>
    </row>
    <row r="215" spans="1:35" s="108" customFormat="1" ht="15.75">
      <c r="A215" s="119"/>
      <c r="B215" s="120"/>
      <c r="C215" s="111"/>
      <c r="D215" s="111"/>
      <c r="E215" s="121"/>
      <c r="F215" s="121"/>
      <c r="G215" s="113"/>
      <c r="H215" s="199" t="str">
        <f t="shared" si="7"/>
        <v/>
      </c>
      <c r="I215" s="200" t="str">
        <f>IF(H215="","",IF(AND(AI215&lt;=66),VLOOKUP(H215,'WordRead Look Up'!$A$13:$B$20,2,TRUE),IF(AND(AI215&gt;=67,AI215&lt;=72),VLOOKUP(H215,'WordRead Look Up'!$E$13:$F$20,2,TRUE),IF(AND(AI215&gt;=73,AI215&lt;=78),VLOOKUP(H215,'WordRead Look Up'!$I$13:$J$18,2,TRUE),IF(AND(AI215&gt;=79),VLOOKUP(H215,'WordRead Look Up'!$M$13:$N$18,2,TRUE),"")))))</f>
        <v/>
      </c>
      <c r="J215" s="122"/>
      <c r="K215" s="111"/>
      <c r="L215" s="111"/>
      <c r="M215" s="111"/>
      <c r="N215" s="111"/>
      <c r="O215" s="111"/>
      <c r="P215" s="111"/>
      <c r="Q215" s="111"/>
      <c r="R215" s="111"/>
      <c r="S215" s="111"/>
      <c r="T215" s="111"/>
      <c r="U215" s="111"/>
      <c r="V215" s="111"/>
      <c r="W215" s="111"/>
      <c r="X215" s="123"/>
      <c r="AI215" s="222" t="str">
        <f t="shared" si="8"/>
        <v/>
      </c>
    </row>
    <row r="216" spans="1:35" s="108" customFormat="1" ht="15.75">
      <c r="A216" s="119"/>
      <c r="B216" s="120"/>
      <c r="C216" s="111"/>
      <c r="D216" s="111"/>
      <c r="E216" s="121"/>
      <c r="F216" s="121"/>
      <c r="G216" s="113"/>
      <c r="H216" s="199" t="str">
        <f t="shared" si="7"/>
        <v/>
      </c>
      <c r="I216" s="200" t="str">
        <f>IF(H216="","",IF(AND(AI216&lt;=66),VLOOKUP(H216,'WordRead Look Up'!$A$13:$B$20,2,TRUE),IF(AND(AI216&gt;=67,AI216&lt;=72),VLOOKUP(H216,'WordRead Look Up'!$E$13:$F$20,2,TRUE),IF(AND(AI216&gt;=73,AI216&lt;=78),VLOOKUP(H216,'WordRead Look Up'!$I$13:$J$18,2,TRUE),IF(AND(AI216&gt;=79),VLOOKUP(H216,'WordRead Look Up'!$M$13:$N$18,2,TRUE),"")))))</f>
        <v/>
      </c>
      <c r="J216" s="122"/>
      <c r="K216" s="111"/>
      <c r="L216" s="111"/>
      <c r="M216" s="111"/>
      <c r="N216" s="111"/>
      <c r="O216" s="111"/>
      <c r="P216" s="111"/>
      <c r="Q216" s="111"/>
      <c r="R216" s="111"/>
      <c r="S216" s="111"/>
      <c r="T216" s="111"/>
      <c r="U216" s="111"/>
      <c r="V216" s="111"/>
      <c r="W216" s="111"/>
      <c r="X216" s="123"/>
      <c r="AI216" s="222" t="str">
        <f t="shared" si="8"/>
        <v/>
      </c>
    </row>
    <row r="217" spans="1:35" s="108" customFormat="1" ht="15.75">
      <c r="A217" s="119"/>
      <c r="B217" s="120"/>
      <c r="C217" s="111"/>
      <c r="D217" s="111"/>
      <c r="E217" s="121"/>
      <c r="F217" s="121"/>
      <c r="G217" s="113"/>
      <c r="H217" s="199" t="str">
        <f t="shared" si="7"/>
        <v/>
      </c>
      <c r="I217" s="200" t="str">
        <f>IF(H217="","",IF(AND(AI217&lt;=66),VLOOKUP(H217,'WordRead Look Up'!$A$13:$B$20,2,TRUE),IF(AND(AI217&gt;=67,AI217&lt;=72),VLOOKUP(H217,'WordRead Look Up'!$E$13:$F$20,2,TRUE),IF(AND(AI217&gt;=73,AI217&lt;=78),VLOOKUP(H217,'WordRead Look Up'!$I$13:$J$18,2,TRUE),IF(AND(AI217&gt;=79),VLOOKUP(H217,'WordRead Look Up'!$M$13:$N$18,2,TRUE),"")))))</f>
        <v/>
      </c>
      <c r="J217" s="122"/>
      <c r="K217" s="111"/>
      <c r="L217" s="111"/>
      <c r="M217" s="111"/>
      <c r="N217" s="111"/>
      <c r="O217" s="111"/>
      <c r="P217" s="111"/>
      <c r="Q217" s="111"/>
      <c r="R217" s="111"/>
      <c r="S217" s="111"/>
      <c r="T217" s="111"/>
      <c r="U217" s="111"/>
      <c r="V217" s="111"/>
      <c r="W217" s="111"/>
      <c r="X217" s="123"/>
      <c r="AI217" s="222" t="str">
        <f t="shared" si="8"/>
        <v/>
      </c>
    </row>
    <row r="218" spans="1:35" s="108" customFormat="1" ht="15.75">
      <c r="A218" s="119"/>
      <c r="B218" s="120"/>
      <c r="C218" s="111"/>
      <c r="D218" s="111"/>
      <c r="E218" s="121"/>
      <c r="F218" s="121"/>
      <c r="G218" s="113"/>
      <c r="H218" s="199" t="str">
        <f t="shared" si="7"/>
        <v/>
      </c>
      <c r="I218" s="200" t="str">
        <f>IF(H218="","",IF(AND(AI218&lt;=66),VLOOKUP(H218,'WordRead Look Up'!$A$13:$B$20,2,TRUE),IF(AND(AI218&gt;=67,AI218&lt;=72),VLOOKUP(H218,'WordRead Look Up'!$E$13:$F$20,2,TRUE),IF(AND(AI218&gt;=73,AI218&lt;=78),VLOOKUP(H218,'WordRead Look Up'!$I$13:$J$18,2,TRUE),IF(AND(AI218&gt;=79),VLOOKUP(H218,'WordRead Look Up'!$M$13:$N$18,2,TRUE),"")))))</f>
        <v/>
      </c>
      <c r="J218" s="122"/>
      <c r="K218" s="111"/>
      <c r="L218" s="111"/>
      <c r="M218" s="111"/>
      <c r="N218" s="111"/>
      <c r="O218" s="111"/>
      <c r="P218" s="111"/>
      <c r="Q218" s="111"/>
      <c r="R218" s="111"/>
      <c r="S218" s="111"/>
      <c r="T218" s="111"/>
      <c r="U218" s="111"/>
      <c r="V218" s="111"/>
      <c r="W218" s="111"/>
      <c r="X218" s="123"/>
      <c r="AI218" s="222" t="str">
        <f t="shared" si="8"/>
        <v/>
      </c>
    </row>
    <row r="219" spans="1:35" s="108" customFormat="1" ht="15.75">
      <c r="A219" s="119"/>
      <c r="B219" s="120"/>
      <c r="C219" s="111"/>
      <c r="D219" s="111"/>
      <c r="E219" s="121"/>
      <c r="F219" s="121"/>
      <c r="G219" s="113"/>
      <c r="H219" s="199" t="str">
        <f t="shared" si="7"/>
        <v/>
      </c>
      <c r="I219" s="200" t="str">
        <f>IF(H219="","",IF(AND(AI219&lt;=66),VLOOKUP(H219,'WordRead Look Up'!$A$13:$B$20,2,TRUE),IF(AND(AI219&gt;=67,AI219&lt;=72),VLOOKUP(H219,'WordRead Look Up'!$E$13:$F$20,2,TRUE),IF(AND(AI219&gt;=73,AI219&lt;=78),VLOOKUP(H219,'WordRead Look Up'!$I$13:$J$18,2,TRUE),IF(AND(AI219&gt;=79),VLOOKUP(H219,'WordRead Look Up'!$M$13:$N$18,2,TRUE),"")))))</f>
        <v/>
      </c>
      <c r="J219" s="122"/>
      <c r="K219" s="111"/>
      <c r="L219" s="111"/>
      <c r="M219" s="111"/>
      <c r="N219" s="111"/>
      <c r="O219" s="111"/>
      <c r="P219" s="111"/>
      <c r="Q219" s="111"/>
      <c r="R219" s="111"/>
      <c r="S219" s="111"/>
      <c r="T219" s="111"/>
      <c r="U219" s="111"/>
      <c r="V219" s="111"/>
      <c r="W219" s="111"/>
      <c r="X219" s="123"/>
      <c r="AI219" s="222" t="str">
        <f t="shared" si="8"/>
        <v/>
      </c>
    </row>
    <row r="220" spans="1:35" s="108" customFormat="1" ht="15.75">
      <c r="A220" s="119"/>
      <c r="B220" s="120"/>
      <c r="C220" s="111"/>
      <c r="D220" s="111"/>
      <c r="E220" s="121"/>
      <c r="F220" s="121"/>
      <c r="G220" s="113"/>
      <c r="H220" s="199" t="str">
        <f t="shared" si="7"/>
        <v/>
      </c>
      <c r="I220" s="200" t="str">
        <f>IF(H220="","",IF(AND(AI220&lt;=66),VLOOKUP(H220,'WordRead Look Up'!$A$13:$B$20,2,TRUE),IF(AND(AI220&gt;=67,AI220&lt;=72),VLOOKUP(H220,'WordRead Look Up'!$E$13:$F$20,2,TRUE),IF(AND(AI220&gt;=73,AI220&lt;=78),VLOOKUP(H220,'WordRead Look Up'!$I$13:$J$18,2,TRUE),IF(AND(AI220&gt;=79),VLOOKUP(H220,'WordRead Look Up'!$M$13:$N$18,2,TRUE),"")))))</f>
        <v/>
      </c>
      <c r="J220" s="122"/>
      <c r="K220" s="111"/>
      <c r="L220" s="111"/>
      <c r="M220" s="111"/>
      <c r="N220" s="111"/>
      <c r="O220" s="111"/>
      <c r="P220" s="111"/>
      <c r="Q220" s="111"/>
      <c r="R220" s="111"/>
      <c r="S220" s="111"/>
      <c r="T220" s="111"/>
      <c r="U220" s="111"/>
      <c r="V220" s="111"/>
      <c r="W220" s="111"/>
      <c r="X220" s="123"/>
      <c r="AI220" s="222" t="str">
        <f t="shared" si="8"/>
        <v/>
      </c>
    </row>
    <row r="221" spans="1:35" s="108" customFormat="1" ht="15.75">
      <c r="A221" s="119"/>
      <c r="B221" s="120"/>
      <c r="C221" s="111"/>
      <c r="D221" s="111"/>
      <c r="E221" s="121"/>
      <c r="F221" s="121"/>
      <c r="G221" s="113"/>
      <c r="H221" s="199" t="str">
        <f t="shared" si="7"/>
        <v/>
      </c>
      <c r="I221" s="200" t="str">
        <f>IF(H221="","",IF(AND(AI221&lt;=66),VLOOKUP(H221,'WordRead Look Up'!$A$13:$B$20,2,TRUE),IF(AND(AI221&gt;=67,AI221&lt;=72),VLOOKUP(H221,'WordRead Look Up'!$E$13:$F$20,2,TRUE),IF(AND(AI221&gt;=73,AI221&lt;=78),VLOOKUP(H221,'WordRead Look Up'!$I$13:$J$18,2,TRUE),IF(AND(AI221&gt;=79),VLOOKUP(H221,'WordRead Look Up'!$M$13:$N$18,2,TRUE),"")))))</f>
        <v/>
      </c>
      <c r="J221" s="122"/>
      <c r="K221" s="111"/>
      <c r="L221" s="111"/>
      <c r="M221" s="111"/>
      <c r="N221" s="111"/>
      <c r="O221" s="111"/>
      <c r="P221" s="111"/>
      <c r="Q221" s="111"/>
      <c r="R221" s="111"/>
      <c r="S221" s="111"/>
      <c r="T221" s="111"/>
      <c r="U221" s="111"/>
      <c r="V221" s="111"/>
      <c r="W221" s="111"/>
      <c r="X221" s="123"/>
      <c r="AI221" s="222" t="str">
        <f t="shared" si="8"/>
        <v/>
      </c>
    </row>
    <row r="222" spans="1:35" s="108" customFormat="1" ht="15.75">
      <c r="A222" s="119"/>
      <c r="B222" s="120"/>
      <c r="C222" s="111"/>
      <c r="D222" s="111"/>
      <c r="E222" s="121"/>
      <c r="F222" s="121"/>
      <c r="G222" s="113"/>
      <c r="H222" s="199" t="str">
        <f t="shared" si="7"/>
        <v/>
      </c>
      <c r="I222" s="200" t="str">
        <f>IF(H222="","",IF(AND(AI222&lt;=66),VLOOKUP(H222,'WordRead Look Up'!$A$13:$B$20,2,TRUE),IF(AND(AI222&gt;=67,AI222&lt;=72),VLOOKUP(H222,'WordRead Look Up'!$E$13:$F$20,2,TRUE),IF(AND(AI222&gt;=73,AI222&lt;=78),VLOOKUP(H222,'WordRead Look Up'!$I$13:$J$18,2,TRUE),IF(AND(AI222&gt;=79),VLOOKUP(H222,'WordRead Look Up'!$M$13:$N$18,2,TRUE),"")))))</f>
        <v/>
      </c>
      <c r="J222" s="122"/>
      <c r="K222" s="111"/>
      <c r="L222" s="111"/>
      <c r="M222" s="111"/>
      <c r="N222" s="111"/>
      <c r="O222" s="111"/>
      <c r="P222" s="111"/>
      <c r="Q222" s="111"/>
      <c r="R222" s="111"/>
      <c r="S222" s="111"/>
      <c r="T222" s="111"/>
      <c r="U222" s="111"/>
      <c r="V222" s="111"/>
      <c r="W222" s="111"/>
      <c r="X222" s="123"/>
      <c r="AI222" s="222" t="str">
        <f t="shared" si="8"/>
        <v/>
      </c>
    </row>
    <row r="223" spans="1:35" s="108" customFormat="1" ht="15.75">
      <c r="A223" s="119"/>
      <c r="B223" s="120"/>
      <c r="C223" s="111"/>
      <c r="D223" s="111"/>
      <c r="E223" s="121"/>
      <c r="F223" s="121"/>
      <c r="G223" s="113"/>
      <c r="H223" s="199" t="str">
        <f t="shared" si="7"/>
        <v/>
      </c>
      <c r="I223" s="200" t="str">
        <f>IF(H223="","",IF(AND(AI223&lt;=66),VLOOKUP(H223,'WordRead Look Up'!$A$13:$B$20,2,TRUE),IF(AND(AI223&gt;=67,AI223&lt;=72),VLOOKUP(H223,'WordRead Look Up'!$E$13:$F$20,2,TRUE),IF(AND(AI223&gt;=73,AI223&lt;=78),VLOOKUP(H223,'WordRead Look Up'!$I$13:$J$18,2,TRUE),IF(AND(AI223&gt;=79),VLOOKUP(H223,'WordRead Look Up'!$M$13:$N$18,2,TRUE),"")))))</f>
        <v/>
      </c>
      <c r="J223" s="122"/>
      <c r="K223" s="111"/>
      <c r="L223" s="111"/>
      <c r="M223" s="111"/>
      <c r="N223" s="111"/>
      <c r="O223" s="111"/>
      <c r="P223" s="111"/>
      <c r="Q223" s="111"/>
      <c r="R223" s="111"/>
      <c r="S223" s="111"/>
      <c r="T223" s="111"/>
      <c r="U223" s="111"/>
      <c r="V223" s="111"/>
      <c r="W223" s="111"/>
      <c r="X223" s="123"/>
      <c r="AI223" s="222" t="str">
        <f t="shared" si="8"/>
        <v/>
      </c>
    </row>
    <row r="224" spans="1:35" s="108" customFormat="1" ht="15.75">
      <c r="A224" s="119"/>
      <c r="B224" s="120"/>
      <c r="C224" s="111"/>
      <c r="D224" s="111"/>
      <c r="E224" s="121"/>
      <c r="F224" s="121"/>
      <c r="G224" s="113"/>
      <c r="H224" s="199" t="str">
        <f t="shared" si="7"/>
        <v/>
      </c>
      <c r="I224" s="200" t="str">
        <f>IF(H224="","",IF(AND(AI224&lt;=66),VLOOKUP(H224,'WordRead Look Up'!$A$13:$B$20,2,TRUE),IF(AND(AI224&gt;=67,AI224&lt;=72),VLOOKUP(H224,'WordRead Look Up'!$E$13:$F$20,2,TRUE),IF(AND(AI224&gt;=73,AI224&lt;=78),VLOOKUP(H224,'WordRead Look Up'!$I$13:$J$18,2,TRUE),IF(AND(AI224&gt;=79),VLOOKUP(H224,'WordRead Look Up'!$M$13:$N$18,2,TRUE),"")))))</f>
        <v/>
      </c>
      <c r="J224" s="122"/>
      <c r="K224" s="111"/>
      <c r="L224" s="111"/>
      <c r="M224" s="111"/>
      <c r="N224" s="111"/>
      <c r="O224" s="111"/>
      <c r="P224" s="111"/>
      <c r="Q224" s="111"/>
      <c r="R224" s="111"/>
      <c r="S224" s="111"/>
      <c r="T224" s="111"/>
      <c r="U224" s="111"/>
      <c r="V224" s="111"/>
      <c r="W224" s="111"/>
      <c r="X224" s="123"/>
      <c r="AI224" s="222" t="str">
        <f t="shared" si="8"/>
        <v/>
      </c>
    </row>
    <row r="225" spans="1:35" s="108" customFormat="1" ht="15.75">
      <c r="A225" s="119"/>
      <c r="B225" s="120"/>
      <c r="C225" s="111"/>
      <c r="D225" s="111"/>
      <c r="E225" s="121"/>
      <c r="F225" s="121"/>
      <c r="G225" s="113"/>
      <c r="H225" s="199" t="str">
        <f t="shared" si="7"/>
        <v/>
      </c>
      <c r="I225" s="200" t="str">
        <f>IF(H225="","",IF(AND(AI225&lt;=66),VLOOKUP(H225,'WordRead Look Up'!$A$13:$B$20,2,TRUE),IF(AND(AI225&gt;=67,AI225&lt;=72),VLOOKUP(H225,'WordRead Look Up'!$E$13:$F$20,2,TRUE),IF(AND(AI225&gt;=73,AI225&lt;=78),VLOOKUP(H225,'WordRead Look Up'!$I$13:$J$18,2,TRUE),IF(AND(AI225&gt;=79),VLOOKUP(H225,'WordRead Look Up'!$M$13:$N$18,2,TRUE),"")))))</f>
        <v/>
      </c>
      <c r="J225" s="122"/>
      <c r="K225" s="111"/>
      <c r="L225" s="111"/>
      <c r="M225" s="111"/>
      <c r="N225" s="111"/>
      <c r="O225" s="111"/>
      <c r="P225" s="111"/>
      <c r="Q225" s="111"/>
      <c r="R225" s="111"/>
      <c r="S225" s="111"/>
      <c r="T225" s="111"/>
      <c r="U225" s="111"/>
      <c r="V225" s="111"/>
      <c r="W225" s="111"/>
      <c r="X225" s="123"/>
      <c r="AI225" s="222" t="str">
        <f t="shared" si="8"/>
        <v/>
      </c>
    </row>
    <row r="226" spans="1:35" s="108" customFormat="1" ht="15.75">
      <c r="A226" s="119"/>
      <c r="B226" s="120"/>
      <c r="C226" s="111"/>
      <c r="D226" s="111"/>
      <c r="E226" s="121"/>
      <c r="F226" s="121"/>
      <c r="G226" s="113"/>
      <c r="H226" s="199" t="str">
        <f t="shared" si="7"/>
        <v/>
      </c>
      <c r="I226" s="200" t="str">
        <f>IF(H226="","",IF(AND(AI226&lt;=66),VLOOKUP(H226,'WordRead Look Up'!$A$13:$B$20,2,TRUE),IF(AND(AI226&gt;=67,AI226&lt;=72),VLOOKUP(H226,'WordRead Look Up'!$E$13:$F$20,2,TRUE),IF(AND(AI226&gt;=73,AI226&lt;=78),VLOOKUP(H226,'WordRead Look Up'!$I$13:$J$18,2,TRUE),IF(AND(AI226&gt;=79),VLOOKUP(H226,'WordRead Look Up'!$M$13:$N$18,2,TRUE),"")))))</f>
        <v/>
      </c>
      <c r="J226" s="122"/>
      <c r="K226" s="111"/>
      <c r="L226" s="111"/>
      <c r="M226" s="111"/>
      <c r="N226" s="111"/>
      <c r="O226" s="111"/>
      <c r="P226" s="111"/>
      <c r="Q226" s="111"/>
      <c r="R226" s="111"/>
      <c r="S226" s="111"/>
      <c r="T226" s="111"/>
      <c r="U226" s="111"/>
      <c r="V226" s="111"/>
      <c r="W226" s="111"/>
      <c r="X226" s="123"/>
      <c r="AI226" s="222" t="str">
        <f t="shared" si="8"/>
        <v/>
      </c>
    </row>
    <row r="227" spans="1:35" s="108" customFormat="1" ht="15.75">
      <c r="A227" s="119"/>
      <c r="B227" s="120"/>
      <c r="C227" s="111"/>
      <c r="D227" s="111"/>
      <c r="E227" s="121"/>
      <c r="F227" s="121"/>
      <c r="G227" s="113"/>
      <c r="H227" s="199" t="str">
        <f t="shared" si="7"/>
        <v/>
      </c>
      <c r="I227" s="200" t="str">
        <f>IF(H227="","",IF(AND(AI227&lt;=66),VLOOKUP(H227,'WordRead Look Up'!$A$13:$B$20,2,TRUE),IF(AND(AI227&gt;=67,AI227&lt;=72),VLOOKUP(H227,'WordRead Look Up'!$E$13:$F$20,2,TRUE),IF(AND(AI227&gt;=73,AI227&lt;=78),VLOOKUP(H227,'WordRead Look Up'!$I$13:$J$18,2,TRUE),IF(AND(AI227&gt;=79),VLOOKUP(H227,'WordRead Look Up'!$M$13:$N$18,2,TRUE),"")))))</f>
        <v/>
      </c>
      <c r="J227" s="122"/>
      <c r="K227" s="111"/>
      <c r="L227" s="111"/>
      <c r="M227" s="111"/>
      <c r="N227" s="111"/>
      <c r="O227" s="111"/>
      <c r="P227" s="111"/>
      <c r="Q227" s="111"/>
      <c r="R227" s="111"/>
      <c r="S227" s="111"/>
      <c r="T227" s="111"/>
      <c r="U227" s="111"/>
      <c r="V227" s="111"/>
      <c r="W227" s="111"/>
      <c r="X227" s="123"/>
      <c r="AI227" s="222" t="str">
        <f t="shared" si="8"/>
        <v/>
      </c>
    </row>
    <row r="228" spans="1:35" s="108" customFormat="1" ht="15.75">
      <c r="A228" s="119"/>
      <c r="B228" s="120"/>
      <c r="C228" s="111"/>
      <c r="D228" s="111"/>
      <c r="E228" s="121"/>
      <c r="F228" s="121"/>
      <c r="G228" s="113"/>
      <c r="H228" s="199" t="str">
        <f t="shared" si="7"/>
        <v/>
      </c>
      <c r="I228" s="200" t="str">
        <f>IF(H228="","",IF(AND(AI228&lt;=66),VLOOKUP(H228,'WordRead Look Up'!$A$13:$B$20,2,TRUE),IF(AND(AI228&gt;=67,AI228&lt;=72),VLOOKUP(H228,'WordRead Look Up'!$E$13:$F$20,2,TRUE),IF(AND(AI228&gt;=73,AI228&lt;=78),VLOOKUP(H228,'WordRead Look Up'!$I$13:$J$18,2,TRUE),IF(AND(AI228&gt;=79),VLOOKUP(H228,'WordRead Look Up'!$M$13:$N$18,2,TRUE),"")))))</f>
        <v/>
      </c>
      <c r="J228" s="122"/>
      <c r="K228" s="111"/>
      <c r="L228" s="111"/>
      <c r="M228" s="111"/>
      <c r="N228" s="111"/>
      <c r="O228" s="111"/>
      <c r="P228" s="111"/>
      <c r="Q228" s="111"/>
      <c r="R228" s="111"/>
      <c r="S228" s="111"/>
      <c r="T228" s="111"/>
      <c r="U228" s="111"/>
      <c r="V228" s="111"/>
      <c r="W228" s="111"/>
      <c r="X228" s="123"/>
      <c r="AI228" s="222" t="str">
        <f t="shared" si="8"/>
        <v/>
      </c>
    </row>
    <row r="229" spans="1:35" s="108" customFormat="1" ht="15.75">
      <c r="A229" s="119"/>
      <c r="B229" s="120"/>
      <c r="C229" s="111"/>
      <c r="D229" s="111"/>
      <c r="E229" s="121"/>
      <c r="F229" s="121"/>
      <c r="G229" s="113"/>
      <c r="H229" s="199" t="str">
        <f t="shared" si="7"/>
        <v/>
      </c>
      <c r="I229" s="200" t="str">
        <f>IF(H229="","",IF(AND(AI229&lt;=66),VLOOKUP(H229,'WordRead Look Up'!$A$13:$B$20,2,TRUE),IF(AND(AI229&gt;=67,AI229&lt;=72),VLOOKUP(H229,'WordRead Look Up'!$E$13:$F$20,2,TRUE),IF(AND(AI229&gt;=73,AI229&lt;=78),VLOOKUP(H229,'WordRead Look Up'!$I$13:$J$18,2,TRUE),IF(AND(AI229&gt;=79),VLOOKUP(H229,'WordRead Look Up'!$M$13:$N$18,2,TRUE),"")))))</f>
        <v/>
      </c>
      <c r="J229" s="122"/>
      <c r="K229" s="111"/>
      <c r="L229" s="111"/>
      <c r="M229" s="111"/>
      <c r="N229" s="111"/>
      <c r="O229" s="111"/>
      <c r="P229" s="111"/>
      <c r="Q229" s="111"/>
      <c r="R229" s="111"/>
      <c r="S229" s="111"/>
      <c r="T229" s="111"/>
      <c r="U229" s="111"/>
      <c r="V229" s="111"/>
      <c r="W229" s="111"/>
      <c r="X229" s="123"/>
      <c r="AI229" s="222" t="str">
        <f t="shared" si="8"/>
        <v/>
      </c>
    </row>
    <row r="230" spans="1:35" s="108" customFormat="1" ht="15.75">
      <c r="A230" s="119"/>
      <c r="B230" s="120"/>
      <c r="C230" s="111"/>
      <c r="D230" s="111"/>
      <c r="E230" s="121"/>
      <c r="F230" s="121"/>
      <c r="G230" s="113"/>
      <c r="H230" s="199" t="str">
        <f t="shared" si="7"/>
        <v/>
      </c>
      <c r="I230" s="200" t="str">
        <f>IF(H230="","",IF(AND(AI230&lt;=66),VLOOKUP(H230,'WordRead Look Up'!$A$13:$B$20,2,TRUE),IF(AND(AI230&gt;=67,AI230&lt;=72),VLOOKUP(H230,'WordRead Look Up'!$E$13:$F$20,2,TRUE),IF(AND(AI230&gt;=73,AI230&lt;=78),VLOOKUP(H230,'WordRead Look Up'!$I$13:$J$18,2,TRUE),IF(AND(AI230&gt;=79),VLOOKUP(H230,'WordRead Look Up'!$M$13:$N$18,2,TRUE),"")))))</f>
        <v/>
      </c>
      <c r="J230" s="122"/>
      <c r="K230" s="111"/>
      <c r="L230" s="111"/>
      <c r="M230" s="111"/>
      <c r="N230" s="111"/>
      <c r="O230" s="111"/>
      <c r="P230" s="111"/>
      <c r="Q230" s="111"/>
      <c r="R230" s="111"/>
      <c r="S230" s="111"/>
      <c r="T230" s="111"/>
      <c r="U230" s="111"/>
      <c r="V230" s="111"/>
      <c r="W230" s="111"/>
      <c r="X230" s="123"/>
      <c r="AI230" s="222" t="str">
        <f t="shared" si="8"/>
        <v/>
      </c>
    </row>
    <row r="231" spans="1:35" s="108" customFormat="1" ht="15.75">
      <c r="A231" s="119"/>
      <c r="B231" s="120"/>
      <c r="C231" s="111"/>
      <c r="D231" s="111"/>
      <c r="E231" s="121"/>
      <c r="F231" s="121"/>
      <c r="G231" s="113"/>
      <c r="H231" s="199" t="str">
        <f t="shared" si="7"/>
        <v/>
      </c>
      <c r="I231" s="200" t="str">
        <f>IF(H231="","",IF(AND(AI231&lt;=66),VLOOKUP(H231,'WordRead Look Up'!$A$13:$B$20,2,TRUE),IF(AND(AI231&gt;=67,AI231&lt;=72),VLOOKUP(H231,'WordRead Look Up'!$E$13:$F$20,2,TRUE),IF(AND(AI231&gt;=73,AI231&lt;=78),VLOOKUP(H231,'WordRead Look Up'!$I$13:$J$18,2,TRUE),IF(AND(AI231&gt;=79),VLOOKUP(H231,'WordRead Look Up'!$M$13:$N$18,2,TRUE),"")))))</f>
        <v/>
      </c>
      <c r="J231" s="122"/>
      <c r="K231" s="111"/>
      <c r="L231" s="111"/>
      <c r="M231" s="111"/>
      <c r="N231" s="111"/>
      <c r="O231" s="111"/>
      <c r="P231" s="111"/>
      <c r="Q231" s="111"/>
      <c r="R231" s="111"/>
      <c r="S231" s="111"/>
      <c r="T231" s="111"/>
      <c r="U231" s="111"/>
      <c r="V231" s="111"/>
      <c r="W231" s="111"/>
      <c r="X231" s="123"/>
      <c r="AI231" s="222" t="str">
        <f t="shared" si="8"/>
        <v/>
      </c>
    </row>
    <row r="232" spans="1:35" s="108" customFormat="1" ht="15.75">
      <c r="A232" s="119"/>
      <c r="B232" s="120"/>
      <c r="C232" s="111"/>
      <c r="D232" s="111"/>
      <c r="E232" s="121"/>
      <c r="F232" s="121"/>
      <c r="G232" s="113"/>
      <c r="H232" s="199" t="str">
        <f t="shared" si="7"/>
        <v/>
      </c>
      <c r="I232" s="200" t="str">
        <f>IF(H232="","",IF(AND(AI232&lt;=66),VLOOKUP(H232,'WordRead Look Up'!$A$13:$B$20,2,TRUE),IF(AND(AI232&gt;=67,AI232&lt;=72),VLOOKUP(H232,'WordRead Look Up'!$E$13:$F$20,2,TRUE),IF(AND(AI232&gt;=73,AI232&lt;=78),VLOOKUP(H232,'WordRead Look Up'!$I$13:$J$18,2,TRUE),IF(AND(AI232&gt;=79),VLOOKUP(H232,'WordRead Look Up'!$M$13:$N$18,2,TRUE),"")))))</f>
        <v/>
      </c>
      <c r="J232" s="122"/>
      <c r="K232" s="111"/>
      <c r="L232" s="111"/>
      <c r="M232" s="111"/>
      <c r="N232" s="111"/>
      <c r="O232" s="111"/>
      <c r="P232" s="111"/>
      <c r="Q232" s="111"/>
      <c r="R232" s="111"/>
      <c r="S232" s="111"/>
      <c r="T232" s="111"/>
      <c r="U232" s="111"/>
      <c r="V232" s="111"/>
      <c r="W232" s="111"/>
      <c r="X232" s="123"/>
      <c r="AI232" s="222" t="str">
        <f t="shared" si="8"/>
        <v/>
      </c>
    </row>
    <row r="233" spans="1:35" s="108" customFormat="1" ht="15.75">
      <c r="A233" s="119"/>
      <c r="B233" s="120"/>
      <c r="C233" s="111"/>
      <c r="D233" s="111"/>
      <c r="E233" s="121"/>
      <c r="F233" s="121"/>
      <c r="G233" s="113"/>
      <c r="H233" s="199" t="str">
        <f t="shared" si="7"/>
        <v/>
      </c>
      <c r="I233" s="200" t="str">
        <f>IF(H233="","",IF(AND(AI233&lt;=66),VLOOKUP(H233,'WordRead Look Up'!$A$13:$B$20,2,TRUE),IF(AND(AI233&gt;=67,AI233&lt;=72),VLOOKUP(H233,'WordRead Look Up'!$E$13:$F$20,2,TRUE),IF(AND(AI233&gt;=73,AI233&lt;=78),VLOOKUP(H233,'WordRead Look Up'!$I$13:$J$18,2,TRUE),IF(AND(AI233&gt;=79),VLOOKUP(H233,'WordRead Look Up'!$M$13:$N$18,2,TRUE),"")))))</f>
        <v/>
      </c>
      <c r="J233" s="122"/>
      <c r="K233" s="111"/>
      <c r="L233" s="111"/>
      <c r="M233" s="111"/>
      <c r="N233" s="111"/>
      <c r="O233" s="111"/>
      <c r="P233" s="111"/>
      <c r="Q233" s="111"/>
      <c r="R233" s="111"/>
      <c r="S233" s="111"/>
      <c r="T233" s="111"/>
      <c r="U233" s="111"/>
      <c r="V233" s="111"/>
      <c r="W233" s="111"/>
      <c r="X233" s="123"/>
      <c r="AI233" s="222" t="str">
        <f t="shared" si="8"/>
        <v/>
      </c>
    </row>
    <row r="234" spans="1:35" s="108" customFormat="1" ht="15.75">
      <c r="A234" s="119"/>
      <c r="B234" s="120"/>
      <c r="C234" s="111"/>
      <c r="D234" s="111"/>
      <c r="E234" s="121"/>
      <c r="F234" s="121"/>
      <c r="G234" s="113"/>
      <c r="H234" s="199" t="str">
        <f t="shared" si="7"/>
        <v/>
      </c>
      <c r="I234" s="200" t="str">
        <f>IF(H234="","",IF(AND(AI234&lt;=66),VLOOKUP(H234,'WordRead Look Up'!$A$13:$B$20,2,TRUE),IF(AND(AI234&gt;=67,AI234&lt;=72),VLOOKUP(H234,'WordRead Look Up'!$E$13:$F$20,2,TRUE),IF(AND(AI234&gt;=73,AI234&lt;=78),VLOOKUP(H234,'WordRead Look Up'!$I$13:$J$18,2,TRUE),IF(AND(AI234&gt;=79),VLOOKUP(H234,'WordRead Look Up'!$M$13:$N$18,2,TRUE),"")))))</f>
        <v/>
      </c>
      <c r="J234" s="122"/>
      <c r="K234" s="111"/>
      <c r="L234" s="111"/>
      <c r="M234" s="111"/>
      <c r="N234" s="111"/>
      <c r="O234" s="111"/>
      <c r="P234" s="111"/>
      <c r="Q234" s="111"/>
      <c r="R234" s="111"/>
      <c r="S234" s="111"/>
      <c r="T234" s="111"/>
      <c r="U234" s="111"/>
      <c r="V234" s="111"/>
      <c r="W234" s="111"/>
      <c r="X234" s="123"/>
      <c r="AI234" s="222" t="str">
        <f t="shared" si="8"/>
        <v/>
      </c>
    </row>
    <row r="235" spans="1:35" s="108" customFormat="1" ht="15.75">
      <c r="A235" s="119"/>
      <c r="B235" s="120"/>
      <c r="C235" s="111"/>
      <c r="D235" s="111"/>
      <c r="E235" s="121"/>
      <c r="F235" s="121"/>
      <c r="G235" s="113"/>
      <c r="H235" s="199" t="str">
        <f t="shared" si="7"/>
        <v/>
      </c>
      <c r="I235" s="200" t="str">
        <f>IF(H235="","",IF(AND(AI235&lt;=66),VLOOKUP(H235,'WordRead Look Up'!$A$13:$B$20,2,TRUE),IF(AND(AI235&gt;=67,AI235&lt;=72),VLOOKUP(H235,'WordRead Look Up'!$E$13:$F$20,2,TRUE),IF(AND(AI235&gt;=73,AI235&lt;=78),VLOOKUP(H235,'WordRead Look Up'!$I$13:$J$18,2,TRUE),IF(AND(AI235&gt;=79),VLOOKUP(H235,'WordRead Look Up'!$M$13:$N$18,2,TRUE),"")))))</f>
        <v/>
      </c>
      <c r="J235" s="122"/>
      <c r="K235" s="111"/>
      <c r="L235" s="111"/>
      <c r="M235" s="111"/>
      <c r="N235" s="111"/>
      <c r="O235" s="111"/>
      <c r="P235" s="111"/>
      <c r="Q235" s="111"/>
      <c r="R235" s="111"/>
      <c r="S235" s="111"/>
      <c r="T235" s="111"/>
      <c r="U235" s="111"/>
      <c r="V235" s="111"/>
      <c r="W235" s="111"/>
      <c r="X235" s="123"/>
      <c r="AI235" s="222" t="str">
        <f t="shared" si="8"/>
        <v/>
      </c>
    </row>
    <row r="236" spans="1:35" s="108" customFormat="1" ht="15.75">
      <c r="A236" s="119"/>
      <c r="B236" s="120"/>
      <c r="C236" s="111"/>
      <c r="D236" s="111"/>
      <c r="E236" s="121"/>
      <c r="F236" s="121"/>
      <c r="G236" s="113"/>
      <c r="H236" s="199" t="str">
        <f t="shared" si="7"/>
        <v/>
      </c>
      <c r="I236" s="200" t="str">
        <f>IF(H236="","",IF(AND(AI236&lt;=66),VLOOKUP(H236,'WordRead Look Up'!$A$13:$B$20,2,TRUE),IF(AND(AI236&gt;=67,AI236&lt;=72),VLOOKUP(H236,'WordRead Look Up'!$E$13:$F$20,2,TRUE),IF(AND(AI236&gt;=73,AI236&lt;=78),VLOOKUP(H236,'WordRead Look Up'!$I$13:$J$18,2,TRUE),IF(AND(AI236&gt;=79),VLOOKUP(H236,'WordRead Look Up'!$M$13:$N$18,2,TRUE),"")))))</f>
        <v/>
      </c>
      <c r="J236" s="122"/>
      <c r="K236" s="111"/>
      <c r="L236" s="111"/>
      <c r="M236" s="111"/>
      <c r="N236" s="111"/>
      <c r="O236" s="111"/>
      <c r="P236" s="111"/>
      <c r="Q236" s="111"/>
      <c r="R236" s="111"/>
      <c r="S236" s="111"/>
      <c r="T236" s="111"/>
      <c r="U236" s="111"/>
      <c r="V236" s="111"/>
      <c r="W236" s="111"/>
      <c r="X236" s="123"/>
      <c r="AI236" s="222" t="str">
        <f t="shared" si="8"/>
        <v/>
      </c>
    </row>
    <row r="237" spans="1:35" s="108" customFormat="1" ht="15.75">
      <c r="A237" s="119"/>
      <c r="B237" s="120"/>
      <c r="C237" s="111"/>
      <c r="D237" s="111"/>
      <c r="E237" s="121"/>
      <c r="F237" s="121"/>
      <c r="G237" s="113"/>
      <c r="H237" s="199" t="str">
        <f t="shared" si="7"/>
        <v/>
      </c>
      <c r="I237" s="200" t="str">
        <f>IF(H237="","",IF(AND(AI237&lt;=66),VLOOKUP(H237,'WordRead Look Up'!$A$13:$B$20,2,TRUE),IF(AND(AI237&gt;=67,AI237&lt;=72),VLOOKUP(H237,'WordRead Look Up'!$E$13:$F$20,2,TRUE),IF(AND(AI237&gt;=73,AI237&lt;=78),VLOOKUP(H237,'WordRead Look Up'!$I$13:$J$18,2,TRUE),IF(AND(AI237&gt;=79),VLOOKUP(H237,'WordRead Look Up'!$M$13:$N$18,2,TRUE),"")))))</f>
        <v/>
      </c>
      <c r="J237" s="122"/>
      <c r="K237" s="111"/>
      <c r="L237" s="111"/>
      <c r="M237" s="111"/>
      <c r="N237" s="111"/>
      <c r="O237" s="111"/>
      <c r="P237" s="111"/>
      <c r="Q237" s="111"/>
      <c r="R237" s="111"/>
      <c r="S237" s="111"/>
      <c r="T237" s="111"/>
      <c r="U237" s="111"/>
      <c r="V237" s="111"/>
      <c r="W237" s="111"/>
      <c r="X237" s="123"/>
      <c r="AI237" s="222" t="str">
        <f t="shared" si="8"/>
        <v/>
      </c>
    </row>
    <row r="238" spans="1:35" s="108" customFormat="1" ht="15.75">
      <c r="A238" s="119"/>
      <c r="B238" s="120"/>
      <c r="C238" s="111"/>
      <c r="D238" s="111"/>
      <c r="E238" s="121"/>
      <c r="F238" s="121"/>
      <c r="G238" s="113"/>
      <c r="H238" s="199" t="str">
        <f t="shared" si="7"/>
        <v/>
      </c>
      <c r="I238" s="200" t="str">
        <f>IF(H238="","",IF(AND(AI238&lt;=66),VLOOKUP(H238,'WordRead Look Up'!$A$13:$B$20,2,TRUE),IF(AND(AI238&gt;=67,AI238&lt;=72),VLOOKUP(H238,'WordRead Look Up'!$E$13:$F$20,2,TRUE),IF(AND(AI238&gt;=73,AI238&lt;=78),VLOOKUP(H238,'WordRead Look Up'!$I$13:$J$18,2,TRUE),IF(AND(AI238&gt;=79),VLOOKUP(H238,'WordRead Look Up'!$M$13:$N$18,2,TRUE),"")))))</f>
        <v/>
      </c>
      <c r="J238" s="122"/>
      <c r="K238" s="111"/>
      <c r="L238" s="111"/>
      <c r="M238" s="111"/>
      <c r="N238" s="111"/>
      <c r="O238" s="111"/>
      <c r="P238" s="111"/>
      <c r="Q238" s="111"/>
      <c r="R238" s="111"/>
      <c r="S238" s="111"/>
      <c r="T238" s="111"/>
      <c r="U238" s="111"/>
      <c r="V238" s="111"/>
      <c r="W238" s="111"/>
      <c r="X238" s="123"/>
      <c r="AI238" s="222" t="str">
        <f t="shared" si="8"/>
        <v/>
      </c>
    </row>
    <row r="239" spans="1:35" s="108" customFormat="1" ht="15.75">
      <c r="A239" s="119"/>
      <c r="B239" s="120"/>
      <c r="C239" s="111"/>
      <c r="D239" s="111"/>
      <c r="E239" s="121"/>
      <c r="F239" s="121"/>
      <c r="G239" s="113"/>
      <c r="H239" s="199" t="str">
        <f t="shared" si="7"/>
        <v/>
      </c>
      <c r="I239" s="200" t="str">
        <f>IF(H239="","",IF(AND(AI239&lt;=66),VLOOKUP(H239,'WordRead Look Up'!$A$13:$B$20,2,TRUE),IF(AND(AI239&gt;=67,AI239&lt;=72),VLOOKUP(H239,'WordRead Look Up'!$E$13:$F$20,2,TRUE),IF(AND(AI239&gt;=73,AI239&lt;=78),VLOOKUP(H239,'WordRead Look Up'!$I$13:$J$18,2,TRUE),IF(AND(AI239&gt;=79),VLOOKUP(H239,'WordRead Look Up'!$M$13:$N$18,2,TRUE),"")))))</f>
        <v/>
      </c>
      <c r="J239" s="122"/>
      <c r="K239" s="111"/>
      <c r="L239" s="111"/>
      <c r="M239" s="111"/>
      <c r="N239" s="111"/>
      <c r="O239" s="111"/>
      <c r="P239" s="111"/>
      <c r="Q239" s="111"/>
      <c r="R239" s="111"/>
      <c r="S239" s="111"/>
      <c r="T239" s="111"/>
      <c r="U239" s="111"/>
      <c r="V239" s="111"/>
      <c r="W239" s="111"/>
      <c r="X239" s="123"/>
      <c r="AI239" s="222" t="str">
        <f t="shared" si="8"/>
        <v/>
      </c>
    </row>
    <row r="240" spans="1:35" s="108" customFormat="1" ht="15.75">
      <c r="A240" s="119"/>
      <c r="B240" s="120"/>
      <c r="C240" s="111"/>
      <c r="D240" s="111"/>
      <c r="E240" s="121"/>
      <c r="F240" s="121"/>
      <c r="G240" s="113"/>
      <c r="H240" s="199" t="str">
        <f t="shared" si="7"/>
        <v/>
      </c>
      <c r="I240" s="200" t="str">
        <f>IF(H240="","",IF(AND(AI240&lt;=66),VLOOKUP(H240,'WordRead Look Up'!$A$13:$B$20,2,TRUE),IF(AND(AI240&gt;=67,AI240&lt;=72),VLOOKUP(H240,'WordRead Look Up'!$E$13:$F$20,2,TRUE),IF(AND(AI240&gt;=73,AI240&lt;=78),VLOOKUP(H240,'WordRead Look Up'!$I$13:$J$18,2,TRUE),IF(AND(AI240&gt;=79),VLOOKUP(H240,'WordRead Look Up'!$M$13:$N$18,2,TRUE),"")))))</f>
        <v/>
      </c>
      <c r="J240" s="122"/>
      <c r="K240" s="111"/>
      <c r="L240" s="111"/>
      <c r="M240" s="111"/>
      <c r="N240" s="111"/>
      <c r="O240" s="111"/>
      <c r="P240" s="111"/>
      <c r="Q240" s="111"/>
      <c r="R240" s="111"/>
      <c r="S240" s="111"/>
      <c r="T240" s="111"/>
      <c r="U240" s="111"/>
      <c r="V240" s="111"/>
      <c r="W240" s="111"/>
      <c r="X240" s="123"/>
      <c r="AI240" s="222" t="str">
        <f t="shared" si="8"/>
        <v/>
      </c>
    </row>
    <row r="241" spans="1:35" s="108" customFormat="1" ht="15.75">
      <c r="A241" s="119"/>
      <c r="B241" s="120"/>
      <c r="C241" s="111"/>
      <c r="D241" s="111"/>
      <c r="E241" s="121"/>
      <c r="F241" s="121"/>
      <c r="G241" s="113"/>
      <c r="H241" s="199" t="str">
        <f t="shared" si="7"/>
        <v/>
      </c>
      <c r="I241" s="200" t="str">
        <f>IF(H241="","",IF(AND(AI241&lt;=66),VLOOKUP(H241,'WordRead Look Up'!$A$13:$B$20,2,TRUE),IF(AND(AI241&gt;=67,AI241&lt;=72),VLOOKUP(H241,'WordRead Look Up'!$E$13:$F$20,2,TRUE),IF(AND(AI241&gt;=73,AI241&lt;=78),VLOOKUP(H241,'WordRead Look Up'!$I$13:$J$18,2,TRUE),IF(AND(AI241&gt;=79),VLOOKUP(H241,'WordRead Look Up'!$M$13:$N$18,2,TRUE),"")))))</f>
        <v/>
      </c>
      <c r="J241" s="122"/>
      <c r="K241" s="111"/>
      <c r="L241" s="111"/>
      <c r="M241" s="111"/>
      <c r="N241" s="111"/>
      <c r="O241" s="111"/>
      <c r="P241" s="111"/>
      <c r="Q241" s="111"/>
      <c r="R241" s="111"/>
      <c r="S241" s="111"/>
      <c r="T241" s="111"/>
      <c r="U241" s="111"/>
      <c r="V241" s="111"/>
      <c r="W241" s="111"/>
      <c r="X241" s="123"/>
      <c r="AI241" s="222" t="str">
        <f t="shared" si="8"/>
        <v/>
      </c>
    </row>
    <row r="242" spans="1:35" s="108" customFormat="1" ht="15.75">
      <c r="A242" s="119"/>
      <c r="B242" s="120"/>
      <c r="C242" s="111"/>
      <c r="D242" s="111"/>
      <c r="E242" s="121"/>
      <c r="F242" s="121"/>
      <c r="G242" s="113"/>
      <c r="H242" s="199" t="str">
        <f t="shared" si="7"/>
        <v/>
      </c>
      <c r="I242" s="200" t="str">
        <f>IF(H242="","",IF(AND(AI242&lt;=66),VLOOKUP(H242,'WordRead Look Up'!$A$13:$B$20,2,TRUE),IF(AND(AI242&gt;=67,AI242&lt;=72),VLOOKUP(H242,'WordRead Look Up'!$E$13:$F$20,2,TRUE),IF(AND(AI242&gt;=73,AI242&lt;=78),VLOOKUP(H242,'WordRead Look Up'!$I$13:$J$18,2,TRUE),IF(AND(AI242&gt;=79),VLOOKUP(H242,'WordRead Look Up'!$M$13:$N$18,2,TRUE),"")))))</f>
        <v/>
      </c>
      <c r="J242" s="122"/>
      <c r="K242" s="111"/>
      <c r="L242" s="111"/>
      <c r="M242" s="111"/>
      <c r="N242" s="111"/>
      <c r="O242" s="111"/>
      <c r="P242" s="111"/>
      <c r="Q242" s="111"/>
      <c r="R242" s="111"/>
      <c r="S242" s="111"/>
      <c r="T242" s="111"/>
      <c r="U242" s="111"/>
      <c r="V242" s="111"/>
      <c r="W242" s="111"/>
      <c r="X242" s="123"/>
      <c r="AI242" s="222" t="str">
        <f t="shared" si="8"/>
        <v/>
      </c>
    </row>
    <row r="243" spans="1:35" s="108" customFormat="1" ht="15.75">
      <c r="A243" s="119"/>
      <c r="B243" s="120"/>
      <c r="C243" s="111"/>
      <c r="D243" s="111"/>
      <c r="E243" s="121"/>
      <c r="F243" s="121"/>
      <c r="G243" s="113"/>
      <c r="H243" s="199" t="str">
        <f t="shared" si="7"/>
        <v/>
      </c>
      <c r="I243" s="200" t="str">
        <f>IF(H243="","",IF(AND(AI243&lt;=66),VLOOKUP(H243,'WordRead Look Up'!$A$13:$B$20,2,TRUE),IF(AND(AI243&gt;=67,AI243&lt;=72),VLOOKUP(H243,'WordRead Look Up'!$E$13:$F$20,2,TRUE),IF(AND(AI243&gt;=73,AI243&lt;=78),VLOOKUP(H243,'WordRead Look Up'!$I$13:$J$18,2,TRUE),IF(AND(AI243&gt;=79),VLOOKUP(H243,'WordRead Look Up'!$M$13:$N$18,2,TRUE),"")))))</f>
        <v/>
      </c>
      <c r="J243" s="122"/>
      <c r="K243" s="111"/>
      <c r="L243" s="111"/>
      <c r="M243" s="111"/>
      <c r="N243" s="111"/>
      <c r="O243" s="111"/>
      <c r="P243" s="111"/>
      <c r="Q243" s="111"/>
      <c r="R243" s="111"/>
      <c r="S243" s="111"/>
      <c r="T243" s="111"/>
      <c r="U243" s="111"/>
      <c r="V243" s="111"/>
      <c r="W243" s="111"/>
      <c r="X243" s="123"/>
      <c r="AI243" s="222" t="str">
        <f t="shared" si="8"/>
        <v/>
      </c>
    </row>
    <row r="244" spans="1:35" s="108" customFormat="1" ht="15.75">
      <c r="A244" s="119"/>
      <c r="B244" s="120"/>
      <c r="C244" s="111"/>
      <c r="D244" s="111"/>
      <c r="E244" s="121"/>
      <c r="F244" s="121"/>
      <c r="G244" s="113"/>
      <c r="H244" s="199" t="str">
        <f t="shared" si="7"/>
        <v/>
      </c>
      <c r="I244" s="200" t="str">
        <f>IF(H244="","",IF(AND(AI244&lt;=66),VLOOKUP(H244,'WordRead Look Up'!$A$13:$B$20,2,TRUE),IF(AND(AI244&gt;=67,AI244&lt;=72),VLOOKUP(H244,'WordRead Look Up'!$E$13:$F$20,2,TRUE),IF(AND(AI244&gt;=73,AI244&lt;=78),VLOOKUP(H244,'WordRead Look Up'!$I$13:$J$18,2,TRUE),IF(AND(AI244&gt;=79),VLOOKUP(H244,'WordRead Look Up'!$M$13:$N$18,2,TRUE),"")))))</f>
        <v/>
      </c>
      <c r="J244" s="122"/>
      <c r="K244" s="111"/>
      <c r="L244" s="111"/>
      <c r="M244" s="111"/>
      <c r="N244" s="111"/>
      <c r="O244" s="111"/>
      <c r="P244" s="111"/>
      <c r="Q244" s="111"/>
      <c r="R244" s="111"/>
      <c r="S244" s="111"/>
      <c r="T244" s="111"/>
      <c r="U244" s="111"/>
      <c r="V244" s="111"/>
      <c r="W244" s="111"/>
      <c r="X244" s="123"/>
      <c r="AI244" s="222" t="str">
        <f t="shared" si="8"/>
        <v/>
      </c>
    </row>
    <row r="245" spans="1:35" s="108" customFormat="1" ht="15.75">
      <c r="A245" s="119"/>
      <c r="B245" s="120"/>
      <c r="C245" s="111"/>
      <c r="D245" s="111"/>
      <c r="E245" s="121"/>
      <c r="F245" s="121"/>
      <c r="G245" s="113"/>
      <c r="H245" s="199" t="str">
        <f t="shared" si="7"/>
        <v/>
      </c>
      <c r="I245" s="200" t="str">
        <f>IF(H245="","",IF(AND(AI245&lt;=66),VLOOKUP(H245,'WordRead Look Up'!$A$13:$B$20,2,TRUE),IF(AND(AI245&gt;=67,AI245&lt;=72),VLOOKUP(H245,'WordRead Look Up'!$E$13:$F$20,2,TRUE),IF(AND(AI245&gt;=73,AI245&lt;=78),VLOOKUP(H245,'WordRead Look Up'!$I$13:$J$18,2,TRUE),IF(AND(AI245&gt;=79),VLOOKUP(H245,'WordRead Look Up'!$M$13:$N$18,2,TRUE),"")))))</f>
        <v/>
      </c>
      <c r="J245" s="122"/>
      <c r="K245" s="111"/>
      <c r="L245" s="111"/>
      <c r="M245" s="111"/>
      <c r="N245" s="111"/>
      <c r="O245" s="111"/>
      <c r="P245" s="111"/>
      <c r="Q245" s="111"/>
      <c r="R245" s="111"/>
      <c r="S245" s="111"/>
      <c r="T245" s="111"/>
      <c r="U245" s="111"/>
      <c r="V245" s="111"/>
      <c r="W245" s="111"/>
      <c r="X245" s="123"/>
      <c r="AI245" s="222" t="str">
        <f t="shared" si="8"/>
        <v/>
      </c>
    </row>
    <row r="246" spans="1:35" s="108" customFormat="1" ht="15.75">
      <c r="A246" s="119"/>
      <c r="B246" s="120"/>
      <c r="C246" s="111"/>
      <c r="D246" s="111"/>
      <c r="E246" s="121"/>
      <c r="F246" s="121"/>
      <c r="G246" s="113"/>
      <c r="H246" s="199" t="str">
        <f t="shared" si="7"/>
        <v/>
      </c>
      <c r="I246" s="200" t="str">
        <f>IF(H246="","",IF(AND(AI246&lt;=66),VLOOKUP(H246,'WordRead Look Up'!$A$13:$B$20,2,TRUE),IF(AND(AI246&gt;=67,AI246&lt;=72),VLOOKUP(H246,'WordRead Look Up'!$E$13:$F$20,2,TRUE),IF(AND(AI246&gt;=73,AI246&lt;=78),VLOOKUP(H246,'WordRead Look Up'!$I$13:$J$18,2,TRUE),IF(AND(AI246&gt;=79),VLOOKUP(H246,'WordRead Look Up'!$M$13:$N$18,2,TRUE),"")))))</f>
        <v/>
      </c>
      <c r="J246" s="122"/>
      <c r="K246" s="111"/>
      <c r="L246" s="111"/>
      <c r="M246" s="111"/>
      <c r="N246" s="111"/>
      <c r="O246" s="111"/>
      <c r="P246" s="111"/>
      <c r="Q246" s="111"/>
      <c r="R246" s="111"/>
      <c r="S246" s="111"/>
      <c r="T246" s="111"/>
      <c r="U246" s="111"/>
      <c r="V246" s="111"/>
      <c r="W246" s="111"/>
      <c r="X246" s="123"/>
      <c r="AI246" s="222" t="str">
        <f t="shared" si="8"/>
        <v/>
      </c>
    </row>
    <row r="247" spans="1:35" s="108" customFormat="1" ht="15.75">
      <c r="A247" s="119"/>
      <c r="B247" s="120"/>
      <c r="C247" s="111"/>
      <c r="D247" s="111"/>
      <c r="E247" s="121"/>
      <c r="F247" s="121"/>
      <c r="G247" s="113"/>
      <c r="H247" s="199" t="str">
        <f t="shared" si="7"/>
        <v/>
      </c>
      <c r="I247" s="200" t="str">
        <f>IF(H247="","",IF(AND(AI247&lt;=66),VLOOKUP(H247,'WordRead Look Up'!$A$13:$B$20,2,TRUE),IF(AND(AI247&gt;=67,AI247&lt;=72),VLOOKUP(H247,'WordRead Look Up'!$E$13:$F$20,2,TRUE),IF(AND(AI247&gt;=73,AI247&lt;=78),VLOOKUP(H247,'WordRead Look Up'!$I$13:$J$18,2,TRUE),IF(AND(AI247&gt;=79),VLOOKUP(H247,'WordRead Look Up'!$M$13:$N$18,2,TRUE),"")))))</f>
        <v/>
      </c>
      <c r="J247" s="122"/>
      <c r="K247" s="111"/>
      <c r="L247" s="111"/>
      <c r="M247" s="111"/>
      <c r="N247" s="111"/>
      <c r="O247" s="111"/>
      <c r="P247" s="111"/>
      <c r="Q247" s="111"/>
      <c r="R247" s="111"/>
      <c r="S247" s="111"/>
      <c r="T247" s="111"/>
      <c r="U247" s="111"/>
      <c r="V247" s="111"/>
      <c r="W247" s="111"/>
      <c r="X247" s="123"/>
      <c r="AI247" s="222" t="str">
        <f t="shared" si="8"/>
        <v/>
      </c>
    </row>
    <row r="248" spans="1:35" s="108" customFormat="1" ht="15.75">
      <c r="A248" s="119"/>
      <c r="B248" s="120"/>
      <c r="C248" s="111"/>
      <c r="D248" s="111"/>
      <c r="E248" s="121"/>
      <c r="F248" s="121"/>
      <c r="G248" s="113"/>
      <c r="H248" s="199" t="str">
        <f t="shared" si="7"/>
        <v/>
      </c>
      <c r="I248" s="200" t="str">
        <f>IF(H248="","",IF(AND(AI248&lt;=66),VLOOKUP(H248,'WordRead Look Up'!$A$13:$B$20,2,TRUE),IF(AND(AI248&gt;=67,AI248&lt;=72),VLOOKUP(H248,'WordRead Look Up'!$E$13:$F$20,2,TRUE),IF(AND(AI248&gt;=73,AI248&lt;=78),VLOOKUP(H248,'WordRead Look Up'!$I$13:$J$18,2,TRUE),IF(AND(AI248&gt;=79),VLOOKUP(H248,'WordRead Look Up'!$M$13:$N$18,2,TRUE),"")))))</f>
        <v/>
      </c>
      <c r="J248" s="122"/>
      <c r="K248" s="111"/>
      <c r="L248" s="111"/>
      <c r="M248" s="111"/>
      <c r="N248" s="111"/>
      <c r="O248" s="111"/>
      <c r="P248" s="111"/>
      <c r="Q248" s="111"/>
      <c r="R248" s="111"/>
      <c r="S248" s="111"/>
      <c r="T248" s="111"/>
      <c r="U248" s="111"/>
      <c r="V248" s="111"/>
      <c r="W248" s="111"/>
      <c r="X248" s="123"/>
      <c r="AI248" s="222" t="str">
        <f t="shared" si="8"/>
        <v/>
      </c>
    </row>
    <row r="249" spans="1:35" s="108" customFormat="1" ht="15.75">
      <c r="A249" s="119"/>
      <c r="B249" s="120"/>
      <c r="C249" s="111"/>
      <c r="D249" s="111"/>
      <c r="E249" s="121"/>
      <c r="F249" s="121"/>
      <c r="G249" s="113"/>
      <c r="H249" s="199" t="str">
        <f t="shared" si="7"/>
        <v/>
      </c>
      <c r="I249" s="200" t="str">
        <f>IF(H249="","",IF(AND(AI249&lt;=66),VLOOKUP(H249,'WordRead Look Up'!$A$13:$B$20,2,TRUE),IF(AND(AI249&gt;=67,AI249&lt;=72),VLOOKUP(H249,'WordRead Look Up'!$E$13:$F$20,2,TRUE),IF(AND(AI249&gt;=73,AI249&lt;=78),VLOOKUP(H249,'WordRead Look Up'!$I$13:$J$18,2,TRUE),IF(AND(AI249&gt;=79),VLOOKUP(H249,'WordRead Look Up'!$M$13:$N$18,2,TRUE),"")))))</f>
        <v/>
      </c>
      <c r="J249" s="122"/>
      <c r="K249" s="111"/>
      <c r="L249" s="111"/>
      <c r="M249" s="111"/>
      <c r="N249" s="111"/>
      <c r="O249" s="111"/>
      <c r="P249" s="111"/>
      <c r="Q249" s="111"/>
      <c r="R249" s="111"/>
      <c r="S249" s="111"/>
      <c r="T249" s="111"/>
      <c r="U249" s="111"/>
      <c r="V249" s="111"/>
      <c r="W249" s="111"/>
      <c r="X249" s="123"/>
      <c r="AI249" s="222" t="str">
        <f t="shared" si="8"/>
        <v/>
      </c>
    </row>
    <row r="250" spans="1:35" s="108" customFormat="1" ht="15.75">
      <c r="A250" s="119"/>
      <c r="B250" s="120"/>
      <c r="C250" s="111"/>
      <c r="D250" s="111"/>
      <c r="E250" s="121"/>
      <c r="F250" s="121"/>
      <c r="G250" s="113"/>
      <c r="H250" s="199" t="str">
        <f t="shared" si="7"/>
        <v/>
      </c>
      <c r="I250" s="200" t="str">
        <f>IF(H250="","",IF(AND(AI250&lt;=66),VLOOKUP(H250,'WordRead Look Up'!$A$13:$B$20,2,TRUE),IF(AND(AI250&gt;=67,AI250&lt;=72),VLOOKUP(H250,'WordRead Look Up'!$E$13:$F$20,2,TRUE),IF(AND(AI250&gt;=73,AI250&lt;=78),VLOOKUP(H250,'WordRead Look Up'!$I$13:$J$18,2,TRUE),IF(AND(AI250&gt;=79),VLOOKUP(H250,'WordRead Look Up'!$M$13:$N$18,2,TRUE),"")))))</f>
        <v/>
      </c>
      <c r="J250" s="122"/>
      <c r="K250" s="111"/>
      <c r="L250" s="111"/>
      <c r="M250" s="111"/>
      <c r="N250" s="111"/>
      <c r="O250" s="111"/>
      <c r="P250" s="111"/>
      <c r="Q250" s="111"/>
      <c r="R250" s="111"/>
      <c r="S250" s="111"/>
      <c r="T250" s="111"/>
      <c r="U250" s="111"/>
      <c r="V250" s="111"/>
      <c r="W250" s="111"/>
      <c r="X250" s="123"/>
      <c r="AI250" s="222" t="str">
        <f t="shared" si="8"/>
        <v/>
      </c>
    </row>
    <row r="251" spans="1:35" s="108" customFormat="1" ht="15.75">
      <c r="A251" s="119"/>
      <c r="B251" s="120"/>
      <c r="C251" s="111"/>
      <c r="D251" s="111"/>
      <c r="E251" s="121"/>
      <c r="F251" s="121"/>
      <c r="G251" s="113"/>
      <c r="H251" s="199" t="str">
        <f t="shared" si="7"/>
        <v/>
      </c>
      <c r="I251" s="200" t="str">
        <f>IF(H251="","",IF(AND(AI251&lt;=66),VLOOKUP(H251,'WordRead Look Up'!$A$13:$B$20,2,TRUE),IF(AND(AI251&gt;=67,AI251&lt;=72),VLOOKUP(H251,'WordRead Look Up'!$E$13:$F$20,2,TRUE),IF(AND(AI251&gt;=73,AI251&lt;=78),VLOOKUP(H251,'WordRead Look Up'!$I$13:$J$18,2,TRUE),IF(AND(AI251&gt;=79),VLOOKUP(H251,'WordRead Look Up'!$M$13:$N$18,2,TRUE),"")))))</f>
        <v/>
      </c>
      <c r="J251" s="122"/>
      <c r="K251" s="111"/>
      <c r="L251" s="111"/>
      <c r="M251" s="111"/>
      <c r="N251" s="111"/>
      <c r="O251" s="111"/>
      <c r="P251" s="111"/>
      <c r="Q251" s="111"/>
      <c r="R251" s="111"/>
      <c r="S251" s="111"/>
      <c r="T251" s="111"/>
      <c r="U251" s="111"/>
      <c r="V251" s="111"/>
      <c r="W251" s="111"/>
      <c r="X251" s="123"/>
      <c r="AI251" s="222" t="str">
        <f t="shared" si="8"/>
        <v/>
      </c>
    </row>
    <row r="252" spans="1:35" s="108" customFormat="1" ht="15.75">
      <c r="A252" s="119"/>
      <c r="B252" s="120"/>
      <c r="C252" s="111"/>
      <c r="D252" s="111"/>
      <c r="E252" s="121"/>
      <c r="F252" s="121"/>
      <c r="G252" s="113"/>
      <c r="H252" s="199" t="str">
        <f t="shared" si="7"/>
        <v/>
      </c>
      <c r="I252" s="200" t="str">
        <f>IF(H252="","",IF(AND(AI252&lt;=66),VLOOKUP(H252,'WordRead Look Up'!$A$13:$B$20,2,TRUE),IF(AND(AI252&gt;=67,AI252&lt;=72),VLOOKUP(H252,'WordRead Look Up'!$E$13:$F$20,2,TRUE),IF(AND(AI252&gt;=73,AI252&lt;=78),VLOOKUP(H252,'WordRead Look Up'!$I$13:$J$18,2,TRUE),IF(AND(AI252&gt;=79),VLOOKUP(H252,'WordRead Look Up'!$M$13:$N$18,2,TRUE),"")))))</f>
        <v/>
      </c>
      <c r="J252" s="122"/>
      <c r="K252" s="111"/>
      <c r="L252" s="111"/>
      <c r="M252" s="111"/>
      <c r="N252" s="111"/>
      <c r="O252" s="111"/>
      <c r="P252" s="111"/>
      <c r="Q252" s="111"/>
      <c r="R252" s="111"/>
      <c r="S252" s="111"/>
      <c r="T252" s="111"/>
      <c r="U252" s="111"/>
      <c r="V252" s="111"/>
      <c r="W252" s="111"/>
      <c r="X252" s="123"/>
      <c r="AI252" s="222" t="str">
        <f t="shared" si="8"/>
        <v/>
      </c>
    </row>
    <row r="253" spans="1:35" s="108" customFormat="1" ht="15.75">
      <c r="A253" s="119"/>
      <c r="B253" s="120"/>
      <c r="C253" s="111"/>
      <c r="D253" s="111"/>
      <c r="E253" s="121"/>
      <c r="F253" s="121"/>
      <c r="G253" s="113"/>
      <c r="H253" s="199" t="str">
        <f t="shared" si="7"/>
        <v/>
      </c>
      <c r="I253" s="200" t="str">
        <f>IF(H253="","",IF(AND(AI253&lt;=66),VLOOKUP(H253,'WordRead Look Up'!$A$13:$B$20,2,TRUE),IF(AND(AI253&gt;=67,AI253&lt;=72),VLOOKUP(H253,'WordRead Look Up'!$E$13:$F$20,2,TRUE),IF(AND(AI253&gt;=73,AI253&lt;=78),VLOOKUP(H253,'WordRead Look Up'!$I$13:$J$18,2,TRUE),IF(AND(AI253&gt;=79),VLOOKUP(H253,'WordRead Look Up'!$M$13:$N$18,2,TRUE),"")))))</f>
        <v/>
      </c>
      <c r="J253" s="122"/>
      <c r="K253" s="111"/>
      <c r="L253" s="111"/>
      <c r="M253" s="111"/>
      <c r="N253" s="111"/>
      <c r="O253" s="111"/>
      <c r="P253" s="111"/>
      <c r="Q253" s="111"/>
      <c r="R253" s="111"/>
      <c r="S253" s="111"/>
      <c r="T253" s="111"/>
      <c r="U253" s="111"/>
      <c r="V253" s="111"/>
      <c r="W253" s="111"/>
      <c r="X253" s="123"/>
      <c r="AI253" s="222" t="str">
        <f t="shared" si="8"/>
        <v/>
      </c>
    </row>
    <row r="254" spans="1:35" s="108" customFormat="1" ht="15.75">
      <c r="A254" s="119"/>
      <c r="B254" s="120"/>
      <c r="C254" s="111"/>
      <c r="D254" s="111"/>
      <c r="E254" s="121"/>
      <c r="F254" s="121"/>
      <c r="G254" s="113"/>
      <c r="H254" s="199" t="str">
        <f t="shared" si="7"/>
        <v/>
      </c>
      <c r="I254" s="200" t="str">
        <f>IF(H254="","",IF(AND(AI254&lt;=66),VLOOKUP(H254,'WordRead Look Up'!$A$13:$B$20,2,TRUE),IF(AND(AI254&gt;=67,AI254&lt;=72),VLOOKUP(H254,'WordRead Look Up'!$E$13:$F$20,2,TRUE),IF(AND(AI254&gt;=73,AI254&lt;=78),VLOOKUP(H254,'WordRead Look Up'!$I$13:$J$18,2,TRUE),IF(AND(AI254&gt;=79),VLOOKUP(H254,'WordRead Look Up'!$M$13:$N$18,2,TRUE),"")))))</f>
        <v/>
      </c>
      <c r="J254" s="122"/>
      <c r="K254" s="111"/>
      <c r="L254" s="111"/>
      <c r="M254" s="111"/>
      <c r="N254" s="111"/>
      <c r="O254" s="111"/>
      <c r="P254" s="111"/>
      <c r="Q254" s="111"/>
      <c r="R254" s="111"/>
      <c r="S254" s="111"/>
      <c r="T254" s="111"/>
      <c r="U254" s="111"/>
      <c r="V254" s="111"/>
      <c r="W254" s="111"/>
      <c r="X254" s="123"/>
      <c r="AI254" s="222" t="str">
        <f t="shared" si="8"/>
        <v/>
      </c>
    </row>
    <row r="255" spans="1:35" s="108" customFormat="1" ht="15.75">
      <c r="A255" s="119"/>
      <c r="B255" s="120"/>
      <c r="C255" s="111"/>
      <c r="D255" s="111"/>
      <c r="E255" s="121"/>
      <c r="F255" s="121"/>
      <c r="G255" s="113"/>
      <c r="H255" s="199" t="str">
        <f t="shared" si="7"/>
        <v/>
      </c>
      <c r="I255" s="200" t="str">
        <f>IF(H255="","",IF(AND(AI255&lt;=66),VLOOKUP(H255,'WordRead Look Up'!$A$13:$B$20,2,TRUE),IF(AND(AI255&gt;=67,AI255&lt;=72),VLOOKUP(H255,'WordRead Look Up'!$E$13:$F$20,2,TRUE),IF(AND(AI255&gt;=73,AI255&lt;=78),VLOOKUP(H255,'WordRead Look Up'!$I$13:$J$18,2,TRUE),IF(AND(AI255&gt;=79),VLOOKUP(H255,'WordRead Look Up'!$M$13:$N$18,2,TRUE),"")))))</f>
        <v/>
      </c>
      <c r="J255" s="122"/>
      <c r="K255" s="111"/>
      <c r="L255" s="111"/>
      <c r="M255" s="111"/>
      <c r="N255" s="111"/>
      <c r="O255" s="111"/>
      <c r="P255" s="111"/>
      <c r="Q255" s="111"/>
      <c r="R255" s="111"/>
      <c r="S255" s="111"/>
      <c r="T255" s="111"/>
      <c r="U255" s="111"/>
      <c r="V255" s="111"/>
      <c r="W255" s="111"/>
      <c r="X255" s="123"/>
      <c r="AI255" s="222" t="str">
        <f t="shared" si="8"/>
        <v/>
      </c>
    </row>
    <row r="256" spans="1:35" s="108" customFormat="1" ht="15.75">
      <c r="A256" s="119"/>
      <c r="B256" s="120"/>
      <c r="C256" s="111"/>
      <c r="D256" s="111"/>
      <c r="E256" s="121"/>
      <c r="F256" s="121"/>
      <c r="G256" s="113"/>
      <c r="H256" s="199" t="str">
        <f t="shared" si="7"/>
        <v/>
      </c>
      <c r="I256" s="200" t="str">
        <f>IF(H256="","",IF(AND(AI256&lt;=66),VLOOKUP(H256,'WordRead Look Up'!$A$13:$B$20,2,TRUE),IF(AND(AI256&gt;=67,AI256&lt;=72),VLOOKUP(H256,'WordRead Look Up'!$E$13:$F$20,2,TRUE),IF(AND(AI256&gt;=73,AI256&lt;=78),VLOOKUP(H256,'WordRead Look Up'!$I$13:$J$18,2,TRUE),IF(AND(AI256&gt;=79),VLOOKUP(H256,'WordRead Look Up'!$M$13:$N$18,2,TRUE),"")))))</f>
        <v/>
      </c>
      <c r="J256" s="122"/>
      <c r="K256" s="111"/>
      <c r="L256" s="111"/>
      <c r="M256" s="111"/>
      <c r="N256" s="111"/>
      <c r="O256" s="111"/>
      <c r="P256" s="111"/>
      <c r="Q256" s="111"/>
      <c r="R256" s="111"/>
      <c r="S256" s="111"/>
      <c r="T256" s="111"/>
      <c r="U256" s="111"/>
      <c r="V256" s="111"/>
      <c r="W256" s="111"/>
      <c r="X256" s="123"/>
      <c r="AI256" s="222" t="str">
        <f t="shared" si="8"/>
        <v/>
      </c>
    </row>
    <row r="257" spans="1:35" s="108" customFormat="1" ht="15.75">
      <c r="A257" s="119"/>
      <c r="B257" s="120"/>
      <c r="C257" s="111"/>
      <c r="D257" s="111"/>
      <c r="E257" s="121"/>
      <c r="F257" s="121"/>
      <c r="G257" s="113"/>
      <c r="H257" s="199" t="str">
        <f t="shared" si="7"/>
        <v/>
      </c>
      <c r="I257" s="200" t="str">
        <f>IF(H257="","",IF(AND(AI257&lt;=66),VLOOKUP(H257,'WordRead Look Up'!$A$13:$B$20,2,TRUE),IF(AND(AI257&gt;=67,AI257&lt;=72),VLOOKUP(H257,'WordRead Look Up'!$E$13:$F$20,2,TRUE),IF(AND(AI257&gt;=73,AI257&lt;=78),VLOOKUP(H257,'WordRead Look Up'!$I$13:$J$18,2,TRUE),IF(AND(AI257&gt;=79),VLOOKUP(H257,'WordRead Look Up'!$M$13:$N$18,2,TRUE),"")))))</f>
        <v/>
      </c>
      <c r="J257" s="122"/>
      <c r="K257" s="111"/>
      <c r="L257" s="111"/>
      <c r="M257" s="111"/>
      <c r="N257" s="111"/>
      <c r="O257" s="111"/>
      <c r="P257" s="111"/>
      <c r="Q257" s="111"/>
      <c r="R257" s="111"/>
      <c r="S257" s="111"/>
      <c r="T257" s="111"/>
      <c r="U257" s="111"/>
      <c r="V257" s="111"/>
      <c r="W257" s="111"/>
      <c r="X257" s="123"/>
      <c r="AI257" s="222" t="str">
        <f t="shared" si="8"/>
        <v/>
      </c>
    </row>
    <row r="258" spans="1:35" s="108" customFormat="1" ht="15.75">
      <c r="A258" s="119"/>
      <c r="B258" s="120"/>
      <c r="C258" s="111"/>
      <c r="D258" s="111"/>
      <c r="E258" s="121"/>
      <c r="F258" s="121"/>
      <c r="G258" s="113"/>
      <c r="H258" s="199" t="str">
        <f t="shared" si="7"/>
        <v/>
      </c>
      <c r="I258" s="200" t="str">
        <f>IF(H258="","",IF(AND(AI258&lt;=66),VLOOKUP(H258,'WordRead Look Up'!$A$13:$B$20,2,TRUE),IF(AND(AI258&gt;=67,AI258&lt;=72),VLOOKUP(H258,'WordRead Look Up'!$E$13:$F$20,2,TRUE),IF(AND(AI258&gt;=73,AI258&lt;=78),VLOOKUP(H258,'WordRead Look Up'!$I$13:$J$18,2,TRUE),IF(AND(AI258&gt;=79),VLOOKUP(H258,'WordRead Look Up'!$M$13:$N$18,2,TRUE),"")))))</f>
        <v/>
      </c>
      <c r="J258" s="122"/>
      <c r="K258" s="111"/>
      <c r="L258" s="111"/>
      <c r="M258" s="111"/>
      <c r="N258" s="111"/>
      <c r="O258" s="111"/>
      <c r="P258" s="111"/>
      <c r="Q258" s="111"/>
      <c r="R258" s="111"/>
      <c r="S258" s="111"/>
      <c r="T258" s="111"/>
      <c r="U258" s="111"/>
      <c r="V258" s="111"/>
      <c r="W258" s="111"/>
      <c r="X258" s="123"/>
      <c r="AI258" s="222" t="str">
        <f t="shared" si="8"/>
        <v/>
      </c>
    </row>
    <row r="259" spans="1:35" s="108" customFormat="1" ht="15.75">
      <c r="A259" s="119"/>
      <c r="B259" s="120"/>
      <c r="C259" s="111"/>
      <c r="D259" s="111"/>
      <c r="E259" s="121"/>
      <c r="F259" s="121"/>
      <c r="G259" s="113"/>
      <c r="H259" s="199" t="str">
        <f t="shared" si="7"/>
        <v/>
      </c>
      <c r="I259" s="200" t="str">
        <f>IF(H259="","",IF(AND(AI259&lt;=66),VLOOKUP(H259,'WordRead Look Up'!$A$13:$B$20,2,TRUE),IF(AND(AI259&gt;=67,AI259&lt;=72),VLOOKUP(H259,'WordRead Look Up'!$E$13:$F$20,2,TRUE),IF(AND(AI259&gt;=73,AI259&lt;=78),VLOOKUP(H259,'WordRead Look Up'!$I$13:$J$18,2,TRUE),IF(AND(AI259&gt;=79),VLOOKUP(H259,'WordRead Look Up'!$M$13:$N$18,2,TRUE),"")))))</f>
        <v/>
      </c>
      <c r="J259" s="122"/>
      <c r="K259" s="111"/>
      <c r="L259" s="111"/>
      <c r="M259" s="111"/>
      <c r="N259" s="111"/>
      <c r="O259" s="111"/>
      <c r="P259" s="111"/>
      <c r="Q259" s="111"/>
      <c r="R259" s="111"/>
      <c r="S259" s="111"/>
      <c r="T259" s="111"/>
      <c r="U259" s="111"/>
      <c r="V259" s="111"/>
      <c r="W259" s="111"/>
      <c r="X259" s="123"/>
      <c r="AI259" s="222" t="str">
        <f t="shared" si="8"/>
        <v/>
      </c>
    </row>
    <row r="260" spans="1:35" s="108" customFormat="1" ht="15.75">
      <c r="A260" s="119"/>
      <c r="B260" s="120"/>
      <c r="C260" s="111"/>
      <c r="D260" s="111"/>
      <c r="E260" s="121"/>
      <c r="F260" s="121"/>
      <c r="G260" s="113"/>
      <c r="H260" s="199" t="str">
        <f t="shared" si="7"/>
        <v/>
      </c>
      <c r="I260" s="200" t="str">
        <f>IF(H260="","",IF(AND(AI260&lt;=66),VLOOKUP(H260,'WordRead Look Up'!$A$13:$B$20,2,TRUE),IF(AND(AI260&gt;=67,AI260&lt;=72),VLOOKUP(H260,'WordRead Look Up'!$E$13:$F$20,2,TRUE),IF(AND(AI260&gt;=73,AI260&lt;=78),VLOOKUP(H260,'WordRead Look Up'!$I$13:$J$18,2,TRUE),IF(AND(AI260&gt;=79),VLOOKUP(H260,'WordRead Look Up'!$M$13:$N$18,2,TRUE),"")))))</f>
        <v/>
      </c>
      <c r="J260" s="122"/>
      <c r="K260" s="111"/>
      <c r="L260" s="111"/>
      <c r="M260" s="111"/>
      <c r="N260" s="111"/>
      <c r="O260" s="111"/>
      <c r="P260" s="111"/>
      <c r="Q260" s="111"/>
      <c r="R260" s="111"/>
      <c r="S260" s="111"/>
      <c r="T260" s="111"/>
      <c r="U260" s="111"/>
      <c r="V260" s="111"/>
      <c r="W260" s="111"/>
      <c r="X260" s="123"/>
      <c r="AI260" s="222" t="str">
        <f t="shared" si="8"/>
        <v/>
      </c>
    </row>
    <row r="261" spans="1:35" s="108" customFormat="1" ht="15.75">
      <c r="A261" s="119"/>
      <c r="B261" s="120"/>
      <c r="C261" s="111"/>
      <c r="D261" s="111"/>
      <c r="E261" s="121"/>
      <c r="F261" s="121"/>
      <c r="G261" s="113"/>
      <c r="H261" s="199" t="str">
        <f t="shared" si="7"/>
        <v/>
      </c>
      <c r="I261" s="200" t="str">
        <f>IF(H261="","",IF(AND(AI261&lt;=66),VLOOKUP(H261,'WordRead Look Up'!$A$13:$B$20,2,TRUE),IF(AND(AI261&gt;=67,AI261&lt;=72),VLOOKUP(H261,'WordRead Look Up'!$E$13:$F$20,2,TRUE),IF(AND(AI261&gt;=73,AI261&lt;=78),VLOOKUP(H261,'WordRead Look Up'!$I$13:$J$18,2,TRUE),IF(AND(AI261&gt;=79),VLOOKUP(H261,'WordRead Look Up'!$M$13:$N$18,2,TRUE),"")))))</f>
        <v/>
      </c>
      <c r="J261" s="122"/>
      <c r="K261" s="111"/>
      <c r="L261" s="111"/>
      <c r="M261" s="111"/>
      <c r="N261" s="111"/>
      <c r="O261" s="111"/>
      <c r="P261" s="111"/>
      <c r="Q261" s="111"/>
      <c r="R261" s="111"/>
      <c r="S261" s="111"/>
      <c r="T261" s="111"/>
      <c r="U261" s="111"/>
      <c r="V261" s="111"/>
      <c r="W261" s="111"/>
      <c r="X261" s="123"/>
      <c r="AI261" s="222" t="str">
        <f t="shared" si="8"/>
        <v/>
      </c>
    </row>
    <row r="262" spans="1:35" s="108" customFormat="1" ht="15.75">
      <c r="A262" s="119"/>
      <c r="B262" s="120"/>
      <c r="C262" s="111"/>
      <c r="D262" s="111"/>
      <c r="E262" s="121"/>
      <c r="F262" s="121"/>
      <c r="G262" s="113"/>
      <c r="H262" s="199" t="str">
        <f t="shared" si="7"/>
        <v/>
      </c>
      <c r="I262" s="200" t="str">
        <f>IF(H262="","",IF(AND(AI262&lt;=66),VLOOKUP(H262,'WordRead Look Up'!$A$13:$B$20,2,TRUE),IF(AND(AI262&gt;=67,AI262&lt;=72),VLOOKUP(H262,'WordRead Look Up'!$E$13:$F$20,2,TRUE),IF(AND(AI262&gt;=73,AI262&lt;=78),VLOOKUP(H262,'WordRead Look Up'!$I$13:$J$18,2,TRUE),IF(AND(AI262&gt;=79),VLOOKUP(H262,'WordRead Look Up'!$M$13:$N$18,2,TRUE),"")))))</f>
        <v/>
      </c>
      <c r="J262" s="122"/>
      <c r="K262" s="111"/>
      <c r="L262" s="111"/>
      <c r="M262" s="111"/>
      <c r="N262" s="111"/>
      <c r="O262" s="111"/>
      <c r="P262" s="111"/>
      <c r="Q262" s="111"/>
      <c r="R262" s="111"/>
      <c r="S262" s="111"/>
      <c r="T262" s="111"/>
      <c r="U262" s="111"/>
      <c r="V262" s="111"/>
      <c r="W262" s="111"/>
      <c r="X262" s="123"/>
      <c r="AI262" s="222" t="str">
        <f t="shared" si="8"/>
        <v/>
      </c>
    </row>
    <row r="263" spans="1:35" s="108" customFormat="1" ht="15.75">
      <c r="A263" s="119"/>
      <c r="B263" s="120"/>
      <c r="C263" s="111"/>
      <c r="D263" s="111"/>
      <c r="E263" s="121"/>
      <c r="F263" s="121"/>
      <c r="G263" s="113"/>
      <c r="H263" s="199" t="str">
        <f t="shared" si="7"/>
        <v/>
      </c>
      <c r="I263" s="200" t="str">
        <f>IF(H263="","",IF(AND(AI263&lt;=66),VLOOKUP(H263,'WordRead Look Up'!$A$13:$B$20,2,TRUE),IF(AND(AI263&gt;=67,AI263&lt;=72),VLOOKUP(H263,'WordRead Look Up'!$E$13:$F$20,2,TRUE),IF(AND(AI263&gt;=73,AI263&lt;=78),VLOOKUP(H263,'WordRead Look Up'!$I$13:$J$18,2,TRUE),IF(AND(AI263&gt;=79),VLOOKUP(H263,'WordRead Look Up'!$M$13:$N$18,2,TRUE),"")))))</f>
        <v/>
      </c>
      <c r="J263" s="122"/>
      <c r="K263" s="111"/>
      <c r="L263" s="111"/>
      <c r="M263" s="111"/>
      <c r="N263" s="111"/>
      <c r="O263" s="111"/>
      <c r="P263" s="111"/>
      <c r="Q263" s="111"/>
      <c r="R263" s="111"/>
      <c r="S263" s="111"/>
      <c r="T263" s="111"/>
      <c r="U263" s="111"/>
      <c r="V263" s="111"/>
      <c r="W263" s="111"/>
      <c r="X263" s="123"/>
      <c r="AI263" s="222" t="str">
        <f t="shared" si="8"/>
        <v/>
      </c>
    </row>
    <row r="264" spans="1:35" s="108" customFormat="1" ht="15.75">
      <c r="A264" s="119"/>
      <c r="B264" s="120"/>
      <c r="C264" s="111"/>
      <c r="D264" s="111"/>
      <c r="E264" s="121"/>
      <c r="F264" s="121"/>
      <c r="G264" s="113"/>
      <c r="H264" s="199" t="str">
        <f t="shared" ref="H264:H327" si="9">IF(E264="","",COUNTIF(J264:X264,"y"))</f>
        <v/>
      </c>
      <c r="I264" s="200" t="str">
        <f>IF(H264="","",IF(AND(AI264&lt;=66),VLOOKUP(H264,'WordRead Look Up'!$A$13:$B$20,2,TRUE),IF(AND(AI264&gt;=67,AI264&lt;=72),VLOOKUP(H264,'WordRead Look Up'!$E$13:$F$20,2,TRUE),IF(AND(AI264&gt;=73,AI264&lt;=78),VLOOKUP(H264,'WordRead Look Up'!$I$13:$J$18,2,TRUE),IF(AND(AI264&gt;=79),VLOOKUP(H264,'WordRead Look Up'!$M$13:$N$18,2,TRUE),"")))))</f>
        <v/>
      </c>
      <c r="J264" s="122"/>
      <c r="K264" s="111"/>
      <c r="L264" s="111"/>
      <c r="M264" s="111"/>
      <c r="N264" s="111"/>
      <c r="O264" s="111"/>
      <c r="P264" s="111"/>
      <c r="Q264" s="111"/>
      <c r="R264" s="111"/>
      <c r="S264" s="111"/>
      <c r="T264" s="111"/>
      <c r="U264" s="111"/>
      <c r="V264" s="111"/>
      <c r="W264" s="111"/>
      <c r="X264" s="123"/>
      <c r="AI264" s="222" t="str">
        <f t="shared" ref="AI264:AI327" si="10">IF(E264="","",DATEDIF(B264,A264,"m"))</f>
        <v/>
      </c>
    </row>
    <row r="265" spans="1:35" s="108" customFormat="1" ht="15.75">
      <c r="A265" s="119"/>
      <c r="B265" s="120"/>
      <c r="C265" s="111"/>
      <c r="D265" s="111"/>
      <c r="E265" s="121"/>
      <c r="F265" s="121"/>
      <c r="G265" s="113"/>
      <c r="H265" s="199" t="str">
        <f t="shared" si="9"/>
        <v/>
      </c>
      <c r="I265" s="200" t="str">
        <f>IF(H265="","",IF(AND(AI265&lt;=66),VLOOKUP(H265,'WordRead Look Up'!$A$13:$B$20,2,TRUE),IF(AND(AI265&gt;=67,AI265&lt;=72),VLOOKUP(H265,'WordRead Look Up'!$E$13:$F$20,2,TRUE),IF(AND(AI265&gt;=73,AI265&lt;=78),VLOOKUP(H265,'WordRead Look Up'!$I$13:$J$18,2,TRUE),IF(AND(AI265&gt;=79),VLOOKUP(H265,'WordRead Look Up'!$M$13:$N$18,2,TRUE),"")))))</f>
        <v/>
      </c>
      <c r="J265" s="122"/>
      <c r="K265" s="111"/>
      <c r="L265" s="111"/>
      <c r="M265" s="111"/>
      <c r="N265" s="111"/>
      <c r="O265" s="111"/>
      <c r="P265" s="111"/>
      <c r="Q265" s="111"/>
      <c r="R265" s="111"/>
      <c r="S265" s="111"/>
      <c r="T265" s="111"/>
      <c r="U265" s="111"/>
      <c r="V265" s="111"/>
      <c r="W265" s="111"/>
      <c r="X265" s="123"/>
      <c r="AI265" s="222" t="str">
        <f t="shared" si="10"/>
        <v/>
      </c>
    </row>
    <row r="266" spans="1:35" s="108" customFormat="1" ht="15.75">
      <c r="A266" s="119"/>
      <c r="B266" s="120"/>
      <c r="C266" s="111"/>
      <c r="D266" s="111"/>
      <c r="E266" s="121"/>
      <c r="F266" s="121"/>
      <c r="G266" s="113"/>
      <c r="H266" s="199" t="str">
        <f t="shared" si="9"/>
        <v/>
      </c>
      <c r="I266" s="200" t="str">
        <f>IF(H266="","",IF(AND(AI266&lt;=66),VLOOKUP(H266,'WordRead Look Up'!$A$13:$B$20,2,TRUE),IF(AND(AI266&gt;=67,AI266&lt;=72),VLOOKUP(H266,'WordRead Look Up'!$E$13:$F$20,2,TRUE),IF(AND(AI266&gt;=73,AI266&lt;=78),VLOOKUP(H266,'WordRead Look Up'!$I$13:$J$18,2,TRUE),IF(AND(AI266&gt;=79),VLOOKUP(H266,'WordRead Look Up'!$M$13:$N$18,2,TRUE),"")))))</f>
        <v/>
      </c>
      <c r="J266" s="122"/>
      <c r="K266" s="111"/>
      <c r="L266" s="111"/>
      <c r="M266" s="111"/>
      <c r="N266" s="111"/>
      <c r="O266" s="111"/>
      <c r="P266" s="111"/>
      <c r="Q266" s="111"/>
      <c r="R266" s="111"/>
      <c r="S266" s="111"/>
      <c r="T266" s="111"/>
      <c r="U266" s="111"/>
      <c r="V266" s="111"/>
      <c r="W266" s="111"/>
      <c r="X266" s="123"/>
      <c r="AI266" s="222" t="str">
        <f t="shared" si="10"/>
        <v/>
      </c>
    </row>
    <row r="267" spans="1:35" s="108" customFormat="1" ht="15.75">
      <c r="A267" s="119"/>
      <c r="B267" s="120"/>
      <c r="C267" s="111"/>
      <c r="D267" s="111"/>
      <c r="E267" s="121"/>
      <c r="F267" s="121"/>
      <c r="G267" s="113"/>
      <c r="H267" s="199" t="str">
        <f t="shared" si="9"/>
        <v/>
      </c>
      <c r="I267" s="200" t="str">
        <f>IF(H267="","",IF(AND(AI267&lt;=66),VLOOKUP(H267,'WordRead Look Up'!$A$13:$B$20,2,TRUE),IF(AND(AI267&gt;=67,AI267&lt;=72),VLOOKUP(H267,'WordRead Look Up'!$E$13:$F$20,2,TRUE),IF(AND(AI267&gt;=73,AI267&lt;=78),VLOOKUP(H267,'WordRead Look Up'!$I$13:$J$18,2,TRUE),IF(AND(AI267&gt;=79),VLOOKUP(H267,'WordRead Look Up'!$M$13:$N$18,2,TRUE),"")))))</f>
        <v/>
      </c>
      <c r="J267" s="122"/>
      <c r="K267" s="111"/>
      <c r="L267" s="111"/>
      <c r="M267" s="111"/>
      <c r="N267" s="111"/>
      <c r="O267" s="111"/>
      <c r="P267" s="111"/>
      <c r="Q267" s="111"/>
      <c r="R267" s="111"/>
      <c r="S267" s="111"/>
      <c r="T267" s="111"/>
      <c r="U267" s="111"/>
      <c r="V267" s="111"/>
      <c r="W267" s="111"/>
      <c r="X267" s="123"/>
      <c r="AI267" s="222" t="str">
        <f t="shared" si="10"/>
        <v/>
      </c>
    </row>
    <row r="268" spans="1:35" s="108" customFormat="1" ht="15.75">
      <c r="A268" s="119"/>
      <c r="B268" s="120"/>
      <c r="C268" s="111"/>
      <c r="D268" s="111"/>
      <c r="E268" s="121"/>
      <c r="F268" s="121"/>
      <c r="G268" s="113"/>
      <c r="H268" s="199" t="str">
        <f t="shared" si="9"/>
        <v/>
      </c>
      <c r="I268" s="200" t="str">
        <f>IF(H268="","",IF(AND(AI268&lt;=66),VLOOKUP(H268,'WordRead Look Up'!$A$13:$B$20,2,TRUE),IF(AND(AI268&gt;=67,AI268&lt;=72),VLOOKUP(H268,'WordRead Look Up'!$E$13:$F$20,2,TRUE),IF(AND(AI268&gt;=73,AI268&lt;=78),VLOOKUP(H268,'WordRead Look Up'!$I$13:$J$18,2,TRUE),IF(AND(AI268&gt;=79),VLOOKUP(H268,'WordRead Look Up'!$M$13:$N$18,2,TRUE),"")))))</f>
        <v/>
      </c>
      <c r="J268" s="122"/>
      <c r="K268" s="111"/>
      <c r="L268" s="111"/>
      <c r="M268" s="111"/>
      <c r="N268" s="111"/>
      <c r="O268" s="111"/>
      <c r="P268" s="111"/>
      <c r="Q268" s="111"/>
      <c r="R268" s="111"/>
      <c r="S268" s="111"/>
      <c r="T268" s="111"/>
      <c r="U268" s="111"/>
      <c r="V268" s="111"/>
      <c r="W268" s="111"/>
      <c r="X268" s="123"/>
      <c r="AI268" s="222" t="str">
        <f t="shared" si="10"/>
        <v/>
      </c>
    </row>
    <row r="269" spans="1:35" s="108" customFormat="1" ht="15.75">
      <c r="A269" s="119"/>
      <c r="B269" s="120"/>
      <c r="C269" s="111"/>
      <c r="D269" s="111"/>
      <c r="E269" s="121"/>
      <c r="F269" s="121"/>
      <c r="G269" s="113"/>
      <c r="H269" s="199" t="str">
        <f t="shared" si="9"/>
        <v/>
      </c>
      <c r="I269" s="200" t="str">
        <f>IF(H269="","",IF(AND(AI269&lt;=66),VLOOKUP(H269,'WordRead Look Up'!$A$13:$B$20,2,TRUE),IF(AND(AI269&gt;=67,AI269&lt;=72),VLOOKUP(H269,'WordRead Look Up'!$E$13:$F$20,2,TRUE),IF(AND(AI269&gt;=73,AI269&lt;=78),VLOOKUP(H269,'WordRead Look Up'!$I$13:$J$18,2,TRUE),IF(AND(AI269&gt;=79),VLOOKUP(H269,'WordRead Look Up'!$M$13:$N$18,2,TRUE),"")))))</f>
        <v/>
      </c>
      <c r="J269" s="122"/>
      <c r="K269" s="111"/>
      <c r="L269" s="111"/>
      <c r="M269" s="111"/>
      <c r="N269" s="111"/>
      <c r="O269" s="111"/>
      <c r="P269" s="111"/>
      <c r="Q269" s="111"/>
      <c r="R269" s="111"/>
      <c r="S269" s="111"/>
      <c r="T269" s="111"/>
      <c r="U269" s="111"/>
      <c r="V269" s="111"/>
      <c r="W269" s="111"/>
      <c r="X269" s="123"/>
      <c r="AI269" s="222" t="str">
        <f t="shared" si="10"/>
        <v/>
      </c>
    </row>
    <row r="270" spans="1:35" s="108" customFormat="1" ht="15.75">
      <c r="A270" s="119"/>
      <c r="B270" s="120"/>
      <c r="C270" s="111"/>
      <c r="D270" s="111"/>
      <c r="E270" s="121"/>
      <c r="F270" s="121"/>
      <c r="G270" s="113"/>
      <c r="H270" s="199" t="str">
        <f t="shared" si="9"/>
        <v/>
      </c>
      <c r="I270" s="200" t="str">
        <f>IF(H270="","",IF(AND(AI270&lt;=66),VLOOKUP(H270,'WordRead Look Up'!$A$13:$B$20,2,TRUE),IF(AND(AI270&gt;=67,AI270&lt;=72),VLOOKUP(H270,'WordRead Look Up'!$E$13:$F$20,2,TRUE),IF(AND(AI270&gt;=73,AI270&lt;=78),VLOOKUP(H270,'WordRead Look Up'!$I$13:$J$18,2,TRUE),IF(AND(AI270&gt;=79),VLOOKUP(H270,'WordRead Look Up'!$M$13:$N$18,2,TRUE),"")))))</f>
        <v/>
      </c>
      <c r="J270" s="122"/>
      <c r="K270" s="111"/>
      <c r="L270" s="111"/>
      <c r="M270" s="111"/>
      <c r="N270" s="111"/>
      <c r="O270" s="111"/>
      <c r="P270" s="111"/>
      <c r="Q270" s="111"/>
      <c r="R270" s="111"/>
      <c r="S270" s="111"/>
      <c r="T270" s="111"/>
      <c r="U270" s="111"/>
      <c r="V270" s="111"/>
      <c r="W270" s="111"/>
      <c r="X270" s="123"/>
      <c r="AI270" s="222" t="str">
        <f t="shared" si="10"/>
        <v/>
      </c>
    </row>
    <row r="271" spans="1:35" s="108" customFormat="1" ht="15.75">
      <c r="A271" s="119"/>
      <c r="B271" s="120"/>
      <c r="C271" s="111"/>
      <c r="D271" s="111"/>
      <c r="E271" s="121"/>
      <c r="F271" s="121"/>
      <c r="G271" s="113"/>
      <c r="H271" s="199" t="str">
        <f t="shared" si="9"/>
        <v/>
      </c>
      <c r="I271" s="200" t="str">
        <f>IF(H271="","",IF(AND(AI271&lt;=66),VLOOKUP(H271,'WordRead Look Up'!$A$13:$B$20,2,TRUE),IF(AND(AI271&gt;=67,AI271&lt;=72),VLOOKUP(H271,'WordRead Look Up'!$E$13:$F$20,2,TRUE),IF(AND(AI271&gt;=73,AI271&lt;=78),VLOOKUP(H271,'WordRead Look Up'!$I$13:$J$18,2,TRUE),IF(AND(AI271&gt;=79),VLOOKUP(H271,'WordRead Look Up'!$M$13:$N$18,2,TRUE),"")))))</f>
        <v/>
      </c>
      <c r="J271" s="122"/>
      <c r="K271" s="111"/>
      <c r="L271" s="111"/>
      <c r="M271" s="111"/>
      <c r="N271" s="111"/>
      <c r="O271" s="111"/>
      <c r="P271" s="111"/>
      <c r="Q271" s="111"/>
      <c r="R271" s="111"/>
      <c r="S271" s="111"/>
      <c r="T271" s="111"/>
      <c r="U271" s="111"/>
      <c r="V271" s="111"/>
      <c r="W271" s="111"/>
      <c r="X271" s="123"/>
      <c r="AI271" s="222" t="str">
        <f t="shared" si="10"/>
        <v/>
      </c>
    </row>
    <row r="272" spans="1:35" s="108" customFormat="1" ht="15.75">
      <c r="A272" s="119"/>
      <c r="B272" s="120"/>
      <c r="C272" s="111"/>
      <c r="D272" s="111"/>
      <c r="E272" s="121"/>
      <c r="F272" s="121"/>
      <c r="G272" s="113"/>
      <c r="H272" s="199" t="str">
        <f t="shared" si="9"/>
        <v/>
      </c>
      <c r="I272" s="200" t="str">
        <f>IF(H272="","",IF(AND(AI272&lt;=66),VLOOKUP(H272,'WordRead Look Up'!$A$13:$B$20,2,TRUE),IF(AND(AI272&gt;=67,AI272&lt;=72),VLOOKUP(H272,'WordRead Look Up'!$E$13:$F$20,2,TRUE),IF(AND(AI272&gt;=73,AI272&lt;=78),VLOOKUP(H272,'WordRead Look Up'!$I$13:$J$18,2,TRUE),IF(AND(AI272&gt;=79),VLOOKUP(H272,'WordRead Look Up'!$M$13:$N$18,2,TRUE),"")))))</f>
        <v/>
      </c>
      <c r="J272" s="122"/>
      <c r="K272" s="111"/>
      <c r="L272" s="111"/>
      <c r="M272" s="111"/>
      <c r="N272" s="111"/>
      <c r="O272" s="111"/>
      <c r="P272" s="111"/>
      <c r="Q272" s="111"/>
      <c r="R272" s="111"/>
      <c r="S272" s="111"/>
      <c r="T272" s="111"/>
      <c r="U272" s="111"/>
      <c r="V272" s="111"/>
      <c r="W272" s="111"/>
      <c r="X272" s="123"/>
      <c r="AI272" s="222" t="str">
        <f t="shared" si="10"/>
        <v/>
      </c>
    </row>
    <row r="273" spans="1:35" s="108" customFormat="1" ht="15.75">
      <c r="A273" s="119"/>
      <c r="B273" s="120"/>
      <c r="C273" s="111"/>
      <c r="D273" s="111"/>
      <c r="E273" s="121"/>
      <c r="F273" s="121"/>
      <c r="G273" s="113"/>
      <c r="H273" s="199" t="str">
        <f t="shared" si="9"/>
        <v/>
      </c>
      <c r="I273" s="200" t="str">
        <f>IF(H273="","",IF(AND(AI273&lt;=66),VLOOKUP(H273,'WordRead Look Up'!$A$13:$B$20,2,TRUE),IF(AND(AI273&gt;=67,AI273&lt;=72),VLOOKUP(H273,'WordRead Look Up'!$E$13:$F$20,2,TRUE),IF(AND(AI273&gt;=73,AI273&lt;=78),VLOOKUP(H273,'WordRead Look Up'!$I$13:$J$18,2,TRUE),IF(AND(AI273&gt;=79),VLOOKUP(H273,'WordRead Look Up'!$M$13:$N$18,2,TRUE),"")))))</f>
        <v/>
      </c>
      <c r="J273" s="122"/>
      <c r="K273" s="111"/>
      <c r="L273" s="111"/>
      <c r="M273" s="111"/>
      <c r="N273" s="111"/>
      <c r="O273" s="111"/>
      <c r="P273" s="111"/>
      <c r="Q273" s="111"/>
      <c r="R273" s="111"/>
      <c r="S273" s="111"/>
      <c r="T273" s="111"/>
      <c r="U273" s="111"/>
      <c r="V273" s="111"/>
      <c r="W273" s="111"/>
      <c r="X273" s="123"/>
      <c r="AI273" s="222" t="str">
        <f t="shared" si="10"/>
        <v/>
      </c>
    </row>
    <row r="274" spans="1:35" s="108" customFormat="1" ht="15.75">
      <c r="A274" s="119"/>
      <c r="B274" s="120"/>
      <c r="C274" s="111"/>
      <c r="D274" s="111"/>
      <c r="E274" s="121"/>
      <c r="F274" s="121"/>
      <c r="G274" s="113"/>
      <c r="H274" s="199" t="str">
        <f t="shared" si="9"/>
        <v/>
      </c>
      <c r="I274" s="200" t="str">
        <f>IF(H274="","",IF(AND(AI274&lt;=66),VLOOKUP(H274,'WordRead Look Up'!$A$13:$B$20,2,TRUE),IF(AND(AI274&gt;=67,AI274&lt;=72),VLOOKUP(H274,'WordRead Look Up'!$E$13:$F$20,2,TRUE),IF(AND(AI274&gt;=73,AI274&lt;=78),VLOOKUP(H274,'WordRead Look Up'!$I$13:$J$18,2,TRUE),IF(AND(AI274&gt;=79),VLOOKUP(H274,'WordRead Look Up'!$M$13:$N$18,2,TRUE),"")))))</f>
        <v/>
      </c>
      <c r="J274" s="122"/>
      <c r="K274" s="111"/>
      <c r="L274" s="111"/>
      <c r="M274" s="111"/>
      <c r="N274" s="111"/>
      <c r="O274" s="111"/>
      <c r="P274" s="111"/>
      <c r="Q274" s="111"/>
      <c r="R274" s="111"/>
      <c r="S274" s="111"/>
      <c r="T274" s="111"/>
      <c r="U274" s="111"/>
      <c r="V274" s="111"/>
      <c r="W274" s="111"/>
      <c r="X274" s="123"/>
      <c r="AI274" s="222" t="str">
        <f t="shared" si="10"/>
        <v/>
      </c>
    </row>
    <row r="275" spans="1:35" s="108" customFormat="1" ht="15.75">
      <c r="A275" s="119"/>
      <c r="B275" s="120"/>
      <c r="C275" s="111"/>
      <c r="D275" s="111"/>
      <c r="E275" s="121"/>
      <c r="F275" s="121"/>
      <c r="G275" s="113"/>
      <c r="H275" s="199" t="str">
        <f t="shared" si="9"/>
        <v/>
      </c>
      <c r="I275" s="200" t="str">
        <f>IF(H275="","",IF(AND(AI275&lt;=66),VLOOKUP(H275,'WordRead Look Up'!$A$13:$B$20,2,TRUE),IF(AND(AI275&gt;=67,AI275&lt;=72),VLOOKUP(H275,'WordRead Look Up'!$E$13:$F$20,2,TRUE),IF(AND(AI275&gt;=73,AI275&lt;=78),VLOOKUP(H275,'WordRead Look Up'!$I$13:$J$18,2,TRUE),IF(AND(AI275&gt;=79),VLOOKUP(H275,'WordRead Look Up'!$M$13:$N$18,2,TRUE),"")))))</f>
        <v/>
      </c>
      <c r="J275" s="122"/>
      <c r="K275" s="111"/>
      <c r="L275" s="111"/>
      <c r="M275" s="111"/>
      <c r="N275" s="111"/>
      <c r="O275" s="111"/>
      <c r="P275" s="111"/>
      <c r="Q275" s="111"/>
      <c r="R275" s="111"/>
      <c r="S275" s="111"/>
      <c r="T275" s="111"/>
      <c r="U275" s="111"/>
      <c r="V275" s="111"/>
      <c r="W275" s="111"/>
      <c r="X275" s="123"/>
      <c r="AI275" s="222" t="str">
        <f t="shared" si="10"/>
        <v/>
      </c>
    </row>
    <row r="276" spans="1:35" s="108" customFormat="1" ht="15.75">
      <c r="A276" s="119"/>
      <c r="B276" s="120"/>
      <c r="C276" s="111"/>
      <c r="D276" s="111"/>
      <c r="E276" s="121"/>
      <c r="F276" s="121"/>
      <c r="G276" s="113"/>
      <c r="H276" s="199" t="str">
        <f t="shared" si="9"/>
        <v/>
      </c>
      <c r="I276" s="200" t="str">
        <f>IF(H276="","",IF(AND(AI276&lt;=66),VLOOKUP(H276,'WordRead Look Up'!$A$13:$B$20,2,TRUE),IF(AND(AI276&gt;=67,AI276&lt;=72),VLOOKUP(H276,'WordRead Look Up'!$E$13:$F$20,2,TRUE),IF(AND(AI276&gt;=73,AI276&lt;=78),VLOOKUP(H276,'WordRead Look Up'!$I$13:$J$18,2,TRUE),IF(AND(AI276&gt;=79),VLOOKUP(H276,'WordRead Look Up'!$M$13:$N$18,2,TRUE),"")))))</f>
        <v/>
      </c>
      <c r="J276" s="122"/>
      <c r="K276" s="111"/>
      <c r="L276" s="111"/>
      <c r="M276" s="111"/>
      <c r="N276" s="111"/>
      <c r="O276" s="111"/>
      <c r="P276" s="111"/>
      <c r="Q276" s="111"/>
      <c r="R276" s="111"/>
      <c r="S276" s="111"/>
      <c r="T276" s="111"/>
      <c r="U276" s="111"/>
      <c r="V276" s="111"/>
      <c r="W276" s="111"/>
      <c r="X276" s="123"/>
      <c r="AI276" s="222" t="str">
        <f t="shared" si="10"/>
        <v/>
      </c>
    </row>
    <row r="277" spans="1:35" s="108" customFormat="1" ht="15.75">
      <c r="A277" s="119"/>
      <c r="B277" s="120"/>
      <c r="C277" s="111"/>
      <c r="D277" s="111"/>
      <c r="E277" s="121"/>
      <c r="F277" s="121"/>
      <c r="G277" s="113"/>
      <c r="H277" s="199" t="str">
        <f t="shared" si="9"/>
        <v/>
      </c>
      <c r="I277" s="200" t="str">
        <f>IF(H277="","",IF(AND(AI277&lt;=66),VLOOKUP(H277,'WordRead Look Up'!$A$13:$B$20,2,TRUE),IF(AND(AI277&gt;=67,AI277&lt;=72),VLOOKUP(H277,'WordRead Look Up'!$E$13:$F$20,2,TRUE),IF(AND(AI277&gt;=73,AI277&lt;=78),VLOOKUP(H277,'WordRead Look Up'!$I$13:$J$18,2,TRUE),IF(AND(AI277&gt;=79),VLOOKUP(H277,'WordRead Look Up'!$M$13:$N$18,2,TRUE),"")))))</f>
        <v/>
      </c>
      <c r="J277" s="122"/>
      <c r="K277" s="111"/>
      <c r="L277" s="111"/>
      <c r="M277" s="111"/>
      <c r="N277" s="111"/>
      <c r="O277" s="111"/>
      <c r="P277" s="111"/>
      <c r="Q277" s="111"/>
      <c r="R277" s="111"/>
      <c r="S277" s="111"/>
      <c r="T277" s="111"/>
      <c r="U277" s="111"/>
      <c r="V277" s="111"/>
      <c r="W277" s="111"/>
      <c r="X277" s="123"/>
      <c r="AI277" s="222" t="str">
        <f t="shared" si="10"/>
        <v/>
      </c>
    </row>
    <row r="278" spans="1:35" s="108" customFormat="1" ht="15.75">
      <c r="A278" s="119"/>
      <c r="B278" s="120"/>
      <c r="C278" s="111"/>
      <c r="D278" s="111"/>
      <c r="E278" s="121"/>
      <c r="F278" s="121"/>
      <c r="G278" s="113"/>
      <c r="H278" s="199" t="str">
        <f t="shared" si="9"/>
        <v/>
      </c>
      <c r="I278" s="200" t="str">
        <f>IF(H278="","",IF(AND(AI278&lt;=66),VLOOKUP(H278,'WordRead Look Up'!$A$13:$B$20,2,TRUE),IF(AND(AI278&gt;=67,AI278&lt;=72),VLOOKUP(H278,'WordRead Look Up'!$E$13:$F$20,2,TRUE),IF(AND(AI278&gt;=73,AI278&lt;=78),VLOOKUP(H278,'WordRead Look Up'!$I$13:$J$18,2,TRUE),IF(AND(AI278&gt;=79),VLOOKUP(H278,'WordRead Look Up'!$M$13:$N$18,2,TRUE),"")))))</f>
        <v/>
      </c>
      <c r="J278" s="122"/>
      <c r="K278" s="111"/>
      <c r="L278" s="111"/>
      <c r="M278" s="111"/>
      <c r="N278" s="111"/>
      <c r="O278" s="111"/>
      <c r="P278" s="111"/>
      <c r="Q278" s="111"/>
      <c r="R278" s="111"/>
      <c r="S278" s="111"/>
      <c r="T278" s="111"/>
      <c r="U278" s="111"/>
      <c r="V278" s="111"/>
      <c r="W278" s="111"/>
      <c r="X278" s="123"/>
      <c r="AI278" s="222" t="str">
        <f t="shared" si="10"/>
        <v/>
      </c>
    </row>
    <row r="279" spans="1:35" s="108" customFormat="1" ht="15.75">
      <c r="A279" s="119"/>
      <c r="B279" s="120"/>
      <c r="C279" s="111"/>
      <c r="D279" s="111"/>
      <c r="E279" s="121"/>
      <c r="F279" s="121"/>
      <c r="G279" s="113"/>
      <c r="H279" s="199" t="str">
        <f t="shared" si="9"/>
        <v/>
      </c>
      <c r="I279" s="200" t="str">
        <f>IF(H279="","",IF(AND(AI279&lt;=66),VLOOKUP(H279,'WordRead Look Up'!$A$13:$B$20,2,TRUE),IF(AND(AI279&gt;=67,AI279&lt;=72),VLOOKUP(H279,'WordRead Look Up'!$E$13:$F$20,2,TRUE),IF(AND(AI279&gt;=73,AI279&lt;=78),VLOOKUP(H279,'WordRead Look Up'!$I$13:$J$18,2,TRUE),IF(AND(AI279&gt;=79),VLOOKUP(H279,'WordRead Look Up'!$M$13:$N$18,2,TRUE),"")))))</f>
        <v/>
      </c>
      <c r="J279" s="122"/>
      <c r="K279" s="111"/>
      <c r="L279" s="111"/>
      <c r="M279" s="111"/>
      <c r="N279" s="111"/>
      <c r="O279" s="111"/>
      <c r="P279" s="111"/>
      <c r="Q279" s="111"/>
      <c r="R279" s="111"/>
      <c r="S279" s="111"/>
      <c r="T279" s="111"/>
      <c r="U279" s="111"/>
      <c r="V279" s="111"/>
      <c r="W279" s="111"/>
      <c r="X279" s="123"/>
      <c r="AI279" s="222" t="str">
        <f t="shared" si="10"/>
        <v/>
      </c>
    </row>
    <row r="280" spans="1:35" s="108" customFormat="1" ht="15.75">
      <c r="A280" s="119"/>
      <c r="B280" s="120"/>
      <c r="C280" s="111"/>
      <c r="D280" s="111"/>
      <c r="E280" s="121"/>
      <c r="F280" s="121"/>
      <c r="G280" s="113"/>
      <c r="H280" s="199" t="str">
        <f t="shared" si="9"/>
        <v/>
      </c>
      <c r="I280" s="200" t="str">
        <f>IF(H280="","",IF(AND(AI280&lt;=66),VLOOKUP(H280,'WordRead Look Up'!$A$13:$B$20,2,TRUE),IF(AND(AI280&gt;=67,AI280&lt;=72),VLOOKUP(H280,'WordRead Look Up'!$E$13:$F$20,2,TRUE),IF(AND(AI280&gt;=73,AI280&lt;=78),VLOOKUP(H280,'WordRead Look Up'!$I$13:$J$18,2,TRUE),IF(AND(AI280&gt;=79),VLOOKUP(H280,'WordRead Look Up'!$M$13:$N$18,2,TRUE),"")))))</f>
        <v/>
      </c>
      <c r="J280" s="122"/>
      <c r="K280" s="111"/>
      <c r="L280" s="111"/>
      <c r="M280" s="111"/>
      <c r="N280" s="111"/>
      <c r="O280" s="111"/>
      <c r="P280" s="111"/>
      <c r="Q280" s="111"/>
      <c r="R280" s="111"/>
      <c r="S280" s="111"/>
      <c r="T280" s="111"/>
      <c r="U280" s="111"/>
      <c r="V280" s="111"/>
      <c r="W280" s="111"/>
      <c r="X280" s="123"/>
      <c r="AI280" s="222" t="str">
        <f t="shared" si="10"/>
        <v/>
      </c>
    </row>
    <row r="281" spans="1:35" s="108" customFormat="1" ht="15.75">
      <c r="A281" s="119"/>
      <c r="B281" s="120"/>
      <c r="C281" s="111"/>
      <c r="D281" s="111"/>
      <c r="E281" s="121"/>
      <c r="F281" s="121"/>
      <c r="G281" s="113"/>
      <c r="H281" s="199" t="str">
        <f t="shared" si="9"/>
        <v/>
      </c>
      <c r="I281" s="200" t="str">
        <f>IF(H281="","",IF(AND(AI281&lt;=66),VLOOKUP(H281,'WordRead Look Up'!$A$13:$B$20,2,TRUE),IF(AND(AI281&gt;=67,AI281&lt;=72),VLOOKUP(H281,'WordRead Look Up'!$E$13:$F$20,2,TRUE),IF(AND(AI281&gt;=73,AI281&lt;=78),VLOOKUP(H281,'WordRead Look Up'!$I$13:$J$18,2,TRUE),IF(AND(AI281&gt;=79),VLOOKUP(H281,'WordRead Look Up'!$M$13:$N$18,2,TRUE),"")))))</f>
        <v/>
      </c>
      <c r="J281" s="122"/>
      <c r="K281" s="111"/>
      <c r="L281" s="111"/>
      <c r="M281" s="111"/>
      <c r="N281" s="111"/>
      <c r="O281" s="111"/>
      <c r="P281" s="111"/>
      <c r="Q281" s="111"/>
      <c r="R281" s="111"/>
      <c r="S281" s="111"/>
      <c r="T281" s="111"/>
      <c r="U281" s="111"/>
      <c r="V281" s="111"/>
      <c r="W281" s="111"/>
      <c r="X281" s="123"/>
      <c r="AI281" s="222" t="str">
        <f t="shared" si="10"/>
        <v/>
      </c>
    </row>
    <row r="282" spans="1:35" s="108" customFormat="1" ht="15.75">
      <c r="A282" s="119"/>
      <c r="B282" s="120"/>
      <c r="C282" s="111"/>
      <c r="D282" s="111"/>
      <c r="E282" s="121"/>
      <c r="F282" s="121"/>
      <c r="G282" s="113"/>
      <c r="H282" s="199" t="str">
        <f t="shared" si="9"/>
        <v/>
      </c>
      <c r="I282" s="200" t="str">
        <f>IF(H282="","",IF(AND(AI282&lt;=66),VLOOKUP(H282,'WordRead Look Up'!$A$13:$B$20,2,TRUE),IF(AND(AI282&gt;=67,AI282&lt;=72),VLOOKUP(H282,'WordRead Look Up'!$E$13:$F$20,2,TRUE),IF(AND(AI282&gt;=73,AI282&lt;=78),VLOOKUP(H282,'WordRead Look Up'!$I$13:$J$18,2,TRUE),IF(AND(AI282&gt;=79),VLOOKUP(H282,'WordRead Look Up'!$M$13:$N$18,2,TRUE),"")))))</f>
        <v/>
      </c>
      <c r="J282" s="122"/>
      <c r="K282" s="111"/>
      <c r="L282" s="111"/>
      <c r="M282" s="111"/>
      <c r="N282" s="111"/>
      <c r="O282" s="111"/>
      <c r="P282" s="111"/>
      <c r="Q282" s="111"/>
      <c r="R282" s="111"/>
      <c r="S282" s="111"/>
      <c r="T282" s="111"/>
      <c r="U282" s="111"/>
      <c r="V282" s="111"/>
      <c r="W282" s="111"/>
      <c r="X282" s="123"/>
      <c r="AI282" s="222" t="str">
        <f t="shared" si="10"/>
        <v/>
      </c>
    </row>
    <row r="283" spans="1:35" s="108" customFormat="1" ht="15.75">
      <c r="A283" s="119"/>
      <c r="B283" s="120"/>
      <c r="C283" s="111"/>
      <c r="D283" s="111"/>
      <c r="E283" s="121"/>
      <c r="F283" s="121"/>
      <c r="G283" s="113"/>
      <c r="H283" s="199" t="str">
        <f t="shared" si="9"/>
        <v/>
      </c>
      <c r="I283" s="200" t="str">
        <f>IF(H283="","",IF(AND(AI283&lt;=66),VLOOKUP(H283,'WordRead Look Up'!$A$13:$B$20,2,TRUE),IF(AND(AI283&gt;=67,AI283&lt;=72),VLOOKUP(H283,'WordRead Look Up'!$E$13:$F$20,2,TRUE),IF(AND(AI283&gt;=73,AI283&lt;=78),VLOOKUP(H283,'WordRead Look Up'!$I$13:$J$18,2,TRUE),IF(AND(AI283&gt;=79),VLOOKUP(H283,'WordRead Look Up'!$M$13:$N$18,2,TRUE),"")))))</f>
        <v/>
      </c>
      <c r="J283" s="122"/>
      <c r="K283" s="111"/>
      <c r="L283" s="111"/>
      <c r="M283" s="111"/>
      <c r="N283" s="111"/>
      <c r="O283" s="111"/>
      <c r="P283" s="111"/>
      <c r="Q283" s="111"/>
      <c r="R283" s="111"/>
      <c r="S283" s="111"/>
      <c r="T283" s="111"/>
      <c r="U283" s="111"/>
      <c r="V283" s="111"/>
      <c r="W283" s="111"/>
      <c r="X283" s="123"/>
      <c r="AI283" s="222" t="str">
        <f t="shared" si="10"/>
        <v/>
      </c>
    </row>
    <row r="284" spans="1:35" s="108" customFormat="1" ht="15.75">
      <c r="A284" s="119"/>
      <c r="B284" s="120"/>
      <c r="C284" s="111"/>
      <c r="D284" s="111"/>
      <c r="E284" s="121"/>
      <c r="F284" s="121"/>
      <c r="G284" s="113"/>
      <c r="H284" s="199" t="str">
        <f t="shared" si="9"/>
        <v/>
      </c>
      <c r="I284" s="200" t="str">
        <f>IF(H284="","",IF(AND(AI284&lt;=66),VLOOKUP(H284,'WordRead Look Up'!$A$13:$B$20,2,TRUE),IF(AND(AI284&gt;=67,AI284&lt;=72),VLOOKUP(H284,'WordRead Look Up'!$E$13:$F$20,2,TRUE),IF(AND(AI284&gt;=73,AI284&lt;=78),VLOOKUP(H284,'WordRead Look Up'!$I$13:$J$18,2,TRUE),IF(AND(AI284&gt;=79),VLOOKUP(H284,'WordRead Look Up'!$M$13:$N$18,2,TRUE),"")))))</f>
        <v/>
      </c>
      <c r="J284" s="122"/>
      <c r="K284" s="111"/>
      <c r="L284" s="111"/>
      <c r="M284" s="111"/>
      <c r="N284" s="111"/>
      <c r="O284" s="111"/>
      <c r="P284" s="111"/>
      <c r="Q284" s="111"/>
      <c r="R284" s="111"/>
      <c r="S284" s="111"/>
      <c r="T284" s="111"/>
      <c r="U284" s="111"/>
      <c r="V284" s="111"/>
      <c r="W284" s="111"/>
      <c r="X284" s="123"/>
      <c r="AI284" s="222" t="str">
        <f t="shared" si="10"/>
        <v/>
      </c>
    </row>
    <row r="285" spans="1:35" s="108" customFormat="1" ht="15.75">
      <c r="A285" s="119"/>
      <c r="B285" s="120"/>
      <c r="C285" s="111"/>
      <c r="D285" s="111"/>
      <c r="E285" s="121"/>
      <c r="F285" s="121"/>
      <c r="G285" s="113"/>
      <c r="H285" s="199" t="str">
        <f t="shared" si="9"/>
        <v/>
      </c>
      <c r="I285" s="200" t="str">
        <f>IF(H285="","",IF(AND(AI285&lt;=66),VLOOKUP(H285,'WordRead Look Up'!$A$13:$B$20,2,TRUE),IF(AND(AI285&gt;=67,AI285&lt;=72),VLOOKUP(H285,'WordRead Look Up'!$E$13:$F$20,2,TRUE),IF(AND(AI285&gt;=73,AI285&lt;=78),VLOOKUP(H285,'WordRead Look Up'!$I$13:$J$18,2,TRUE),IF(AND(AI285&gt;=79),VLOOKUP(H285,'WordRead Look Up'!$M$13:$N$18,2,TRUE),"")))))</f>
        <v/>
      </c>
      <c r="J285" s="122"/>
      <c r="K285" s="111"/>
      <c r="L285" s="111"/>
      <c r="M285" s="111"/>
      <c r="N285" s="111"/>
      <c r="O285" s="111"/>
      <c r="P285" s="111"/>
      <c r="Q285" s="111"/>
      <c r="R285" s="111"/>
      <c r="S285" s="111"/>
      <c r="T285" s="111"/>
      <c r="U285" s="111"/>
      <c r="V285" s="111"/>
      <c r="W285" s="111"/>
      <c r="X285" s="123"/>
      <c r="AI285" s="222" t="str">
        <f t="shared" si="10"/>
        <v/>
      </c>
    </row>
    <row r="286" spans="1:35" s="108" customFormat="1" ht="15.75">
      <c r="A286" s="119"/>
      <c r="B286" s="120"/>
      <c r="C286" s="111"/>
      <c r="D286" s="111"/>
      <c r="E286" s="121"/>
      <c r="F286" s="121"/>
      <c r="G286" s="113"/>
      <c r="H286" s="199" t="str">
        <f t="shared" si="9"/>
        <v/>
      </c>
      <c r="I286" s="200" t="str">
        <f>IF(H286="","",IF(AND(AI286&lt;=66),VLOOKUP(H286,'WordRead Look Up'!$A$13:$B$20,2,TRUE),IF(AND(AI286&gt;=67,AI286&lt;=72),VLOOKUP(H286,'WordRead Look Up'!$E$13:$F$20,2,TRUE),IF(AND(AI286&gt;=73,AI286&lt;=78),VLOOKUP(H286,'WordRead Look Up'!$I$13:$J$18,2,TRUE),IF(AND(AI286&gt;=79),VLOOKUP(H286,'WordRead Look Up'!$M$13:$N$18,2,TRUE),"")))))</f>
        <v/>
      </c>
      <c r="J286" s="122"/>
      <c r="K286" s="111"/>
      <c r="L286" s="111"/>
      <c r="M286" s="111"/>
      <c r="N286" s="111"/>
      <c r="O286" s="111"/>
      <c r="P286" s="111"/>
      <c r="Q286" s="111"/>
      <c r="R286" s="111"/>
      <c r="S286" s="111"/>
      <c r="T286" s="111"/>
      <c r="U286" s="111"/>
      <c r="V286" s="111"/>
      <c r="W286" s="111"/>
      <c r="X286" s="123"/>
      <c r="AI286" s="222" t="str">
        <f t="shared" si="10"/>
        <v/>
      </c>
    </row>
    <row r="287" spans="1:35" s="108" customFormat="1" ht="15.75">
      <c r="A287" s="119"/>
      <c r="B287" s="120"/>
      <c r="C287" s="111"/>
      <c r="D287" s="111"/>
      <c r="E287" s="121"/>
      <c r="F287" s="121"/>
      <c r="G287" s="113"/>
      <c r="H287" s="199" t="str">
        <f t="shared" si="9"/>
        <v/>
      </c>
      <c r="I287" s="200" t="str">
        <f>IF(H287="","",IF(AND(AI287&lt;=66),VLOOKUP(H287,'WordRead Look Up'!$A$13:$B$20,2,TRUE),IF(AND(AI287&gt;=67,AI287&lt;=72),VLOOKUP(H287,'WordRead Look Up'!$E$13:$F$20,2,TRUE),IF(AND(AI287&gt;=73,AI287&lt;=78),VLOOKUP(H287,'WordRead Look Up'!$I$13:$J$18,2,TRUE),IF(AND(AI287&gt;=79),VLOOKUP(H287,'WordRead Look Up'!$M$13:$N$18,2,TRUE),"")))))</f>
        <v/>
      </c>
      <c r="J287" s="122"/>
      <c r="K287" s="111"/>
      <c r="L287" s="111"/>
      <c r="M287" s="111"/>
      <c r="N287" s="111"/>
      <c r="O287" s="111"/>
      <c r="P287" s="111"/>
      <c r="Q287" s="111"/>
      <c r="R287" s="111"/>
      <c r="S287" s="111"/>
      <c r="T287" s="111"/>
      <c r="U287" s="111"/>
      <c r="V287" s="111"/>
      <c r="W287" s="111"/>
      <c r="X287" s="123"/>
      <c r="AI287" s="222" t="str">
        <f t="shared" si="10"/>
        <v/>
      </c>
    </row>
    <row r="288" spans="1:35" s="108" customFormat="1" ht="15.75">
      <c r="A288" s="119"/>
      <c r="B288" s="120"/>
      <c r="C288" s="111"/>
      <c r="D288" s="111"/>
      <c r="E288" s="121"/>
      <c r="F288" s="121"/>
      <c r="G288" s="113"/>
      <c r="H288" s="199" t="str">
        <f t="shared" si="9"/>
        <v/>
      </c>
      <c r="I288" s="200" t="str">
        <f>IF(H288="","",IF(AND(AI288&lt;=66),VLOOKUP(H288,'WordRead Look Up'!$A$13:$B$20,2,TRUE),IF(AND(AI288&gt;=67,AI288&lt;=72),VLOOKUP(H288,'WordRead Look Up'!$E$13:$F$20,2,TRUE),IF(AND(AI288&gt;=73,AI288&lt;=78),VLOOKUP(H288,'WordRead Look Up'!$I$13:$J$18,2,TRUE),IF(AND(AI288&gt;=79),VLOOKUP(H288,'WordRead Look Up'!$M$13:$N$18,2,TRUE),"")))))</f>
        <v/>
      </c>
      <c r="J288" s="122"/>
      <c r="K288" s="111"/>
      <c r="L288" s="111"/>
      <c r="M288" s="111"/>
      <c r="N288" s="111"/>
      <c r="O288" s="111"/>
      <c r="P288" s="111"/>
      <c r="Q288" s="111"/>
      <c r="R288" s="111"/>
      <c r="S288" s="111"/>
      <c r="T288" s="111"/>
      <c r="U288" s="111"/>
      <c r="V288" s="111"/>
      <c r="W288" s="111"/>
      <c r="X288" s="123"/>
      <c r="AI288" s="222" t="str">
        <f t="shared" si="10"/>
        <v/>
      </c>
    </row>
    <row r="289" spans="1:35" s="108" customFormat="1" ht="15.75">
      <c r="A289" s="119"/>
      <c r="B289" s="120"/>
      <c r="C289" s="111"/>
      <c r="D289" s="111"/>
      <c r="E289" s="121"/>
      <c r="F289" s="121"/>
      <c r="G289" s="113"/>
      <c r="H289" s="199" t="str">
        <f t="shared" si="9"/>
        <v/>
      </c>
      <c r="I289" s="200" t="str">
        <f>IF(H289="","",IF(AND(AI289&lt;=66),VLOOKUP(H289,'WordRead Look Up'!$A$13:$B$20,2,TRUE),IF(AND(AI289&gt;=67,AI289&lt;=72),VLOOKUP(H289,'WordRead Look Up'!$E$13:$F$20,2,TRUE),IF(AND(AI289&gt;=73,AI289&lt;=78),VLOOKUP(H289,'WordRead Look Up'!$I$13:$J$18,2,TRUE),IF(AND(AI289&gt;=79),VLOOKUP(H289,'WordRead Look Up'!$M$13:$N$18,2,TRUE),"")))))</f>
        <v/>
      </c>
      <c r="J289" s="122"/>
      <c r="K289" s="111"/>
      <c r="L289" s="111"/>
      <c r="M289" s="111"/>
      <c r="N289" s="111"/>
      <c r="O289" s="111"/>
      <c r="P289" s="111"/>
      <c r="Q289" s="111"/>
      <c r="R289" s="111"/>
      <c r="S289" s="111"/>
      <c r="T289" s="111"/>
      <c r="U289" s="111"/>
      <c r="V289" s="111"/>
      <c r="W289" s="111"/>
      <c r="X289" s="123"/>
      <c r="AI289" s="222" t="str">
        <f t="shared" si="10"/>
        <v/>
      </c>
    </row>
    <row r="290" spans="1:35" s="108" customFormat="1" ht="15.75">
      <c r="A290" s="119"/>
      <c r="B290" s="120"/>
      <c r="C290" s="111"/>
      <c r="D290" s="111"/>
      <c r="E290" s="121"/>
      <c r="F290" s="121"/>
      <c r="G290" s="113"/>
      <c r="H290" s="199" t="str">
        <f t="shared" si="9"/>
        <v/>
      </c>
      <c r="I290" s="200" t="str">
        <f>IF(H290="","",IF(AND(AI290&lt;=66),VLOOKUP(H290,'WordRead Look Up'!$A$13:$B$20,2,TRUE),IF(AND(AI290&gt;=67,AI290&lt;=72),VLOOKUP(H290,'WordRead Look Up'!$E$13:$F$20,2,TRUE),IF(AND(AI290&gt;=73,AI290&lt;=78),VLOOKUP(H290,'WordRead Look Up'!$I$13:$J$18,2,TRUE),IF(AND(AI290&gt;=79),VLOOKUP(H290,'WordRead Look Up'!$M$13:$N$18,2,TRUE),"")))))</f>
        <v/>
      </c>
      <c r="J290" s="122"/>
      <c r="K290" s="111"/>
      <c r="L290" s="111"/>
      <c r="M290" s="111"/>
      <c r="N290" s="111"/>
      <c r="O290" s="111"/>
      <c r="P290" s="111"/>
      <c r="Q290" s="111"/>
      <c r="R290" s="111"/>
      <c r="S290" s="111"/>
      <c r="T290" s="111"/>
      <c r="U290" s="111"/>
      <c r="V290" s="111"/>
      <c r="W290" s="111"/>
      <c r="X290" s="123"/>
      <c r="AI290" s="222" t="str">
        <f t="shared" si="10"/>
        <v/>
      </c>
    </row>
    <row r="291" spans="1:35" s="108" customFormat="1" ht="15.75">
      <c r="A291" s="119"/>
      <c r="B291" s="120"/>
      <c r="C291" s="111"/>
      <c r="D291" s="111"/>
      <c r="E291" s="121"/>
      <c r="F291" s="121"/>
      <c r="G291" s="113"/>
      <c r="H291" s="199" t="str">
        <f t="shared" si="9"/>
        <v/>
      </c>
      <c r="I291" s="200" t="str">
        <f>IF(H291="","",IF(AND(AI291&lt;=66),VLOOKUP(H291,'WordRead Look Up'!$A$13:$B$20,2,TRUE),IF(AND(AI291&gt;=67,AI291&lt;=72),VLOOKUP(H291,'WordRead Look Up'!$E$13:$F$20,2,TRUE),IF(AND(AI291&gt;=73,AI291&lt;=78),VLOOKUP(H291,'WordRead Look Up'!$I$13:$J$18,2,TRUE),IF(AND(AI291&gt;=79),VLOOKUP(H291,'WordRead Look Up'!$M$13:$N$18,2,TRUE),"")))))</f>
        <v/>
      </c>
      <c r="J291" s="122"/>
      <c r="K291" s="111"/>
      <c r="L291" s="111"/>
      <c r="M291" s="111"/>
      <c r="N291" s="111"/>
      <c r="O291" s="111"/>
      <c r="P291" s="111"/>
      <c r="Q291" s="111"/>
      <c r="R291" s="111"/>
      <c r="S291" s="111"/>
      <c r="T291" s="111"/>
      <c r="U291" s="111"/>
      <c r="V291" s="111"/>
      <c r="W291" s="111"/>
      <c r="X291" s="123"/>
      <c r="AI291" s="222" t="str">
        <f t="shared" si="10"/>
        <v/>
      </c>
    </row>
    <row r="292" spans="1:35" s="108" customFormat="1" ht="15.75">
      <c r="A292" s="119"/>
      <c r="B292" s="120"/>
      <c r="C292" s="111"/>
      <c r="D292" s="111"/>
      <c r="E292" s="121"/>
      <c r="F292" s="121"/>
      <c r="G292" s="113"/>
      <c r="H292" s="199" t="str">
        <f t="shared" si="9"/>
        <v/>
      </c>
      <c r="I292" s="200" t="str">
        <f>IF(H292="","",IF(AND(AI292&lt;=66),VLOOKUP(H292,'WordRead Look Up'!$A$13:$B$20,2,TRUE),IF(AND(AI292&gt;=67,AI292&lt;=72),VLOOKUP(H292,'WordRead Look Up'!$E$13:$F$20,2,TRUE),IF(AND(AI292&gt;=73,AI292&lt;=78),VLOOKUP(H292,'WordRead Look Up'!$I$13:$J$18,2,TRUE),IF(AND(AI292&gt;=79),VLOOKUP(H292,'WordRead Look Up'!$M$13:$N$18,2,TRUE),"")))))</f>
        <v/>
      </c>
      <c r="J292" s="122"/>
      <c r="K292" s="111"/>
      <c r="L292" s="111"/>
      <c r="M292" s="111"/>
      <c r="N292" s="111"/>
      <c r="O292" s="111"/>
      <c r="P292" s="111"/>
      <c r="Q292" s="111"/>
      <c r="R292" s="111"/>
      <c r="S292" s="111"/>
      <c r="T292" s="111"/>
      <c r="U292" s="111"/>
      <c r="V292" s="111"/>
      <c r="W292" s="111"/>
      <c r="X292" s="123"/>
      <c r="AI292" s="222" t="str">
        <f t="shared" si="10"/>
        <v/>
      </c>
    </row>
    <row r="293" spans="1:35" s="108" customFormat="1" ht="15.75">
      <c r="A293" s="119"/>
      <c r="B293" s="120"/>
      <c r="C293" s="111"/>
      <c r="D293" s="111"/>
      <c r="E293" s="121"/>
      <c r="F293" s="121"/>
      <c r="G293" s="113"/>
      <c r="H293" s="199" t="str">
        <f t="shared" si="9"/>
        <v/>
      </c>
      <c r="I293" s="200" t="str">
        <f>IF(H293="","",IF(AND(AI293&lt;=66),VLOOKUP(H293,'WordRead Look Up'!$A$13:$B$20,2,TRUE),IF(AND(AI293&gt;=67,AI293&lt;=72),VLOOKUP(H293,'WordRead Look Up'!$E$13:$F$20,2,TRUE),IF(AND(AI293&gt;=73,AI293&lt;=78),VLOOKUP(H293,'WordRead Look Up'!$I$13:$J$18,2,TRUE),IF(AND(AI293&gt;=79),VLOOKUP(H293,'WordRead Look Up'!$M$13:$N$18,2,TRUE),"")))))</f>
        <v/>
      </c>
      <c r="J293" s="122"/>
      <c r="K293" s="111"/>
      <c r="L293" s="111"/>
      <c r="M293" s="111"/>
      <c r="N293" s="111"/>
      <c r="O293" s="111"/>
      <c r="P293" s="111"/>
      <c r="Q293" s="111"/>
      <c r="R293" s="111"/>
      <c r="S293" s="111"/>
      <c r="T293" s="111"/>
      <c r="U293" s="111"/>
      <c r="V293" s="111"/>
      <c r="W293" s="111"/>
      <c r="X293" s="123"/>
      <c r="AI293" s="222" t="str">
        <f t="shared" si="10"/>
        <v/>
      </c>
    </row>
    <row r="294" spans="1:35" s="108" customFormat="1" ht="15.75">
      <c r="A294" s="119"/>
      <c r="B294" s="120"/>
      <c r="C294" s="111"/>
      <c r="D294" s="111"/>
      <c r="E294" s="121"/>
      <c r="F294" s="121"/>
      <c r="G294" s="113"/>
      <c r="H294" s="199" t="str">
        <f t="shared" si="9"/>
        <v/>
      </c>
      <c r="I294" s="200" t="str">
        <f>IF(H294="","",IF(AND(AI294&lt;=66),VLOOKUP(H294,'WordRead Look Up'!$A$13:$B$20,2,TRUE),IF(AND(AI294&gt;=67,AI294&lt;=72),VLOOKUP(H294,'WordRead Look Up'!$E$13:$F$20,2,TRUE),IF(AND(AI294&gt;=73,AI294&lt;=78),VLOOKUP(H294,'WordRead Look Up'!$I$13:$J$18,2,TRUE),IF(AND(AI294&gt;=79),VLOOKUP(H294,'WordRead Look Up'!$M$13:$N$18,2,TRUE),"")))))</f>
        <v/>
      </c>
      <c r="J294" s="122"/>
      <c r="K294" s="111"/>
      <c r="L294" s="111"/>
      <c r="M294" s="111"/>
      <c r="N294" s="111"/>
      <c r="O294" s="111"/>
      <c r="P294" s="111"/>
      <c r="Q294" s="111"/>
      <c r="R294" s="111"/>
      <c r="S294" s="111"/>
      <c r="T294" s="111"/>
      <c r="U294" s="111"/>
      <c r="V294" s="111"/>
      <c r="W294" s="111"/>
      <c r="X294" s="123"/>
      <c r="AI294" s="222" t="str">
        <f t="shared" si="10"/>
        <v/>
      </c>
    </row>
    <row r="295" spans="1:35" s="108" customFormat="1" ht="15.75">
      <c r="A295" s="119"/>
      <c r="B295" s="120"/>
      <c r="C295" s="111"/>
      <c r="D295" s="111"/>
      <c r="E295" s="121"/>
      <c r="F295" s="121"/>
      <c r="G295" s="113"/>
      <c r="H295" s="199" t="str">
        <f t="shared" si="9"/>
        <v/>
      </c>
      <c r="I295" s="200" t="str">
        <f>IF(H295="","",IF(AND(AI295&lt;=66),VLOOKUP(H295,'WordRead Look Up'!$A$13:$B$20,2,TRUE),IF(AND(AI295&gt;=67,AI295&lt;=72),VLOOKUP(H295,'WordRead Look Up'!$E$13:$F$20,2,TRUE),IF(AND(AI295&gt;=73,AI295&lt;=78),VLOOKUP(H295,'WordRead Look Up'!$I$13:$J$18,2,TRUE),IF(AND(AI295&gt;=79),VLOOKUP(H295,'WordRead Look Up'!$M$13:$N$18,2,TRUE),"")))))</f>
        <v/>
      </c>
      <c r="J295" s="122"/>
      <c r="K295" s="111"/>
      <c r="L295" s="111"/>
      <c r="M295" s="111"/>
      <c r="N295" s="111"/>
      <c r="O295" s="111"/>
      <c r="P295" s="111"/>
      <c r="Q295" s="111"/>
      <c r="R295" s="111"/>
      <c r="S295" s="111"/>
      <c r="T295" s="111"/>
      <c r="U295" s="111"/>
      <c r="V295" s="111"/>
      <c r="W295" s="111"/>
      <c r="X295" s="123"/>
      <c r="AI295" s="222" t="str">
        <f t="shared" si="10"/>
        <v/>
      </c>
    </row>
    <row r="296" spans="1:35" s="108" customFormat="1" ht="15.75">
      <c r="A296" s="119"/>
      <c r="B296" s="120"/>
      <c r="C296" s="111"/>
      <c r="D296" s="111"/>
      <c r="E296" s="121"/>
      <c r="F296" s="121"/>
      <c r="G296" s="113"/>
      <c r="H296" s="199" t="str">
        <f t="shared" si="9"/>
        <v/>
      </c>
      <c r="I296" s="200" t="str">
        <f>IF(H296="","",IF(AND(AI296&lt;=66),VLOOKUP(H296,'WordRead Look Up'!$A$13:$B$20,2,TRUE),IF(AND(AI296&gt;=67,AI296&lt;=72),VLOOKUP(H296,'WordRead Look Up'!$E$13:$F$20,2,TRUE),IF(AND(AI296&gt;=73,AI296&lt;=78),VLOOKUP(H296,'WordRead Look Up'!$I$13:$J$18,2,TRUE),IF(AND(AI296&gt;=79),VLOOKUP(H296,'WordRead Look Up'!$M$13:$N$18,2,TRUE),"")))))</f>
        <v/>
      </c>
      <c r="J296" s="122"/>
      <c r="K296" s="111"/>
      <c r="L296" s="111"/>
      <c r="M296" s="111"/>
      <c r="N296" s="111"/>
      <c r="O296" s="111"/>
      <c r="P296" s="111"/>
      <c r="Q296" s="111"/>
      <c r="R296" s="111"/>
      <c r="S296" s="111"/>
      <c r="T296" s="111"/>
      <c r="U296" s="111"/>
      <c r="V296" s="111"/>
      <c r="W296" s="111"/>
      <c r="X296" s="123"/>
      <c r="AI296" s="222" t="str">
        <f t="shared" si="10"/>
        <v/>
      </c>
    </row>
    <row r="297" spans="1:35" s="108" customFormat="1" ht="15.75">
      <c r="A297" s="119"/>
      <c r="B297" s="120"/>
      <c r="C297" s="111"/>
      <c r="D297" s="111"/>
      <c r="E297" s="121"/>
      <c r="F297" s="121"/>
      <c r="G297" s="113"/>
      <c r="H297" s="199" t="str">
        <f t="shared" si="9"/>
        <v/>
      </c>
      <c r="I297" s="200" t="str">
        <f>IF(H297="","",IF(AND(AI297&lt;=66),VLOOKUP(H297,'WordRead Look Up'!$A$13:$B$20,2,TRUE),IF(AND(AI297&gt;=67,AI297&lt;=72),VLOOKUP(H297,'WordRead Look Up'!$E$13:$F$20,2,TRUE),IF(AND(AI297&gt;=73,AI297&lt;=78),VLOOKUP(H297,'WordRead Look Up'!$I$13:$J$18,2,TRUE),IF(AND(AI297&gt;=79),VLOOKUP(H297,'WordRead Look Up'!$M$13:$N$18,2,TRUE),"")))))</f>
        <v/>
      </c>
      <c r="J297" s="122"/>
      <c r="K297" s="111"/>
      <c r="L297" s="111"/>
      <c r="M297" s="111"/>
      <c r="N297" s="111"/>
      <c r="O297" s="111"/>
      <c r="P297" s="111"/>
      <c r="Q297" s="111"/>
      <c r="R297" s="111"/>
      <c r="S297" s="111"/>
      <c r="T297" s="111"/>
      <c r="U297" s="111"/>
      <c r="V297" s="111"/>
      <c r="W297" s="111"/>
      <c r="X297" s="123"/>
      <c r="AI297" s="222" t="str">
        <f t="shared" si="10"/>
        <v/>
      </c>
    </row>
    <row r="298" spans="1:35" s="108" customFormat="1" ht="15.75">
      <c r="A298" s="119"/>
      <c r="B298" s="120"/>
      <c r="C298" s="111"/>
      <c r="D298" s="111"/>
      <c r="E298" s="121"/>
      <c r="F298" s="121"/>
      <c r="G298" s="113"/>
      <c r="H298" s="199" t="str">
        <f t="shared" si="9"/>
        <v/>
      </c>
      <c r="I298" s="200" t="str">
        <f>IF(H298="","",IF(AND(AI298&lt;=66),VLOOKUP(H298,'WordRead Look Up'!$A$13:$B$20,2,TRUE),IF(AND(AI298&gt;=67,AI298&lt;=72),VLOOKUP(H298,'WordRead Look Up'!$E$13:$F$20,2,TRUE),IF(AND(AI298&gt;=73,AI298&lt;=78),VLOOKUP(H298,'WordRead Look Up'!$I$13:$J$18,2,TRUE),IF(AND(AI298&gt;=79),VLOOKUP(H298,'WordRead Look Up'!$M$13:$N$18,2,TRUE),"")))))</f>
        <v/>
      </c>
      <c r="J298" s="122"/>
      <c r="K298" s="111"/>
      <c r="L298" s="111"/>
      <c r="M298" s="111"/>
      <c r="N298" s="111"/>
      <c r="O298" s="111"/>
      <c r="P298" s="111"/>
      <c r="Q298" s="111"/>
      <c r="R298" s="111"/>
      <c r="S298" s="111"/>
      <c r="T298" s="111"/>
      <c r="U298" s="111"/>
      <c r="V298" s="111"/>
      <c r="W298" s="111"/>
      <c r="X298" s="123"/>
      <c r="AI298" s="222" t="str">
        <f t="shared" si="10"/>
        <v/>
      </c>
    </row>
    <row r="299" spans="1:35" s="108" customFormat="1" ht="15.75">
      <c r="A299" s="119"/>
      <c r="B299" s="120"/>
      <c r="C299" s="111"/>
      <c r="D299" s="111"/>
      <c r="E299" s="121"/>
      <c r="F299" s="121"/>
      <c r="G299" s="113"/>
      <c r="H299" s="199" t="str">
        <f t="shared" si="9"/>
        <v/>
      </c>
      <c r="I299" s="200" t="str">
        <f>IF(H299="","",IF(AND(AI299&lt;=66),VLOOKUP(H299,'WordRead Look Up'!$A$13:$B$20,2,TRUE),IF(AND(AI299&gt;=67,AI299&lt;=72),VLOOKUP(H299,'WordRead Look Up'!$E$13:$F$20,2,TRUE),IF(AND(AI299&gt;=73,AI299&lt;=78),VLOOKUP(H299,'WordRead Look Up'!$I$13:$J$18,2,TRUE),IF(AND(AI299&gt;=79),VLOOKUP(H299,'WordRead Look Up'!$M$13:$N$18,2,TRUE),"")))))</f>
        <v/>
      </c>
      <c r="J299" s="122"/>
      <c r="K299" s="111"/>
      <c r="L299" s="111"/>
      <c r="M299" s="111"/>
      <c r="N299" s="111"/>
      <c r="O299" s="111"/>
      <c r="P299" s="111"/>
      <c r="Q299" s="111"/>
      <c r="R299" s="111"/>
      <c r="S299" s="111"/>
      <c r="T299" s="111"/>
      <c r="U299" s="111"/>
      <c r="V299" s="111"/>
      <c r="W299" s="111"/>
      <c r="X299" s="123"/>
      <c r="AI299" s="222" t="str">
        <f t="shared" si="10"/>
        <v/>
      </c>
    </row>
    <row r="300" spans="1:35" s="108" customFormat="1" ht="15.75">
      <c r="A300" s="119"/>
      <c r="B300" s="120"/>
      <c r="C300" s="111"/>
      <c r="D300" s="111"/>
      <c r="E300" s="121"/>
      <c r="F300" s="121"/>
      <c r="G300" s="113"/>
      <c r="H300" s="199" t="str">
        <f t="shared" si="9"/>
        <v/>
      </c>
      <c r="I300" s="200" t="str">
        <f>IF(H300="","",IF(AND(AI300&lt;=66),VLOOKUP(H300,'WordRead Look Up'!$A$13:$B$20,2,TRUE),IF(AND(AI300&gt;=67,AI300&lt;=72),VLOOKUP(H300,'WordRead Look Up'!$E$13:$F$20,2,TRUE),IF(AND(AI300&gt;=73,AI300&lt;=78),VLOOKUP(H300,'WordRead Look Up'!$I$13:$J$18,2,TRUE),IF(AND(AI300&gt;=79),VLOOKUP(H300,'WordRead Look Up'!$M$13:$N$18,2,TRUE),"")))))</f>
        <v/>
      </c>
      <c r="J300" s="122"/>
      <c r="K300" s="111"/>
      <c r="L300" s="111"/>
      <c r="M300" s="111"/>
      <c r="N300" s="111"/>
      <c r="O300" s="111"/>
      <c r="P300" s="111"/>
      <c r="Q300" s="111"/>
      <c r="R300" s="111"/>
      <c r="S300" s="111"/>
      <c r="T300" s="111"/>
      <c r="U300" s="111"/>
      <c r="V300" s="111"/>
      <c r="W300" s="111"/>
      <c r="X300" s="123"/>
      <c r="AI300" s="222" t="str">
        <f t="shared" si="10"/>
        <v/>
      </c>
    </row>
    <row r="301" spans="1:35" s="108" customFormat="1" ht="15.75">
      <c r="A301" s="119"/>
      <c r="B301" s="120"/>
      <c r="C301" s="111"/>
      <c r="D301" s="111"/>
      <c r="E301" s="121"/>
      <c r="F301" s="121"/>
      <c r="G301" s="113"/>
      <c r="H301" s="199" t="str">
        <f t="shared" si="9"/>
        <v/>
      </c>
      <c r="I301" s="200" t="str">
        <f>IF(H301="","",IF(AND(AI301&lt;=66),VLOOKUP(H301,'WordRead Look Up'!$A$13:$B$20,2,TRUE),IF(AND(AI301&gt;=67,AI301&lt;=72),VLOOKUP(H301,'WordRead Look Up'!$E$13:$F$20,2,TRUE),IF(AND(AI301&gt;=73,AI301&lt;=78),VLOOKUP(H301,'WordRead Look Up'!$I$13:$J$18,2,TRUE),IF(AND(AI301&gt;=79),VLOOKUP(H301,'WordRead Look Up'!$M$13:$N$18,2,TRUE),"")))))</f>
        <v/>
      </c>
      <c r="J301" s="122"/>
      <c r="K301" s="111"/>
      <c r="L301" s="111"/>
      <c r="M301" s="111"/>
      <c r="N301" s="111"/>
      <c r="O301" s="111"/>
      <c r="P301" s="111"/>
      <c r="Q301" s="111"/>
      <c r="R301" s="111"/>
      <c r="S301" s="111"/>
      <c r="T301" s="111"/>
      <c r="U301" s="111"/>
      <c r="V301" s="111"/>
      <c r="W301" s="111"/>
      <c r="X301" s="123"/>
      <c r="AI301" s="222" t="str">
        <f t="shared" si="10"/>
        <v/>
      </c>
    </row>
    <row r="302" spans="1:35" s="108" customFormat="1" ht="15.75">
      <c r="A302" s="119"/>
      <c r="B302" s="120"/>
      <c r="C302" s="111"/>
      <c r="D302" s="111"/>
      <c r="E302" s="121"/>
      <c r="F302" s="121"/>
      <c r="G302" s="113"/>
      <c r="H302" s="199" t="str">
        <f t="shared" si="9"/>
        <v/>
      </c>
      <c r="I302" s="200" t="str">
        <f>IF(H302="","",IF(AND(AI302&lt;=66),VLOOKUP(H302,'WordRead Look Up'!$A$13:$B$20,2,TRUE),IF(AND(AI302&gt;=67,AI302&lt;=72),VLOOKUP(H302,'WordRead Look Up'!$E$13:$F$20,2,TRUE),IF(AND(AI302&gt;=73,AI302&lt;=78),VLOOKUP(H302,'WordRead Look Up'!$I$13:$J$18,2,TRUE),IF(AND(AI302&gt;=79),VLOOKUP(H302,'WordRead Look Up'!$M$13:$N$18,2,TRUE),"")))))</f>
        <v/>
      </c>
      <c r="J302" s="122"/>
      <c r="K302" s="111"/>
      <c r="L302" s="111"/>
      <c r="M302" s="111"/>
      <c r="N302" s="111"/>
      <c r="O302" s="111"/>
      <c r="P302" s="111"/>
      <c r="Q302" s="111"/>
      <c r="R302" s="111"/>
      <c r="S302" s="111"/>
      <c r="T302" s="111"/>
      <c r="U302" s="111"/>
      <c r="V302" s="111"/>
      <c r="W302" s="111"/>
      <c r="X302" s="123"/>
      <c r="AI302" s="222" t="str">
        <f t="shared" si="10"/>
        <v/>
      </c>
    </row>
    <row r="303" spans="1:35" s="108" customFormat="1" ht="15.75">
      <c r="A303" s="119"/>
      <c r="B303" s="120"/>
      <c r="C303" s="111"/>
      <c r="D303" s="111"/>
      <c r="E303" s="121"/>
      <c r="F303" s="121"/>
      <c r="G303" s="113"/>
      <c r="H303" s="199" t="str">
        <f t="shared" si="9"/>
        <v/>
      </c>
      <c r="I303" s="200" t="str">
        <f>IF(H303="","",IF(AND(AI303&lt;=66),VLOOKUP(H303,'WordRead Look Up'!$A$13:$B$20,2,TRUE),IF(AND(AI303&gt;=67,AI303&lt;=72),VLOOKUP(H303,'WordRead Look Up'!$E$13:$F$20,2,TRUE),IF(AND(AI303&gt;=73,AI303&lt;=78),VLOOKUP(H303,'WordRead Look Up'!$I$13:$J$18,2,TRUE),IF(AND(AI303&gt;=79),VLOOKUP(H303,'WordRead Look Up'!$M$13:$N$18,2,TRUE),"")))))</f>
        <v/>
      </c>
      <c r="J303" s="122"/>
      <c r="K303" s="111"/>
      <c r="L303" s="111"/>
      <c r="M303" s="111"/>
      <c r="N303" s="111"/>
      <c r="O303" s="111"/>
      <c r="P303" s="111"/>
      <c r="Q303" s="111"/>
      <c r="R303" s="111"/>
      <c r="S303" s="111"/>
      <c r="T303" s="111"/>
      <c r="U303" s="111"/>
      <c r="V303" s="111"/>
      <c r="W303" s="111"/>
      <c r="X303" s="123"/>
      <c r="AI303" s="222" t="str">
        <f t="shared" si="10"/>
        <v/>
      </c>
    </row>
    <row r="304" spans="1:35" s="108" customFormat="1" ht="15.75">
      <c r="A304" s="119"/>
      <c r="B304" s="120"/>
      <c r="C304" s="111"/>
      <c r="D304" s="111"/>
      <c r="E304" s="121"/>
      <c r="F304" s="121"/>
      <c r="G304" s="113"/>
      <c r="H304" s="199" t="str">
        <f t="shared" si="9"/>
        <v/>
      </c>
      <c r="I304" s="200" t="str">
        <f>IF(H304="","",IF(AND(AI304&lt;=66),VLOOKUP(H304,'WordRead Look Up'!$A$13:$B$20,2,TRUE),IF(AND(AI304&gt;=67,AI304&lt;=72),VLOOKUP(H304,'WordRead Look Up'!$E$13:$F$20,2,TRUE),IF(AND(AI304&gt;=73,AI304&lt;=78),VLOOKUP(H304,'WordRead Look Up'!$I$13:$J$18,2,TRUE),IF(AND(AI304&gt;=79),VLOOKUP(H304,'WordRead Look Up'!$M$13:$N$18,2,TRUE),"")))))</f>
        <v/>
      </c>
      <c r="J304" s="122"/>
      <c r="K304" s="111"/>
      <c r="L304" s="111"/>
      <c r="M304" s="111"/>
      <c r="N304" s="111"/>
      <c r="O304" s="111"/>
      <c r="P304" s="111"/>
      <c r="Q304" s="111"/>
      <c r="R304" s="111"/>
      <c r="S304" s="111"/>
      <c r="T304" s="111"/>
      <c r="U304" s="111"/>
      <c r="V304" s="111"/>
      <c r="W304" s="111"/>
      <c r="X304" s="123"/>
      <c r="AI304" s="222" t="str">
        <f t="shared" si="10"/>
        <v/>
      </c>
    </row>
    <row r="305" spans="1:35" s="108" customFormat="1" ht="15.75">
      <c r="A305" s="119"/>
      <c r="B305" s="120"/>
      <c r="C305" s="111"/>
      <c r="D305" s="111"/>
      <c r="E305" s="121"/>
      <c r="F305" s="121"/>
      <c r="G305" s="113"/>
      <c r="H305" s="199" t="str">
        <f t="shared" si="9"/>
        <v/>
      </c>
      <c r="I305" s="200" t="str">
        <f>IF(H305="","",IF(AND(AI305&lt;=66),VLOOKUP(H305,'WordRead Look Up'!$A$13:$B$20,2,TRUE),IF(AND(AI305&gt;=67,AI305&lt;=72),VLOOKUP(H305,'WordRead Look Up'!$E$13:$F$20,2,TRUE),IF(AND(AI305&gt;=73,AI305&lt;=78),VLOOKUP(H305,'WordRead Look Up'!$I$13:$J$18,2,TRUE),IF(AND(AI305&gt;=79),VLOOKUP(H305,'WordRead Look Up'!$M$13:$N$18,2,TRUE),"")))))</f>
        <v/>
      </c>
      <c r="J305" s="122"/>
      <c r="K305" s="111"/>
      <c r="L305" s="111"/>
      <c r="M305" s="111"/>
      <c r="N305" s="111"/>
      <c r="O305" s="111"/>
      <c r="P305" s="111"/>
      <c r="Q305" s="111"/>
      <c r="R305" s="111"/>
      <c r="S305" s="111"/>
      <c r="T305" s="111"/>
      <c r="U305" s="111"/>
      <c r="V305" s="111"/>
      <c r="W305" s="111"/>
      <c r="X305" s="123"/>
      <c r="AI305" s="222" t="str">
        <f t="shared" si="10"/>
        <v/>
      </c>
    </row>
    <row r="306" spans="1:35" s="108" customFormat="1" ht="15.75">
      <c r="A306" s="119"/>
      <c r="B306" s="120"/>
      <c r="C306" s="111"/>
      <c r="D306" s="111"/>
      <c r="E306" s="121"/>
      <c r="F306" s="121"/>
      <c r="G306" s="113"/>
      <c r="H306" s="199" t="str">
        <f t="shared" si="9"/>
        <v/>
      </c>
      <c r="I306" s="200" t="str">
        <f>IF(H306="","",IF(AND(AI306&lt;=66),VLOOKUP(H306,'WordRead Look Up'!$A$13:$B$20,2,TRUE),IF(AND(AI306&gt;=67,AI306&lt;=72),VLOOKUP(H306,'WordRead Look Up'!$E$13:$F$20,2,TRUE),IF(AND(AI306&gt;=73,AI306&lt;=78),VLOOKUP(H306,'WordRead Look Up'!$I$13:$J$18,2,TRUE),IF(AND(AI306&gt;=79),VLOOKUP(H306,'WordRead Look Up'!$M$13:$N$18,2,TRUE),"")))))</f>
        <v/>
      </c>
      <c r="J306" s="122"/>
      <c r="K306" s="111"/>
      <c r="L306" s="111"/>
      <c r="M306" s="111"/>
      <c r="N306" s="111"/>
      <c r="O306" s="111"/>
      <c r="P306" s="111"/>
      <c r="Q306" s="111"/>
      <c r="R306" s="111"/>
      <c r="S306" s="111"/>
      <c r="T306" s="111"/>
      <c r="U306" s="111"/>
      <c r="V306" s="111"/>
      <c r="W306" s="111"/>
      <c r="X306" s="123"/>
      <c r="AI306" s="222" t="str">
        <f t="shared" si="10"/>
        <v/>
      </c>
    </row>
    <row r="307" spans="1:35" s="108" customFormat="1" ht="15.75">
      <c r="A307" s="119"/>
      <c r="B307" s="120"/>
      <c r="C307" s="111"/>
      <c r="D307" s="111"/>
      <c r="E307" s="121"/>
      <c r="F307" s="121"/>
      <c r="G307" s="113"/>
      <c r="H307" s="199" t="str">
        <f t="shared" si="9"/>
        <v/>
      </c>
      <c r="I307" s="200" t="str">
        <f>IF(H307="","",IF(AND(AI307&lt;=66),VLOOKUP(H307,'WordRead Look Up'!$A$13:$B$20,2,TRUE),IF(AND(AI307&gt;=67,AI307&lt;=72),VLOOKUP(H307,'WordRead Look Up'!$E$13:$F$20,2,TRUE),IF(AND(AI307&gt;=73,AI307&lt;=78),VLOOKUP(H307,'WordRead Look Up'!$I$13:$J$18,2,TRUE),IF(AND(AI307&gt;=79),VLOOKUP(H307,'WordRead Look Up'!$M$13:$N$18,2,TRUE),"")))))</f>
        <v/>
      </c>
      <c r="J307" s="122"/>
      <c r="K307" s="111"/>
      <c r="L307" s="111"/>
      <c r="M307" s="111"/>
      <c r="N307" s="111"/>
      <c r="O307" s="111"/>
      <c r="P307" s="111"/>
      <c r="Q307" s="111"/>
      <c r="R307" s="111"/>
      <c r="S307" s="111"/>
      <c r="T307" s="111"/>
      <c r="U307" s="111"/>
      <c r="V307" s="111"/>
      <c r="W307" s="111"/>
      <c r="X307" s="123"/>
      <c r="AI307" s="222" t="str">
        <f t="shared" si="10"/>
        <v/>
      </c>
    </row>
    <row r="308" spans="1:35" s="108" customFormat="1" ht="15.75">
      <c r="A308" s="119"/>
      <c r="B308" s="120"/>
      <c r="C308" s="111"/>
      <c r="D308" s="111"/>
      <c r="E308" s="121"/>
      <c r="F308" s="121"/>
      <c r="G308" s="113"/>
      <c r="H308" s="199" t="str">
        <f t="shared" si="9"/>
        <v/>
      </c>
      <c r="I308" s="200" t="str">
        <f>IF(H308="","",IF(AND(AI308&lt;=66),VLOOKUP(H308,'WordRead Look Up'!$A$13:$B$20,2,TRUE),IF(AND(AI308&gt;=67,AI308&lt;=72),VLOOKUP(H308,'WordRead Look Up'!$E$13:$F$20,2,TRUE),IF(AND(AI308&gt;=73,AI308&lt;=78),VLOOKUP(H308,'WordRead Look Up'!$I$13:$J$18,2,TRUE),IF(AND(AI308&gt;=79),VLOOKUP(H308,'WordRead Look Up'!$M$13:$N$18,2,TRUE),"")))))</f>
        <v/>
      </c>
      <c r="J308" s="122"/>
      <c r="K308" s="111"/>
      <c r="L308" s="111"/>
      <c r="M308" s="111"/>
      <c r="N308" s="111"/>
      <c r="O308" s="111"/>
      <c r="P308" s="111"/>
      <c r="Q308" s="111"/>
      <c r="R308" s="111"/>
      <c r="S308" s="111"/>
      <c r="T308" s="111"/>
      <c r="U308" s="111"/>
      <c r="V308" s="111"/>
      <c r="W308" s="111"/>
      <c r="X308" s="123"/>
      <c r="AI308" s="222" t="str">
        <f t="shared" si="10"/>
        <v/>
      </c>
    </row>
    <row r="309" spans="1:35" s="108" customFormat="1" ht="15.75">
      <c r="A309" s="119"/>
      <c r="B309" s="120"/>
      <c r="C309" s="111"/>
      <c r="D309" s="111"/>
      <c r="E309" s="121"/>
      <c r="F309" s="121"/>
      <c r="G309" s="113"/>
      <c r="H309" s="199" t="str">
        <f t="shared" si="9"/>
        <v/>
      </c>
      <c r="I309" s="200" t="str">
        <f>IF(H309="","",IF(AND(AI309&lt;=66),VLOOKUP(H309,'WordRead Look Up'!$A$13:$B$20,2,TRUE),IF(AND(AI309&gt;=67,AI309&lt;=72),VLOOKUP(H309,'WordRead Look Up'!$E$13:$F$20,2,TRUE),IF(AND(AI309&gt;=73,AI309&lt;=78),VLOOKUP(H309,'WordRead Look Up'!$I$13:$J$18,2,TRUE),IF(AND(AI309&gt;=79),VLOOKUP(H309,'WordRead Look Up'!$M$13:$N$18,2,TRUE),"")))))</f>
        <v/>
      </c>
      <c r="J309" s="122"/>
      <c r="K309" s="111"/>
      <c r="L309" s="111"/>
      <c r="M309" s="111"/>
      <c r="N309" s="111"/>
      <c r="O309" s="111"/>
      <c r="P309" s="111"/>
      <c r="Q309" s="111"/>
      <c r="R309" s="111"/>
      <c r="S309" s="111"/>
      <c r="T309" s="111"/>
      <c r="U309" s="111"/>
      <c r="V309" s="111"/>
      <c r="W309" s="111"/>
      <c r="X309" s="123"/>
      <c r="AI309" s="222" t="str">
        <f t="shared" si="10"/>
        <v/>
      </c>
    </row>
    <row r="310" spans="1:35" s="108" customFormat="1" ht="15.75">
      <c r="A310" s="119"/>
      <c r="B310" s="120"/>
      <c r="C310" s="111"/>
      <c r="D310" s="111"/>
      <c r="E310" s="121"/>
      <c r="F310" s="121"/>
      <c r="G310" s="113"/>
      <c r="H310" s="199" t="str">
        <f t="shared" si="9"/>
        <v/>
      </c>
      <c r="I310" s="200" t="str">
        <f>IF(H310="","",IF(AND(AI310&lt;=66),VLOOKUP(H310,'WordRead Look Up'!$A$13:$B$20,2,TRUE),IF(AND(AI310&gt;=67,AI310&lt;=72),VLOOKUP(H310,'WordRead Look Up'!$E$13:$F$20,2,TRUE),IF(AND(AI310&gt;=73,AI310&lt;=78),VLOOKUP(H310,'WordRead Look Up'!$I$13:$J$18,2,TRUE),IF(AND(AI310&gt;=79),VLOOKUP(H310,'WordRead Look Up'!$M$13:$N$18,2,TRUE),"")))))</f>
        <v/>
      </c>
      <c r="J310" s="122"/>
      <c r="K310" s="111"/>
      <c r="L310" s="111"/>
      <c r="M310" s="111"/>
      <c r="N310" s="111"/>
      <c r="O310" s="111"/>
      <c r="P310" s="111"/>
      <c r="Q310" s="111"/>
      <c r="R310" s="111"/>
      <c r="S310" s="111"/>
      <c r="T310" s="111"/>
      <c r="U310" s="111"/>
      <c r="V310" s="111"/>
      <c r="W310" s="111"/>
      <c r="X310" s="123"/>
      <c r="AI310" s="222" t="str">
        <f t="shared" si="10"/>
        <v/>
      </c>
    </row>
    <row r="311" spans="1:35" s="108" customFormat="1" ht="15.75">
      <c r="A311" s="119"/>
      <c r="B311" s="120"/>
      <c r="C311" s="111"/>
      <c r="D311" s="111"/>
      <c r="E311" s="121"/>
      <c r="F311" s="121"/>
      <c r="G311" s="113"/>
      <c r="H311" s="199" t="str">
        <f t="shared" si="9"/>
        <v/>
      </c>
      <c r="I311" s="200" t="str">
        <f>IF(H311="","",IF(AND(AI311&lt;=66),VLOOKUP(H311,'WordRead Look Up'!$A$13:$B$20,2,TRUE),IF(AND(AI311&gt;=67,AI311&lt;=72),VLOOKUP(H311,'WordRead Look Up'!$E$13:$F$20,2,TRUE),IF(AND(AI311&gt;=73,AI311&lt;=78),VLOOKUP(H311,'WordRead Look Up'!$I$13:$J$18,2,TRUE),IF(AND(AI311&gt;=79),VLOOKUP(H311,'WordRead Look Up'!$M$13:$N$18,2,TRUE),"")))))</f>
        <v/>
      </c>
      <c r="J311" s="122"/>
      <c r="K311" s="111"/>
      <c r="L311" s="111"/>
      <c r="M311" s="111"/>
      <c r="N311" s="111"/>
      <c r="O311" s="111"/>
      <c r="P311" s="111"/>
      <c r="Q311" s="111"/>
      <c r="R311" s="111"/>
      <c r="S311" s="111"/>
      <c r="T311" s="111"/>
      <c r="U311" s="111"/>
      <c r="V311" s="111"/>
      <c r="W311" s="111"/>
      <c r="X311" s="123"/>
      <c r="AI311" s="222" t="str">
        <f t="shared" si="10"/>
        <v/>
      </c>
    </row>
    <row r="312" spans="1:35" s="108" customFormat="1" ht="15.75">
      <c r="A312" s="119"/>
      <c r="B312" s="120"/>
      <c r="C312" s="111"/>
      <c r="D312" s="111"/>
      <c r="E312" s="121"/>
      <c r="F312" s="121"/>
      <c r="G312" s="113"/>
      <c r="H312" s="199" t="str">
        <f t="shared" si="9"/>
        <v/>
      </c>
      <c r="I312" s="200" t="str">
        <f>IF(H312="","",IF(AND(AI312&lt;=66),VLOOKUP(H312,'WordRead Look Up'!$A$13:$B$20,2,TRUE),IF(AND(AI312&gt;=67,AI312&lt;=72),VLOOKUP(H312,'WordRead Look Up'!$E$13:$F$20,2,TRUE),IF(AND(AI312&gt;=73,AI312&lt;=78),VLOOKUP(H312,'WordRead Look Up'!$I$13:$J$18,2,TRUE),IF(AND(AI312&gt;=79),VLOOKUP(H312,'WordRead Look Up'!$M$13:$N$18,2,TRUE),"")))))</f>
        <v/>
      </c>
      <c r="J312" s="122"/>
      <c r="K312" s="111"/>
      <c r="L312" s="111"/>
      <c r="M312" s="111"/>
      <c r="N312" s="111"/>
      <c r="O312" s="111"/>
      <c r="P312" s="111"/>
      <c r="Q312" s="111"/>
      <c r="R312" s="111"/>
      <c r="S312" s="111"/>
      <c r="T312" s="111"/>
      <c r="U312" s="111"/>
      <c r="V312" s="111"/>
      <c r="W312" s="111"/>
      <c r="X312" s="123"/>
      <c r="AI312" s="222" t="str">
        <f t="shared" si="10"/>
        <v/>
      </c>
    </row>
    <row r="313" spans="1:35" s="108" customFormat="1" ht="15.75">
      <c r="A313" s="119"/>
      <c r="B313" s="120"/>
      <c r="C313" s="111"/>
      <c r="D313" s="111"/>
      <c r="E313" s="121"/>
      <c r="F313" s="121"/>
      <c r="G313" s="113"/>
      <c r="H313" s="199" t="str">
        <f t="shared" si="9"/>
        <v/>
      </c>
      <c r="I313" s="200" t="str">
        <f>IF(H313="","",IF(AND(AI313&lt;=66),VLOOKUP(H313,'WordRead Look Up'!$A$13:$B$20,2,TRUE),IF(AND(AI313&gt;=67,AI313&lt;=72),VLOOKUP(H313,'WordRead Look Up'!$E$13:$F$20,2,TRUE),IF(AND(AI313&gt;=73,AI313&lt;=78),VLOOKUP(H313,'WordRead Look Up'!$I$13:$J$18,2,TRUE),IF(AND(AI313&gt;=79),VLOOKUP(H313,'WordRead Look Up'!$M$13:$N$18,2,TRUE),"")))))</f>
        <v/>
      </c>
      <c r="J313" s="122"/>
      <c r="K313" s="111"/>
      <c r="L313" s="111"/>
      <c r="M313" s="111"/>
      <c r="N313" s="111"/>
      <c r="O313" s="111"/>
      <c r="P313" s="111"/>
      <c r="Q313" s="111"/>
      <c r="R313" s="111"/>
      <c r="S313" s="111"/>
      <c r="T313" s="111"/>
      <c r="U313" s="111"/>
      <c r="V313" s="111"/>
      <c r="W313" s="111"/>
      <c r="X313" s="123"/>
      <c r="AI313" s="222" t="str">
        <f t="shared" si="10"/>
        <v/>
      </c>
    </row>
    <row r="314" spans="1:35" s="108" customFormat="1" ht="15.75">
      <c r="A314" s="119"/>
      <c r="B314" s="120"/>
      <c r="C314" s="111"/>
      <c r="D314" s="111"/>
      <c r="E314" s="121"/>
      <c r="F314" s="121"/>
      <c r="G314" s="113"/>
      <c r="H314" s="199" t="str">
        <f t="shared" si="9"/>
        <v/>
      </c>
      <c r="I314" s="200" t="str">
        <f>IF(H314="","",IF(AND(AI314&lt;=66),VLOOKUP(H314,'WordRead Look Up'!$A$13:$B$20,2,TRUE),IF(AND(AI314&gt;=67,AI314&lt;=72),VLOOKUP(H314,'WordRead Look Up'!$E$13:$F$20,2,TRUE),IF(AND(AI314&gt;=73,AI314&lt;=78),VLOOKUP(H314,'WordRead Look Up'!$I$13:$J$18,2,TRUE),IF(AND(AI314&gt;=79),VLOOKUP(H314,'WordRead Look Up'!$M$13:$N$18,2,TRUE),"")))))</f>
        <v/>
      </c>
      <c r="J314" s="122"/>
      <c r="K314" s="111"/>
      <c r="L314" s="111"/>
      <c r="M314" s="111"/>
      <c r="N314" s="111"/>
      <c r="O314" s="111"/>
      <c r="P314" s="111"/>
      <c r="Q314" s="111"/>
      <c r="R314" s="111"/>
      <c r="S314" s="111"/>
      <c r="T314" s="111"/>
      <c r="U314" s="111"/>
      <c r="V314" s="111"/>
      <c r="W314" s="111"/>
      <c r="X314" s="123"/>
      <c r="AI314" s="222" t="str">
        <f t="shared" si="10"/>
        <v/>
      </c>
    </row>
    <row r="315" spans="1:35" s="108" customFormat="1" ht="15.75">
      <c r="A315" s="119"/>
      <c r="B315" s="120"/>
      <c r="C315" s="111"/>
      <c r="D315" s="111"/>
      <c r="E315" s="121"/>
      <c r="F315" s="121"/>
      <c r="G315" s="113"/>
      <c r="H315" s="199" t="str">
        <f t="shared" si="9"/>
        <v/>
      </c>
      <c r="I315" s="200" t="str">
        <f>IF(H315="","",IF(AND(AI315&lt;=66),VLOOKUP(H315,'WordRead Look Up'!$A$13:$B$20,2,TRUE),IF(AND(AI315&gt;=67,AI315&lt;=72),VLOOKUP(H315,'WordRead Look Up'!$E$13:$F$20,2,TRUE),IF(AND(AI315&gt;=73,AI315&lt;=78),VLOOKUP(H315,'WordRead Look Up'!$I$13:$J$18,2,TRUE),IF(AND(AI315&gt;=79),VLOOKUP(H315,'WordRead Look Up'!$M$13:$N$18,2,TRUE),"")))))</f>
        <v/>
      </c>
      <c r="J315" s="122"/>
      <c r="K315" s="111"/>
      <c r="L315" s="111"/>
      <c r="M315" s="111"/>
      <c r="N315" s="111"/>
      <c r="O315" s="111"/>
      <c r="P315" s="111"/>
      <c r="Q315" s="111"/>
      <c r="R315" s="111"/>
      <c r="S315" s="111"/>
      <c r="T315" s="111"/>
      <c r="U315" s="111"/>
      <c r="V315" s="111"/>
      <c r="W315" s="111"/>
      <c r="X315" s="123"/>
      <c r="AI315" s="222" t="str">
        <f t="shared" si="10"/>
        <v/>
      </c>
    </row>
    <row r="316" spans="1:35" s="108" customFormat="1" ht="15.75">
      <c r="A316" s="119"/>
      <c r="B316" s="120"/>
      <c r="C316" s="111"/>
      <c r="D316" s="111"/>
      <c r="E316" s="121"/>
      <c r="F316" s="121"/>
      <c r="G316" s="113"/>
      <c r="H316" s="199" t="str">
        <f t="shared" si="9"/>
        <v/>
      </c>
      <c r="I316" s="200" t="str">
        <f>IF(H316="","",IF(AND(AI316&lt;=66),VLOOKUP(H316,'WordRead Look Up'!$A$13:$B$20,2,TRUE),IF(AND(AI316&gt;=67,AI316&lt;=72),VLOOKUP(H316,'WordRead Look Up'!$E$13:$F$20,2,TRUE),IF(AND(AI316&gt;=73,AI316&lt;=78),VLOOKUP(H316,'WordRead Look Up'!$I$13:$J$18,2,TRUE),IF(AND(AI316&gt;=79),VLOOKUP(H316,'WordRead Look Up'!$M$13:$N$18,2,TRUE),"")))))</f>
        <v/>
      </c>
      <c r="J316" s="122"/>
      <c r="K316" s="111"/>
      <c r="L316" s="111"/>
      <c r="M316" s="111"/>
      <c r="N316" s="111"/>
      <c r="O316" s="111"/>
      <c r="P316" s="111"/>
      <c r="Q316" s="111"/>
      <c r="R316" s="111"/>
      <c r="S316" s="111"/>
      <c r="T316" s="111"/>
      <c r="U316" s="111"/>
      <c r="V316" s="111"/>
      <c r="W316" s="111"/>
      <c r="X316" s="123"/>
      <c r="AI316" s="222" t="str">
        <f t="shared" si="10"/>
        <v/>
      </c>
    </row>
    <row r="317" spans="1:35" s="108" customFormat="1" ht="15.75">
      <c r="A317" s="119"/>
      <c r="B317" s="120"/>
      <c r="C317" s="111"/>
      <c r="D317" s="111"/>
      <c r="E317" s="121"/>
      <c r="F317" s="121"/>
      <c r="G317" s="113"/>
      <c r="H317" s="199" t="str">
        <f t="shared" si="9"/>
        <v/>
      </c>
      <c r="I317" s="200" t="str">
        <f>IF(H317="","",IF(AND(AI317&lt;=66),VLOOKUP(H317,'WordRead Look Up'!$A$13:$B$20,2,TRUE),IF(AND(AI317&gt;=67,AI317&lt;=72),VLOOKUP(H317,'WordRead Look Up'!$E$13:$F$20,2,TRUE),IF(AND(AI317&gt;=73,AI317&lt;=78),VLOOKUP(H317,'WordRead Look Up'!$I$13:$J$18,2,TRUE),IF(AND(AI317&gt;=79),VLOOKUP(H317,'WordRead Look Up'!$M$13:$N$18,2,TRUE),"")))))</f>
        <v/>
      </c>
      <c r="J317" s="122"/>
      <c r="K317" s="111"/>
      <c r="L317" s="111"/>
      <c r="M317" s="111"/>
      <c r="N317" s="111"/>
      <c r="O317" s="111"/>
      <c r="P317" s="111"/>
      <c r="Q317" s="111"/>
      <c r="R317" s="111"/>
      <c r="S317" s="111"/>
      <c r="T317" s="111"/>
      <c r="U317" s="111"/>
      <c r="V317" s="111"/>
      <c r="W317" s="111"/>
      <c r="X317" s="123"/>
      <c r="AI317" s="222" t="str">
        <f t="shared" si="10"/>
        <v/>
      </c>
    </row>
    <row r="318" spans="1:35" s="108" customFormat="1" ht="15.75">
      <c r="A318" s="119"/>
      <c r="B318" s="120"/>
      <c r="C318" s="111"/>
      <c r="D318" s="111"/>
      <c r="E318" s="121"/>
      <c r="F318" s="121"/>
      <c r="G318" s="113"/>
      <c r="H318" s="199" t="str">
        <f t="shared" si="9"/>
        <v/>
      </c>
      <c r="I318" s="200" t="str">
        <f>IF(H318="","",IF(AND(AI318&lt;=66),VLOOKUP(H318,'WordRead Look Up'!$A$13:$B$20,2,TRUE),IF(AND(AI318&gt;=67,AI318&lt;=72),VLOOKUP(H318,'WordRead Look Up'!$E$13:$F$20,2,TRUE),IF(AND(AI318&gt;=73,AI318&lt;=78),VLOOKUP(H318,'WordRead Look Up'!$I$13:$J$18,2,TRUE),IF(AND(AI318&gt;=79),VLOOKUP(H318,'WordRead Look Up'!$M$13:$N$18,2,TRUE),"")))))</f>
        <v/>
      </c>
      <c r="J318" s="122"/>
      <c r="K318" s="111"/>
      <c r="L318" s="111"/>
      <c r="M318" s="111"/>
      <c r="N318" s="111"/>
      <c r="O318" s="111"/>
      <c r="P318" s="111"/>
      <c r="Q318" s="111"/>
      <c r="R318" s="111"/>
      <c r="S318" s="111"/>
      <c r="T318" s="111"/>
      <c r="U318" s="111"/>
      <c r="V318" s="111"/>
      <c r="W318" s="111"/>
      <c r="X318" s="123"/>
      <c r="AI318" s="222" t="str">
        <f t="shared" si="10"/>
        <v/>
      </c>
    </row>
    <row r="319" spans="1:35" s="108" customFormat="1" ht="15.75">
      <c r="A319" s="119"/>
      <c r="B319" s="120"/>
      <c r="C319" s="111"/>
      <c r="D319" s="111"/>
      <c r="E319" s="121"/>
      <c r="F319" s="121"/>
      <c r="G319" s="113"/>
      <c r="H319" s="199" t="str">
        <f t="shared" si="9"/>
        <v/>
      </c>
      <c r="I319" s="200" t="str">
        <f>IF(H319="","",IF(AND(AI319&lt;=66),VLOOKUP(H319,'WordRead Look Up'!$A$13:$B$20,2,TRUE),IF(AND(AI319&gt;=67,AI319&lt;=72),VLOOKUP(H319,'WordRead Look Up'!$E$13:$F$20,2,TRUE),IF(AND(AI319&gt;=73,AI319&lt;=78),VLOOKUP(H319,'WordRead Look Up'!$I$13:$J$18,2,TRUE),IF(AND(AI319&gt;=79),VLOOKUP(H319,'WordRead Look Up'!$M$13:$N$18,2,TRUE),"")))))</f>
        <v/>
      </c>
      <c r="J319" s="122"/>
      <c r="K319" s="111"/>
      <c r="L319" s="111"/>
      <c r="M319" s="111"/>
      <c r="N319" s="111"/>
      <c r="O319" s="111"/>
      <c r="P319" s="111"/>
      <c r="Q319" s="111"/>
      <c r="R319" s="111"/>
      <c r="S319" s="111"/>
      <c r="T319" s="111"/>
      <c r="U319" s="111"/>
      <c r="V319" s="111"/>
      <c r="W319" s="111"/>
      <c r="X319" s="123"/>
      <c r="AI319" s="222" t="str">
        <f t="shared" si="10"/>
        <v/>
      </c>
    </row>
    <row r="320" spans="1:35" s="108" customFormat="1" ht="15.75">
      <c r="A320" s="119"/>
      <c r="B320" s="120"/>
      <c r="C320" s="111"/>
      <c r="D320" s="111"/>
      <c r="E320" s="121"/>
      <c r="F320" s="121"/>
      <c r="G320" s="113"/>
      <c r="H320" s="199" t="str">
        <f t="shared" si="9"/>
        <v/>
      </c>
      <c r="I320" s="200" t="str">
        <f>IF(H320="","",IF(AND(AI320&lt;=66),VLOOKUP(H320,'WordRead Look Up'!$A$13:$B$20,2,TRUE),IF(AND(AI320&gt;=67,AI320&lt;=72),VLOOKUP(H320,'WordRead Look Up'!$E$13:$F$20,2,TRUE),IF(AND(AI320&gt;=73,AI320&lt;=78),VLOOKUP(H320,'WordRead Look Up'!$I$13:$J$18,2,TRUE),IF(AND(AI320&gt;=79),VLOOKUP(H320,'WordRead Look Up'!$M$13:$N$18,2,TRUE),"")))))</f>
        <v/>
      </c>
      <c r="J320" s="122"/>
      <c r="K320" s="111"/>
      <c r="L320" s="111"/>
      <c r="M320" s="111"/>
      <c r="N320" s="111"/>
      <c r="O320" s="111"/>
      <c r="P320" s="111"/>
      <c r="Q320" s="111"/>
      <c r="R320" s="111"/>
      <c r="S320" s="111"/>
      <c r="T320" s="111"/>
      <c r="U320" s="111"/>
      <c r="V320" s="111"/>
      <c r="W320" s="111"/>
      <c r="X320" s="123"/>
      <c r="AI320" s="222" t="str">
        <f t="shared" si="10"/>
        <v/>
      </c>
    </row>
    <row r="321" spans="1:35" s="108" customFormat="1" ht="15.75">
      <c r="A321" s="119"/>
      <c r="B321" s="120"/>
      <c r="C321" s="111"/>
      <c r="D321" s="111"/>
      <c r="E321" s="121"/>
      <c r="F321" s="121"/>
      <c r="G321" s="113"/>
      <c r="H321" s="199" t="str">
        <f t="shared" si="9"/>
        <v/>
      </c>
      <c r="I321" s="200" t="str">
        <f>IF(H321="","",IF(AND(AI321&lt;=66),VLOOKUP(H321,'WordRead Look Up'!$A$13:$B$20,2,TRUE),IF(AND(AI321&gt;=67,AI321&lt;=72),VLOOKUP(H321,'WordRead Look Up'!$E$13:$F$20,2,TRUE),IF(AND(AI321&gt;=73,AI321&lt;=78),VLOOKUP(H321,'WordRead Look Up'!$I$13:$J$18,2,TRUE),IF(AND(AI321&gt;=79),VLOOKUP(H321,'WordRead Look Up'!$M$13:$N$18,2,TRUE),"")))))</f>
        <v/>
      </c>
      <c r="J321" s="122"/>
      <c r="K321" s="111"/>
      <c r="L321" s="111"/>
      <c r="M321" s="111"/>
      <c r="N321" s="111"/>
      <c r="O321" s="111"/>
      <c r="P321" s="111"/>
      <c r="Q321" s="111"/>
      <c r="R321" s="111"/>
      <c r="S321" s="111"/>
      <c r="T321" s="111"/>
      <c r="U321" s="111"/>
      <c r="V321" s="111"/>
      <c r="W321" s="111"/>
      <c r="X321" s="123"/>
      <c r="AI321" s="222" t="str">
        <f t="shared" si="10"/>
        <v/>
      </c>
    </row>
    <row r="322" spans="1:35" s="108" customFormat="1" ht="15.75">
      <c r="A322" s="119"/>
      <c r="B322" s="120"/>
      <c r="C322" s="111"/>
      <c r="D322" s="111"/>
      <c r="E322" s="121"/>
      <c r="F322" s="121"/>
      <c r="G322" s="113"/>
      <c r="H322" s="199" t="str">
        <f t="shared" si="9"/>
        <v/>
      </c>
      <c r="I322" s="200" t="str">
        <f>IF(H322="","",IF(AND(AI322&lt;=66),VLOOKUP(H322,'WordRead Look Up'!$A$13:$B$20,2,TRUE),IF(AND(AI322&gt;=67,AI322&lt;=72),VLOOKUP(H322,'WordRead Look Up'!$E$13:$F$20,2,TRUE),IF(AND(AI322&gt;=73,AI322&lt;=78),VLOOKUP(H322,'WordRead Look Up'!$I$13:$J$18,2,TRUE),IF(AND(AI322&gt;=79),VLOOKUP(H322,'WordRead Look Up'!$M$13:$N$18,2,TRUE),"")))))</f>
        <v/>
      </c>
      <c r="J322" s="122"/>
      <c r="K322" s="111"/>
      <c r="L322" s="111"/>
      <c r="M322" s="111"/>
      <c r="N322" s="111"/>
      <c r="O322" s="111"/>
      <c r="P322" s="111"/>
      <c r="Q322" s="111"/>
      <c r="R322" s="111"/>
      <c r="S322" s="111"/>
      <c r="T322" s="111"/>
      <c r="U322" s="111"/>
      <c r="V322" s="111"/>
      <c r="W322" s="111"/>
      <c r="X322" s="123"/>
      <c r="AI322" s="222" t="str">
        <f t="shared" si="10"/>
        <v/>
      </c>
    </row>
    <row r="323" spans="1:35" s="108" customFormat="1" ht="15.75">
      <c r="A323" s="119"/>
      <c r="B323" s="120"/>
      <c r="C323" s="111"/>
      <c r="D323" s="111"/>
      <c r="E323" s="121"/>
      <c r="F323" s="121"/>
      <c r="G323" s="113"/>
      <c r="H323" s="199" t="str">
        <f t="shared" si="9"/>
        <v/>
      </c>
      <c r="I323" s="200" t="str">
        <f>IF(H323="","",IF(AND(AI323&lt;=66),VLOOKUP(H323,'WordRead Look Up'!$A$13:$B$20,2,TRUE),IF(AND(AI323&gt;=67,AI323&lt;=72),VLOOKUP(H323,'WordRead Look Up'!$E$13:$F$20,2,TRUE),IF(AND(AI323&gt;=73,AI323&lt;=78),VLOOKUP(H323,'WordRead Look Up'!$I$13:$J$18,2,TRUE),IF(AND(AI323&gt;=79),VLOOKUP(H323,'WordRead Look Up'!$M$13:$N$18,2,TRUE),"")))))</f>
        <v/>
      </c>
      <c r="J323" s="122"/>
      <c r="K323" s="111"/>
      <c r="L323" s="111"/>
      <c r="M323" s="111"/>
      <c r="N323" s="111"/>
      <c r="O323" s="111"/>
      <c r="P323" s="111"/>
      <c r="Q323" s="111"/>
      <c r="R323" s="111"/>
      <c r="S323" s="111"/>
      <c r="T323" s="111"/>
      <c r="U323" s="111"/>
      <c r="V323" s="111"/>
      <c r="W323" s="111"/>
      <c r="X323" s="123"/>
      <c r="AI323" s="222" t="str">
        <f t="shared" si="10"/>
        <v/>
      </c>
    </row>
    <row r="324" spans="1:35" s="108" customFormat="1" ht="15.75">
      <c r="A324" s="119"/>
      <c r="B324" s="120"/>
      <c r="C324" s="111"/>
      <c r="D324" s="111"/>
      <c r="E324" s="121"/>
      <c r="F324" s="121"/>
      <c r="G324" s="113"/>
      <c r="H324" s="199" t="str">
        <f t="shared" si="9"/>
        <v/>
      </c>
      <c r="I324" s="200" t="str">
        <f>IF(H324="","",IF(AND(AI324&lt;=66),VLOOKUP(H324,'WordRead Look Up'!$A$13:$B$20,2,TRUE),IF(AND(AI324&gt;=67,AI324&lt;=72),VLOOKUP(H324,'WordRead Look Up'!$E$13:$F$20,2,TRUE),IF(AND(AI324&gt;=73,AI324&lt;=78),VLOOKUP(H324,'WordRead Look Up'!$I$13:$J$18,2,TRUE),IF(AND(AI324&gt;=79),VLOOKUP(H324,'WordRead Look Up'!$M$13:$N$18,2,TRUE),"")))))</f>
        <v/>
      </c>
      <c r="J324" s="122"/>
      <c r="K324" s="111"/>
      <c r="L324" s="111"/>
      <c r="M324" s="111"/>
      <c r="N324" s="111"/>
      <c r="O324" s="111"/>
      <c r="P324" s="111"/>
      <c r="Q324" s="111"/>
      <c r="R324" s="111"/>
      <c r="S324" s="111"/>
      <c r="T324" s="111"/>
      <c r="U324" s="111"/>
      <c r="V324" s="111"/>
      <c r="W324" s="111"/>
      <c r="X324" s="123"/>
      <c r="AI324" s="222" t="str">
        <f t="shared" si="10"/>
        <v/>
      </c>
    </row>
    <row r="325" spans="1:35" s="108" customFormat="1" ht="15.75">
      <c r="A325" s="119"/>
      <c r="B325" s="120"/>
      <c r="C325" s="111"/>
      <c r="D325" s="111"/>
      <c r="E325" s="121"/>
      <c r="F325" s="121"/>
      <c r="G325" s="113"/>
      <c r="H325" s="199" t="str">
        <f t="shared" si="9"/>
        <v/>
      </c>
      <c r="I325" s="200" t="str">
        <f>IF(H325="","",IF(AND(AI325&lt;=66),VLOOKUP(H325,'WordRead Look Up'!$A$13:$B$20,2,TRUE),IF(AND(AI325&gt;=67,AI325&lt;=72),VLOOKUP(H325,'WordRead Look Up'!$E$13:$F$20,2,TRUE),IF(AND(AI325&gt;=73,AI325&lt;=78),VLOOKUP(H325,'WordRead Look Up'!$I$13:$J$18,2,TRUE),IF(AND(AI325&gt;=79),VLOOKUP(H325,'WordRead Look Up'!$M$13:$N$18,2,TRUE),"")))))</f>
        <v/>
      </c>
      <c r="J325" s="122"/>
      <c r="K325" s="111"/>
      <c r="L325" s="111"/>
      <c r="M325" s="111"/>
      <c r="N325" s="111"/>
      <c r="O325" s="111"/>
      <c r="P325" s="111"/>
      <c r="Q325" s="111"/>
      <c r="R325" s="111"/>
      <c r="S325" s="111"/>
      <c r="T325" s="111"/>
      <c r="U325" s="111"/>
      <c r="V325" s="111"/>
      <c r="W325" s="111"/>
      <c r="X325" s="123"/>
      <c r="AI325" s="222" t="str">
        <f t="shared" si="10"/>
        <v/>
      </c>
    </row>
    <row r="326" spans="1:35" s="108" customFormat="1" ht="15.75">
      <c r="A326" s="119"/>
      <c r="B326" s="120"/>
      <c r="C326" s="111"/>
      <c r="D326" s="111"/>
      <c r="E326" s="121"/>
      <c r="F326" s="121"/>
      <c r="G326" s="113"/>
      <c r="H326" s="199" t="str">
        <f t="shared" si="9"/>
        <v/>
      </c>
      <c r="I326" s="200" t="str">
        <f>IF(H326="","",IF(AND(AI326&lt;=66),VLOOKUP(H326,'WordRead Look Up'!$A$13:$B$20,2,TRUE),IF(AND(AI326&gt;=67,AI326&lt;=72),VLOOKUP(H326,'WordRead Look Up'!$E$13:$F$20,2,TRUE),IF(AND(AI326&gt;=73,AI326&lt;=78),VLOOKUP(H326,'WordRead Look Up'!$I$13:$J$18,2,TRUE),IF(AND(AI326&gt;=79),VLOOKUP(H326,'WordRead Look Up'!$M$13:$N$18,2,TRUE),"")))))</f>
        <v/>
      </c>
      <c r="J326" s="122"/>
      <c r="K326" s="111"/>
      <c r="L326" s="111"/>
      <c r="M326" s="111"/>
      <c r="N326" s="111"/>
      <c r="O326" s="111"/>
      <c r="P326" s="111"/>
      <c r="Q326" s="111"/>
      <c r="R326" s="111"/>
      <c r="S326" s="111"/>
      <c r="T326" s="111"/>
      <c r="U326" s="111"/>
      <c r="V326" s="111"/>
      <c r="W326" s="111"/>
      <c r="X326" s="123"/>
      <c r="AI326" s="222" t="str">
        <f t="shared" si="10"/>
        <v/>
      </c>
    </row>
    <row r="327" spans="1:35" s="108" customFormat="1" ht="15.75">
      <c r="A327" s="119"/>
      <c r="B327" s="120"/>
      <c r="C327" s="111"/>
      <c r="D327" s="111"/>
      <c r="E327" s="121"/>
      <c r="F327" s="121"/>
      <c r="G327" s="113"/>
      <c r="H327" s="199" t="str">
        <f t="shared" si="9"/>
        <v/>
      </c>
      <c r="I327" s="200" t="str">
        <f>IF(H327="","",IF(AND(AI327&lt;=66),VLOOKUP(H327,'WordRead Look Up'!$A$13:$B$20,2,TRUE),IF(AND(AI327&gt;=67,AI327&lt;=72),VLOOKUP(H327,'WordRead Look Up'!$E$13:$F$20,2,TRUE),IF(AND(AI327&gt;=73,AI327&lt;=78),VLOOKUP(H327,'WordRead Look Up'!$I$13:$J$18,2,TRUE),IF(AND(AI327&gt;=79),VLOOKUP(H327,'WordRead Look Up'!$M$13:$N$18,2,TRUE),"")))))</f>
        <v/>
      </c>
      <c r="J327" s="122"/>
      <c r="K327" s="111"/>
      <c r="L327" s="111"/>
      <c r="M327" s="111"/>
      <c r="N327" s="111"/>
      <c r="O327" s="111"/>
      <c r="P327" s="111"/>
      <c r="Q327" s="111"/>
      <c r="R327" s="111"/>
      <c r="S327" s="111"/>
      <c r="T327" s="111"/>
      <c r="U327" s="111"/>
      <c r="V327" s="111"/>
      <c r="W327" s="111"/>
      <c r="X327" s="123"/>
      <c r="AI327" s="222" t="str">
        <f t="shared" si="10"/>
        <v/>
      </c>
    </row>
    <row r="328" spans="1:35" s="108" customFormat="1" ht="15.75">
      <c r="A328" s="119"/>
      <c r="B328" s="120"/>
      <c r="C328" s="111"/>
      <c r="D328" s="111"/>
      <c r="E328" s="121"/>
      <c r="F328" s="121"/>
      <c r="G328" s="113"/>
      <c r="H328" s="199" t="str">
        <f t="shared" ref="H328:H391" si="11">IF(E328="","",COUNTIF(J328:X328,"y"))</f>
        <v/>
      </c>
      <c r="I328" s="200" t="str">
        <f>IF(H328="","",IF(AND(AI328&lt;=66),VLOOKUP(H328,'WordRead Look Up'!$A$13:$B$20,2,TRUE),IF(AND(AI328&gt;=67,AI328&lt;=72),VLOOKUP(H328,'WordRead Look Up'!$E$13:$F$20,2,TRUE),IF(AND(AI328&gt;=73,AI328&lt;=78),VLOOKUP(H328,'WordRead Look Up'!$I$13:$J$18,2,TRUE),IF(AND(AI328&gt;=79),VLOOKUP(H328,'WordRead Look Up'!$M$13:$N$18,2,TRUE),"")))))</f>
        <v/>
      </c>
      <c r="J328" s="122"/>
      <c r="K328" s="111"/>
      <c r="L328" s="111"/>
      <c r="M328" s="111"/>
      <c r="N328" s="111"/>
      <c r="O328" s="111"/>
      <c r="P328" s="111"/>
      <c r="Q328" s="111"/>
      <c r="R328" s="111"/>
      <c r="S328" s="111"/>
      <c r="T328" s="111"/>
      <c r="U328" s="111"/>
      <c r="V328" s="111"/>
      <c r="W328" s="111"/>
      <c r="X328" s="123"/>
      <c r="AI328" s="222" t="str">
        <f t="shared" ref="AI328:AI391" si="12">IF(E328="","",DATEDIF(B328,A328,"m"))</f>
        <v/>
      </c>
    </row>
    <row r="329" spans="1:35" s="108" customFormat="1" ht="15.75">
      <c r="A329" s="119"/>
      <c r="B329" s="120"/>
      <c r="C329" s="111"/>
      <c r="D329" s="111"/>
      <c r="E329" s="121"/>
      <c r="F329" s="121"/>
      <c r="G329" s="113"/>
      <c r="H329" s="199" t="str">
        <f t="shared" si="11"/>
        <v/>
      </c>
      <c r="I329" s="200" t="str">
        <f>IF(H329="","",IF(AND(AI329&lt;=66),VLOOKUP(H329,'WordRead Look Up'!$A$13:$B$20,2,TRUE),IF(AND(AI329&gt;=67,AI329&lt;=72),VLOOKUP(H329,'WordRead Look Up'!$E$13:$F$20,2,TRUE),IF(AND(AI329&gt;=73,AI329&lt;=78),VLOOKUP(H329,'WordRead Look Up'!$I$13:$J$18,2,TRUE),IF(AND(AI329&gt;=79),VLOOKUP(H329,'WordRead Look Up'!$M$13:$N$18,2,TRUE),"")))))</f>
        <v/>
      </c>
      <c r="J329" s="122"/>
      <c r="K329" s="111"/>
      <c r="L329" s="111"/>
      <c r="M329" s="111"/>
      <c r="N329" s="111"/>
      <c r="O329" s="111"/>
      <c r="P329" s="111"/>
      <c r="Q329" s="111"/>
      <c r="R329" s="111"/>
      <c r="S329" s="111"/>
      <c r="T329" s="111"/>
      <c r="U329" s="111"/>
      <c r="V329" s="111"/>
      <c r="W329" s="111"/>
      <c r="X329" s="123"/>
      <c r="AI329" s="222" t="str">
        <f t="shared" si="12"/>
        <v/>
      </c>
    </row>
    <row r="330" spans="1:35" s="108" customFormat="1" ht="15.75">
      <c r="A330" s="119"/>
      <c r="B330" s="120"/>
      <c r="C330" s="111"/>
      <c r="D330" s="111"/>
      <c r="E330" s="121"/>
      <c r="F330" s="121"/>
      <c r="G330" s="113"/>
      <c r="H330" s="199" t="str">
        <f t="shared" si="11"/>
        <v/>
      </c>
      <c r="I330" s="200" t="str">
        <f>IF(H330="","",IF(AND(AI330&lt;=66),VLOOKUP(H330,'WordRead Look Up'!$A$13:$B$20,2,TRUE),IF(AND(AI330&gt;=67,AI330&lt;=72),VLOOKUP(H330,'WordRead Look Up'!$E$13:$F$20,2,TRUE),IF(AND(AI330&gt;=73,AI330&lt;=78),VLOOKUP(H330,'WordRead Look Up'!$I$13:$J$18,2,TRUE),IF(AND(AI330&gt;=79),VLOOKUP(H330,'WordRead Look Up'!$M$13:$N$18,2,TRUE),"")))))</f>
        <v/>
      </c>
      <c r="J330" s="122"/>
      <c r="K330" s="111"/>
      <c r="L330" s="111"/>
      <c r="M330" s="111"/>
      <c r="N330" s="111"/>
      <c r="O330" s="111"/>
      <c r="P330" s="111"/>
      <c r="Q330" s="111"/>
      <c r="R330" s="111"/>
      <c r="S330" s="111"/>
      <c r="T330" s="111"/>
      <c r="U330" s="111"/>
      <c r="V330" s="111"/>
      <c r="W330" s="111"/>
      <c r="X330" s="123"/>
      <c r="AI330" s="222" t="str">
        <f t="shared" si="12"/>
        <v/>
      </c>
    </row>
    <row r="331" spans="1:35" s="108" customFormat="1" ht="15.75">
      <c r="A331" s="119"/>
      <c r="B331" s="120"/>
      <c r="C331" s="111"/>
      <c r="D331" s="111"/>
      <c r="E331" s="121"/>
      <c r="F331" s="121"/>
      <c r="G331" s="113"/>
      <c r="H331" s="199" t="str">
        <f t="shared" si="11"/>
        <v/>
      </c>
      <c r="I331" s="200" t="str">
        <f>IF(H331="","",IF(AND(AI331&lt;=66),VLOOKUP(H331,'WordRead Look Up'!$A$13:$B$20,2,TRUE),IF(AND(AI331&gt;=67,AI331&lt;=72),VLOOKUP(H331,'WordRead Look Up'!$E$13:$F$20,2,TRUE),IF(AND(AI331&gt;=73,AI331&lt;=78),VLOOKUP(H331,'WordRead Look Up'!$I$13:$J$18,2,TRUE),IF(AND(AI331&gt;=79),VLOOKUP(H331,'WordRead Look Up'!$M$13:$N$18,2,TRUE),"")))))</f>
        <v/>
      </c>
      <c r="J331" s="122"/>
      <c r="K331" s="111"/>
      <c r="L331" s="111"/>
      <c r="M331" s="111"/>
      <c r="N331" s="111"/>
      <c r="O331" s="111"/>
      <c r="P331" s="111"/>
      <c r="Q331" s="111"/>
      <c r="R331" s="111"/>
      <c r="S331" s="111"/>
      <c r="T331" s="111"/>
      <c r="U331" s="111"/>
      <c r="V331" s="111"/>
      <c r="W331" s="111"/>
      <c r="X331" s="123"/>
      <c r="AI331" s="222" t="str">
        <f t="shared" si="12"/>
        <v/>
      </c>
    </row>
    <row r="332" spans="1:35" s="108" customFormat="1" ht="15.75">
      <c r="A332" s="119"/>
      <c r="B332" s="120"/>
      <c r="C332" s="111"/>
      <c r="D332" s="111"/>
      <c r="E332" s="121"/>
      <c r="F332" s="121"/>
      <c r="G332" s="113"/>
      <c r="H332" s="199" t="str">
        <f t="shared" si="11"/>
        <v/>
      </c>
      <c r="I332" s="200" t="str">
        <f>IF(H332="","",IF(AND(AI332&lt;=66),VLOOKUP(H332,'WordRead Look Up'!$A$13:$B$20,2,TRUE),IF(AND(AI332&gt;=67,AI332&lt;=72),VLOOKUP(H332,'WordRead Look Up'!$E$13:$F$20,2,TRUE),IF(AND(AI332&gt;=73,AI332&lt;=78),VLOOKUP(H332,'WordRead Look Up'!$I$13:$J$18,2,TRUE),IF(AND(AI332&gt;=79),VLOOKUP(H332,'WordRead Look Up'!$M$13:$N$18,2,TRUE),"")))))</f>
        <v/>
      </c>
      <c r="J332" s="122"/>
      <c r="K332" s="111"/>
      <c r="L332" s="111"/>
      <c r="M332" s="111"/>
      <c r="N332" s="111"/>
      <c r="O332" s="111"/>
      <c r="P332" s="111"/>
      <c r="Q332" s="111"/>
      <c r="R332" s="111"/>
      <c r="S332" s="111"/>
      <c r="T332" s="111"/>
      <c r="U332" s="111"/>
      <c r="V332" s="111"/>
      <c r="W332" s="111"/>
      <c r="X332" s="123"/>
      <c r="AI332" s="222" t="str">
        <f t="shared" si="12"/>
        <v/>
      </c>
    </row>
    <row r="333" spans="1:35" s="108" customFormat="1" ht="15.75">
      <c r="A333" s="119"/>
      <c r="B333" s="120"/>
      <c r="C333" s="111"/>
      <c r="D333" s="111"/>
      <c r="E333" s="121"/>
      <c r="F333" s="121"/>
      <c r="G333" s="113"/>
      <c r="H333" s="199" t="str">
        <f t="shared" si="11"/>
        <v/>
      </c>
      <c r="I333" s="200" t="str">
        <f>IF(H333="","",IF(AND(AI333&lt;=66),VLOOKUP(H333,'WordRead Look Up'!$A$13:$B$20,2,TRUE),IF(AND(AI333&gt;=67,AI333&lt;=72),VLOOKUP(H333,'WordRead Look Up'!$E$13:$F$20,2,TRUE),IF(AND(AI333&gt;=73,AI333&lt;=78),VLOOKUP(H333,'WordRead Look Up'!$I$13:$J$18,2,TRUE),IF(AND(AI333&gt;=79),VLOOKUP(H333,'WordRead Look Up'!$M$13:$N$18,2,TRUE),"")))))</f>
        <v/>
      </c>
      <c r="J333" s="122"/>
      <c r="K333" s="111"/>
      <c r="L333" s="111"/>
      <c r="M333" s="111"/>
      <c r="N333" s="111"/>
      <c r="O333" s="111"/>
      <c r="P333" s="111"/>
      <c r="Q333" s="111"/>
      <c r="R333" s="111"/>
      <c r="S333" s="111"/>
      <c r="T333" s="111"/>
      <c r="U333" s="111"/>
      <c r="V333" s="111"/>
      <c r="W333" s="111"/>
      <c r="X333" s="123"/>
      <c r="AI333" s="222" t="str">
        <f t="shared" si="12"/>
        <v/>
      </c>
    </row>
    <row r="334" spans="1:35" s="108" customFormat="1" ht="15.75">
      <c r="A334" s="119"/>
      <c r="B334" s="120"/>
      <c r="C334" s="111"/>
      <c r="D334" s="111"/>
      <c r="E334" s="121"/>
      <c r="F334" s="121"/>
      <c r="G334" s="113"/>
      <c r="H334" s="199" t="str">
        <f t="shared" si="11"/>
        <v/>
      </c>
      <c r="I334" s="200" t="str">
        <f>IF(H334="","",IF(AND(AI334&lt;=66),VLOOKUP(H334,'WordRead Look Up'!$A$13:$B$20,2,TRUE),IF(AND(AI334&gt;=67,AI334&lt;=72),VLOOKUP(H334,'WordRead Look Up'!$E$13:$F$20,2,TRUE),IF(AND(AI334&gt;=73,AI334&lt;=78),VLOOKUP(H334,'WordRead Look Up'!$I$13:$J$18,2,TRUE),IF(AND(AI334&gt;=79),VLOOKUP(H334,'WordRead Look Up'!$M$13:$N$18,2,TRUE),"")))))</f>
        <v/>
      </c>
      <c r="J334" s="122"/>
      <c r="K334" s="111"/>
      <c r="L334" s="111"/>
      <c r="M334" s="111"/>
      <c r="N334" s="111"/>
      <c r="O334" s="111"/>
      <c r="P334" s="111"/>
      <c r="Q334" s="111"/>
      <c r="R334" s="111"/>
      <c r="S334" s="111"/>
      <c r="T334" s="111"/>
      <c r="U334" s="111"/>
      <c r="V334" s="111"/>
      <c r="W334" s="111"/>
      <c r="X334" s="123"/>
      <c r="AI334" s="222" t="str">
        <f t="shared" si="12"/>
        <v/>
      </c>
    </row>
    <row r="335" spans="1:35" s="108" customFormat="1" ht="15.75">
      <c r="A335" s="119"/>
      <c r="B335" s="120"/>
      <c r="C335" s="111"/>
      <c r="D335" s="111"/>
      <c r="E335" s="121"/>
      <c r="F335" s="121"/>
      <c r="G335" s="113"/>
      <c r="H335" s="199" t="str">
        <f t="shared" si="11"/>
        <v/>
      </c>
      <c r="I335" s="200" t="str">
        <f>IF(H335="","",IF(AND(AI335&lt;=66),VLOOKUP(H335,'WordRead Look Up'!$A$13:$B$20,2,TRUE),IF(AND(AI335&gt;=67,AI335&lt;=72),VLOOKUP(H335,'WordRead Look Up'!$E$13:$F$20,2,TRUE),IF(AND(AI335&gt;=73,AI335&lt;=78),VLOOKUP(H335,'WordRead Look Up'!$I$13:$J$18,2,TRUE),IF(AND(AI335&gt;=79),VLOOKUP(H335,'WordRead Look Up'!$M$13:$N$18,2,TRUE),"")))))</f>
        <v/>
      </c>
      <c r="J335" s="122"/>
      <c r="K335" s="111"/>
      <c r="L335" s="111"/>
      <c r="M335" s="111"/>
      <c r="N335" s="111"/>
      <c r="O335" s="111"/>
      <c r="P335" s="111"/>
      <c r="Q335" s="111"/>
      <c r="R335" s="111"/>
      <c r="S335" s="111"/>
      <c r="T335" s="111"/>
      <c r="U335" s="111"/>
      <c r="V335" s="111"/>
      <c r="W335" s="111"/>
      <c r="X335" s="123"/>
      <c r="AI335" s="222" t="str">
        <f t="shared" si="12"/>
        <v/>
      </c>
    </row>
    <row r="336" spans="1:35" s="108" customFormat="1" ht="15.75">
      <c r="A336" s="119"/>
      <c r="B336" s="120"/>
      <c r="C336" s="111"/>
      <c r="D336" s="111"/>
      <c r="E336" s="121"/>
      <c r="F336" s="121"/>
      <c r="G336" s="113"/>
      <c r="H336" s="199" t="str">
        <f t="shared" si="11"/>
        <v/>
      </c>
      <c r="I336" s="200" t="str">
        <f>IF(H336="","",IF(AND(AI336&lt;=66),VLOOKUP(H336,'WordRead Look Up'!$A$13:$B$20,2,TRUE),IF(AND(AI336&gt;=67,AI336&lt;=72),VLOOKUP(H336,'WordRead Look Up'!$E$13:$F$20,2,TRUE),IF(AND(AI336&gt;=73,AI336&lt;=78),VLOOKUP(H336,'WordRead Look Up'!$I$13:$J$18,2,TRUE),IF(AND(AI336&gt;=79),VLOOKUP(H336,'WordRead Look Up'!$M$13:$N$18,2,TRUE),"")))))</f>
        <v/>
      </c>
      <c r="J336" s="122"/>
      <c r="K336" s="111"/>
      <c r="L336" s="111"/>
      <c r="M336" s="111"/>
      <c r="N336" s="111"/>
      <c r="O336" s="111"/>
      <c r="P336" s="111"/>
      <c r="Q336" s="111"/>
      <c r="R336" s="111"/>
      <c r="S336" s="111"/>
      <c r="T336" s="111"/>
      <c r="U336" s="111"/>
      <c r="V336" s="111"/>
      <c r="W336" s="111"/>
      <c r="X336" s="123"/>
      <c r="AI336" s="222" t="str">
        <f t="shared" si="12"/>
        <v/>
      </c>
    </row>
    <row r="337" spans="1:35" s="108" customFormat="1" ht="15.75">
      <c r="A337" s="119"/>
      <c r="B337" s="120"/>
      <c r="C337" s="111"/>
      <c r="D337" s="111"/>
      <c r="E337" s="121"/>
      <c r="F337" s="121"/>
      <c r="G337" s="113"/>
      <c r="H337" s="199" t="str">
        <f t="shared" si="11"/>
        <v/>
      </c>
      <c r="I337" s="200" t="str">
        <f>IF(H337="","",IF(AND(AI337&lt;=66),VLOOKUP(H337,'WordRead Look Up'!$A$13:$B$20,2,TRUE),IF(AND(AI337&gt;=67,AI337&lt;=72),VLOOKUP(H337,'WordRead Look Up'!$E$13:$F$20,2,TRUE),IF(AND(AI337&gt;=73,AI337&lt;=78),VLOOKUP(H337,'WordRead Look Up'!$I$13:$J$18,2,TRUE),IF(AND(AI337&gt;=79),VLOOKUP(H337,'WordRead Look Up'!$M$13:$N$18,2,TRUE),"")))))</f>
        <v/>
      </c>
      <c r="J337" s="122"/>
      <c r="K337" s="111"/>
      <c r="L337" s="111"/>
      <c r="M337" s="111"/>
      <c r="N337" s="111"/>
      <c r="O337" s="111"/>
      <c r="P337" s="111"/>
      <c r="Q337" s="111"/>
      <c r="R337" s="111"/>
      <c r="S337" s="111"/>
      <c r="T337" s="111"/>
      <c r="U337" s="111"/>
      <c r="V337" s="111"/>
      <c r="W337" s="111"/>
      <c r="X337" s="123"/>
      <c r="AI337" s="222" t="str">
        <f t="shared" si="12"/>
        <v/>
      </c>
    </row>
    <row r="338" spans="1:35" s="108" customFormat="1" ht="15.75">
      <c r="A338" s="119"/>
      <c r="B338" s="120"/>
      <c r="C338" s="111"/>
      <c r="D338" s="111"/>
      <c r="E338" s="121"/>
      <c r="F338" s="121"/>
      <c r="G338" s="113"/>
      <c r="H338" s="199" t="str">
        <f t="shared" si="11"/>
        <v/>
      </c>
      <c r="I338" s="200" t="str">
        <f>IF(H338="","",IF(AND(AI338&lt;=66),VLOOKUP(H338,'WordRead Look Up'!$A$13:$B$20,2,TRUE),IF(AND(AI338&gt;=67,AI338&lt;=72),VLOOKUP(H338,'WordRead Look Up'!$E$13:$F$20,2,TRUE),IF(AND(AI338&gt;=73,AI338&lt;=78),VLOOKUP(H338,'WordRead Look Up'!$I$13:$J$18,2,TRUE),IF(AND(AI338&gt;=79),VLOOKUP(H338,'WordRead Look Up'!$M$13:$N$18,2,TRUE),"")))))</f>
        <v/>
      </c>
      <c r="J338" s="122"/>
      <c r="K338" s="111"/>
      <c r="L338" s="111"/>
      <c r="M338" s="111"/>
      <c r="N338" s="111"/>
      <c r="O338" s="111"/>
      <c r="P338" s="111"/>
      <c r="Q338" s="111"/>
      <c r="R338" s="111"/>
      <c r="S338" s="111"/>
      <c r="T338" s="111"/>
      <c r="U338" s="111"/>
      <c r="V338" s="111"/>
      <c r="W338" s="111"/>
      <c r="X338" s="123"/>
      <c r="AI338" s="222" t="str">
        <f t="shared" si="12"/>
        <v/>
      </c>
    </row>
    <row r="339" spans="1:35" s="108" customFormat="1" ht="15.75">
      <c r="A339" s="119"/>
      <c r="B339" s="120"/>
      <c r="C339" s="111"/>
      <c r="D339" s="111"/>
      <c r="E339" s="121"/>
      <c r="F339" s="121"/>
      <c r="G339" s="113"/>
      <c r="H339" s="199" t="str">
        <f t="shared" si="11"/>
        <v/>
      </c>
      <c r="I339" s="200" t="str">
        <f>IF(H339="","",IF(AND(AI339&lt;=66),VLOOKUP(H339,'WordRead Look Up'!$A$13:$B$20,2,TRUE),IF(AND(AI339&gt;=67,AI339&lt;=72),VLOOKUP(H339,'WordRead Look Up'!$E$13:$F$20,2,TRUE),IF(AND(AI339&gt;=73,AI339&lt;=78),VLOOKUP(H339,'WordRead Look Up'!$I$13:$J$18,2,TRUE),IF(AND(AI339&gt;=79),VLOOKUP(H339,'WordRead Look Up'!$M$13:$N$18,2,TRUE),"")))))</f>
        <v/>
      </c>
      <c r="J339" s="122"/>
      <c r="K339" s="111"/>
      <c r="L339" s="111"/>
      <c r="M339" s="111"/>
      <c r="N339" s="111"/>
      <c r="O339" s="111"/>
      <c r="P339" s="111"/>
      <c r="Q339" s="111"/>
      <c r="R339" s="111"/>
      <c r="S339" s="111"/>
      <c r="T339" s="111"/>
      <c r="U339" s="111"/>
      <c r="V339" s="111"/>
      <c r="W339" s="111"/>
      <c r="X339" s="123"/>
      <c r="AI339" s="222" t="str">
        <f t="shared" si="12"/>
        <v/>
      </c>
    </row>
    <row r="340" spans="1:35" s="108" customFormat="1" ht="15.75">
      <c r="A340" s="119"/>
      <c r="B340" s="120"/>
      <c r="C340" s="111"/>
      <c r="D340" s="111"/>
      <c r="E340" s="121"/>
      <c r="F340" s="121"/>
      <c r="G340" s="113"/>
      <c r="H340" s="199" t="str">
        <f t="shared" si="11"/>
        <v/>
      </c>
      <c r="I340" s="200" t="str">
        <f>IF(H340="","",IF(AND(AI340&lt;=66),VLOOKUP(H340,'WordRead Look Up'!$A$13:$B$20,2,TRUE),IF(AND(AI340&gt;=67,AI340&lt;=72),VLOOKUP(H340,'WordRead Look Up'!$E$13:$F$20,2,TRUE),IF(AND(AI340&gt;=73,AI340&lt;=78),VLOOKUP(H340,'WordRead Look Up'!$I$13:$J$18,2,TRUE),IF(AND(AI340&gt;=79),VLOOKUP(H340,'WordRead Look Up'!$M$13:$N$18,2,TRUE),"")))))</f>
        <v/>
      </c>
      <c r="J340" s="122"/>
      <c r="K340" s="111"/>
      <c r="L340" s="111"/>
      <c r="M340" s="111"/>
      <c r="N340" s="111"/>
      <c r="O340" s="111"/>
      <c r="P340" s="111"/>
      <c r="Q340" s="111"/>
      <c r="R340" s="111"/>
      <c r="S340" s="111"/>
      <c r="T340" s="111"/>
      <c r="U340" s="111"/>
      <c r="V340" s="111"/>
      <c r="W340" s="111"/>
      <c r="X340" s="123"/>
      <c r="AI340" s="222" t="str">
        <f t="shared" si="12"/>
        <v/>
      </c>
    </row>
    <row r="341" spans="1:35" s="108" customFormat="1" ht="15.75">
      <c r="A341" s="119"/>
      <c r="B341" s="120"/>
      <c r="C341" s="111"/>
      <c r="D341" s="111"/>
      <c r="E341" s="121"/>
      <c r="F341" s="121"/>
      <c r="G341" s="113"/>
      <c r="H341" s="199" t="str">
        <f t="shared" si="11"/>
        <v/>
      </c>
      <c r="I341" s="200" t="str">
        <f>IF(H341="","",IF(AND(AI341&lt;=66),VLOOKUP(H341,'WordRead Look Up'!$A$13:$B$20,2,TRUE),IF(AND(AI341&gt;=67,AI341&lt;=72),VLOOKUP(H341,'WordRead Look Up'!$E$13:$F$20,2,TRUE),IF(AND(AI341&gt;=73,AI341&lt;=78),VLOOKUP(H341,'WordRead Look Up'!$I$13:$J$18,2,TRUE),IF(AND(AI341&gt;=79),VLOOKUP(H341,'WordRead Look Up'!$M$13:$N$18,2,TRUE),"")))))</f>
        <v/>
      </c>
      <c r="J341" s="122"/>
      <c r="K341" s="111"/>
      <c r="L341" s="111"/>
      <c r="M341" s="111"/>
      <c r="N341" s="111"/>
      <c r="O341" s="111"/>
      <c r="P341" s="111"/>
      <c r="Q341" s="111"/>
      <c r="R341" s="111"/>
      <c r="S341" s="111"/>
      <c r="T341" s="111"/>
      <c r="U341" s="111"/>
      <c r="V341" s="111"/>
      <c r="W341" s="111"/>
      <c r="X341" s="123"/>
      <c r="AI341" s="222" t="str">
        <f t="shared" si="12"/>
        <v/>
      </c>
    </row>
    <row r="342" spans="1:35" s="108" customFormat="1" ht="15.75">
      <c r="A342" s="119"/>
      <c r="B342" s="120"/>
      <c r="C342" s="111"/>
      <c r="D342" s="111"/>
      <c r="E342" s="121"/>
      <c r="F342" s="121"/>
      <c r="G342" s="113"/>
      <c r="H342" s="199" t="str">
        <f t="shared" si="11"/>
        <v/>
      </c>
      <c r="I342" s="200" t="str">
        <f>IF(H342="","",IF(AND(AI342&lt;=66),VLOOKUP(H342,'WordRead Look Up'!$A$13:$B$20,2,TRUE),IF(AND(AI342&gt;=67,AI342&lt;=72),VLOOKUP(H342,'WordRead Look Up'!$E$13:$F$20,2,TRUE),IF(AND(AI342&gt;=73,AI342&lt;=78),VLOOKUP(H342,'WordRead Look Up'!$I$13:$J$18,2,TRUE),IF(AND(AI342&gt;=79),VLOOKUP(H342,'WordRead Look Up'!$M$13:$N$18,2,TRUE),"")))))</f>
        <v/>
      </c>
      <c r="J342" s="122"/>
      <c r="K342" s="111"/>
      <c r="L342" s="111"/>
      <c r="M342" s="111"/>
      <c r="N342" s="111"/>
      <c r="O342" s="111"/>
      <c r="P342" s="111"/>
      <c r="Q342" s="111"/>
      <c r="R342" s="111"/>
      <c r="S342" s="111"/>
      <c r="T342" s="111"/>
      <c r="U342" s="111"/>
      <c r="V342" s="111"/>
      <c r="W342" s="111"/>
      <c r="X342" s="123"/>
      <c r="AI342" s="222" t="str">
        <f t="shared" si="12"/>
        <v/>
      </c>
    </row>
    <row r="343" spans="1:35" s="108" customFormat="1" ht="15.75">
      <c r="A343" s="119"/>
      <c r="B343" s="120"/>
      <c r="C343" s="111"/>
      <c r="D343" s="111"/>
      <c r="E343" s="121"/>
      <c r="F343" s="121"/>
      <c r="G343" s="113"/>
      <c r="H343" s="199" t="str">
        <f t="shared" si="11"/>
        <v/>
      </c>
      <c r="I343" s="200" t="str">
        <f>IF(H343="","",IF(AND(AI343&lt;=66),VLOOKUP(H343,'WordRead Look Up'!$A$13:$B$20,2,TRUE),IF(AND(AI343&gt;=67,AI343&lt;=72),VLOOKUP(H343,'WordRead Look Up'!$E$13:$F$20,2,TRUE),IF(AND(AI343&gt;=73,AI343&lt;=78),VLOOKUP(H343,'WordRead Look Up'!$I$13:$J$18,2,TRUE),IF(AND(AI343&gt;=79),VLOOKUP(H343,'WordRead Look Up'!$M$13:$N$18,2,TRUE),"")))))</f>
        <v/>
      </c>
      <c r="J343" s="122"/>
      <c r="K343" s="111"/>
      <c r="L343" s="111"/>
      <c r="M343" s="111"/>
      <c r="N343" s="111"/>
      <c r="O343" s="111"/>
      <c r="P343" s="111"/>
      <c r="Q343" s="111"/>
      <c r="R343" s="111"/>
      <c r="S343" s="111"/>
      <c r="T343" s="111"/>
      <c r="U343" s="111"/>
      <c r="V343" s="111"/>
      <c r="W343" s="111"/>
      <c r="X343" s="123"/>
      <c r="AI343" s="222" t="str">
        <f t="shared" si="12"/>
        <v/>
      </c>
    </row>
    <row r="344" spans="1:35" s="108" customFormat="1" ht="15.75">
      <c r="A344" s="119"/>
      <c r="B344" s="120"/>
      <c r="C344" s="111"/>
      <c r="D344" s="111"/>
      <c r="E344" s="121"/>
      <c r="F344" s="121"/>
      <c r="G344" s="113"/>
      <c r="H344" s="199" t="str">
        <f t="shared" si="11"/>
        <v/>
      </c>
      <c r="I344" s="200" t="str">
        <f>IF(H344="","",IF(AND(AI344&lt;=66),VLOOKUP(H344,'WordRead Look Up'!$A$13:$B$20,2,TRUE),IF(AND(AI344&gt;=67,AI344&lt;=72),VLOOKUP(H344,'WordRead Look Up'!$E$13:$F$20,2,TRUE),IF(AND(AI344&gt;=73,AI344&lt;=78),VLOOKUP(H344,'WordRead Look Up'!$I$13:$J$18,2,TRUE),IF(AND(AI344&gt;=79),VLOOKUP(H344,'WordRead Look Up'!$M$13:$N$18,2,TRUE),"")))))</f>
        <v/>
      </c>
      <c r="J344" s="122"/>
      <c r="K344" s="111"/>
      <c r="L344" s="111"/>
      <c r="M344" s="111"/>
      <c r="N344" s="111"/>
      <c r="O344" s="111"/>
      <c r="P344" s="111"/>
      <c r="Q344" s="111"/>
      <c r="R344" s="111"/>
      <c r="S344" s="111"/>
      <c r="T344" s="111"/>
      <c r="U344" s="111"/>
      <c r="V344" s="111"/>
      <c r="W344" s="111"/>
      <c r="X344" s="123"/>
      <c r="AI344" s="222" t="str">
        <f t="shared" si="12"/>
        <v/>
      </c>
    </row>
    <row r="345" spans="1:35" s="108" customFormat="1" ht="15.75">
      <c r="A345" s="119"/>
      <c r="B345" s="120"/>
      <c r="C345" s="111"/>
      <c r="D345" s="111"/>
      <c r="E345" s="121"/>
      <c r="F345" s="121"/>
      <c r="G345" s="113"/>
      <c r="H345" s="199" t="str">
        <f t="shared" si="11"/>
        <v/>
      </c>
      <c r="I345" s="200" t="str">
        <f>IF(H345="","",IF(AND(AI345&lt;=66),VLOOKUP(H345,'WordRead Look Up'!$A$13:$B$20,2,TRUE),IF(AND(AI345&gt;=67,AI345&lt;=72),VLOOKUP(H345,'WordRead Look Up'!$E$13:$F$20,2,TRUE),IF(AND(AI345&gt;=73,AI345&lt;=78),VLOOKUP(H345,'WordRead Look Up'!$I$13:$J$18,2,TRUE),IF(AND(AI345&gt;=79),VLOOKUP(H345,'WordRead Look Up'!$M$13:$N$18,2,TRUE),"")))))</f>
        <v/>
      </c>
      <c r="J345" s="122"/>
      <c r="K345" s="111"/>
      <c r="L345" s="111"/>
      <c r="M345" s="111"/>
      <c r="N345" s="111"/>
      <c r="O345" s="111"/>
      <c r="P345" s="111"/>
      <c r="Q345" s="111"/>
      <c r="R345" s="111"/>
      <c r="S345" s="111"/>
      <c r="T345" s="111"/>
      <c r="U345" s="111"/>
      <c r="V345" s="111"/>
      <c r="W345" s="111"/>
      <c r="X345" s="123"/>
      <c r="AI345" s="222" t="str">
        <f t="shared" si="12"/>
        <v/>
      </c>
    </row>
    <row r="346" spans="1:35" s="108" customFormat="1" ht="15.75">
      <c r="A346" s="119"/>
      <c r="B346" s="120"/>
      <c r="C346" s="111"/>
      <c r="D346" s="111"/>
      <c r="E346" s="121"/>
      <c r="F346" s="121"/>
      <c r="G346" s="113"/>
      <c r="H346" s="199" t="str">
        <f t="shared" si="11"/>
        <v/>
      </c>
      <c r="I346" s="200" t="str">
        <f>IF(H346="","",IF(AND(AI346&lt;=66),VLOOKUP(H346,'WordRead Look Up'!$A$13:$B$20,2,TRUE),IF(AND(AI346&gt;=67,AI346&lt;=72),VLOOKUP(H346,'WordRead Look Up'!$E$13:$F$20,2,TRUE),IF(AND(AI346&gt;=73,AI346&lt;=78),VLOOKUP(H346,'WordRead Look Up'!$I$13:$J$18,2,TRUE),IF(AND(AI346&gt;=79),VLOOKUP(H346,'WordRead Look Up'!$M$13:$N$18,2,TRUE),"")))))</f>
        <v/>
      </c>
      <c r="J346" s="122"/>
      <c r="K346" s="111"/>
      <c r="L346" s="111"/>
      <c r="M346" s="111"/>
      <c r="N346" s="111"/>
      <c r="O346" s="111"/>
      <c r="P346" s="111"/>
      <c r="Q346" s="111"/>
      <c r="R346" s="111"/>
      <c r="S346" s="111"/>
      <c r="T346" s="111"/>
      <c r="U346" s="111"/>
      <c r="V346" s="111"/>
      <c r="W346" s="111"/>
      <c r="X346" s="123"/>
      <c r="AI346" s="222" t="str">
        <f t="shared" si="12"/>
        <v/>
      </c>
    </row>
    <row r="347" spans="1:35" s="108" customFormat="1" ht="15.75">
      <c r="A347" s="119"/>
      <c r="B347" s="120"/>
      <c r="C347" s="111"/>
      <c r="D347" s="111"/>
      <c r="E347" s="121"/>
      <c r="F347" s="121"/>
      <c r="G347" s="113"/>
      <c r="H347" s="199" t="str">
        <f t="shared" si="11"/>
        <v/>
      </c>
      <c r="I347" s="200" t="str">
        <f>IF(H347="","",IF(AND(AI347&lt;=66),VLOOKUP(H347,'WordRead Look Up'!$A$13:$B$20,2,TRUE),IF(AND(AI347&gt;=67,AI347&lt;=72),VLOOKUP(H347,'WordRead Look Up'!$E$13:$F$20,2,TRUE),IF(AND(AI347&gt;=73,AI347&lt;=78),VLOOKUP(H347,'WordRead Look Up'!$I$13:$J$18,2,TRUE),IF(AND(AI347&gt;=79),VLOOKUP(H347,'WordRead Look Up'!$M$13:$N$18,2,TRUE),"")))))</f>
        <v/>
      </c>
      <c r="J347" s="122"/>
      <c r="K347" s="111"/>
      <c r="L347" s="111"/>
      <c r="M347" s="111"/>
      <c r="N347" s="111"/>
      <c r="O347" s="111"/>
      <c r="P347" s="111"/>
      <c r="Q347" s="111"/>
      <c r="R347" s="111"/>
      <c r="S347" s="111"/>
      <c r="T347" s="111"/>
      <c r="U347" s="111"/>
      <c r="V347" s="111"/>
      <c r="W347" s="111"/>
      <c r="X347" s="123"/>
      <c r="AI347" s="222" t="str">
        <f t="shared" si="12"/>
        <v/>
      </c>
    </row>
    <row r="348" spans="1:35" s="108" customFormat="1" ht="15.75">
      <c r="A348" s="119"/>
      <c r="B348" s="120"/>
      <c r="C348" s="111"/>
      <c r="D348" s="111"/>
      <c r="E348" s="121"/>
      <c r="F348" s="121"/>
      <c r="G348" s="113"/>
      <c r="H348" s="199" t="str">
        <f t="shared" si="11"/>
        <v/>
      </c>
      <c r="I348" s="200" t="str">
        <f>IF(H348="","",IF(AND(AI348&lt;=66),VLOOKUP(H348,'WordRead Look Up'!$A$13:$B$20,2,TRUE),IF(AND(AI348&gt;=67,AI348&lt;=72),VLOOKUP(H348,'WordRead Look Up'!$E$13:$F$20,2,TRUE),IF(AND(AI348&gt;=73,AI348&lt;=78),VLOOKUP(H348,'WordRead Look Up'!$I$13:$J$18,2,TRUE),IF(AND(AI348&gt;=79),VLOOKUP(H348,'WordRead Look Up'!$M$13:$N$18,2,TRUE),"")))))</f>
        <v/>
      </c>
      <c r="J348" s="122"/>
      <c r="K348" s="111"/>
      <c r="L348" s="111"/>
      <c r="M348" s="111"/>
      <c r="N348" s="111"/>
      <c r="O348" s="111"/>
      <c r="P348" s="111"/>
      <c r="Q348" s="111"/>
      <c r="R348" s="111"/>
      <c r="S348" s="111"/>
      <c r="T348" s="111"/>
      <c r="U348" s="111"/>
      <c r="V348" s="111"/>
      <c r="W348" s="111"/>
      <c r="X348" s="123"/>
      <c r="AI348" s="222" t="str">
        <f t="shared" si="12"/>
        <v/>
      </c>
    </row>
    <row r="349" spans="1:35" s="108" customFormat="1" ht="15.75">
      <c r="A349" s="119"/>
      <c r="B349" s="120"/>
      <c r="C349" s="111"/>
      <c r="D349" s="111"/>
      <c r="E349" s="121"/>
      <c r="F349" s="121"/>
      <c r="G349" s="113"/>
      <c r="H349" s="199" t="str">
        <f t="shared" si="11"/>
        <v/>
      </c>
      <c r="I349" s="200" t="str">
        <f>IF(H349="","",IF(AND(AI349&lt;=66),VLOOKUP(H349,'WordRead Look Up'!$A$13:$B$20,2,TRUE),IF(AND(AI349&gt;=67,AI349&lt;=72),VLOOKUP(H349,'WordRead Look Up'!$E$13:$F$20,2,TRUE),IF(AND(AI349&gt;=73,AI349&lt;=78),VLOOKUP(H349,'WordRead Look Up'!$I$13:$J$18,2,TRUE),IF(AND(AI349&gt;=79),VLOOKUP(H349,'WordRead Look Up'!$M$13:$N$18,2,TRUE),"")))))</f>
        <v/>
      </c>
      <c r="J349" s="122"/>
      <c r="K349" s="111"/>
      <c r="L349" s="111"/>
      <c r="M349" s="111"/>
      <c r="N349" s="111"/>
      <c r="O349" s="111"/>
      <c r="P349" s="111"/>
      <c r="Q349" s="111"/>
      <c r="R349" s="111"/>
      <c r="S349" s="111"/>
      <c r="T349" s="111"/>
      <c r="U349" s="111"/>
      <c r="V349" s="111"/>
      <c r="W349" s="111"/>
      <c r="X349" s="123"/>
      <c r="AI349" s="222" t="str">
        <f t="shared" si="12"/>
        <v/>
      </c>
    </row>
    <row r="350" spans="1:35" s="108" customFormat="1" ht="15.75">
      <c r="A350" s="119"/>
      <c r="B350" s="120"/>
      <c r="C350" s="111"/>
      <c r="D350" s="111"/>
      <c r="E350" s="121"/>
      <c r="F350" s="121"/>
      <c r="G350" s="113"/>
      <c r="H350" s="199" t="str">
        <f t="shared" si="11"/>
        <v/>
      </c>
      <c r="I350" s="200" t="str">
        <f>IF(H350="","",IF(AND(AI350&lt;=66),VLOOKUP(H350,'WordRead Look Up'!$A$13:$B$20,2,TRUE),IF(AND(AI350&gt;=67,AI350&lt;=72),VLOOKUP(H350,'WordRead Look Up'!$E$13:$F$20,2,TRUE),IF(AND(AI350&gt;=73,AI350&lt;=78),VLOOKUP(H350,'WordRead Look Up'!$I$13:$J$18,2,TRUE),IF(AND(AI350&gt;=79),VLOOKUP(H350,'WordRead Look Up'!$M$13:$N$18,2,TRUE),"")))))</f>
        <v/>
      </c>
      <c r="J350" s="122"/>
      <c r="K350" s="111"/>
      <c r="L350" s="111"/>
      <c r="M350" s="111"/>
      <c r="N350" s="111"/>
      <c r="O350" s="111"/>
      <c r="P350" s="111"/>
      <c r="Q350" s="111"/>
      <c r="R350" s="111"/>
      <c r="S350" s="111"/>
      <c r="T350" s="111"/>
      <c r="U350" s="111"/>
      <c r="V350" s="111"/>
      <c r="W350" s="111"/>
      <c r="X350" s="123"/>
      <c r="AI350" s="222" t="str">
        <f t="shared" si="12"/>
        <v/>
      </c>
    </row>
    <row r="351" spans="1:35" s="108" customFormat="1" ht="15.75">
      <c r="A351" s="119"/>
      <c r="B351" s="120"/>
      <c r="C351" s="111"/>
      <c r="D351" s="111"/>
      <c r="E351" s="121"/>
      <c r="F351" s="121"/>
      <c r="G351" s="113"/>
      <c r="H351" s="199" t="str">
        <f t="shared" si="11"/>
        <v/>
      </c>
      <c r="I351" s="200" t="str">
        <f>IF(H351="","",IF(AND(AI351&lt;=66),VLOOKUP(H351,'WordRead Look Up'!$A$13:$B$20,2,TRUE),IF(AND(AI351&gt;=67,AI351&lt;=72),VLOOKUP(H351,'WordRead Look Up'!$E$13:$F$20,2,TRUE),IF(AND(AI351&gt;=73,AI351&lt;=78),VLOOKUP(H351,'WordRead Look Up'!$I$13:$J$18,2,TRUE),IF(AND(AI351&gt;=79),VLOOKUP(H351,'WordRead Look Up'!$M$13:$N$18,2,TRUE),"")))))</f>
        <v/>
      </c>
      <c r="J351" s="122"/>
      <c r="K351" s="111"/>
      <c r="L351" s="111"/>
      <c r="M351" s="111"/>
      <c r="N351" s="111"/>
      <c r="O351" s="111"/>
      <c r="P351" s="111"/>
      <c r="Q351" s="111"/>
      <c r="R351" s="111"/>
      <c r="S351" s="111"/>
      <c r="T351" s="111"/>
      <c r="U351" s="111"/>
      <c r="V351" s="111"/>
      <c r="W351" s="111"/>
      <c r="X351" s="123"/>
      <c r="AI351" s="222" t="str">
        <f t="shared" si="12"/>
        <v/>
      </c>
    </row>
    <row r="352" spans="1:35" s="108" customFormat="1" ht="15.75">
      <c r="A352" s="119"/>
      <c r="B352" s="120"/>
      <c r="C352" s="111"/>
      <c r="D352" s="111"/>
      <c r="E352" s="121"/>
      <c r="F352" s="121"/>
      <c r="G352" s="113"/>
      <c r="H352" s="199" t="str">
        <f t="shared" si="11"/>
        <v/>
      </c>
      <c r="I352" s="200" t="str">
        <f>IF(H352="","",IF(AND(AI352&lt;=66),VLOOKUP(H352,'WordRead Look Up'!$A$13:$B$20,2,TRUE),IF(AND(AI352&gt;=67,AI352&lt;=72),VLOOKUP(H352,'WordRead Look Up'!$E$13:$F$20,2,TRUE),IF(AND(AI352&gt;=73,AI352&lt;=78),VLOOKUP(H352,'WordRead Look Up'!$I$13:$J$18,2,TRUE),IF(AND(AI352&gt;=79),VLOOKUP(H352,'WordRead Look Up'!$M$13:$N$18,2,TRUE),"")))))</f>
        <v/>
      </c>
      <c r="J352" s="122"/>
      <c r="K352" s="111"/>
      <c r="L352" s="111"/>
      <c r="M352" s="111"/>
      <c r="N352" s="111"/>
      <c r="O352" s="111"/>
      <c r="P352" s="111"/>
      <c r="Q352" s="111"/>
      <c r="R352" s="111"/>
      <c r="S352" s="111"/>
      <c r="T352" s="111"/>
      <c r="U352" s="111"/>
      <c r="V352" s="111"/>
      <c r="W352" s="111"/>
      <c r="X352" s="123"/>
      <c r="AI352" s="222" t="str">
        <f t="shared" si="12"/>
        <v/>
      </c>
    </row>
    <row r="353" spans="1:35" s="108" customFormat="1" ht="15.75">
      <c r="A353" s="119"/>
      <c r="B353" s="120"/>
      <c r="C353" s="111"/>
      <c r="D353" s="111"/>
      <c r="E353" s="121"/>
      <c r="F353" s="121"/>
      <c r="G353" s="113"/>
      <c r="H353" s="199" t="str">
        <f t="shared" si="11"/>
        <v/>
      </c>
      <c r="I353" s="200" t="str">
        <f>IF(H353="","",IF(AND(AI353&lt;=66),VLOOKUP(H353,'WordRead Look Up'!$A$13:$B$20,2,TRUE),IF(AND(AI353&gt;=67,AI353&lt;=72),VLOOKUP(H353,'WordRead Look Up'!$E$13:$F$20,2,TRUE),IF(AND(AI353&gt;=73,AI353&lt;=78),VLOOKUP(H353,'WordRead Look Up'!$I$13:$J$18,2,TRUE),IF(AND(AI353&gt;=79),VLOOKUP(H353,'WordRead Look Up'!$M$13:$N$18,2,TRUE),"")))))</f>
        <v/>
      </c>
      <c r="J353" s="122"/>
      <c r="K353" s="111"/>
      <c r="L353" s="111"/>
      <c r="M353" s="111"/>
      <c r="N353" s="111"/>
      <c r="O353" s="111"/>
      <c r="P353" s="111"/>
      <c r="Q353" s="111"/>
      <c r="R353" s="111"/>
      <c r="S353" s="111"/>
      <c r="T353" s="111"/>
      <c r="U353" s="111"/>
      <c r="V353" s="111"/>
      <c r="W353" s="111"/>
      <c r="X353" s="123"/>
      <c r="AI353" s="222" t="str">
        <f t="shared" si="12"/>
        <v/>
      </c>
    </row>
    <row r="354" spans="1:35" s="108" customFormat="1" ht="15.75">
      <c r="A354" s="119"/>
      <c r="B354" s="120"/>
      <c r="C354" s="111"/>
      <c r="D354" s="111"/>
      <c r="E354" s="121"/>
      <c r="F354" s="121"/>
      <c r="G354" s="113"/>
      <c r="H354" s="199" t="str">
        <f t="shared" si="11"/>
        <v/>
      </c>
      <c r="I354" s="200" t="str">
        <f>IF(H354="","",IF(AND(AI354&lt;=66),VLOOKUP(H354,'WordRead Look Up'!$A$13:$B$20,2,TRUE),IF(AND(AI354&gt;=67,AI354&lt;=72),VLOOKUP(H354,'WordRead Look Up'!$E$13:$F$20,2,TRUE),IF(AND(AI354&gt;=73,AI354&lt;=78),VLOOKUP(H354,'WordRead Look Up'!$I$13:$J$18,2,TRUE),IF(AND(AI354&gt;=79),VLOOKUP(H354,'WordRead Look Up'!$M$13:$N$18,2,TRUE),"")))))</f>
        <v/>
      </c>
      <c r="J354" s="122"/>
      <c r="K354" s="111"/>
      <c r="L354" s="111"/>
      <c r="M354" s="111"/>
      <c r="N354" s="111"/>
      <c r="O354" s="111"/>
      <c r="P354" s="111"/>
      <c r="Q354" s="111"/>
      <c r="R354" s="111"/>
      <c r="S354" s="111"/>
      <c r="T354" s="111"/>
      <c r="U354" s="111"/>
      <c r="V354" s="111"/>
      <c r="W354" s="111"/>
      <c r="X354" s="123"/>
      <c r="AI354" s="222" t="str">
        <f t="shared" si="12"/>
        <v/>
      </c>
    </row>
    <row r="355" spans="1:35" s="108" customFormat="1" ht="15.75">
      <c r="A355" s="119"/>
      <c r="B355" s="120"/>
      <c r="C355" s="111"/>
      <c r="D355" s="111"/>
      <c r="E355" s="121"/>
      <c r="F355" s="121"/>
      <c r="G355" s="113"/>
      <c r="H355" s="199" t="str">
        <f t="shared" si="11"/>
        <v/>
      </c>
      <c r="I355" s="200" t="str">
        <f>IF(H355="","",IF(AND(AI355&lt;=66),VLOOKUP(H355,'WordRead Look Up'!$A$13:$B$20,2,TRUE),IF(AND(AI355&gt;=67,AI355&lt;=72),VLOOKUP(H355,'WordRead Look Up'!$E$13:$F$20,2,TRUE),IF(AND(AI355&gt;=73,AI355&lt;=78),VLOOKUP(H355,'WordRead Look Up'!$I$13:$J$18,2,TRUE),IF(AND(AI355&gt;=79),VLOOKUP(H355,'WordRead Look Up'!$M$13:$N$18,2,TRUE),"")))))</f>
        <v/>
      </c>
      <c r="J355" s="122"/>
      <c r="K355" s="111"/>
      <c r="L355" s="111"/>
      <c r="M355" s="111"/>
      <c r="N355" s="111"/>
      <c r="O355" s="111"/>
      <c r="P355" s="111"/>
      <c r="Q355" s="111"/>
      <c r="R355" s="111"/>
      <c r="S355" s="111"/>
      <c r="T355" s="111"/>
      <c r="U355" s="111"/>
      <c r="V355" s="111"/>
      <c r="W355" s="111"/>
      <c r="X355" s="123"/>
      <c r="AI355" s="222" t="str">
        <f t="shared" si="12"/>
        <v/>
      </c>
    </row>
    <row r="356" spans="1:35" s="108" customFormat="1" ht="15.75">
      <c r="A356" s="119"/>
      <c r="B356" s="120"/>
      <c r="C356" s="111"/>
      <c r="D356" s="111"/>
      <c r="E356" s="121"/>
      <c r="F356" s="121"/>
      <c r="G356" s="113"/>
      <c r="H356" s="199" t="str">
        <f t="shared" si="11"/>
        <v/>
      </c>
      <c r="I356" s="200" t="str">
        <f>IF(H356="","",IF(AND(AI356&lt;=66),VLOOKUP(H356,'WordRead Look Up'!$A$13:$B$20,2,TRUE),IF(AND(AI356&gt;=67,AI356&lt;=72),VLOOKUP(H356,'WordRead Look Up'!$E$13:$F$20,2,TRUE),IF(AND(AI356&gt;=73,AI356&lt;=78),VLOOKUP(H356,'WordRead Look Up'!$I$13:$J$18,2,TRUE),IF(AND(AI356&gt;=79),VLOOKUP(H356,'WordRead Look Up'!$M$13:$N$18,2,TRUE),"")))))</f>
        <v/>
      </c>
      <c r="J356" s="122"/>
      <c r="K356" s="111"/>
      <c r="L356" s="111"/>
      <c r="M356" s="111"/>
      <c r="N356" s="111"/>
      <c r="O356" s="111"/>
      <c r="P356" s="111"/>
      <c r="Q356" s="111"/>
      <c r="R356" s="111"/>
      <c r="S356" s="111"/>
      <c r="T356" s="111"/>
      <c r="U356" s="111"/>
      <c r="V356" s="111"/>
      <c r="W356" s="111"/>
      <c r="X356" s="123"/>
      <c r="AI356" s="222" t="str">
        <f t="shared" si="12"/>
        <v/>
      </c>
    </row>
    <row r="357" spans="1:35" s="108" customFormat="1" ht="15.75">
      <c r="A357" s="119"/>
      <c r="B357" s="120"/>
      <c r="C357" s="111"/>
      <c r="D357" s="111"/>
      <c r="E357" s="121"/>
      <c r="F357" s="121"/>
      <c r="G357" s="113"/>
      <c r="H357" s="199" t="str">
        <f t="shared" si="11"/>
        <v/>
      </c>
      <c r="I357" s="200" t="str">
        <f>IF(H357="","",IF(AND(AI357&lt;=66),VLOOKUP(H357,'WordRead Look Up'!$A$13:$B$20,2,TRUE),IF(AND(AI357&gt;=67,AI357&lt;=72),VLOOKUP(H357,'WordRead Look Up'!$E$13:$F$20,2,TRUE),IF(AND(AI357&gt;=73,AI357&lt;=78),VLOOKUP(H357,'WordRead Look Up'!$I$13:$J$18,2,TRUE),IF(AND(AI357&gt;=79),VLOOKUP(H357,'WordRead Look Up'!$M$13:$N$18,2,TRUE),"")))))</f>
        <v/>
      </c>
      <c r="J357" s="122"/>
      <c r="K357" s="111"/>
      <c r="L357" s="111"/>
      <c r="M357" s="111"/>
      <c r="N357" s="111"/>
      <c r="O357" s="111"/>
      <c r="P357" s="111"/>
      <c r="Q357" s="111"/>
      <c r="R357" s="111"/>
      <c r="S357" s="111"/>
      <c r="T357" s="111"/>
      <c r="U357" s="111"/>
      <c r="V357" s="111"/>
      <c r="W357" s="111"/>
      <c r="X357" s="123"/>
      <c r="AI357" s="222" t="str">
        <f t="shared" si="12"/>
        <v/>
      </c>
    </row>
    <row r="358" spans="1:35" s="108" customFormat="1" ht="15.75">
      <c r="A358" s="119"/>
      <c r="B358" s="120"/>
      <c r="C358" s="111"/>
      <c r="D358" s="111"/>
      <c r="E358" s="121"/>
      <c r="F358" s="121"/>
      <c r="G358" s="113"/>
      <c r="H358" s="199" t="str">
        <f t="shared" si="11"/>
        <v/>
      </c>
      <c r="I358" s="200" t="str">
        <f>IF(H358="","",IF(AND(AI358&lt;=66),VLOOKUP(H358,'WordRead Look Up'!$A$13:$B$20,2,TRUE),IF(AND(AI358&gt;=67,AI358&lt;=72),VLOOKUP(H358,'WordRead Look Up'!$E$13:$F$20,2,TRUE),IF(AND(AI358&gt;=73,AI358&lt;=78),VLOOKUP(H358,'WordRead Look Up'!$I$13:$J$18,2,TRUE),IF(AND(AI358&gt;=79),VLOOKUP(H358,'WordRead Look Up'!$M$13:$N$18,2,TRUE),"")))))</f>
        <v/>
      </c>
      <c r="J358" s="122"/>
      <c r="K358" s="111"/>
      <c r="L358" s="111"/>
      <c r="M358" s="111"/>
      <c r="N358" s="111"/>
      <c r="O358" s="111"/>
      <c r="P358" s="111"/>
      <c r="Q358" s="111"/>
      <c r="R358" s="111"/>
      <c r="S358" s="111"/>
      <c r="T358" s="111"/>
      <c r="U358" s="111"/>
      <c r="V358" s="111"/>
      <c r="W358" s="111"/>
      <c r="X358" s="123"/>
      <c r="AI358" s="222" t="str">
        <f t="shared" si="12"/>
        <v/>
      </c>
    </row>
    <row r="359" spans="1:35" s="108" customFormat="1" ht="15.75">
      <c r="A359" s="119"/>
      <c r="B359" s="120"/>
      <c r="C359" s="111"/>
      <c r="D359" s="111"/>
      <c r="E359" s="121"/>
      <c r="F359" s="121"/>
      <c r="G359" s="113"/>
      <c r="H359" s="199" t="str">
        <f t="shared" si="11"/>
        <v/>
      </c>
      <c r="I359" s="200" t="str">
        <f>IF(H359="","",IF(AND(AI359&lt;=66),VLOOKUP(H359,'WordRead Look Up'!$A$13:$B$20,2,TRUE),IF(AND(AI359&gt;=67,AI359&lt;=72),VLOOKUP(H359,'WordRead Look Up'!$E$13:$F$20,2,TRUE),IF(AND(AI359&gt;=73,AI359&lt;=78),VLOOKUP(H359,'WordRead Look Up'!$I$13:$J$18,2,TRUE),IF(AND(AI359&gt;=79),VLOOKUP(H359,'WordRead Look Up'!$M$13:$N$18,2,TRUE),"")))))</f>
        <v/>
      </c>
      <c r="J359" s="122"/>
      <c r="K359" s="111"/>
      <c r="L359" s="111"/>
      <c r="M359" s="111"/>
      <c r="N359" s="111"/>
      <c r="O359" s="111"/>
      <c r="P359" s="111"/>
      <c r="Q359" s="111"/>
      <c r="R359" s="111"/>
      <c r="S359" s="111"/>
      <c r="T359" s="111"/>
      <c r="U359" s="111"/>
      <c r="V359" s="111"/>
      <c r="W359" s="111"/>
      <c r="X359" s="123"/>
      <c r="AI359" s="222" t="str">
        <f t="shared" si="12"/>
        <v/>
      </c>
    </row>
    <row r="360" spans="1:35" s="108" customFormat="1" ht="15.75">
      <c r="A360" s="119"/>
      <c r="B360" s="120"/>
      <c r="C360" s="111"/>
      <c r="D360" s="111"/>
      <c r="E360" s="121"/>
      <c r="F360" s="121"/>
      <c r="G360" s="113"/>
      <c r="H360" s="199" t="str">
        <f t="shared" si="11"/>
        <v/>
      </c>
      <c r="I360" s="200" t="str">
        <f>IF(H360="","",IF(AND(AI360&lt;=66),VLOOKUP(H360,'WordRead Look Up'!$A$13:$B$20,2,TRUE),IF(AND(AI360&gt;=67,AI360&lt;=72),VLOOKUP(H360,'WordRead Look Up'!$E$13:$F$20,2,TRUE),IF(AND(AI360&gt;=73,AI360&lt;=78),VLOOKUP(H360,'WordRead Look Up'!$I$13:$J$18,2,TRUE),IF(AND(AI360&gt;=79),VLOOKUP(H360,'WordRead Look Up'!$M$13:$N$18,2,TRUE),"")))))</f>
        <v/>
      </c>
      <c r="J360" s="122"/>
      <c r="K360" s="111"/>
      <c r="L360" s="111"/>
      <c r="M360" s="111"/>
      <c r="N360" s="111"/>
      <c r="O360" s="111"/>
      <c r="P360" s="111"/>
      <c r="Q360" s="111"/>
      <c r="R360" s="111"/>
      <c r="S360" s="111"/>
      <c r="T360" s="111"/>
      <c r="U360" s="111"/>
      <c r="V360" s="111"/>
      <c r="W360" s="111"/>
      <c r="X360" s="123"/>
      <c r="AI360" s="222" t="str">
        <f t="shared" si="12"/>
        <v/>
      </c>
    </row>
    <row r="361" spans="1:35" s="108" customFormat="1" ht="15.75">
      <c r="A361" s="119"/>
      <c r="B361" s="120"/>
      <c r="C361" s="111"/>
      <c r="D361" s="111"/>
      <c r="E361" s="121"/>
      <c r="F361" s="121"/>
      <c r="G361" s="113"/>
      <c r="H361" s="199" t="str">
        <f t="shared" si="11"/>
        <v/>
      </c>
      <c r="I361" s="200" t="str">
        <f>IF(H361="","",IF(AND(AI361&lt;=66),VLOOKUP(H361,'WordRead Look Up'!$A$13:$B$20,2,TRUE),IF(AND(AI361&gt;=67,AI361&lt;=72),VLOOKUP(H361,'WordRead Look Up'!$E$13:$F$20,2,TRUE),IF(AND(AI361&gt;=73,AI361&lt;=78),VLOOKUP(H361,'WordRead Look Up'!$I$13:$J$18,2,TRUE),IF(AND(AI361&gt;=79),VLOOKUP(H361,'WordRead Look Up'!$M$13:$N$18,2,TRUE),"")))))</f>
        <v/>
      </c>
      <c r="J361" s="122"/>
      <c r="K361" s="111"/>
      <c r="L361" s="111"/>
      <c r="M361" s="111"/>
      <c r="N361" s="111"/>
      <c r="O361" s="111"/>
      <c r="P361" s="111"/>
      <c r="Q361" s="111"/>
      <c r="R361" s="111"/>
      <c r="S361" s="111"/>
      <c r="T361" s="111"/>
      <c r="U361" s="111"/>
      <c r="V361" s="111"/>
      <c r="W361" s="111"/>
      <c r="X361" s="123"/>
      <c r="AI361" s="222" t="str">
        <f t="shared" si="12"/>
        <v/>
      </c>
    </row>
    <row r="362" spans="1:35" s="108" customFormat="1" ht="15.75">
      <c r="A362" s="119"/>
      <c r="B362" s="120"/>
      <c r="C362" s="111"/>
      <c r="D362" s="111"/>
      <c r="E362" s="121"/>
      <c r="F362" s="121"/>
      <c r="G362" s="113"/>
      <c r="H362" s="199" t="str">
        <f t="shared" si="11"/>
        <v/>
      </c>
      <c r="I362" s="200" t="str">
        <f>IF(H362="","",IF(AND(AI362&lt;=66),VLOOKUP(H362,'WordRead Look Up'!$A$13:$B$20,2,TRUE),IF(AND(AI362&gt;=67,AI362&lt;=72),VLOOKUP(H362,'WordRead Look Up'!$E$13:$F$20,2,TRUE),IF(AND(AI362&gt;=73,AI362&lt;=78),VLOOKUP(H362,'WordRead Look Up'!$I$13:$J$18,2,TRUE),IF(AND(AI362&gt;=79),VLOOKUP(H362,'WordRead Look Up'!$M$13:$N$18,2,TRUE),"")))))</f>
        <v/>
      </c>
      <c r="J362" s="122"/>
      <c r="K362" s="111"/>
      <c r="L362" s="111"/>
      <c r="M362" s="111"/>
      <c r="N362" s="111"/>
      <c r="O362" s="111"/>
      <c r="P362" s="111"/>
      <c r="Q362" s="111"/>
      <c r="R362" s="111"/>
      <c r="S362" s="111"/>
      <c r="T362" s="111"/>
      <c r="U362" s="111"/>
      <c r="V362" s="111"/>
      <c r="W362" s="111"/>
      <c r="X362" s="123"/>
      <c r="AI362" s="222" t="str">
        <f t="shared" si="12"/>
        <v/>
      </c>
    </row>
    <row r="363" spans="1:35" s="108" customFormat="1" ht="15.75">
      <c r="A363" s="119"/>
      <c r="B363" s="120"/>
      <c r="C363" s="111"/>
      <c r="D363" s="111"/>
      <c r="E363" s="121"/>
      <c r="F363" s="121"/>
      <c r="G363" s="113"/>
      <c r="H363" s="199" t="str">
        <f t="shared" si="11"/>
        <v/>
      </c>
      <c r="I363" s="200" t="str">
        <f>IF(H363="","",IF(AND(AI363&lt;=66),VLOOKUP(H363,'WordRead Look Up'!$A$13:$B$20,2,TRUE),IF(AND(AI363&gt;=67,AI363&lt;=72),VLOOKUP(H363,'WordRead Look Up'!$E$13:$F$20,2,TRUE),IF(AND(AI363&gt;=73,AI363&lt;=78),VLOOKUP(H363,'WordRead Look Up'!$I$13:$J$18,2,TRUE),IF(AND(AI363&gt;=79),VLOOKUP(H363,'WordRead Look Up'!$M$13:$N$18,2,TRUE),"")))))</f>
        <v/>
      </c>
      <c r="J363" s="122"/>
      <c r="K363" s="111"/>
      <c r="L363" s="111"/>
      <c r="M363" s="111"/>
      <c r="N363" s="111"/>
      <c r="O363" s="111"/>
      <c r="P363" s="111"/>
      <c r="Q363" s="111"/>
      <c r="R363" s="111"/>
      <c r="S363" s="111"/>
      <c r="T363" s="111"/>
      <c r="U363" s="111"/>
      <c r="V363" s="111"/>
      <c r="W363" s="111"/>
      <c r="X363" s="123"/>
      <c r="AI363" s="222" t="str">
        <f t="shared" si="12"/>
        <v/>
      </c>
    </row>
    <row r="364" spans="1:35" s="108" customFormat="1" ht="15.75">
      <c r="A364" s="119"/>
      <c r="B364" s="120"/>
      <c r="C364" s="111"/>
      <c r="D364" s="111"/>
      <c r="E364" s="121"/>
      <c r="F364" s="121"/>
      <c r="G364" s="113"/>
      <c r="H364" s="199" t="str">
        <f t="shared" si="11"/>
        <v/>
      </c>
      <c r="I364" s="200" t="str">
        <f>IF(H364="","",IF(AND(AI364&lt;=66),VLOOKUP(H364,'WordRead Look Up'!$A$13:$B$20,2,TRUE),IF(AND(AI364&gt;=67,AI364&lt;=72),VLOOKUP(H364,'WordRead Look Up'!$E$13:$F$20,2,TRUE),IF(AND(AI364&gt;=73,AI364&lt;=78),VLOOKUP(H364,'WordRead Look Up'!$I$13:$J$18,2,TRUE),IF(AND(AI364&gt;=79),VLOOKUP(H364,'WordRead Look Up'!$M$13:$N$18,2,TRUE),"")))))</f>
        <v/>
      </c>
      <c r="J364" s="122"/>
      <c r="K364" s="111"/>
      <c r="L364" s="111"/>
      <c r="M364" s="111"/>
      <c r="N364" s="111"/>
      <c r="O364" s="111"/>
      <c r="P364" s="111"/>
      <c r="Q364" s="111"/>
      <c r="R364" s="111"/>
      <c r="S364" s="111"/>
      <c r="T364" s="111"/>
      <c r="U364" s="111"/>
      <c r="V364" s="111"/>
      <c r="W364" s="111"/>
      <c r="X364" s="123"/>
      <c r="AI364" s="222" t="str">
        <f t="shared" si="12"/>
        <v/>
      </c>
    </row>
    <row r="365" spans="1:35" s="108" customFormat="1" ht="15.75">
      <c r="A365" s="119"/>
      <c r="B365" s="120"/>
      <c r="C365" s="111"/>
      <c r="D365" s="111"/>
      <c r="E365" s="121"/>
      <c r="F365" s="121"/>
      <c r="G365" s="113"/>
      <c r="H365" s="199" t="str">
        <f t="shared" si="11"/>
        <v/>
      </c>
      <c r="I365" s="200" t="str">
        <f>IF(H365="","",IF(AND(AI365&lt;=66),VLOOKUP(H365,'WordRead Look Up'!$A$13:$B$20,2,TRUE),IF(AND(AI365&gt;=67,AI365&lt;=72),VLOOKUP(H365,'WordRead Look Up'!$E$13:$F$20,2,TRUE),IF(AND(AI365&gt;=73,AI365&lt;=78),VLOOKUP(H365,'WordRead Look Up'!$I$13:$J$18,2,TRUE),IF(AND(AI365&gt;=79),VLOOKUP(H365,'WordRead Look Up'!$M$13:$N$18,2,TRUE),"")))))</f>
        <v/>
      </c>
      <c r="J365" s="122"/>
      <c r="K365" s="111"/>
      <c r="L365" s="111"/>
      <c r="M365" s="111"/>
      <c r="N365" s="111"/>
      <c r="O365" s="111"/>
      <c r="P365" s="111"/>
      <c r="Q365" s="111"/>
      <c r="R365" s="111"/>
      <c r="S365" s="111"/>
      <c r="T365" s="111"/>
      <c r="U365" s="111"/>
      <c r="V365" s="111"/>
      <c r="W365" s="111"/>
      <c r="X365" s="123"/>
      <c r="AI365" s="222" t="str">
        <f t="shared" si="12"/>
        <v/>
      </c>
    </row>
    <row r="366" spans="1:35" s="108" customFormat="1" ht="15.75">
      <c r="A366" s="119"/>
      <c r="B366" s="120"/>
      <c r="C366" s="111"/>
      <c r="D366" s="111"/>
      <c r="E366" s="121"/>
      <c r="F366" s="121"/>
      <c r="G366" s="113"/>
      <c r="H366" s="199" t="str">
        <f t="shared" si="11"/>
        <v/>
      </c>
      <c r="I366" s="200" t="str">
        <f>IF(H366="","",IF(AND(AI366&lt;=66),VLOOKUP(H366,'WordRead Look Up'!$A$13:$B$20,2,TRUE),IF(AND(AI366&gt;=67,AI366&lt;=72),VLOOKUP(H366,'WordRead Look Up'!$E$13:$F$20,2,TRUE),IF(AND(AI366&gt;=73,AI366&lt;=78),VLOOKUP(H366,'WordRead Look Up'!$I$13:$J$18,2,TRUE),IF(AND(AI366&gt;=79),VLOOKUP(H366,'WordRead Look Up'!$M$13:$N$18,2,TRUE),"")))))</f>
        <v/>
      </c>
      <c r="J366" s="122"/>
      <c r="K366" s="111"/>
      <c r="L366" s="111"/>
      <c r="M366" s="111"/>
      <c r="N366" s="111"/>
      <c r="O366" s="111"/>
      <c r="P366" s="111"/>
      <c r="Q366" s="111"/>
      <c r="R366" s="111"/>
      <c r="S366" s="111"/>
      <c r="T366" s="111"/>
      <c r="U366" s="111"/>
      <c r="V366" s="111"/>
      <c r="W366" s="111"/>
      <c r="X366" s="123"/>
      <c r="AI366" s="222" t="str">
        <f t="shared" si="12"/>
        <v/>
      </c>
    </row>
    <row r="367" spans="1:35" s="108" customFormat="1" ht="15.75">
      <c r="A367" s="119"/>
      <c r="B367" s="120"/>
      <c r="C367" s="111"/>
      <c r="D367" s="111"/>
      <c r="E367" s="121"/>
      <c r="F367" s="121"/>
      <c r="G367" s="113"/>
      <c r="H367" s="199" t="str">
        <f t="shared" si="11"/>
        <v/>
      </c>
      <c r="I367" s="200" t="str">
        <f>IF(H367="","",IF(AND(AI367&lt;=66),VLOOKUP(H367,'WordRead Look Up'!$A$13:$B$20,2,TRUE),IF(AND(AI367&gt;=67,AI367&lt;=72),VLOOKUP(H367,'WordRead Look Up'!$E$13:$F$20,2,TRUE),IF(AND(AI367&gt;=73,AI367&lt;=78),VLOOKUP(H367,'WordRead Look Up'!$I$13:$J$18,2,TRUE),IF(AND(AI367&gt;=79),VLOOKUP(H367,'WordRead Look Up'!$M$13:$N$18,2,TRUE),"")))))</f>
        <v/>
      </c>
      <c r="J367" s="122"/>
      <c r="K367" s="111"/>
      <c r="L367" s="111"/>
      <c r="M367" s="111"/>
      <c r="N367" s="111"/>
      <c r="O367" s="111"/>
      <c r="P367" s="111"/>
      <c r="Q367" s="111"/>
      <c r="R367" s="111"/>
      <c r="S367" s="111"/>
      <c r="T367" s="111"/>
      <c r="U367" s="111"/>
      <c r="V367" s="111"/>
      <c r="W367" s="111"/>
      <c r="X367" s="123"/>
      <c r="AI367" s="222" t="str">
        <f t="shared" si="12"/>
        <v/>
      </c>
    </row>
    <row r="368" spans="1:35" s="108" customFormat="1" ht="15.75">
      <c r="A368" s="119"/>
      <c r="B368" s="120"/>
      <c r="C368" s="111"/>
      <c r="D368" s="111"/>
      <c r="E368" s="121"/>
      <c r="F368" s="121"/>
      <c r="G368" s="113"/>
      <c r="H368" s="199" t="str">
        <f t="shared" si="11"/>
        <v/>
      </c>
      <c r="I368" s="200" t="str">
        <f>IF(H368="","",IF(AND(AI368&lt;=66),VLOOKUP(H368,'WordRead Look Up'!$A$13:$B$20,2,TRUE),IF(AND(AI368&gt;=67,AI368&lt;=72),VLOOKUP(H368,'WordRead Look Up'!$E$13:$F$20,2,TRUE),IF(AND(AI368&gt;=73,AI368&lt;=78),VLOOKUP(H368,'WordRead Look Up'!$I$13:$J$18,2,TRUE),IF(AND(AI368&gt;=79),VLOOKUP(H368,'WordRead Look Up'!$M$13:$N$18,2,TRUE),"")))))</f>
        <v/>
      </c>
      <c r="J368" s="122"/>
      <c r="K368" s="111"/>
      <c r="L368" s="111"/>
      <c r="M368" s="111"/>
      <c r="N368" s="111"/>
      <c r="O368" s="111"/>
      <c r="P368" s="111"/>
      <c r="Q368" s="111"/>
      <c r="R368" s="111"/>
      <c r="S368" s="111"/>
      <c r="T368" s="111"/>
      <c r="U368" s="111"/>
      <c r="V368" s="111"/>
      <c r="W368" s="111"/>
      <c r="X368" s="123"/>
      <c r="AI368" s="222" t="str">
        <f t="shared" si="12"/>
        <v/>
      </c>
    </row>
    <row r="369" spans="1:35" s="108" customFormat="1" ht="15.75">
      <c r="A369" s="119"/>
      <c r="B369" s="120"/>
      <c r="C369" s="111"/>
      <c r="D369" s="111"/>
      <c r="E369" s="121"/>
      <c r="F369" s="121"/>
      <c r="G369" s="113"/>
      <c r="H369" s="199" t="str">
        <f t="shared" si="11"/>
        <v/>
      </c>
      <c r="I369" s="200" t="str">
        <f>IF(H369="","",IF(AND(AI369&lt;=66),VLOOKUP(H369,'WordRead Look Up'!$A$13:$B$20,2,TRUE),IF(AND(AI369&gt;=67,AI369&lt;=72),VLOOKUP(H369,'WordRead Look Up'!$E$13:$F$20,2,TRUE),IF(AND(AI369&gt;=73,AI369&lt;=78),VLOOKUP(H369,'WordRead Look Up'!$I$13:$J$18,2,TRUE),IF(AND(AI369&gt;=79),VLOOKUP(H369,'WordRead Look Up'!$M$13:$N$18,2,TRUE),"")))))</f>
        <v/>
      </c>
      <c r="J369" s="122"/>
      <c r="K369" s="111"/>
      <c r="L369" s="111"/>
      <c r="M369" s="111"/>
      <c r="N369" s="111"/>
      <c r="O369" s="111"/>
      <c r="P369" s="111"/>
      <c r="Q369" s="111"/>
      <c r="R369" s="111"/>
      <c r="S369" s="111"/>
      <c r="T369" s="111"/>
      <c r="U369" s="111"/>
      <c r="V369" s="111"/>
      <c r="W369" s="111"/>
      <c r="X369" s="123"/>
      <c r="AI369" s="222" t="str">
        <f t="shared" si="12"/>
        <v/>
      </c>
    </row>
    <row r="370" spans="1:35" s="108" customFormat="1" ht="15.75">
      <c r="A370" s="119"/>
      <c r="B370" s="120"/>
      <c r="C370" s="111"/>
      <c r="D370" s="111"/>
      <c r="E370" s="121"/>
      <c r="F370" s="121"/>
      <c r="G370" s="113"/>
      <c r="H370" s="199" t="str">
        <f t="shared" si="11"/>
        <v/>
      </c>
      <c r="I370" s="200" t="str">
        <f>IF(H370="","",IF(AND(AI370&lt;=66),VLOOKUP(H370,'WordRead Look Up'!$A$13:$B$20,2,TRUE),IF(AND(AI370&gt;=67,AI370&lt;=72),VLOOKUP(H370,'WordRead Look Up'!$E$13:$F$20,2,TRUE),IF(AND(AI370&gt;=73,AI370&lt;=78),VLOOKUP(H370,'WordRead Look Up'!$I$13:$J$18,2,TRUE),IF(AND(AI370&gt;=79),VLOOKUP(H370,'WordRead Look Up'!$M$13:$N$18,2,TRUE),"")))))</f>
        <v/>
      </c>
      <c r="J370" s="122"/>
      <c r="K370" s="111"/>
      <c r="L370" s="111"/>
      <c r="M370" s="111"/>
      <c r="N370" s="111"/>
      <c r="O370" s="111"/>
      <c r="P370" s="111"/>
      <c r="Q370" s="111"/>
      <c r="R370" s="111"/>
      <c r="S370" s="111"/>
      <c r="T370" s="111"/>
      <c r="U370" s="111"/>
      <c r="V370" s="111"/>
      <c r="W370" s="111"/>
      <c r="X370" s="123"/>
      <c r="AI370" s="222" t="str">
        <f t="shared" si="12"/>
        <v/>
      </c>
    </row>
    <row r="371" spans="1:35" s="108" customFormat="1" ht="15.75">
      <c r="A371" s="119"/>
      <c r="B371" s="120"/>
      <c r="C371" s="111"/>
      <c r="D371" s="111"/>
      <c r="E371" s="121"/>
      <c r="F371" s="121"/>
      <c r="G371" s="113"/>
      <c r="H371" s="199" t="str">
        <f t="shared" si="11"/>
        <v/>
      </c>
      <c r="I371" s="200" t="str">
        <f>IF(H371="","",IF(AND(AI371&lt;=66),VLOOKUP(H371,'WordRead Look Up'!$A$13:$B$20,2,TRUE),IF(AND(AI371&gt;=67,AI371&lt;=72),VLOOKUP(H371,'WordRead Look Up'!$E$13:$F$20,2,TRUE),IF(AND(AI371&gt;=73,AI371&lt;=78),VLOOKUP(H371,'WordRead Look Up'!$I$13:$J$18,2,TRUE),IF(AND(AI371&gt;=79),VLOOKUP(H371,'WordRead Look Up'!$M$13:$N$18,2,TRUE),"")))))</f>
        <v/>
      </c>
      <c r="J371" s="122"/>
      <c r="K371" s="111"/>
      <c r="L371" s="111"/>
      <c r="M371" s="111"/>
      <c r="N371" s="111"/>
      <c r="O371" s="111"/>
      <c r="P371" s="111"/>
      <c r="Q371" s="111"/>
      <c r="R371" s="111"/>
      <c r="S371" s="111"/>
      <c r="T371" s="111"/>
      <c r="U371" s="111"/>
      <c r="V371" s="111"/>
      <c r="W371" s="111"/>
      <c r="X371" s="123"/>
      <c r="AI371" s="222" t="str">
        <f t="shared" si="12"/>
        <v/>
      </c>
    </row>
    <row r="372" spans="1:35" s="108" customFormat="1" ht="15.75">
      <c r="A372" s="119"/>
      <c r="B372" s="120"/>
      <c r="C372" s="111"/>
      <c r="D372" s="111"/>
      <c r="E372" s="121"/>
      <c r="F372" s="121"/>
      <c r="G372" s="113"/>
      <c r="H372" s="199" t="str">
        <f t="shared" si="11"/>
        <v/>
      </c>
      <c r="I372" s="200" t="str">
        <f>IF(H372="","",IF(AND(AI372&lt;=66),VLOOKUP(H372,'WordRead Look Up'!$A$13:$B$20,2,TRUE),IF(AND(AI372&gt;=67,AI372&lt;=72),VLOOKUP(H372,'WordRead Look Up'!$E$13:$F$20,2,TRUE),IF(AND(AI372&gt;=73,AI372&lt;=78),VLOOKUP(H372,'WordRead Look Up'!$I$13:$J$18,2,TRUE),IF(AND(AI372&gt;=79),VLOOKUP(H372,'WordRead Look Up'!$M$13:$N$18,2,TRUE),"")))))</f>
        <v/>
      </c>
      <c r="J372" s="122"/>
      <c r="K372" s="111"/>
      <c r="L372" s="111"/>
      <c r="M372" s="111"/>
      <c r="N372" s="111"/>
      <c r="O372" s="111"/>
      <c r="P372" s="111"/>
      <c r="Q372" s="111"/>
      <c r="R372" s="111"/>
      <c r="S372" s="111"/>
      <c r="T372" s="111"/>
      <c r="U372" s="111"/>
      <c r="V372" s="111"/>
      <c r="W372" s="111"/>
      <c r="X372" s="123"/>
      <c r="AI372" s="222" t="str">
        <f t="shared" si="12"/>
        <v/>
      </c>
    </row>
    <row r="373" spans="1:35" s="108" customFormat="1" ht="15.75">
      <c r="A373" s="119"/>
      <c r="B373" s="120"/>
      <c r="C373" s="111"/>
      <c r="D373" s="111"/>
      <c r="E373" s="121"/>
      <c r="F373" s="121"/>
      <c r="G373" s="113"/>
      <c r="H373" s="199" t="str">
        <f t="shared" si="11"/>
        <v/>
      </c>
      <c r="I373" s="200" t="str">
        <f>IF(H373="","",IF(AND(AI373&lt;=66),VLOOKUP(H373,'WordRead Look Up'!$A$13:$B$20,2,TRUE),IF(AND(AI373&gt;=67,AI373&lt;=72),VLOOKUP(H373,'WordRead Look Up'!$E$13:$F$20,2,TRUE),IF(AND(AI373&gt;=73,AI373&lt;=78),VLOOKUP(H373,'WordRead Look Up'!$I$13:$J$18,2,TRUE),IF(AND(AI373&gt;=79),VLOOKUP(H373,'WordRead Look Up'!$M$13:$N$18,2,TRUE),"")))))</f>
        <v/>
      </c>
      <c r="J373" s="122"/>
      <c r="K373" s="111"/>
      <c r="L373" s="111"/>
      <c r="M373" s="111"/>
      <c r="N373" s="111"/>
      <c r="O373" s="111"/>
      <c r="P373" s="111"/>
      <c r="Q373" s="111"/>
      <c r="R373" s="111"/>
      <c r="S373" s="111"/>
      <c r="T373" s="111"/>
      <c r="U373" s="111"/>
      <c r="V373" s="111"/>
      <c r="W373" s="111"/>
      <c r="X373" s="123"/>
      <c r="AI373" s="222" t="str">
        <f t="shared" si="12"/>
        <v/>
      </c>
    </row>
    <row r="374" spans="1:35" s="108" customFormat="1" ht="15.75">
      <c r="A374" s="119"/>
      <c r="B374" s="120"/>
      <c r="C374" s="111"/>
      <c r="D374" s="111"/>
      <c r="E374" s="121"/>
      <c r="F374" s="121"/>
      <c r="G374" s="113"/>
      <c r="H374" s="199" t="str">
        <f t="shared" si="11"/>
        <v/>
      </c>
      <c r="I374" s="200" t="str">
        <f>IF(H374="","",IF(AND(AI374&lt;=66),VLOOKUP(H374,'WordRead Look Up'!$A$13:$B$20,2,TRUE),IF(AND(AI374&gt;=67,AI374&lt;=72),VLOOKUP(H374,'WordRead Look Up'!$E$13:$F$20,2,TRUE),IF(AND(AI374&gt;=73,AI374&lt;=78),VLOOKUP(H374,'WordRead Look Up'!$I$13:$J$18,2,TRUE),IF(AND(AI374&gt;=79),VLOOKUP(H374,'WordRead Look Up'!$M$13:$N$18,2,TRUE),"")))))</f>
        <v/>
      </c>
      <c r="J374" s="122"/>
      <c r="K374" s="111"/>
      <c r="L374" s="111"/>
      <c r="M374" s="111"/>
      <c r="N374" s="111"/>
      <c r="O374" s="111"/>
      <c r="P374" s="111"/>
      <c r="Q374" s="111"/>
      <c r="R374" s="111"/>
      <c r="S374" s="111"/>
      <c r="T374" s="111"/>
      <c r="U374" s="111"/>
      <c r="V374" s="111"/>
      <c r="W374" s="111"/>
      <c r="X374" s="123"/>
      <c r="AI374" s="222" t="str">
        <f t="shared" si="12"/>
        <v/>
      </c>
    </row>
    <row r="375" spans="1:35" s="108" customFormat="1" ht="15.75">
      <c r="A375" s="119"/>
      <c r="B375" s="120"/>
      <c r="C375" s="111"/>
      <c r="D375" s="111"/>
      <c r="E375" s="121"/>
      <c r="F375" s="121"/>
      <c r="G375" s="113"/>
      <c r="H375" s="199" t="str">
        <f t="shared" si="11"/>
        <v/>
      </c>
      <c r="I375" s="200" t="str">
        <f>IF(H375="","",IF(AND(AI375&lt;=66),VLOOKUP(H375,'WordRead Look Up'!$A$13:$B$20,2,TRUE),IF(AND(AI375&gt;=67,AI375&lt;=72),VLOOKUP(H375,'WordRead Look Up'!$E$13:$F$20,2,TRUE),IF(AND(AI375&gt;=73,AI375&lt;=78),VLOOKUP(H375,'WordRead Look Up'!$I$13:$J$18,2,TRUE),IF(AND(AI375&gt;=79),VLOOKUP(H375,'WordRead Look Up'!$M$13:$N$18,2,TRUE),"")))))</f>
        <v/>
      </c>
      <c r="J375" s="122"/>
      <c r="K375" s="111"/>
      <c r="L375" s="111"/>
      <c r="M375" s="111"/>
      <c r="N375" s="111"/>
      <c r="O375" s="111"/>
      <c r="P375" s="111"/>
      <c r="Q375" s="111"/>
      <c r="R375" s="111"/>
      <c r="S375" s="111"/>
      <c r="T375" s="111"/>
      <c r="U375" s="111"/>
      <c r="V375" s="111"/>
      <c r="W375" s="111"/>
      <c r="X375" s="123"/>
      <c r="AI375" s="222" t="str">
        <f t="shared" si="12"/>
        <v/>
      </c>
    </row>
    <row r="376" spans="1:35" s="108" customFormat="1" ht="15.75">
      <c r="A376" s="119"/>
      <c r="B376" s="120"/>
      <c r="C376" s="111"/>
      <c r="D376" s="111"/>
      <c r="E376" s="121"/>
      <c r="F376" s="121"/>
      <c r="G376" s="113"/>
      <c r="H376" s="199" t="str">
        <f t="shared" si="11"/>
        <v/>
      </c>
      <c r="I376" s="200" t="str">
        <f>IF(H376="","",IF(AND(AI376&lt;=66),VLOOKUP(H376,'WordRead Look Up'!$A$13:$B$20,2,TRUE),IF(AND(AI376&gt;=67,AI376&lt;=72),VLOOKUP(H376,'WordRead Look Up'!$E$13:$F$20,2,TRUE),IF(AND(AI376&gt;=73,AI376&lt;=78),VLOOKUP(H376,'WordRead Look Up'!$I$13:$J$18,2,TRUE),IF(AND(AI376&gt;=79),VLOOKUP(H376,'WordRead Look Up'!$M$13:$N$18,2,TRUE),"")))))</f>
        <v/>
      </c>
      <c r="J376" s="122"/>
      <c r="K376" s="111"/>
      <c r="L376" s="111"/>
      <c r="M376" s="111"/>
      <c r="N376" s="111"/>
      <c r="O376" s="111"/>
      <c r="P376" s="111"/>
      <c r="Q376" s="111"/>
      <c r="R376" s="111"/>
      <c r="S376" s="111"/>
      <c r="T376" s="111"/>
      <c r="U376" s="111"/>
      <c r="V376" s="111"/>
      <c r="W376" s="111"/>
      <c r="X376" s="123"/>
      <c r="AI376" s="222" t="str">
        <f t="shared" si="12"/>
        <v/>
      </c>
    </row>
    <row r="377" spans="1:35" s="108" customFormat="1" ht="15.75">
      <c r="A377" s="119"/>
      <c r="B377" s="120"/>
      <c r="C377" s="111"/>
      <c r="D377" s="111"/>
      <c r="E377" s="121"/>
      <c r="F377" s="121"/>
      <c r="G377" s="113"/>
      <c r="H377" s="199" t="str">
        <f t="shared" si="11"/>
        <v/>
      </c>
      <c r="I377" s="200" t="str">
        <f>IF(H377="","",IF(AND(AI377&lt;=66),VLOOKUP(H377,'WordRead Look Up'!$A$13:$B$20,2,TRUE),IF(AND(AI377&gt;=67,AI377&lt;=72),VLOOKUP(H377,'WordRead Look Up'!$E$13:$F$20,2,TRUE),IF(AND(AI377&gt;=73,AI377&lt;=78),VLOOKUP(H377,'WordRead Look Up'!$I$13:$J$18,2,TRUE),IF(AND(AI377&gt;=79),VLOOKUP(H377,'WordRead Look Up'!$M$13:$N$18,2,TRUE),"")))))</f>
        <v/>
      </c>
      <c r="J377" s="122"/>
      <c r="K377" s="111"/>
      <c r="L377" s="111"/>
      <c r="M377" s="111"/>
      <c r="N377" s="111"/>
      <c r="O377" s="111"/>
      <c r="P377" s="111"/>
      <c r="Q377" s="111"/>
      <c r="R377" s="111"/>
      <c r="S377" s="111"/>
      <c r="T377" s="111"/>
      <c r="U377" s="111"/>
      <c r="V377" s="111"/>
      <c r="W377" s="111"/>
      <c r="X377" s="123"/>
      <c r="AI377" s="222" t="str">
        <f t="shared" si="12"/>
        <v/>
      </c>
    </row>
    <row r="378" spans="1:35" s="108" customFormat="1" ht="15.75">
      <c r="A378" s="119"/>
      <c r="B378" s="120"/>
      <c r="C378" s="111"/>
      <c r="D378" s="111"/>
      <c r="E378" s="121"/>
      <c r="F378" s="121"/>
      <c r="G378" s="113"/>
      <c r="H378" s="199" t="str">
        <f t="shared" si="11"/>
        <v/>
      </c>
      <c r="I378" s="200" t="str">
        <f>IF(H378="","",IF(AND(AI378&lt;=66),VLOOKUP(H378,'WordRead Look Up'!$A$13:$B$20,2,TRUE),IF(AND(AI378&gt;=67,AI378&lt;=72),VLOOKUP(H378,'WordRead Look Up'!$E$13:$F$20,2,TRUE),IF(AND(AI378&gt;=73,AI378&lt;=78),VLOOKUP(H378,'WordRead Look Up'!$I$13:$J$18,2,TRUE),IF(AND(AI378&gt;=79),VLOOKUP(H378,'WordRead Look Up'!$M$13:$N$18,2,TRUE),"")))))</f>
        <v/>
      </c>
      <c r="J378" s="122"/>
      <c r="K378" s="111"/>
      <c r="L378" s="111"/>
      <c r="M378" s="111"/>
      <c r="N378" s="111"/>
      <c r="O378" s="111"/>
      <c r="P378" s="111"/>
      <c r="Q378" s="111"/>
      <c r="R378" s="111"/>
      <c r="S378" s="111"/>
      <c r="T378" s="111"/>
      <c r="U378" s="111"/>
      <c r="V378" s="111"/>
      <c r="W378" s="111"/>
      <c r="X378" s="123"/>
      <c r="AI378" s="222" t="str">
        <f t="shared" si="12"/>
        <v/>
      </c>
    </row>
    <row r="379" spans="1:35" s="108" customFormat="1" ht="15.75">
      <c r="A379" s="119"/>
      <c r="B379" s="120"/>
      <c r="C379" s="111"/>
      <c r="D379" s="111"/>
      <c r="E379" s="121"/>
      <c r="F379" s="121"/>
      <c r="G379" s="113"/>
      <c r="H379" s="199" t="str">
        <f t="shared" si="11"/>
        <v/>
      </c>
      <c r="I379" s="200" t="str">
        <f>IF(H379="","",IF(AND(AI379&lt;=66),VLOOKUP(H379,'WordRead Look Up'!$A$13:$B$20,2,TRUE),IF(AND(AI379&gt;=67,AI379&lt;=72),VLOOKUP(H379,'WordRead Look Up'!$E$13:$F$20,2,TRUE),IF(AND(AI379&gt;=73,AI379&lt;=78),VLOOKUP(H379,'WordRead Look Up'!$I$13:$J$18,2,TRUE),IF(AND(AI379&gt;=79),VLOOKUP(H379,'WordRead Look Up'!$M$13:$N$18,2,TRUE),"")))))</f>
        <v/>
      </c>
      <c r="J379" s="122"/>
      <c r="K379" s="111"/>
      <c r="L379" s="111"/>
      <c r="M379" s="111"/>
      <c r="N379" s="111"/>
      <c r="O379" s="111"/>
      <c r="P379" s="111"/>
      <c r="Q379" s="111"/>
      <c r="R379" s="111"/>
      <c r="S379" s="111"/>
      <c r="T379" s="111"/>
      <c r="U379" s="111"/>
      <c r="V379" s="111"/>
      <c r="W379" s="111"/>
      <c r="X379" s="123"/>
      <c r="AI379" s="222" t="str">
        <f t="shared" si="12"/>
        <v/>
      </c>
    </row>
    <row r="380" spans="1:35" s="108" customFormat="1" ht="15.75">
      <c r="A380" s="119"/>
      <c r="B380" s="120"/>
      <c r="C380" s="111"/>
      <c r="D380" s="111"/>
      <c r="E380" s="121"/>
      <c r="F380" s="121"/>
      <c r="G380" s="113"/>
      <c r="H380" s="199" t="str">
        <f t="shared" si="11"/>
        <v/>
      </c>
      <c r="I380" s="200" t="str">
        <f>IF(H380="","",IF(AND(AI380&lt;=66),VLOOKUP(H380,'WordRead Look Up'!$A$13:$B$20,2,TRUE),IF(AND(AI380&gt;=67,AI380&lt;=72),VLOOKUP(H380,'WordRead Look Up'!$E$13:$F$20,2,TRUE),IF(AND(AI380&gt;=73,AI380&lt;=78),VLOOKUP(H380,'WordRead Look Up'!$I$13:$J$18,2,TRUE),IF(AND(AI380&gt;=79),VLOOKUP(H380,'WordRead Look Up'!$M$13:$N$18,2,TRUE),"")))))</f>
        <v/>
      </c>
      <c r="J380" s="122"/>
      <c r="K380" s="111"/>
      <c r="L380" s="111"/>
      <c r="M380" s="111"/>
      <c r="N380" s="111"/>
      <c r="O380" s="111"/>
      <c r="P380" s="111"/>
      <c r="Q380" s="111"/>
      <c r="R380" s="111"/>
      <c r="S380" s="111"/>
      <c r="T380" s="111"/>
      <c r="U380" s="111"/>
      <c r="V380" s="111"/>
      <c r="W380" s="111"/>
      <c r="X380" s="123"/>
      <c r="AI380" s="222" t="str">
        <f t="shared" si="12"/>
        <v/>
      </c>
    </row>
    <row r="381" spans="1:35" s="108" customFormat="1" ht="15.75">
      <c r="A381" s="119"/>
      <c r="B381" s="120"/>
      <c r="C381" s="111"/>
      <c r="D381" s="111"/>
      <c r="E381" s="121"/>
      <c r="F381" s="121"/>
      <c r="G381" s="113"/>
      <c r="H381" s="199" t="str">
        <f t="shared" si="11"/>
        <v/>
      </c>
      <c r="I381" s="200" t="str">
        <f>IF(H381="","",IF(AND(AI381&lt;=66),VLOOKUP(H381,'WordRead Look Up'!$A$13:$B$20,2,TRUE),IF(AND(AI381&gt;=67,AI381&lt;=72),VLOOKUP(H381,'WordRead Look Up'!$E$13:$F$20,2,TRUE),IF(AND(AI381&gt;=73,AI381&lt;=78),VLOOKUP(H381,'WordRead Look Up'!$I$13:$J$18,2,TRUE),IF(AND(AI381&gt;=79),VLOOKUP(H381,'WordRead Look Up'!$M$13:$N$18,2,TRUE),"")))))</f>
        <v/>
      </c>
      <c r="J381" s="122"/>
      <c r="K381" s="111"/>
      <c r="L381" s="111"/>
      <c r="M381" s="111"/>
      <c r="N381" s="111"/>
      <c r="O381" s="111"/>
      <c r="P381" s="111"/>
      <c r="Q381" s="111"/>
      <c r="R381" s="111"/>
      <c r="S381" s="111"/>
      <c r="T381" s="111"/>
      <c r="U381" s="111"/>
      <c r="V381" s="111"/>
      <c r="W381" s="111"/>
      <c r="X381" s="123"/>
      <c r="AI381" s="222" t="str">
        <f t="shared" si="12"/>
        <v/>
      </c>
    </row>
    <row r="382" spans="1:35" s="108" customFormat="1" ht="15.75">
      <c r="A382" s="119"/>
      <c r="B382" s="120"/>
      <c r="C382" s="111"/>
      <c r="D382" s="111"/>
      <c r="E382" s="121"/>
      <c r="F382" s="121"/>
      <c r="G382" s="113"/>
      <c r="H382" s="199" t="str">
        <f t="shared" si="11"/>
        <v/>
      </c>
      <c r="I382" s="200" t="str">
        <f>IF(H382="","",IF(AND(AI382&lt;=66),VLOOKUP(H382,'WordRead Look Up'!$A$13:$B$20,2,TRUE),IF(AND(AI382&gt;=67,AI382&lt;=72),VLOOKUP(H382,'WordRead Look Up'!$E$13:$F$20,2,TRUE),IF(AND(AI382&gt;=73,AI382&lt;=78),VLOOKUP(H382,'WordRead Look Up'!$I$13:$J$18,2,TRUE),IF(AND(AI382&gt;=79),VLOOKUP(H382,'WordRead Look Up'!$M$13:$N$18,2,TRUE),"")))))</f>
        <v/>
      </c>
      <c r="J382" s="122"/>
      <c r="K382" s="111"/>
      <c r="L382" s="111"/>
      <c r="M382" s="111"/>
      <c r="N382" s="111"/>
      <c r="O382" s="111"/>
      <c r="P382" s="111"/>
      <c r="Q382" s="111"/>
      <c r="R382" s="111"/>
      <c r="S382" s="111"/>
      <c r="T382" s="111"/>
      <c r="U382" s="111"/>
      <c r="V382" s="111"/>
      <c r="W382" s="111"/>
      <c r="X382" s="123"/>
      <c r="AI382" s="222" t="str">
        <f t="shared" si="12"/>
        <v/>
      </c>
    </row>
    <row r="383" spans="1:35" s="108" customFormat="1" ht="15.75">
      <c r="A383" s="119"/>
      <c r="B383" s="120"/>
      <c r="C383" s="111"/>
      <c r="D383" s="111"/>
      <c r="E383" s="121"/>
      <c r="F383" s="121"/>
      <c r="G383" s="113"/>
      <c r="H383" s="199" t="str">
        <f t="shared" si="11"/>
        <v/>
      </c>
      <c r="I383" s="200" t="str">
        <f>IF(H383="","",IF(AND(AI383&lt;=66),VLOOKUP(H383,'WordRead Look Up'!$A$13:$B$20,2,TRUE),IF(AND(AI383&gt;=67,AI383&lt;=72),VLOOKUP(H383,'WordRead Look Up'!$E$13:$F$20,2,TRUE),IF(AND(AI383&gt;=73,AI383&lt;=78),VLOOKUP(H383,'WordRead Look Up'!$I$13:$J$18,2,TRUE),IF(AND(AI383&gt;=79),VLOOKUP(H383,'WordRead Look Up'!$M$13:$N$18,2,TRUE),"")))))</f>
        <v/>
      </c>
      <c r="J383" s="122"/>
      <c r="K383" s="111"/>
      <c r="L383" s="111"/>
      <c r="M383" s="111"/>
      <c r="N383" s="111"/>
      <c r="O383" s="111"/>
      <c r="P383" s="111"/>
      <c r="Q383" s="111"/>
      <c r="R383" s="111"/>
      <c r="S383" s="111"/>
      <c r="T383" s="111"/>
      <c r="U383" s="111"/>
      <c r="V383" s="111"/>
      <c r="W383" s="111"/>
      <c r="X383" s="123"/>
      <c r="AI383" s="222" t="str">
        <f t="shared" si="12"/>
        <v/>
      </c>
    </row>
    <row r="384" spans="1:35" s="108" customFormat="1" ht="15.75">
      <c r="A384" s="119"/>
      <c r="B384" s="120"/>
      <c r="C384" s="111"/>
      <c r="D384" s="111"/>
      <c r="E384" s="121"/>
      <c r="F384" s="121"/>
      <c r="G384" s="113"/>
      <c r="H384" s="199" t="str">
        <f t="shared" si="11"/>
        <v/>
      </c>
      <c r="I384" s="200" t="str">
        <f>IF(H384="","",IF(AND(AI384&lt;=66),VLOOKUP(H384,'WordRead Look Up'!$A$13:$B$20,2,TRUE),IF(AND(AI384&gt;=67,AI384&lt;=72),VLOOKUP(H384,'WordRead Look Up'!$E$13:$F$20,2,TRUE),IF(AND(AI384&gt;=73,AI384&lt;=78),VLOOKUP(H384,'WordRead Look Up'!$I$13:$J$18,2,TRUE),IF(AND(AI384&gt;=79),VLOOKUP(H384,'WordRead Look Up'!$M$13:$N$18,2,TRUE),"")))))</f>
        <v/>
      </c>
      <c r="J384" s="122"/>
      <c r="K384" s="111"/>
      <c r="L384" s="111"/>
      <c r="M384" s="111"/>
      <c r="N384" s="111"/>
      <c r="O384" s="111"/>
      <c r="P384" s="111"/>
      <c r="Q384" s="111"/>
      <c r="R384" s="111"/>
      <c r="S384" s="111"/>
      <c r="T384" s="111"/>
      <c r="U384" s="111"/>
      <c r="V384" s="111"/>
      <c r="W384" s="111"/>
      <c r="X384" s="123"/>
      <c r="AI384" s="222" t="str">
        <f t="shared" si="12"/>
        <v/>
      </c>
    </row>
    <row r="385" spans="1:35" s="108" customFormat="1" ht="15.75">
      <c r="A385" s="119"/>
      <c r="B385" s="120"/>
      <c r="C385" s="111"/>
      <c r="D385" s="111"/>
      <c r="E385" s="121"/>
      <c r="F385" s="121"/>
      <c r="G385" s="113"/>
      <c r="H385" s="199" t="str">
        <f t="shared" si="11"/>
        <v/>
      </c>
      <c r="I385" s="200" t="str">
        <f>IF(H385="","",IF(AND(AI385&lt;=66),VLOOKUP(H385,'WordRead Look Up'!$A$13:$B$20,2,TRUE),IF(AND(AI385&gt;=67,AI385&lt;=72),VLOOKUP(H385,'WordRead Look Up'!$E$13:$F$20,2,TRUE),IF(AND(AI385&gt;=73,AI385&lt;=78),VLOOKUP(H385,'WordRead Look Up'!$I$13:$J$18,2,TRUE),IF(AND(AI385&gt;=79),VLOOKUP(H385,'WordRead Look Up'!$M$13:$N$18,2,TRUE),"")))))</f>
        <v/>
      </c>
      <c r="J385" s="122"/>
      <c r="K385" s="111"/>
      <c r="L385" s="111"/>
      <c r="M385" s="111"/>
      <c r="N385" s="111"/>
      <c r="O385" s="111"/>
      <c r="P385" s="111"/>
      <c r="Q385" s="111"/>
      <c r="R385" s="111"/>
      <c r="S385" s="111"/>
      <c r="T385" s="111"/>
      <c r="U385" s="111"/>
      <c r="V385" s="111"/>
      <c r="W385" s="111"/>
      <c r="X385" s="123"/>
      <c r="AI385" s="222" t="str">
        <f t="shared" si="12"/>
        <v/>
      </c>
    </row>
    <row r="386" spans="1:35" s="108" customFormat="1" ht="15.75">
      <c r="A386" s="119"/>
      <c r="B386" s="120"/>
      <c r="C386" s="111"/>
      <c r="D386" s="111"/>
      <c r="E386" s="121"/>
      <c r="F386" s="121"/>
      <c r="G386" s="113"/>
      <c r="H386" s="199" t="str">
        <f t="shared" si="11"/>
        <v/>
      </c>
      <c r="I386" s="200" t="str">
        <f>IF(H386="","",IF(AND(AI386&lt;=66),VLOOKUP(H386,'WordRead Look Up'!$A$13:$B$20,2,TRUE),IF(AND(AI386&gt;=67,AI386&lt;=72),VLOOKUP(H386,'WordRead Look Up'!$E$13:$F$20,2,TRUE),IF(AND(AI386&gt;=73,AI386&lt;=78),VLOOKUP(H386,'WordRead Look Up'!$I$13:$J$18,2,TRUE),IF(AND(AI386&gt;=79),VLOOKUP(H386,'WordRead Look Up'!$M$13:$N$18,2,TRUE),"")))))</f>
        <v/>
      </c>
      <c r="J386" s="122"/>
      <c r="K386" s="111"/>
      <c r="L386" s="111"/>
      <c r="M386" s="111"/>
      <c r="N386" s="111"/>
      <c r="O386" s="111"/>
      <c r="P386" s="111"/>
      <c r="Q386" s="111"/>
      <c r="R386" s="111"/>
      <c r="S386" s="111"/>
      <c r="T386" s="111"/>
      <c r="U386" s="111"/>
      <c r="V386" s="111"/>
      <c r="W386" s="111"/>
      <c r="X386" s="123"/>
      <c r="AI386" s="222" t="str">
        <f t="shared" si="12"/>
        <v/>
      </c>
    </row>
    <row r="387" spans="1:35" s="108" customFormat="1" ht="15.75">
      <c r="A387" s="119"/>
      <c r="B387" s="120"/>
      <c r="C387" s="111"/>
      <c r="D387" s="111"/>
      <c r="E387" s="121"/>
      <c r="F387" s="121"/>
      <c r="G387" s="113"/>
      <c r="H387" s="199" t="str">
        <f t="shared" si="11"/>
        <v/>
      </c>
      <c r="I387" s="200" t="str">
        <f>IF(H387="","",IF(AND(AI387&lt;=66),VLOOKUP(H387,'WordRead Look Up'!$A$13:$B$20,2,TRUE),IF(AND(AI387&gt;=67,AI387&lt;=72),VLOOKUP(H387,'WordRead Look Up'!$E$13:$F$20,2,TRUE),IF(AND(AI387&gt;=73,AI387&lt;=78),VLOOKUP(H387,'WordRead Look Up'!$I$13:$J$18,2,TRUE),IF(AND(AI387&gt;=79),VLOOKUP(H387,'WordRead Look Up'!$M$13:$N$18,2,TRUE),"")))))</f>
        <v/>
      </c>
      <c r="J387" s="122"/>
      <c r="K387" s="111"/>
      <c r="L387" s="111"/>
      <c r="M387" s="111"/>
      <c r="N387" s="111"/>
      <c r="O387" s="111"/>
      <c r="P387" s="111"/>
      <c r="Q387" s="111"/>
      <c r="R387" s="111"/>
      <c r="S387" s="111"/>
      <c r="T387" s="111"/>
      <c r="U387" s="111"/>
      <c r="V387" s="111"/>
      <c r="W387" s="111"/>
      <c r="X387" s="123"/>
      <c r="AI387" s="222" t="str">
        <f t="shared" si="12"/>
        <v/>
      </c>
    </row>
    <row r="388" spans="1:35" s="108" customFormat="1" ht="15.75">
      <c r="A388" s="119"/>
      <c r="B388" s="120"/>
      <c r="C388" s="111"/>
      <c r="D388" s="111"/>
      <c r="E388" s="121"/>
      <c r="F388" s="121"/>
      <c r="G388" s="113"/>
      <c r="H388" s="199" t="str">
        <f t="shared" si="11"/>
        <v/>
      </c>
      <c r="I388" s="200" t="str">
        <f>IF(H388="","",IF(AND(AI388&lt;=66),VLOOKUP(H388,'WordRead Look Up'!$A$13:$B$20,2,TRUE),IF(AND(AI388&gt;=67,AI388&lt;=72),VLOOKUP(H388,'WordRead Look Up'!$E$13:$F$20,2,TRUE),IF(AND(AI388&gt;=73,AI388&lt;=78),VLOOKUP(H388,'WordRead Look Up'!$I$13:$J$18,2,TRUE),IF(AND(AI388&gt;=79),VLOOKUP(H388,'WordRead Look Up'!$M$13:$N$18,2,TRUE),"")))))</f>
        <v/>
      </c>
      <c r="J388" s="122"/>
      <c r="K388" s="111"/>
      <c r="L388" s="111"/>
      <c r="M388" s="111"/>
      <c r="N388" s="111"/>
      <c r="O388" s="111"/>
      <c r="P388" s="111"/>
      <c r="Q388" s="111"/>
      <c r="R388" s="111"/>
      <c r="S388" s="111"/>
      <c r="T388" s="111"/>
      <c r="U388" s="111"/>
      <c r="V388" s="111"/>
      <c r="W388" s="111"/>
      <c r="X388" s="123"/>
      <c r="AI388" s="222" t="str">
        <f t="shared" si="12"/>
        <v/>
      </c>
    </row>
    <row r="389" spans="1:35" s="108" customFormat="1" ht="15.75">
      <c r="A389" s="119"/>
      <c r="B389" s="120"/>
      <c r="C389" s="111"/>
      <c r="D389" s="111"/>
      <c r="E389" s="121"/>
      <c r="F389" s="121"/>
      <c r="G389" s="113"/>
      <c r="H389" s="199" t="str">
        <f t="shared" si="11"/>
        <v/>
      </c>
      <c r="I389" s="200" t="str">
        <f>IF(H389="","",IF(AND(AI389&lt;=66),VLOOKUP(H389,'WordRead Look Up'!$A$13:$B$20,2,TRUE),IF(AND(AI389&gt;=67,AI389&lt;=72),VLOOKUP(H389,'WordRead Look Up'!$E$13:$F$20,2,TRUE),IF(AND(AI389&gt;=73,AI389&lt;=78),VLOOKUP(H389,'WordRead Look Up'!$I$13:$J$18,2,TRUE),IF(AND(AI389&gt;=79),VLOOKUP(H389,'WordRead Look Up'!$M$13:$N$18,2,TRUE),"")))))</f>
        <v/>
      </c>
      <c r="J389" s="122"/>
      <c r="K389" s="111"/>
      <c r="L389" s="111"/>
      <c r="M389" s="111"/>
      <c r="N389" s="111"/>
      <c r="O389" s="111"/>
      <c r="P389" s="111"/>
      <c r="Q389" s="111"/>
      <c r="R389" s="111"/>
      <c r="S389" s="111"/>
      <c r="T389" s="111"/>
      <c r="U389" s="111"/>
      <c r="V389" s="111"/>
      <c r="W389" s="111"/>
      <c r="X389" s="123"/>
      <c r="AI389" s="222" t="str">
        <f t="shared" si="12"/>
        <v/>
      </c>
    </row>
    <row r="390" spans="1:35" s="108" customFormat="1" ht="15.75">
      <c r="A390" s="119"/>
      <c r="B390" s="120"/>
      <c r="C390" s="111"/>
      <c r="D390" s="111"/>
      <c r="E390" s="121"/>
      <c r="F390" s="121"/>
      <c r="G390" s="113"/>
      <c r="H390" s="199" t="str">
        <f t="shared" si="11"/>
        <v/>
      </c>
      <c r="I390" s="200" t="str">
        <f>IF(H390="","",IF(AND(AI390&lt;=66),VLOOKUP(H390,'WordRead Look Up'!$A$13:$B$20,2,TRUE),IF(AND(AI390&gt;=67,AI390&lt;=72),VLOOKUP(H390,'WordRead Look Up'!$E$13:$F$20,2,TRUE),IF(AND(AI390&gt;=73,AI390&lt;=78),VLOOKUP(H390,'WordRead Look Up'!$I$13:$J$18,2,TRUE),IF(AND(AI390&gt;=79),VLOOKUP(H390,'WordRead Look Up'!$M$13:$N$18,2,TRUE),"")))))</f>
        <v/>
      </c>
      <c r="J390" s="122"/>
      <c r="K390" s="111"/>
      <c r="L390" s="111"/>
      <c r="M390" s="111"/>
      <c r="N390" s="111"/>
      <c r="O390" s="111"/>
      <c r="P390" s="111"/>
      <c r="Q390" s="111"/>
      <c r="R390" s="111"/>
      <c r="S390" s="111"/>
      <c r="T390" s="111"/>
      <c r="U390" s="111"/>
      <c r="V390" s="111"/>
      <c r="W390" s="111"/>
      <c r="X390" s="123"/>
      <c r="AI390" s="222" t="str">
        <f t="shared" si="12"/>
        <v/>
      </c>
    </row>
    <row r="391" spans="1:35" s="108" customFormat="1" ht="15.75">
      <c r="A391" s="119"/>
      <c r="B391" s="120"/>
      <c r="C391" s="111"/>
      <c r="D391" s="111"/>
      <c r="E391" s="121"/>
      <c r="F391" s="121"/>
      <c r="G391" s="113"/>
      <c r="H391" s="199" t="str">
        <f t="shared" si="11"/>
        <v/>
      </c>
      <c r="I391" s="200" t="str">
        <f>IF(H391="","",IF(AND(AI391&lt;=66),VLOOKUP(H391,'WordRead Look Up'!$A$13:$B$20,2,TRUE),IF(AND(AI391&gt;=67,AI391&lt;=72),VLOOKUP(H391,'WordRead Look Up'!$E$13:$F$20,2,TRUE),IF(AND(AI391&gt;=73,AI391&lt;=78),VLOOKUP(H391,'WordRead Look Up'!$I$13:$J$18,2,TRUE),IF(AND(AI391&gt;=79),VLOOKUP(H391,'WordRead Look Up'!$M$13:$N$18,2,TRUE),"")))))</f>
        <v/>
      </c>
      <c r="J391" s="122"/>
      <c r="K391" s="111"/>
      <c r="L391" s="111"/>
      <c r="M391" s="111"/>
      <c r="N391" s="111"/>
      <c r="O391" s="111"/>
      <c r="P391" s="111"/>
      <c r="Q391" s="111"/>
      <c r="R391" s="111"/>
      <c r="S391" s="111"/>
      <c r="T391" s="111"/>
      <c r="U391" s="111"/>
      <c r="V391" s="111"/>
      <c r="W391" s="111"/>
      <c r="X391" s="123"/>
      <c r="AI391" s="222" t="str">
        <f t="shared" si="12"/>
        <v/>
      </c>
    </row>
    <row r="392" spans="1:35" s="108" customFormat="1" ht="15.75">
      <c r="A392" s="119"/>
      <c r="B392" s="120"/>
      <c r="C392" s="111"/>
      <c r="D392" s="111"/>
      <c r="E392" s="121"/>
      <c r="F392" s="121"/>
      <c r="G392" s="113"/>
      <c r="H392" s="199" t="str">
        <f t="shared" ref="H392:H455" si="13">IF(E392="","",COUNTIF(J392:X392,"y"))</f>
        <v/>
      </c>
      <c r="I392" s="200" t="str">
        <f>IF(H392="","",IF(AND(AI392&lt;=66),VLOOKUP(H392,'WordRead Look Up'!$A$13:$B$20,2,TRUE),IF(AND(AI392&gt;=67,AI392&lt;=72),VLOOKUP(H392,'WordRead Look Up'!$E$13:$F$20,2,TRUE),IF(AND(AI392&gt;=73,AI392&lt;=78),VLOOKUP(H392,'WordRead Look Up'!$I$13:$J$18,2,TRUE),IF(AND(AI392&gt;=79),VLOOKUP(H392,'WordRead Look Up'!$M$13:$N$18,2,TRUE),"")))))</f>
        <v/>
      </c>
      <c r="J392" s="122"/>
      <c r="K392" s="111"/>
      <c r="L392" s="111"/>
      <c r="M392" s="111"/>
      <c r="N392" s="111"/>
      <c r="O392" s="111"/>
      <c r="P392" s="111"/>
      <c r="Q392" s="111"/>
      <c r="R392" s="111"/>
      <c r="S392" s="111"/>
      <c r="T392" s="111"/>
      <c r="U392" s="111"/>
      <c r="V392" s="111"/>
      <c r="W392" s="111"/>
      <c r="X392" s="123"/>
      <c r="AI392" s="222" t="str">
        <f t="shared" ref="AI392:AI455" si="14">IF(E392="","",DATEDIF(B392,A392,"m"))</f>
        <v/>
      </c>
    </row>
    <row r="393" spans="1:35" s="108" customFormat="1" ht="15.75">
      <c r="A393" s="119"/>
      <c r="B393" s="120"/>
      <c r="C393" s="111"/>
      <c r="D393" s="111"/>
      <c r="E393" s="121"/>
      <c r="F393" s="121"/>
      <c r="G393" s="113"/>
      <c r="H393" s="199" t="str">
        <f t="shared" si="13"/>
        <v/>
      </c>
      <c r="I393" s="200" t="str">
        <f>IF(H393="","",IF(AND(AI393&lt;=66),VLOOKUP(H393,'WordRead Look Up'!$A$13:$B$20,2,TRUE),IF(AND(AI393&gt;=67,AI393&lt;=72),VLOOKUP(H393,'WordRead Look Up'!$E$13:$F$20,2,TRUE),IF(AND(AI393&gt;=73,AI393&lt;=78),VLOOKUP(H393,'WordRead Look Up'!$I$13:$J$18,2,TRUE),IF(AND(AI393&gt;=79),VLOOKUP(H393,'WordRead Look Up'!$M$13:$N$18,2,TRUE),"")))))</f>
        <v/>
      </c>
      <c r="J393" s="122"/>
      <c r="K393" s="111"/>
      <c r="L393" s="111"/>
      <c r="M393" s="111"/>
      <c r="N393" s="111"/>
      <c r="O393" s="111"/>
      <c r="P393" s="111"/>
      <c r="Q393" s="111"/>
      <c r="R393" s="111"/>
      <c r="S393" s="111"/>
      <c r="T393" s="111"/>
      <c r="U393" s="111"/>
      <c r="V393" s="111"/>
      <c r="W393" s="111"/>
      <c r="X393" s="123"/>
      <c r="AI393" s="222" t="str">
        <f t="shared" si="14"/>
        <v/>
      </c>
    </row>
    <row r="394" spans="1:35" s="108" customFormat="1" ht="15.75">
      <c r="A394" s="119"/>
      <c r="B394" s="120"/>
      <c r="C394" s="111"/>
      <c r="D394" s="111"/>
      <c r="E394" s="121"/>
      <c r="F394" s="121"/>
      <c r="G394" s="113"/>
      <c r="H394" s="199" t="str">
        <f t="shared" si="13"/>
        <v/>
      </c>
      <c r="I394" s="200" t="str">
        <f>IF(H394="","",IF(AND(AI394&lt;=66),VLOOKUP(H394,'WordRead Look Up'!$A$13:$B$20,2,TRUE),IF(AND(AI394&gt;=67,AI394&lt;=72),VLOOKUP(H394,'WordRead Look Up'!$E$13:$F$20,2,TRUE),IF(AND(AI394&gt;=73,AI394&lt;=78),VLOOKUP(H394,'WordRead Look Up'!$I$13:$J$18,2,TRUE),IF(AND(AI394&gt;=79),VLOOKUP(H394,'WordRead Look Up'!$M$13:$N$18,2,TRUE),"")))))</f>
        <v/>
      </c>
      <c r="J394" s="122"/>
      <c r="K394" s="111"/>
      <c r="L394" s="111"/>
      <c r="M394" s="111"/>
      <c r="N394" s="111"/>
      <c r="O394" s="111"/>
      <c r="P394" s="111"/>
      <c r="Q394" s="111"/>
      <c r="R394" s="111"/>
      <c r="S394" s="111"/>
      <c r="T394" s="111"/>
      <c r="U394" s="111"/>
      <c r="V394" s="111"/>
      <c r="W394" s="111"/>
      <c r="X394" s="123"/>
      <c r="AI394" s="222" t="str">
        <f t="shared" si="14"/>
        <v/>
      </c>
    </row>
    <row r="395" spans="1:35" s="108" customFormat="1" ht="15.75">
      <c r="A395" s="119"/>
      <c r="B395" s="120"/>
      <c r="C395" s="111"/>
      <c r="D395" s="111"/>
      <c r="E395" s="121"/>
      <c r="F395" s="121"/>
      <c r="G395" s="113"/>
      <c r="H395" s="199" t="str">
        <f t="shared" si="13"/>
        <v/>
      </c>
      <c r="I395" s="200" t="str">
        <f>IF(H395="","",IF(AND(AI395&lt;=66),VLOOKUP(H395,'WordRead Look Up'!$A$13:$B$20,2,TRUE),IF(AND(AI395&gt;=67,AI395&lt;=72),VLOOKUP(H395,'WordRead Look Up'!$E$13:$F$20,2,TRUE),IF(AND(AI395&gt;=73,AI395&lt;=78),VLOOKUP(H395,'WordRead Look Up'!$I$13:$J$18,2,TRUE),IF(AND(AI395&gt;=79),VLOOKUP(H395,'WordRead Look Up'!$M$13:$N$18,2,TRUE),"")))))</f>
        <v/>
      </c>
      <c r="J395" s="122"/>
      <c r="K395" s="111"/>
      <c r="L395" s="111"/>
      <c r="M395" s="111"/>
      <c r="N395" s="111"/>
      <c r="O395" s="111"/>
      <c r="P395" s="111"/>
      <c r="Q395" s="111"/>
      <c r="R395" s="111"/>
      <c r="S395" s="111"/>
      <c r="T395" s="111"/>
      <c r="U395" s="111"/>
      <c r="V395" s="111"/>
      <c r="W395" s="111"/>
      <c r="X395" s="123"/>
      <c r="AI395" s="222" t="str">
        <f t="shared" si="14"/>
        <v/>
      </c>
    </row>
    <row r="396" spans="1:35" s="108" customFormat="1" ht="15.75">
      <c r="A396" s="119"/>
      <c r="B396" s="120"/>
      <c r="C396" s="111"/>
      <c r="D396" s="111"/>
      <c r="E396" s="121"/>
      <c r="F396" s="121"/>
      <c r="G396" s="113"/>
      <c r="H396" s="199" t="str">
        <f t="shared" si="13"/>
        <v/>
      </c>
      <c r="I396" s="200" t="str">
        <f>IF(H396="","",IF(AND(AI396&lt;=66),VLOOKUP(H396,'WordRead Look Up'!$A$13:$B$20,2,TRUE),IF(AND(AI396&gt;=67,AI396&lt;=72),VLOOKUP(H396,'WordRead Look Up'!$E$13:$F$20,2,TRUE),IF(AND(AI396&gt;=73,AI396&lt;=78),VLOOKUP(H396,'WordRead Look Up'!$I$13:$J$18,2,TRUE),IF(AND(AI396&gt;=79),VLOOKUP(H396,'WordRead Look Up'!$M$13:$N$18,2,TRUE),"")))))</f>
        <v/>
      </c>
      <c r="J396" s="122"/>
      <c r="K396" s="111"/>
      <c r="L396" s="111"/>
      <c r="M396" s="111"/>
      <c r="N396" s="111"/>
      <c r="O396" s="111"/>
      <c r="P396" s="111"/>
      <c r="Q396" s="111"/>
      <c r="R396" s="111"/>
      <c r="S396" s="111"/>
      <c r="T396" s="111"/>
      <c r="U396" s="111"/>
      <c r="V396" s="111"/>
      <c r="W396" s="111"/>
      <c r="X396" s="123"/>
      <c r="AI396" s="222" t="str">
        <f t="shared" si="14"/>
        <v/>
      </c>
    </row>
    <row r="397" spans="1:35" s="108" customFormat="1" ht="15.75">
      <c r="A397" s="119"/>
      <c r="B397" s="120"/>
      <c r="C397" s="111"/>
      <c r="D397" s="111"/>
      <c r="E397" s="121"/>
      <c r="F397" s="121"/>
      <c r="G397" s="113"/>
      <c r="H397" s="199" t="str">
        <f t="shared" si="13"/>
        <v/>
      </c>
      <c r="I397" s="200" t="str">
        <f>IF(H397="","",IF(AND(AI397&lt;=66),VLOOKUP(H397,'WordRead Look Up'!$A$13:$B$20,2,TRUE),IF(AND(AI397&gt;=67,AI397&lt;=72),VLOOKUP(H397,'WordRead Look Up'!$E$13:$F$20,2,TRUE),IF(AND(AI397&gt;=73,AI397&lt;=78),VLOOKUP(H397,'WordRead Look Up'!$I$13:$J$18,2,TRUE),IF(AND(AI397&gt;=79),VLOOKUP(H397,'WordRead Look Up'!$M$13:$N$18,2,TRUE),"")))))</f>
        <v/>
      </c>
      <c r="J397" s="122"/>
      <c r="K397" s="111"/>
      <c r="L397" s="111"/>
      <c r="M397" s="111"/>
      <c r="N397" s="111"/>
      <c r="O397" s="111"/>
      <c r="P397" s="111"/>
      <c r="Q397" s="111"/>
      <c r="R397" s="111"/>
      <c r="S397" s="111"/>
      <c r="T397" s="111"/>
      <c r="U397" s="111"/>
      <c r="V397" s="111"/>
      <c r="W397" s="111"/>
      <c r="X397" s="123"/>
      <c r="AI397" s="222" t="str">
        <f t="shared" si="14"/>
        <v/>
      </c>
    </row>
    <row r="398" spans="1:35" s="108" customFormat="1" ht="15.75">
      <c r="A398" s="119"/>
      <c r="B398" s="120"/>
      <c r="C398" s="111"/>
      <c r="D398" s="111"/>
      <c r="E398" s="121"/>
      <c r="F398" s="121"/>
      <c r="G398" s="113"/>
      <c r="H398" s="199" t="str">
        <f t="shared" si="13"/>
        <v/>
      </c>
      <c r="I398" s="200" t="str">
        <f>IF(H398="","",IF(AND(AI398&lt;=66),VLOOKUP(H398,'WordRead Look Up'!$A$13:$B$20,2,TRUE),IF(AND(AI398&gt;=67,AI398&lt;=72),VLOOKUP(H398,'WordRead Look Up'!$E$13:$F$20,2,TRUE),IF(AND(AI398&gt;=73,AI398&lt;=78),VLOOKUP(H398,'WordRead Look Up'!$I$13:$J$18,2,TRUE),IF(AND(AI398&gt;=79),VLOOKUP(H398,'WordRead Look Up'!$M$13:$N$18,2,TRUE),"")))))</f>
        <v/>
      </c>
      <c r="J398" s="122"/>
      <c r="K398" s="111"/>
      <c r="L398" s="111"/>
      <c r="M398" s="111"/>
      <c r="N398" s="111"/>
      <c r="O398" s="111"/>
      <c r="P398" s="111"/>
      <c r="Q398" s="111"/>
      <c r="R398" s="111"/>
      <c r="S398" s="111"/>
      <c r="T398" s="111"/>
      <c r="U398" s="111"/>
      <c r="V398" s="111"/>
      <c r="W398" s="111"/>
      <c r="X398" s="123"/>
      <c r="AI398" s="222" t="str">
        <f t="shared" si="14"/>
        <v/>
      </c>
    </row>
    <row r="399" spans="1:35" s="108" customFormat="1" ht="15.75">
      <c r="A399" s="119"/>
      <c r="B399" s="120"/>
      <c r="C399" s="111"/>
      <c r="D399" s="111"/>
      <c r="E399" s="121"/>
      <c r="F399" s="121"/>
      <c r="G399" s="113"/>
      <c r="H399" s="199" t="str">
        <f t="shared" si="13"/>
        <v/>
      </c>
      <c r="I399" s="200" t="str">
        <f>IF(H399="","",IF(AND(AI399&lt;=66),VLOOKUP(H399,'WordRead Look Up'!$A$13:$B$20,2,TRUE),IF(AND(AI399&gt;=67,AI399&lt;=72),VLOOKUP(H399,'WordRead Look Up'!$E$13:$F$20,2,TRUE),IF(AND(AI399&gt;=73,AI399&lt;=78),VLOOKUP(H399,'WordRead Look Up'!$I$13:$J$18,2,TRUE),IF(AND(AI399&gt;=79),VLOOKUP(H399,'WordRead Look Up'!$M$13:$N$18,2,TRUE),"")))))</f>
        <v/>
      </c>
      <c r="J399" s="122"/>
      <c r="K399" s="111"/>
      <c r="L399" s="111"/>
      <c r="M399" s="111"/>
      <c r="N399" s="111"/>
      <c r="O399" s="111"/>
      <c r="P399" s="111"/>
      <c r="Q399" s="111"/>
      <c r="R399" s="111"/>
      <c r="S399" s="111"/>
      <c r="T399" s="111"/>
      <c r="U399" s="111"/>
      <c r="V399" s="111"/>
      <c r="W399" s="111"/>
      <c r="X399" s="123"/>
      <c r="AI399" s="222" t="str">
        <f t="shared" si="14"/>
        <v/>
      </c>
    </row>
    <row r="400" spans="1:35" s="108" customFormat="1" ht="15.75">
      <c r="A400" s="119"/>
      <c r="B400" s="120"/>
      <c r="C400" s="111"/>
      <c r="D400" s="111"/>
      <c r="E400" s="121"/>
      <c r="F400" s="121"/>
      <c r="G400" s="113"/>
      <c r="H400" s="199" t="str">
        <f t="shared" si="13"/>
        <v/>
      </c>
      <c r="I400" s="200" t="str">
        <f>IF(H400="","",IF(AND(AI400&lt;=66),VLOOKUP(H400,'WordRead Look Up'!$A$13:$B$20,2,TRUE),IF(AND(AI400&gt;=67,AI400&lt;=72),VLOOKUP(H400,'WordRead Look Up'!$E$13:$F$20,2,TRUE),IF(AND(AI400&gt;=73,AI400&lt;=78),VLOOKUP(H400,'WordRead Look Up'!$I$13:$J$18,2,TRUE),IF(AND(AI400&gt;=79),VLOOKUP(H400,'WordRead Look Up'!$M$13:$N$18,2,TRUE),"")))))</f>
        <v/>
      </c>
      <c r="J400" s="122"/>
      <c r="K400" s="111"/>
      <c r="L400" s="111"/>
      <c r="M400" s="111"/>
      <c r="N400" s="111"/>
      <c r="O400" s="111"/>
      <c r="P400" s="111"/>
      <c r="Q400" s="111"/>
      <c r="R400" s="111"/>
      <c r="S400" s="111"/>
      <c r="T400" s="111"/>
      <c r="U400" s="111"/>
      <c r="V400" s="111"/>
      <c r="W400" s="111"/>
      <c r="X400" s="123"/>
      <c r="AI400" s="222" t="str">
        <f t="shared" si="14"/>
        <v/>
      </c>
    </row>
    <row r="401" spans="1:35" s="108" customFormat="1" ht="15.75">
      <c r="A401" s="119"/>
      <c r="B401" s="120"/>
      <c r="C401" s="111"/>
      <c r="D401" s="111"/>
      <c r="E401" s="121"/>
      <c r="F401" s="121"/>
      <c r="G401" s="113"/>
      <c r="H401" s="199" t="str">
        <f t="shared" si="13"/>
        <v/>
      </c>
      <c r="I401" s="200" t="str">
        <f>IF(H401="","",IF(AND(AI401&lt;=66),VLOOKUP(H401,'WordRead Look Up'!$A$13:$B$20,2,TRUE),IF(AND(AI401&gt;=67,AI401&lt;=72),VLOOKUP(H401,'WordRead Look Up'!$E$13:$F$20,2,TRUE),IF(AND(AI401&gt;=73,AI401&lt;=78),VLOOKUP(H401,'WordRead Look Up'!$I$13:$J$18,2,TRUE),IF(AND(AI401&gt;=79),VLOOKUP(H401,'WordRead Look Up'!$M$13:$N$18,2,TRUE),"")))))</f>
        <v/>
      </c>
      <c r="J401" s="122"/>
      <c r="K401" s="111"/>
      <c r="L401" s="111"/>
      <c r="M401" s="111"/>
      <c r="N401" s="111"/>
      <c r="O401" s="111"/>
      <c r="P401" s="111"/>
      <c r="Q401" s="111"/>
      <c r="R401" s="111"/>
      <c r="S401" s="111"/>
      <c r="T401" s="111"/>
      <c r="U401" s="111"/>
      <c r="V401" s="111"/>
      <c r="W401" s="111"/>
      <c r="X401" s="123"/>
      <c r="AI401" s="222" t="str">
        <f t="shared" si="14"/>
        <v/>
      </c>
    </row>
    <row r="402" spans="1:35" s="108" customFormat="1" ht="15.75">
      <c r="A402" s="119"/>
      <c r="B402" s="120"/>
      <c r="C402" s="111"/>
      <c r="D402" s="111"/>
      <c r="E402" s="121"/>
      <c r="F402" s="121"/>
      <c r="G402" s="113"/>
      <c r="H402" s="199" t="str">
        <f t="shared" si="13"/>
        <v/>
      </c>
      <c r="I402" s="200" t="str">
        <f>IF(H402="","",IF(AND(AI402&lt;=66),VLOOKUP(H402,'WordRead Look Up'!$A$13:$B$20,2,TRUE),IF(AND(AI402&gt;=67,AI402&lt;=72),VLOOKUP(H402,'WordRead Look Up'!$E$13:$F$20,2,TRUE),IF(AND(AI402&gt;=73,AI402&lt;=78),VLOOKUP(H402,'WordRead Look Up'!$I$13:$J$18,2,TRUE),IF(AND(AI402&gt;=79),VLOOKUP(H402,'WordRead Look Up'!$M$13:$N$18,2,TRUE),"")))))</f>
        <v/>
      </c>
      <c r="J402" s="122"/>
      <c r="K402" s="111"/>
      <c r="L402" s="111"/>
      <c r="M402" s="111"/>
      <c r="N402" s="111"/>
      <c r="O402" s="111"/>
      <c r="P402" s="111"/>
      <c r="Q402" s="111"/>
      <c r="R402" s="111"/>
      <c r="S402" s="111"/>
      <c r="T402" s="111"/>
      <c r="U402" s="111"/>
      <c r="V402" s="111"/>
      <c r="W402" s="111"/>
      <c r="X402" s="123"/>
      <c r="AI402" s="222" t="str">
        <f t="shared" si="14"/>
        <v/>
      </c>
    </row>
    <row r="403" spans="1:35" s="108" customFormat="1" ht="15.75">
      <c r="A403" s="119"/>
      <c r="B403" s="120"/>
      <c r="C403" s="111"/>
      <c r="D403" s="111"/>
      <c r="E403" s="121"/>
      <c r="F403" s="121"/>
      <c r="G403" s="113"/>
      <c r="H403" s="199" t="str">
        <f t="shared" si="13"/>
        <v/>
      </c>
      <c r="I403" s="200" t="str">
        <f>IF(H403="","",IF(AND(AI403&lt;=66),VLOOKUP(H403,'WordRead Look Up'!$A$13:$B$20,2,TRUE),IF(AND(AI403&gt;=67,AI403&lt;=72),VLOOKUP(H403,'WordRead Look Up'!$E$13:$F$20,2,TRUE),IF(AND(AI403&gt;=73,AI403&lt;=78),VLOOKUP(H403,'WordRead Look Up'!$I$13:$J$18,2,TRUE),IF(AND(AI403&gt;=79),VLOOKUP(H403,'WordRead Look Up'!$M$13:$N$18,2,TRUE),"")))))</f>
        <v/>
      </c>
      <c r="J403" s="122"/>
      <c r="K403" s="111"/>
      <c r="L403" s="111"/>
      <c r="M403" s="111"/>
      <c r="N403" s="111"/>
      <c r="O403" s="111"/>
      <c r="P403" s="111"/>
      <c r="Q403" s="111"/>
      <c r="R403" s="111"/>
      <c r="S403" s="111"/>
      <c r="T403" s="111"/>
      <c r="U403" s="111"/>
      <c r="V403" s="111"/>
      <c r="W403" s="111"/>
      <c r="X403" s="123"/>
      <c r="AI403" s="222" t="str">
        <f t="shared" si="14"/>
        <v/>
      </c>
    </row>
    <row r="404" spans="1:35" s="108" customFormat="1" ht="15.75">
      <c r="A404" s="119"/>
      <c r="B404" s="120"/>
      <c r="C404" s="111"/>
      <c r="D404" s="111"/>
      <c r="E404" s="121"/>
      <c r="F404" s="121"/>
      <c r="G404" s="113"/>
      <c r="H404" s="199" t="str">
        <f t="shared" si="13"/>
        <v/>
      </c>
      <c r="I404" s="200" t="str">
        <f>IF(H404="","",IF(AND(AI404&lt;=66),VLOOKUP(H404,'WordRead Look Up'!$A$13:$B$20,2,TRUE),IF(AND(AI404&gt;=67,AI404&lt;=72),VLOOKUP(H404,'WordRead Look Up'!$E$13:$F$20,2,TRUE),IF(AND(AI404&gt;=73,AI404&lt;=78),VLOOKUP(H404,'WordRead Look Up'!$I$13:$J$18,2,TRUE),IF(AND(AI404&gt;=79),VLOOKUP(H404,'WordRead Look Up'!$M$13:$N$18,2,TRUE),"")))))</f>
        <v/>
      </c>
      <c r="J404" s="122"/>
      <c r="K404" s="111"/>
      <c r="L404" s="111"/>
      <c r="M404" s="111"/>
      <c r="N404" s="111"/>
      <c r="O404" s="111"/>
      <c r="P404" s="111"/>
      <c r="Q404" s="111"/>
      <c r="R404" s="111"/>
      <c r="S404" s="111"/>
      <c r="T404" s="111"/>
      <c r="U404" s="111"/>
      <c r="V404" s="111"/>
      <c r="W404" s="111"/>
      <c r="X404" s="123"/>
      <c r="AI404" s="222" t="str">
        <f t="shared" si="14"/>
        <v/>
      </c>
    </row>
    <row r="405" spans="1:35" s="108" customFormat="1" ht="15.75">
      <c r="A405" s="119"/>
      <c r="B405" s="120"/>
      <c r="C405" s="111"/>
      <c r="D405" s="111"/>
      <c r="E405" s="121"/>
      <c r="F405" s="121"/>
      <c r="G405" s="113"/>
      <c r="H405" s="199" t="str">
        <f t="shared" si="13"/>
        <v/>
      </c>
      <c r="I405" s="200" t="str">
        <f>IF(H405="","",IF(AND(AI405&lt;=66),VLOOKUP(H405,'WordRead Look Up'!$A$13:$B$20,2,TRUE),IF(AND(AI405&gt;=67,AI405&lt;=72),VLOOKUP(H405,'WordRead Look Up'!$E$13:$F$20,2,TRUE),IF(AND(AI405&gt;=73,AI405&lt;=78),VLOOKUP(H405,'WordRead Look Up'!$I$13:$J$18,2,TRUE),IF(AND(AI405&gt;=79),VLOOKUP(H405,'WordRead Look Up'!$M$13:$N$18,2,TRUE),"")))))</f>
        <v/>
      </c>
      <c r="J405" s="122"/>
      <c r="K405" s="111"/>
      <c r="L405" s="111"/>
      <c r="M405" s="111"/>
      <c r="N405" s="111"/>
      <c r="O405" s="111"/>
      <c r="P405" s="111"/>
      <c r="Q405" s="111"/>
      <c r="R405" s="111"/>
      <c r="S405" s="111"/>
      <c r="T405" s="111"/>
      <c r="U405" s="111"/>
      <c r="V405" s="111"/>
      <c r="W405" s="111"/>
      <c r="X405" s="123"/>
      <c r="AI405" s="222" t="str">
        <f t="shared" si="14"/>
        <v/>
      </c>
    </row>
    <row r="406" spans="1:35" s="108" customFormat="1" ht="15.75">
      <c r="A406" s="119"/>
      <c r="B406" s="120"/>
      <c r="C406" s="111"/>
      <c r="D406" s="111"/>
      <c r="E406" s="121"/>
      <c r="F406" s="121"/>
      <c r="G406" s="113"/>
      <c r="H406" s="199" t="str">
        <f t="shared" si="13"/>
        <v/>
      </c>
      <c r="I406" s="200" t="str">
        <f>IF(H406="","",IF(AND(AI406&lt;=66),VLOOKUP(H406,'WordRead Look Up'!$A$13:$B$20,2,TRUE),IF(AND(AI406&gt;=67,AI406&lt;=72),VLOOKUP(H406,'WordRead Look Up'!$E$13:$F$20,2,TRUE),IF(AND(AI406&gt;=73,AI406&lt;=78),VLOOKUP(H406,'WordRead Look Up'!$I$13:$J$18,2,TRUE),IF(AND(AI406&gt;=79),VLOOKUP(H406,'WordRead Look Up'!$M$13:$N$18,2,TRUE),"")))))</f>
        <v/>
      </c>
      <c r="J406" s="122"/>
      <c r="K406" s="111"/>
      <c r="L406" s="111"/>
      <c r="M406" s="111"/>
      <c r="N406" s="111"/>
      <c r="O406" s="111"/>
      <c r="P406" s="111"/>
      <c r="Q406" s="111"/>
      <c r="R406" s="111"/>
      <c r="S406" s="111"/>
      <c r="T406" s="111"/>
      <c r="U406" s="111"/>
      <c r="V406" s="111"/>
      <c r="W406" s="111"/>
      <c r="X406" s="123"/>
      <c r="AI406" s="222" t="str">
        <f t="shared" si="14"/>
        <v/>
      </c>
    </row>
    <row r="407" spans="1:35" s="108" customFormat="1" ht="15.75">
      <c r="A407" s="119"/>
      <c r="B407" s="120"/>
      <c r="C407" s="111"/>
      <c r="D407" s="111"/>
      <c r="E407" s="121"/>
      <c r="F407" s="121"/>
      <c r="G407" s="113"/>
      <c r="H407" s="199" t="str">
        <f t="shared" si="13"/>
        <v/>
      </c>
      <c r="I407" s="200" t="str">
        <f>IF(H407="","",IF(AND(AI407&lt;=66),VLOOKUP(H407,'WordRead Look Up'!$A$13:$B$20,2,TRUE),IF(AND(AI407&gt;=67,AI407&lt;=72),VLOOKUP(H407,'WordRead Look Up'!$E$13:$F$20,2,TRUE),IF(AND(AI407&gt;=73,AI407&lt;=78),VLOOKUP(H407,'WordRead Look Up'!$I$13:$J$18,2,TRUE),IF(AND(AI407&gt;=79),VLOOKUP(H407,'WordRead Look Up'!$M$13:$N$18,2,TRUE),"")))))</f>
        <v/>
      </c>
      <c r="J407" s="122"/>
      <c r="K407" s="111"/>
      <c r="L407" s="111"/>
      <c r="M407" s="111"/>
      <c r="N407" s="111"/>
      <c r="O407" s="111"/>
      <c r="P407" s="111"/>
      <c r="Q407" s="111"/>
      <c r="R407" s="111"/>
      <c r="S407" s="111"/>
      <c r="T407" s="111"/>
      <c r="U407" s="111"/>
      <c r="V407" s="111"/>
      <c r="W407" s="111"/>
      <c r="X407" s="123"/>
      <c r="AI407" s="222" t="str">
        <f t="shared" si="14"/>
        <v/>
      </c>
    </row>
    <row r="408" spans="1:35" s="108" customFormat="1" ht="15.75">
      <c r="A408" s="119"/>
      <c r="B408" s="120"/>
      <c r="C408" s="111"/>
      <c r="D408" s="111"/>
      <c r="E408" s="121"/>
      <c r="F408" s="121"/>
      <c r="G408" s="113"/>
      <c r="H408" s="199" t="str">
        <f t="shared" si="13"/>
        <v/>
      </c>
      <c r="I408" s="200" t="str">
        <f>IF(H408="","",IF(AND(AI408&lt;=66),VLOOKUP(H408,'WordRead Look Up'!$A$13:$B$20,2,TRUE),IF(AND(AI408&gt;=67,AI408&lt;=72),VLOOKUP(H408,'WordRead Look Up'!$E$13:$F$20,2,TRUE),IF(AND(AI408&gt;=73,AI408&lt;=78),VLOOKUP(H408,'WordRead Look Up'!$I$13:$J$18,2,TRUE),IF(AND(AI408&gt;=79),VLOOKUP(H408,'WordRead Look Up'!$M$13:$N$18,2,TRUE),"")))))</f>
        <v/>
      </c>
      <c r="J408" s="122"/>
      <c r="K408" s="111"/>
      <c r="L408" s="111"/>
      <c r="M408" s="111"/>
      <c r="N408" s="111"/>
      <c r="O408" s="111"/>
      <c r="P408" s="111"/>
      <c r="Q408" s="111"/>
      <c r="R408" s="111"/>
      <c r="S408" s="111"/>
      <c r="T408" s="111"/>
      <c r="U408" s="111"/>
      <c r="V408" s="111"/>
      <c r="W408" s="111"/>
      <c r="X408" s="123"/>
      <c r="AI408" s="222" t="str">
        <f t="shared" si="14"/>
        <v/>
      </c>
    </row>
    <row r="409" spans="1:35" s="108" customFormat="1" ht="15.75">
      <c r="A409" s="119"/>
      <c r="B409" s="120"/>
      <c r="C409" s="111"/>
      <c r="D409" s="111"/>
      <c r="E409" s="121"/>
      <c r="F409" s="121"/>
      <c r="G409" s="113"/>
      <c r="H409" s="199" t="str">
        <f t="shared" si="13"/>
        <v/>
      </c>
      <c r="I409" s="200" t="str">
        <f>IF(H409="","",IF(AND(AI409&lt;=66),VLOOKUP(H409,'WordRead Look Up'!$A$13:$B$20,2,TRUE),IF(AND(AI409&gt;=67,AI409&lt;=72),VLOOKUP(H409,'WordRead Look Up'!$E$13:$F$20,2,TRUE),IF(AND(AI409&gt;=73,AI409&lt;=78),VLOOKUP(H409,'WordRead Look Up'!$I$13:$J$18,2,TRUE),IF(AND(AI409&gt;=79),VLOOKUP(H409,'WordRead Look Up'!$M$13:$N$18,2,TRUE),"")))))</f>
        <v/>
      </c>
      <c r="J409" s="122"/>
      <c r="K409" s="111"/>
      <c r="L409" s="111"/>
      <c r="M409" s="111"/>
      <c r="N409" s="111"/>
      <c r="O409" s="111"/>
      <c r="P409" s="111"/>
      <c r="Q409" s="111"/>
      <c r="R409" s="111"/>
      <c r="S409" s="111"/>
      <c r="T409" s="111"/>
      <c r="U409" s="111"/>
      <c r="V409" s="111"/>
      <c r="W409" s="111"/>
      <c r="X409" s="123"/>
      <c r="AI409" s="222" t="str">
        <f t="shared" si="14"/>
        <v/>
      </c>
    </row>
    <row r="410" spans="1:35" s="108" customFormat="1" ht="15.75">
      <c r="A410" s="119"/>
      <c r="B410" s="120"/>
      <c r="C410" s="111"/>
      <c r="D410" s="111"/>
      <c r="E410" s="121"/>
      <c r="F410" s="121"/>
      <c r="G410" s="113"/>
      <c r="H410" s="199" t="str">
        <f t="shared" si="13"/>
        <v/>
      </c>
      <c r="I410" s="200" t="str">
        <f>IF(H410="","",IF(AND(AI410&lt;=66),VLOOKUP(H410,'WordRead Look Up'!$A$13:$B$20,2,TRUE),IF(AND(AI410&gt;=67,AI410&lt;=72),VLOOKUP(H410,'WordRead Look Up'!$E$13:$F$20,2,TRUE),IF(AND(AI410&gt;=73,AI410&lt;=78),VLOOKUP(H410,'WordRead Look Up'!$I$13:$J$18,2,TRUE),IF(AND(AI410&gt;=79),VLOOKUP(H410,'WordRead Look Up'!$M$13:$N$18,2,TRUE),"")))))</f>
        <v/>
      </c>
      <c r="J410" s="122"/>
      <c r="K410" s="111"/>
      <c r="L410" s="111"/>
      <c r="M410" s="111"/>
      <c r="N410" s="111"/>
      <c r="O410" s="111"/>
      <c r="P410" s="111"/>
      <c r="Q410" s="111"/>
      <c r="R410" s="111"/>
      <c r="S410" s="111"/>
      <c r="T410" s="111"/>
      <c r="U410" s="111"/>
      <c r="V410" s="111"/>
      <c r="W410" s="111"/>
      <c r="X410" s="123"/>
      <c r="AI410" s="222" t="str">
        <f t="shared" si="14"/>
        <v/>
      </c>
    </row>
    <row r="411" spans="1:35" s="108" customFormat="1" ht="15.75">
      <c r="A411" s="119"/>
      <c r="B411" s="120"/>
      <c r="C411" s="111"/>
      <c r="D411" s="111"/>
      <c r="E411" s="121"/>
      <c r="F411" s="121"/>
      <c r="G411" s="113"/>
      <c r="H411" s="199" t="str">
        <f t="shared" si="13"/>
        <v/>
      </c>
      <c r="I411" s="200" t="str">
        <f>IF(H411="","",IF(AND(AI411&lt;=66),VLOOKUP(H411,'WordRead Look Up'!$A$13:$B$20,2,TRUE),IF(AND(AI411&gt;=67,AI411&lt;=72),VLOOKUP(H411,'WordRead Look Up'!$E$13:$F$20,2,TRUE),IF(AND(AI411&gt;=73,AI411&lt;=78),VLOOKUP(H411,'WordRead Look Up'!$I$13:$J$18,2,TRUE),IF(AND(AI411&gt;=79),VLOOKUP(H411,'WordRead Look Up'!$M$13:$N$18,2,TRUE),"")))))</f>
        <v/>
      </c>
      <c r="J411" s="122"/>
      <c r="K411" s="111"/>
      <c r="L411" s="111"/>
      <c r="M411" s="111"/>
      <c r="N411" s="111"/>
      <c r="O411" s="111"/>
      <c r="P411" s="111"/>
      <c r="Q411" s="111"/>
      <c r="R411" s="111"/>
      <c r="S411" s="111"/>
      <c r="T411" s="111"/>
      <c r="U411" s="111"/>
      <c r="V411" s="111"/>
      <c r="W411" s="111"/>
      <c r="X411" s="123"/>
      <c r="AI411" s="222" t="str">
        <f t="shared" si="14"/>
        <v/>
      </c>
    </row>
    <row r="412" spans="1:35" s="108" customFormat="1" ht="15.75">
      <c r="A412" s="119"/>
      <c r="B412" s="120"/>
      <c r="C412" s="111"/>
      <c r="D412" s="111"/>
      <c r="E412" s="121"/>
      <c r="F412" s="121"/>
      <c r="G412" s="113"/>
      <c r="H412" s="199" t="str">
        <f t="shared" si="13"/>
        <v/>
      </c>
      <c r="I412" s="200" t="str">
        <f>IF(H412="","",IF(AND(AI412&lt;=66),VLOOKUP(H412,'WordRead Look Up'!$A$13:$B$20,2,TRUE),IF(AND(AI412&gt;=67,AI412&lt;=72),VLOOKUP(H412,'WordRead Look Up'!$E$13:$F$20,2,TRUE),IF(AND(AI412&gt;=73,AI412&lt;=78),VLOOKUP(H412,'WordRead Look Up'!$I$13:$J$18,2,TRUE),IF(AND(AI412&gt;=79),VLOOKUP(H412,'WordRead Look Up'!$M$13:$N$18,2,TRUE),"")))))</f>
        <v/>
      </c>
      <c r="J412" s="122"/>
      <c r="K412" s="111"/>
      <c r="L412" s="111"/>
      <c r="M412" s="111"/>
      <c r="N412" s="111"/>
      <c r="O412" s="111"/>
      <c r="P412" s="111"/>
      <c r="Q412" s="111"/>
      <c r="R412" s="111"/>
      <c r="S412" s="111"/>
      <c r="T412" s="111"/>
      <c r="U412" s="111"/>
      <c r="V412" s="111"/>
      <c r="W412" s="111"/>
      <c r="X412" s="123"/>
      <c r="AI412" s="222" t="str">
        <f t="shared" si="14"/>
        <v/>
      </c>
    </row>
    <row r="413" spans="1:35" s="108" customFormat="1" ht="15.75">
      <c r="A413" s="119"/>
      <c r="B413" s="120"/>
      <c r="C413" s="111"/>
      <c r="D413" s="111"/>
      <c r="E413" s="121"/>
      <c r="F413" s="121"/>
      <c r="G413" s="113"/>
      <c r="H413" s="199" t="str">
        <f t="shared" si="13"/>
        <v/>
      </c>
      <c r="I413" s="200" t="str">
        <f>IF(H413="","",IF(AND(AI413&lt;=66),VLOOKUP(H413,'WordRead Look Up'!$A$13:$B$20,2,TRUE),IF(AND(AI413&gt;=67,AI413&lt;=72),VLOOKUP(H413,'WordRead Look Up'!$E$13:$F$20,2,TRUE),IF(AND(AI413&gt;=73,AI413&lt;=78),VLOOKUP(H413,'WordRead Look Up'!$I$13:$J$18,2,TRUE),IF(AND(AI413&gt;=79),VLOOKUP(H413,'WordRead Look Up'!$M$13:$N$18,2,TRUE),"")))))</f>
        <v/>
      </c>
      <c r="J413" s="122"/>
      <c r="K413" s="111"/>
      <c r="L413" s="111"/>
      <c r="M413" s="111"/>
      <c r="N413" s="111"/>
      <c r="O413" s="111"/>
      <c r="P413" s="111"/>
      <c r="Q413" s="111"/>
      <c r="R413" s="111"/>
      <c r="S413" s="111"/>
      <c r="T413" s="111"/>
      <c r="U413" s="111"/>
      <c r="V413" s="111"/>
      <c r="W413" s="111"/>
      <c r="X413" s="123"/>
      <c r="AI413" s="222" t="str">
        <f t="shared" si="14"/>
        <v/>
      </c>
    </row>
    <row r="414" spans="1:35" s="108" customFormat="1" ht="15.75">
      <c r="A414" s="119"/>
      <c r="B414" s="120"/>
      <c r="C414" s="111"/>
      <c r="D414" s="111"/>
      <c r="E414" s="121"/>
      <c r="F414" s="121"/>
      <c r="G414" s="113"/>
      <c r="H414" s="199" t="str">
        <f t="shared" si="13"/>
        <v/>
      </c>
      <c r="I414" s="200" t="str">
        <f>IF(H414="","",IF(AND(AI414&lt;=66),VLOOKUP(H414,'WordRead Look Up'!$A$13:$B$20,2,TRUE),IF(AND(AI414&gt;=67,AI414&lt;=72),VLOOKUP(H414,'WordRead Look Up'!$E$13:$F$20,2,TRUE),IF(AND(AI414&gt;=73,AI414&lt;=78),VLOOKUP(H414,'WordRead Look Up'!$I$13:$J$18,2,TRUE),IF(AND(AI414&gt;=79),VLOOKUP(H414,'WordRead Look Up'!$M$13:$N$18,2,TRUE),"")))))</f>
        <v/>
      </c>
      <c r="J414" s="122"/>
      <c r="K414" s="111"/>
      <c r="L414" s="111"/>
      <c r="M414" s="111"/>
      <c r="N414" s="111"/>
      <c r="O414" s="111"/>
      <c r="P414" s="111"/>
      <c r="Q414" s="111"/>
      <c r="R414" s="111"/>
      <c r="S414" s="111"/>
      <c r="T414" s="111"/>
      <c r="U414" s="111"/>
      <c r="V414" s="111"/>
      <c r="W414" s="111"/>
      <c r="X414" s="123"/>
      <c r="AI414" s="222" t="str">
        <f t="shared" si="14"/>
        <v/>
      </c>
    </row>
    <row r="415" spans="1:35" s="108" customFormat="1" ht="15.75">
      <c r="A415" s="119"/>
      <c r="B415" s="120"/>
      <c r="C415" s="111"/>
      <c r="D415" s="111"/>
      <c r="E415" s="121"/>
      <c r="F415" s="121"/>
      <c r="G415" s="113"/>
      <c r="H415" s="199" t="str">
        <f t="shared" si="13"/>
        <v/>
      </c>
      <c r="I415" s="200" t="str">
        <f>IF(H415="","",IF(AND(AI415&lt;=66),VLOOKUP(H415,'WordRead Look Up'!$A$13:$B$20,2,TRUE),IF(AND(AI415&gt;=67,AI415&lt;=72),VLOOKUP(H415,'WordRead Look Up'!$E$13:$F$20,2,TRUE),IF(AND(AI415&gt;=73,AI415&lt;=78),VLOOKUP(H415,'WordRead Look Up'!$I$13:$J$18,2,TRUE),IF(AND(AI415&gt;=79),VLOOKUP(H415,'WordRead Look Up'!$M$13:$N$18,2,TRUE),"")))))</f>
        <v/>
      </c>
      <c r="J415" s="122"/>
      <c r="K415" s="111"/>
      <c r="L415" s="111"/>
      <c r="M415" s="111"/>
      <c r="N415" s="111"/>
      <c r="O415" s="111"/>
      <c r="P415" s="111"/>
      <c r="Q415" s="111"/>
      <c r="R415" s="111"/>
      <c r="S415" s="111"/>
      <c r="T415" s="111"/>
      <c r="U415" s="111"/>
      <c r="V415" s="111"/>
      <c r="W415" s="111"/>
      <c r="X415" s="123"/>
      <c r="AI415" s="222" t="str">
        <f t="shared" si="14"/>
        <v/>
      </c>
    </row>
    <row r="416" spans="1:35" s="108" customFormat="1" ht="15.75">
      <c r="A416" s="119"/>
      <c r="B416" s="120"/>
      <c r="C416" s="111"/>
      <c r="D416" s="111"/>
      <c r="E416" s="121"/>
      <c r="F416" s="121"/>
      <c r="G416" s="113"/>
      <c r="H416" s="199" t="str">
        <f t="shared" si="13"/>
        <v/>
      </c>
      <c r="I416" s="200" t="str">
        <f>IF(H416="","",IF(AND(AI416&lt;=66),VLOOKUP(H416,'WordRead Look Up'!$A$13:$B$20,2,TRUE),IF(AND(AI416&gt;=67,AI416&lt;=72),VLOOKUP(H416,'WordRead Look Up'!$E$13:$F$20,2,TRUE),IF(AND(AI416&gt;=73,AI416&lt;=78),VLOOKUP(H416,'WordRead Look Up'!$I$13:$J$18,2,TRUE),IF(AND(AI416&gt;=79),VLOOKUP(H416,'WordRead Look Up'!$M$13:$N$18,2,TRUE),"")))))</f>
        <v/>
      </c>
      <c r="J416" s="122"/>
      <c r="K416" s="111"/>
      <c r="L416" s="111"/>
      <c r="M416" s="111"/>
      <c r="N416" s="111"/>
      <c r="O416" s="111"/>
      <c r="P416" s="111"/>
      <c r="Q416" s="111"/>
      <c r="R416" s="111"/>
      <c r="S416" s="111"/>
      <c r="T416" s="111"/>
      <c r="U416" s="111"/>
      <c r="V416" s="111"/>
      <c r="W416" s="111"/>
      <c r="X416" s="123"/>
      <c r="AI416" s="222" t="str">
        <f t="shared" si="14"/>
        <v/>
      </c>
    </row>
    <row r="417" spans="1:35" s="108" customFormat="1" ht="15.75">
      <c r="A417" s="119"/>
      <c r="B417" s="120"/>
      <c r="C417" s="111"/>
      <c r="D417" s="111"/>
      <c r="E417" s="121"/>
      <c r="F417" s="121"/>
      <c r="G417" s="113"/>
      <c r="H417" s="199" t="str">
        <f t="shared" si="13"/>
        <v/>
      </c>
      <c r="I417" s="200" t="str">
        <f>IF(H417="","",IF(AND(AI417&lt;=66),VLOOKUP(H417,'WordRead Look Up'!$A$13:$B$20,2,TRUE),IF(AND(AI417&gt;=67,AI417&lt;=72),VLOOKUP(H417,'WordRead Look Up'!$E$13:$F$20,2,TRUE),IF(AND(AI417&gt;=73,AI417&lt;=78),VLOOKUP(H417,'WordRead Look Up'!$I$13:$J$18,2,TRUE),IF(AND(AI417&gt;=79),VLOOKUP(H417,'WordRead Look Up'!$M$13:$N$18,2,TRUE),"")))))</f>
        <v/>
      </c>
      <c r="J417" s="122"/>
      <c r="K417" s="111"/>
      <c r="L417" s="111"/>
      <c r="M417" s="111"/>
      <c r="N417" s="111"/>
      <c r="O417" s="111"/>
      <c r="P417" s="111"/>
      <c r="Q417" s="111"/>
      <c r="R417" s="111"/>
      <c r="S417" s="111"/>
      <c r="T417" s="111"/>
      <c r="U417" s="111"/>
      <c r="V417" s="111"/>
      <c r="W417" s="111"/>
      <c r="X417" s="123"/>
      <c r="AI417" s="222" t="str">
        <f t="shared" si="14"/>
        <v/>
      </c>
    </row>
    <row r="418" spans="1:35" s="108" customFormat="1" ht="15.75">
      <c r="A418" s="119"/>
      <c r="B418" s="120"/>
      <c r="C418" s="111"/>
      <c r="D418" s="111"/>
      <c r="E418" s="121"/>
      <c r="F418" s="121"/>
      <c r="G418" s="113"/>
      <c r="H418" s="199" t="str">
        <f t="shared" si="13"/>
        <v/>
      </c>
      <c r="I418" s="200" t="str">
        <f>IF(H418="","",IF(AND(AI418&lt;=66),VLOOKUP(H418,'WordRead Look Up'!$A$13:$B$20,2,TRUE),IF(AND(AI418&gt;=67,AI418&lt;=72),VLOOKUP(H418,'WordRead Look Up'!$E$13:$F$20,2,TRUE),IF(AND(AI418&gt;=73,AI418&lt;=78),VLOOKUP(H418,'WordRead Look Up'!$I$13:$J$18,2,TRUE),IF(AND(AI418&gt;=79),VLOOKUP(H418,'WordRead Look Up'!$M$13:$N$18,2,TRUE),"")))))</f>
        <v/>
      </c>
      <c r="J418" s="122"/>
      <c r="K418" s="111"/>
      <c r="L418" s="111"/>
      <c r="M418" s="111"/>
      <c r="N418" s="111"/>
      <c r="O418" s="111"/>
      <c r="P418" s="111"/>
      <c r="Q418" s="111"/>
      <c r="R418" s="111"/>
      <c r="S418" s="111"/>
      <c r="T418" s="111"/>
      <c r="U418" s="111"/>
      <c r="V418" s="111"/>
      <c r="W418" s="111"/>
      <c r="X418" s="123"/>
      <c r="AI418" s="222" t="str">
        <f t="shared" si="14"/>
        <v/>
      </c>
    </row>
    <row r="419" spans="1:35" s="108" customFormat="1" ht="15.75">
      <c r="A419" s="119"/>
      <c r="B419" s="120"/>
      <c r="C419" s="111"/>
      <c r="D419" s="111"/>
      <c r="E419" s="121"/>
      <c r="F419" s="121"/>
      <c r="G419" s="113"/>
      <c r="H419" s="199" t="str">
        <f t="shared" si="13"/>
        <v/>
      </c>
      <c r="I419" s="200" t="str">
        <f>IF(H419="","",IF(AND(AI419&lt;=66),VLOOKUP(H419,'WordRead Look Up'!$A$13:$B$20,2,TRUE),IF(AND(AI419&gt;=67,AI419&lt;=72),VLOOKUP(H419,'WordRead Look Up'!$E$13:$F$20,2,TRUE),IF(AND(AI419&gt;=73,AI419&lt;=78),VLOOKUP(H419,'WordRead Look Up'!$I$13:$J$18,2,TRUE),IF(AND(AI419&gt;=79),VLOOKUP(H419,'WordRead Look Up'!$M$13:$N$18,2,TRUE),"")))))</f>
        <v/>
      </c>
      <c r="J419" s="122"/>
      <c r="K419" s="111"/>
      <c r="L419" s="111"/>
      <c r="M419" s="111"/>
      <c r="N419" s="111"/>
      <c r="O419" s="111"/>
      <c r="P419" s="111"/>
      <c r="Q419" s="111"/>
      <c r="R419" s="111"/>
      <c r="S419" s="111"/>
      <c r="T419" s="111"/>
      <c r="U419" s="111"/>
      <c r="V419" s="111"/>
      <c r="W419" s="111"/>
      <c r="X419" s="123"/>
      <c r="AI419" s="222" t="str">
        <f t="shared" si="14"/>
        <v/>
      </c>
    </row>
    <row r="420" spans="1:35" s="108" customFormat="1" ht="15.75">
      <c r="A420" s="119"/>
      <c r="B420" s="120"/>
      <c r="C420" s="111"/>
      <c r="D420" s="111"/>
      <c r="E420" s="121"/>
      <c r="F420" s="121"/>
      <c r="G420" s="113"/>
      <c r="H420" s="199" t="str">
        <f t="shared" si="13"/>
        <v/>
      </c>
      <c r="I420" s="200" t="str">
        <f>IF(H420="","",IF(AND(AI420&lt;=66),VLOOKUP(H420,'WordRead Look Up'!$A$13:$B$20,2,TRUE),IF(AND(AI420&gt;=67,AI420&lt;=72),VLOOKUP(H420,'WordRead Look Up'!$E$13:$F$20,2,TRUE),IF(AND(AI420&gt;=73,AI420&lt;=78),VLOOKUP(H420,'WordRead Look Up'!$I$13:$J$18,2,TRUE),IF(AND(AI420&gt;=79),VLOOKUP(H420,'WordRead Look Up'!$M$13:$N$18,2,TRUE),"")))))</f>
        <v/>
      </c>
      <c r="J420" s="122"/>
      <c r="K420" s="111"/>
      <c r="L420" s="111"/>
      <c r="M420" s="111"/>
      <c r="N420" s="111"/>
      <c r="O420" s="111"/>
      <c r="P420" s="111"/>
      <c r="Q420" s="111"/>
      <c r="R420" s="111"/>
      <c r="S420" s="111"/>
      <c r="T420" s="111"/>
      <c r="U420" s="111"/>
      <c r="V420" s="111"/>
      <c r="W420" s="111"/>
      <c r="X420" s="123"/>
      <c r="AI420" s="222" t="str">
        <f t="shared" si="14"/>
        <v/>
      </c>
    </row>
    <row r="421" spans="1:35" s="108" customFormat="1" ht="15.75">
      <c r="A421" s="119"/>
      <c r="B421" s="120"/>
      <c r="C421" s="111"/>
      <c r="D421" s="111"/>
      <c r="E421" s="121"/>
      <c r="F421" s="121"/>
      <c r="G421" s="113"/>
      <c r="H421" s="199" t="str">
        <f t="shared" si="13"/>
        <v/>
      </c>
      <c r="I421" s="200" t="str">
        <f>IF(H421="","",IF(AND(AI421&lt;=66),VLOOKUP(H421,'WordRead Look Up'!$A$13:$B$20,2,TRUE),IF(AND(AI421&gt;=67,AI421&lt;=72),VLOOKUP(H421,'WordRead Look Up'!$E$13:$F$20,2,TRUE),IF(AND(AI421&gt;=73,AI421&lt;=78),VLOOKUP(H421,'WordRead Look Up'!$I$13:$J$18,2,TRUE),IF(AND(AI421&gt;=79),VLOOKUP(H421,'WordRead Look Up'!$M$13:$N$18,2,TRUE),"")))))</f>
        <v/>
      </c>
      <c r="J421" s="122"/>
      <c r="K421" s="111"/>
      <c r="L421" s="111"/>
      <c r="M421" s="111"/>
      <c r="N421" s="111"/>
      <c r="O421" s="111"/>
      <c r="P421" s="111"/>
      <c r="Q421" s="111"/>
      <c r="R421" s="111"/>
      <c r="S421" s="111"/>
      <c r="T421" s="111"/>
      <c r="U421" s="111"/>
      <c r="V421" s="111"/>
      <c r="W421" s="111"/>
      <c r="X421" s="123"/>
      <c r="AI421" s="222" t="str">
        <f t="shared" si="14"/>
        <v/>
      </c>
    </row>
    <row r="422" spans="1:35" s="108" customFormat="1" ht="15.75">
      <c r="A422" s="119"/>
      <c r="B422" s="120"/>
      <c r="C422" s="111"/>
      <c r="D422" s="111"/>
      <c r="E422" s="121"/>
      <c r="F422" s="121"/>
      <c r="G422" s="113"/>
      <c r="H422" s="199" t="str">
        <f t="shared" si="13"/>
        <v/>
      </c>
      <c r="I422" s="200" t="str">
        <f>IF(H422="","",IF(AND(AI422&lt;=66),VLOOKUP(H422,'WordRead Look Up'!$A$13:$B$20,2,TRUE),IF(AND(AI422&gt;=67,AI422&lt;=72),VLOOKUP(H422,'WordRead Look Up'!$E$13:$F$20,2,TRUE),IF(AND(AI422&gt;=73,AI422&lt;=78),VLOOKUP(H422,'WordRead Look Up'!$I$13:$J$18,2,TRUE),IF(AND(AI422&gt;=79),VLOOKUP(H422,'WordRead Look Up'!$M$13:$N$18,2,TRUE),"")))))</f>
        <v/>
      </c>
      <c r="J422" s="122"/>
      <c r="K422" s="111"/>
      <c r="L422" s="111"/>
      <c r="M422" s="111"/>
      <c r="N422" s="111"/>
      <c r="O422" s="111"/>
      <c r="P422" s="111"/>
      <c r="Q422" s="111"/>
      <c r="R422" s="111"/>
      <c r="S422" s="111"/>
      <c r="T422" s="111"/>
      <c r="U422" s="111"/>
      <c r="V422" s="111"/>
      <c r="W422" s="111"/>
      <c r="X422" s="123"/>
      <c r="AI422" s="222" t="str">
        <f t="shared" si="14"/>
        <v/>
      </c>
    </row>
    <row r="423" spans="1:35" s="108" customFormat="1" ht="15.75">
      <c r="A423" s="119"/>
      <c r="B423" s="120"/>
      <c r="C423" s="111"/>
      <c r="D423" s="111"/>
      <c r="E423" s="121"/>
      <c r="F423" s="121"/>
      <c r="G423" s="113"/>
      <c r="H423" s="199" t="str">
        <f t="shared" si="13"/>
        <v/>
      </c>
      <c r="I423" s="200" t="str">
        <f>IF(H423="","",IF(AND(AI423&lt;=66),VLOOKUP(H423,'WordRead Look Up'!$A$13:$B$20,2,TRUE),IF(AND(AI423&gt;=67,AI423&lt;=72),VLOOKUP(H423,'WordRead Look Up'!$E$13:$F$20,2,TRUE),IF(AND(AI423&gt;=73,AI423&lt;=78),VLOOKUP(H423,'WordRead Look Up'!$I$13:$J$18,2,TRUE),IF(AND(AI423&gt;=79),VLOOKUP(H423,'WordRead Look Up'!$M$13:$N$18,2,TRUE),"")))))</f>
        <v/>
      </c>
      <c r="J423" s="122"/>
      <c r="K423" s="111"/>
      <c r="L423" s="111"/>
      <c r="M423" s="111"/>
      <c r="N423" s="111"/>
      <c r="O423" s="111"/>
      <c r="P423" s="111"/>
      <c r="Q423" s="111"/>
      <c r="R423" s="111"/>
      <c r="S423" s="111"/>
      <c r="T423" s="111"/>
      <c r="U423" s="111"/>
      <c r="V423" s="111"/>
      <c r="W423" s="111"/>
      <c r="X423" s="123"/>
      <c r="AI423" s="222" t="str">
        <f t="shared" si="14"/>
        <v/>
      </c>
    </row>
    <row r="424" spans="1:35" s="108" customFormat="1" ht="15.75">
      <c r="A424" s="119"/>
      <c r="B424" s="120"/>
      <c r="C424" s="111"/>
      <c r="D424" s="111"/>
      <c r="E424" s="121"/>
      <c r="F424" s="121"/>
      <c r="G424" s="113"/>
      <c r="H424" s="199" t="str">
        <f t="shared" si="13"/>
        <v/>
      </c>
      <c r="I424" s="200" t="str">
        <f>IF(H424="","",IF(AND(AI424&lt;=66),VLOOKUP(H424,'WordRead Look Up'!$A$13:$B$20,2,TRUE),IF(AND(AI424&gt;=67,AI424&lt;=72),VLOOKUP(H424,'WordRead Look Up'!$E$13:$F$20,2,TRUE),IF(AND(AI424&gt;=73,AI424&lt;=78),VLOOKUP(H424,'WordRead Look Up'!$I$13:$J$18,2,TRUE),IF(AND(AI424&gt;=79),VLOOKUP(H424,'WordRead Look Up'!$M$13:$N$18,2,TRUE),"")))))</f>
        <v/>
      </c>
      <c r="J424" s="122"/>
      <c r="K424" s="111"/>
      <c r="L424" s="111"/>
      <c r="M424" s="111"/>
      <c r="N424" s="111"/>
      <c r="O424" s="111"/>
      <c r="P424" s="111"/>
      <c r="Q424" s="111"/>
      <c r="R424" s="111"/>
      <c r="S424" s="111"/>
      <c r="T424" s="111"/>
      <c r="U424" s="111"/>
      <c r="V424" s="111"/>
      <c r="W424" s="111"/>
      <c r="X424" s="123"/>
      <c r="AI424" s="222" t="str">
        <f t="shared" si="14"/>
        <v/>
      </c>
    </row>
    <row r="425" spans="1:35" s="108" customFormat="1" ht="15.75">
      <c r="A425" s="119"/>
      <c r="B425" s="120"/>
      <c r="C425" s="111"/>
      <c r="D425" s="111"/>
      <c r="E425" s="121"/>
      <c r="F425" s="121"/>
      <c r="G425" s="113"/>
      <c r="H425" s="199" t="str">
        <f t="shared" si="13"/>
        <v/>
      </c>
      <c r="I425" s="200" t="str">
        <f>IF(H425="","",IF(AND(AI425&lt;=66),VLOOKUP(H425,'WordRead Look Up'!$A$13:$B$20,2,TRUE),IF(AND(AI425&gt;=67,AI425&lt;=72),VLOOKUP(H425,'WordRead Look Up'!$E$13:$F$20,2,TRUE),IF(AND(AI425&gt;=73,AI425&lt;=78),VLOOKUP(H425,'WordRead Look Up'!$I$13:$J$18,2,TRUE),IF(AND(AI425&gt;=79),VLOOKUP(H425,'WordRead Look Up'!$M$13:$N$18,2,TRUE),"")))))</f>
        <v/>
      </c>
      <c r="J425" s="122"/>
      <c r="K425" s="111"/>
      <c r="L425" s="111"/>
      <c r="M425" s="111"/>
      <c r="N425" s="111"/>
      <c r="O425" s="111"/>
      <c r="P425" s="111"/>
      <c r="Q425" s="111"/>
      <c r="R425" s="111"/>
      <c r="S425" s="111"/>
      <c r="T425" s="111"/>
      <c r="U425" s="111"/>
      <c r="V425" s="111"/>
      <c r="W425" s="111"/>
      <c r="X425" s="123"/>
      <c r="AI425" s="222" t="str">
        <f t="shared" si="14"/>
        <v/>
      </c>
    </row>
    <row r="426" spans="1:35" s="108" customFormat="1" ht="15.75">
      <c r="A426" s="119"/>
      <c r="B426" s="120"/>
      <c r="C426" s="111"/>
      <c r="D426" s="111"/>
      <c r="E426" s="121"/>
      <c r="F426" s="121"/>
      <c r="G426" s="113"/>
      <c r="H426" s="199" t="str">
        <f t="shared" si="13"/>
        <v/>
      </c>
      <c r="I426" s="200" t="str">
        <f>IF(H426="","",IF(AND(AI426&lt;=66),VLOOKUP(H426,'WordRead Look Up'!$A$13:$B$20,2,TRUE),IF(AND(AI426&gt;=67,AI426&lt;=72),VLOOKUP(H426,'WordRead Look Up'!$E$13:$F$20,2,TRUE),IF(AND(AI426&gt;=73,AI426&lt;=78),VLOOKUP(H426,'WordRead Look Up'!$I$13:$J$18,2,TRUE),IF(AND(AI426&gt;=79),VLOOKUP(H426,'WordRead Look Up'!$M$13:$N$18,2,TRUE),"")))))</f>
        <v/>
      </c>
      <c r="J426" s="122"/>
      <c r="K426" s="111"/>
      <c r="L426" s="111"/>
      <c r="M426" s="111"/>
      <c r="N426" s="111"/>
      <c r="O426" s="111"/>
      <c r="P426" s="111"/>
      <c r="Q426" s="111"/>
      <c r="R426" s="111"/>
      <c r="S426" s="111"/>
      <c r="T426" s="111"/>
      <c r="U426" s="111"/>
      <c r="V426" s="111"/>
      <c r="W426" s="111"/>
      <c r="X426" s="123"/>
      <c r="AI426" s="222" t="str">
        <f t="shared" si="14"/>
        <v/>
      </c>
    </row>
    <row r="427" spans="1:35" s="108" customFormat="1" ht="15.75">
      <c r="A427" s="119"/>
      <c r="B427" s="120"/>
      <c r="C427" s="111"/>
      <c r="D427" s="111"/>
      <c r="E427" s="121"/>
      <c r="F427" s="121"/>
      <c r="G427" s="113"/>
      <c r="H427" s="199" t="str">
        <f t="shared" si="13"/>
        <v/>
      </c>
      <c r="I427" s="200" t="str">
        <f>IF(H427="","",IF(AND(AI427&lt;=66),VLOOKUP(H427,'WordRead Look Up'!$A$13:$B$20,2,TRUE),IF(AND(AI427&gt;=67,AI427&lt;=72),VLOOKUP(H427,'WordRead Look Up'!$E$13:$F$20,2,TRUE),IF(AND(AI427&gt;=73,AI427&lt;=78),VLOOKUP(H427,'WordRead Look Up'!$I$13:$J$18,2,TRUE),IF(AND(AI427&gt;=79),VLOOKUP(H427,'WordRead Look Up'!$M$13:$N$18,2,TRUE),"")))))</f>
        <v/>
      </c>
      <c r="J427" s="122"/>
      <c r="K427" s="111"/>
      <c r="L427" s="111"/>
      <c r="M427" s="111"/>
      <c r="N427" s="111"/>
      <c r="O427" s="111"/>
      <c r="P427" s="111"/>
      <c r="Q427" s="111"/>
      <c r="R427" s="111"/>
      <c r="S427" s="111"/>
      <c r="T427" s="111"/>
      <c r="U427" s="111"/>
      <c r="V427" s="111"/>
      <c r="W427" s="111"/>
      <c r="X427" s="123"/>
      <c r="AI427" s="222" t="str">
        <f t="shared" si="14"/>
        <v/>
      </c>
    </row>
    <row r="428" spans="1:35" s="108" customFormat="1" ht="15.75">
      <c r="A428" s="119"/>
      <c r="B428" s="120"/>
      <c r="C428" s="111"/>
      <c r="D428" s="111"/>
      <c r="E428" s="121"/>
      <c r="F428" s="121"/>
      <c r="G428" s="113"/>
      <c r="H428" s="199" t="str">
        <f t="shared" si="13"/>
        <v/>
      </c>
      <c r="I428" s="200" t="str">
        <f>IF(H428="","",IF(AND(AI428&lt;=66),VLOOKUP(H428,'WordRead Look Up'!$A$13:$B$20,2,TRUE),IF(AND(AI428&gt;=67,AI428&lt;=72),VLOOKUP(H428,'WordRead Look Up'!$E$13:$F$20,2,TRUE),IF(AND(AI428&gt;=73,AI428&lt;=78),VLOOKUP(H428,'WordRead Look Up'!$I$13:$J$18,2,TRUE),IF(AND(AI428&gt;=79),VLOOKUP(H428,'WordRead Look Up'!$M$13:$N$18,2,TRUE),"")))))</f>
        <v/>
      </c>
      <c r="J428" s="122"/>
      <c r="K428" s="111"/>
      <c r="L428" s="111"/>
      <c r="M428" s="111"/>
      <c r="N428" s="111"/>
      <c r="O428" s="111"/>
      <c r="P428" s="111"/>
      <c r="Q428" s="111"/>
      <c r="R428" s="111"/>
      <c r="S428" s="111"/>
      <c r="T428" s="111"/>
      <c r="U428" s="111"/>
      <c r="V428" s="111"/>
      <c r="W428" s="111"/>
      <c r="X428" s="123"/>
      <c r="AI428" s="222" t="str">
        <f t="shared" si="14"/>
        <v/>
      </c>
    </row>
    <row r="429" spans="1:35" s="108" customFormat="1" ht="15.75">
      <c r="A429" s="119"/>
      <c r="B429" s="120"/>
      <c r="C429" s="111"/>
      <c r="D429" s="111"/>
      <c r="E429" s="121"/>
      <c r="F429" s="121"/>
      <c r="G429" s="113"/>
      <c r="H429" s="199" t="str">
        <f t="shared" si="13"/>
        <v/>
      </c>
      <c r="I429" s="200" t="str">
        <f>IF(H429="","",IF(AND(AI429&lt;=66),VLOOKUP(H429,'WordRead Look Up'!$A$13:$B$20,2,TRUE),IF(AND(AI429&gt;=67,AI429&lt;=72),VLOOKUP(H429,'WordRead Look Up'!$E$13:$F$20,2,TRUE),IF(AND(AI429&gt;=73,AI429&lt;=78),VLOOKUP(H429,'WordRead Look Up'!$I$13:$J$18,2,TRUE),IF(AND(AI429&gt;=79),VLOOKUP(H429,'WordRead Look Up'!$M$13:$N$18,2,TRUE),"")))))</f>
        <v/>
      </c>
      <c r="J429" s="122"/>
      <c r="K429" s="111"/>
      <c r="L429" s="111"/>
      <c r="M429" s="111"/>
      <c r="N429" s="111"/>
      <c r="O429" s="111"/>
      <c r="P429" s="111"/>
      <c r="Q429" s="111"/>
      <c r="R429" s="111"/>
      <c r="S429" s="111"/>
      <c r="T429" s="111"/>
      <c r="U429" s="111"/>
      <c r="V429" s="111"/>
      <c r="W429" s="111"/>
      <c r="X429" s="123"/>
      <c r="AI429" s="222" t="str">
        <f t="shared" si="14"/>
        <v/>
      </c>
    </row>
    <row r="430" spans="1:35" s="108" customFormat="1" ht="15.75">
      <c r="A430" s="119"/>
      <c r="B430" s="120"/>
      <c r="C430" s="111"/>
      <c r="D430" s="111"/>
      <c r="E430" s="121"/>
      <c r="F430" s="121"/>
      <c r="G430" s="113"/>
      <c r="H430" s="199" t="str">
        <f t="shared" si="13"/>
        <v/>
      </c>
      <c r="I430" s="200" t="str">
        <f>IF(H430="","",IF(AND(AI430&lt;=66),VLOOKUP(H430,'WordRead Look Up'!$A$13:$B$20,2,TRUE),IF(AND(AI430&gt;=67,AI430&lt;=72),VLOOKUP(H430,'WordRead Look Up'!$E$13:$F$20,2,TRUE),IF(AND(AI430&gt;=73,AI430&lt;=78),VLOOKUP(H430,'WordRead Look Up'!$I$13:$J$18,2,TRUE),IF(AND(AI430&gt;=79),VLOOKUP(H430,'WordRead Look Up'!$M$13:$N$18,2,TRUE),"")))))</f>
        <v/>
      </c>
      <c r="J430" s="122"/>
      <c r="K430" s="111"/>
      <c r="L430" s="111"/>
      <c r="M430" s="111"/>
      <c r="N430" s="111"/>
      <c r="O430" s="111"/>
      <c r="P430" s="111"/>
      <c r="Q430" s="111"/>
      <c r="R430" s="111"/>
      <c r="S430" s="111"/>
      <c r="T430" s="111"/>
      <c r="U430" s="111"/>
      <c r="V430" s="111"/>
      <c r="W430" s="111"/>
      <c r="X430" s="123"/>
      <c r="AI430" s="222" t="str">
        <f t="shared" si="14"/>
        <v/>
      </c>
    </row>
    <row r="431" spans="1:35" s="108" customFormat="1" ht="15.75">
      <c r="A431" s="119"/>
      <c r="B431" s="120"/>
      <c r="C431" s="111"/>
      <c r="D431" s="111"/>
      <c r="E431" s="121"/>
      <c r="F431" s="121"/>
      <c r="G431" s="113"/>
      <c r="H431" s="199" t="str">
        <f t="shared" si="13"/>
        <v/>
      </c>
      <c r="I431" s="200" t="str">
        <f>IF(H431="","",IF(AND(AI431&lt;=66),VLOOKUP(H431,'WordRead Look Up'!$A$13:$B$20,2,TRUE),IF(AND(AI431&gt;=67,AI431&lt;=72),VLOOKUP(H431,'WordRead Look Up'!$E$13:$F$20,2,TRUE),IF(AND(AI431&gt;=73,AI431&lt;=78),VLOOKUP(H431,'WordRead Look Up'!$I$13:$J$18,2,TRUE),IF(AND(AI431&gt;=79),VLOOKUP(H431,'WordRead Look Up'!$M$13:$N$18,2,TRUE),"")))))</f>
        <v/>
      </c>
      <c r="J431" s="122"/>
      <c r="K431" s="111"/>
      <c r="L431" s="111"/>
      <c r="M431" s="111"/>
      <c r="N431" s="111"/>
      <c r="O431" s="111"/>
      <c r="P431" s="111"/>
      <c r="Q431" s="111"/>
      <c r="R431" s="111"/>
      <c r="S431" s="111"/>
      <c r="T431" s="111"/>
      <c r="U431" s="111"/>
      <c r="V431" s="111"/>
      <c r="W431" s="111"/>
      <c r="X431" s="123"/>
      <c r="AI431" s="222" t="str">
        <f t="shared" si="14"/>
        <v/>
      </c>
    </row>
    <row r="432" spans="1:35" s="108" customFormat="1" ht="15.75">
      <c r="A432" s="119"/>
      <c r="B432" s="120"/>
      <c r="C432" s="111"/>
      <c r="D432" s="111"/>
      <c r="E432" s="121"/>
      <c r="F432" s="121"/>
      <c r="G432" s="113"/>
      <c r="H432" s="199" t="str">
        <f t="shared" si="13"/>
        <v/>
      </c>
      <c r="I432" s="200" t="str">
        <f>IF(H432="","",IF(AND(AI432&lt;=66),VLOOKUP(H432,'WordRead Look Up'!$A$13:$B$20,2,TRUE),IF(AND(AI432&gt;=67,AI432&lt;=72),VLOOKUP(H432,'WordRead Look Up'!$E$13:$F$20,2,TRUE),IF(AND(AI432&gt;=73,AI432&lt;=78),VLOOKUP(H432,'WordRead Look Up'!$I$13:$J$18,2,TRUE),IF(AND(AI432&gt;=79),VLOOKUP(H432,'WordRead Look Up'!$M$13:$N$18,2,TRUE),"")))))</f>
        <v/>
      </c>
      <c r="J432" s="122"/>
      <c r="K432" s="111"/>
      <c r="L432" s="111"/>
      <c r="M432" s="111"/>
      <c r="N432" s="111"/>
      <c r="O432" s="111"/>
      <c r="P432" s="111"/>
      <c r="Q432" s="111"/>
      <c r="R432" s="111"/>
      <c r="S432" s="111"/>
      <c r="T432" s="111"/>
      <c r="U432" s="111"/>
      <c r="V432" s="111"/>
      <c r="W432" s="111"/>
      <c r="X432" s="123"/>
      <c r="AI432" s="222" t="str">
        <f t="shared" si="14"/>
        <v/>
      </c>
    </row>
    <row r="433" spans="1:35" s="108" customFormat="1" ht="15.75">
      <c r="A433" s="119"/>
      <c r="B433" s="120"/>
      <c r="C433" s="111"/>
      <c r="D433" s="111"/>
      <c r="E433" s="121"/>
      <c r="F433" s="121"/>
      <c r="G433" s="113"/>
      <c r="H433" s="199" t="str">
        <f t="shared" si="13"/>
        <v/>
      </c>
      <c r="I433" s="200" t="str">
        <f>IF(H433="","",IF(AND(AI433&lt;=66),VLOOKUP(H433,'WordRead Look Up'!$A$13:$B$20,2,TRUE),IF(AND(AI433&gt;=67,AI433&lt;=72),VLOOKUP(H433,'WordRead Look Up'!$E$13:$F$20,2,TRUE),IF(AND(AI433&gt;=73,AI433&lt;=78),VLOOKUP(H433,'WordRead Look Up'!$I$13:$J$18,2,TRUE),IF(AND(AI433&gt;=79),VLOOKUP(H433,'WordRead Look Up'!$M$13:$N$18,2,TRUE),"")))))</f>
        <v/>
      </c>
      <c r="J433" s="122"/>
      <c r="K433" s="111"/>
      <c r="L433" s="111"/>
      <c r="M433" s="111"/>
      <c r="N433" s="111"/>
      <c r="O433" s="111"/>
      <c r="P433" s="111"/>
      <c r="Q433" s="111"/>
      <c r="R433" s="111"/>
      <c r="S433" s="111"/>
      <c r="T433" s="111"/>
      <c r="U433" s="111"/>
      <c r="V433" s="111"/>
      <c r="W433" s="111"/>
      <c r="X433" s="123"/>
      <c r="AI433" s="222" t="str">
        <f t="shared" si="14"/>
        <v/>
      </c>
    </row>
    <row r="434" spans="1:35" s="108" customFormat="1" ht="15.75">
      <c r="A434" s="119"/>
      <c r="B434" s="120"/>
      <c r="C434" s="111"/>
      <c r="D434" s="111"/>
      <c r="E434" s="121"/>
      <c r="F434" s="121"/>
      <c r="G434" s="113"/>
      <c r="H434" s="199" t="str">
        <f t="shared" si="13"/>
        <v/>
      </c>
      <c r="I434" s="200" t="str">
        <f>IF(H434="","",IF(AND(AI434&lt;=66),VLOOKUP(H434,'WordRead Look Up'!$A$13:$B$20,2,TRUE),IF(AND(AI434&gt;=67,AI434&lt;=72),VLOOKUP(H434,'WordRead Look Up'!$E$13:$F$20,2,TRUE),IF(AND(AI434&gt;=73,AI434&lt;=78),VLOOKUP(H434,'WordRead Look Up'!$I$13:$J$18,2,TRUE),IF(AND(AI434&gt;=79),VLOOKUP(H434,'WordRead Look Up'!$M$13:$N$18,2,TRUE),"")))))</f>
        <v/>
      </c>
      <c r="J434" s="122"/>
      <c r="K434" s="111"/>
      <c r="L434" s="111"/>
      <c r="M434" s="111"/>
      <c r="N434" s="111"/>
      <c r="O434" s="111"/>
      <c r="P434" s="111"/>
      <c r="Q434" s="111"/>
      <c r="R434" s="111"/>
      <c r="S434" s="111"/>
      <c r="T434" s="111"/>
      <c r="U434" s="111"/>
      <c r="V434" s="111"/>
      <c r="W434" s="111"/>
      <c r="X434" s="123"/>
      <c r="AI434" s="222" t="str">
        <f t="shared" si="14"/>
        <v/>
      </c>
    </row>
    <row r="435" spans="1:35" s="108" customFormat="1" ht="15.75">
      <c r="A435" s="119"/>
      <c r="B435" s="120"/>
      <c r="C435" s="111"/>
      <c r="D435" s="111"/>
      <c r="E435" s="121"/>
      <c r="F435" s="121"/>
      <c r="G435" s="113"/>
      <c r="H435" s="199" t="str">
        <f t="shared" si="13"/>
        <v/>
      </c>
      <c r="I435" s="200" t="str">
        <f>IF(H435="","",IF(AND(AI435&lt;=66),VLOOKUP(H435,'WordRead Look Up'!$A$13:$B$20,2,TRUE),IF(AND(AI435&gt;=67,AI435&lt;=72),VLOOKUP(H435,'WordRead Look Up'!$E$13:$F$20,2,TRUE),IF(AND(AI435&gt;=73,AI435&lt;=78),VLOOKUP(H435,'WordRead Look Up'!$I$13:$J$18,2,TRUE),IF(AND(AI435&gt;=79),VLOOKUP(H435,'WordRead Look Up'!$M$13:$N$18,2,TRUE),"")))))</f>
        <v/>
      </c>
      <c r="J435" s="122"/>
      <c r="K435" s="111"/>
      <c r="L435" s="111"/>
      <c r="M435" s="111"/>
      <c r="N435" s="111"/>
      <c r="O435" s="111"/>
      <c r="P435" s="111"/>
      <c r="Q435" s="111"/>
      <c r="R435" s="111"/>
      <c r="S435" s="111"/>
      <c r="T435" s="111"/>
      <c r="U435" s="111"/>
      <c r="V435" s="111"/>
      <c r="W435" s="111"/>
      <c r="X435" s="123"/>
      <c r="AI435" s="222" t="str">
        <f t="shared" si="14"/>
        <v/>
      </c>
    </row>
    <row r="436" spans="1:35" s="108" customFormat="1" ht="15.75">
      <c r="A436" s="119"/>
      <c r="B436" s="120"/>
      <c r="C436" s="111"/>
      <c r="D436" s="111"/>
      <c r="E436" s="121"/>
      <c r="F436" s="121"/>
      <c r="G436" s="113"/>
      <c r="H436" s="199" t="str">
        <f t="shared" si="13"/>
        <v/>
      </c>
      <c r="I436" s="200" t="str">
        <f>IF(H436="","",IF(AND(AI436&lt;=66),VLOOKUP(H436,'WordRead Look Up'!$A$13:$B$20,2,TRUE),IF(AND(AI436&gt;=67,AI436&lt;=72),VLOOKUP(H436,'WordRead Look Up'!$E$13:$F$20,2,TRUE),IF(AND(AI436&gt;=73,AI436&lt;=78),VLOOKUP(H436,'WordRead Look Up'!$I$13:$J$18,2,TRUE),IF(AND(AI436&gt;=79),VLOOKUP(H436,'WordRead Look Up'!$M$13:$N$18,2,TRUE),"")))))</f>
        <v/>
      </c>
      <c r="J436" s="122"/>
      <c r="K436" s="111"/>
      <c r="L436" s="111"/>
      <c r="M436" s="111"/>
      <c r="N436" s="111"/>
      <c r="O436" s="111"/>
      <c r="P436" s="111"/>
      <c r="Q436" s="111"/>
      <c r="R436" s="111"/>
      <c r="S436" s="111"/>
      <c r="T436" s="111"/>
      <c r="U436" s="111"/>
      <c r="V436" s="111"/>
      <c r="W436" s="111"/>
      <c r="X436" s="123"/>
      <c r="AI436" s="222" t="str">
        <f t="shared" si="14"/>
        <v/>
      </c>
    </row>
    <row r="437" spans="1:35" s="108" customFormat="1" ht="15.75">
      <c r="A437" s="119"/>
      <c r="B437" s="120"/>
      <c r="C437" s="111"/>
      <c r="D437" s="111"/>
      <c r="E437" s="121"/>
      <c r="F437" s="121"/>
      <c r="G437" s="113"/>
      <c r="H437" s="199" t="str">
        <f t="shared" si="13"/>
        <v/>
      </c>
      <c r="I437" s="200" t="str">
        <f>IF(H437="","",IF(AND(AI437&lt;=66),VLOOKUP(H437,'WordRead Look Up'!$A$13:$B$20,2,TRUE),IF(AND(AI437&gt;=67,AI437&lt;=72),VLOOKUP(H437,'WordRead Look Up'!$E$13:$F$20,2,TRUE),IF(AND(AI437&gt;=73,AI437&lt;=78),VLOOKUP(H437,'WordRead Look Up'!$I$13:$J$18,2,TRUE),IF(AND(AI437&gt;=79),VLOOKUP(H437,'WordRead Look Up'!$M$13:$N$18,2,TRUE),"")))))</f>
        <v/>
      </c>
      <c r="J437" s="122"/>
      <c r="K437" s="111"/>
      <c r="L437" s="111"/>
      <c r="M437" s="111"/>
      <c r="N437" s="111"/>
      <c r="O437" s="111"/>
      <c r="P437" s="111"/>
      <c r="Q437" s="111"/>
      <c r="R437" s="111"/>
      <c r="S437" s="111"/>
      <c r="T437" s="111"/>
      <c r="U437" s="111"/>
      <c r="V437" s="111"/>
      <c r="W437" s="111"/>
      <c r="X437" s="123"/>
      <c r="AI437" s="222" t="str">
        <f t="shared" si="14"/>
        <v/>
      </c>
    </row>
    <row r="438" spans="1:35" s="108" customFormat="1" ht="15.75">
      <c r="A438" s="119"/>
      <c r="B438" s="120"/>
      <c r="C438" s="111"/>
      <c r="D438" s="111"/>
      <c r="E438" s="121"/>
      <c r="F438" s="121"/>
      <c r="G438" s="113"/>
      <c r="H438" s="199" t="str">
        <f t="shared" si="13"/>
        <v/>
      </c>
      <c r="I438" s="200" t="str">
        <f>IF(H438="","",IF(AND(AI438&lt;=66),VLOOKUP(H438,'WordRead Look Up'!$A$13:$B$20,2,TRUE),IF(AND(AI438&gt;=67,AI438&lt;=72),VLOOKUP(H438,'WordRead Look Up'!$E$13:$F$20,2,TRUE),IF(AND(AI438&gt;=73,AI438&lt;=78),VLOOKUP(H438,'WordRead Look Up'!$I$13:$J$18,2,TRUE),IF(AND(AI438&gt;=79),VLOOKUP(H438,'WordRead Look Up'!$M$13:$N$18,2,TRUE),"")))))</f>
        <v/>
      </c>
      <c r="J438" s="122"/>
      <c r="K438" s="111"/>
      <c r="L438" s="111"/>
      <c r="M438" s="111"/>
      <c r="N438" s="111"/>
      <c r="O438" s="111"/>
      <c r="P438" s="111"/>
      <c r="Q438" s="111"/>
      <c r="R438" s="111"/>
      <c r="S438" s="111"/>
      <c r="T438" s="111"/>
      <c r="U438" s="111"/>
      <c r="V438" s="111"/>
      <c r="W438" s="111"/>
      <c r="X438" s="123"/>
      <c r="AI438" s="222" t="str">
        <f t="shared" si="14"/>
        <v/>
      </c>
    </row>
    <row r="439" spans="1:35" s="108" customFormat="1" ht="15.75">
      <c r="A439" s="119"/>
      <c r="B439" s="120"/>
      <c r="C439" s="111"/>
      <c r="D439" s="111"/>
      <c r="E439" s="121"/>
      <c r="F439" s="121"/>
      <c r="G439" s="113"/>
      <c r="H439" s="199" t="str">
        <f t="shared" si="13"/>
        <v/>
      </c>
      <c r="I439" s="200" t="str">
        <f>IF(H439="","",IF(AND(AI439&lt;=66),VLOOKUP(H439,'WordRead Look Up'!$A$13:$B$20,2,TRUE),IF(AND(AI439&gt;=67,AI439&lt;=72),VLOOKUP(H439,'WordRead Look Up'!$E$13:$F$20,2,TRUE),IF(AND(AI439&gt;=73,AI439&lt;=78),VLOOKUP(H439,'WordRead Look Up'!$I$13:$J$18,2,TRUE),IF(AND(AI439&gt;=79),VLOOKUP(H439,'WordRead Look Up'!$M$13:$N$18,2,TRUE),"")))))</f>
        <v/>
      </c>
      <c r="J439" s="122"/>
      <c r="K439" s="111"/>
      <c r="L439" s="111"/>
      <c r="M439" s="111"/>
      <c r="N439" s="111"/>
      <c r="O439" s="111"/>
      <c r="P439" s="111"/>
      <c r="Q439" s="111"/>
      <c r="R439" s="111"/>
      <c r="S439" s="111"/>
      <c r="T439" s="111"/>
      <c r="U439" s="111"/>
      <c r="V439" s="111"/>
      <c r="W439" s="111"/>
      <c r="X439" s="123"/>
      <c r="AI439" s="222" t="str">
        <f t="shared" si="14"/>
        <v/>
      </c>
    </row>
    <row r="440" spans="1:35" s="108" customFormat="1" ht="15.75">
      <c r="A440" s="119"/>
      <c r="B440" s="120"/>
      <c r="C440" s="111"/>
      <c r="D440" s="111"/>
      <c r="E440" s="121"/>
      <c r="F440" s="121"/>
      <c r="G440" s="113"/>
      <c r="H440" s="199" t="str">
        <f t="shared" si="13"/>
        <v/>
      </c>
      <c r="I440" s="200" t="str">
        <f>IF(H440="","",IF(AND(AI440&lt;=66),VLOOKUP(H440,'WordRead Look Up'!$A$13:$B$20,2,TRUE),IF(AND(AI440&gt;=67,AI440&lt;=72),VLOOKUP(H440,'WordRead Look Up'!$E$13:$F$20,2,TRUE),IF(AND(AI440&gt;=73,AI440&lt;=78),VLOOKUP(H440,'WordRead Look Up'!$I$13:$J$18,2,TRUE),IF(AND(AI440&gt;=79),VLOOKUP(H440,'WordRead Look Up'!$M$13:$N$18,2,TRUE),"")))))</f>
        <v/>
      </c>
      <c r="J440" s="122"/>
      <c r="K440" s="111"/>
      <c r="L440" s="111"/>
      <c r="M440" s="111"/>
      <c r="N440" s="111"/>
      <c r="O440" s="111"/>
      <c r="P440" s="111"/>
      <c r="Q440" s="111"/>
      <c r="R440" s="111"/>
      <c r="S440" s="111"/>
      <c r="T440" s="111"/>
      <c r="U440" s="111"/>
      <c r="V440" s="111"/>
      <c r="W440" s="111"/>
      <c r="X440" s="123"/>
      <c r="AI440" s="222" t="str">
        <f t="shared" si="14"/>
        <v/>
      </c>
    </row>
    <row r="441" spans="1:35" s="108" customFormat="1" ht="15.75">
      <c r="A441" s="119"/>
      <c r="B441" s="120"/>
      <c r="C441" s="111"/>
      <c r="D441" s="111"/>
      <c r="E441" s="121"/>
      <c r="F441" s="121"/>
      <c r="G441" s="113"/>
      <c r="H441" s="199" t="str">
        <f t="shared" si="13"/>
        <v/>
      </c>
      <c r="I441" s="200" t="str">
        <f>IF(H441="","",IF(AND(AI441&lt;=66),VLOOKUP(H441,'WordRead Look Up'!$A$13:$B$20,2,TRUE),IF(AND(AI441&gt;=67,AI441&lt;=72),VLOOKUP(H441,'WordRead Look Up'!$E$13:$F$20,2,TRUE),IF(AND(AI441&gt;=73,AI441&lt;=78),VLOOKUP(H441,'WordRead Look Up'!$I$13:$J$18,2,TRUE),IF(AND(AI441&gt;=79),VLOOKUP(H441,'WordRead Look Up'!$M$13:$N$18,2,TRUE),"")))))</f>
        <v/>
      </c>
      <c r="J441" s="122"/>
      <c r="K441" s="111"/>
      <c r="L441" s="111"/>
      <c r="M441" s="111"/>
      <c r="N441" s="111"/>
      <c r="O441" s="111"/>
      <c r="P441" s="111"/>
      <c r="Q441" s="111"/>
      <c r="R441" s="111"/>
      <c r="S441" s="111"/>
      <c r="T441" s="111"/>
      <c r="U441" s="111"/>
      <c r="V441" s="111"/>
      <c r="W441" s="111"/>
      <c r="X441" s="123"/>
      <c r="AI441" s="222" t="str">
        <f t="shared" si="14"/>
        <v/>
      </c>
    </row>
    <row r="442" spans="1:35" s="108" customFormat="1" ht="15.75">
      <c r="A442" s="119"/>
      <c r="B442" s="120"/>
      <c r="C442" s="111"/>
      <c r="D442" s="111"/>
      <c r="E442" s="121"/>
      <c r="F442" s="121"/>
      <c r="G442" s="113"/>
      <c r="H442" s="199" t="str">
        <f t="shared" si="13"/>
        <v/>
      </c>
      <c r="I442" s="200" t="str">
        <f>IF(H442="","",IF(AND(AI442&lt;=66),VLOOKUP(H442,'WordRead Look Up'!$A$13:$B$20,2,TRUE),IF(AND(AI442&gt;=67,AI442&lt;=72),VLOOKUP(H442,'WordRead Look Up'!$E$13:$F$20,2,TRUE),IF(AND(AI442&gt;=73,AI442&lt;=78),VLOOKUP(H442,'WordRead Look Up'!$I$13:$J$18,2,TRUE),IF(AND(AI442&gt;=79),VLOOKUP(H442,'WordRead Look Up'!$M$13:$N$18,2,TRUE),"")))))</f>
        <v/>
      </c>
      <c r="J442" s="122"/>
      <c r="K442" s="111"/>
      <c r="L442" s="111"/>
      <c r="M442" s="111"/>
      <c r="N442" s="111"/>
      <c r="O442" s="111"/>
      <c r="P442" s="111"/>
      <c r="Q442" s="111"/>
      <c r="R442" s="111"/>
      <c r="S442" s="111"/>
      <c r="T442" s="111"/>
      <c r="U442" s="111"/>
      <c r="V442" s="111"/>
      <c r="W442" s="111"/>
      <c r="X442" s="123"/>
      <c r="AI442" s="222" t="str">
        <f t="shared" si="14"/>
        <v/>
      </c>
    </row>
    <row r="443" spans="1:35" s="108" customFormat="1" ht="15.75">
      <c r="A443" s="119"/>
      <c r="B443" s="120"/>
      <c r="C443" s="111"/>
      <c r="D443" s="111"/>
      <c r="E443" s="121"/>
      <c r="F443" s="121"/>
      <c r="G443" s="113"/>
      <c r="H443" s="199" t="str">
        <f t="shared" si="13"/>
        <v/>
      </c>
      <c r="I443" s="200" t="str">
        <f>IF(H443="","",IF(AND(AI443&lt;=66),VLOOKUP(H443,'WordRead Look Up'!$A$13:$B$20,2,TRUE),IF(AND(AI443&gt;=67,AI443&lt;=72),VLOOKUP(H443,'WordRead Look Up'!$E$13:$F$20,2,TRUE),IF(AND(AI443&gt;=73,AI443&lt;=78),VLOOKUP(H443,'WordRead Look Up'!$I$13:$J$18,2,TRUE),IF(AND(AI443&gt;=79),VLOOKUP(H443,'WordRead Look Up'!$M$13:$N$18,2,TRUE),"")))))</f>
        <v/>
      </c>
      <c r="J443" s="122"/>
      <c r="K443" s="111"/>
      <c r="L443" s="111"/>
      <c r="M443" s="111"/>
      <c r="N443" s="111"/>
      <c r="O443" s="111"/>
      <c r="P443" s="111"/>
      <c r="Q443" s="111"/>
      <c r="R443" s="111"/>
      <c r="S443" s="111"/>
      <c r="T443" s="111"/>
      <c r="U443" s="111"/>
      <c r="V443" s="111"/>
      <c r="W443" s="111"/>
      <c r="X443" s="123"/>
      <c r="AI443" s="222" t="str">
        <f t="shared" si="14"/>
        <v/>
      </c>
    </row>
    <row r="444" spans="1:35" s="108" customFormat="1" ht="15.75">
      <c r="A444" s="119"/>
      <c r="B444" s="120"/>
      <c r="C444" s="111"/>
      <c r="D444" s="111"/>
      <c r="E444" s="121"/>
      <c r="F444" s="121"/>
      <c r="G444" s="113"/>
      <c r="H444" s="199" t="str">
        <f t="shared" si="13"/>
        <v/>
      </c>
      <c r="I444" s="200" t="str">
        <f>IF(H444="","",IF(AND(AI444&lt;=66),VLOOKUP(H444,'WordRead Look Up'!$A$13:$B$20,2,TRUE),IF(AND(AI444&gt;=67,AI444&lt;=72),VLOOKUP(H444,'WordRead Look Up'!$E$13:$F$20,2,TRUE),IF(AND(AI444&gt;=73,AI444&lt;=78),VLOOKUP(H444,'WordRead Look Up'!$I$13:$J$18,2,TRUE),IF(AND(AI444&gt;=79),VLOOKUP(H444,'WordRead Look Up'!$M$13:$N$18,2,TRUE),"")))))</f>
        <v/>
      </c>
      <c r="J444" s="122"/>
      <c r="K444" s="111"/>
      <c r="L444" s="111"/>
      <c r="M444" s="111"/>
      <c r="N444" s="111"/>
      <c r="O444" s="111"/>
      <c r="P444" s="111"/>
      <c r="Q444" s="111"/>
      <c r="R444" s="111"/>
      <c r="S444" s="111"/>
      <c r="T444" s="111"/>
      <c r="U444" s="111"/>
      <c r="V444" s="111"/>
      <c r="W444" s="111"/>
      <c r="X444" s="123"/>
      <c r="AI444" s="222" t="str">
        <f t="shared" si="14"/>
        <v/>
      </c>
    </row>
    <row r="445" spans="1:35" s="108" customFormat="1" ht="15.75">
      <c r="A445" s="119"/>
      <c r="B445" s="120"/>
      <c r="C445" s="111"/>
      <c r="D445" s="111"/>
      <c r="E445" s="121"/>
      <c r="F445" s="121"/>
      <c r="G445" s="113"/>
      <c r="H445" s="199" t="str">
        <f t="shared" si="13"/>
        <v/>
      </c>
      <c r="I445" s="200" t="str">
        <f>IF(H445="","",IF(AND(AI445&lt;=66),VLOOKUP(H445,'WordRead Look Up'!$A$13:$B$20,2,TRUE),IF(AND(AI445&gt;=67,AI445&lt;=72),VLOOKUP(H445,'WordRead Look Up'!$E$13:$F$20,2,TRUE),IF(AND(AI445&gt;=73,AI445&lt;=78),VLOOKUP(H445,'WordRead Look Up'!$I$13:$J$18,2,TRUE),IF(AND(AI445&gt;=79),VLOOKUP(H445,'WordRead Look Up'!$M$13:$N$18,2,TRUE),"")))))</f>
        <v/>
      </c>
      <c r="J445" s="122"/>
      <c r="K445" s="111"/>
      <c r="L445" s="111"/>
      <c r="M445" s="111"/>
      <c r="N445" s="111"/>
      <c r="O445" s="111"/>
      <c r="P445" s="111"/>
      <c r="Q445" s="111"/>
      <c r="R445" s="111"/>
      <c r="S445" s="111"/>
      <c r="T445" s="111"/>
      <c r="U445" s="111"/>
      <c r="V445" s="111"/>
      <c r="W445" s="111"/>
      <c r="X445" s="123"/>
      <c r="AI445" s="222" t="str">
        <f t="shared" si="14"/>
        <v/>
      </c>
    </row>
    <row r="446" spans="1:35" s="108" customFormat="1" ht="15.75">
      <c r="A446" s="119"/>
      <c r="B446" s="120"/>
      <c r="C446" s="111"/>
      <c r="D446" s="111"/>
      <c r="E446" s="121"/>
      <c r="F446" s="121"/>
      <c r="G446" s="113"/>
      <c r="H446" s="199" t="str">
        <f t="shared" si="13"/>
        <v/>
      </c>
      <c r="I446" s="200" t="str">
        <f>IF(H446="","",IF(AND(AI446&lt;=66),VLOOKUP(H446,'WordRead Look Up'!$A$13:$B$20,2,TRUE),IF(AND(AI446&gt;=67,AI446&lt;=72),VLOOKUP(H446,'WordRead Look Up'!$E$13:$F$20,2,TRUE),IF(AND(AI446&gt;=73,AI446&lt;=78),VLOOKUP(H446,'WordRead Look Up'!$I$13:$J$18,2,TRUE),IF(AND(AI446&gt;=79),VLOOKUP(H446,'WordRead Look Up'!$M$13:$N$18,2,TRUE),"")))))</f>
        <v/>
      </c>
      <c r="J446" s="122"/>
      <c r="K446" s="111"/>
      <c r="L446" s="111"/>
      <c r="M446" s="111"/>
      <c r="N446" s="111"/>
      <c r="O446" s="111"/>
      <c r="P446" s="111"/>
      <c r="Q446" s="111"/>
      <c r="R446" s="111"/>
      <c r="S446" s="111"/>
      <c r="T446" s="111"/>
      <c r="U446" s="111"/>
      <c r="V446" s="111"/>
      <c r="W446" s="111"/>
      <c r="X446" s="123"/>
      <c r="AI446" s="222" t="str">
        <f t="shared" si="14"/>
        <v/>
      </c>
    </row>
    <row r="447" spans="1:35" s="108" customFormat="1" ht="15.75">
      <c r="A447" s="119"/>
      <c r="B447" s="120"/>
      <c r="C447" s="111"/>
      <c r="D447" s="111"/>
      <c r="E447" s="121"/>
      <c r="F447" s="121"/>
      <c r="G447" s="113"/>
      <c r="H447" s="199" t="str">
        <f t="shared" si="13"/>
        <v/>
      </c>
      <c r="I447" s="200" t="str">
        <f>IF(H447="","",IF(AND(AI447&lt;=66),VLOOKUP(H447,'WordRead Look Up'!$A$13:$B$20,2,TRUE),IF(AND(AI447&gt;=67,AI447&lt;=72),VLOOKUP(H447,'WordRead Look Up'!$E$13:$F$20,2,TRUE),IF(AND(AI447&gt;=73,AI447&lt;=78),VLOOKUP(H447,'WordRead Look Up'!$I$13:$J$18,2,TRUE),IF(AND(AI447&gt;=79),VLOOKUP(H447,'WordRead Look Up'!$M$13:$N$18,2,TRUE),"")))))</f>
        <v/>
      </c>
      <c r="J447" s="122"/>
      <c r="K447" s="111"/>
      <c r="L447" s="111"/>
      <c r="M447" s="111"/>
      <c r="N447" s="111"/>
      <c r="O447" s="111"/>
      <c r="P447" s="111"/>
      <c r="Q447" s="111"/>
      <c r="R447" s="111"/>
      <c r="S447" s="111"/>
      <c r="T447" s="111"/>
      <c r="U447" s="111"/>
      <c r="V447" s="111"/>
      <c r="W447" s="111"/>
      <c r="X447" s="123"/>
      <c r="AI447" s="222" t="str">
        <f t="shared" si="14"/>
        <v/>
      </c>
    </row>
    <row r="448" spans="1:35" s="108" customFormat="1" ht="15.75">
      <c r="A448" s="119"/>
      <c r="B448" s="120"/>
      <c r="C448" s="111"/>
      <c r="D448" s="111"/>
      <c r="E448" s="121"/>
      <c r="F448" s="121"/>
      <c r="G448" s="113"/>
      <c r="H448" s="199" t="str">
        <f t="shared" si="13"/>
        <v/>
      </c>
      <c r="I448" s="200" t="str">
        <f>IF(H448="","",IF(AND(AI448&lt;=66),VLOOKUP(H448,'WordRead Look Up'!$A$13:$B$20,2,TRUE),IF(AND(AI448&gt;=67,AI448&lt;=72),VLOOKUP(H448,'WordRead Look Up'!$E$13:$F$20,2,TRUE),IF(AND(AI448&gt;=73,AI448&lt;=78),VLOOKUP(H448,'WordRead Look Up'!$I$13:$J$18,2,TRUE),IF(AND(AI448&gt;=79),VLOOKUP(H448,'WordRead Look Up'!$M$13:$N$18,2,TRUE),"")))))</f>
        <v/>
      </c>
      <c r="J448" s="122"/>
      <c r="K448" s="111"/>
      <c r="L448" s="111"/>
      <c r="M448" s="111"/>
      <c r="N448" s="111"/>
      <c r="O448" s="111"/>
      <c r="P448" s="111"/>
      <c r="Q448" s="111"/>
      <c r="R448" s="111"/>
      <c r="S448" s="111"/>
      <c r="T448" s="111"/>
      <c r="U448" s="111"/>
      <c r="V448" s="111"/>
      <c r="W448" s="111"/>
      <c r="X448" s="123"/>
      <c r="AI448" s="222" t="str">
        <f t="shared" si="14"/>
        <v/>
      </c>
    </row>
    <row r="449" spans="1:35" s="108" customFormat="1" ht="15.75">
      <c r="A449" s="119"/>
      <c r="B449" s="120"/>
      <c r="C449" s="111"/>
      <c r="D449" s="111"/>
      <c r="E449" s="121"/>
      <c r="F449" s="121"/>
      <c r="G449" s="113"/>
      <c r="H449" s="199" t="str">
        <f t="shared" si="13"/>
        <v/>
      </c>
      <c r="I449" s="200" t="str">
        <f>IF(H449="","",IF(AND(AI449&lt;=66),VLOOKUP(H449,'WordRead Look Up'!$A$13:$B$20,2,TRUE),IF(AND(AI449&gt;=67,AI449&lt;=72),VLOOKUP(H449,'WordRead Look Up'!$E$13:$F$20,2,TRUE),IF(AND(AI449&gt;=73,AI449&lt;=78),VLOOKUP(H449,'WordRead Look Up'!$I$13:$J$18,2,TRUE),IF(AND(AI449&gt;=79),VLOOKUP(H449,'WordRead Look Up'!$M$13:$N$18,2,TRUE),"")))))</f>
        <v/>
      </c>
      <c r="J449" s="122"/>
      <c r="K449" s="111"/>
      <c r="L449" s="111"/>
      <c r="M449" s="111"/>
      <c r="N449" s="111"/>
      <c r="O449" s="111"/>
      <c r="P449" s="111"/>
      <c r="Q449" s="111"/>
      <c r="R449" s="111"/>
      <c r="S449" s="111"/>
      <c r="T449" s="111"/>
      <c r="U449" s="111"/>
      <c r="V449" s="111"/>
      <c r="W449" s="111"/>
      <c r="X449" s="123"/>
      <c r="AI449" s="222" t="str">
        <f t="shared" si="14"/>
        <v/>
      </c>
    </row>
    <row r="450" spans="1:35" s="108" customFormat="1" ht="15.75">
      <c r="A450" s="119"/>
      <c r="B450" s="120"/>
      <c r="C450" s="111"/>
      <c r="D450" s="111"/>
      <c r="E450" s="121"/>
      <c r="F450" s="121"/>
      <c r="G450" s="113"/>
      <c r="H450" s="199" t="str">
        <f t="shared" si="13"/>
        <v/>
      </c>
      <c r="I450" s="200" t="str">
        <f>IF(H450="","",IF(AND(AI450&lt;=66),VLOOKUP(H450,'WordRead Look Up'!$A$13:$B$20,2,TRUE),IF(AND(AI450&gt;=67,AI450&lt;=72),VLOOKUP(H450,'WordRead Look Up'!$E$13:$F$20,2,TRUE),IF(AND(AI450&gt;=73,AI450&lt;=78),VLOOKUP(H450,'WordRead Look Up'!$I$13:$J$18,2,TRUE),IF(AND(AI450&gt;=79),VLOOKUP(H450,'WordRead Look Up'!$M$13:$N$18,2,TRUE),"")))))</f>
        <v/>
      </c>
      <c r="J450" s="122"/>
      <c r="K450" s="111"/>
      <c r="L450" s="111"/>
      <c r="M450" s="111"/>
      <c r="N450" s="111"/>
      <c r="O450" s="111"/>
      <c r="P450" s="111"/>
      <c r="Q450" s="111"/>
      <c r="R450" s="111"/>
      <c r="S450" s="111"/>
      <c r="T450" s="111"/>
      <c r="U450" s="111"/>
      <c r="V450" s="111"/>
      <c r="W450" s="111"/>
      <c r="X450" s="123"/>
      <c r="AI450" s="222" t="str">
        <f t="shared" si="14"/>
        <v/>
      </c>
    </row>
    <row r="451" spans="1:35" s="108" customFormat="1" ht="15.75">
      <c r="A451" s="119"/>
      <c r="B451" s="120"/>
      <c r="C451" s="111"/>
      <c r="D451" s="111"/>
      <c r="E451" s="121"/>
      <c r="F451" s="121"/>
      <c r="G451" s="113"/>
      <c r="H451" s="199" t="str">
        <f t="shared" si="13"/>
        <v/>
      </c>
      <c r="I451" s="200" t="str">
        <f>IF(H451="","",IF(AND(AI451&lt;=66),VLOOKUP(H451,'WordRead Look Up'!$A$13:$B$20,2,TRUE),IF(AND(AI451&gt;=67,AI451&lt;=72),VLOOKUP(H451,'WordRead Look Up'!$E$13:$F$20,2,TRUE),IF(AND(AI451&gt;=73,AI451&lt;=78),VLOOKUP(H451,'WordRead Look Up'!$I$13:$J$18,2,TRUE),IF(AND(AI451&gt;=79),VLOOKUP(H451,'WordRead Look Up'!$M$13:$N$18,2,TRUE),"")))))</f>
        <v/>
      </c>
      <c r="J451" s="122"/>
      <c r="K451" s="111"/>
      <c r="L451" s="111"/>
      <c r="M451" s="111"/>
      <c r="N451" s="111"/>
      <c r="O451" s="111"/>
      <c r="P451" s="111"/>
      <c r="Q451" s="111"/>
      <c r="R451" s="111"/>
      <c r="S451" s="111"/>
      <c r="T451" s="111"/>
      <c r="U451" s="111"/>
      <c r="V451" s="111"/>
      <c r="W451" s="111"/>
      <c r="X451" s="123"/>
      <c r="AI451" s="222" t="str">
        <f t="shared" si="14"/>
        <v/>
      </c>
    </row>
    <row r="452" spans="1:35" s="108" customFormat="1" ht="15.75">
      <c r="A452" s="119"/>
      <c r="B452" s="120"/>
      <c r="C452" s="111"/>
      <c r="D452" s="111"/>
      <c r="E452" s="121"/>
      <c r="F452" s="121"/>
      <c r="G452" s="113"/>
      <c r="H452" s="199" t="str">
        <f t="shared" si="13"/>
        <v/>
      </c>
      <c r="I452" s="200" t="str">
        <f>IF(H452="","",IF(AND(AI452&lt;=66),VLOOKUP(H452,'WordRead Look Up'!$A$13:$B$20,2,TRUE),IF(AND(AI452&gt;=67,AI452&lt;=72),VLOOKUP(H452,'WordRead Look Up'!$E$13:$F$20,2,TRUE),IF(AND(AI452&gt;=73,AI452&lt;=78),VLOOKUP(H452,'WordRead Look Up'!$I$13:$J$18,2,TRUE),IF(AND(AI452&gt;=79),VLOOKUP(H452,'WordRead Look Up'!$M$13:$N$18,2,TRUE),"")))))</f>
        <v/>
      </c>
      <c r="J452" s="122"/>
      <c r="K452" s="111"/>
      <c r="L452" s="111"/>
      <c r="M452" s="111"/>
      <c r="N452" s="111"/>
      <c r="O452" s="111"/>
      <c r="P452" s="111"/>
      <c r="Q452" s="111"/>
      <c r="R452" s="111"/>
      <c r="S452" s="111"/>
      <c r="T452" s="111"/>
      <c r="U452" s="111"/>
      <c r="V452" s="111"/>
      <c r="W452" s="111"/>
      <c r="X452" s="123"/>
      <c r="AI452" s="222" t="str">
        <f t="shared" si="14"/>
        <v/>
      </c>
    </row>
    <row r="453" spans="1:35" s="108" customFormat="1" ht="15.75">
      <c r="A453" s="119"/>
      <c r="B453" s="120"/>
      <c r="C453" s="111"/>
      <c r="D453" s="111"/>
      <c r="E453" s="121"/>
      <c r="F453" s="121"/>
      <c r="G453" s="113"/>
      <c r="H453" s="199" t="str">
        <f t="shared" si="13"/>
        <v/>
      </c>
      <c r="I453" s="200" t="str">
        <f>IF(H453="","",IF(AND(AI453&lt;=66),VLOOKUP(H453,'WordRead Look Up'!$A$13:$B$20,2,TRUE),IF(AND(AI453&gt;=67,AI453&lt;=72),VLOOKUP(H453,'WordRead Look Up'!$E$13:$F$20,2,TRUE),IF(AND(AI453&gt;=73,AI453&lt;=78),VLOOKUP(H453,'WordRead Look Up'!$I$13:$J$18,2,TRUE),IF(AND(AI453&gt;=79),VLOOKUP(H453,'WordRead Look Up'!$M$13:$N$18,2,TRUE),"")))))</f>
        <v/>
      </c>
      <c r="J453" s="122"/>
      <c r="K453" s="111"/>
      <c r="L453" s="111"/>
      <c r="M453" s="111"/>
      <c r="N453" s="111"/>
      <c r="O453" s="111"/>
      <c r="P453" s="111"/>
      <c r="Q453" s="111"/>
      <c r="R453" s="111"/>
      <c r="S453" s="111"/>
      <c r="T453" s="111"/>
      <c r="U453" s="111"/>
      <c r="V453" s="111"/>
      <c r="W453" s="111"/>
      <c r="X453" s="123"/>
      <c r="AI453" s="222" t="str">
        <f t="shared" si="14"/>
        <v/>
      </c>
    </row>
    <row r="454" spans="1:35" s="108" customFormat="1" ht="15.75">
      <c r="A454" s="119"/>
      <c r="B454" s="120"/>
      <c r="C454" s="111"/>
      <c r="D454" s="111"/>
      <c r="E454" s="121"/>
      <c r="F454" s="121"/>
      <c r="G454" s="113"/>
      <c r="H454" s="199" t="str">
        <f t="shared" si="13"/>
        <v/>
      </c>
      <c r="I454" s="200" t="str">
        <f>IF(H454="","",IF(AND(AI454&lt;=66),VLOOKUP(H454,'WordRead Look Up'!$A$13:$B$20,2,TRUE),IF(AND(AI454&gt;=67,AI454&lt;=72),VLOOKUP(H454,'WordRead Look Up'!$E$13:$F$20,2,TRUE),IF(AND(AI454&gt;=73,AI454&lt;=78),VLOOKUP(H454,'WordRead Look Up'!$I$13:$J$18,2,TRUE),IF(AND(AI454&gt;=79),VLOOKUP(H454,'WordRead Look Up'!$M$13:$N$18,2,TRUE),"")))))</f>
        <v/>
      </c>
      <c r="J454" s="122"/>
      <c r="K454" s="111"/>
      <c r="L454" s="111"/>
      <c r="M454" s="111"/>
      <c r="N454" s="111"/>
      <c r="O454" s="111"/>
      <c r="P454" s="111"/>
      <c r="Q454" s="111"/>
      <c r="R454" s="111"/>
      <c r="S454" s="111"/>
      <c r="T454" s="111"/>
      <c r="U454" s="111"/>
      <c r="V454" s="111"/>
      <c r="W454" s="111"/>
      <c r="X454" s="123"/>
      <c r="AI454" s="222" t="str">
        <f t="shared" si="14"/>
        <v/>
      </c>
    </row>
    <row r="455" spans="1:35" s="108" customFormat="1" ht="15.75">
      <c r="A455" s="119"/>
      <c r="B455" s="120"/>
      <c r="C455" s="111"/>
      <c r="D455" s="111"/>
      <c r="E455" s="121"/>
      <c r="F455" s="121"/>
      <c r="G455" s="113"/>
      <c r="H455" s="199" t="str">
        <f t="shared" si="13"/>
        <v/>
      </c>
      <c r="I455" s="200" t="str">
        <f>IF(H455="","",IF(AND(AI455&lt;=66),VLOOKUP(H455,'WordRead Look Up'!$A$13:$B$20,2,TRUE),IF(AND(AI455&gt;=67,AI455&lt;=72),VLOOKUP(H455,'WordRead Look Up'!$E$13:$F$20,2,TRUE),IF(AND(AI455&gt;=73,AI455&lt;=78),VLOOKUP(H455,'WordRead Look Up'!$I$13:$J$18,2,TRUE),IF(AND(AI455&gt;=79),VLOOKUP(H455,'WordRead Look Up'!$M$13:$N$18,2,TRUE),"")))))</f>
        <v/>
      </c>
      <c r="J455" s="122"/>
      <c r="K455" s="111"/>
      <c r="L455" s="111"/>
      <c r="M455" s="111"/>
      <c r="N455" s="111"/>
      <c r="O455" s="111"/>
      <c r="P455" s="111"/>
      <c r="Q455" s="111"/>
      <c r="R455" s="111"/>
      <c r="S455" s="111"/>
      <c r="T455" s="111"/>
      <c r="U455" s="111"/>
      <c r="V455" s="111"/>
      <c r="W455" s="111"/>
      <c r="X455" s="123"/>
      <c r="AI455" s="222" t="str">
        <f t="shared" si="14"/>
        <v/>
      </c>
    </row>
    <row r="456" spans="1:35" s="108" customFormat="1" ht="15.75">
      <c r="A456" s="119"/>
      <c r="B456" s="120"/>
      <c r="C456" s="111"/>
      <c r="D456" s="111"/>
      <c r="E456" s="121"/>
      <c r="F456" s="121"/>
      <c r="G456" s="113"/>
      <c r="H456" s="199" t="str">
        <f t="shared" ref="H456:H499" si="15">IF(E456="","",COUNTIF(J456:X456,"y"))</f>
        <v/>
      </c>
      <c r="I456" s="200" t="str">
        <f>IF(H456="","",IF(AND(AI456&lt;=66),VLOOKUP(H456,'WordRead Look Up'!$A$13:$B$20,2,TRUE),IF(AND(AI456&gt;=67,AI456&lt;=72),VLOOKUP(H456,'WordRead Look Up'!$E$13:$F$20,2,TRUE),IF(AND(AI456&gt;=73,AI456&lt;=78),VLOOKUP(H456,'WordRead Look Up'!$I$13:$J$18,2,TRUE),IF(AND(AI456&gt;=79),VLOOKUP(H456,'WordRead Look Up'!$M$13:$N$18,2,TRUE),"")))))</f>
        <v/>
      </c>
      <c r="J456" s="122"/>
      <c r="K456" s="111"/>
      <c r="L456" s="111"/>
      <c r="M456" s="111"/>
      <c r="N456" s="111"/>
      <c r="O456" s="111"/>
      <c r="P456" s="111"/>
      <c r="Q456" s="111"/>
      <c r="R456" s="111"/>
      <c r="S456" s="111"/>
      <c r="T456" s="111"/>
      <c r="U456" s="111"/>
      <c r="V456" s="111"/>
      <c r="W456" s="111"/>
      <c r="X456" s="123"/>
      <c r="AI456" s="222" t="str">
        <f t="shared" ref="AI456:AI500" si="16">IF(E456="","",DATEDIF(B456,A456,"m"))</f>
        <v/>
      </c>
    </row>
    <row r="457" spans="1:35" s="108" customFormat="1" ht="15.75">
      <c r="A457" s="119"/>
      <c r="B457" s="120"/>
      <c r="C457" s="111"/>
      <c r="D457" s="111"/>
      <c r="E457" s="121"/>
      <c r="F457" s="121"/>
      <c r="G457" s="113"/>
      <c r="H457" s="199" t="str">
        <f t="shared" si="15"/>
        <v/>
      </c>
      <c r="I457" s="200" t="str">
        <f>IF(H457="","",IF(AND(AI457&lt;=66),VLOOKUP(H457,'WordRead Look Up'!$A$13:$B$20,2,TRUE),IF(AND(AI457&gt;=67,AI457&lt;=72),VLOOKUP(H457,'WordRead Look Up'!$E$13:$F$20,2,TRUE),IF(AND(AI457&gt;=73,AI457&lt;=78),VLOOKUP(H457,'WordRead Look Up'!$I$13:$J$18,2,TRUE),IF(AND(AI457&gt;=79),VLOOKUP(H457,'WordRead Look Up'!$M$13:$N$18,2,TRUE),"")))))</f>
        <v/>
      </c>
      <c r="J457" s="122"/>
      <c r="K457" s="111"/>
      <c r="L457" s="111"/>
      <c r="M457" s="111"/>
      <c r="N457" s="111"/>
      <c r="O457" s="111"/>
      <c r="P457" s="111"/>
      <c r="Q457" s="111"/>
      <c r="R457" s="111"/>
      <c r="S457" s="111"/>
      <c r="T457" s="111"/>
      <c r="U457" s="111"/>
      <c r="V457" s="111"/>
      <c r="W457" s="111"/>
      <c r="X457" s="123"/>
      <c r="AI457" s="222" t="str">
        <f t="shared" si="16"/>
        <v/>
      </c>
    </row>
    <row r="458" spans="1:35" s="108" customFormat="1" ht="15.75">
      <c r="A458" s="119"/>
      <c r="B458" s="120"/>
      <c r="C458" s="111"/>
      <c r="D458" s="111"/>
      <c r="E458" s="121"/>
      <c r="F458" s="121"/>
      <c r="G458" s="113"/>
      <c r="H458" s="199" t="str">
        <f t="shared" si="15"/>
        <v/>
      </c>
      <c r="I458" s="200" t="str">
        <f>IF(H458="","",IF(AND(AI458&lt;=66),VLOOKUP(H458,'WordRead Look Up'!$A$13:$B$20,2,TRUE),IF(AND(AI458&gt;=67,AI458&lt;=72),VLOOKUP(H458,'WordRead Look Up'!$E$13:$F$20,2,TRUE),IF(AND(AI458&gt;=73,AI458&lt;=78),VLOOKUP(H458,'WordRead Look Up'!$I$13:$J$18,2,TRUE),IF(AND(AI458&gt;=79),VLOOKUP(H458,'WordRead Look Up'!$M$13:$N$18,2,TRUE),"")))))</f>
        <v/>
      </c>
      <c r="J458" s="122"/>
      <c r="K458" s="111"/>
      <c r="L458" s="111"/>
      <c r="M458" s="111"/>
      <c r="N458" s="111"/>
      <c r="O458" s="111"/>
      <c r="P458" s="111"/>
      <c r="Q458" s="111"/>
      <c r="R458" s="111"/>
      <c r="S458" s="111"/>
      <c r="T458" s="111"/>
      <c r="U458" s="111"/>
      <c r="V458" s="111"/>
      <c r="W458" s="111"/>
      <c r="X458" s="123"/>
      <c r="AI458" s="222" t="str">
        <f t="shared" si="16"/>
        <v/>
      </c>
    </row>
    <row r="459" spans="1:35" s="108" customFormat="1" ht="15.75">
      <c r="A459" s="119"/>
      <c r="B459" s="120"/>
      <c r="C459" s="111"/>
      <c r="D459" s="111"/>
      <c r="E459" s="121"/>
      <c r="F459" s="121"/>
      <c r="G459" s="113"/>
      <c r="H459" s="199" t="str">
        <f t="shared" si="15"/>
        <v/>
      </c>
      <c r="I459" s="200" t="str">
        <f>IF(H459="","",IF(AND(AI459&lt;=66),VLOOKUP(H459,'WordRead Look Up'!$A$13:$B$20,2,TRUE),IF(AND(AI459&gt;=67,AI459&lt;=72),VLOOKUP(H459,'WordRead Look Up'!$E$13:$F$20,2,TRUE),IF(AND(AI459&gt;=73,AI459&lt;=78),VLOOKUP(H459,'WordRead Look Up'!$I$13:$J$18,2,TRUE),IF(AND(AI459&gt;=79),VLOOKUP(H459,'WordRead Look Up'!$M$13:$N$18,2,TRUE),"")))))</f>
        <v/>
      </c>
      <c r="J459" s="122"/>
      <c r="K459" s="111"/>
      <c r="L459" s="111"/>
      <c r="M459" s="111"/>
      <c r="N459" s="111"/>
      <c r="O459" s="111"/>
      <c r="P459" s="111"/>
      <c r="Q459" s="111"/>
      <c r="R459" s="111"/>
      <c r="S459" s="111"/>
      <c r="T459" s="111"/>
      <c r="U459" s="111"/>
      <c r="V459" s="111"/>
      <c r="W459" s="111"/>
      <c r="X459" s="123"/>
      <c r="AI459" s="222" t="str">
        <f t="shared" si="16"/>
        <v/>
      </c>
    </row>
    <row r="460" spans="1:35" s="108" customFormat="1" ht="15.75">
      <c r="A460" s="119"/>
      <c r="B460" s="120"/>
      <c r="C460" s="111"/>
      <c r="D460" s="111"/>
      <c r="E460" s="121"/>
      <c r="F460" s="121"/>
      <c r="G460" s="113"/>
      <c r="H460" s="199" t="str">
        <f t="shared" si="15"/>
        <v/>
      </c>
      <c r="I460" s="200" t="str">
        <f>IF(H460="","",IF(AND(AI460&lt;=66),VLOOKUP(H460,'WordRead Look Up'!$A$13:$B$20,2,TRUE),IF(AND(AI460&gt;=67,AI460&lt;=72),VLOOKUP(H460,'WordRead Look Up'!$E$13:$F$20,2,TRUE),IF(AND(AI460&gt;=73,AI460&lt;=78),VLOOKUP(H460,'WordRead Look Up'!$I$13:$J$18,2,TRUE),IF(AND(AI460&gt;=79),VLOOKUP(H460,'WordRead Look Up'!$M$13:$N$18,2,TRUE),"")))))</f>
        <v/>
      </c>
      <c r="J460" s="122"/>
      <c r="K460" s="111"/>
      <c r="L460" s="111"/>
      <c r="M460" s="111"/>
      <c r="N460" s="111"/>
      <c r="O460" s="111"/>
      <c r="P460" s="111"/>
      <c r="Q460" s="111"/>
      <c r="R460" s="111"/>
      <c r="S460" s="111"/>
      <c r="T460" s="111"/>
      <c r="U460" s="111"/>
      <c r="V460" s="111"/>
      <c r="W460" s="111"/>
      <c r="X460" s="123"/>
      <c r="AI460" s="222" t="str">
        <f t="shared" si="16"/>
        <v/>
      </c>
    </row>
    <row r="461" spans="1:35" s="108" customFormat="1" ht="15.75">
      <c r="A461" s="119"/>
      <c r="B461" s="120"/>
      <c r="C461" s="111"/>
      <c r="D461" s="111"/>
      <c r="E461" s="121"/>
      <c r="F461" s="121"/>
      <c r="G461" s="113"/>
      <c r="H461" s="199" t="str">
        <f t="shared" si="15"/>
        <v/>
      </c>
      <c r="I461" s="200" t="str">
        <f>IF(H461="","",IF(AND(AI461&lt;=66),VLOOKUP(H461,'WordRead Look Up'!$A$13:$B$20,2,TRUE),IF(AND(AI461&gt;=67,AI461&lt;=72),VLOOKUP(H461,'WordRead Look Up'!$E$13:$F$20,2,TRUE),IF(AND(AI461&gt;=73,AI461&lt;=78),VLOOKUP(H461,'WordRead Look Up'!$I$13:$J$18,2,TRUE),IF(AND(AI461&gt;=79),VLOOKUP(H461,'WordRead Look Up'!$M$13:$N$18,2,TRUE),"")))))</f>
        <v/>
      </c>
      <c r="J461" s="122"/>
      <c r="K461" s="111"/>
      <c r="L461" s="111"/>
      <c r="M461" s="111"/>
      <c r="N461" s="111"/>
      <c r="O461" s="111"/>
      <c r="P461" s="111"/>
      <c r="Q461" s="111"/>
      <c r="R461" s="111"/>
      <c r="S461" s="111"/>
      <c r="T461" s="111"/>
      <c r="U461" s="111"/>
      <c r="V461" s="111"/>
      <c r="W461" s="111"/>
      <c r="X461" s="123"/>
      <c r="AI461" s="222" t="str">
        <f t="shared" si="16"/>
        <v/>
      </c>
    </row>
    <row r="462" spans="1:35" s="108" customFormat="1" ht="15.75">
      <c r="A462" s="119"/>
      <c r="B462" s="120"/>
      <c r="C462" s="111"/>
      <c r="D462" s="111"/>
      <c r="E462" s="121"/>
      <c r="F462" s="121"/>
      <c r="G462" s="113"/>
      <c r="H462" s="199" t="str">
        <f t="shared" si="15"/>
        <v/>
      </c>
      <c r="I462" s="200" t="str">
        <f>IF(H462="","",IF(AND(AI462&lt;=66),VLOOKUP(H462,'WordRead Look Up'!$A$13:$B$20,2,TRUE),IF(AND(AI462&gt;=67,AI462&lt;=72),VLOOKUP(H462,'WordRead Look Up'!$E$13:$F$20,2,TRUE),IF(AND(AI462&gt;=73,AI462&lt;=78),VLOOKUP(H462,'WordRead Look Up'!$I$13:$J$18,2,TRUE),IF(AND(AI462&gt;=79),VLOOKUP(H462,'WordRead Look Up'!$M$13:$N$18,2,TRUE),"")))))</f>
        <v/>
      </c>
      <c r="J462" s="122"/>
      <c r="K462" s="111"/>
      <c r="L462" s="111"/>
      <c r="M462" s="111"/>
      <c r="N462" s="111"/>
      <c r="O462" s="111"/>
      <c r="P462" s="111"/>
      <c r="Q462" s="111"/>
      <c r="R462" s="111"/>
      <c r="S462" s="111"/>
      <c r="T462" s="111"/>
      <c r="U462" s="111"/>
      <c r="V462" s="111"/>
      <c r="W462" s="111"/>
      <c r="X462" s="123"/>
      <c r="AI462" s="222" t="str">
        <f t="shared" si="16"/>
        <v/>
      </c>
    </row>
    <row r="463" spans="1:35" s="108" customFormat="1" ht="15.75">
      <c r="A463" s="119"/>
      <c r="B463" s="120"/>
      <c r="C463" s="111"/>
      <c r="D463" s="111"/>
      <c r="E463" s="121"/>
      <c r="F463" s="121"/>
      <c r="G463" s="113"/>
      <c r="H463" s="199" t="str">
        <f t="shared" si="15"/>
        <v/>
      </c>
      <c r="I463" s="200" t="str">
        <f>IF(H463="","",IF(AND(AI463&lt;=66),VLOOKUP(H463,'WordRead Look Up'!$A$13:$B$20,2,TRUE),IF(AND(AI463&gt;=67,AI463&lt;=72),VLOOKUP(H463,'WordRead Look Up'!$E$13:$F$20,2,TRUE),IF(AND(AI463&gt;=73,AI463&lt;=78),VLOOKUP(H463,'WordRead Look Up'!$I$13:$J$18,2,TRUE),IF(AND(AI463&gt;=79),VLOOKUP(H463,'WordRead Look Up'!$M$13:$N$18,2,TRUE),"")))))</f>
        <v/>
      </c>
      <c r="J463" s="122"/>
      <c r="K463" s="111"/>
      <c r="L463" s="111"/>
      <c r="M463" s="111"/>
      <c r="N463" s="111"/>
      <c r="O463" s="111"/>
      <c r="P463" s="111"/>
      <c r="Q463" s="111"/>
      <c r="R463" s="111"/>
      <c r="S463" s="111"/>
      <c r="T463" s="111"/>
      <c r="U463" s="111"/>
      <c r="V463" s="111"/>
      <c r="W463" s="111"/>
      <c r="X463" s="123"/>
      <c r="AI463" s="222" t="str">
        <f t="shared" si="16"/>
        <v/>
      </c>
    </row>
    <row r="464" spans="1:35" s="108" customFormat="1" ht="15.75">
      <c r="A464" s="119"/>
      <c r="B464" s="120"/>
      <c r="C464" s="111"/>
      <c r="D464" s="111"/>
      <c r="E464" s="121"/>
      <c r="F464" s="121"/>
      <c r="G464" s="113"/>
      <c r="H464" s="199" t="str">
        <f t="shared" si="15"/>
        <v/>
      </c>
      <c r="I464" s="200" t="str">
        <f>IF(H464="","",IF(AND(AI464&lt;=66),VLOOKUP(H464,'WordRead Look Up'!$A$13:$B$20,2,TRUE),IF(AND(AI464&gt;=67,AI464&lt;=72),VLOOKUP(H464,'WordRead Look Up'!$E$13:$F$20,2,TRUE),IF(AND(AI464&gt;=73,AI464&lt;=78),VLOOKUP(H464,'WordRead Look Up'!$I$13:$J$18,2,TRUE),IF(AND(AI464&gt;=79),VLOOKUP(H464,'WordRead Look Up'!$M$13:$N$18,2,TRUE),"")))))</f>
        <v/>
      </c>
      <c r="J464" s="122"/>
      <c r="K464" s="111"/>
      <c r="L464" s="111"/>
      <c r="M464" s="111"/>
      <c r="N464" s="111"/>
      <c r="O464" s="111"/>
      <c r="P464" s="111"/>
      <c r="Q464" s="111"/>
      <c r="R464" s="111"/>
      <c r="S464" s="111"/>
      <c r="T464" s="111"/>
      <c r="U464" s="111"/>
      <c r="V464" s="111"/>
      <c r="W464" s="111"/>
      <c r="X464" s="123"/>
      <c r="AI464" s="222" t="str">
        <f t="shared" si="16"/>
        <v/>
      </c>
    </row>
    <row r="465" spans="1:35" s="108" customFormat="1" ht="15.75">
      <c r="A465" s="119"/>
      <c r="B465" s="120"/>
      <c r="C465" s="111"/>
      <c r="D465" s="111"/>
      <c r="E465" s="121"/>
      <c r="F465" s="121"/>
      <c r="G465" s="113"/>
      <c r="H465" s="199" t="str">
        <f t="shared" si="15"/>
        <v/>
      </c>
      <c r="I465" s="200" t="str">
        <f>IF(H465="","",IF(AND(AI465&lt;=66),VLOOKUP(H465,'WordRead Look Up'!$A$13:$B$20,2,TRUE),IF(AND(AI465&gt;=67,AI465&lt;=72),VLOOKUP(H465,'WordRead Look Up'!$E$13:$F$20,2,TRUE),IF(AND(AI465&gt;=73,AI465&lt;=78),VLOOKUP(H465,'WordRead Look Up'!$I$13:$J$18,2,TRUE),IF(AND(AI465&gt;=79),VLOOKUP(H465,'WordRead Look Up'!$M$13:$N$18,2,TRUE),"")))))</f>
        <v/>
      </c>
      <c r="J465" s="122"/>
      <c r="K465" s="111"/>
      <c r="L465" s="111"/>
      <c r="M465" s="111"/>
      <c r="N465" s="111"/>
      <c r="O465" s="111"/>
      <c r="P465" s="111"/>
      <c r="Q465" s="111"/>
      <c r="R465" s="111"/>
      <c r="S465" s="111"/>
      <c r="T465" s="111"/>
      <c r="U465" s="111"/>
      <c r="V465" s="111"/>
      <c r="W465" s="111"/>
      <c r="X465" s="123"/>
      <c r="AI465" s="222" t="str">
        <f t="shared" si="16"/>
        <v/>
      </c>
    </row>
    <row r="466" spans="1:35" s="108" customFormat="1" ht="15.75">
      <c r="A466" s="119"/>
      <c r="B466" s="120"/>
      <c r="C466" s="111"/>
      <c r="D466" s="111"/>
      <c r="E466" s="121"/>
      <c r="F466" s="121"/>
      <c r="G466" s="113"/>
      <c r="H466" s="199" t="str">
        <f t="shared" si="15"/>
        <v/>
      </c>
      <c r="I466" s="200" t="str">
        <f>IF(H466="","",IF(AND(AI466&lt;=66),VLOOKUP(H466,'WordRead Look Up'!$A$13:$B$20,2,TRUE),IF(AND(AI466&gt;=67,AI466&lt;=72),VLOOKUP(H466,'WordRead Look Up'!$E$13:$F$20,2,TRUE),IF(AND(AI466&gt;=73,AI466&lt;=78),VLOOKUP(H466,'WordRead Look Up'!$I$13:$J$18,2,TRUE),IF(AND(AI466&gt;=79),VLOOKUP(H466,'WordRead Look Up'!$M$13:$N$18,2,TRUE),"")))))</f>
        <v/>
      </c>
      <c r="J466" s="122"/>
      <c r="K466" s="111"/>
      <c r="L466" s="111"/>
      <c r="M466" s="111"/>
      <c r="N466" s="111"/>
      <c r="O466" s="111"/>
      <c r="P466" s="111"/>
      <c r="Q466" s="111"/>
      <c r="R466" s="111"/>
      <c r="S466" s="111"/>
      <c r="T466" s="111"/>
      <c r="U466" s="111"/>
      <c r="V466" s="111"/>
      <c r="W466" s="111"/>
      <c r="X466" s="123"/>
      <c r="AI466" s="222" t="str">
        <f t="shared" si="16"/>
        <v/>
      </c>
    </row>
    <row r="467" spans="1:35" s="108" customFormat="1" ht="15.75">
      <c r="A467" s="119"/>
      <c r="B467" s="120"/>
      <c r="C467" s="111"/>
      <c r="D467" s="111"/>
      <c r="E467" s="121"/>
      <c r="F467" s="121"/>
      <c r="G467" s="113"/>
      <c r="H467" s="199" t="str">
        <f t="shared" si="15"/>
        <v/>
      </c>
      <c r="I467" s="200" t="str">
        <f>IF(H467="","",IF(AND(AI467&lt;=66),VLOOKUP(H467,'WordRead Look Up'!$A$13:$B$20,2,TRUE),IF(AND(AI467&gt;=67,AI467&lt;=72),VLOOKUP(H467,'WordRead Look Up'!$E$13:$F$20,2,TRUE),IF(AND(AI467&gt;=73,AI467&lt;=78),VLOOKUP(H467,'WordRead Look Up'!$I$13:$J$18,2,TRUE),IF(AND(AI467&gt;=79),VLOOKUP(H467,'WordRead Look Up'!$M$13:$N$18,2,TRUE),"")))))</f>
        <v/>
      </c>
      <c r="J467" s="122"/>
      <c r="K467" s="111"/>
      <c r="L467" s="111"/>
      <c r="M467" s="111"/>
      <c r="N467" s="111"/>
      <c r="O467" s="111"/>
      <c r="P467" s="111"/>
      <c r="Q467" s="111"/>
      <c r="R467" s="111"/>
      <c r="S467" s="111"/>
      <c r="T467" s="111"/>
      <c r="U467" s="111"/>
      <c r="V467" s="111"/>
      <c r="W467" s="111"/>
      <c r="X467" s="123"/>
      <c r="AI467" s="222" t="str">
        <f t="shared" si="16"/>
        <v/>
      </c>
    </row>
    <row r="468" spans="1:35" s="108" customFormat="1" ht="15.75">
      <c r="A468" s="119"/>
      <c r="B468" s="120"/>
      <c r="C468" s="111"/>
      <c r="D468" s="111"/>
      <c r="E468" s="121"/>
      <c r="F468" s="121"/>
      <c r="G468" s="113"/>
      <c r="H468" s="199" t="str">
        <f t="shared" si="15"/>
        <v/>
      </c>
      <c r="I468" s="200" t="str">
        <f>IF(H468="","",IF(AND(AI468&lt;=66),VLOOKUP(H468,'WordRead Look Up'!$A$13:$B$20,2,TRUE),IF(AND(AI468&gt;=67,AI468&lt;=72),VLOOKUP(H468,'WordRead Look Up'!$E$13:$F$20,2,TRUE),IF(AND(AI468&gt;=73,AI468&lt;=78),VLOOKUP(H468,'WordRead Look Up'!$I$13:$J$18,2,TRUE),IF(AND(AI468&gt;=79),VLOOKUP(H468,'WordRead Look Up'!$M$13:$N$18,2,TRUE),"")))))</f>
        <v/>
      </c>
      <c r="J468" s="122"/>
      <c r="K468" s="111"/>
      <c r="L468" s="111"/>
      <c r="M468" s="111"/>
      <c r="N468" s="111"/>
      <c r="O468" s="111"/>
      <c r="P468" s="111"/>
      <c r="Q468" s="111"/>
      <c r="R468" s="111"/>
      <c r="S468" s="111"/>
      <c r="T468" s="111"/>
      <c r="U468" s="111"/>
      <c r="V468" s="111"/>
      <c r="W468" s="111"/>
      <c r="X468" s="123"/>
      <c r="AI468" s="222" t="str">
        <f t="shared" si="16"/>
        <v/>
      </c>
    </row>
    <row r="469" spans="1:35" s="108" customFormat="1" ht="15.75">
      <c r="A469" s="119"/>
      <c r="B469" s="120"/>
      <c r="C469" s="111"/>
      <c r="D469" s="111"/>
      <c r="E469" s="121"/>
      <c r="F469" s="121"/>
      <c r="G469" s="113"/>
      <c r="H469" s="199" t="str">
        <f t="shared" si="15"/>
        <v/>
      </c>
      <c r="I469" s="200" t="str">
        <f>IF(H469="","",IF(AND(AI469&lt;=66),VLOOKUP(H469,'WordRead Look Up'!$A$13:$B$20,2,TRUE),IF(AND(AI469&gt;=67,AI469&lt;=72),VLOOKUP(H469,'WordRead Look Up'!$E$13:$F$20,2,TRUE),IF(AND(AI469&gt;=73,AI469&lt;=78),VLOOKUP(H469,'WordRead Look Up'!$I$13:$J$18,2,TRUE),IF(AND(AI469&gt;=79),VLOOKUP(H469,'WordRead Look Up'!$M$13:$N$18,2,TRUE),"")))))</f>
        <v/>
      </c>
      <c r="J469" s="122"/>
      <c r="K469" s="111"/>
      <c r="L469" s="111"/>
      <c r="M469" s="111"/>
      <c r="N469" s="111"/>
      <c r="O469" s="111"/>
      <c r="P469" s="111"/>
      <c r="Q469" s="111"/>
      <c r="R469" s="111"/>
      <c r="S469" s="111"/>
      <c r="T469" s="111"/>
      <c r="U469" s="111"/>
      <c r="V469" s="111"/>
      <c r="W469" s="111"/>
      <c r="X469" s="123"/>
      <c r="AI469" s="222" t="str">
        <f t="shared" si="16"/>
        <v/>
      </c>
    </row>
    <row r="470" spans="1:35" s="108" customFormat="1" ht="15.75">
      <c r="A470" s="119"/>
      <c r="B470" s="120"/>
      <c r="C470" s="111"/>
      <c r="D470" s="111"/>
      <c r="E470" s="121"/>
      <c r="F470" s="121"/>
      <c r="G470" s="113"/>
      <c r="H470" s="199" t="str">
        <f t="shared" si="15"/>
        <v/>
      </c>
      <c r="I470" s="200" t="str">
        <f>IF(H470="","",IF(AND(AI470&lt;=66),VLOOKUP(H470,'WordRead Look Up'!$A$13:$B$20,2,TRUE),IF(AND(AI470&gt;=67,AI470&lt;=72),VLOOKUP(H470,'WordRead Look Up'!$E$13:$F$20,2,TRUE),IF(AND(AI470&gt;=73,AI470&lt;=78),VLOOKUP(H470,'WordRead Look Up'!$I$13:$J$18,2,TRUE),IF(AND(AI470&gt;=79),VLOOKUP(H470,'WordRead Look Up'!$M$13:$N$18,2,TRUE),"")))))</f>
        <v/>
      </c>
      <c r="J470" s="122"/>
      <c r="K470" s="111"/>
      <c r="L470" s="111"/>
      <c r="M470" s="111"/>
      <c r="N470" s="111"/>
      <c r="O470" s="111"/>
      <c r="P470" s="111"/>
      <c r="Q470" s="111"/>
      <c r="R470" s="111"/>
      <c r="S470" s="111"/>
      <c r="T470" s="111"/>
      <c r="U470" s="111"/>
      <c r="V470" s="111"/>
      <c r="W470" s="111"/>
      <c r="X470" s="123"/>
      <c r="AI470" s="222" t="str">
        <f t="shared" si="16"/>
        <v/>
      </c>
    </row>
    <row r="471" spans="1:35" s="108" customFormat="1" ht="15.75">
      <c r="A471" s="119"/>
      <c r="B471" s="120"/>
      <c r="C471" s="111"/>
      <c r="D471" s="111"/>
      <c r="E471" s="121"/>
      <c r="F471" s="121"/>
      <c r="G471" s="113"/>
      <c r="H471" s="199" t="str">
        <f t="shared" si="15"/>
        <v/>
      </c>
      <c r="I471" s="200" t="str">
        <f>IF(H471="","",IF(AND(AI471&lt;=66),VLOOKUP(H471,'WordRead Look Up'!$A$13:$B$20,2,TRUE),IF(AND(AI471&gt;=67,AI471&lt;=72),VLOOKUP(H471,'WordRead Look Up'!$E$13:$F$20,2,TRUE),IF(AND(AI471&gt;=73,AI471&lt;=78),VLOOKUP(H471,'WordRead Look Up'!$I$13:$J$18,2,TRUE),IF(AND(AI471&gt;=79),VLOOKUP(H471,'WordRead Look Up'!$M$13:$N$18,2,TRUE),"")))))</f>
        <v/>
      </c>
      <c r="J471" s="122"/>
      <c r="K471" s="111"/>
      <c r="L471" s="111"/>
      <c r="M471" s="111"/>
      <c r="N471" s="111"/>
      <c r="O471" s="111"/>
      <c r="P471" s="111"/>
      <c r="Q471" s="111"/>
      <c r="R471" s="111"/>
      <c r="S471" s="111"/>
      <c r="T471" s="111"/>
      <c r="U471" s="111"/>
      <c r="V471" s="111"/>
      <c r="W471" s="111"/>
      <c r="X471" s="123"/>
      <c r="AI471" s="222" t="str">
        <f t="shared" si="16"/>
        <v/>
      </c>
    </row>
    <row r="472" spans="1:35" s="108" customFormat="1" ht="15.75">
      <c r="A472" s="119"/>
      <c r="B472" s="120"/>
      <c r="C472" s="111"/>
      <c r="D472" s="111"/>
      <c r="E472" s="121"/>
      <c r="F472" s="121"/>
      <c r="G472" s="113"/>
      <c r="H472" s="199" t="str">
        <f t="shared" si="15"/>
        <v/>
      </c>
      <c r="I472" s="200" t="str">
        <f>IF(H472="","",IF(AND(AI472&lt;=66),VLOOKUP(H472,'WordRead Look Up'!$A$13:$B$20,2,TRUE),IF(AND(AI472&gt;=67,AI472&lt;=72),VLOOKUP(H472,'WordRead Look Up'!$E$13:$F$20,2,TRUE),IF(AND(AI472&gt;=73,AI472&lt;=78),VLOOKUP(H472,'WordRead Look Up'!$I$13:$J$18,2,TRUE),IF(AND(AI472&gt;=79),VLOOKUP(H472,'WordRead Look Up'!$M$13:$N$18,2,TRUE),"")))))</f>
        <v/>
      </c>
      <c r="J472" s="122"/>
      <c r="K472" s="111"/>
      <c r="L472" s="111"/>
      <c r="M472" s="111"/>
      <c r="N472" s="111"/>
      <c r="O472" s="111"/>
      <c r="P472" s="111"/>
      <c r="Q472" s="111"/>
      <c r="R472" s="111"/>
      <c r="S472" s="111"/>
      <c r="T472" s="111"/>
      <c r="U472" s="111"/>
      <c r="V472" s="111"/>
      <c r="W472" s="111"/>
      <c r="X472" s="123"/>
      <c r="AI472" s="222" t="str">
        <f t="shared" si="16"/>
        <v/>
      </c>
    </row>
    <row r="473" spans="1:35" s="108" customFormat="1" ht="15.75">
      <c r="A473" s="119"/>
      <c r="B473" s="120"/>
      <c r="C473" s="111"/>
      <c r="D473" s="111"/>
      <c r="E473" s="121"/>
      <c r="F473" s="121"/>
      <c r="G473" s="113"/>
      <c r="H473" s="199" t="str">
        <f t="shared" si="15"/>
        <v/>
      </c>
      <c r="I473" s="200" t="str">
        <f>IF(H473="","",IF(AND(AI473&lt;=66),VLOOKUP(H473,'WordRead Look Up'!$A$13:$B$20,2,TRUE),IF(AND(AI473&gt;=67,AI473&lt;=72),VLOOKUP(H473,'WordRead Look Up'!$E$13:$F$20,2,TRUE),IF(AND(AI473&gt;=73,AI473&lt;=78),VLOOKUP(H473,'WordRead Look Up'!$I$13:$J$18,2,TRUE),IF(AND(AI473&gt;=79),VLOOKUP(H473,'WordRead Look Up'!$M$13:$N$18,2,TRUE),"")))))</f>
        <v/>
      </c>
      <c r="J473" s="122"/>
      <c r="K473" s="111"/>
      <c r="L473" s="111"/>
      <c r="M473" s="111"/>
      <c r="N473" s="111"/>
      <c r="O473" s="111"/>
      <c r="P473" s="111"/>
      <c r="Q473" s="111"/>
      <c r="R473" s="111"/>
      <c r="S473" s="111"/>
      <c r="T473" s="111"/>
      <c r="U473" s="111"/>
      <c r="V473" s="111"/>
      <c r="W473" s="111"/>
      <c r="X473" s="123"/>
      <c r="AI473" s="222" t="str">
        <f t="shared" si="16"/>
        <v/>
      </c>
    </row>
    <row r="474" spans="1:35" s="108" customFormat="1" ht="15.75">
      <c r="A474" s="119"/>
      <c r="B474" s="120"/>
      <c r="C474" s="111"/>
      <c r="D474" s="111"/>
      <c r="E474" s="121"/>
      <c r="F474" s="121"/>
      <c r="G474" s="113"/>
      <c r="H474" s="199" t="str">
        <f t="shared" si="15"/>
        <v/>
      </c>
      <c r="I474" s="200" t="str">
        <f>IF(H474="","",IF(AND(AI474&lt;=66),VLOOKUP(H474,'WordRead Look Up'!$A$13:$B$20,2,TRUE),IF(AND(AI474&gt;=67,AI474&lt;=72),VLOOKUP(H474,'WordRead Look Up'!$E$13:$F$20,2,TRUE),IF(AND(AI474&gt;=73,AI474&lt;=78),VLOOKUP(H474,'WordRead Look Up'!$I$13:$J$18,2,TRUE),IF(AND(AI474&gt;=79),VLOOKUP(H474,'WordRead Look Up'!$M$13:$N$18,2,TRUE),"")))))</f>
        <v/>
      </c>
      <c r="J474" s="122"/>
      <c r="K474" s="111"/>
      <c r="L474" s="111"/>
      <c r="M474" s="111"/>
      <c r="N474" s="111"/>
      <c r="O474" s="111"/>
      <c r="P474" s="111"/>
      <c r="Q474" s="111"/>
      <c r="R474" s="111"/>
      <c r="S474" s="111"/>
      <c r="T474" s="111"/>
      <c r="U474" s="111"/>
      <c r="V474" s="111"/>
      <c r="W474" s="111"/>
      <c r="X474" s="123"/>
      <c r="AI474" s="222" t="str">
        <f t="shared" si="16"/>
        <v/>
      </c>
    </row>
    <row r="475" spans="1:35" s="108" customFormat="1" ht="15.75">
      <c r="A475" s="119"/>
      <c r="B475" s="120"/>
      <c r="C475" s="111"/>
      <c r="D475" s="111"/>
      <c r="E475" s="121"/>
      <c r="F475" s="121"/>
      <c r="G475" s="113"/>
      <c r="H475" s="199" t="str">
        <f t="shared" si="15"/>
        <v/>
      </c>
      <c r="I475" s="200" t="str">
        <f>IF(H475="","",IF(AND(AI475&lt;=66),VLOOKUP(H475,'WordRead Look Up'!$A$13:$B$20,2,TRUE),IF(AND(AI475&gt;=67,AI475&lt;=72),VLOOKUP(H475,'WordRead Look Up'!$E$13:$F$20,2,TRUE),IF(AND(AI475&gt;=73,AI475&lt;=78),VLOOKUP(H475,'WordRead Look Up'!$I$13:$J$18,2,TRUE),IF(AND(AI475&gt;=79),VLOOKUP(H475,'WordRead Look Up'!$M$13:$N$18,2,TRUE),"")))))</f>
        <v/>
      </c>
      <c r="J475" s="122"/>
      <c r="K475" s="111"/>
      <c r="L475" s="111"/>
      <c r="M475" s="111"/>
      <c r="N475" s="111"/>
      <c r="O475" s="111"/>
      <c r="P475" s="111"/>
      <c r="Q475" s="111"/>
      <c r="R475" s="111"/>
      <c r="S475" s="111"/>
      <c r="T475" s="111"/>
      <c r="U475" s="111"/>
      <c r="V475" s="111"/>
      <c r="W475" s="111"/>
      <c r="X475" s="123"/>
      <c r="AI475" s="222" t="str">
        <f t="shared" si="16"/>
        <v/>
      </c>
    </row>
    <row r="476" spans="1:35" s="108" customFormat="1" ht="15.75">
      <c r="A476" s="119"/>
      <c r="B476" s="120"/>
      <c r="C476" s="111"/>
      <c r="D476" s="111"/>
      <c r="E476" s="121"/>
      <c r="F476" s="121"/>
      <c r="G476" s="113"/>
      <c r="H476" s="199" t="str">
        <f t="shared" si="15"/>
        <v/>
      </c>
      <c r="I476" s="200" t="str">
        <f>IF(H476="","",IF(AND(AI476&lt;=66),VLOOKUP(H476,'WordRead Look Up'!$A$13:$B$20,2,TRUE),IF(AND(AI476&gt;=67,AI476&lt;=72),VLOOKUP(H476,'WordRead Look Up'!$E$13:$F$20,2,TRUE),IF(AND(AI476&gt;=73,AI476&lt;=78),VLOOKUP(H476,'WordRead Look Up'!$I$13:$J$18,2,TRUE),IF(AND(AI476&gt;=79),VLOOKUP(H476,'WordRead Look Up'!$M$13:$N$18,2,TRUE),"")))))</f>
        <v/>
      </c>
      <c r="J476" s="122"/>
      <c r="K476" s="111"/>
      <c r="L476" s="111"/>
      <c r="M476" s="111"/>
      <c r="N476" s="111"/>
      <c r="O476" s="111"/>
      <c r="P476" s="111"/>
      <c r="Q476" s="111"/>
      <c r="R476" s="111"/>
      <c r="S476" s="111"/>
      <c r="T476" s="111"/>
      <c r="U476" s="111"/>
      <c r="V476" s="111"/>
      <c r="W476" s="111"/>
      <c r="X476" s="123"/>
      <c r="AI476" s="222" t="str">
        <f t="shared" si="16"/>
        <v/>
      </c>
    </row>
    <row r="477" spans="1:35" s="108" customFormat="1" ht="15.75">
      <c r="A477" s="119"/>
      <c r="B477" s="120"/>
      <c r="C477" s="111"/>
      <c r="D477" s="111"/>
      <c r="E477" s="121"/>
      <c r="F477" s="121"/>
      <c r="G477" s="113"/>
      <c r="H477" s="199" t="str">
        <f t="shared" si="15"/>
        <v/>
      </c>
      <c r="I477" s="200" t="str">
        <f>IF(H477="","",IF(AND(AI477&lt;=66),VLOOKUP(H477,'WordRead Look Up'!$A$13:$B$20,2,TRUE),IF(AND(AI477&gt;=67,AI477&lt;=72),VLOOKUP(H477,'WordRead Look Up'!$E$13:$F$20,2,TRUE),IF(AND(AI477&gt;=73,AI477&lt;=78),VLOOKUP(H477,'WordRead Look Up'!$I$13:$J$18,2,TRUE),IF(AND(AI477&gt;=79),VLOOKUP(H477,'WordRead Look Up'!$M$13:$N$18,2,TRUE),"")))))</f>
        <v/>
      </c>
      <c r="J477" s="122"/>
      <c r="K477" s="111"/>
      <c r="L477" s="111"/>
      <c r="M477" s="111"/>
      <c r="N477" s="111"/>
      <c r="O477" s="111"/>
      <c r="P477" s="111"/>
      <c r="Q477" s="111"/>
      <c r="R477" s="111"/>
      <c r="S477" s="111"/>
      <c r="T477" s="111"/>
      <c r="U477" s="111"/>
      <c r="V477" s="111"/>
      <c r="W477" s="111"/>
      <c r="X477" s="123"/>
      <c r="AI477" s="222" t="str">
        <f t="shared" si="16"/>
        <v/>
      </c>
    </row>
    <row r="478" spans="1:35" s="108" customFormat="1" ht="15.75">
      <c r="A478" s="119"/>
      <c r="B478" s="120"/>
      <c r="C478" s="111"/>
      <c r="D478" s="111"/>
      <c r="E478" s="121"/>
      <c r="F478" s="121"/>
      <c r="G478" s="113"/>
      <c r="H478" s="199" t="str">
        <f t="shared" si="15"/>
        <v/>
      </c>
      <c r="I478" s="200" t="str">
        <f>IF(H478="","",IF(AND(AI478&lt;=66),VLOOKUP(H478,'WordRead Look Up'!$A$13:$B$20,2,TRUE),IF(AND(AI478&gt;=67,AI478&lt;=72),VLOOKUP(H478,'WordRead Look Up'!$E$13:$F$20,2,TRUE),IF(AND(AI478&gt;=73,AI478&lt;=78),VLOOKUP(H478,'WordRead Look Up'!$I$13:$J$18,2,TRUE),IF(AND(AI478&gt;=79),VLOOKUP(H478,'WordRead Look Up'!$M$13:$N$18,2,TRUE),"")))))</f>
        <v/>
      </c>
      <c r="J478" s="122"/>
      <c r="K478" s="111"/>
      <c r="L478" s="111"/>
      <c r="M478" s="111"/>
      <c r="N478" s="111"/>
      <c r="O478" s="111"/>
      <c r="P478" s="111"/>
      <c r="Q478" s="111"/>
      <c r="R478" s="111"/>
      <c r="S478" s="111"/>
      <c r="T478" s="111"/>
      <c r="U478" s="111"/>
      <c r="V478" s="111"/>
      <c r="W478" s="111"/>
      <c r="X478" s="123"/>
      <c r="AI478" s="222" t="str">
        <f t="shared" si="16"/>
        <v/>
      </c>
    </row>
    <row r="479" spans="1:35" s="108" customFormat="1" ht="15.75">
      <c r="A479" s="119"/>
      <c r="B479" s="120"/>
      <c r="C479" s="111"/>
      <c r="D479" s="111"/>
      <c r="E479" s="121"/>
      <c r="F479" s="121"/>
      <c r="G479" s="113"/>
      <c r="H479" s="199" t="str">
        <f t="shared" si="15"/>
        <v/>
      </c>
      <c r="I479" s="200" t="str">
        <f>IF(H479="","",IF(AND(AI479&lt;=66),VLOOKUP(H479,'WordRead Look Up'!$A$13:$B$20,2,TRUE),IF(AND(AI479&gt;=67,AI479&lt;=72),VLOOKUP(H479,'WordRead Look Up'!$E$13:$F$20,2,TRUE),IF(AND(AI479&gt;=73,AI479&lt;=78),VLOOKUP(H479,'WordRead Look Up'!$I$13:$J$18,2,TRUE),IF(AND(AI479&gt;=79),VLOOKUP(H479,'WordRead Look Up'!$M$13:$N$18,2,TRUE),"")))))</f>
        <v/>
      </c>
      <c r="J479" s="122"/>
      <c r="K479" s="111"/>
      <c r="L479" s="111"/>
      <c r="M479" s="111"/>
      <c r="N479" s="111"/>
      <c r="O479" s="111"/>
      <c r="P479" s="111"/>
      <c r="Q479" s="111"/>
      <c r="R479" s="111"/>
      <c r="S479" s="111"/>
      <c r="T479" s="111"/>
      <c r="U479" s="111"/>
      <c r="V479" s="111"/>
      <c r="W479" s="111"/>
      <c r="X479" s="123"/>
      <c r="AI479" s="222" t="str">
        <f t="shared" si="16"/>
        <v/>
      </c>
    </row>
    <row r="480" spans="1:35" s="108" customFormat="1" ht="15.75">
      <c r="A480" s="119"/>
      <c r="B480" s="120"/>
      <c r="C480" s="111"/>
      <c r="D480" s="111"/>
      <c r="E480" s="121"/>
      <c r="F480" s="121"/>
      <c r="G480" s="113"/>
      <c r="H480" s="199" t="str">
        <f t="shared" si="15"/>
        <v/>
      </c>
      <c r="I480" s="200" t="str">
        <f>IF(H480="","",IF(AND(AI480&lt;=66),VLOOKUP(H480,'WordRead Look Up'!$A$13:$B$20,2,TRUE),IF(AND(AI480&gt;=67,AI480&lt;=72),VLOOKUP(H480,'WordRead Look Up'!$E$13:$F$20,2,TRUE),IF(AND(AI480&gt;=73,AI480&lt;=78),VLOOKUP(H480,'WordRead Look Up'!$I$13:$J$18,2,TRUE),IF(AND(AI480&gt;=79),VLOOKUP(H480,'WordRead Look Up'!$M$13:$N$18,2,TRUE),"")))))</f>
        <v/>
      </c>
      <c r="J480" s="122"/>
      <c r="K480" s="111"/>
      <c r="L480" s="111"/>
      <c r="M480" s="111"/>
      <c r="N480" s="111"/>
      <c r="O480" s="111"/>
      <c r="P480" s="111"/>
      <c r="Q480" s="111"/>
      <c r="R480" s="111"/>
      <c r="S480" s="111"/>
      <c r="T480" s="111"/>
      <c r="U480" s="111"/>
      <c r="V480" s="111"/>
      <c r="W480" s="111"/>
      <c r="X480" s="123"/>
      <c r="AI480" s="222" t="str">
        <f t="shared" si="16"/>
        <v/>
      </c>
    </row>
    <row r="481" spans="1:35" s="108" customFormat="1" ht="15.75">
      <c r="A481" s="119"/>
      <c r="B481" s="120"/>
      <c r="C481" s="111"/>
      <c r="D481" s="111"/>
      <c r="E481" s="121"/>
      <c r="F481" s="121"/>
      <c r="G481" s="113"/>
      <c r="H481" s="199" t="str">
        <f t="shared" si="15"/>
        <v/>
      </c>
      <c r="I481" s="200" t="str">
        <f>IF(H481="","",IF(AND(AI481&lt;=66),VLOOKUP(H481,'WordRead Look Up'!$A$13:$B$20,2,TRUE),IF(AND(AI481&gt;=67,AI481&lt;=72),VLOOKUP(H481,'WordRead Look Up'!$E$13:$F$20,2,TRUE),IF(AND(AI481&gt;=73,AI481&lt;=78),VLOOKUP(H481,'WordRead Look Up'!$I$13:$J$18,2,TRUE),IF(AND(AI481&gt;=79),VLOOKUP(H481,'WordRead Look Up'!$M$13:$N$18,2,TRUE),"")))))</f>
        <v/>
      </c>
      <c r="J481" s="122"/>
      <c r="K481" s="111"/>
      <c r="L481" s="111"/>
      <c r="M481" s="111"/>
      <c r="N481" s="111"/>
      <c r="O481" s="111"/>
      <c r="P481" s="111"/>
      <c r="Q481" s="111"/>
      <c r="R481" s="111"/>
      <c r="S481" s="111"/>
      <c r="T481" s="111"/>
      <c r="U481" s="111"/>
      <c r="V481" s="111"/>
      <c r="W481" s="111"/>
      <c r="X481" s="123"/>
      <c r="AI481" s="222" t="str">
        <f t="shared" si="16"/>
        <v/>
      </c>
    </row>
    <row r="482" spans="1:35" s="108" customFormat="1" ht="15.75">
      <c r="A482" s="119"/>
      <c r="B482" s="120"/>
      <c r="C482" s="111"/>
      <c r="D482" s="111"/>
      <c r="E482" s="121"/>
      <c r="F482" s="121"/>
      <c r="G482" s="113"/>
      <c r="H482" s="199" t="str">
        <f t="shared" si="15"/>
        <v/>
      </c>
      <c r="I482" s="200" t="str">
        <f>IF(H482="","",IF(AND(AI482&lt;=66),VLOOKUP(H482,'WordRead Look Up'!$A$13:$B$20,2,TRUE),IF(AND(AI482&gt;=67,AI482&lt;=72),VLOOKUP(H482,'WordRead Look Up'!$E$13:$F$20,2,TRUE),IF(AND(AI482&gt;=73,AI482&lt;=78),VLOOKUP(H482,'WordRead Look Up'!$I$13:$J$18,2,TRUE),IF(AND(AI482&gt;=79),VLOOKUP(H482,'WordRead Look Up'!$M$13:$N$18,2,TRUE),"")))))</f>
        <v/>
      </c>
      <c r="J482" s="122"/>
      <c r="K482" s="111"/>
      <c r="L482" s="111"/>
      <c r="M482" s="111"/>
      <c r="N482" s="111"/>
      <c r="O482" s="111"/>
      <c r="P482" s="111"/>
      <c r="Q482" s="111"/>
      <c r="R482" s="111"/>
      <c r="S482" s="111"/>
      <c r="T482" s="111"/>
      <c r="U482" s="111"/>
      <c r="V482" s="111"/>
      <c r="W482" s="111"/>
      <c r="X482" s="123"/>
      <c r="AI482" s="222" t="str">
        <f t="shared" si="16"/>
        <v/>
      </c>
    </row>
    <row r="483" spans="1:35" s="108" customFormat="1" ht="15.75">
      <c r="A483" s="119"/>
      <c r="B483" s="120"/>
      <c r="C483" s="111"/>
      <c r="D483" s="111"/>
      <c r="E483" s="121"/>
      <c r="F483" s="121"/>
      <c r="G483" s="113"/>
      <c r="H483" s="199" t="str">
        <f t="shared" si="15"/>
        <v/>
      </c>
      <c r="I483" s="200" t="str">
        <f>IF(H483="","",IF(AND(AI483&lt;=66),VLOOKUP(H483,'WordRead Look Up'!$A$13:$B$20,2,TRUE),IF(AND(AI483&gt;=67,AI483&lt;=72),VLOOKUP(H483,'WordRead Look Up'!$E$13:$F$20,2,TRUE),IF(AND(AI483&gt;=73,AI483&lt;=78),VLOOKUP(H483,'WordRead Look Up'!$I$13:$J$18,2,TRUE),IF(AND(AI483&gt;=79),VLOOKUP(H483,'WordRead Look Up'!$M$13:$N$18,2,TRUE),"")))))</f>
        <v/>
      </c>
      <c r="J483" s="122"/>
      <c r="K483" s="111"/>
      <c r="L483" s="111"/>
      <c r="M483" s="111"/>
      <c r="N483" s="111"/>
      <c r="O483" s="111"/>
      <c r="P483" s="111"/>
      <c r="Q483" s="111"/>
      <c r="R483" s="111"/>
      <c r="S483" s="111"/>
      <c r="T483" s="111"/>
      <c r="U483" s="111"/>
      <c r="V483" s="111"/>
      <c r="W483" s="111"/>
      <c r="X483" s="123"/>
      <c r="AI483" s="222" t="str">
        <f t="shared" si="16"/>
        <v/>
      </c>
    </row>
    <row r="484" spans="1:35" s="108" customFormat="1" ht="15.75">
      <c r="A484" s="119"/>
      <c r="B484" s="120"/>
      <c r="C484" s="111"/>
      <c r="D484" s="111"/>
      <c r="E484" s="121"/>
      <c r="F484" s="121"/>
      <c r="G484" s="113"/>
      <c r="H484" s="199" t="str">
        <f t="shared" si="15"/>
        <v/>
      </c>
      <c r="I484" s="200" t="str">
        <f>IF(H484="","",IF(AND(AI484&lt;=66),VLOOKUP(H484,'WordRead Look Up'!$A$13:$B$20,2,TRUE),IF(AND(AI484&gt;=67,AI484&lt;=72),VLOOKUP(H484,'WordRead Look Up'!$E$13:$F$20,2,TRUE),IF(AND(AI484&gt;=73,AI484&lt;=78),VLOOKUP(H484,'WordRead Look Up'!$I$13:$J$18,2,TRUE),IF(AND(AI484&gt;=79),VLOOKUP(H484,'WordRead Look Up'!$M$13:$N$18,2,TRUE),"")))))</f>
        <v/>
      </c>
      <c r="J484" s="122"/>
      <c r="K484" s="111"/>
      <c r="L484" s="111"/>
      <c r="M484" s="111"/>
      <c r="N484" s="111"/>
      <c r="O484" s="111"/>
      <c r="P484" s="111"/>
      <c r="Q484" s="111"/>
      <c r="R484" s="111"/>
      <c r="S484" s="111"/>
      <c r="T484" s="111"/>
      <c r="U484" s="111"/>
      <c r="V484" s="111"/>
      <c r="W484" s="111"/>
      <c r="X484" s="123"/>
      <c r="AI484" s="222" t="str">
        <f t="shared" si="16"/>
        <v/>
      </c>
    </row>
    <row r="485" spans="1:35" s="108" customFormat="1" ht="15.75">
      <c r="A485" s="119"/>
      <c r="B485" s="120"/>
      <c r="C485" s="111"/>
      <c r="D485" s="111"/>
      <c r="E485" s="121"/>
      <c r="F485" s="121"/>
      <c r="G485" s="113"/>
      <c r="H485" s="199" t="str">
        <f t="shared" si="15"/>
        <v/>
      </c>
      <c r="I485" s="200" t="str">
        <f>IF(H485="","",IF(AND(AI485&lt;=66),VLOOKUP(H485,'WordRead Look Up'!$A$13:$B$20,2,TRUE),IF(AND(AI485&gt;=67,AI485&lt;=72),VLOOKUP(H485,'WordRead Look Up'!$E$13:$F$20,2,TRUE),IF(AND(AI485&gt;=73,AI485&lt;=78),VLOOKUP(H485,'WordRead Look Up'!$I$13:$J$18,2,TRUE),IF(AND(AI485&gt;=79),VLOOKUP(H485,'WordRead Look Up'!$M$13:$N$18,2,TRUE),"")))))</f>
        <v/>
      </c>
      <c r="J485" s="122"/>
      <c r="K485" s="111"/>
      <c r="L485" s="111"/>
      <c r="M485" s="111"/>
      <c r="N485" s="111"/>
      <c r="O485" s="111"/>
      <c r="P485" s="111"/>
      <c r="Q485" s="111"/>
      <c r="R485" s="111"/>
      <c r="S485" s="111"/>
      <c r="T485" s="111"/>
      <c r="U485" s="111"/>
      <c r="V485" s="111"/>
      <c r="W485" s="111"/>
      <c r="X485" s="123"/>
      <c r="AI485" s="222" t="str">
        <f t="shared" si="16"/>
        <v/>
      </c>
    </row>
    <row r="486" spans="1:35" s="108" customFormat="1" ht="15.75">
      <c r="A486" s="119"/>
      <c r="B486" s="120"/>
      <c r="C486" s="111"/>
      <c r="D486" s="111"/>
      <c r="E486" s="121"/>
      <c r="F486" s="121"/>
      <c r="G486" s="113"/>
      <c r="H486" s="199" t="str">
        <f t="shared" si="15"/>
        <v/>
      </c>
      <c r="I486" s="200" t="str">
        <f>IF(H486="","",IF(AND(AI486&lt;=66),VLOOKUP(H486,'WordRead Look Up'!$A$13:$B$20,2,TRUE),IF(AND(AI486&gt;=67,AI486&lt;=72),VLOOKUP(H486,'WordRead Look Up'!$E$13:$F$20,2,TRUE),IF(AND(AI486&gt;=73,AI486&lt;=78),VLOOKUP(H486,'WordRead Look Up'!$I$13:$J$18,2,TRUE),IF(AND(AI486&gt;=79),VLOOKUP(H486,'WordRead Look Up'!$M$13:$N$18,2,TRUE),"")))))</f>
        <v/>
      </c>
      <c r="J486" s="122"/>
      <c r="K486" s="111"/>
      <c r="L486" s="111"/>
      <c r="M486" s="111"/>
      <c r="N486" s="111"/>
      <c r="O486" s="111"/>
      <c r="P486" s="111"/>
      <c r="Q486" s="111"/>
      <c r="R486" s="111"/>
      <c r="S486" s="111"/>
      <c r="T486" s="111"/>
      <c r="U486" s="111"/>
      <c r="V486" s="111"/>
      <c r="W486" s="111"/>
      <c r="X486" s="123"/>
      <c r="AI486" s="222" t="str">
        <f t="shared" si="16"/>
        <v/>
      </c>
    </row>
    <row r="487" spans="1:35" s="108" customFormat="1" ht="15.75">
      <c r="A487" s="119"/>
      <c r="B487" s="120"/>
      <c r="C487" s="111"/>
      <c r="D487" s="111"/>
      <c r="E487" s="121"/>
      <c r="F487" s="121"/>
      <c r="G487" s="113"/>
      <c r="H487" s="199" t="str">
        <f t="shared" si="15"/>
        <v/>
      </c>
      <c r="I487" s="200" t="str">
        <f>IF(H487="","",IF(AND(AI487&lt;=66),VLOOKUP(H487,'WordRead Look Up'!$A$13:$B$20,2,TRUE),IF(AND(AI487&gt;=67,AI487&lt;=72),VLOOKUP(H487,'WordRead Look Up'!$E$13:$F$20,2,TRUE),IF(AND(AI487&gt;=73,AI487&lt;=78),VLOOKUP(H487,'WordRead Look Up'!$I$13:$J$18,2,TRUE),IF(AND(AI487&gt;=79),VLOOKUP(H487,'WordRead Look Up'!$M$13:$N$18,2,TRUE),"")))))</f>
        <v/>
      </c>
      <c r="J487" s="122"/>
      <c r="K487" s="111"/>
      <c r="L487" s="111"/>
      <c r="M487" s="111"/>
      <c r="N487" s="111"/>
      <c r="O487" s="111"/>
      <c r="P487" s="111"/>
      <c r="Q487" s="111"/>
      <c r="R487" s="111"/>
      <c r="S487" s="111"/>
      <c r="T487" s="111"/>
      <c r="U487" s="111"/>
      <c r="V487" s="111"/>
      <c r="W487" s="111"/>
      <c r="X487" s="123"/>
      <c r="AI487" s="222" t="str">
        <f t="shared" si="16"/>
        <v/>
      </c>
    </row>
    <row r="488" spans="1:35" s="108" customFormat="1" ht="15.75">
      <c r="A488" s="119"/>
      <c r="B488" s="120"/>
      <c r="C488" s="111"/>
      <c r="D488" s="111"/>
      <c r="E488" s="121"/>
      <c r="F488" s="121"/>
      <c r="G488" s="113"/>
      <c r="H488" s="199" t="str">
        <f t="shared" si="15"/>
        <v/>
      </c>
      <c r="I488" s="200" t="str">
        <f>IF(H488="","",IF(AND(AI488&lt;=66),VLOOKUP(H488,'WordRead Look Up'!$A$13:$B$20,2,TRUE),IF(AND(AI488&gt;=67,AI488&lt;=72),VLOOKUP(H488,'WordRead Look Up'!$E$13:$F$20,2,TRUE),IF(AND(AI488&gt;=73,AI488&lt;=78),VLOOKUP(H488,'WordRead Look Up'!$I$13:$J$18,2,TRUE),IF(AND(AI488&gt;=79),VLOOKUP(H488,'WordRead Look Up'!$M$13:$N$18,2,TRUE),"")))))</f>
        <v/>
      </c>
      <c r="J488" s="122"/>
      <c r="K488" s="111"/>
      <c r="L488" s="111"/>
      <c r="M488" s="111"/>
      <c r="N488" s="111"/>
      <c r="O488" s="111"/>
      <c r="P488" s="111"/>
      <c r="Q488" s="111"/>
      <c r="R488" s="111"/>
      <c r="S488" s="111"/>
      <c r="T488" s="111"/>
      <c r="U488" s="111"/>
      <c r="V488" s="111"/>
      <c r="W488" s="111"/>
      <c r="X488" s="123"/>
      <c r="AI488" s="222" t="str">
        <f t="shared" si="16"/>
        <v/>
      </c>
    </row>
    <row r="489" spans="1:35" s="108" customFormat="1" ht="15.75">
      <c r="A489" s="119"/>
      <c r="B489" s="120"/>
      <c r="C489" s="111"/>
      <c r="D489" s="111"/>
      <c r="E489" s="121"/>
      <c r="F489" s="121"/>
      <c r="G489" s="113"/>
      <c r="H489" s="199" t="str">
        <f t="shared" si="15"/>
        <v/>
      </c>
      <c r="I489" s="200" t="str">
        <f>IF(H489="","",IF(AND(AI489&lt;=66),VLOOKUP(H489,'WordRead Look Up'!$A$13:$B$20,2,TRUE),IF(AND(AI489&gt;=67,AI489&lt;=72),VLOOKUP(H489,'WordRead Look Up'!$E$13:$F$20,2,TRUE),IF(AND(AI489&gt;=73,AI489&lt;=78),VLOOKUP(H489,'WordRead Look Up'!$I$13:$J$18,2,TRUE),IF(AND(AI489&gt;=79),VLOOKUP(H489,'WordRead Look Up'!$M$13:$N$18,2,TRUE),"")))))</f>
        <v/>
      </c>
      <c r="J489" s="122"/>
      <c r="K489" s="111"/>
      <c r="L489" s="111"/>
      <c r="M489" s="111"/>
      <c r="N489" s="111"/>
      <c r="O489" s="111"/>
      <c r="P489" s="111"/>
      <c r="Q489" s="111"/>
      <c r="R489" s="111"/>
      <c r="S489" s="111"/>
      <c r="T489" s="111"/>
      <c r="U489" s="111"/>
      <c r="V489" s="111"/>
      <c r="W489" s="111"/>
      <c r="X489" s="123"/>
      <c r="AI489" s="222" t="str">
        <f t="shared" si="16"/>
        <v/>
      </c>
    </row>
    <row r="490" spans="1:35" s="108" customFormat="1" ht="15.75">
      <c r="A490" s="119"/>
      <c r="B490" s="120"/>
      <c r="C490" s="111"/>
      <c r="D490" s="111"/>
      <c r="E490" s="121"/>
      <c r="F490" s="121"/>
      <c r="G490" s="113"/>
      <c r="H490" s="199" t="str">
        <f t="shared" si="15"/>
        <v/>
      </c>
      <c r="I490" s="200" t="str">
        <f>IF(H490="","",IF(AND(AI490&lt;=66),VLOOKUP(H490,'WordRead Look Up'!$A$13:$B$20,2,TRUE),IF(AND(AI490&gt;=67,AI490&lt;=72),VLOOKUP(H490,'WordRead Look Up'!$E$13:$F$20,2,TRUE),IF(AND(AI490&gt;=73,AI490&lt;=78),VLOOKUP(H490,'WordRead Look Up'!$I$13:$J$18,2,TRUE),IF(AND(AI490&gt;=79),VLOOKUP(H490,'WordRead Look Up'!$M$13:$N$18,2,TRUE),"")))))</f>
        <v/>
      </c>
      <c r="J490" s="122"/>
      <c r="K490" s="111"/>
      <c r="L490" s="111"/>
      <c r="M490" s="111"/>
      <c r="N490" s="111"/>
      <c r="O490" s="111"/>
      <c r="P490" s="111"/>
      <c r="Q490" s="111"/>
      <c r="R490" s="111"/>
      <c r="S490" s="111"/>
      <c r="T490" s="111"/>
      <c r="U490" s="111"/>
      <c r="V490" s="111"/>
      <c r="W490" s="111"/>
      <c r="X490" s="123"/>
      <c r="AI490" s="222" t="str">
        <f t="shared" si="16"/>
        <v/>
      </c>
    </row>
    <row r="491" spans="1:35" s="108" customFormat="1" ht="15.75">
      <c r="A491" s="119"/>
      <c r="B491" s="120"/>
      <c r="C491" s="111"/>
      <c r="D491" s="111"/>
      <c r="E491" s="121"/>
      <c r="F491" s="121"/>
      <c r="G491" s="113"/>
      <c r="H491" s="199" t="str">
        <f t="shared" si="15"/>
        <v/>
      </c>
      <c r="I491" s="200" t="str">
        <f>IF(H491="","",IF(AND(AI491&lt;=66),VLOOKUP(H491,'WordRead Look Up'!$A$13:$B$20,2,TRUE),IF(AND(AI491&gt;=67,AI491&lt;=72),VLOOKUP(H491,'WordRead Look Up'!$E$13:$F$20,2,TRUE),IF(AND(AI491&gt;=73,AI491&lt;=78),VLOOKUP(H491,'WordRead Look Up'!$I$13:$J$18,2,TRUE),IF(AND(AI491&gt;=79),VLOOKUP(H491,'WordRead Look Up'!$M$13:$N$18,2,TRUE),"")))))</f>
        <v/>
      </c>
      <c r="J491" s="122"/>
      <c r="K491" s="111"/>
      <c r="L491" s="111"/>
      <c r="M491" s="111"/>
      <c r="N491" s="111"/>
      <c r="O491" s="111"/>
      <c r="P491" s="111"/>
      <c r="Q491" s="111"/>
      <c r="R491" s="111"/>
      <c r="S491" s="111"/>
      <c r="T491" s="111"/>
      <c r="U491" s="111"/>
      <c r="V491" s="111"/>
      <c r="W491" s="111"/>
      <c r="X491" s="123"/>
      <c r="AI491" s="222" t="str">
        <f t="shared" si="16"/>
        <v/>
      </c>
    </row>
    <row r="492" spans="1:35" s="108" customFormat="1" ht="15.75">
      <c r="A492" s="119"/>
      <c r="B492" s="120"/>
      <c r="C492" s="111"/>
      <c r="D492" s="111"/>
      <c r="E492" s="121"/>
      <c r="F492" s="121"/>
      <c r="G492" s="113"/>
      <c r="H492" s="199" t="str">
        <f t="shared" si="15"/>
        <v/>
      </c>
      <c r="I492" s="200" t="str">
        <f>IF(H492="","",IF(AND(AI492&lt;=66),VLOOKUP(H492,'WordRead Look Up'!$A$13:$B$20,2,TRUE),IF(AND(AI492&gt;=67,AI492&lt;=72),VLOOKUP(H492,'WordRead Look Up'!$E$13:$F$20,2,TRUE),IF(AND(AI492&gt;=73,AI492&lt;=78),VLOOKUP(H492,'WordRead Look Up'!$I$13:$J$18,2,TRUE),IF(AND(AI492&gt;=79),VLOOKUP(H492,'WordRead Look Up'!$M$13:$N$18,2,TRUE),"")))))</f>
        <v/>
      </c>
      <c r="J492" s="122"/>
      <c r="K492" s="111"/>
      <c r="L492" s="111"/>
      <c r="M492" s="111"/>
      <c r="N492" s="111"/>
      <c r="O492" s="111"/>
      <c r="P492" s="111"/>
      <c r="Q492" s="111"/>
      <c r="R492" s="111"/>
      <c r="S492" s="111"/>
      <c r="T492" s="111"/>
      <c r="U492" s="111"/>
      <c r="V492" s="111"/>
      <c r="W492" s="111"/>
      <c r="X492" s="123"/>
      <c r="AI492" s="222" t="str">
        <f t="shared" si="16"/>
        <v/>
      </c>
    </row>
    <row r="493" spans="1:35" s="108" customFormat="1" ht="15.75">
      <c r="A493" s="119"/>
      <c r="B493" s="120"/>
      <c r="C493" s="111"/>
      <c r="D493" s="111"/>
      <c r="E493" s="121"/>
      <c r="F493" s="121"/>
      <c r="G493" s="113"/>
      <c r="H493" s="199" t="str">
        <f t="shared" si="15"/>
        <v/>
      </c>
      <c r="I493" s="200" t="str">
        <f>IF(H493="","",IF(AND(AI493&lt;=66),VLOOKUP(H493,'WordRead Look Up'!$A$13:$B$20,2,TRUE),IF(AND(AI493&gt;=67,AI493&lt;=72),VLOOKUP(H493,'WordRead Look Up'!$E$13:$F$20,2,TRUE),IF(AND(AI493&gt;=73,AI493&lt;=78),VLOOKUP(H493,'WordRead Look Up'!$I$13:$J$18,2,TRUE),IF(AND(AI493&gt;=79),VLOOKUP(H493,'WordRead Look Up'!$M$13:$N$18,2,TRUE),"")))))</f>
        <v/>
      </c>
      <c r="J493" s="122"/>
      <c r="K493" s="111"/>
      <c r="L493" s="111"/>
      <c r="M493" s="111"/>
      <c r="N493" s="111"/>
      <c r="O493" s="111"/>
      <c r="P493" s="111"/>
      <c r="Q493" s="111"/>
      <c r="R493" s="111"/>
      <c r="S493" s="111"/>
      <c r="T493" s="111"/>
      <c r="U493" s="111"/>
      <c r="V493" s="111"/>
      <c r="W493" s="111"/>
      <c r="X493" s="123"/>
      <c r="AI493" s="222" t="str">
        <f t="shared" si="16"/>
        <v/>
      </c>
    </row>
    <row r="494" spans="1:35" s="108" customFormat="1" ht="15.75">
      <c r="A494" s="119"/>
      <c r="B494" s="120"/>
      <c r="C494" s="111"/>
      <c r="D494" s="111"/>
      <c r="E494" s="121"/>
      <c r="F494" s="121"/>
      <c r="G494" s="113"/>
      <c r="H494" s="199" t="str">
        <f t="shared" si="15"/>
        <v/>
      </c>
      <c r="I494" s="200" t="str">
        <f>IF(H494="","",IF(AND(AI494&lt;=66),VLOOKUP(H494,'WordRead Look Up'!$A$13:$B$20,2,TRUE),IF(AND(AI494&gt;=67,AI494&lt;=72),VLOOKUP(H494,'WordRead Look Up'!$E$13:$F$20,2,TRUE),IF(AND(AI494&gt;=73,AI494&lt;=78),VLOOKUP(H494,'WordRead Look Up'!$I$13:$J$18,2,TRUE),IF(AND(AI494&gt;=79),VLOOKUP(H494,'WordRead Look Up'!$M$13:$N$18,2,TRUE),"")))))</f>
        <v/>
      </c>
      <c r="J494" s="122"/>
      <c r="K494" s="111"/>
      <c r="L494" s="111"/>
      <c r="M494" s="111"/>
      <c r="N494" s="111"/>
      <c r="O494" s="111"/>
      <c r="P494" s="111"/>
      <c r="Q494" s="111"/>
      <c r="R494" s="111"/>
      <c r="S494" s="111"/>
      <c r="T494" s="111"/>
      <c r="U494" s="111"/>
      <c r="V494" s="111"/>
      <c r="W494" s="111"/>
      <c r="X494" s="123"/>
      <c r="AI494" s="222" t="str">
        <f t="shared" si="16"/>
        <v/>
      </c>
    </row>
    <row r="495" spans="1:35" s="108" customFormat="1" ht="15.75">
      <c r="A495" s="119"/>
      <c r="B495" s="120"/>
      <c r="C495" s="111"/>
      <c r="D495" s="111"/>
      <c r="E495" s="121"/>
      <c r="F495" s="121"/>
      <c r="G495" s="113"/>
      <c r="H495" s="199" t="str">
        <f t="shared" si="15"/>
        <v/>
      </c>
      <c r="I495" s="200" t="str">
        <f>IF(H495="","",IF(AND(AI495&lt;=66),VLOOKUP(H495,'WordRead Look Up'!$A$13:$B$20,2,TRUE),IF(AND(AI495&gt;=67,AI495&lt;=72),VLOOKUP(H495,'WordRead Look Up'!$E$13:$F$20,2,TRUE),IF(AND(AI495&gt;=73,AI495&lt;=78),VLOOKUP(H495,'WordRead Look Up'!$I$13:$J$18,2,TRUE),IF(AND(AI495&gt;=79),VLOOKUP(H495,'WordRead Look Up'!$M$13:$N$18,2,TRUE),"")))))</f>
        <v/>
      </c>
      <c r="J495" s="122"/>
      <c r="K495" s="111"/>
      <c r="L495" s="111"/>
      <c r="M495" s="111"/>
      <c r="N495" s="111"/>
      <c r="O495" s="111"/>
      <c r="P495" s="111"/>
      <c r="Q495" s="111"/>
      <c r="R495" s="111"/>
      <c r="S495" s="111"/>
      <c r="T495" s="111"/>
      <c r="U495" s="111"/>
      <c r="V495" s="111"/>
      <c r="W495" s="111"/>
      <c r="X495" s="123"/>
      <c r="AI495" s="222" t="str">
        <f t="shared" si="16"/>
        <v/>
      </c>
    </row>
    <row r="496" spans="1:35" s="108" customFormat="1" ht="15.75">
      <c r="A496" s="119"/>
      <c r="B496" s="120"/>
      <c r="C496" s="111"/>
      <c r="D496" s="111"/>
      <c r="E496" s="121"/>
      <c r="F496" s="121"/>
      <c r="G496" s="113"/>
      <c r="H496" s="199" t="str">
        <f t="shared" si="15"/>
        <v/>
      </c>
      <c r="I496" s="200" t="str">
        <f>IF(H496="","",IF(AND(AI496&lt;=66),VLOOKUP(H496,'WordRead Look Up'!$A$13:$B$20,2,TRUE),IF(AND(AI496&gt;=67,AI496&lt;=72),VLOOKUP(H496,'WordRead Look Up'!$E$13:$F$20,2,TRUE),IF(AND(AI496&gt;=73,AI496&lt;=78),VLOOKUP(H496,'WordRead Look Up'!$I$13:$J$18,2,TRUE),IF(AND(AI496&gt;=79),VLOOKUP(H496,'WordRead Look Up'!$M$13:$N$18,2,TRUE),"")))))</f>
        <v/>
      </c>
      <c r="J496" s="122"/>
      <c r="K496" s="111"/>
      <c r="L496" s="111"/>
      <c r="M496" s="111"/>
      <c r="N496" s="111"/>
      <c r="O496" s="111"/>
      <c r="P496" s="111"/>
      <c r="Q496" s="111"/>
      <c r="R496" s="111"/>
      <c r="S496" s="111"/>
      <c r="T496" s="111"/>
      <c r="U496" s="111"/>
      <c r="V496" s="111"/>
      <c r="W496" s="111"/>
      <c r="X496" s="123"/>
      <c r="AI496" s="222" t="str">
        <f t="shared" si="16"/>
        <v/>
      </c>
    </row>
    <row r="497" spans="1:35" s="108" customFormat="1" ht="15.75">
      <c r="A497" s="119"/>
      <c r="B497" s="120"/>
      <c r="C497" s="111"/>
      <c r="D497" s="111"/>
      <c r="E497" s="121"/>
      <c r="F497" s="121"/>
      <c r="G497" s="113"/>
      <c r="H497" s="243" t="str">
        <f t="shared" si="15"/>
        <v/>
      </c>
      <c r="I497" s="200" t="str">
        <f>IF(H497="","",IF(AND(AI497&lt;=66),VLOOKUP(H497,'WordRead Look Up'!$A$13:$B$20,2,TRUE),IF(AND(AI497&gt;=67,AI497&lt;=72),VLOOKUP(H497,'WordRead Look Up'!$E$13:$F$20,2,TRUE),IF(AND(AI497&gt;=73,AI497&lt;=78),VLOOKUP(H497,'WordRead Look Up'!$I$13:$J$18,2,TRUE),IF(AND(AI497&gt;=79),VLOOKUP(H497,'WordRead Look Up'!$M$13:$N$18,2,TRUE),"")))))</f>
        <v/>
      </c>
      <c r="J497" s="122"/>
      <c r="K497" s="111"/>
      <c r="L497" s="111"/>
      <c r="M497" s="111"/>
      <c r="N497" s="111"/>
      <c r="O497" s="111"/>
      <c r="P497" s="111"/>
      <c r="Q497" s="111"/>
      <c r="R497" s="111"/>
      <c r="S497" s="111"/>
      <c r="T497" s="111"/>
      <c r="U497" s="111"/>
      <c r="V497" s="111"/>
      <c r="W497" s="111"/>
      <c r="X497" s="123"/>
      <c r="Z497" s="99"/>
      <c r="AI497" s="222" t="str">
        <f t="shared" si="16"/>
        <v/>
      </c>
    </row>
    <row r="498" spans="1:35" s="108" customFormat="1" ht="15.75">
      <c r="A498" s="119"/>
      <c r="B498" s="120"/>
      <c r="C498" s="111"/>
      <c r="D498" s="111"/>
      <c r="E498" s="121"/>
      <c r="F498" s="121"/>
      <c r="G498" s="241"/>
      <c r="H498" s="144" t="str">
        <f t="shared" si="15"/>
        <v/>
      </c>
      <c r="I498" s="200" t="str">
        <f>IF(H498="","",IF(AND(AI498&lt;=66),VLOOKUP(H498,'WordRead Look Up'!$A$13:$B$20,2,TRUE),IF(AND(AI498&gt;=67,AI498&lt;=72),VLOOKUP(H498,'WordRead Look Up'!$E$13:$F$20,2,TRUE),IF(AND(AI498&gt;=73,AI498&lt;=78),VLOOKUP(H498,'WordRead Look Up'!$I$13:$J$18,2,TRUE),IF(AND(AI498&gt;=79),VLOOKUP(H498,'WordRead Look Up'!$M$13:$N$18,2,TRUE),"")))))</f>
        <v/>
      </c>
      <c r="J498" s="122"/>
      <c r="K498" s="111"/>
      <c r="L498" s="111"/>
      <c r="M498" s="111"/>
      <c r="N498" s="111"/>
      <c r="O498" s="111"/>
      <c r="P498" s="111"/>
      <c r="Q498" s="111"/>
      <c r="R498" s="111"/>
      <c r="S498" s="111"/>
      <c r="T498" s="111"/>
      <c r="U498" s="111"/>
      <c r="V498" s="111"/>
      <c r="W498" s="111"/>
      <c r="X498" s="123"/>
      <c r="AI498" s="222" t="str">
        <f t="shared" si="16"/>
        <v/>
      </c>
    </row>
    <row r="499" spans="1:35" s="108" customFormat="1" ht="15.75">
      <c r="A499" s="110"/>
      <c r="B499" s="110"/>
      <c r="C499" s="111"/>
      <c r="D499" s="111"/>
      <c r="E499" s="121"/>
      <c r="F499" s="121"/>
      <c r="G499" s="113"/>
      <c r="H499" s="144" t="str">
        <f t="shared" si="15"/>
        <v/>
      </c>
      <c r="I499" s="200" t="str">
        <f>IF(H499="","",IF(AND(AI499&lt;=66),VLOOKUP(H499,'WordRead Look Up'!$A$13:$B$20,2,TRUE),IF(AND(AI499&gt;=67,AI499&lt;=72),VLOOKUP(H499,'WordRead Look Up'!$E$13:$F$20,2,TRUE),IF(AND(AI499&gt;=73,AI499&lt;=78),VLOOKUP(H499,'WordRead Look Up'!$I$13:$J$18,2,TRUE),IF(AND(AI499&gt;=79),VLOOKUP(H499,'WordRead Look Up'!$M$13:$N$18,2,TRUE),"")))))</f>
        <v/>
      </c>
      <c r="J499" s="122"/>
      <c r="K499" s="111"/>
      <c r="L499" s="111"/>
      <c r="M499" s="111"/>
      <c r="N499" s="111"/>
      <c r="O499" s="111"/>
      <c r="P499" s="111"/>
      <c r="Q499" s="111"/>
      <c r="R499" s="111"/>
      <c r="S499" s="111"/>
      <c r="T499" s="111"/>
      <c r="U499" s="111"/>
      <c r="V499" s="111"/>
      <c r="W499" s="111"/>
      <c r="X499" s="123"/>
      <c r="AI499" s="222" t="str">
        <f t="shared" si="16"/>
        <v/>
      </c>
    </row>
    <row r="500" spans="1:35" ht="16.5" thickBot="1">
      <c r="A500" s="294"/>
      <c r="B500" s="294"/>
      <c r="C500" s="126"/>
      <c r="D500" s="126"/>
      <c r="E500" s="127"/>
      <c r="F500" s="127"/>
      <c r="G500" s="128"/>
      <c r="H500" s="145" t="str">
        <f t="shared" ref="H500" si="17">IF(E500="","",COUNTIF(J500:X500,"y"))</f>
        <v/>
      </c>
      <c r="I500" s="200" t="str">
        <f>IF(H500="","",IF(AND(AI500&lt;=66),VLOOKUP(H500,'WordRead Look Up'!$A$13:$B$20,2,TRUE),IF(AND(AI500&gt;=67,AI500&lt;=72),VLOOKUP(H500,'WordRead Look Up'!$E$13:$F$20,2,TRUE),IF(AND(AI500&gt;=73,AI500&lt;=78),VLOOKUP(H500,'WordRead Look Up'!$I$13:$J$18,2,TRUE),IF(AND(AI500&gt;=79),VLOOKUP(H500,'WordRead Look Up'!$M$13:$N$18,2,TRUE),"")))))</f>
        <v/>
      </c>
      <c r="J500" s="198"/>
      <c r="K500" s="126"/>
      <c r="L500" s="126"/>
      <c r="M500" s="126"/>
      <c r="N500" s="126"/>
      <c r="O500" s="126"/>
      <c r="P500" s="126"/>
      <c r="Q500" s="126"/>
      <c r="R500" s="126"/>
      <c r="S500" s="126"/>
      <c r="T500" s="126"/>
      <c r="U500" s="126"/>
      <c r="V500" s="126"/>
      <c r="W500" s="126"/>
      <c r="X500" s="295"/>
      <c r="AI500" s="222" t="str">
        <f t="shared" si="16"/>
        <v/>
      </c>
    </row>
  </sheetData>
  <mergeCells count="20">
    <mergeCell ref="H5:I5"/>
    <mergeCell ref="F1:H1"/>
    <mergeCell ref="J1:X1"/>
    <mergeCell ref="J3:X3"/>
    <mergeCell ref="H4:I4"/>
    <mergeCell ref="J5:J6"/>
    <mergeCell ref="K5:K6"/>
    <mergeCell ref="R5:R6"/>
    <mergeCell ref="X5:X6"/>
    <mergeCell ref="S5:S6"/>
    <mergeCell ref="T5:T6"/>
    <mergeCell ref="L5:L6"/>
    <mergeCell ref="M5:M6"/>
    <mergeCell ref="N5:N6"/>
    <mergeCell ref="O5:O6"/>
    <mergeCell ref="P5:P6"/>
    <mergeCell ref="Q5:Q6"/>
    <mergeCell ref="U5:U6"/>
    <mergeCell ref="V5:V6"/>
    <mergeCell ref="W5:W6"/>
  </mergeCells>
  <conditionalFormatting sqref="J8:X500">
    <cfRule type="cellIs" dxfId="5" priority="2" operator="equal">
      <formula>"y"</formula>
    </cfRule>
    <cfRule type="cellIs" dxfId="4" priority="3" stopIfTrue="1" operator="equal">
      <formula>"n"</formula>
    </cfRule>
  </conditionalFormatting>
  <pageMargins left="0.7" right="0.7" top="0.75" bottom="0.75" header="0.3" footer="0.3"/>
  <pageSetup paperSize="9" orientation="portrait" horizontalDpi="0" verticalDpi="0" r:id="rId1"/>
  <ignoredErrors>
    <ignoredError sqref="H8:H50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I500"/>
  <sheetViews>
    <sheetView zoomScale="80" zoomScaleNormal="80" workbookViewId="0">
      <selection activeCell="A8" sqref="A8:G18"/>
    </sheetView>
  </sheetViews>
  <sheetFormatPr defaultRowHeight="15"/>
  <cols>
    <col min="1" max="2" width="15.85546875" style="129" customWidth="1"/>
    <col min="3" max="3" width="10.7109375" style="130" customWidth="1"/>
    <col min="4" max="4" width="6.85546875" style="130" customWidth="1"/>
    <col min="5" max="6" width="13.85546875" style="131" customWidth="1"/>
    <col min="7" max="7" width="11.28515625" style="132" bestFit="1" customWidth="1"/>
    <col min="8" max="8" width="9.85546875" style="133" customWidth="1"/>
    <col min="9" max="9" width="13.7109375" style="133" customWidth="1"/>
    <col min="10" max="24" width="7" style="130" customWidth="1"/>
    <col min="25" max="25" width="6.140625" style="135" customWidth="1"/>
    <col min="26" max="26" width="8.5703125" style="135" customWidth="1"/>
    <col min="27" max="33" width="9.140625" style="135"/>
    <col min="34" max="34" width="8.85546875" style="135" customWidth="1"/>
    <col min="35" max="35" width="11.42578125" style="136" hidden="1" customWidth="1"/>
    <col min="36" max="16384" width="9.140625" style="135"/>
  </cols>
  <sheetData>
    <row r="1" spans="1:35" s="45" customFormat="1" ht="27.6" customHeight="1" thickBot="1">
      <c r="A1" s="42"/>
      <c r="B1" s="42"/>
      <c r="C1" s="42"/>
      <c r="D1" s="244"/>
      <c r="E1" s="244"/>
      <c r="F1" s="347" t="s">
        <v>182</v>
      </c>
      <c r="G1" s="348"/>
      <c r="H1" s="348"/>
      <c r="I1" s="43"/>
      <c r="J1" s="349"/>
      <c r="K1" s="349"/>
      <c r="L1" s="349"/>
      <c r="M1" s="349"/>
      <c r="N1" s="349"/>
      <c r="O1" s="349"/>
      <c r="P1" s="349"/>
      <c r="Q1" s="349"/>
      <c r="R1" s="349"/>
      <c r="S1" s="349"/>
      <c r="T1" s="349"/>
      <c r="U1" s="349"/>
      <c r="V1" s="349"/>
      <c r="W1" s="349"/>
      <c r="X1" s="349"/>
      <c r="Y1" s="44"/>
      <c r="AI1" s="46"/>
    </row>
    <row r="2" spans="1:35" s="53" customFormat="1" ht="18.75" customHeight="1" thickBot="1">
      <c r="A2" s="47"/>
      <c r="B2" s="47"/>
      <c r="C2" s="48"/>
      <c r="D2" s="48"/>
      <c r="E2" s="49"/>
      <c r="F2" s="50"/>
      <c r="G2" s="50"/>
      <c r="H2" s="51"/>
      <c r="I2" s="51"/>
      <c r="J2" s="52"/>
      <c r="K2" s="52"/>
      <c r="L2" s="52"/>
      <c r="M2" s="52"/>
      <c r="N2" s="52"/>
      <c r="O2" s="52"/>
      <c r="P2" s="52"/>
      <c r="Q2" s="52"/>
      <c r="R2" s="52"/>
      <c r="S2" s="52"/>
      <c r="T2" s="52"/>
      <c r="U2" s="52"/>
      <c r="V2" s="52"/>
      <c r="W2" s="52"/>
      <c r="X2" s="52"/>
      <c r="AI2" s="54"/>
    </row>
    <row r="3" spans="1:35" s="58" customFormat="1" ht="98.25" customHeight="1" thickBot="1">
      <c r="A3" s="55"/>
      <c r="B3" s="55"/>
      <c r="C3" s="55"/>
      <c r="D3" s="56"/>
      <c r="E3" s="57"/>
      <c r="G3" s="59"/>
      <c r="H3" s="60"/>
      <c r="I3" s="61"/>
      <c r="J3" s="395" t="s">
        <v>191</v>
      </c>
      <c r="K3" s="350"/>
      <c r="L3" s="350"/>
      <c r="M3" s="350"/>
      <c r="N3" s="350"/>
      <c r="O3" s="350"/>
      <c r="P3" s="350"/>
      <c r="Q3" s="350"/>
      <c r="R3" s="350"/>
      <c r="S3" s="350"/>
      <c r="T3" s="350"/>
      <c r="U3" s="350"/>
      <c r="V3" s="350"/>
      <c r="W3" s="350"/>
      <c r="X3" s="351"/>
      <c r="AI3" s="62"/>
    </row>
    <row r="4" spans="1:35" s="67" customFormat="1" ht="23.25" customHeight="1" thickBot="1">
      <c r="A4" s="63"/>
      <c r="B4" s="63"/>
      <c r="C4" s="64"/>
      <c r="D4" s="64"/>
      <c r="E4" s="65"/>
      <c r="F4" s="149"/>
      <c r="G4" s="224"/>
      <c r="H4" s="387" t="s">
        <v>102</v>
      </c>
      <c r="I4" s="396"/>
      <c r="J4" s="245">
        <v>1</v>
      </c>
      <c r="K4" s="152">
        <v>2</v>
      </c>
      <c r="L4" s="152">
        <v>3</v>
      </c>
      <c r="M4" s="152">
        <v>4</v>
      </c>
      <c r="N4" s="153">
        <v>5</v>
      </c>
      <c r="O4" s="153">
        <v>6</v>
      </c>
      <c r="P4" s="153">
        <v>7</v>
      </c>
      <c r="Q4" s="153">
        <v>8</v>
      </c>
      <c r="R4" s="153">
        <v>9</v>
      </c>
      <c r="S4" s="153">
        <v>10</v>
      </c>
      <c r="T4" s="153">
        <v>11</v>
      </c>
      <c r="U4" s="153">
        <v>12</v>
      </c>
      <c r="V4" s="153">
        <v>13</v>
      </c>
      <c r="W4" s="153">
        <v>14</v>
      </c>
      <c r="X4" s="225">
        <v>15</v>
      </c>
      <c r="AI4" s="68"/>
    </row>
    <row r="5" spans="1:35" s="53" customFormat="1" ht="102" customHeight="1" thickBot="1">
      <c r="A5" s="204"/>
      <c r="B5" s="204"/>
      <c r="C5" s="205"/>
      <c r="D5" s="205"/>
      <c r="E5" s="206"/>
      <c r="F5" s="226"/>
      <c r="G5" s="227"/>
      <c r="H5" s="393" t="s">
        <v>154</v>
      </c>
      <c r="I5" s="394"/>
      <c r="J5" s="397" t="s">
        <v>153</v>
      </c>
      <c r="K5" s="383" t="s">
        <v>152</v>
      </c>
      <c r="L5" s="383" t="s">
        <v>151</v>
      </c>
      <c r="M5" s="383" t="s">
        <v>150</v>
      </c>
      <c r="N5" s="383" t="s">
        <v>149</v>
      </c>
      <c r="O5" s="401" t="s">
        <v>148</v>
      </c>
      <c r="P5" s="383" t="s">
        <v>147</v>
      </c>
      <c r="Q5" s="383" t="s">
        <v>146</v>
      </c>
      <c r="R5" s="383" t="s">
        <v>145</v>
      </c>
      <c r="S5" s="383" t="s">
        <v>144</v>
      </c>
      <c r="T5" s="383" t="s">
        <v>143</v>
      </c>
      <c r="U5" s="383" t="s">
        <v>142</v>
      </c>
      <c r="V5" s="383" t="s">
        <v>141</v>
      </c>
      <c r="W5" s="383" t="s">
        <v>140</v>
      </c>
      <c r="X5" s="399" t="s">
        <v>139</v>
      </c>
      <c r="Y5" s="246"/>
    </row>
    <row r="6" spans="1:35" s="53" customFormat="1" ht="21.75" customHeight="1" thickBot="1">
      <c r="A6" s="247" t="s">
        <v>15</v>
      </c>
      <c r="B6" s="248" t="s">
        <v>15</v>
      </c>
      <c r="C6" s="249" t="s">
        <v>15</v>
      </c>
      <c r="D6" s="231"/>
      <c r="E6" s="250" t="s">
        <v>15</v>
      </c>
      <c r="F6" s="251" t="s">
        <v>15</v>
      </c>
      <c r="G6" s="251" t="s">
        <v>15</v>
      </c>
      <c r="H6" s="233"/>
      <c r="I6" s="252"/>
      <c r="J6" s="398"/>
      <c r="K6" s="384"/>
      <c r="L6" s="384"/>
      <c r="M6" s="384"/>
      <c r="N6" s="384"/>
      <c r="O6" s="402"/>
      <c r="P6" s="384"/>
      <c r="Q6" s="384"/>
      <c r="R6" s="384"/>
      <c r="S6" s="384"/>
      <c r="T6" s="384"/>
      <c r="U6" s="384"/>
      <c r="V6" s="384"/>
      <c r="W6" s="384"/>
      <c r="X6" s="400"/>
      <c r="Y6" s="253"/>
    </row>
    <row r="7" spans="1:35" s="99" customFormat="1" ht="30.75" thickBot="1">
      <c r="A7" s="162" t="s">
        <v>14</v>
      </c>
      <c r="B7" s="163" t="s">
        <v>13</v>
      </c>
      <c r="C7" s="164" t="s">
        <v>12</v>
      </c>
      <c r="D7" s="164" t="s">
        <v>11</v>
      </c>
      <c r="E7" s="165" t="s">
        <v>10</v>
      </c>
      <c r="F7" s="235" t="s">
        <v>9</v>
      </c>
      <c r="G7" s="236" t="s">
        <v>8</v>
      </c>
      <c r="H7" s="237" t="s">
        <v>6</v>
      </c>
      <c r="I7" s="238" t="s">
        <v>5</v>
      </c>
      <c r="J7" s="169" t="s">
        <v>4</v>
      </c>
      <c r="K7" s="170" t="s">
        <v>4</v>
      </c>
      <c r="L7" s="170" t="s">
        <v>4</v>
      </c>
      <c r="M7" s="170" t="s">
        <v>4</v>
      </c>
      <c r="N7" s="170" t="s">
        <v>4</v>
      </c>
      <c r="O7" s="170" t="s">
        <v>4</v>
      </c>
      <c r="P7" s="170" t="s">
        <v>4</v>
      </c>
      <c r="Q7" s="170" t="s">
        <v>4</v>
      </c>
      <c r="R7" s="170" t="s">
        <v>4</v>
      </c>
      <c r="S7" s="170" t="s">
        <v>4</v>
      </c>
      <c r="T7" s="170" t="s">
        <v>4</v>
      </c>
      <c r="U7" s="170" t="s">
        <v>4</v>
      </c>
      <c r="V7" s="170" t="s">
        <v>4</v>
      </c>
      <c r="W7" s="170" t="s">
        <v>4</v>
      </c>
      <c r="X7" s="172" t="s">
        <v>4</v>
      </c>
      <c r="Y7" s="174">
        <f>COUNTIF(J7:X7,"y")</f>
        <v>15</v>
      </c>
      <c r="Z7" s="175" t="s">
        <v>3</v>
      </c>
      <c r="AA7" s="176"/>
      <c r="AI7" s="177" t="s">
        <v>2</v>
      </c>
    </row>
    <row r="8" spans="1:35" s="108" customFormat="1" ht="15.75">
      <c r="A8" s="178">
        <v>45950</v>
      </c>
      <c r="B8" s="178">
        <v>40959</v>
      </c>
      <c r="C8" s="179">
        <v>3</v>
      </c>
      <c r="D8" s="179"/>
      <c r="E8" s="180" t="s">
        <v>206</v>
      </c>
      <c r="F8" s="180" t="s">
        <v>207</v>
      </c>
      <c r="G8" s="181" t="s">
        <v>195</v>
      </c>
      <c r="H8" s="199">
        <f t="shared" ref="H8:H71" si="0">IF(E8="","",COUNTIF(J8:X8,"y"))</f>
        <v>0</v>
      </c>
      <c r="I8" s="200">
        <f>IF(H8="","",IF(AND(AI8&lt;=66),VLOOKUP(H8,'WordRead Look Up'!$A$13:$B$20,2,TRUE),IF(AND(AI8&gt;=67,AI8&lt;=72),VLOOKUP(H8,'WordRead Look Up'!$E$13:$F$20,2,TRUE),IF(AND(AI8&gt;=73,AI8&lt;=78),VLOOKUP(H8,'WordRead Look Up'!$I$13:$J$18,2,TRUE),IF(AND(AI8&gt;=79),VLOOKUP(H8,'WordRead Look Up'!$M$13:$N$18,2,TRUE),"")))))</f>
        <v>1</v>
      </c>
      <c r="J8" s="182"/>
      <c r="K8" s="182"/>
      <c r="L8" s="182"/>
      <c r="M8" s="182"/>
      <c r="N8" s="182"/>
      <c r="O8" s="182"/>
      <c r="P8" s="182"/>
      <c r="Q8" s="182"/>
      <c r="R8" s="182"/>
      <c r="S8" s="182"/>
      <c r="T8" s="182"/>
      <c r="U8" s="182"/>
      <c r="V8" s="182"/>
      <c r="W8" s="182"/>
      <c r="X8" s="239"/>
      <c r="AG8" s="185"/>
      <c r="AH8" s="185"/>
      <c r="AI8" s="222">
        <f t="shared" ref="AI8:AI71" si="1">IF(E8="","",DATEDIF(B8,A8,"m"))</f>
        <v>164</v>
      </c>
    </row>
    <row r="9" spans="1:35" s="108" customFormat="1" ht="15.75">
      <c r="A9" s="178">
        <v>45950</v>
      </c>
      <c r="B9" s="178">
        <v>40960</v>
      </c>
      <c r="C9" s="186">
        <v>3</v>
      </c>
      <c r="D9" s="179"/>
      <c r="E9" s="187" t="s">
        <v>208</v>
      </c>
      <c r="F9" s="187" t="s">
        <v>209</v>
      </c>
      <c r="G9" s="188" t="s">
        <v>196</v>
      </c>
      <c r="H9" s="199">
        <f t="shared" si="0"/>
        <v>0</v>
      </c>
      <c r="I9" s="200">
        <f>IF(H9="","",IF(AND(AI9&lt;=66),VLOOKUP(H9,'WordRead Look Up'!$A$13:$B$20,2,TRUE),IF(AND(AI9&gt;=67,AI9&lt;=72),VLOOKUP(H9,'WordRead Look Up'!$E$13:$F$20,2,TRUE),IF(AND(AI9&gt;=73,AI9&lt;=78),VLOOKUP(H9,'WordRead Look Up'!$I$13:$J$18,2,TRUE),IF(AND(AI9&gt;=79),VLOOKUP(H9,'WordRead Look Up'!$M$13:$N$18,2,TRUE),"")))))</f>
        <v>1</v>
      </c>
      <c r="J9" s="182"/>
      <c r="K9" s="182"/>
      <c r="L9" s="182"/>
      <c r="M9" s="182"/>
      <c r="N9" s="182"/>
      <c r="O9" s="182"/>
      <c r="P9" s="182"/>
      <c r="Q9" s="182"/>
      <c r="R9" s="182"/>
      <c r="S9" s="182"/>
      <c r="T9" s="182"/>
      <c r="U9" s="182"/>
      <c r="V9" s="182"/>
      <c r="W9" s="182"/>
      <c r="X9" s="239"/>
      <c r="AG9" s="185"/>
      <c r="AH9" s="185"/>
      <c r="AI9" s="222">
        <f t="shared" si="1"/>
        <v>163</v>
      </c>
    </row>
    <row r="10" spans="1:35" s="108" customFormat="1" ht="15.75">
      <c r="A10" s="178">
        <v>45950</v>
      </c>
      <c r="B10" s="178">
        <v>40961</v>
      </c>
      <c r="C10" s="186">
        <v>3</v>
      </c>
      <c r="D10" s="179"/>
      <c r="E10" s="187" t="s">
        <v>210</v>
      </c>
      <c r="F10" s="187" t="s">
        <v>211</v>
      </c>
      <c r="G10" s="188" t="s">
        <v>197</v>
      </c>
      <c r="H10" s="199">
        <f t="shared" si="0"/>
        <v>0</v>
      </c>
      <c r="I10" s="200">
        <f>IF(H10="","",IF(AND(AI10&lt;=66),VLOOKUP(H10,'WordRead Look Up'!$A$13:$B$20,2,TRUE),IF(AND(AI10&gt;=67,AI10&lt;=72),VLOOKUP(H10,'WordRead Look Up'!$E$13:$F$20,2,TRUE),IF(AND(AI10&gt;=73,AI10&lt;=78),VLOOKUP(H10,'WordRead Look Up'!$I$13:$J$18,2,TRUE),IF(AND(AI10&gt;=79),VLOOKUP(H10,'WordRead Look Up'!$M$13:$N$18,2,TRUE),"")))))</f>
        <v>1</v>
      </c>
      <c r="J10" s="182"/>
      <c r="K10" s="182"/>
      <c r="L10" s="182"/>
      <c r="M10" s="182"/>
      <c r="N10" s="182"/>
      <c r="O10" s="182"/>
      <c r="P10" s="182"/>
      <c r="Q10" s="182"/>
      <c r="R10" s="182"/>
      <c r="S10" s="182"/>
      <c r="T10" s="182"/>
      <c r="U10" s="182"/>
      <c r="V10" s="182"/>
      <c r="W10" s="182"/>
      <c r="X10" s="239"/>
      <c r="AA10" s="99"/>
      <c r="AG10" s="185"/>
      <c r="AH10" s="185"/>
      <c r="AI10" s="222">
        <f t="shared" si="1"/>
        <v>163</v>
      </c>
    </row>
    <row r="11" spans="1:35" s="108" customFormat="1" ht="15.75">
      <c r="A11" s="178">
        <v>45950</v>
      </c>
      <c r="B11" s="178">
        <v>40962</v>
      </c>
      <c r="C11" s="186">
        <v>3</v>
      </c>
      <c r="D11" s="179"/>
      <c r="E11" s="187" t="s">
        <v>212</v>
      </c>
      <c r="F11" s="187" t="s">
        <v>213</v>
      </c>
      <c r="G11" s="188" t="s">
        <v>198</v>
      </c>
      <c r="H11" s="199">
        <f t="shared" si="0"/>
        <v>0</v>
      </c>
      <c r="I11" s="200">
        <f>IF(H11="","",IF(AND(AI11&lt;=66),VLOOKUP(H11,'WordRead Look Up'!$A$13:$B$20,2,TRUE),IF(AND(AI11&gt;=67,AI11&lt;=72),VLOOKUP(H11,'WordRead Look Up'!$E$13:$F$20,2,TRUE),IF(AND(AI11&gt;=73,AI11&lt;=78),VLOOKUP(H11,'WordRead Look Up'!$I$13:$J$18,2,TRUE),IF(AND(AI11&gt;=79),VLOOKUP(H11,'WordRead Look Up'!$M$13:$N$18,2,TRUE),"")))))</f>
        <v>1</v>
      </c>
      <c r="J11" s="182"/>
      <c r="K11" s="182"/>
      <c r="L11" s="182"/>
      <c r="M11" s="182"/>
      <c r="N11" s="182"/>
      <c r="O11" s="182"/>
      <c r="P11" s="182"/>
      <c r="Q11" s="182"/>
      <c r="R11" s="182"/>
      <c r="S11" s="182"/>
      <c r="T11" s="182"/>
      <c r="U11" s="182"/>
      <c r="V11" s="182"/>
      <c r="W11" s="182"/>
      <c r="X11" s="239"/>
      <c r="AG11" s="185"/>
      <c r="AH11" s="185"/>
      <c r="AI11" s="222">
        <f t="shared" si="1"/>
        <v>163</v>
      </c>
    </row>
    <row r="12" spans="1:35" s="108" customFormat="1" ht="15.75">
      <c r="A12" s="178">
        <v>45950</v>
      </c>
      <c r="B12" s="189">
        <v>40970</v>
      </c>
      <c r="C12" s="186">
        <v>3</v>
      </c>
      <c r="D12" s="179"/>
      <c r="E12" s="187" t="s">
        <v>214</v>
      </c>
      <c r="F12" s="187" t="s">
        <v>215</v>
      </c>
      <c r="G12" s="188" t="s">
        <v>199</v>
      </c>
      <c r="H12" s="199">
        <f t="shared" si="0"/>
        <v>0</v>
      </c>
      <c r="I12" s="200">
        <f>IF(H12="","",IF(AND(AI12&lt;=66),VLOOKUP(H12,'WordRead Look Up'!$A$13:$B$20,2,TRUE),IF(AND(AI12&gt;=67,AI12&lt;=72),VLOOKUP(H12,'WordRead Look Up'!$E$13:$F$20,2,TRUE),IF(AND(AI12&gt;=73,AI12&lt;=78),VLOOKUP(H12,'WordRead Look Up'!$I$13:$J$18,2,TRUE),IF(AND(AI12&gt;=79),VLOOKUP(H12,'WordRead Look Up'!$M$13:$N$18,2,TRUE),"")))))</f>
        <v>1</v>
      </c>
      <c r="J12" s="182"/>
      <c r="K12" s="182"/>
      <c r="L12" s="182"/>
      <c r="M12" s="182"/>
      <c r="N12" s="182"/>
      <c r="O12" s="182"/>
      <c r="P12" s="182"/>
      <c r="Q12" s="182"/>
      <c r="R12" s="182"/>
      <c r="S12" s="182"/>
      <c r="T12" s="182"/>
      <c r="U12" s="182"/>
      <c r="V12" s="182"/>
      <c r="W12" s="182"/>
      <c r="X12" s="239"/>
      <c r="AG12" s="185"/>
      <c r="AH12" s="185"/>
      <c r="AI12" s="222">
        <f t="shared" si="1"/>
        <v>163</v>
      </c>
    </row>
    <row r="13" spans="1:35" s="108" customFormat="1" ht="15.75">
      <c r="A13" s="178">
        <v>45950</v>
      </c>
      <c r="B13" s="189">
        <v>40963</v>
      </c>
      <c r="C13" s="186">
        <v>3</v>
      </c>
      <c r="D13" s="179"/>
      <c r="E13" s="187" t="s">
        <v>216</v>
      </c>
      <c r="F13" s="187" t="s">
        <v>217</v>
      </c>
      <c r="G13" s="188" t="s">
        <v>200</v>
      </c>
      <c r="H13" s="199">
        <f t="shared" si="0"/>
        <v>0</v>
      </c>
      <c r="I13" s="200">
        <f>IF(H13="","",IF(AND(AI13&lt;=66),VLOOKUP(H13,'WordRead Look Up'!$A$13:$B$20,2,TRUE),IF(AND(AI13&gt;=67,AI13&lt;=72),VLOOKUP(H13,'WordRead Look Up'!$E$13:$F$20,2,TRUE),IF(AND(AI13&gt;=73,AI13&lt;=78),VLOOKUP(H13,'WordRead Look Up'!$I$13:$J$18,2,TRUE),IF(AND(AI13&gt;=79),VLOOKUP(H13,'WordRead Look Up'!$M$13:$N$18,2,TRUE),"")))))</f>
        <v>1</v>
      </c>
      <c r="J13" s="182"/>
      <c r="K13" s="182"/>
      <c r="L13" s="182"/>
      <c r="M13" s="182"/>
      <c r="N13" s="182"/>
      <c r="O13" s="182"/>
      <c r="P13" s="182"/>
      <c r="Q13" s="182"/>
      <c r="R13" s="182"/>
      <c r="S13" s="182"/>
      <c r="T13" s="182"/>
      <c r="U13" s="182"/>
      <c r="V13" s="182"/>
      <c r="W13" s="182"/>
      <c r="X13" s="239"/>
      <c r="AG13" s="185"/>
      <c r="AH13" s="185"/>
      <c r="AI13" s="222">
        <f t="shared" si="1"/>
        <v>163</v>
      </c>
    </row>
    <row r="14" spans="1:35" s="108" customFormat="1" ht="15.75">
      <c r="A14" s="178">
        <v>45950</v>
      </c>
      <c r="B14" s="189">
        <v>40964</v>
      </c>
      <c r="C14" s="186">
        <v>3</v>
      </c>
      <c r="D14" s="179"/>
      <c r="E14" s="187" t="s">
        <v>218</v>
      </c>
      <c r="F14" s="187" t="s">
        <v>219</v>
      </c>
      <c r="G14" s="188" t="s">
        <v>201</v>
      </c>
      <c r="H14" s="199">
        <f t="shared" si="0"/>
        <v>0</v>
      </c>
      <c r="I14" s="200">
        <f>IF(H14="","",IF(AND(AI14&lt;=66),VLOOKUP(H14,'WordRead Look Up'!$A$13:$B$20,2,TRUE),IF(AND(AI14&gt;=67,AI14&lt;=72),VLOOKUP(H14,'WordRead Look Up'!$E$13:$F$20,2,TRUE),IF(AND(AI14&gt;=73,AI14&lt;=78),VLOOKUP(H14,'WordRead Look Up'!$I$13:$J$18,2,TRUE),IF(AND(AI14&gt;=79),VLOOKUP(H14,'WordRead Look Up'!$M$13:$N$18,2,TRUE),"")))))</f>
        <v>1</v>
      </c>
      <c r="J14" s="182"/>
      <c r="K14" s="182"/>
      <c r="L14" s="182"/>
      <c r="M14" s="182"/>
      <c r="N14" s="182"/>
      <c r="O14" s="182"/>
      <c r="P14" s="182"/>
      <c r="Q14" s="182"/>
      <c r="R14" s="182"/>
      <c r="S14" s="182"/>
      <c r="T14" s="182"/>
      <c r="U14" s="182"/>
      <c r="V14" s="182"/>
      <c r="W14" s="182"/>
      <c r="X14" s="239"/>
      <c r="AG14" s="185"/>
      <c r="AH14" s="185"/>
      <c r="AI14" s="222">
        <f t="shared" si="1"/>
        <v>163</v>
      </c>
    </row>
    <row r="15" spans="1:35" s="108" customFormat="1" ht="15.75">
      <c r="A15" s="178">
        <v>45950</v>
      </c>
      <c r="B15" s="189">
        <v>40965</v>
      </c>
      <c r="C15" s="186">
        <v>3</v>
      </c>
      <c r="D15" s="186"/>
      <c r="E15" s="187" t="s">
        <v>220</v>
      </c>
      <c r="F15" s="187" t="s">
        <v>221</v>
      </c>
      <c r="G15" s="188" t="s">
        <v>202</v>
      </c>
      <c r="H15" s="199">
        <f t="shared" si="0"/>
        <v>0</v>
      </c>
      <c r="I15" s="200">
        <f>IF(H15="","",IF(AND(AI15&lt;=66),VLOOKUP(H15,'WordRead Look Up'!$A$13:$B$20,2,TRUE),IF(AND(AI15&gt;=67,AI15&lt;=72),VLOOKUP(H15,'WordRead Look Up'!$E$13:$F$20,2,TRUE),IF(AND(AI15&gt;=73,AI15&lt;=78),VLOOKUP(H15,'WordRead Look Up'!$I$13:$J$18,2,TRUE),IF(AND(AI15&gt;=79),VLOOKUP(H15,'WordRead Look Up'!$M$13:$N$18,2,TRUE),"")))))</f>
        <v>1</v>
      </c>
      <c r="J15" s="182"/>
      <c r="K15" s="182"/>
      <c r="L15" s="182"/>
      <c r="M15" s="182"/>
      <c r="N15" s="182"/>
      <c r="O15" s="182"/>
      <c r="P15" s="182"/>
      <c r="Q15" s="182"/>
      <c r="R15" s="182"/>
      <c r="S15" s="182"/>
      <c r="T15" s="182"/>
      <c r="U15" s="182"/>
      <c r="V15" s="182"/>
      <c r="W15" s="182"/>
      <c r="X15" s="239"/>
      <c r="AG15" s="185"/>
      <c r="AH15" s="185"/>
      <c r="AI15" s="222">
        <f t="shared" si="1"/>
        <v>163</v>
      </c>
    </row>
    <row r="16" spans="1:35" s="108" customFormat="1" ht="15.75">
      <c r="A16" s="178">
        <v>45950</v>
      </c>
      <c r="B16" s="189">
        <v>40966</v>
      </c>
      <c r="C16" s="186">
        <v>3</v>
      </c>
      <c r="D16" s="186"/>
      <c r="E16" s="187" t="s">
        <v>222</v>
      </c>
      <c r="F16" s="187" t="s">
        <v>223</v>
      </c>
      <c r="G16" s="188" t="s">
        <v>203</v>
      </c>
      <c r="H16" s="199">
        <f t="shared" si="0"/>
        <v>0</v>
      </c>
      <c r="I16" s="200">
        <f>IF(H16="","",IF(AND(AI16&lt;=66),VLOOKUP(H16,'WordRead Look Up'!$A$13:$B$20,2,TRUE),IF(AND(AI16&gt;=67,AI16&lt;=72),VLOOKUP(H16,'WordRead Look Up'!$E$13:$F$20,2,TRUE),IF(AND(AI16&gt;=73,AI16&lt;=78),VLOOKUP(H16,'WordRead Look Up'!$I$13:$J$18,2,TRUE),IF(AND(AI16&gt;=79),VLOOKUP(H16,'WordRead Look Up'!$M$13:$N$18,2,TRUE),"")))))</f>
        <v>1</v>
      </c>
      <c r="J16" s="182"/>
      <c r="K16" s="182"/>
      <c r="L16" s="182"/>
      <c r="M16" s="182"/>
      <c r="N16" s="182"/>
      <c r="O16" s="182"/>
      <c r="P16" s="182"/>
      <c r="Q16" s="182"/>
      <c r="R16" s="182"/>
      <c r="S16" s="182"/>
      <c r="T16" s="182"/>
      <c r="U16" s="182"/>
      <c r="V16" s="182"/>
      <c r="W16" s="182"/>
      <c r="X16" s="239"/>
      <c r="AG16" s="185"/>
      <c r="AH16" s="185"/>
      <c r="AI16" s="222">
        <f t="shared" si="1"/>
        <v>163</v>
      </c>
    </row>
    <row r="17" spans="1:35" s="108" customFormat="1" ht="15.75">
      <c r="A17" s="178">
        <v>45950</v>
      </c>
      <c r="B17" s="189">
        <v>40967</v>
      </c>
      <c r="C17" s="186">
        <v>3</v>
      </c>
      <c r="D17" s="186"/>
      <c r="E17" s="187" t="s">
        <v>224</v>
      </c>
      <c r="F17" s="187" t="s">
        <v>225</v>
      </c>
      <c r="G17" s="188" t="s">
        <v>204</v>
      </c>
      <c r="H17" s="199">
        <f t="shared" si="0"/>
        <v>0</v>
      </c>
      <c r="I17" s="200">
        <f>IF(H17="","",IF(AND(AI17&lt;=66),VLOOKUP(H17,'WordRead Look Up'!$A$13:$B$20,2,TRUE),IF(AND(AI17&gt;=67,AI17&lt;=72),VLOOKUP(H17,'WordRead Look Up'!$E$13:$F$20,2,TRUE),IF(AND(AI17&gt;=73,AI17&lt;=78),VLOOKUP(H17,'WordRead Look Up'!$I$13:$J$18,2,TRUE),IF(AND(AI17&gt;=79),VLOOKUP(H17,'WordRead Look Up'!$M$13:$N$18,2,TRUE),"")))))</f>
        <v>1</v>
      </c>
      <c r="J17" s="182"/>
      <c r="K17" s="182"/>
      <c r="L17" s="182"/>
      <c r="M17" s="182"/>
      <c r="N17" s="182"/>
      <c r="O17" s="182"/>
      <c r="P17" s="182"/>
      <c r="Q17" s="182"/>
      <c r="R17" s="182"/>
      <c r="S17" s="182"/>
      <c r="T17" s="182"/>
      <c r="U17" s="182"/>
      <c r="V17" s="182"/>
      <c r="W17" s="182"/>
      <c r="X17" s="239"/>
      <c r="AG17" s="185"/>
      <c r="AH17" s="185"/>
      <c r="AI17" s="222">
        <f t="shared" si="1"/>
        <v>163</v>
      </c>
    </row>
    <row r="18" spans="1:35" s="108" customFormat="1" ht="15.75">
      <c r="A18" s="178">
        <v>45950</v>
      </c>
      <c r="B18" s="189">
        <v>40968</v>
      </c>
      <c r="C18" s="186">
        <v>3</v>
      </c>
      <c r="D18" s="186"/>
      <c r="E18" s="187" t="s">
        <v>226</v>
      </c>
      <c r="F18" s="187" t="s">
        <v>227</v>
      </c>
      <c r="G18" s="188" t="s">
        <v>205</v>
      </c>
      <c r="H18" s="199">
        <f t="shared" si="0"/>
        <v>0</v>
      </c>
      <c r="I18" s="200">
        <f>IF(H18="","",IF(AND(AI18&lt;=66),VLOOKUP(H18,'WordRead Look Up'!$A$13:$B$20,2,TRUE),IF(AND(AI18&gt;=67,AI18&lt;=72),VLOOKUP(H18,'WordRead Look Up'!$E$13:$F$20,2,TRUE),IF(AND(AI18&gt;=73,AI18&lt;=78),VLOOKUP(H18,'WordRead Look Up'!$I$13:$J$18,2,TRUE),IF(AND(AI18&gt;=79),VLOOKUP(H18,'WordRead Look Up'!$M$13:$N$18,2,TRUE),"")))))</f>
        <v>1</v>
      </c>
      <c r="J18" s="182"/>
      <c r="K18" s="182"/>
      <c r="L18" s="182"/>
      <c r="M18" s="182"/>
      <c r="N18" s="182"/>
      <c r="O18" s="182"/>
      <c r="P18" s="182"/>
      <c r="Q18" s="182"/>
      <c r="R18" s="182"/>
      <c r="S18" s="182"/>
      <c r="T18" s="182"/>
      <c r="U18" s="182"/>
      <c r="V18" s="182"/>
      <c r="W18" s="182"/>
      <c r="X18" s="239"/>
      <c r="AG18" s="185"/>
      <c r="AH18" s="185"/>
      <c r="AI18" s="222">
        <f t="shared" si="1"/>
        <v>163</v>
      </c>
    </row>
    <row r="19" spans="1:35" s="108" customFormat="1" ht="15.75">
      <c r="A19" s="178"/>
      <c r="B19" s="189"/>
      <c r="C19" s="186"/>
      <c r="D19" s="186"/>
      <c r="E19" s="187"/>
      <c r="F19" s="187"/>
      <c r="G19" s="188"/>
      <c r="H19" s="199" t="str">
        <f t="shared" si="0"/>
        <v/>
      </c>
      <c r="I19" s="200" t="str">
        <f>IF(H19="","",IF(AND(AI19&lt;=66),VLOOKUP(H19,'WordRead Look Up'!$A$13:$B$20,2,TRUE),IF(AND(AI19&gt;=67,AI19&lt;=72),VLOOKUP(H19,'WordRead Look Up'!$E$13:$F$20,2,TRUE),IF(AND(AI19&gt;=73,AI19&lt;=78),VLOOKUP(H19,'WordRead Look Up'!$I$13:$J$18,2,TRUE),IF(AND(AI19&gt;=79),VLOOKUP(H19,'WordRead Look Up'!$M$13:$N$18,2,TRUE),"")))))</f>
        <v/>
      </c>
      <c r="J19" s="182"/>
      <c r="K19" s="182"/>
      <c r="L19" s="182"/>
      <c r="M19" s="182"/>
      <c r="N19" s="182"/>
      <c r="O19" s="182"/>
      <c r="P19" s="182"/>
      <c r="Q19" s="182"/>
      <c r="R19" s="182"/>
      <c r="S19" s="182"/>
      <c r="T19" s="182"/>
      <c r="U19" s="182"/>
      <c r="V19" s="182"/>
      <c r="W19" s="182"/>
      <c r="X19" s="239"/>
      <c r="AG19" s="185"/>
      <c r="AH19" s="185"/>
      <c r="AI19" s="222" t="str">
        <f t="shared" si="1"/>
        <v/>
      </c>
    </row>
    <row r="20" spans="1:35" s="108" customFormat="1" ht="15.75">
      <c r="A20" s="178"/>
      <c r="B20" s="178"/>
      <c r="C20" s="186"/>
      <c r="D20" s="179"/>
      <c r="E20" s="187"/>
      <c r="F20" s="187"/>
      <c r="G20" s="188"/>
      <c r="H20" s="199" t="str">
        <f t="shared" si="0"/>
        <v/>
      </c>
      <c r="I20" s="200" t="str">
        <f>IF(H20="","",IF(AND(AI20&lt;=66),VLOOKUP(H20,'WordRead Look Up'!$A$13:$B$20,2,TRUE),IF(AND(AI20&gt;=67,AI20&lt;=72),VLOOKUP(H20,'WordRead Look Up'!$E$13:$F$20,2,TRUE),IF(AND(AI20&gt;=73,AI20&lt;=78),VLOOKUP(H20,'WordRead Look Up'!$I$13:$J$18,2,TRUE),IF(AND(AI20&gt;=79),VLOOKUP(H20,'WordRead Look Up'!$M$13:$N$18,2,TRUE),"")))))</f>
        <v/>
      </c>
      <c r="J20" s="182"/>
      <c r="K20" s="182"/>
      <c r="L20" s="182"/>
      <c r="M20" s="182"/>
      <c r="N20" s="182"/>
      <c r="O20" s="182"/>
      <c r="P20" s="182"/>
      <c r="Q20" s="182"/>
      <c r="R20" s="182"/>
      <c r="S20" s="182"/>
      <c r="T20" s="182"/>
      <c r="U20" s="182"/>
      <c r="V20" s="182"/>
      <c r="W20" s="182"/>
      <c r="X20" s="239"/>
      <c r="AI20" s="222" t="str">
        <f t="shared" si="1"/>
        <v/>
      </c>
    </row>
    <row r="21" spans="1:35" s="108" customFormat="1" ht="15.75">
      <c r="A21" s="178"/>
      <c r="B21" s="178"/>
      <c r="C21" s="186"/>
      <c r="D21" s="179"/>
      <c r="E21" s="187"/>
      <c r="F21" s="187"/>
      <c r="G21" s="188"/>
      <c r="H21" s="199" t="str">
        <f t="shared" si="0"/>
        <v/>
      </c>
      <c r="I21" s="200" t="str">
        <f>IF(H21="","",IF(AND(AI21&lt;=66),VLOOKUP(H21,'WordRead Look Up'!$A$13:$B$20,2,TRUE),IF(AND(AI21&gt;=67,AI21&lt;=72),VLOOKUP(H21,'WordRead Look Up'!$E$13:$F$20,2,TRUE),IF(AND(AI21&gt;=73,AI21&lt;=78),VLOOKUP(H21,'WordRead Look Up'!$I$13:$J$18,2,TRUE),IF(AND(AI21&gt;=79),VLOOKUP(H21,'WordRead Look Up'!$M$13:$N$18,2,TRUE),"")))))</f>
        <v/>
      </c>
      <c r="J21" s="182"/>
      <c r="K21" s="182"/>
      <c r="L21" s="182"/>
      <c r="M21" s="182"/>
      <c r="N21" s="182"/>
      <c r="O21" s="182"/>
      <c r="P21" s="182"/>
      <c r="Q21" s="182"/>
      <c r="R21" s="182"/>
      <c r="S21" s="182"/>
      <c r="T21" s="182"/>
      <c r="U21" s="182"/>
      <c r="V21" s="182"/>
      <c r="W21" s="182"/>
      <c r="X21" s="239"/>
      <c r="AI21" s="222" t="str">
        <f t="shared" si="1"/>
        <v/>
      </c>
    </row>
    <row r="22" spans="1:35" s="108" customFormat="1" ht="15.75">
      <c r="A22" s="178"/>
      <c r="B22" s="178"/>
      <c r="C22" s="186"/>
      <c r="D22" s="179"/>
      <c r="E22" s="187"/>
      <c r="F22" s="187"/>
      <c r="G22" s="188"/>
      <c r="H22" s="199" t="str">
        <f t="shared" si="0"/>
        <v/>
      </c>
      <c r="I22" s="200" t="str">
        <f>IF(H22="","",IF(AND(AI22&lt;=66),VLOOKUP(H22,'WordRead Look Up'!$A$13:$B$20,2,TRUE),IF(AND(AI22&gt;=67,AI22&lt;=72),VLOOKUP(H22,'WordRead Look Up'!$E$13:$F$20,2,TRUE),IF(AND(AI22&gt;=73,AI22&lt;=78),VLOOKUP(H22,'WordRead Look Up'!$I$13:$J$18,2,TRUE),IF(AND(AI22&gt;=79),VLOOKUP(H22,'WordRead Look Up'!$M$13:$N$18,2,TRUE),"")))))</f>
        <v/>
      </c>
      <c r="J22" s="182"/>
      <c r="K22" s="182"/>
      <c r="L22" s="182"/>
      <c r="M22" s="182"/>
      <c r="N22" s="182"/>
      <c r="O22" s="182"/>
      <c r="P22" s="182"/>
      <c r="Q22" s="182"/>
      <c r="R22" s="182"/>
      <c r="S22" s="182"/>
      <c r="T22" s="182"/>
      <c r="U22" s="182"/>
      <c r="V22" s="182"/>
      <c r="W22" s="182"/>
      <c r="X22" s="239"/>
      <c r="AI22" s="222" t="str">
        <f t="shared" si="1"/>
        <v/>
      </c>
    </row>
    <row r="23" spans="1:35" s="108" customFormat="1" ht="15.75">
      <c r="A23" s="178"/>
      <c r="B23" s="189"/>
      <c r="C23" s="186"/>
      <c r="D23" s="179"/>
      <c r="E23" s="187"/>
      <c r="F23" s="187"/>
      <c r="G23" s="188"/>
      <c r="H23" s="199" t="str">
        <f t="shared" si="0"/>
        <v/>
      </c>
      <c r="I23" s="200" t="str">
        <f>IF(H23="","",IF(AND(AI23&lt;=66),VLOOKUP(H23,'WordRead Look Up'!$A$13:$B$20,2,TRUE),IF(AND(AI23&gt;=67,AI23&lt;=72),VLOOKUP(H23,'WordRead Look Up'!$E$13:$F$20,2,TRUE),IF(AND(AI23&gt;=73,AI23&lt;=78),VLOOKUP(H23,'WordRead Look Up'!$I$13:$J$18,2,TRUE),IF(AND(AI23&gt;=79),VLOOKUP(H23,'WordRead Look Up'!$M$13:$N$18,2,TRUE),"")))))</f>
        <v/>
      </c>
      <c r="J23" s="182"/>
      <c r="K23" s="182"/>
      <c r="L23" s="182"/>
      <c r="M23" s="182"/>
      <c r="N23" s="182"/>
      <c r="O23" s="182"/>
      <c r="P23" s="182"/>
      <c r="Q23" s="182"/>
      <c r="R23" s="182"/>
      <c r="S23" s="182"/>
      <c r="T23" s="182"/>
      <c r="U23" s="182"/>
      <c r="V23" s="182"/>
      <c r="W23" s="182"/>
      <c r="X23" s="239"/>
      <c r="AI23" s="222" t="str">
        <f t="shared" si="1"/>
        <v/>
      </c>
    </row>
    <row r="24" spans="1:35" s="108" customFormat="1" ht="15.75">
      <c r="A24" s="178"/>
      <c r="B24" s="189"/>
      <c r="C24" s="186"/>
      <c r="D24" s="179"/>
      <c r="E24" s="187"/>
      <c r="F24" s="187"/>
      <c r="G24" s="188"/>
      <c r="H24" s="199" t="str">
        <f t="shared" si="0"/>
        <v/>
      </c>
      <c r="I24" s="200" t="str">
        <f>IF(H24="","",IF(AND(AI24&lt;=66),VLOOKUP(H24,'WordRead Look Up'!$A$13:$B$20,2,TRUE),IF(AND(AI24&gt;=67,AI24&lt;=72),VLOOKUP(H24,'WordRead Look Up'!$E$13:$F$20,2,TRUE),IF(AND(AI24&gt;=73,AI24&lt;=78),VLOOKUP(H24,'WordRead Look Up'!$I$13:$J$18,2,TRUE),IF(AND(AI24&gt;=79),VLOOKUP(H24,'WordRead Look Up'!$M$13:$N$18,2,TRUE),"")))))</f>
        <v/>
      </c>
      <c r="J24" s="182"/>
      <c r="K24" s="182"/>
      <c r="L24" s="182"/>
      <c r="M24" s="182"/>
      <c r="N24" s="182"/>
      <c r="O24" s="182"/>
      <c r="P24" s="182"/>
      <c r="Q24" s="182"/>
      <c r="R24" s="182"/>
      <c r="S24" s="182"/>
      <c r="T24" s="182"/>
      <c r="U24" s="182"/>
      <c r="V24" s="182"/>
      <c r="W24" s="182"/>
      <c r="X24" s="239"/>
      <c r="AI24" s="222" t="str">
        <f t="shared" si="1"/>
        <v/>
      </c>
    </row>
    <row r="25" spans="1:35" s="108" customFormat="1" ht="15.75">
      <c r="A25" s="178"/>
      <c r="B25" s="189"/>
      <c r="C25" s="186"/>
      <c r="D25" s="179"/>
      <c r="E25" s="187"/>
      <c r="F25" s="187"/>
      <c r="G25" s="188"/>
      <c r="H25" s="199" t="str">
        <f t="shared" si="0"/>
        <v/>
      </c>
      <c r="I25" s="200" t="str">
        <f>IF(H25="","",IF(AND(AI25&lt;=66),VLOOKUP(H25,'WordRead Look Up'!$A$13:$B$20,2,TRUE),IF(AND(AI25&gt;=67,AI25&lt;=72),VLOOKUP(H25,'WordRead Look Up'!$E$13:$F$20,2,TRUE),IF(AND(AI25&gt;=73,AI25&lt;=78),VLOOKUP(H25,'WordRead Look Up'!$I$13:$J$18,2,TRUE),IF(AND(AI25&gt;=79),VLOOKUP(H25,'WordRead Look Up'!$M$13:$N$18,2,TRUE),"")))))</f>
        <v/>
      </c>
      <c r="J25" s="182"/>
      <c r="K25" s="182"/>
      <c r="L25" s="182"/>
      <c r="M25" s="182"/>
      <c r="N25" s="182"/>
      <c r="O25" s="182"/>
      <c r="P25" s="182"/>
      <c r="Q25" s="182"/>
      <c r="R25" s="182"/>
      <c r="S25" s="182"/>
      <c r="T25" s="182"/>
      <c r="U25" s="182"/>
      <c r="V25" s="182"/>
      <c r="W25" s="182"/>
      <c r="X25" s="239"/>
      <c r="AI25" s="222" t="str">
        <f t="shared" si="1"/>
        <v/>
      </c>
    </row>
    <row r="26" spans="1:35" s="108" customFormat="1" ht="15.75">
      <c r="A26" s="178"/>
      <c r="B26" s="189"/>
      <c r="C26" s="186"/>
      <c r="D26" s="186"/>
      <c r="E26" s="187"/>
      <c r="F26" s="187"/>
      <c r="G26" s="188"/>
      <c r="H26" s="199" t="str">
        <f t="shared" si="0"/>
        <v/>
      </c>
      <c r="I26" s="200" t="str">
        <f>IF(H26="","",IF(AND(AI26&lt;=66),VLOOKUP(H26,'WordRead Look Up'!$A$13:$B$20,2,TRUE),IF(AND(AI26&gt;=67,AI26&lt;=72),VLOOKUP(H26,'WordRead Look Up'!$E$13:$F$20,2,TRUE),IF(AND(AI26&gt;=73,AI26&lt;=78),VLOOKUP(H26,'WordRead Look Up'!$I$13:$J$18,2,TRUE),IF(AND(AI26&gt;=79),VLOOKUP(H26,'WordRead Look Up'!$M$13:$N$18,2,TRUE),"")))))</f>
        <v/>
      </c>
      <c r="J26" s="182"/>
      <c r="K26" s="182"/>
      <c r="L26" s="182"/>
      <c r="M26" s="182"/>
      <c r="N26" s="182"/>
      <c r="O26" s="182"/>
      <c r="P26" s="182"/>
      <c r="Q26" s="182"/>
      <c r="R26" s="182"/>
      <c r="S26" s="182"/>
      <c r="T26" s="182"/>
      <c r="U26" s="182"/>
      <c r="V26" s="182"/>
      <c r="W26" s="182"/>
      <c r="X26" s="239"/>
      <c r="AI26" s="222" t="str">
        <f t="shared" si="1"/>
        <v/>
      </c>
    </row>
    <row r="27" spans="1:35" s="108" customFormat="1" ht="15.75">
      <c r="A27" s="178"/>
      <c r="B27" s="189"/>
      <c r="C27" s="186"/>
      <c r="D27" s="186"/>
      <c r="E27" s="187"/>
      <c r="F27" s="187"/>
      <c r="G27" s="188"/>
      <c r="H27" s="199" t="str">
        <f t="shared" si="0"/>
        <v/>
      </c>
      <c r="I27" s="200" t="str">
        <f>IF(H27="","",IF(AND(AI27&lt;=66),VLOOKUP(H27,'WordRead Look Up'!$A$13:$B$20,2,TRUE),IF(AND(AI27&gt;=67,AI27&lt;=72),VLOOKUP(H27,'WordRead Look Up'!$E$13:$F$20,2,TRUE),IF(AND(AI27&gt;=73,AI27&lt;=78),VLOOKUP(H27,'WordRead Look Up'!$I$13:$J$18,2,TRUE),IF(AND(AI27&gt;=79),VLOOKUP(H27,'WordRead Look Up'!$M$13:$N$18,2,TRUE),"")))))</f>
        <v/>
      </c>
      <c r="J27" s="182"/>
      <c r="K27" s="182"/>
      <c r="L27" s="182"/>
      <c r="M27" s="182"/>
      <c r="N27" s="182"/>
      <c r="O27" s="182"/>
      <c r="P27" s="182"/>
      <c r="Q27" s="182"/>
      <c r="R27" s="182"/>
      <c r="S27" s="182"/>
      <c r="T27" s="182"/>
      <c r="U27" s="182"/>
      <c r="V27" s="182"/>
      <c r="W27" s="182"/>
      <c r="X27" s="239"/>
      <c r="AI27" s="222" t="str">
        <f t="shared" si="1"/>
        <v/>
      </c>
    </row>
    <row r="28" spans="1:35" s="108" customFormat="1" ht="15.75">
      <c r="A28" s="178"/>
      <c r="B28" s="189"/>
      <c r="C28" s="186"/>
      <c r="D28" s="186"/>
      <c r="E28" s="187"/>
      <c r="F28" s="187"/>
      <c r="G28" s="188"/>
      <c r="H28" s="199" t="str">
        <f t="shared" si="0"/>
        <v/>
      </c>
      <c r="I28" s="200" t="str">
        <f>IF(H28="","",IF(AND(AI28&lt;=66),VLOOKUP(H28,'WordRead Look Up'!$A$13:$B$20,2,TRUE),IF(AND(AI28&gt;=67,AI28&lt;=72),VLOOKUP(H28,'WordRead Look Up'!$E$13:$F$20,2,TRUE),IF(AND(AI28&gt;=73,AI28&lt;=78),VLOOKUP(H28,'WordRead Look Up'!$I$13:$J$18,2,TRUE),IF(AND(AI28&gt;=79),VLOOKUP(H28,'WordRead Look Up'!$M$13:$N$18,2,TRUE),"")))))</f>
        <v/>
      </c>
      <c r="J28" s="182"/>
      <c r="K28" s="182"/>
      <c r="L28" s="182"/>
      <c r="M28" s="182"/>
      <c r="N28" s="182"/>
      <c r="O28" s="182"/>
      <c r="P28" s="182"/>
      <c r="Q28" s="182"/>
      <c r="R28" s="182"/>
      <c r="S28" s="182"/>
      <c r="T28" s="182"/>
      <c r="U28" s="182"/>
      <c r="V28" s="182"/>
      <c r="W28" s="182"/>
      <c r="X28" s="239"/>
      <c r="AI28" s="222" t="str">
        <f t="shared" si="1"/>
        <v/>
      </c>
    </row>
    <row r="29" spans="1:35" s="108" customFormat="1" ht="15.75">
      <c r="A29" s="178"/>
      <c r="B29" s="189"/>
      <c r="C29" s="186"/>
      <c r="D29" s="186"/>
      <c r="E29" s="187"/>
      <c r="F29" s="187"/>
      <c r="G29" s="188"/>
      <c r="H29" s="199" t="str">
        <f t="shared" si="0"/>
        <v/>
      </c>
      <c r="I29" s="200" t="str">
        <f>IF(H29="","",IF(AND(AI29&lt;=66),VLOOKUP(H29,'WordRead Look Up'!$A$13:$B$20,2,TRUE),IF(AND(AI29&gt;=67,AI29&lt;=72),VLOOKUP(H29,'WordRead Look Up'!$E$13:$F$20,2,TRUE),IF(AND(AI29&gt;=73,AI29&lt;=78),VLOOKUP(H29,'WordRead Look Up'!$I$13:$J$18,2,TRUE),IF(AND(AI29&gt;=79),VLOOKUP(H29,'WordRead Look Up'!$M$13:$N$18,2,TRUE),"")))))</f>
        <v/>
      </c>
      <c r="J29" s="182"/>
      <c r="K29" s="182"/>
      <c r="L29" s="182"/>
      <c r="M29" s="182"/>
      <c r="N29" s="182"/>
      <c r="O29" s="182"/>
      <c r="P29" s="182"/>
      <c r="Q29" s="182"/>
      <c r="R29" s="182"/>
      <c r="S29" s="182"/>
      <c r="T29" s="182"/>
      <c r="U29" s="182"/>
      <c r="V29" s="182"/>
      <c r="W29" s="182"/>
      <c r="X29" s="239"/>
      <c r="AI29" s="222" t="str">
        <f t="shared" si="1"/>
        <v/>
      </c>
    </row>
    <row r="30" spans="1:35" s="108" customFormat="1" ht="15.75">
      <c r="A30" s="178"/>
      <c r="B30" s="178"/>
      <c r="C30" s="186"/>
      <c r="D30" s="179"/>
      <c r="E30" s="187"/>
      <c r="F30" s="187"/>
      <c r="G30" s="188"/>
      <c r="H30" s="199" t="str">
        <f t="shared" si="0"/>
        <v/>
      </c>
      <c r="I30" s="200" t="str">
        <f>IF(H30="","",IF(AND(AI30&lt;=66),VLOOKUP(H30,'WordRead Look Up'!$A$13:$B$20,2,TRUE),IF(AND(AI30&gt;=67,AI30&lt;=72),VLOOKUP(H30,'WordRead Look Up'!$E$13:$F$20,2,TRUE),IF(AND(AI30&gt;=73,AI30&lt;=78),VLOOKUP(H30,'WordRead Look Up'!$I$13:$J$18,2,TRUE),IF(AND(AI30&gt;=79),VLOOKUP(H30,'WordRead Look Up'!$M$13:$N$18,2,TRUE),"")))))</f>
        <v/>
      </c>
      <c r="J30" s="190"/>
      <c r="K30" s="186"/>
      <c r="L30" s="186"/>
      <c r="M30" s="186"/>
      <c r="N30" s="186"/>
      <c r="O30" s="186"/>
      <c r="P30" s="186"/>
      <c r="Q30" s="186"/>
      <c r="R30" s="186"/>
      <c r="S30" s="186"/>
      <c r="T30" s="186"/>
      <c r="U30" s="186"/>
      <c r="V30" s="186"/>
      <c r="W30" s="186"/>
      <c r="X30" s="240"/>
      <c r="AI30" s="222" t="str">
        <f t="shared" si="1"/>
        <v/>
      </c>
    </row>
    <row r="31" spans="1:35" s="108" customFormat="1" ht="15.75">
      <c r="A31" s="178"/>
      <c r="B31" s="178"/>
      <c r="C31" s="186"/>
      <c r="D31" s="179"/>
      <c r="E31" s="187"/>
      <c r="F31" s="187"/>
      <c r="G31" s="188"/>
      <c r="H31" s="199" t="str">
        <f t="shared" si="0"/>
        <v/>
      </c>
      <c r="I31" s="200" t="str">
        <f>IF(H31="","",IF(AND(AI31&lt;=66),VLOOKUP(H31,'WordRead Look Up'!$A$13:$B$20,2,TRUE),IF(AND(AI31&gt;=67,AI31&lt;=72),VLOOKUP(H31,'WordRead Look Up'!$E$13:$F$20,2,TRUE),IF(AND(AI31&gt;=73,AI31&lt;=78),VLOOKUP(H31,'WordRead Look Up'!$I$13:$J$18,2,TRUE),IF(AND(AI31&gt;=79),VLOOKUP(H31,'WordRead Look Up'!$M$13:$N$18,2,TRUE),"")))))</f>
        <v/>
      </c>
      <c r="J31" s="190"/>
      <c r="K31" s="186"/>
      <c r="L31" s="186"/>
      <c r="M31" s="186"/>
      <c r="N31" s="186"/>
      <c r="O31" s="186"/>
      <c r="P31" s="186"/>
      <c r="Q31" s="186"/>
      <c r="R31" s="186"/>
      <c r="S31" s="186"/>
      <c r="T31" s="186"/>
      <c r="U31" s="186"/>
      <c r="V31" s="186"/>
      <c r="W31" s="186"/>
      <c r="X31" s="240"/>
      <c r="AI31" s="222" t="str">
        <f t="shared" si="1"/>
        <v/>
      </c>
    </row>
    <row r="32" spans="1:35" s="108" customFormat="1" ht="15.75">
      <c r="A32" s="178"/>
      <c r="B32" s="189"/>
      <c r="C32" s="186"/>
      <c r="D32" s="179"/>
      <c r="E32" s="187"/>
      <c r="F32" s="187"/>
      <c r="G32" s="188"/>
      <c r="H32" s="199" t="str">
        <f t="shared" si="0"/>
        <v/>
      </c>
      <c r="I32" s="200" t="str">
        <f>IF(H32="","",IF(AND(AI32&lt;=66),VLOOKUP(H32,'WordRead Look Up'!$A$13:$B$20,2,TRUE),IF(AND(AI32&gt;=67,AI32&lt;=72),VLOOKUP(H32,'WordRead Look Up'!$E$13:$F$20,2,TRUE),IF(AND(AI32&gt;=73,AI32&lt;=78),VLOOKUP(H32,'WordRead Look Up'!$I$13:$J$18,2,TRUE),IF(AND(AI32&gt;=79),VLOOKUP(H32,'WordRead Look Up'!$M$13:$N$18,2,TRUE),"")))))</f>
        <v/>
      </c>
      <c r="J32" s="190"/>
      <c r="K32" s="186"/>
      <c r="L32" s="186"/>
      <c r="M32" s="186"/>
      <c r="N32" s="186"/>
      <c r="O32" s="186"/>
      <c r="P32" s="186"/>
      <c r="Q32" s="186"/>
      <c r="R32" s="186"/>
      <c r="S32" s="186"/>
      <c r="T32" s="186"/>
      <c r="U32" s="186"/>
      <c r="V32" s="186"/>
      <c r="W32" s="186"/>
      <c r="X32" s="240"/>
      <c r="AI32" s="222" t="str">
        <f t="shared" si="1"/>
        <v/>
      </c>
    </row>
    <row r="33" spans="1:35" s="108" customFormat="1" ht="15.75">
      <c r="A33" s="178"/>
      <c r="B33" s="189"/>
      <c r="C33" s="186"/>
      <c r="D33" s="179"/>
      <c r="E33" s="187"/>
      <c r="F33" s="187"/>
      <c r="G33" s="188"/>
      <c r="H33" s="199" t="str">
        <f t="shared" si="0"/>
        <v/>
      </c>
      <c r="I33" s="200" t="str">
        <f>IF(H33="","",IF(AND(AI33&lt;=66),VLOOKUP(H33,'WordRead Look Up'!$A$13:$B$20,2,TRUE),IF(AND(AI33&gt;=67,AI33&lt;=72),VLOOKUP(H33,'WordRead Look Up'!$E$13:$F$20,2,TRUE),IF(AND(AI33&gt;=73,AI33&lt;=78),VLOOKUP(H33,'WordRead Look Up'!$I$13:$J$18,2,TRUE),IF(AND(AI33&gt;=79),VLOOKUP(H33,'WordRead Look Up'!$M$13:$N$18,2,TRUE),"")))))</f>
        <v/>
      </c>
      <c r="J33" s="190"/>
      <c r="K33" s="186"/>
      <c r="L33" s="186"/>
      <c r="M33" s="186"/>
      <c r="N33" s="186"/>
      <c r="O33" s="186"/>
      <c r="P33" s="186"/>
      <c r="Q33" s="186"/>
      <c r="R33" s="186"/>
      <c r="S33" s="186"/>
      <c r="T33" s="186"/>
      <c r="U33" s="186"/>
      <c r="V33" s="186"/>
      <c r="W33" s="186"/>
      <c r="X33" s="240"/>
      <c r="AI33" s="222" t="str">
        <f t="shared" si="1"/>
        <v/>
      </c>
    </row>
    <row r="34" spans="1:35" s="108" customFormat="1" ht="15.75">
      <c r="A34" s="178"/>
      <c r="B34" s="189"/>
      <c r="C34" s="186"/>
      <c r="D34" s="179"/>
      <c r="E34" s="187"/>
      <c r="F34" s="187"/>
      <c r="G34" s="188"/>
      <c r="H34" s="199" t="str">
        <f t="shared" si="0"/>
        <v/>
      </c>
      <c r="I34" s="200" t="str">
        <f>IF(H34="","",IF(AND(AI34&lt;=66),VLOOKUP(H34,'WordRead Look Up'!$A$13:$B$20,2,TRUE),IF(AND(AI34&gt;=67,AI34&lt;=72),VLOOKUP(H34,'WordRead Look Up'!$E$13:$F$20,2,TRUE),IF(AND(AI34&gt;=73,AI34&lt;=78),VLOOKUP(H34,'WordRead Look Up'!$I$13:$J$18,2,TRUE),IF(AND(AI34&gt;=79),VLOOKUP(H34,'WordRead Look Up'!$M$13:$N$18,2,TRUE),"")))))</f>
        <v/>
      </c>
      <c r="J34" s="190"/>
      <c r="K34" s="186"/>
      <c r="L34" s="186"/>
      <c r="M34" s="186"/>
      <c r="N34" s="186"/>
      <c r="O34" s="186"/>
      <c r="P34" s="186"/>
      <c r="Q34" s="186"/>
      <c r="R34" s="186"/>
      <c r="S34" s="186"/>
      <c r="T34" s="186"/>
      <c r="U34" s="186"/>
      <c r="V34" s="186"/>
      <c r="W34" s="186"/>
      <c r="X34" s="240"/>
      <c r="AI34" s="222" t="str">
        <f t="shared" si="1"/>
        <v/>
      </c>
    </row>
    <row r="35" spans="1:35" s="108" customFormat="1" ht="15.75">
      <c r="A35" s="178"/>
      <c r="B35" s="189"/>
      <c r="C35" s="186"/>
      <c r="D35" s="186"/>
      <c r="E35" s="187"/>
      <c r="F35" s="187"/>
      <c r="G35" s="188"/>
      <c r="H35" s="199" t="str">
        <f t="shared" si="0"/>
        <v/>
      </c>
      <c r="I35" s="200" t="str">
        <f>IF(H35="","",IF(AND(AI35&lt;=66),VLOOKUP(H35,'WordRead Look Up'!$A$13:$B$20,2,TRUE),IF(AND(AI35&gt;=67,AI35&lt;=72),VLOOKUP(H35,'WordRead Look Up'!$E$13:$F$20,2,TRUE),IF(AND(AI35&gt;=73,AI35&lt;=78),VLOOKUP(H35,'WordRead Look Up'!$I$13:$J$18,2,TRUE),IF(AND(AI35&gt;=79),VLOOKUP(H35,'WordRead Look Up'!$M$13:$N$18,2,TRUE),"")))))</f>
        <v/>
      </c>
      <c r="J35" s="190"/>
      <c r="K35" s="186"/>
      <c r="L35" s="186"/>
      <c r="M35" s="186"/>
      <c r="N35" s="186"/>
      <c r="O35" s="186"/>
      <c r="P35" s="186"/>
      <c r="Q35" s="186"/>
      <c r="R35" s="186"/>
      <c r="S35" s="186"/>
      <c r="T35" s="186"/>
      <c r="U35" s="186"/>
      <c r="V35" s="186"/>
      <c r="W35" s="186"/>
      <c r="X35" s="240"/>
      <c r="AI35" s="222" t="str">
        <f t="shared" si="1"/>
        <v/>
      </c>
    </row>
    <row r="36" spans="1:35" s="108" customFormat="1" ht="15.75">
      <c r="A36" s="178"/>
      <c r="B36" s="189"/>
      <c r="C36" s="186"/>
      <c r="D36" s="186"/>
      <c r="E36" s="187"/>
      <c r="F36" s="187"/>
      <c r="G36" s="188"/>
      <c r="H36" s="199" t="str">
        <f t="shared" si="0"/>
        <v/>
      </c>
      <c r="I36" s="200" t="str">
        <f>IF(H36="","",IF(AND(AI36&lt;=66),VLOOKUP(H36,'WordRead Look Up'!$A$13:$B$20,2,TRUE),IF(AND(AI36&gt;=67,AI36&lt;=72),VLOOKUP(H36,'WordRead Look Up'!$E$13:$F$20,2,TRUE),IF(AND(AI36&gt;=73,AI36&lt;=78),VLOOKUP(H36,'WordRead Look Up'!$I$13:$J$18,2,TRUE),IF(AND(AI36&gt;=79),VLOOKUP(H36,'WordRead Look Up'!$M$13:$N$18,2,TRUE),"")))))</f>
        <v/>
      </c>
      <c r="J36" s="190"/>
      <c r="K36" s="186"/>
      <c r="L36" s="186"/>
      <c r="M36" s="186"/>
      <c r="N36" s="186"/>
      <c r="O36" s="186"/>
      <c r="P36" s="186"/>
      <c r="Q36" s="186"/>
      <c r="R36" s="186"/>
      <c r="S36" s="186"/>
      <c r="T36" s="186"/>
      <c r="U36" s="186"/>
      <c r="V36" s="186"/>
      <c r="W36" s="186"/>
      <c r="X36" s="240"/>
      <c r="AI36" s="222" t="str">
        <f t="shared" si="1"/>
        <v/>
      </c>
    </row>
    <row r="37" spans="1:35" s="108" customFormat="1" ht="15.75">
      <c r="A37" s="178"/>
      <c r="B37" s="189"/>
      <c r="C37" s="186"/>
      <c r="D37" s="186"/>
      <c r="E37" s="187"/>
      <c r="F37" s="187"/>
      <c r="G37" s="188"/>
      <c r="H37" s="199" t="str">
        <f t="shared" si="0"/>
        <v/>
      </c>
      <c r="I37" s="200" t="str">
        <f>IF(H37="","",IF(AND(AI37&lt;=66),VLOOKUP(H37,'WordRead Look Up'!$A$13:$B$20,2,TRUE),IF(AND(AI37&gt;=67,AI37&lt;=72),VLOOKUP(H37,'WordRead Look Up'!$E$13:$F$20,2,TRUE),IF(AND(AI37&gt;=73,AI37&lt;=78),VLOOKUP(H37,'WordRead Look Up'!$I$13:$J$18,2,TRUE),IF(AND(AI37&gt;=79),VLOOKUP(H37,'WordRead Look Up'!$M$13:$N$18,2,TRUE),"")))))</f>
        <v/>
      </c>
      <c r="J37" s="190"/>
      <c r="K37" s="186"/>
      <c r="L37" s="186"/>
      <c r="M37" s="186"/>
      <c r="N37" s="186"/>
      <c r="O37" s="186"/>
      <c r="P37" s="186"/>
      <c r="Q37" s="186"/>
      <c r="R37" s="186"/>
      <c r="S37" s="186"/>
      <c r="T37" s="186"/>
      <c r="U37" s="186"/>
      <c r="V37" s="186"/>
      <c r="W37" s="186"/>
      <c r="X37" s="240"/>
      <c r="AI37" s="222" t="str">
        <f t="shared" si="1"/>
        <v/>
      </c>
    </row>
    <row r="38" spans="1:35" s="108" customFormat="1" ht="15.75">
      <c r="A38" s="178"/>
      <c r="B38" s="189"/>
      <c r="C38" s="186"/>
      <c r="D38" s="186"/>
      <c r="E38" s="187"/>
      <c r="F38" s="187"/>
      <c r="G38" s="188"/>
      <c r="H38" s="199" t="str">
        <f t="shared" si="0"/>
        <v/>
      </c>
      <c r="I38" s="200" t="str">
        <f>IF(H38="","",IF(AND(AI38&lt;=66),VLOOKUP(H38,'WordRead Look Up'!$A$13:$B$20,2,TRUE),IF(AND(AI38&gt;=67,AI38&lt;=72),VLOOKUP(H38,'WordRead Look Up'!$E$13:$F$20,2,TRUE),IF(AND(AI38&gt;=73,AI38&lt;=78),VLOOKUP(H38,'WordRead Look Up'!$I$13:$J$18,2,TRUE),IF(AND(AI38&gt;=79),VLOOKUP(H38,'WordRead Look Up'!$M$13:$N$18,2,TRUE),"")))))</f>
        <v/>
      </c>
      <c r="J38" s="190"/>
      <c r="K38" s="186"/>
      <c r="L38" s="186"/>
      <c r="M38" s="186"/>
      <c r="N38" s="186"/>
      <c r="O38" s="186"/>
      <c r="P38" s="186"/>
      <c r="Q38" s="186"/>
      <c r="R38" s="186"/>
      <c r="S38" s="186"/>
      <c r="T38" s="186"/>
      <c r="U38" s="186"/>
      <c r="V38" s="186"/>
      <c r="W38" s="186"/>
      <c r="X38" s="240"/>
      <c r="AI38" s="222" t="str">
        <f t="shared" si="1"/>
        <v/>
      </c>
    </row>
    <row r="39" spans="1:35" s="108" customFormat="1" ht="15.75">
      <c r="A39" s="101"/>
      <c r="B39" s="110"/>
      <c r="C39" s="111"/>
      <c r="D39" s="111"/>
      <c r="E39" s="112"/>
      <c r="F39" s="112"/>
      <c r="G39" s="113"/>
      <c r="H39" s="199" t="str">
        <f t="shared" si="0"/>
        <v/>
      </c>
      <c r="I39" s="200" t="str">
        <f>IF(H39="","",IF(AND(AI39&lt;=66),VLOOKUP(H39,'WordRead Look Up'!$A$13:$B$20,2,TRUE),IF(AND(AI39&gt;=67,AI39&lt;=72),VLOOKUP(H39,'WordRead Look Up'!$E$13:$F$20,2,TRUE),IF(AND(AI39&gt;=73,AI39&lt;=78),VLOOKUP(H39,'WordRead Look Up'!$I$13:$J$18,2,TRUE),IF(AND(AI39&gt;=79),VLOOKUP(H39,'WordRead Look Up'!$M$13:$N$18,2,TRUE),"")))))</f>
        <v/>
      </c>
      <c r="J39" s="190"/>
      <c r="K39" s="186"/>
      <c r="L39" s="186"/>
      <c r="M39" s="186"/>
      <c r="N39" s="186"/>
      <c r="O39" s="186"/>
      <c r="P39" s="186"/>
      <c r="Q39" s="186"/>
      <c r="R39" s="186"/>
      <c r="S39" s="186"/>
      <c r="T39" s="186"/>
      <c r="U39" s="186"/>
      <c r="V39" s="186"/>
      <c r="W39" s="186"/>
      <c r="X39" s="240"/>
      <c r="AI39" s="222" t="str">
        <f t="shared" si="1"/>
        <v/>
      </c>
    </row>
    <row r="40" spans="1:35" s="108" customFormat="1" ht="15.75">
      <c r="A40" s="119"/>
      <c r="B40" s="120"/>
      <c r="C40" s="111"/>
      <c r="D40" s="111"/>
      <c r="E40" s="121"/>
      <c r="F40" s="121"/>
      <c r="G40" s="113"/>
      <c r="H40" s="199" t="str">
        <f t="shared" si="0"/>
        <v/>
      </c>
      <c r="I40" s="200" t="str">
        <f>IF(H40="","",IF(AND(AI40&lt;=66),VLOOKUP(H40,'WordRead Look Up'!$A$13:$B$20,2,TRUE),IF(AND(AI40&gt;=67,AI40&lt;=72),VLOOKUP(H40,'WordRead Look Up'!$E$13:$F$20,2,TRUE),IF(AND(AI40&gt;=73,AI40&lt;=78),VLOOKUP(H40,'WordRead Look Up'!$I$13:$J$18,2,TRUE),IF(AND(AI40&gt;=79),VLOOKUP(H40,'WordRead Look Up'!$M$13:$N$18,2,TRUE),"")))))</f>
        <v/>
      </c>
      <c r="J40" s="190"/>
      <c r="K40" s="186"/>
      <c r="L40" s="186"/>
      <c r="M40" s="186"/>
      <c r="N40" s="186"/>
      <c r="O40" s="186"/>
      <c r="P40" s="186"/>
      <c r="Q40" s="186"/>
      <c r="R40" s="186"/>
      <c r="S40" s="186"/>
      <c r="T40" s="186"/>
      <c r="U40" s="186"/>
      <c r="V40" s="186"/>
      <c r="W40" s="186"/>
      <c r="X40" s="240"/>
      <c r="AI40" s="222" t="str">
        <f t="shared" si="1"/>
        <v/>
      </c>
    </row>
    <row r="41" spans="1:35" s="108" customFormat="1" ht="15.75">
      <c r="A41" s="119"/>
      <c r="B41" s="120"/>
      <c r="C41" s="111"/>
      <c r="D41" s="111"/>
      <c r="E41" s="121"/>
      <c r="F41" s="121"/>
      <c r="G41" s="113"/>
      <c r="H41" s="199" t="str">
        <f t="shared" si="0"/>
        <v/>
      </c>
      <c r="I41" s="200" t="str">
        <f>IF(H41="","",IF(AND(AI41&lt;=66),VLOOKUP(H41,'WordRead Look Up'!$A$13:$B$20,2,TRUE),IF(AND(AI41&gt;=67,AI41&lt;=72),VLOOKUP(H41,'WordRead Look Up'!$E$13:$F$20,2,TRUE),IF(AND(AI41&gt;=73,AI41&lt;=78),VLOOKUP(H41,'WordRead Look Up'!$I$13:$J$18,2,TRUE),IF(AND(AI41&gt;=79),VLOOKUP(H41,'WordRead Look Up'!$M$13:$N$18,2,TRUE),"")))))</f>
        <v/>
      </c>
      <c r="J41" s="190"/>
      <c r="K41" s="186"/>
      <c r="L41" s="186"/>
      <c r="M41" s="186"/>
      <c r="N41" s="186"/>
      <c r="O41" s="186"/>
      <c r="P41" s="186"/>
      <c r="Q41" s="186"/>
      <c r="R41" s="186"/>
      <c r="S41" s="186"/>
      <c r="T41" s="186"/>
      <c r="U41" s="186"/>
      <c r="V41" s="186"/>
      <c r="W41" s="186"/>
      <c r="X41" s="240"/>
      <c r="AI41" s="222" t="str">
        <f t="shared" si="1"/>
        <v/>
      </c>
    </row>
    <row r="42" spans="1:35" s="108" customFormat="1" ht="15.75">
      <c r="A42" s="119"/>
      <c r="B42" s="120"/>
      <c r="C42" s="111"/>
      <c r="D42" s="111"/>
      <c r="E42" s="121"/>
      <c r="F42" s="121"/>
      <c r="G42" s="113"/>
      <c r="H42" s="199" t="str">
        <f t="shared" si="0"/>
        <v/>
      </c>
      <c r="I42" s="200" t="str">
        <f>IF(H42="","",IF(AND(AI42&lt;=66),VLOOKUP(H42,'WordRead Look Up'!$A$13:$B$20,2,TRUE),IF(AND(AI42&gt;=67,AI42&lt;=72),VLOOKUP(H42,'WordRead Look Up'!$E$13:$F$20,2,TRUE),IF(AND(AI42&gt;=73,AI42&lt;=78),VLOOKUP(H42,'WordRead Look Up'!$I$13:$J$18,2,TRUE),IF(AND(AI42&gt;=79),VLOOKUP(H42,'WordRead Look Up'!$M$13:$N$18,2,TRUE),"")))))</f>
        <v/>
      </c>
      <c r="J42" s="190"/>
      <c r="K42" s="186"/>
      <c r="L42" s="186"/>
      <c r="M42" s="186"/>
      <c r="N42" s="186"/>
      <c r="O42" s="186"/>
      <c r="P42" s="186"/>
      <c r="Q42" s="186"/>
      <c r="R42" s="186"/>
      <c r="S42" s="186"/>
      <c r="T42" s="186"/>
      <c r="U42" s="186"/>
      <c r="V42" s="186"/>
      <c r="W42" s="186"/>
      <c r="X42" s="240"/>
      <c r="AI42" s="222" t="str">
        <f t="shared" si="1"/>
        <v/>
      </c>
    </row>
    <row r="43" spans="1:35" s="108" customFormat="1" ht="15.75">
      <c r="A43" s="119"/>
      <c r="B43" s="120"/>
      <c r="C43" s="111"/>
      <c r="D43" s="111"/>
      <c r="E43" s="121"/>
      <c r="F43" s="121"/>
      <c r="G43" s="113"/>
      <c r="H43" s="199" t="str">
        <f t="shared" si="0"/>
        <v/>
      </c>
      <c r="I43" s="200" t="str">
        <f>IF(H43="","",IF(AND(AI43&lt;=66),VLOOKUP(H43,'WordRead Look Up'!$A$13:$B$20,2,TRUE),IF(AND(AI43&gt;=67,AI43&lt;=72),VLOOKUP(H43,'WordRead Look Up'!$E$13:$F$20,2,TRUE),IF(AND(AI43&gt;=73,AI43&lt;=78),VLOOKUP(H43,'WordRead Look Up'!$I$13:$J$18,2,TRUE),IF(AND(AI43&gt;=79),VLOOKUP(H43,'WordRead Look Up'!$M$13:$N$18,2,TRUE),"")))))</f>
        <v/>
      </c>
      <c r="J43" s="190"/>
      <c r="K43" s="186"/>
      <c r="L43" s="186"/>
      <c r="M43" s="186"/>
      <c r="N43" s="186"/>
      <c r="O43" s="186"/>
      <c r="P43" s="186"/>
      <c r="Q43" s="186"/>
      <c r="R43" s="186"/>
      <c r="S43" s="186"/>
      <c r="T43" s="186"/>
      <c r="U43" s="186"/>
      <c r="V43" s="186"/>
      <c r="W43" s="186"/>
      <c r="X43" s="240"/>
      <c r="AI43" s="222" t="str">
        <f t="shared" si="1"/>
        <v/>
      </c>
    </row>
    <row r="44" spans="1:35" s="108" customFormat="1" ht="15.75">
      <c r="A44" s="119"/>
      <c r="B44" s="120"/>
      <c r="C44" s="111"/>
      <c r="D44" s="111"/>
      <c r="E44" s="121"/>
      <c r="F44" s="121"/>
      <c r="G44" s="113"/>
      <c r="H44" s="199" t="str">
        <f t="shared" si="0"/>
        <v/>
      </c>
      <c r="I44" s="200" t="str">
        <f>IF(H44="","",IF(AND(AI44&lt;=66),VLOOKUP(H44,'WordRead Look Up'!$A$13:$B$20,2,TRUE),IF(AND(AI44&gt;=67,AI44&lt;=72),VLOOKUP(H44,'WordRead Look Up'!$E$13:$F$20,2,TRUE),IF(AND(AI44&gt;=73,AI44&lt;=78),VLOOKUP(H44,'WordRead Look Up'!$I$13:$J$18,2,TRUE),IF(AND(AI44&gt;=79),VLOOKUP(H44,'WordRead Look Up'!$M$13:$N$18,2,TRUE),"")))))</f>
        <v/>
      </c>
      <c r="J44" s="190"/>
      <c r="K44" s="186"/>
      <c r="L44" s="186"/>
      <c r="M44" s="186"/>
      <c r="N44" s="186"/>
      <c r="O44" s="186"/>
      <c r="P44" s="186"/>
      <c r="Q44" s="186"/>
      <c r="R44" s="186"/>
      <c r="S44" s="186"/>
      <c r="T44" s="186"/>
      <c r="U44" s="186"/>
      <c r="V44" s="186"/>
      <c r="W44" s="186"/>
      <c r="X44" s="240"/>
      <c r="AI44" s="222" t="str">
        <f t="shared" si="1"/>
        <v/>
      </c>
    </row>
    <row r="45" spans="1:35" s="108" customFormat="1" ht="15.75">
      <c r="A45" s="119"/>
      <c r="B45" s="120"/>
      <c r="C45" s="111"/>
      <c r="D45" s="111"/>
      <c r="E45" s="121"/>
      <c r="F45" s="121"/>
      <c r="G45" s="113"/>
      <c r="H45" s="199" t="str">
        <f t="shared" si="0"/>
        <v/>
      </c>
      <c r="I45" s="200" t="str">
        <f>IF(H45="","",IF(AND(AI45&lt;=66),VLOOKUP(H45,'WordRead Look Up'!$A$13:$B$20,2,TRUE),IF(AND(AI45&gt;=67,AI45&lt;=72),VLOOKUP(H45,'WordRead Look Up'!$E$13:$F$20,2,TRUE),IF(AND(AI45&gt;=73,AI45&lt;=78),VLOOKUP(H45,'WordRead Look Up'!$I$13:$J$18,2,TRUE),IF(AND(AI45&gt;=79),VLOOKUP(H45,'WordRead Look Up'!$M$13:$N$18,2,TRUE),"")))))</f>
        <v/>
      </c>
      <c r="J45" s="122"/>
      <c r="K45" s="111"/>
      <c r="L45" s="111"/>
      <c r="M45" s="111"/>
      <c r="N45" s="111"/>
      <c r="O45" s="111"/>
      <c r="P45" s="111"/>
      <c r="Q45" s="111"/>
      <c r="R45" s="111"/>
      <c r="S45" s="111"/>
      <c r="T45" s="111"/>
      <c r="U45" s="111"/>
      <c r="V45" s="111"/>
      <c r="W45" s="111"/>
      <c r="X45" s="123"/>
      <c r="AI45" s="222" t="str">
        <f t="shared" si="1"/>
        <v/>
      </c>
    </row>
    <row r="46" spans="1:35" s="108" customFormat="1" ht="15.75">
      <c r="A46" s="119"/>
      <c r="B46" s="120"/>
      <c r="C46" s="111"/>
      <c r="D46" s="111"/>
      <c r="E46" s="121"/>
      <c r="F46" s="121"/>
      <c r="G46" s="113"/>
      <c r="H46" s="199" t="str">
        <f t="shared" si="0"/>
        <v/>
      </c>
      <c r="I46" s="200" t="str">
        <f>IF(H46="","",IF(AND(AI46&lt;=66),VLOOKUP(H46,'WordRead Look Up'!$A$13:$B$20,2,TRUE),IF(AND(AI46&gt;=67,AI46&lt;=72),VLOOKUP(H46,'WordRead Look Up'!$E$13:$F$20,2,TRUE),IF(AND(AI46&gt;=73,AI46&lt;=78),VLOOKUP(H46,'WordRead Look Up'!$I$13:$J$18,2,TRUE),IF(AND(AI46&gt;=79),VLOOKUP(H46,'WordRead Look Up'!$M$13:$N$18,2,TRUE),"")))))</f>
        <v/>
      </c>
      <c r="J46" s="122"/>
      <c r="K46" s="111"/>
      <c r="L46" s="111"/>
      <c r="M46" s="111"/>
      <c r="N46" s="111"/>
      <c r="O46" s="111"/>
      <c r="P46" s="111"/>
      <c r="Q46" s="111"/>
      <c r="R46" s="111"/>
      <c r="S46" s="111"/>
      <c r="T46" s="111"/>
      <c r="U46" s="111"/>
      <c r="V46" s="111"/>
      <c r="W46" s="111"/>
      <c r="X46" s="123"/>
      <c r="AI46" s="222" t="str">
        <f t="shared" si="1"/>
        <v/>
      </c>
    </row>
    <row r="47" spans="1:35" s="108" customFormat="1" ht="15.75">
      <c r="A47" s="119"/>
      <c r="B47" s="120"/>
      <c r="C47" s="111"/>
      <c r="D47" s="111"/>
      <c r="E47" s="121"/>
      <c r="F47" s="121"/>
      <c r="G47" s="113"/>
      <c r="H47" s="199" t="str">
        <f t="shared" si="0"/>
        <v/>
      </c>
      <c r="I47" s="200" t="str">
        <f>IF(H47="","",IF(AND(AI47&lt;=66),VLOOKUP(H47,'WordRead Look Up'!$A$13:$B$20,2,TRUE),IF(AND(AI47&gt;=67,AI47&lt;=72),VLOOKUP(H47,'WordRead Look Up'!$E$13:$F$20,2,TRUE),IF(AND(AI47&gt;=73,AI47&lt;=78),VLOOKUP(H47,'WordRead Look Up'!$I$13:$J$18,2,TRUE),IF(AND(AI47&gt;=79),VLOOKUP(H47,'WordRead Look Up'!$M$13:$N$18,2,TRUE),"")))))</f>
        <v/>
      </c>
      <c r="J47" s="122"/>
      <c r="K47" s="111"/>
      <c r="L47" s="111"/>
      <c r="M47" s="111"/>
      <c r="N47" s="111"/>
      <c r="O47" s="111"/>
      <c r="P47" s="111"/>
      <c r="Q47" s="111"/>
      <c r="R47" s="111"/>
      <c r="S47" s="111"/>
      <c r="T47" s="111"/>
      <c r="U47" s="111"/>
      <c r="V47" s="111"/>
      <c r="W47" s="111"/>
      <c r="X47" s="123"/>
      <c r="AI47" s="222" t="str">
        <f t="shared" si="1"/>
        <v/>
      </c>
    </row>
    <row r="48" spans="1:35" s="108" customFormat="1" ht="15.75">
      <c r="A48" s="119"/>
      <c r="B48" s="120"/>
      <c r="C48" s="111"/>
      <c r="D48" s="111"/>
      <c r="E48" s="121"/>
      <c r="F48" s="121"/>
      <c r="G48" s="113"/>
      <c r="H48" s="199" t="str">
        <f t="shared" si="0"/>
        <v/>
      </c>
      <c r="I48" s="200" t="str">
        <f>IF(H48="","",IF(AND(AI48&lt;=66),VLOOKUP(H48,'WordRead Look Up'!$A$13:$B$20,2,TRUE),IF(AND(AI48&gt;=67,AI48&lt;=72),VLOOKUP(H48,'WordRead Look Up'!$E$13:$F$20,2,TRUE),IF(AND(AI48&gt;=73,AI48&lt;=78),VLOOKUP(H48,'WordRead Look Up'!$I$13:$J$18,2,TRUE),IF(AND(AI48&gt;=79),VLOOKUP(H48,'WordRead Look Up'!$M$13:$N$18,2,TRUE),"")))))</f>
        <v/>
      </c>
      <c r="J48" s="122"/>
      <c r="K48" s="111"/>
      <c r="L48" s="111"/>
      <c r="M48" s="111"/>
      <c r="N48" s="111"/>
      <c r="O48" s="111"/>
      <c r="P48" s="111"/>
      <c r="Q48" s="111"/>
      <c r="R48" s="111"/>
      <c r="S48" s="111"/>
      <c r="T48" s="111"/>
      <c r="U48" s="111"/>
      <c r="V48" s="111"/>
      <c r="W48" s="111"/>
      <c r="X48" s="123"/>
      <c r="AI48" s="222" t="str">
        <f t="shared" si="1"/>
        <v/>
      </c>
    </row>
    <row r="49" spans="1:35" s="108" customFormat="1" ht="15.75">
      <c r="A49" s="119"/>
      <c r="B49" s="120"/>
      <c r="C49" s="111"/>
      <c r="D49" s="111"/>
      <c r="E49" s="121"/>
      <c r="F49" s="121"/>
      <c r="G49" s="113"/>
      <c r="H49" s="199" t="str">
        <f t="shared" si="0"/>
        <v/>
      </c>
      <c r="I49" s="200" t="str">
        <f>IF(H49="","",IF(AND(AI49&lt;=66),VLOOKUP(H49,'WordRead Look Up'!$A$13:$B$20,2,TRUE),IF(AND(AI49&gt;=67,AI49&lt;=72),VLOOKUP(H49,'WordRead Look Up'!$E$13:$F$20,2,TRUE),IF(AND(AI49&gt;=73,AI49&lt;=78),VLOOKUP(H49,'WordRead Look Up'!$I$13:$J$18,2,TRUE),IF(AND(AI49&gt;=79),VLOOKUP(H49,'WordRead Look Up'!$M$13:$N$18,2,TRUE),"")))))</f>
        <v/>
      </c>
      <c r="J49" s="122"/>
      <c r="K49" s="111"/>
      <c r="L49" s="111"/>
      <c r="M49" s="111"/>
      <c r="N49" s="111"/>
      <c r="O49" s="111"/>
      <c r="P49" s="111"/>
      <c r="Q49" s="111"/>
      <c r="R49" s="111"/>
      <c r="S49" s="111"/>
      <c r="T49" s="111"/>
      <c r="U49" s="111"/>
      <c r="V49" s="111"/>
      <c r="W49" s="111"/>
      <c r="X49" s="123"/>
      <c r="AI49" s="222" t="str">
        <f t="shared" si="1"/>
        <v/>
      </c>
    </row>
    <row r="50" spans="1:35" s="108" customFormat="1" ht="15.75">
      <c r="A50" s="119"/>
      <c r="B50" s="120"/>
      <c r="C50" s="111"/>
      <c r="D50" s="111"/>
      <c r="E50" s="121"/>
      <c r="F50" s="121"/>
      <c r="G50" s="113"/>
      <c r="H50" s="199" t="str">
        <f t="shared" si="0"/>
        <v/>
      </c>
      <c r="I50" s="200" t="str">
        <f>IF(H50="","",IF(AND(AI50&lt;=66),VLOOKUP(H50,'WordRead Look Up'!$A$13:$B$20,2,TRUE),IF(AND(AI50&gt;=67,AI50&lt;=72),VLOOKUP(H50,'WordRead Look Up'!$E$13:$F$20,2,TRUE),IF(AND(AI50&gt;=73,AI50&lt;=78),VLOOKUP(H50,'WordRead Look Up'!$I$13:$J$18,2,TRUE),IF(AND(AI50&gt;=79),VLOOKUP(H50,'WordRead Look Up'!$M$13:$N$18,2,TRUE),"")))))</f>
        <v/>
      </c>
      <c r="J50" s="122"/>
      <c r="K50" s="111"/>
      <c r="L50" s="111"/>
      <c r="M50" s="111"/>
      <c r="N50" s="111"/>
      <c r="O50" s="111"/>
      <c r="P50" s="111"/>
      <c r="Q50" s="111"/>
      <c r="R50" s="111"/>
      <c r="S50" s="111"/>
      <c r="T50" s="111"/>
      <c r="U50" s="111"/>
      <c r="V50" s="111"/>
      <c r="W50" s="111"/>
      <c r="X50" s="123"/>
      <c r="AI50" s="222" t="str">
        <f t="shared" si="1"/>
        <v/>
      </c>
    </row>
    <row r="51" spans="1:35" s="108" customFormat="1" ht="15.75">
      <c r="A51" s="119"/>
      <c r="B51" s="120"/>
      <c r="C51" s="111"/>
      <c r="D51" s="111"/>
      <c r="E51" s="121"/>
      <c r="F51" s="121"/>
      <c r="G51" s="113"/>
      <c r="H51" s="199" t="str">
        <f t="shared" si="0"/>
        <v/>
      </c>
      <c r="I51" s="200" t="str">
        <f>IF(H51="","",IF(AND(AI51&lt;=66),VLOOKUP(H51,'WordRead Look Up'!$A$13:$B$20,2,TRUE),IF(AND(AI51&gt;=67,AI51&lt;=72),VLOOKUP(H51,'WordRead Look Up'!$E$13:$F$20,2,TRUE),IF(AND(AI51&gt;=73,AI51&lt;=78),VLOOKUP(H51,'WordRead Look Up'!$I$13:$J$18,2,TRUE),IF(AND(AI51&gt;=79),VLOOKUP(H51,'WordRead Look Up'!$M$13:$N$18,2,TRUE),"")))))</f>
        <v/>
      </c>
      <c r="J51" s="122"/>
      <c r="K51" s="111"/>
      <c r="L51" s="111"/>
      <c r="M51" s="111"/>
      <c r="N51" s="111"/>
      <c r="O51" s="111"/>
      <c r="P51" s="111"/>
      <c r="Q51" s="111"/>
      <c r="R51" s="111"/>
      <c r="S51" s="111"/>
      <c r="T51" s="111"/>
      <c r="U51" s="111"/>
      <c r="V51" s="111"/>
      <c r="W51" s="111"/>
      <c r="X51" s="123"/>
      <c r="AI51" s="222" t="str">
        <f t="shared" si="1"/>
        <v/>
      </c>
    </row>
    <row r="52" spans="1:35" s="108" customFormat="1" ht="15.75">
      <c r="A52" s="119"/>
      <c r="B52" s="120"/>
      <c r="C52" s="111"/>
      <c r="D52" s="111"/>
      <c r="E52" s="121"/>
      <c r="F52" s="121"/>
      <c r="G52" s="113"/>
      <c r="H52" s="199" t="str">
        <f t="shared" si="0"/>
        <v/>
      </c>
      <c r="I52" s="200" t="str">
        <f>IF(H52="","",IF(AND(AI52&lt;=66),VLOOKUP(H52,'WordRead Look Up'!$A$13:$B$20,2,TRUE),IF(AND(AI52&gt;=67,AI52&lt;=72),VLOOKUP(H52,'WordRead Look Up'!$E$13:$F$20,2,TRUE),IF(AND(AI52&gt;=73,AI52&lt;=78),VLOOKUP(H52,'WordRead Look Up'!$I$13:$J$18,2,TRUE),IF(AND(AI52&gt;=79),VLOOKUP(H52,'WordRead Look Up'!$M$13:$N$18,2,TRUE),"")))))</f>
        <v/>
      </c>
      <c r="J52" s="122"/>
      <c r="K52" s="111"/>
      <c r="L52" s="111"/>
      <c r="M52" s="111"/>
      <c r="N52" s="111"/>
      <c r="O52" s="111"/>
      <c r="P52" s="111"/>
      <c r="Q52" s="111"/>
      <c r="R52" s="111"/>
      <c r="S52" s="111"/>
      <c r="T52" s="111"/>
      <c r="U52" s="111"/>
      <c r="V52" s="111"/>
      <c r="W52" s="111"/>
      <c r="X52" s="123"/>
      <c r="AI52" s="222" t="str">
        <f t="shared" si="1"/>
        <v/>
      </c>
    </row>
    <row r="53" spans="1:35" s="108" customFormat="1" ht="15.75">
      <c r="A53" s="119"/>
      <c r="B53" s="120"/>
      <c r="C53" s="111"/>
      <c r="D53" s="111"/>
      <c r="E53" s="121"/>
      <c r="F53" s="121"/>
      <c r="G53" s="113"/>
      <c r="H53" s="199" t="str">
        <f t="shared" si="0"/>
        <v/>
      </c>
      <c r="I53" s="200" t="str">
        <f>IF(H53="","",IF(AND(AI53&lt;=66),VLOOKUP(H53,'WordRead Look Up'!$A$13:$B$20,2,TRUE),IF(AND(AI53&gt;=67,AI53&lt;=72),VLOOKUP(H53,'WordRead Look Up'!$E$13:$F$20,2,TRUE),IF(AND(AI53&gt;=73,AI53&lt;=78),VLOOKUP(H53,'WordRead Look Up'!$I$13:$J$18,2,TRUE),IF(AND(AI53&gt;=79),VLOOKUP(H53,'WordRead Look Up'!$M$13:$N$18,2,TRUE),"")))))</f>
        <v/>
      </c>
      <c r="J53" s="122"/>
      <c r="K53" s="111"/>
      <c r="L53" s="111"/>
      <c r="M53" s="111"/>
      <c r="N53" s="111"/>
      <c r="O53" s="111"/>
      <c r="P53" s="111"/>
      <c r="Q53" s="111"/>
      <c r="R53" s="111"/>
      <c r="S53" s="111"/>
      <c r="T53" s="111"/>
      <c r="U53" s="111"/>
      <c r="V53" s="111"/>
      <c r="W53" s="111"/>
      <c r="X53" s="123"/>
      <c r="AI53" s="222" t="str">
        <f t="shared" si="1"/>
        <v/>
      </c>
    </row>
    <row r="54" spans="1:35" s="108" customFormat="1" ht="15.75">
      <c r="A54" s="119"/>
      <c r="B54" s="120"/>
      <c r="C54" s="111"/>
      <c r="D54" s="111"/>
      <c r="E54" s="121"/>
      <c r="F54" s="121"/>
      <c r="G54" s="113"/>
      <c r="H54" s="199" t="str">
        <f t="shared" si="0"/>
        <v/>
      </c>
      <c r="I54" s="200" t="str">
        <f>IF(H54="","",IF(AND(AI54&lt;=66),VLOOKUP(H54,'WordRead Look Up'!$A$13:$B$20,2,TRUE),IF(AND(AI54&gt;=67,AI54&lt;=72),VLOOKUP(H54,'WordRead Look Up'!$E$13:$F$20,2,TRUE),IF(AND(AI54&gt;=73,AI54&lt;=78),VLOOKUP(H54,'WordRead Look Up'!$I$13:$J$18,2,TRUE),IF(AND(AI54&gt;=79),VLOOKUP(H54,'WordRead Look Up'!$M$13:$N$18,2,TRUE),"")))))</f>
        <v/>
      </c>
      <c r="J54" s="122"/>
      <c r="K54" s="111"/>
      <c r="L54" s="111"/>
      <c r="M54" s="111"/>
      <c r="N54" s="111"/>
      <c r="O54" s="111"/>
      <c r="P54" s="111"/>
      <c r="Q54" s="111"/>
      <c r="R54" s="111"/>
      <c r="S54" s="111"/>
      <c r="T54" s="111"/>
      <c r="U54" s="111"/>
      <c r="V54" s="111"/>
      <c r="W54" s="111"/>
      <c r="X54" s="123"/>
      <c r="AI54" s="222" t="str">
        <f t="shared" si="1"/>
        <v/>
      </c>
    </row>
    <row r="55" spans="1:35" s="108" customFormat="1" ht="15.75">
      <c r="A55" s="119"/>
      <c r="B55" s="120"/>
      <c r="C55" s="111"/>
      <c r="D55" s="111"/>
      <c r="E55" s="121"/>
      <c r="F55" s="121"/>
      <c r="G55" s="113"/>
      <c r="H55" s="199" t="str">
        <f t="shared" si="0"/>
        <v/>
      </c>
      <c r="I55" s="200" t="str">
        <f>IF(H55="","",IF(AND(AI55&lt;=66),VLOOKUP(H55,'WordRead Look Up'!$A$13:$B$20,2,TRUE),IF(AND(AI55&gt;=67,AI55&lt;=72),VLOOKUP(H55,'WordRead Look Up'!$E$13:$F$20,2,TRUE),IF(AND(AI55&gt;=73,AI55&lt;=78),VLOOKUP(H55,'WordRead Look Up'!$I$13:$J$18,2,TRUE),IF(AND(AI55&gt;=79),VLOOKUP(H55,'WordRead Look Up'!$M$13:$N$18,2,TRUE),"")))))</f>
        <v/>
      </c>
      <c r="J55" s="122"/>
      <c r="K55" s="111"/>
      <c r="L55" s="111"/>
      <c r="M55" s="111"/>
      <c r="N55" s="111"/>
      <c r="O55" s="111"/>
      <c r="P55" s="111"/>
      <c r="Q55" s="111"/>
      <c r="R55" s="111"/>
      <c r="S55" s="111"/>
      <c r="T55" s="111"/>
      <c r="U55" s="111"/>
      <c r="V55" s="111"/>
      <c r="W55" s="111"/>
      <c r="X55" s="123"/>
      <c r="AI55" s="222" t="str">
        <f t="shared" si="1"/>
        <v/>
      </c>
    </row>
    <row r="56" spans="1:35" s="108" customFormat="1" ht="15.75">
      <c r="A56" s="119"/>
      <c r="B56" s="120"/>
      <c r="C56" s="111"/>
      <c r="D56" s="111"/>
      <c r="E56" s="121"/>
      <c r="F56" s="121"/>
      <c r="G56" s="113"/>
      <c r="H56" s="199" t="str">
        <f t="shared" si="0"/>
        <v/>
      </c>
      <c r="I56" s="200" t="str">
        <f>IF(H56="","",IF(AND(AI56&lt;=66),VLOOKUP(H56,'WordRead Look Up'!$A$13:$B$20,2,TRUE),IF(AND(AI56&gt;=67,AI56&lt;=72),VLOOKUP(H56,'WordRead Look Up'!$E$13:$F$20,2,TRUE),IF(AND(AI56&gt;=73,AI56&lt;=78),VLOOKUP(H56,'WordRead Look Up'!$I$13:$J$18,2,TRUE),IF(AND(AI56&gt;=79),VLOOKUP(H56,'WordRead Look Up'!$M$13:$N$18,2,TRUE),"")))))</f>
        <v/>
      </c>
      <c r="J56" s="122"/>
      <c r="K56" s="111"/>
      <c r="L56" s="111"/>
      <c r="M56" s="111"/>
      <c r="N56" s="111"/>
      <c r="O56" s="111"/>
      <c r="P56" s="111"/>
      <c r="Q56" s="111"/>
      <c r="R56" s="111"/>
      <c r="S56" s="111"/>
      <c r="T56" s="111"/>
      <c r="U56" s="111"/>
      <c r="V56" s="111"/>
      <c r="W56" s="111"/>
      <c r="X56" s="123"/>
      <c r="AI56" s="222" t="str">
        <f t="shared" si="1"/>
        <v/>
      </c>
    </row>
    <row r="57" spans="1:35" s="108" customFormat="1" ht="15.75">
      <c r="A57" s="119"/>
      <c r="B57" s="120"/>
      <c r="C57" s="111"/>
      <c r="D57" s="111"/>
      <c r="E57" s="121"/>
      <c r="F57" s="121"/>
      <c r="G57" s="113"/>
      <c r="H57" s="199" t="str">
        <f t="shared" si="0"/>
        <v/>
      </c>
      <c r="I57" s="200" t="str">
        <f>IF(H57="","",IF(AND(AI57&lt;=66),VLOOKUP(H57,'WordRead Look Up'!$A$13:$B$20,2,TRUE),IF(AND(AI57&gt;=67,AI57&lt;=72),VLOOKUP(H57,'WordRead Look Up'!$E$13:$F$20,2,TRUE),IF(AND(AI57&gt;=73,AI57&lt;=78),VLOOKUP(H57,'WordRead Look Up'!$I$13:$J$18,2,TRUE),IF(AND(AI57&gt;=79),VLOOKUP(H57,'WordRead Look Up'!$M$13:$N$18,2,TRUE),"")))))</f>
        <v/>
      </c>
      <c r="J57" s="122"/>
      <c r="K57" s="111"/>
      <c r="L57" s="111"/>
      <c r="M57" s="111"/>
      <c r="N57" s="111"/>
      <c r="O57" s="111"/>
      <c r="P57" s="111"/>
      <c r="Q57" s="111"/>
      <c r="R57" s="111"/>
      <c r="S57" s="111"/>
      <c r="T57" s="111"/>
      <c r="U57" s="111"/>
      <c r="V57" s="111"/>
      <c r="W57" s="111"/>
      <c r="X57" s="123"/>
      <c r="AI57" s="222" t="str">
        <f t="shared" si="1"/>
        <v/>
      </c>
    </row>
    <row r="58" spans="1:35" s="108" customFormat="1" ht="15.75">
      <c r="A58" s="119"/>
      <c r="B58" s="120"/>
      <c r="C58" s="111"/>
      <c r="D58" s="111"/>
      <c r="E58" s="121"/>
      <c r="F58" s="121"/>
      <c r="G58" s="113"/>
      <c r="H58" s="199" t="str">
        <f t="shared" si="0"/>
        <v/>
      </c>
      <c r="I58" s="200" t="str">
        <f>IF(H58="","",IF(AND(AI58&lt;=66),VLOOKUP(H58,'WordRead Look Up'!$A$13:$B$20,2,TRUE),IF(AND(AI58&gt;=67,AI58&lt;=72),VLOOKUP(H58,'WordRead Look Up'!$E$13:$F$20,2,TRUE),IF(AND(AI58&gt;=73,AI58&lt;=78),VLOOKUP(H58,'WordRead Look Up'!$I$13:$J$18,2,TRUE),IF(AND(AI58&gt;=79),VLOOKUP(H58,'WordRead Look Up'!$M$13:$N$18,2,TRUE),"")))))</f>
        <v/>
      </c>
      <c r="J58" s="122"/>
      <c r="K58" s="111"/>
      <c r="L58" s="111"/>
      <c r="M58" s="111"/>
      <c r="N58" s="111"/>
      <c r="O58" s="111"/>
      <c r="P58" s="111"/>
      <c r="Q58" s="111"/>
      <c r="R58" s="111"/>
      <c r="S58" s="111"/>
      <c r="T58" s="111"/>
      <c r="U58" s="111"/>
      <c r="V58" s="111"/>
      <c r="W58" s="111"/>
      <c r="X58" s="123"/>
      <c r="AI58" s="222" t="str">
        <f t="shared" si="1"/>
        <v/>
      </c>
    </row>
    <row r="59" spans="1:35" s="108" customFormat="1" ht="15.75">
      <c r="A59" s="119"/>
      <c r="B59" s="120"/>
      <c r="C59" s="111"/>
      <c r="D59" s="111"/>
      <c r="E59" s="121"/>
      <c r="F59" s="121"/>
      <c r="G59" s="113"/>
      <c r="H59" s="199" t="str">
        <f t="shared" si="0"/>
        <v/>
      </c>
      <c r="I59" s="200" t="str">
        <f>IF(H59="","",IF(AND(AI59&lt;=66),VLOOKUP(H59,'WordRead Look Up'!$A$13:$B$20,2,TRUE),IF(AND(AI59&gt;=67,AI59&lt;=72),VLOOKUP(H59,'WordRead Look Up'!$E$13:$F$20,2,TRUE),IF(AND(AI59&gt;=73,AI59&lt;=78),VLOOKUP(H59,'WordRead Look Up'!$I$13:$J$18,2,TRUE),IF(AND(AI59&gt;=79),VLOOKUP(H59,'WordRead Look Up'!$M$13:$N$18,2,TRUE),"")))))</f>
        <v/>
      </c>
      <c r="J59" s="122"/>
      <c r="K59" s="111"/>
      <c r="L59" s="111"/>
      <c r="M59" s="111"/>
      <c r="N59" s="111"/>
      <c r="O59" s="111"/>
      <c r="P59" s="111"/>
      <c r="Q59" s="111"/>
      <c r="R59" s="111"/>
      <c r="S59" s="111"/>
      <c r="T59" s="111"/>
      <c r="U59" s="111"/>
      <c r="V59" s="111"/>
      <c r="W59" s="111"/>
      <c r="X59" s="123"/>
      <c r="AI59" s="222" t="str">
        <f t="shared" si="1"/>
        <v/>
      </c>
    </row>
    <row r="60" spans="1:35" s="108" customFormat="1" ht="15.75">
      <c r="A60" s="119"/>
      <c r="B60" s="120"/>
      <c r="C60" s="111"/>
      <c r="D60" s="111"/>
      <c r="E60" s="121"/>
      <c r="F60" s="121"/>
      <c r="G60" s="113"/>
      <c r="H60" s="199" t="str">
        <f t="shared" si="0"/>
        <v/>
      </c>
      <c r="I60" s="200" t="str">
        <f>IF(H60="","",IF(AND(AI60&lt;=66),VLOOKUP(H60,'WordRead Look Up'!$A$13:$B$20,2,TRUE),IF(AND(AI60&gt;=67,AI60&lt;=72),VLOOKUP(H60,'WordRead Look Up'!$E$13:$F$20,2,TRUE),IF(AND(AI60&gt;=73,AI60&lt;=78),VLOOKUP(H60,'WordRead Look Up'!$I$13:$J$18,2,TRUE),IF(AND(AI60&gt;=79),VLOOKUP(H60,'WordRead Look Up'!$M$13:$N$18,2,TRUE),"")))))</f>
        <v/>
      </c>
      <c r="J60" s="122"/>
      <c r="K60" s="111"/>
      <c r="L60" s="111"/>
      <c r="M60" s="111"/>
      <c r="N60" s="111"/>
      <c r="O60" s="111"/>
      <c r="P60" s="111"/>
      <c r="Q60" s="111"/>
      <c r="R60" s="111"/>
      <c r="S60" s="111"/>
      <c r="T60" s="111"/>
      <c r="U60" s="111"/>
      <c r="V60" s="111"/>
      <c r="W60" s="111"/>
      <c r="X60" s="123"/>
      <c r="AI60" s="222" t="str">
        <f t="shared" si="1"/>
        <v/>
      </c>
    </row>
    <row r="61" spans="1:35" s="108" customFormat="1" ht="15.75">
      <c r="A61" s="119"/>
      <c r="B61" s="120"/>
      <c r="C61" s="111"/>
      <c r="D61" s="111"/>
      <c r="E61" s="121"/>
      <c r="F61" s="121"/>
      <c r="G61" s="113"/>
      <c r="H61" s="199" t="str">
        <f t="shared" si="0"/>
        <v/>
      </c>
      <c r="I61" s="200" t="str">
        <f>IF(H61="","",IF(AND(AI61&lt;=66),VLOOKUP(H61,'WordRead Look Up'!$A$13:$B$20,2,TRUE),IF(AND(AI61&gt;=67,AI61&lt;=72),VLOOKUP(H61,'WordRead Look Up'!$E$13:$F$20,2,TRUE),IF(AND(AI61&gt;=73,AI61&lt;=78),VLOOKUP(H61,'WordRead Look Up'!$I$13:$J$18,2,TRUE),IF(AND(AI61&gt;=79),VLOOKUP(H61,'WordRead Look Up'!$M$13:$N$18,2,TRUE),"")))))</f>
        <v/>
      </c>
      <c r="J61" s="122"/>
      <c r="K61" s="111"/>
      <c r="L61" s="111"/>
      <c r="M61" s="111"/>
      <c r="N61" s="111"/>
      <c r="O61" s="111"/>
      <c r="P61" s="111"/>
      <c r="Q61" s="111"/>
      <c r="R61" s="111"/>
      <c r="S61" s="111"/>
      <c r="T61" s="111"/>
      <c r="U61" s="111"/>
      <c r="V61" s="111"/>
      <c r="W61" s="111"/>
      <c r="X61" s="123"/>
      <c r="AI61" s="222" t="str">
        <f t="shared" si="1"/>
        <v/>
      </c>
    </row>
    <row r="62" spans="1:35" s="108" customFormat="1" ht="15.75">
      <c r="A62" s="119"/>
      <c r="B62" s="120"/>
      <c r="C62" s="111"/>
      <c r="D62" s="111"/>
      <c r="E62" s="121"/>
      <c r="F62" s="121"/>
      <c r="G62" s="113"/>
      <c r="H62" s="199" t="str">
        <f t="shared" si="0"/>
        <v/>
      </c>
      <c r="I62" s="200" t="str">
        <f>IF(H62="","",IF(AND(AI62&lt;=66),VLOOKUP(H62,'WordRead Look Up'!$A$13:$B$20,2,TRUE),IF(AND(AI62&gt;=67,AI62&lt;=72),VLOOKUP(H62,'WordRead Look Up'!$E$13:$F$20,2,TRUE),IF(AND(AI62&gt;=73,AI62&lt;=78),VLOOKUP(H62,'WordRead Look Up'!$I$13:$J$18,2,TRUE),IF(AND(AI62&gt;=79),VLOOKUP(H62,'WordRead Look Up'!$M$13:$N$18,2,TRUE),"")))))</f>
        <v/>
      </c>
      <c r="J62" s="122"/>
      <c r="K62" s="111"/>
      <c r="L62" s="111"/>
      <c r="M62" s="111"/>
      <c r="N62" s="111"/>
      <c r="O62" s="111"/>
      <c r="P62" s="111"/>
      <c r="Q62" s="111"/>
      <c r="R62" s="111"/>
      <c r="S62" s="111"/>
      <c r="T62" s="111"/>
      <c r="U62" s="111"/>
      <c r="V62" s="111"/>
      <c r="W62" s="111"/>
      <c r="X62" s="123"/>
      <c r="AI62" s="222" t="str">
        <f t="shared" si="1"/>
        <v/>
      </c>
    </row>
    <row r="63" spans="1:35" s="108" customFormat="1" ht="15.75">
      <c r="A63" s="119"/>
      <c r="B63" s="120"/>
      <c r="C63" s="111"/>
      <c r="D63" s="111"/>
      <c r="E63" s="121"/>
      <c r="F63" s="121"/>
      <c r="G63" s="113"/>
      <c r="H63" s="199" t="str">
        <f t="shared" si="0"/>
        <v/>
      </c>
      <c r="I63" s="200" t="str">
        <f>IF(H63="","",IF(AND(AI63&lt;=66),VLOOKUP(H63,'WordRead Look Up'!$A$13:$B$20,2,TRUE),IF(AND(AI63&gt;=67,AI63&lt;=72),VLOOKUP(H63,'WordRead Look Up'!$E$13:$F$20,2,TRUE),IF(AND(AI63&gt;=73,AI63&lt;=78),VLOOKUP(H63,'WordRead Look Up'!$I$13:$J$18,2,TRUE),IF(AND(AI63&gt;=79),VLOOKUP(H63,'WordRead Look Up'!$M$13:$N$18,2,TRUE),"")))))</f>
        <v/>
      </c>
      <c r="J63" s="122"/>
      <c r="K63" s="111"/>
      <c r="L63" s="111"/>
      <c r="M63" s="111"/>
      <c r="N63" s="111"/>
      <c r="O63" s="111"/>
      <c r="P63" s="111"/>
      <c r="Q63" s="111"/>
      <c r="R63" s="111"/>
      <c r="S63" s="111"/>
      <c r="T63" s="111"/>
      <c r="U63" s="111"/>
      <c r="V63" s="111"/>
      <c r="W63" s="111"/>
      <c r="X63" s="123"/>
      <c r="AI63" s="222" t="str">
        <f t="shared" si="1"/>
        <v/>
      </c>
    </row>
    <row r="64" spans="1:35" s="108" customFormat="1" ht="15.75">
      <c r="A64" s="119"/>
      <c r="B64" s="120"/>
      <c r="C64" s="111"/>
      <c r="D64" s="111"/>
      <c r="E64" s="121"/>
      <c r="F64" s="121"/>
      <c r="G64" s="113"/>
      <c r="H64" s="199" t="str">
        <f t="shared" si="0"/>
        <v/>
      </c>
      <c r="I64" s="200" t="str">
        <f>IF(H64="","",IF(AND(AI64&lt;=66),VLOOKUP(H64,'WordRead Look Up'!$A$13:$B$20,2,TRUE),IF(AND(AI64&gt;=67,AI64&lt;=72),VLOOKUP(H64,'WordRead Look Up'!$E$13:$F$20,2,TRUE),IF(AND(AI64&gt;=73,AI64&lt;=78),VLOOKUP(H64,'WordRead Look Up'!$I$13:$J$18,2,TRUE),IF(AND(AI64&gt;=79),VLOOKUP(H64,'WordRead Look Up'!$M$13:$N$18,2,TRUE),"")))))</f>
        <v/>
      </c>
      <c r="J64" s="122"/>
      <c r="K64" s="111"/>
      <c r="L64" s="111"/>
      <c r="M64" s="111"/>
      <c r="N64" s="111"/>
      <c r="O64" s="111"/>
      <c r="P64" s="111"/>
      <c r="Q64" s="111"/>
      <c r="R64" s="111"/>
      <c r="S64" s="111"/>
      <c r="T64" s="111"/>
      <c r="U64" s="111"/>
      <c r="V64" s="111"/>
      <c r="W64" s="111"/>
      <c r="X64" s="123"/>
      <c r="AI64" s="222" t="str">
        <f t="shared" si="1"/>
        <v/>
      </c>
    </row>
    <row r="65" spans="1:35" s="108" customFormat="1" ht="15.75">
      <c r="A65" s="119"/>
      <c r="B65" s="120"/>
      <c r="C65" s="111"/>
      <c r="D65" s="111"/>
      <c r="E65" s="121"/>
      <c r="F65" s="121"/>
      <c r="G65" s="113"/>
      <c r="H65" s="199" t="str">
        <f t="shared" si="0"/>
        <v/>
      </c>
      <c r="I65" s="200" t="str">
        <f>IF(H65="","",IF(AND(AI65&lt;=66),VLOOKUP(H65,'WordRead Look Up'!$A$13:$B$20,2,TRUE),IF(AND(AI65&gt;=67,AI65&lt;=72),VLOOKUP(H65,'WordRead Look Up'!$E$13:$F$20,2,TRUE),IF(AND(AI65&gt;=73,AI65&lt;=78),VLOOKUP(H65,'WordRead Look Up'!$I$13:$J$18,2,TRUE),IF(AND(AI65&gt;=79),VLOOKUP(H65,'WordRead Look Up'!$M$13:$N$18,2,TRUE),"")))))</f>
        <v/>
      </c>
      <c r="J65" s="122"/>
      <c r="K65" s="111"/>
      <c r="L65" s="111"/>
      <c r="M65" s="111"/>
      <c r="N65" s="111"/>
      <c r="O65" s="111"/>
      <c r="P65" s="111"/>
      <c r="Q65" s="111"/>
      <c r="R65" s="111"/>
      <c r="S65" s="111"/>
      <c r="T65" s="111"/>
      <c r="U65" s="111"/>
      <c r="V65" s="111"/>
      <c r="W65" s="111"/>
      <c r="X65" s="123"/>
      <c r="AI65" s="222" t="str">
        <f t="shared" si="1"/>
        <v/>
      </c>
    </row>
    <row r="66" spans="1:35" s="108" customFormat="1" ht="15.75">
      <c r="A66" s="119"/>
      <c r="B66" s="120"/>
      <c r="C66" s="111"/>
      <c r="D66" s="111"/>
      <c r="E66" s="121"/>
      <c r="F66" s="121"/>
      <c r="G66" s="113"/>
      <c r="H66" s="199" t="str">
        <f t="shared" si="0"/>
        <v/>
      </c>
      <c r="I66" s="200" t="str">
        <f>IF(H66="","",IF(AND(AI66&lt;=66),VLOOKUP(H66,'WordRead Look Up'!$A$13:$B$20,2,TRUE),IF(AND(AI66&gt;=67,AI66&lt;=72),VLOOKUP(H66,'WordRead Look Up'!$E$13:$F$20,2,TRUE),IF(AND(AI66&gt;=73,AI66&lt;=78),VLOOKUP(H66,'WordRead Look Up'!$I$13:$J$18,2,TRUE),IF(AND(AI66&gt;=79),VLOOKUP(H66,'WordRead Look Up'!$M$13:$N$18,2,TRUE),"")))))</f>
        <v/>
      </c>
      <c r="J66" s="122"/>
      <c r="K66" s="111"/>
      <c r="L66" s="111"/>
      <c r="M66" s="111"/>
      <c r="N66" s="111"/>
      <c r="O66" s="111"/>
      <c r="P66" s="111"/>
      <c r="Q66" s="111"/>
      <c r="R66" s="111"/>
      <c r="S66" s="111"/>
      <c r="T66" s="111"/>
      <c r="U66" s="111"/>
      <c r="V66" s="111"/>
      <c r="W66" s="111"/>
      <c r="X66" s="123"/>
      <c r="AI66" s="222" t="str">
        <f t="shared" si="1"/>
        <v/>
      </c>
    </row>
    <row r="67" spans="1:35" s="108" customFormat="1" ht="15.75">
      <c r="A67" s="119"/>
      <c r="B67" s="120"/>
      <c r="C67" s="111"/>
      <c r="D67" s="111"/>
      <c r="E67" s="121"/>
      <c r="F67" s="121"/>
      <c r="G67" s="113"/>
      <c r="H67" s="199" t="str">
        <f t="shared" si="0"/>
        <v/>
      </c>
      <c r="I67" s="200" t="str">
        <f>IF(H67="","",IF(AND(AI67&lt;=66),VLOOKUP(H67,'WordRead Look Up'!$A$13:$B$20,2,TRUE),IF(AND(AI67&gt;=67,AI67&lt;=72),VLOOKUP(H67,'WordRead Look Up'!$E$13:$F$20,2,TRUE),IF(AND(AI67&gt;=73,AI67&lt;=78),VLOOKUP(H67,'WordRead Look Up'!$I$13:$J$18,2,TRUE),IF(AND(AI67&gt;=79),VLOOKUP(H67,'WordRead Look Up'!$M$13:$N$18,2,TRUE),"")))))</f>
        <v/>
      </c>
      <c r="J67" s="122"/>
      <c r="K67" s="111"/>
      <c r="L67" s="111"/>
      <c r="M67" s="111"/>
      <c r="N67" s="111"/>
      <c r="O67" s="111"/>
      <c r="P67" s="111"/>
      <c r="Q67" s="111"/>
      <c r="R67" s="111"/>
      <c r="S67" s="111"/>
      <c r="T67" s="111"/>
      <c r="U67" s="111"/>
      <c r="V67" s="111"/>
      <c r="W67" s="111"/>
      <c r="X67" s="123"/>
      <c r="AI67" s="222" t="str">
        <f t="shared" si="1"/>
        <v/>
      </c>
    </row>
    <row r="68" spans="1:35" s="108" customFormat="1" ht="15.75">
      <c r="A68" s="119"/>
      <c r="B68" s="120"/>
      <c r="C68" s="111"/>
      <c r="D68" s="111"/>
      <c r="E68" s="121"/>
      <c r="F68" s="121"/>
      <c r="G68" s="113"/>
      <c r="H68" s="199" t="str">
        <f t="shared" si="0"/>
        <v/>
      </c>
      <c r="I68" s="200" t="str">
        <f>IF(H68="","",IF(AND(AI68&lt;=66),VLOOKUP(H68,'WordRead Look Up'!$A$13:$B$20,2,TRUE),IF(AND(AI68&gt;=67,AI68&lt;=72),VLOOKUP(H68,'WordRead Look Up'!$E$13:$F$20,2,TRUE),IF(AND(AI68&gt;=73,AI68&lt;=78),VLOOKUP(H68,'WordRead Look Up'!$I$13:$J$18,2,TRUE),IF(AND(AI68&gt;=79),VLOOKUP(H68,'WordRead Look Up'!$M$13:$N$18,2,TRUE),"")))))</f>
        <v/>
      </c>
      <c r="J68" s="122"/>
      <c r="K68" s="111"/>
      <c r="L68" s="111"/>
      <c r="M68" s="111"/>
      <c r="N68" s="111"/>
      <c r="O68" s="111"/>
      <c r="P68" s="111"/>
      <c r="Q68" s="111"/>
      <c r="R68" s="111"/>
      <c r="S68" s="111"/>
      <c r="T68" s="111"/>
      <c r="U68" s="111"/>
      <c r="V68" s="111"/>
      <c r="W68" s="111"/>
      <c r="X68" s="123"/>
      <c r="AI68" s="222" t="str">
        <f t="shared" si="1"/>
        <v/>
      </c>
    </row>
    <row r="69" spans="1:35" s="108" customFormat="1" ht="15.75">
      <c r="A69" s="119"/>
      <c r="B69" s="120"/>
      <c r="C69" s="111"/>
      <c r="D69" s="111"/>
      <c r="E69" s="121"/>
      <c r="F69" s="121"/>
      <c r="G69" s="113"/>
      <c r="H69" s="199" t="str">
        <f t="shared" si="0"/>
        <v/>
      </c>
      <c r="I69" s="200" t="str">
        <f>IF(H69="","",IF(AND(AI69&lt;=66),VLOOKUP(H69,'WordRead Look Up'!$A$13:$B$20,2,TRUE),IF(AND(AI69&gt;=67,AI69&lt;=72),VLOOKUP(H69,'WordRead Look Up'!$E$13:$F$20,2,TRUE),IF(AND(AI69&gt;=73,AI69&lt;=78),VLOOKUP(H69,'WordRead Look Up'!$I$13:$J$18,2,TRUE),IF(AND(AI69&gt;=79),VLOOKUP(H69,'WordRead Look Up'!$M$13:$N$18,2,TRUE),"")))))</f>
        <v/>
      </c>
      <c r="J69" s="122"/>
      <c r="K69" s="111"/>
      <c r="L69" s="111"/>
      <c r="M69" s="111"/>
      <c r="N69" s="111"/>
      <c r="O69" s="111"/>
      <c r="P69" s="111"/>
      <c r="Q69" s="111"/>
      <c r="R69" s="111"/>
      <c r="S69" s="111"/>
      <c r="T69" s="111"/>
      <c r="U69" s="111"/>
      <c r="V69" s="111"/>
      <c r="W69" s="111"/>
      <c r="X69" s="123"/>
      <c r="AI69" s="222" t="str">
        <f t="shared" si="1"/>
        <v/>
      </c>
    </row>
    <row r="70" spans="1:35" s="108" customFormat="1" ht="15.75">
      <c r="A70" s="119"/>
      <c r="B70" s="120"/>
      <c r="C70" s="111"/>
      <c r="D70" s="111"/>
      <c r="E70" s="121"/>
      <c r="F70" s="121"/>
      <c r="G70" s="113"/>
      <c r="H70" s="199" t="str">
        <f t="shared" si="0"/>
        <v/>
      </c>
      <c r="I70" s="200" t="str">
        <f>IF(H70="","",IF(AND(AI70&lt;=66),VLOOKUP(H70,'WordRead Look Up'!$A$13:$B$20,2,TRUE),IF(AND(AI70&gt;=67,AI70&lt;=72),VLOOKUP(H70,'WordRead Look Up'!$E$13:$F$20,2,TRUE),IF(AND(AI70&gt;=73,AI70&lt;=78),VLOOKUP(H70,'WordRead Look Up'!$I$13:$J$18,2,TRUE),IF(AND(AI70&gt;=79),VLOOKUP(H70,'WordRead Look Up'!$M$13:$N$18,2,TRUE),"")))))</f>
        <v/>
      </c>
      <c r="J70" s="122"/>
      <c r="K70" s="111"/>
      <c r="L70" s="111"/>
      <c r="M70" s="111"/>
      <c r="N70" s="111"/>
      <c r="O70" s="111"/>
      <c r="P70" s="111"/>
      <c r="Q70" s="111"/>
      <c r="R70" s="111"/>
      <c r="S70" s="111"/>
      <c r="T70" s="111"/>
      <c r="U70" s="111"/>
      <c r="V70" s="111"/>
      <c r="W70" s="111"/>
      <c r="X70" s="123"/>
      <c r="AI70" s="222" t="str">
        <f t="shared" si="1"/>
        <v/>
      </c>
    </row>
    <row r="71" spans="1:35" s="108" customFormat="1" ht="15.75">
      <c r="A71" s="119"/>
      <c r="B71" s="120"/>
      <c r="C71" s="111"/>
      <c r="D71" s="111"/>
      <c r="E71" s="121"/>
      <c r="F71" s="121"/>
      <c r="G71" s="113"/>
      <c r="H71" s="199" t="str">
        <f t="shared" si="0"/>
        <v/>
      </c>
      <c r="I71" s="200" t="str">
        <f>IF(H71="","",IF(AND(AI71&lt;=66),VLOOKUP(H71,'WordRead Look Up'!$A$13:$B$20,2,TRUE),IF(AND(AI71&gt;=67,AI71&lt;=72),VLOOKUP(H71,'WordRead Look Up'!$E$13:$F$20,2,TRUE),IF(AND(AI71&gt;=73,AI71&lt;=78),VLOOKUP(H71,'WordRead Look Up'!$I$13:$J$18,2,TRUE),IF(AND(AI71&gt;=79),VLOOKUP(H71,'WordRead Look Up'!$M$13:$N$18,2,TRUE),"")))))</f>
        <v/>
      </c>
      <c r="J71" s="122"/>
      <c r="K71" s="111"/>
      <c r="L71" s="111"/>
      <c r="M71" s="111"/>
      <c r="N71" s="111"/>
      <c r="O71" s="111"/>
      <c r="P71" s="111"/>
      <c r="Q71" s="111"/>
      <c r="R71" s="111"/>
      <c r="S71" s="111"/>
      <c r="T71" s="111"/>
      <c r="U71" s="111"/>
      <c r="V71" s="111"/>
      <c r="W71" s="111"/>
      <c r="X71" s="123"/>
      <c r="AI71" s="222" t="str">
        <f t="shared" si="1"/>
        <v/>
      </c>
    </row>
    <row r="72" spans="1:35" s="108" customFormat="1" ht="15.75">
      <c r="A72" s="119"/>
      <c r="B72" s="120"/>
      <c r="C72" s="111"/>
      <c r="D72" s="111"/>
      <c r="E72" s="121"/>
      <c r="F72" s="121"/>
      <c r="G72" s="113"/>
      <c r="H72" s="199" t="str">
        <f t="shared" ref="H72:H135" si="2">IF(E72="","",COUNTIF(J72:X72,"y"))</f>
        <v/>
      </c>
      <c r="I72" s="200" t="str">
        <f>IF(H72="","",IF(AND(AI72&lt;=66),VLOOKUP(H72,'WordRead Look Up'!$A$13:$B$20,2,TRUE),IF(AND(AI72&gt;=67,AI72&lt;=72),VLOOKUP(H72,'WordRead Look Up'!$E$13:$F$20,2,TRUE),IF(AND(AI72&gt;=73,AI72&lt;=78),VLOOKUP(H72,'WordRead Look Up'!$I$13:$J$18,2,TRUE),IF(AND(AI72&gt;=79),VLOOKUP(H72,'WordRead Look Up'!$M$13:$N$18,2,TRUE),"")))))</f>
        <v/>
      </c>
      <c r="J72" s="122"/>
      <c r="K72" s="111"/>
      <c r="L72" s="111"/>
      <c r="M72" s="111"/>
      <c r="N72" s="111"/>
      <c r="O72" s="111"/>
      <c r="P72" s="111"/>
      <c r="Q72" s="111"/>
      <c r="R72" s="111"/>
      <c r="S72" s="111"/>
      <c r="T72" s="111"/>
      <c r="U72" s="111"/>
      <c r="V72" s="111"/>
      <c r="W72" s="111"/>
      <c r="X72" s="123"/>
      <c r="AI72" s="222" t="str">
        <f t="shared" ref="AI72:AI135" si="3">IF(E72="","",DATEDIF(B72,A72,"m"))</f>
        <v/>
      </c>
    </row>
    <row r="73" spans="1:35" s="108" customFormat="1" ht="15.75">
      <c r="A73" s="119"/>
      <c r="B73" s="120"/>
      <c r="C73" s="111"/>
      <c r="D73" s="111"/>
      <c r="E73" s="121"/>
      <c r="F73" s="121"/>
      <c r="G73" s="113"/>
      <c r="H73" s="199" t="str">
        <f t="shared" si="2"/>
        <v/>
      </c>
      <c r="I73" s="200" t="str">
        <f>IF(H73="","",IF(AND(AI73&lt;=66),VLOOKUP(H73,'WordRead Look Up'!$A$13:$B$20,2,TRUE),IF(AND(AI73&gt;=67,AI73&lt;=72),VLOOKUP(H73,'WordRead Look Up'!$E$13:$F$20,2,TRUE),IF(AND(AI73&gt;=73,AI73&lt;=78),VLOOKUP(H73,'WordRead Look Up'!$I$13:$J$18,2,TRUE),IF(AND(AI73&gt;=79),VLOOKUP(H73,'WordRead Look Up'!$M$13:$N$18,2,TRUE),"")))))</f>
        <v/>
      </c>
      <c r="J73" s="122"/>
      <c r="K73" s="111"/>
      <c r="L73" s="111"/>
      <c r="M73" s="111"/>
      <c r="N73" s="111"/>
      <c r="O73" s="111"/>
      <c r="P73" s="111"/>
      <c r="Q73" s="111"/>
      <c r="R73" s="111"/>
      <c r="S73" s="111"/>
      <c r="T73" s="111"/>
      <c r="U73" s="111"/>
      <c r="V73" s="111"/>
      <c r="W73" s="111"/>
      <c r="X73" s="123"/>
      <c r="AI73" s="222" t="str">
        <f t="shared" si="3"/>
        <v/>
      </c>
    </row>
    <row r="74" spans="1:35" s="108" customFormat="1" ht="15.75">
      <c r="A74" s="119"/>
      <c r="B74" s="120"/>
      <c r="C74" s="111"/>
      <c r="D74" s="111"/>
      <c r="E74" s="121"/>
      <c r="F74" s="121"/>
      <c r="G74" s="113"/>
      <c r="H74" s="199" t="str">
        <f t="shared" si="2"/>
        <v/>
      </c>
      <c r="I74" s="200" t="str">
        <f>IF(H74="","",IF(AND(AI74&lt;=66),VLOOKUP(H74,'WordRead Look Up'!$A$13:$B$20,2,TRUE),IF(AND(AI74&gt;=67,AI74&lt;=72),VLOOKUP(H74,'WordRead Look Up'!$E$13:$F$20,2,TRUE),IF(AND(AI74&gt;=73,AI74&lt;=78),VLOOKUP(H74,'WordRead Look Up'!$I$13:$J$18,2,TRUE),IF(AND(AI74&gt;=79),VLOOKUP(H74,'WordRead Look Up'!$M$13:$N$18,2,TRUE),"")))))</f>
        <v/>
      </c>
      <c r="J74" s="122"/>
      <c r="K74" s="111"/>
      <c r="L74" s="111"/>
      <c r="M74" s="111"/>
      <c r="N74" s="111"/>
      <c r="O74" s="111"/>
      <c r="P74" s="111"/>
      <c r="Q74" s="111"/>
      <c r="R74" s="111"/>
      <c r="S74" s="111"/>
      <c r="T74" s="111"/>
      <c r="U74" s="111"/>
      <c r="V74" s="111"/>
      <c r="W74" s="111"/>
      <c r="X74" s="123"/>
      <c r="AI74" s="222" t="str">
        <f t="shared" si="3"/>
        <v/>
      </c>
    </row>
    <row r="75" spans="1:35" s="108" customFormat="1" ht="15.75">
      <c r="A75" s="119"/>
      <c r="B75" s="120"/>
      <c r="C75" s="111"/>
      <c r="D75" s="111"/>
      <c r="E75" s="121"/>
      <c r="F75" s="121"/>
      <c r="G75" s="113"/>
      <c r="H75" s="199" t="str">
        <f t="shared" si="2"/>
        <v/>
      </c>
      <c r="I75" s="200" t="str">
        <f>IF(H75="","",IF(AND(AI75&lt;=66),VLOOKUP(H75,'WordRead Look Up'!$A$13:$B$20,2,TRUE),IF(AND(AI75&gt;=67,AI75&lt;=72),VLOOKUP(H75,'WordRead Look Up'!$E$13:$F$20,2,TRUE),IF(AND(AI75&gt;=73,AI75&lt;=78),VLOOKUP(H75,'WordRead Look Up'!$I$13:$J$18,2,TRUE),IF(AND(AI75&gt;=79),VLOOKUP(H75,'WordRead Look Up'!$M$13:$N$18,2,TRUE),"")))))</f>
        <v/>
      </c>
      <c r="J75" s="122"/>
      <c r="K75" s="111"/>
      <c r="L75" s="111"/>
      <c r="M75" s="111"/>
      <c r="N75" s="111"/>
      <c r="O75" s="111"/>
      <c r="P75" s="111"/>
      <c r="Q75" s="111"/>
      <c r="R75" s="111"/>
      <c r="S75" s="111"/>
      <c r="T75" s="111"/>
      <c r="U75" s="111"/>
      <c r="V75" s="111"/>
      <c r="W75" s="111"/>
      <c r="X75" s="123"/>
      <c r="AI75" s="222" t="str">
        <f t="shared" si="3"/>
        <v/>
      </c>
    </row>
    <row r="76" spans="1:35" s="108" customFormat="1" ht="15.75">
      <c r="A76" s="119"/>
      <c r="B76" s="120"/>
      <c r="C76" s="111"/>
      <c r="D76" s="111"/>
      <c r="E76" s="121"/>
      <c r="F76" s="121"/>
      <c r="G76" s="113"/>
      <c r="H76" s="199" t="str">
        <f t="shared" si="2"/>
        <v/>
      </c>
      <c r="I76" s="200" t="str">
        <f>IF(H76="","",IF(AND(AI76&lt;=66),VLOOKUP(H76,'WordRead Look Up'!$A$13:$B$20,2,TRUE),IF(AND(AI76&gt;=67,AI76&lt;=72),VLOOKUP(H76,'WordRead Look Up'!$E$13:$F$20,2,TRUE),IF(AND(AI76&gt;=73,AI76&lt;=78),VLOOKUP(H76,'WordRead Look Up'!$I$13:$J$18,2,TRUE),IF(AND(AI76&gt;=79),VLOOKUP(H76,'WordRead Look Up'!$M$13:$N$18,2,TRUE),"")))))</f>
        <v/>
      </c>
      <c r="J76" s="122"/>
      <c r="K76" s="111"/>
      <c r="L76" s="111"/>
      <c r="M76" s="111"/>
      <c r="N76" s="111"/>
      <c r="O76" s="111"/>
      <c r="P76" s="111"/>
      <c r="Q76" s="111"/>
      <c r="R76" s="111"/>
      <c r="S76" s="111"/>
      <c r="T76" s="111"/>
      <c r="U76" s="111"/>
      <c r="V76" s="111"/>
      <c r="W76" s="111"/>
      <c r="X76" s="123"/>
      <c r="AI76" s="222" t="str">
        <f t="shared" si="3"/>
        <v/>
      </c>
    </row>
    <row r="77" spans="1:35" s="108" customFormat="1" ht="15.75">
      <c r="A77" s="119"/>
      <c r="B77" s="120"/>
      <c r="C77" s="111"/>
      <c r="D77" s="111"/>
      <c r="E77" s="121"/>
      <c r="F77" s="121"/>
      <c r="G77" s="113"/>
      <c r="H77" s="199" t="str">
        <f t="shared" si="2"/>
        <v/>
      </c>
      <c r="I77" s="200" t="str">
        <f>IF(H77="","",IF(AND(AI77&lt;=66),VLOOKUP(H77,'WordRead Look Up'!$A$13:$B$20,2,TRUE),IF(AND(AI77&gt;=67,AI77&lt;=72),VLOOKUP(H77,'WordRead Look Up'!$E$13:$F$20,2,TRUE),IF(AND(AI77&gt;=73,AI77&lt;=78),VLOOKUP(H77,'WordRead Look Up'!$I$13:$J$18,2,TRUE),IF(AND(AI77&gt;=79),VLOOKUP(H77,'WordRead Look Up'!$M$13:$N$18,2,TRUE),"")))))</f>
        <v/>
      </c>
      <c r="J77" s="122"/>
      <c r="K77" s="111"/>
      <c r="L77" s="111"/>
      <c r="M77" s="111"/>
      <c r="N77" s="111"/>
      <c r="O77" s="111"/>
      <c r="P77" s="111"/>
      <c r="Q77" s="111"/>
      <c r="R77" s="111"/>
      <c r="S77" s="111"/>
      <c r="T77" s="111"/>
      <c r="U77" s="111"/>
      <c r="V77" s="111"/>
      <c r="W77" s="111"/>
      <c r="X77" s="123"/>
      <c r="AI77" s="222" t="str">
        <f t="shared" si="3"/>
        <v/>
      </c>
    </row>
    <row r="78" spans="1:35" s="108" customFormat="1" ht="15.75">
      <c r="A78" s="119"/>
      <c r="B78" s="120"/>
      <c r="C78" s="111"/>
      <c r="D78" s="111"/>
      <c r="E78" s="121"/>
      <c r="F78" s="121"/>
      <c r="G78" s="113"/>
      <c r="H78" s="199" t="str">
        <f t="shared" si="2"/>
        <v/>
      </c>
      <c r="I78" s="200" t="str">
        <f>IF(H78="","",IF(AND(AI78&lt;=66),VLOOKUP(H78,'WordRead Look Up'!$A$13:$B$20,2,TRUE),IF(AND(AI78&gt;=67,AI78&lt;=72),VLOOKUP(H78,'WordRead Look Up'!$E$13:$F$20,2,TRUE),IF(AND(AI78&gt;=73,AI78&lt;=78),VLOOKUP(H78,'WordRead Look Up'!$I$13:$J$18,2,TRUE),IF(AND(AI78&gt;=79),VLOOKUP(H78,'WordRead Look Up'!$M$13:$N$18,2,TRUE),"")))))</f>
        <v/>
      </c>
      <c r="J78" s="122"/>
      <c r="K78" s="111"/>
      <c r="L78" s="111"/>
      <c r="M78" s="111"/>
      <c r="N78" s="111"/>
      <c r="O78" s="111"/>
      <c r="P78" s="111"/>
      <c r="Q78" s="111"/>
      <c r="R78" s="111"/>
      <c r="S78" s="111"/>
      <c r="T78" s="111"/>
      <c r="U78" s="111"/>
      <c r="V78" s="111"/>
      <c r="W78" s="111"/>
      <c r="X78" s="123"/>
      <c r="AI78" s="222" t="str">
        <f t="shared" si="3"/>
        <v/>
      </c>
    </row>
    <row r="79" spans="1:35" s="108" customFormat="1" ht="15.75">
      <c r="A79" s="119"/>
      <c r="B79" s="120"/>
      <c r="C79" s="111"/>
      <c r="D79" s="111"/>
      <c r="E79" s="121"/>
      <c r="F79" s="121"/>
      <c r="G79" s="113"/>
      <c r="H79" s="199" t="str">
        <f t="shared" si="2"/>
        <v/>
      </c>
      <c r="I79" s="200" t="str">
        <f>IF(H79="","",IF(AND(AI79&lt;=66),VLOOKUP(H79,'WordRead Look Up'!$A$13:$B$20,2,TRUE),IF(AND(AI79&gt;=67,AI79&lt;=72),VLOOKUP(H79,'WordRead Look Up'!$E$13:$F$20,2,TRUE),IF(AND(AI79&gt;=73,AI79&lt;=78),VLOOKUP(H79,'WordRead Look Up'!$I$13:$J$18,2,TRUE),IF(AND(AI79&gt;=79),VLOOKUP(H79,'WordRead Look Up'!$M$13:$N$18,2,TRUE),"")))))</f>
        <v/>
      </c>
      <c r="J79" s="122"/>
      <c r="K79" s="111"/>
      <c r="L79" s="111"/>
      <c r="M79" s="111"/>
      <c r="N79" s="111"/>
      <c r="O79" s="111"/>
      <c r="P79" s="111"/>
      <c r="Q79" s="111"/>
      <c r="R79" s="111"/>
      <c r="S79" s="111"/>
      <c r="T79" s="111"/>
      <c r="U79" s="111"/>
      <c r="V79" s="111"/>
      <c r="W79" s="111"/>
      <c r="X79" s="123"/>
      <c r="AI79" s="222" t="str">
        <f t="shared" si="3"/>
        <v/>
      </c>
    </row>
    <row r="80" spans="1:35" s="108" customFormat="1" ht="15.75">
      <c r="A80" s="119"/>
      <c r="B80" s="120"/>
      <c r="C80" s="111"/>
      <c r="D80" s="111"/>
      <c r="E80" s="121"/>
      <c r="F80" s="121"/>
      <c r="G80" s="113"/>
      <c r="H80" s="199" t="str">
        <f t="shared" si="2"/>
        <v/>
      </c>
      <c r="I80" s="200" t="str">
        <f>IF(H80="","",IF(AND(AI80&lt;=66),VLOOKUP(H80,'WordRead Look Up'!$A$13:$B$20,2,TRUE),IF(AND(AI80&gt;=67,AI80&lt;=72),VLOOKUP(H80,'WordRead Look Up'!$E$13:$F$20,2,TRUE),IF(AND(AI80&gt;=73,AI80&lt;=78),VLOOKUP(H80,'WordRead Look Up'!$I$13:$J$18,2,TRUE),IF(AND(AI80&gt;=79),VLOOKUP(H80,'WordRead Look Up'!$M$13:$N$18,2,TRUE),"")))))</f>
        <v/>
      </c>
      <c r="J80" s="122"/>
      <c r="K80" s="111"/>
      <c r="L80" s="111"/>
      <c r="M80" s="111"/>
      <c r="N80" s="111"/>
      <c r="O80" s="111"/>
      <c r="P80" s="111"/>
      <c r="Q80" s="111"/>
      <c r="R80" s="111"/>
      <c r="S80" s="111"/>
      <c r="T80" s="111"/>
      <c r="U80" s="111"/>
      <c r="V80" s="111"/>
      <c r="W80" s="111"/>
      <c r="X80" s="123"/>
      <c r="AI80" s="222" t="str">
        <f t="shared" si="3"/>
        <v/>
      </c>
    </row>
    <row r="81" spans="1:35" s="108" customFormat="1" ht="15.75">
      <c r="A81" s="119"/>
      <c r="B81" s="120"/>
      <c r="C81" s="111"/>
      <c r="D81" s="111"/>
      <c r="E81" s="121"/>
      <c r="F81" s="121"/>
      <c r="G81" s="113"/>
      <c r="H81" s="199" t="str">
        <f t="shared" si="2"/>
        <v/>
      </c>
      <c r="I81" s="200" t="str">
        <f>IF(H81="","",IF(AND(AI81&lt;=66),VLOOKUP(H81,'WordRead Look Up'!$A$13:$B$20,2,TRUE),IF(AND(AI81&gt;=67,AI81&lt;=72),VLOOKUP(H81,'WordRead Look Up'!$E$13:$F$20,2,TRUE),IF(AND(AI81&gt;=73,AI81&lt;=78),VLOOKUP(H81,'WordRead Look Up'!$I$13:$J$18,2,TRUE),IF(AND(AI81&gt;=79),VLOOKUP(H81,'WordRead Look Up'!$M$13:$N$18,2,TRUE),"")))))</f>
        <v/>
      </c>
      <c r="J81" s="122"/>
      <c r="K81" s="111"/>
      <c r="L81" s="111"/>
      <c r="M81" s="111"/>
      <c r="N81" s="111"/>
      <c r="O81" s="111"/>
      <c r="P81" s="111"/>
      <c r="Q81" s="111"/>
      <c r="R81" s="111"/>
      <c r="S81" s="111"/>
      <c r="T81" s="111"/>
      <c r="U81" s="111"/>
      <c r="V81" s="111"/>
      <c r="W81" s="111"/>
      <c r="X81" s="123"/>
      <c r="AI81" s="222" t="str">
        <f t="shared" si="3"/>
        <v/>
      </c>
    </row>
    <row r="82" spans="1:35" s="108" customFormat="1" ht="15.75">
      <c r="A82" s="119"/>
      <c r="B82" s="120"/>
      <c r="C82" s="111"/>
      <c r="D82" s="111"/>
      <c r="E82" s="121"/>
      <c r="F82" s="121"/>
      <c r="G82" s="113"/>
      <c r="H82" s="199" t="str">
        <f t="shared" si="2"/>
        <v/>
      </c>
      <c r="I82" s="200" t="str">
        <f>IF(H82="","",IF(AND(AI82&lt;=66),VLOOKUP(H82,'WordRead Look Up'!$A$13:$B$20,2,TRUE),IF(AND(AI82&gt;=67,AI82&lt;=72),VLOOKUP(H82,'WordRead Look Up'!$E$13:$F$20,2,TRUE),IF(AND(AI82&gt;=73,AI82&lt;=78),VLOOKUP(H82,'WordRead Look Up'!$I$13:$J$18,2,TRUE),IF(AND(AI82&gt;=79),VLOOKUP(H82,'WordRead Look Up'!$M$13:$N$18,2,TRUE),"")))))</f>
        <v/>
      </c>
      <c r="J82" s="122"/>
      <c r="K82" s="111"/>
      <c r="L82" s="111"/>
      <c r="M82" s="111"/>
      <c r="N82" s="111"/>
      <c r="O82" s="111"/>
      <c r="P82" s="111"/>
      <c r="Q82" s="111"/>
      <c r="R82" s="111"/>
      <c r="S82" s="111"/>
      <c r="T82" s="111"/>
      <c r="U82" s="111"/>
      <c r="V82" s="111"/>
      <c r="W82" s="111"/>
      <c r="X82" s="123"/>
      <c r="AI82" s="222" t="str">
        <f t="shared" si="3"/>
        <v/>
      </c>
    </row>
    <row r="83" spans="1:35" s="108" customFormat="1" ht="15.75">
      <c r="A83" s="119"/>
      <c r="B83" s="120"/>
      <c r="C83" s="111"/>
      <c r="D83" s="111"/>
      <c r="E83" s="121"/>
      <c r="F83" s="121"/>
      <c r="G83" s="113"/>
      <c r="H83" s="199" t="str">
        <f t="shared" si="2"/>
        <v/>
      </c>
      <c r="I83" s="200" t="str">
        <f>IF(H83="","",IF(AND(AI83&lt;=66),VLOOKUP(H83,'WordRead Look Up'!$A$13:$B$20,2,TRUE),IF(AND(AI83&gt;=67,AI83&lt;=72),VLOOKUP(H83,'WordRead Look Up'!$E$13:$F$20,2,TRUE),IF(AND(AI83&gt;=73,AI83&lt;=78),VLOOKUP(H83,'WordRead Look Up'!$I$13:$J$18,2,TRUE),IF(AND(AI83&gt;=79),VLOOKUP(H83,'WordRead Look Up'!$M$13:$N$18,2,TRUE),"")))))</f>
        <v/>
      </c>
      <c r="J83" s="122"/>
      <c r="K83" s="111"/>
      <c r="L83" s="111"/>
      <c r="M83" s="111"/>
      <c r="N83" s="111"/>
      <c r="O83" s="111"/>
      <c r="P83" s="111"/>
      <c r="Q83" s="111"/>
      <c r="R83" s="111"/>
      <c r="S83" s="111"/>
      <c r="T83" s="111"/>
      <c r="U83" s="111"/>
      <c r="V83" s="111"/>
      <c r="W83" s="111"/>
      <c r="X83" s="123"/>
      <c r="AI83" s="222" t="str">
        <f t="shared" si="3"/>
        <v/>
      </c>
    </row>
    <row r="84" spans="1:35" s="108" customFormat="1" ht="15.75">
      <c r="A84" s="119"/>
      <c r="B84" s="120"/>
      <c r="C84" s="111"/>
      <c r="D84" s="111"/>
      <c r="E84" s="121"/>
      <c r="F84" s="121"/>
      <c r="G84" s="113"/>
      <c r="H84" s="199" t="str">
        <f t="shared" si="2"/>
        <v/>
      </c>
      <c r="I84" s="200" t="str">
        <f>IF(H84="","",IF(AND(AI84&lt;=66),VLOOKUP(H84,'WordRead Look Up'!$A$13:$B$20,2,TRUE),IF(AND(AI84&gt;=67,AI84&lt;=72),VLOOKUP(H84,'WordRead Look Up'!$E$13:$F$20,2,TRUE),IF(AND(AI84&gt;=73,AI84&lt;=78),VLOOKUP(H84,'WordRead Look Up'!$I$13:$J$18,2,TRUE),IF(AND(AI84&gt;=79),VLOOKUP(H84,'WordRead Look Up'!$M$13:$N$18,2,TRUE),"")))))</f>
        <v/>
      </c>
      <c r="J84" s="122"/>
      <c r="K84" s="111"/>
      <c r="L84" s="111"/>
      <c r="M84" s="111"/>
      <c r="N84" s="111"/>
      <c r="O84" s="111"/>
      <c r="P84" s="111"/>
      <c r="Q84" s="111"/>
      <c r="R84" s="111"/>
      <c r="S84" s="111"/>
      <c r="T84" s="111"/>
      <c r="U84" s="111"/>
      <c r="V84" s="111"/>
      <c r="W84" s="111"/>
      <c r="X84" s="123"/>
      <c r="AI84" s="222" t="str">
        <f t="shared" si="3"/>
        <v/>
      </c>
    </row>
    <row r="85" spans="1:35" s="108" customFormat="1" ht="15.75">
      <c r="A85" s="119"/>
      <c r="B85" s="120"/>
      <c r="C85" s="111"/>
      <c r="D85" s="111"/>
      <c r="E85" s="121"/>
      <c r="F85" s="121"/>
      <c r="G85" s="113"/>
      <c r="H85" s="199" t="str">
        <f t="shared" si="2"/>
        <v/>
      </c>
      <c r="I85" s="200" t="str">
        <f>IF(H85="","",IF(AND(AI85&lt;=66),VLOOKUP(H85,'WordRead Look Up'!$A$13:$B$20,2,TRUE),IF(AND(AI85&gt;=67,AI85&lt;=72),VLOOKUP(H85,'WordRead Look Up'!$E$13:$F$20,2,TRUE),IF(AND(AI85&gt;=73,AI85&lt;=78),VLOOKUP(H85,'WordRead Look Up'!$I$13:$J$18,2,TRUE),IF(AND(AI85&gt;=79),VLOOKUP(H85,'WordRead Look Up'!$M$13:$N$18,2,TRUE),"")))))</f>
        <v/>
      </c>
      <c r="J85" s="122"/>
      <c r="K85" s="111"/>
      <c r="L85" s="111"/>
      <c r="M85" s="111"/>
      <c r="N85" s="111"/>
      <c r="O85" s="111"/>
      <c r="P85" s="111"/>
      <c r="Q85" s="111"/>
      <c r="R85" s="111"/>
      <c r="S85" s="111"/>
      <c r="T85" s="111"/>
      <c r="U85" s="111"/>
      <c r="V85" s="111"/>
      <c r="W85" s="111"/>
      <c r="X85" s="123"/>
      <c r="AI85" s="222" t="str">
        <f t="shared" si="3"/>
        <v/>
      </c>
    </row>
    <row r="86" spans="1:35" s="108" customFormat="1" ht="15.75">
      <c r="A86" s="119"/>
      <c r="B86" s="120"/>
      <c r="C86" s="111"/>
      <c r="D86" s="111"/>
      <c r="E86" s="121"/>
      <c r="F86" s="121"/>
      <c r="G86" s="113"/>
      <c r="H86" s="199" t="str">
        <f t="shared" si="2"/>
        <v/>
      </c>
      <c r="I86" s="200" t="str">
        <f>IF(H86="","",IF(AND(AI86&lt;=66),VLOOKUP(H86,'WordRead Look Up'!$A$13:$B$20,2,TRUE),IF(AND(AI86&gt;=67,AI86&lt;=72),VLOOKUP(H86,'WordRead Look Up'!$E$13:$F$20,2,TRUE),IF(AND(AI86&gt;=73,AI86&lt;=78),VLOOKUP(H86,'WordRead Look Up'!$I$13:$J$18,2,TRUE),IF(AND(AI86&gt;=79),VLOOKUP(H86,'WordRead Look Up'!$M$13:$N$18,2,TRUE),"")))))</f>
        <v/>
      </c>
      <c r="J86" s="122"/>
      <c r="K86" s="111"/>
      <c r="L86" s="111"/>
      <c r="M86" s="111"/>
      <c r="N86" s="111"/>
      <c r="O86" s="111"/>
      <c r="P86" s="111"/>
      <c r="Q86" s="111"/>
      <c r="R86" s="111"/>
      <c r="S86" s="111"/>
      <c r="T86" s="111"/>
      <c r="U86" s="111"/>
      <c r="V86" s="111"/>
      <c r="W86" s="111"/>
      <c r="X86" s="123"/>
      <c r="AI86" s="222" t="str">
        <f t="shared" si="3"/>
        <v/>
      </c>
    </row>
    <row r="87" spans="1:35" s="108" customFormat="1" ht="15.75">
      <c r="A87" s="119"/>
      <c r="B87" s="120"/>
      <c r="C87" s="111"/>
      <c r="D87" s="111"/>
      <c r="E87" s="121"/>
      <c r="F87" s="121"/>
      <c r="G87" s="113"/>
      <c r="H87" s="199" t="str">
        <f t="shared" si="2"/>
        <v/>
      </c>
      <c r="I87" s="200" t="str">
        <f>IF(H87="","",IF(AND(AI87&lt;=66),VLOOKUP(H87,'WordRead Look Up'!$A$13:$B$20,2,TRUE),IF(AND(AI87&gt;=67,AI87&lt;=72),VLOOKUP(H87,'WordRead Look Up'!$E$13:$F$20,2,TRUE),IF(AND(AI87&gt;=73,AI87&lt;=78),VLOOKUP(H87,'WordRead Look Up'!$I$13:$J$18,2,TRUE),IF(AND(AI87&gt;=79),VLOOKUP(H87,'WordRead Look Up'!$M$13:$N$18,2,TRUE),"")))))</f>
        <v/>
      </c>
      <c r="J87" s="122"/>
      <c r="K87" s="111"/>
      <c r="L87" s="111"/>
      <c r="M87" s="111"/>
      <c r="N87" s="111"/>
      <c r="O87" s="111"/>
      <c r="P87" s="111"/>
      <c r="Q87" s="111"/>
      <c r="R87" s="111"/>
      <c r="S87" s="111"/>
      <c r="T87" s="111"/>
      <c r="U87" s="111"/>
      <c r="V87" s="111"/>
      <c r="W87" s="111"/>
      <c r="X87" s="123"/>
      <c r="AI87" s="222" t="str">
        <f t="shared" si="3"/>
        <v/>
      </c>
    </row>
    <row r="88" spans="1:35" s="108" customFormat="1" ht="15.75">
      <c r="A88" s="119"/>
      <c r="B88" s="120"/>
      <c r="C88" s="111"/>
      <c r="D88" s="111"/>
      <c r="E88" s="121"/>
      <c r="F88" s="121"/>
      <c r="G88" s="113"/>
      <c r="H88" s="199" t="str">
        <f t="shared" si="2"/>
        <v/>
      </c>
      <c r="I88" s="200" t="str">
        <f>IF(H88="","",IF(AND(AI88&lt;=66),VLOOKUP(H88,'WordRead Look Up'!$A$13:$B$20,2,TRUE),IF(AND(AI88&gt;=67,AI88&lt;=72),VLOOKUP(H88,'WordRead Look Up'!$E$13:$F$20,2,TRUE),IF(AND(AI88&gt;=73,AI88&lt;=78),VLOOKUP(H88,'WordRead Look Up'!$I$13:$J$18,2,TRUE),IF(AND(AI88&gt;=79),VLOOKUP(H88,'WordRead Look Up'!$M$13:$N$18,2,TRUE),"")))))</f>
        <v/>
      </c>
      <c r="J88" s="122"/>
      <c r="K88" s="111"/>
      <c r="L88" s="111"/>
      <c r="M88" s="111"/>
      <c r="N88" s="111"/>
      <c r="O88" s="111"/>
      <c r="P88" s="111"/>
      <c r="Q88" s="111"/>
      <c r="R88" s="111"/>
      <c r="S88" s="111"/>
      <c r="T88" s="111"/>
      <c r="U88" s="111"/>
      <c r="V88" s="111"/>
      <c r="W88" s="111"/>
      <c r="X88" s="123"/>
      <c r="AI88" s="222" t="str">
        <f t="shared" si="3"/>
        <v/>
      </c>
    </row>
    <row r="89" spans="1:35" s="108" customFormat="1" ht="15.75">
      <c r="A89" s="119"/>
      <c r="B89" s="120"/>
      <c r="C89" s="111"/>
      <c r="D89" s="111"/>
      <c r="E89" s="121"/>
      <c r="F89" s="121"/>
      <c r="G89" s="113"/>
      <c r="H89" s="199" t="str">
        <f t="shared" si="2"/>
        <v/>
      </c>
      <c r="I89" s="200" t="str">
        <f>IF(H89="","",IF(AND(AI89&lt;=66),VLOOKUP(H89,'WordRead Look Up'!$A$13:$B$20,2,TRUE),IF(AND(AI89&gt;=67,AI89&lt;=72),VLOOKUP(H89,'WordRead Look Up'!$E$13:$F$20,2,TRUE),IF(AND(AI89&gt;=73,AI89&lt;=78),VLOOKUP(H89,'WordRead Look Up'!$I$13:$J$18,2,TRUE),IF(AND(AI89&gt;=79),VLOOKUP(H89,'WordRead Look Up'!$M$13:$N$18,2,TRUE),"")))))</f>
        <v/>
      </c>
      <c r="J89" s="122"/>
      <c r="K89" s="111"/>
      <c r="L89" s="111"/>
      <c r="M89" s="111"/>
      <c r="N89" s="111"/>
      <c r="O89" s="111"/>
      <c r="P89" s="111"/>
      <c r="Q89" s="111"/>
      <c r="R89" s="111"/>
      <c r="S89" s="111"/>
      <c r="T89" s="111"/>
      <c r="U89" s="111"/>
      <c r="V89" s="111"/>
      <c r="W89" s="111"/>
      <c r="X89" s="123"/>
      <c r="AI89" s="222" t="str">
        <f t="shared" si="3"/>
        <v/>
      </c>
    </row>
    <row r="90" spans="1:35" s="108" customFormat="1" ht="15.75">
      <c r="A90" s="119"/>
      <c r="B90" s="120"/>
      <c r="C90" s="111"/>
      <c r="D90" s="111"/>
      <c r="E90" s="121"/>
      <c r="F90" s="121"/>
      <c r="G90" s="113"/>
      <c r="H90" s="199" t="str">
        <f t="shared" si="2"/>
        <v/>
      </c>
      <c r="I90" s="200" t="str">
        <f>IF(H90="","",IF(AND(AI90&lt;=66),VLOOKUP(H90,'WordRead Look Up'!$A$13:$B$20,2,TRUE),IF(AND(AI90&gt;=67,AI90&lt;=72),VLOOKUP(H90,'WordRead Look Up'!$E$13:$F$20,2,TRUE),IF(AND(AI90&gt;=73,AI90&lt;=78),VLOOKUP(H90,'WordRead Look Up'!$I$13:$J$18,2,TRUE),IF(AND(AI90&gt;=79),VLOOKUP(H90,'WordRead Look Up'!$M$13:$N$18,2,TRUE),"")))))</f>
        <v/>
      </c>
      <c r="J90" s="122"/>
      <c r="K90" s="111"/>
      <c r="L90" s="111"/>
      <c r="M90" s="111"/>
      <c r="N90" s="111"/>
      <c r="O90" s="111"/>
      <c r="P90" s="111"/>
      <c r="Q90" s="111"/>
      <c r="R90" s="111"/>
      <c r="S90" s="111"/>
      <c r="T90" s="111"/>
      <c r="U90" s="111"/>
      <c r="V90" s="111"/>
      <c r="W90" s="111"/>
      <c r="X90" s="123"/>
      <c r="AI90" s="222" t="str">
        <f t="shared" si="3"/>
        <v/>
      </c>
    </row>
    <row r="91" spans="1:35" s="108" customFormat="1" ht="15.75">
      <c r="A91" s="119"/>
      <c r="B91" s="120"/>
      <c r="C91" s="111"/>
      <c r="D91" s="111"/>
      <c r="E91" s="121"/>
      <c r="F91" s="121"/>
      <c r="G91" s="113"/>
      <c r="H91" s="199" t="str">
        <f t="shared" si="2"/>
        <v/>
      </c>
      <c r="I91" s="200" t="str">
        <f>IF(H91="","",IF(AND(AI91&lt;=66),VLOOKUP(H91,'WordRead Look Up'!$A$13:$B$20,2,TRUE),IF(AND(AI91&gt;=67,AI91&lt;=72),VLOOKUP(H91,'WordRead Look Up'!$E$13:$F$20,2,TRUE),IF(AND(AI91&gt;=73,AI91&lt;=78),VLOOKUP(H91,'WordRead Look Up'!$I$13:$J$18,2,TRUE),IF(AND(AI91&gt;=79),VLOOKUP(H91,'WordRead Look Up'!$M$13:$N$18,2,TRUE),"")))))</f>
        <v/>
      </c>
      <c r="J91" s="122"/>
      <c r="K91" s="111"/>
      <c r="L91" s="111"/>
      <c r="M91" s="111"/>
      <c r="N91" s="111"/>
      <c r="O91" s="111"/>
      <c r="P91" s="111"/>
      <c r="Q91" s="111"/>
      <c r="R91" s="111"/>
      <c r="S91" s="111"/>
      <c r="T91" s="111"/>
      <c r="U91" s="111"/>
      <c r="V91" s="111"/>
      <c r="W91" s="111"/>
      <c r="X91" s="123"/>
      <c r="AI91" s="222" t="str">
        <f t="shared" si="3"/>
        <v/>
      </c>
    </row>
    <row r="92" spans="1:35" s="108" customFormat="1" ht="15.75">
      <c r="A92" s="119"/>
      <c r="B92" s="120"/>
      <c r="C92" s="111"/>
      <c r="D92" s="111"/>
      <c r="E92" s="121"/>
      <c r="F92" s="121"/>
      <c r="G92" s="113"/>
      <c r="H92" s="199" t="str">
        <f t="shared" si="2"/>
        <v/>
      </c>
      <c r="I92" s="200" t="str">
        <f>IF(H92="","",IF(AND(AI92&lt;=66),VLOOKUP(H92,'WordRead Look Up'!$A$13:$B$20,2,TRUE),IF(AND(AI92&gt;=67,AI92&lt;=72),VLOOKUP(H92,'WordRead Look Up'!$E$13:$F$20,2,TRUE),IF(AND(AI92&gt;=73,AI92&lt;=78),VLOOKUP(H92,'WordRead Look Up'!$I$13:$J$18,2,TRUE),IF(AND(AI92&gt;=79),VLOOKUP(H92,'WordRead Look Up'!$M$13:$N$18,2,TRUE),"")))))</f>
        <v/>
      </c>
      <c r="J92" s="122"/>
      <c r="K92" s="111"/>
      <c r="L92" s="111"/>
      <c r="M92" s="111"/>
      <c r="N92" s="111"/>
      <c r="O92" s="111"/>
      <c r="P92" s="111"/>
      <c r="Q92" s="111"/>
      <c r="R92" s="111"/>
      <c r="S92" s="111"/>
      <c r="T92" s="111"/>
      <c r="U92" s="111"/>
      <c r="V92" s="111"/>
      <c r="W92" s="111"/>
      <c r="X92" s="123"/>
      <c r="AI92" s="222" t="str">
        <f t="shared" si="3"/>
        <v/>
      </c>
    </row>
    <row r="93" spans="1:35" s="108" customFormat="1" ht="15.75">
      <c r="A93" s="119"/>
      <c r="B93" s="120"/>
      <c r="C93" s="111"/>
      <c r="D93" s="111"/>
      <c r="E93" s="121"/>
      <c r="F93" s="121"/>
      <c r="G93" s="113"/>
      <c r="H93" s="199" t="str">
        <f t="shared" si="2"/>
        <v/>
      </c>
      <c r="I93" s="200" t="str">
        <f>IF(H93="","",IF(AND(AI93&lt;=66),VLOOKUP(H93,'WordRead Look Up'!$A$13:$B$20,2,TRUE),IF(AND(AI93&gt;=67,AI93&lt;=72),VLOOKUP(H93,'WordRead Look Up'!$E$13:$F$20,2,TRUE),IF(AND(AI93&gt;=73,AI93&lt;=78),VLOOKUP(H93,'WordRead Look Up'!$I$13:$J$18,2,TRUE),IF(AND(AI93&gt;=79),VLOOKUP(H93,'WordRead Look Up'!$M$13:$N$18,2,TRUE),"")))))</f>
        <v/>
      </c>
      <c r="J93" s="122"/>
      <c r="K93" s="111"/>
      <c r="L93" s="111"/>
      <c r="M93" s="111"/>
      <c r="N93" s="111"/>
      <c r="O93" s="111"/>
      <c r="P93" s="111"/>
      <c r="Q93" s="111"/>
      <c r="R93" s="111"/>
      <c r="S93" s="111"/>
      <c r="T93" s="111"/>
      <c r="U93" s="111"/>
      <c r="V93" s="111"/>
      <c r="W93" s="111"/>
      <c r="X93" s="123"/>
      <c r="AI93" s="222" t="str">
        <f t="shared" si="3"/>
        <v/>
      </c>
    </row>
    <row r="94" spans="1:35" s="108" customFormat="1" ht="15.75">
      <c r="A94" s="119"/>
      <c r="B94" s="120"/>
      <c r="C94" s="111"/>
      <c r="D94" s="111"/>
      <c r="E94" s="121"/>
      <c r="F94" s="121"/>
      <c r="G94" s="113"/>
      <c r="H94" s="199" t="str">
        <f t="shared" si="2"/>
        <v/>
      </c>
      <c r="I94" s="200" t="str">
        <f>IF(H94="","",IF(AND(AI94&lt;=66),VLOOKUP(H94,'WordRead Look Up'!$A$13:$B$20,2,TRUE),IF(AND(AI94&gt;=67,AI94&lt;=72),VLOOKUP(H94,'WordRead Look Up'!$E$13:$F$20,2,TRUE),IF(AND(AI94&gt;=73,AI94&lt;=78),VLOOKUP(H94,'WordRead Look Up'!$I$13:$J$18,2,TRUE),IF(AND(AI94&gt;=79),VLOOKUP(H94,'WordRead Look Up'!$M$13:$N$18,2,TRUE),"")))))</f>
        <v/>
      </c>
      <c r="J94" s="122"/>
      <c r="K94" s="111"/>
      <c r="L94" s="111"/>
      <c r="M94" s="111"/>
      <c r="N94" s="111"/>
      <c r="O94" s="111"/>
      <c r="P94" s="111"/>
      <c r="Q94" s="111"/>
      <c r="R94" s="111"/>
      <c r="S94" s="111"/>
      <c r="T94" s="111"/>
      <c r="U94" s="111"/>
      <c r="V94" s="111"/>
      <c r="W94" s="111"/>
      <c r="X94" s="123"/>
      <c r="AI94" s="222" t="str">
        <f t="shared" si="3"/>
        <v/>
      </c>
    </row>
    <row r="95" spans="1:35" s="108" customFormat="1" ht="15.75">
      <c r="A95" s="119"/>
      <c r="B95" s="120"/>
      <c r="C95" s="111"/>
      <c r="D95" s="111"/>
      <c r="E95" s="121"/>
      <c r="F95" s="121"/>
      <c r="G95" s="113"/>
      <c r="H95" s="199" t="str">
        <f t="shared" si="2"/>
        <v/>
      </c>
      <c r="I95" s="200" t="str">
        <f>IF(H95="","",IF(AND(AI95&lt;=66),VLOOKUP(H95,'WordRead Look Up'!$A$13:$B$20,2,TRUE),IF(AND(AI95&gt;=67,AI95&lt;=72),VLOOKUP(H95,'WordRead Look Up'!$E$13:$F$20,2,TRUE),IF(AND(AI95&gt;=73,AI95&lt;=78),VLOOKUP(H95,'WordRead Look Up'!$I$13:$J$18,2,TRUE),IF(AND(AI95&gt;=79),VLOOKUP(H95,'WordRead Look Up'!$M$13:$N$18,2,TRUE),"")))))</f>
        <v/>
      </c>
      <c r="J95" s="122"/>
      <c r="K95" s="111"/>
      <c r="L95" s="111"/>
      <c r="M95" s="111"/>
      <c r="N95" s="111"/>
      <c r="O95" s="111"/>
      <c r="P95" s="111"/>
      <c r="Q95" s="111"/>
      <c r="R95" s="111"/>
      <c r="S95" s="111"/>
      <c r="T95" s="111"/>
      <c r="U95" s="111"/>
      <c r="V95" s="111"/>
      <c r="W95" s="111"/>
      <c r="X95" s="123"/>
      <c r="AI95" s="222" t="str">
        <f t="shared" si="3"/>
        <v/>
      </c>
    </row>
    <row r="96" spans="1:35" s="108" customFormat="1" ht="15.75">
      <c r="A96" s="119"/>
      <c r="B96" s="120"/>
      <c r="C96" s="111"/>
      <c r="D96" s="111"/>
      <c r="E96" s="121"/>
      <c r="F96" s="121"/>
      <c r="G96" s="113"/>
      <c r="H96" s="199" t="str">
        <f t="shared" si="2"/>
        <v/>
      </c>
      <c r="I96" s="200" t="str">
        <f>IF(H96="","",IF(AND(AI96&lt;=66),VLOOKUP(H96,'WordRead Look Up'!$A$13:$B$20,2,TRUE),IF(AND(AI96&gt;=67,AI96&lt;=72),VLOOKUP(H96,'WordRead Look Up'!$E$13:$F$20,2,TRUE),IF(AND(AI96&gt;=73,AI96&lt;=78),VLOOKUP(H96,'WordRead Look Up'!$I$13:$J$18,2,TRUE),IF(AND(AI96&gt;=79),VLOOKUP(H96,'WordRead Look Up'!$M$13:$N$18,2,TRUE),"")))))</f>
        <v/>
      </c>
      <c r="J96" s="122"/>
      <c r="K96" s="111"/>
      <c r="L96" s="111"/>
      <c r="M96" s="111"/>
      <c r="N96" s="111"/>
      <c r="O96" s="111"/>
      <c r="P96" s="111"/>
      <c r="Q96" s="111"/>
      <c r="R96" s="111"/>
      <c r="S96" s="111"/>
      <c r="T96" s="111"/>
      <c r="U96" s="111"/>
      <c r="V96" s="111"/>
      <c r="W96" s="111"/>
      <c r="X96" s="123"/>
      <c r="AI96" s="222" t="str">
        <f t="shared" si="3"/>
        <v/>
      </c>
    </row>
    <row r="97" spans="1:35" s="108" customFormat="1" ht="15.75">
      <c r="A97" s="119"/>
      <c r="B97" s="120"/>
      <c r="C97" s="111"/>
      <c r="D97" s="111"/>
      <c r="E97" s="121"/>
      <c r="F97" s="121"/>
      <c r="G97" s="113"/>
      <c r="H97" s="199" t="str">
        <f t="shared" si="2"/>
        <v/>
      </c>
      <c r="I97" s="200" t="str">
        <f>IF(H97="","",IF(AND(AI97&lt;=66),VLOOKUP(H97,'WordRead Look Up'!$A$13:$B$20,2,TRUE),IF(AND(AI97&gt;=67,AI97&lt;=72),VLOOKUP(H97,'WordRead Look Up'!$E$13:$F$20,2,TRUE),IF(AND(AI97&gt;=73,AI97&lt;=78),VLOOKUP(H97,'WordRead Look Up'!$I$13:$J$18,2,TRUE),IF(AND(AI97&gt;=79),VLOOKUP(H97,'WordRead Look Up'!$M$13:$N$18,2,TRUE),"")))))</f>
        <v/>
      </c>
      <c r="J97" s="122"/>
      <c r="K97" s="111"/>
      <c r="L97" s="111"/>
      <c r="M97" s="111"/>
      <c r="N97" s="111"/>
      <c r="O97" s="111"/>
      <c r="P97" s="111"/>
      <c r="Q97" s="111"/>
      <c r="R97" s="111"/>
      <c r="S97" s="111"/>
      <c r="T97" s="111"/>
      <c r="U97" s="111"/>
      <c r="V97" s="111"/>
      <c r="W97" s="111"/>
      <c r="X97" s="123"/>
      <c r="AI97" s="222" t="str">
        <f t="shared" si="3"/>
        <v/>
      </c>
    </row>
    <row r="98" spans="1:35" s="108" customFormat="1" ht="15.75">
      <c r="A98" s="119"/>
      <c r="B98" s="120"/>
      <c r="C98" s="111"/>
      <c r="D98" s="111"/>
      <c r="E98" s="121"/>
      <c r="F98" s="121"/>
      <c r="G98" s="113"/>
      <c r="H98" s="199" t="str">
        <f t="shared" si="2"/>
        <v/>
      </c>
      <c r="I98" s="200" t="str">
        <f>IF(H98="","",IF(AND(AI98&lt;=66),VLOOKUP(H98,'WordRead Look Up'!$A$13:$B$20,2,TRUE),IF(AND(AI98&gt;=67,AI98&lt;=72),VLOOKUP(H98,'WordRead Look Up'!$E$13:$F$20,2,TRUE),IF(AND(AI98&gt;=73,AI98&lt;=78),VLOOKUP(H98,'WordRead Look Up'!$I$13:$J$18,2,TRUE),IF(AND(AI98&gt;=79),VLOOKUP(H98,'WordRead Look Up'!$M$13:$N$18,2,TRUE),"")))))</f>
        <v/>
      </c>
      <c r="J98" s="122"/>
      <c r="K98" s="111"/>
      <c r="L98" s="111"/>
      <c r="M98" s="111"/>
      <c r="N98" s="111"/>
      <c r="O98" s="111"/>
      <c r="P98" s="111"/>
      <c r="Q98" s="111"/>
      <c r="R98" s="111"/>
      <c r="S98" s="111"/>
      <c r="T98" s="111"/>
      <c r="U98" s="111"/>
      <c r="V98" s="111"/>
      <c r="W98" s="111"/>
      <c r="X98" s="123"/>
      <c r="AI98" s="222" t="str">
        <f t="shared" si="3"/>
        <v/>
      </c>
    </row>
    <row r="99" spans="1:35" s="108" customFormat="1" ht="15.75">
      <c r="A99" s="119"/>
      <c r="B99" s="120"/>
      <c r="C99" s="111"/>
      <c r="D99" s="111"/>
      <c r="E99" s="121"/>
      <c r="F99" s="121"/>
      <c r="G99" s="113"/>
      <c r="H99" s="199" t="str">
        <f t="shared" si="2"/>
        <v/>
      </c>
      <c r="I99" s="200" t="str">
        <f>IF(H99="","",IF(AND(AI99&lt;=66),VLOOKUP(H99,'WordRead Look Up'!$A$13:$B$20,2,TRUE),IF(AND(AI99&gt;=67,AI99&lt;=72),VLOOKUP(H99,'WordRead Look Up'!$E$13:$F$20,2,TRUE),IF(AND(AI99&gt;=73,AI99&lt;=78),VLOOKUP(H99,'WordRead Look Up'!$I$13:$J$18,2,TRUE),IF(AND(AI99&gt;=79),VLOOKUP(H99,'WordRead Look Up'!$M$13:$N$18,2,TRUE),"")))))</f>
        <v/>
      </c>
      <c r="J99" s="122"/>
      <c r="K99" s="111"/>
      <c r="L99" s="111"/>
      <c r="M99" s="111"/>
      <c r="N99" s="111"/>
      <c r="O99" s="111"/>
      <c r="P99" s="111"/>
      <c r="Q99" s="111"/>
      <c r="R99" s="111"/>
      <c r="S99" s="111"/>
      <c r="T99" s="111"/>
      <c r="U99" s="111"/>
      <c r="V99" s="111"/>
      <c r="W99" s="111"/>
      <c r="X99" s="123"/>
      <c r="AI99" s="222" t="str">
        <f t="shared" si="3"/>
        <v/>
      </c>
    </row>
    <row r="100" spans="1:35" s="108" customFormat="1" ht="15.75">
      <c r="A100" s="119"/>
      <c r="B100" s="120"/>
      <c r="C100" s="111"/>
      <c r="D100" s="111"/>
      <c r="E100" s="121"/>
      <c r="F100" s="121"/>
      <c r="G100" s="113"/>
      <c r="H100" s="199" t="str">
        <f t="shared" si="2"/>
        <v/>
      </c>
      <c r="I100" s="200" t="str">
        <f>IF(H100="","",IF(AND(AI100&lt;=66),VLOOKUP(H100,'WordRead Look Up'!$A$13:$B$20,2,TRUE),IF(AND(AI100&gt;=67,AI100&lt;=72),VLOOKUP(H100,'WordRead Look Up'!$E$13:$F$20,2,TRUE),IF(AND(AI100&gt;=73,AI100&lt;=78),VLOOKUP(H100,'WordRead Look Up'!$I$13:$J$18,2,TRUE),IF(AND(AI100&gt;=79),VLOOKUP(H100,'WordRead Look Up'!$M$13:$N$18,2,TRUE),"")))))</f>
        <v/>
      </c>
      <c r="J100" s="122"/>
      <c r="K100" s="111"/>
      <c r="L100" s="111"/>
      <c r="M100" s="111"/>
      <c r="N100" s="111"/>
      <c r="O100" s="111"/>
      <c r="P100" s="111"/>
      <c r="Q100" s="111"/>
      <c r="R100" s="111"/>
      <c r="S100" s="111"/>
      <c r="T100" s="111"/>
      <c r="U100" s="111"/>
      <c r="V100" s="111"/>
      <c r="W100" s="111"/>
      <c r="X100" s="123"/>
      <c r="AI100" s="222" t="str">
        <f t="shared" si="3"/>
        <v/>
      </c>
    </row>
    <row r="101" spans="1:35" s="108" customFormat="1" ht="15.75">
      <c r="A101" s="119"/>
      <c r="B101" s="120"/>
      <c r="C101" s="111"/>
      <c r="D101" s="111"/>
      <c r="E101" s="121"/>
      <c r="F101" s="121"/>
      <c r="G101" s="113"/>
      <c r="H101" s="199" t="str">
        <f t="shared" si="2"/>
        <v/>
      </c>
      <c r="I101" s="200" t="str">
        <f>IF(H101="","",IF(AND(AI101&lt;=66),VLOOKUP(H101,'WordRead Look Up'!$A$13:$B$20,2,TRUE),IF(AND(AI101&gt;=67,AI101&lt;=72),VLOOKUP(H101,'WordRead Look Up'!$E$13:$F$20,2,TRUE),IF(AND(AI101&gt;=73,AI101&lt;=78),VLOOKUP(H101,'WordRead Look Up'!$I$13:$J$18,2,TRUE),IF(AND(AI101&gt;=79),VLOOKUP(H101,'WordRead Look Up'!$M$13:$N$18,2,TRUE),"")))))</f>
        <v/>
      </c>
      <c r="J101" s="122"/>
      <c r="K101" s="111"/>
      <c r="L101" s="111"/>
      <c r="M101" s="111"/>
      <c r="N101" s="111"/>
      <c r="O101" s="111"/>
      <c r="P101" s="111"/>
      <c r="Q101" s="111"/>
      <c r="R101" s="111"/>
      <c r="S101" s="111"/>
      <c r="T101" s="111"/>
      <c r="U101" s="111"/>
      <c r="V101" s="111"/>
      <c r="W101" s="111"/>
      <c r="X101" s="123"/>
      <c r="AI101" s="222" t="str">
        <f t="shared" si="3"/>
        <v/>
      </c>
    </row>
    <row r="102" spans="1:35" s="108" customFormat="1" ht="15.75">
      <c r="A102" s="119"/>
      <c r="B102" s="120"/>
      <c r="C102" s="111"/>
      <c r="D102" s="111"/>
      <c r="E102" s="121"/>
      <c r="F102" s="121"/>
      <c r="G102" s="113"/>
      <c r="H102" s="199" t="str">
        <f t="shared" si="2"/>
        <v/>
      </c>
      <c r="I102" s="200" t="str">
        <f>IF(H102="","",IF(AND(AI102&lt;=66),VLOOKUP(H102,'WordRead Look Up'!$A$13:$B$20,2,TRUE),IF(AND(AI102&gt;=67,AI102&lt;=72),VLOOKUP(H102,'WordRead Look Up'!$E$13:$F$20,2,TRUE),IF(AND(AI102&gt;=73,AI102&lt;=78),VLOOKUP(H102,'WordRead Look Up'!$I$13:$J$18,2,TRUE),IF(AND(AI102&gt;=79),VLOOKUP(H102,'WordRead Look Up'!$M$13:$N$18,2,TRUE),"")))))</f>
        <v/>
      </c>
      <c r="J102" s="122"/>
      <c r="K102" s="111"/>
      <c r="L102" s="111"/>
      <c r="M102" s="111"/>
      <c r="N102" s="111"/>
      <c r="O102" s="111"/>
      <c r="P102" s="111"/>
      <c r="Q102" s="111"/>
      <c r="R102" s="111"/>
      <c r="S102" s="111"/>
      <c r="T102" s="111"/>
      <c r="U102" s="111"/>
      <c r="V102" s="111"/>
      <c r="W102" s="111"/>
      <c r="X102" s="123"/>
      <c r="AI102" s="222" t="str">
        <f t="shared" si="3"/>
        <v/>
      </c>
    </row>
    <row r="103" spans="1:35" s="108" customFormat="1" ht="15.75">
      <c r="A103" s="119"/>
      <c r="B103" s="120"/>
      <c r="C103" s="111"/>
      <c r="D103" s="111"/>
      <c r="E103" s="121"/>
      <c r="F103" s="121"/>
      <c r="G103" s="113"/>
      <c r="H103" s="199" t="str">
        <f t="shared" si="2"/>
        <v/>
      </c>
      <c r="I103" s="200" t="str">
        <f>IF(H103="","",IF(AND(AI103&lt;=66),VLOOKUP(H103,'WordRead Look Up'!$A$13:$B$20,2,TRUE),IF(AND(AI103&gt;=67,AI103&lt;=72),VLOOKUP(H103,'WordRead Look Up'!$E$13:$F$20,2,TRUE),IF(AND(AI103&gt;=73,AI103&lt;=78),VLOOKUP(H103,'WordRead Look Up'!$I$13:$J$18,2,TRUE),IF(AND(AI103&gt;=79),VLOOKUP(H103,'WordRead Look Up'!$M$13:$N$18,2,TRUE),"")))))</f>
        <v/>
      </c>
      <c r="J103" s="122"/>
      <c r="K103" s="111"/>
      <c r="L103" s="111"/>
      <c r="M103" s="111"/>
      <c r="N103" s="111"/>
      <c r="O103" s="111"/>
      <c r="P103" s="111"/>
      <c r="Q103" s="111"/>
      <c r="R103" s="111"/>
      <c r="S103" s="111"/>
      <c r="T103" s="111"/>
      <c r="U103" s="111"/>
      <c r="V103" s="111"/>
      <c r="W103" s="111"/>
      <c r="X103" s="123"/>
      <c r="AI103" s="222" t="str">
        <f t="shared" si="3"/>
        <v/>
      </c>
    </row>
    <row r="104" spans="1:35" s="108" customFormat="1" ht="15.75">
      <c r="A104" s="119"/>
      <c r="B104" s="120"/>
      <c r="C104" s="111"/>
      <c r="D104" s="111"/>
      <c r="E104" s="121"/>
      <c r="F104" s="121"/>
      <c r="G104" s="113"/>
      <c r="H104" s="199" t="str">
        <f t="shared" si="2"/>
        <v/>
      </c>
      <c r="I104" s="200" t="str">
        <f>IF(H104="","",IF(AND(AI104&lt;=66),VLOOKUP(H104,'WordRead Look Up'!$A$13:$B$20,2,TRUE),IF(AND(AI104&gt;=67,AI104&lt;=72),VLOOKUP(H104,'WordRead Look Up'!$E$13:$F$20,2,TRUE),IF(AND(AI104&gt;=73,AI104&lt;=78),VLOOKUP(H104,'WordRead Look Up'!$I$13:$J$18,2,TRUE),IF(AND(AI104&gt;=79),VLOOKUP(H104,'WordRead Look Up'!$M$13:$N$18,2,TRUE),"")))))</f>
        <v/>
      </c>
      <c r="J104" s="122"/>
      <c r="K104" s="111"/>
      <c r="L104" s="111"/>
      <c r="M104" s="111"/>
      <c r="N104" s="111"/>
      <c r="O104" s="111"/>
      <c r="P104" s="111"/>
      <c r="Q104" s="111"/>
      <c r="R104" s="111"/>
      <c r="S104" s="111"/>
      <c r="T104" s="111"/>
      <c r="U104" s="111"/>
      <c r="V104" s="111"/>
      <c r="W104" s="111"/>
      <c r="X104" s="123"/>
      <c r="AI104" s="222" t="str">
        <f t="shared" si="3"/>
        <v/>
      </c>
    </row>
    <row r="105" spans="1:35" s="108" customFormat="1" ht="15.75">
      <c r="A105" s="119"/>
      <c r="B105" s="120"/>
      <c r="C105" s="111"/>
      <c r="D105" s="111"/>
      <c r="E105" s="121"/>
      <c r="F105" s="121"/>
      <c r="G105" s="113"/>
      <c r="H105" s="199" t="str">
        <f t="shared" si="2"/>
        <v/>
      </c>
      <c r="I105" s="200" t="str">
        <f>IF(H105="","",IF(AND(AI105&lt;=66),VLOOKUP(H105,'WordRead Look Up'!$A$13:$B$20,2,TRUE),IF(AND(AI105&gt;=67,AI105&lt;=72),VLOOKUP(H105,'WordRead Look Up'!$E$13:$F$20,2,TRUE),IF(AND(AI105&gt;=73,AI105&lt;=78),VLOOKUP(H105,'WordRead Look Up'!$I$13:$J$18,2,TRUE),IF(AND(AI105&gt;=79),VLOOKUP(H105,'WordRead Look Up'!$M$13:$N$18,2,TRUE),"")))))</f>
        <v/>
      </c>
      <c r="J105" s="122"/>
      <c r="K105" s="111"/>
      <c r="L105" s="111"/>
      <c r="M105" s="111"/>
      <c r="N105" s="111"/>
      <c r="O105" s="111"/>
      <c r="P105" s="111"/>
      <c r="Q105" s="111"/>
      <c r="R105" s="111"/>
      <c r="S105" s="111"/>
      <c r="T105" s="111"/>
      <c r="U105" s="111"/>
      <c r="V105" s="111"/>
      <c r="W105" s="111"/>
      <c r="X105" s="123"/>
      <c r="AI105" s="222" t="str">
        <f t="shared" si="3"/>
        <v/>
      </c>
    </row>
    <row r="106" spans="1:35" s="108" customFormat="1" ht="15.75">
      <c r="A106" s="119"/>
      <c r="B106" s="120"/>
      <c r="C106" s="111"/>
      <c r="D106" s="111"/>
      <c r="E106" s="121"/>
      <c r="F106" s="121"/>
      <c r="G106" s="113"/>
      <c r="H106" s="199" t="str">
        <f t="shared" si="2"/>
        <v/>
      </c>
      <c r="I106" s="200" t="str">
        <f>IF(H106="","",IF(AND(AI106&lt;=66),VLOOKUP(H106,'WordRead Look Up'!$A$13:$B$20,2,TRUE),IF(AND(AI106&gt;=67,AI106&lt;=72),VLOOKUP(H106,'WordRead Look Up'!$E$13:$F$20,2,TRUE),IF(AND(AI106&gt;=73,AI106&lt;=78),VLOOKUP(H106,'WordRead Look Up'!$I$13:$J$18,2,TRUE),IF(AND(AI106&gt;=79),VLOOKUP(H106,'WordRead Look Up'!$M$13:$N$18,2,TRUE),"")))))</f>
        <v/>
      </c>
      <c r="J106" s="122"/>
      <c r="K106" s="111"/>
      <c r="L106" s="111"/>
      <c r="M106" s="111"/>
      <c r="N106" s="111"/>
      <c r="O106" s="111"/>
      <c r="P106" s="111"/>
      <c r="Q106" s="111"/>
      <c r="R106" s="111"/>
      <c r="S106" s="111"/>
      <c r="T106" s="111"/>
      <c r="U106" s="111"/>
      <c r="V106" s="111"/>
      <c r="W106" s="111"/>
      <c r="X106" s="123"/>
      <c r="AI106" s="222" t="str">
        <f t="shared" si="3"/>
        <v/>
      </c>
    </row>
    <row r="107" spans="1:35" s="108" customFormat="1" ht="15.75">
      <c r="A107" s="119"/>
      <c r="B107" s="120"/>
      <c r="C107" s="111"/>
      <c r="D107" s="111"/>
      <c r="E107" s="121"/>
      <c r="F107" s="121"/>
      <c r="G107" s="113"/>
      <c r="H107" s="199" t="str">
        <f t="shared" si="2"/>
        <v/>
      </c>
      <c r="I107" s="200" t="str">
        <f>IF(H107="","",IF(AND(AI107&lt;=66),VLOOKUP(H107,'WordRead Look Up'!$A$13:$B$20,2,TRUE),IF(AND(AI107&gt;=67,AI107&lt;=72),VLOOKUP(H107,'WordRead Look Up'!$E$13:$F$20,2,TRUE),IF(AND(AI107&gt;=73,AI107&lt;=78),VLOOKUP(H107,'WordRead Look Up'!$I$13:$J$18,2,TRUE),IF(AND(AI107&gt;=79),VLOOKUP(H107,'WordRead Look Up'!$M$13:$N$18,2,TRUE),"")))))</f>
        <v/>
      </c>
      <c r="J107" s="122"/>
      <c r="K107" s="111"/>
      <c r="L107" s="111"/>
      <c r="M107" s="111"/>
      <c r="N107" s="111"/>
      <c r="O107" s="111"/>
      <c r="P107" s="111"/>
      <c r="Q107" s="111"/>
      <c r="R107" s="111"/>
      <c r="S107" s="111"/>
      <c r="T107" s="111"/>
      <c r="U107" s="111"/>
      <c r="V107" s="111"/>
      <c r="W107" s="111"/>
      <c r="X107" s="123"/>
      <c r="AI107" s="222" t="str">
        <f t="shared" si="3"/>
        <v/>
      </c>
    </row>
    <row r="108" spans="1:35" s="108" customFormat="1" ht="15.75">
      <c r="A108" s="119"/>
      <c r="B108" s="120"/>
      <c r="C108" s="111"/>
      <c r="D108" s="111"/>
      <c r="E108" s="121"/>
      <c r="F108" s="121"/>
      <c r="G108" s="113"/>
      <c r="H108" s="199" t="str">
        <f t="shared" si="2"/>
        <v/>
      </c>
      <c r="I108" s="200" t="str">
        <f>IF(H108="","",IF(AND(AI108&lt;=66),VLOOKUP(H108,'WordRead Look Up'!$A$13:$B$20,2,TRUE),IF(AND(AI108&gt;=67,AI108&lt;=72),VLOOKUP(H108,'WordRead Look Up'!$E$13:$F$20,2,TRUE),IF(AND(AI108&gt;=73,AI108&lt;=78),VLOOKUP(H108,'WordRead Look Up'!$I$13:$J$18,2,TRUE),IF(AND(AI108&gt;=79),VLOOKUP(H108,'WordRead Look Up'!$M$13:$N$18,2,TRUE),"")))))</f>
        <v/>
      </c>
      <c r="J108" s="122"/>
      <c r="K108" s="111"/>
      <c r="L108" s="111"/>
      <c r="M108" s="111"/>
      <c r="N108" s="111"/>
      <c r="O108" s="111"/>
      <c r="P108" s="111"/>
      <c r="Q108" s="111"/>
      <c r="R108" s="111"/>
      <c r="S108" s="111"/>
      <c r="T108" s="111"/>
      <c r="U108" s="111"/>
      <c r="V108" s="111"/>
      <c r="W108" s="111"/>
      <c r="X108" s="123"/>
      <c r="AI108" s="222" t="str">
        <f t="shared" si="3"/>
        <v/>
      </c>
    </row>
    <row r="109" spans="1:35" s="108" customFormat="1" ht="15.75">
      <c r="A109" s="119"/>
      <c r="B109" s="120"/>
      <c r="C109" s="111"/>
      <c r="D109" s="111"/>
      <c r="E109" s="121"/>
      <c r="F109" s="121"/>
      <c r="G109" s="113"/>
      <c r="H109" s="199" t="str">
        <f t="shared" si="2"/>
        <v/>
      </c>
      <c r="I109" s="200" t="str">
        <f>IF(H109="","",IF(AND(AI109&lt;=66),VLOOKUP(H109,'WordRead Look Up'!$A$13:$B$20,2,TRUE),IF(AND(AI109&gt;=67,AI109&lt;=72),VLOOKUP(H109,'WordRead Look Up'!$E$13:$F$20,2,TRUE),IF(AND(AI109&gt;=73,AI109&lt;=78),VLOOKUP(H109,'WordRead Look Up'!$I$13:$J$18,2,TRUE),IF(AND(AI109&gt;=79),VLOOKUP(H109,'WordRead Look Up'!$M$13:$N$18,2,TRUE),"")))))</f>
        <v/>
      </c>
      <c r="J109" s="122"/>
      <c r="K109" s="111"/>
      <c r="L109" s="111"/>
      <c r="M109" s="111"/>
      <c r="N109" s="111"/>
      <c r="O109" s="111"/>
      <c r="P109" s="111"/>
      <c r="Q109" s="111"/>
      <c r="R109" s="111"/>
      <c r="S109" s="111"/>
      <c r="T109" s="111"/>
      <c r="U109" s="111"/>
      <c r="V109" s="111"/>
      <c r="W109" s="111"/>
      <c r="X109" s="123"/>
      <c r="AI109" s="222" t="str">
        <f t="shared" si="3"/>
        <v/>
      </c>
    </row>
    <row r="110" spans="1:35" s="108" customFormat="1" ht="15.75">
      <c r="A110" s="119"/>
      <c r="B110" s="120"/>
      <c r="C110" s="111"/>
      <c r="D110" s="111"/>
      <c r="E110" s="121"/>
      <c r="F110" s="121"/>
      <c r="G110" s="113"/>
      <c r="H110" s="199" t="str">
        <f t="shared" si="2"/>
        <v/>
      </c>
      <c r="I110" s="200" t="str">
        <f>IF(H110="","",IF(AND(AI110&lt;=66),VLOOKUP(H110,'WordRead Look Up'!$A$13:$B$20,2,TRUE),IF(AND(AI110&gt;=67,AI110&lt;=72),VLOOKUP(H110,'WordRead Look Up'!$E$13:$F$20,2,TRUE),IF(AND(AI110&gt;=73,AI110&lt;=78),VLOOKUP(H110,'WordRead Look Up'!$I$13:$J$18,2,TRUE),IF(AND(AI110&gt;=79),VLOOKUP(H110,'WordRead Look Up'!$M$13:$N$18,2,TRUE),"")))))</f>
        <v/>
      </c>
      <c r="J110" s="122"/>
      <c r="K110" s="111"/>
      <c r="L110" s="111"/>
      <c r="M110" s="111"/>
      <c r="N110" s="111"/>
      <c r="O110" s="111"/>
      <c r="P110" s="111"/>
      <c r="Q110" s="111"/>
      <c r="R110" s="111"/>
      <c r="S110" s="111"/>
      <c r="T110" s="111"/>
      <c r="U110" s="111"/>
      <c r="V110" s="111"/>
      <c r="W110" s="111"/>
      <c r="X110" s="123"/>
      <c r="AI110" s="222" t="str">
        <f t="shared" si="3"/>
        <v/>
      </c>
    </row>
    <row r="111" spans="1:35" s="108" customFormat="1" ht="15.75">
      <c r="A111" s="119"/>
      <c r="B111" s="120"/>
      <c r="C111" s="111"/>
      <c r="D111" s="111"/>
      <c r="E111" s="121"/>
      <c r="F111" s="121"/>
      <c r="G111" s="113"/>
      <c r="H111" s="199" t="str">
        <f t="shared" si="2"/>
        <v/>
      </c>
      <c r="I111" s="200" t="str">
        <f>IF(H111="","",IF(AND(AI111&lt;=66),VLOOKUP(H111,'WordRead Look Up'!$A$13:$B$20,2,TRUE),IF(AND(AI111&gt;=67,AI111&lt;=72),VLOOKUP(H111,'WordRead Look Up'!$E$13:$F$20,2,TRUE),IF(AND(AI111&gt;=73,AI111&lt;=78),VLOOKUP(H111,'WordRead Look Up'!$I$13:$J$18,2,TRUE),IF(AND(AI111&gt;=79),VLOOKUP(H111,'WordRead Look Up'!$M$13:$N$18,2,TRUE),"")))))</f>
        <v/>
      </c>
      <c r="J111" s="122"/>
      <c r="K111" s="111"/>
      <c r="L111" s="111"/>
      <c r="M111" s="111"/>
      <c r="N111" s="111"/>
      <c r="O111" s="111"/>
      <c r="P111" s="111"/>
      <c r="Q111" s="111"/>
      <c r="R111" s="111"/>
      <c r="S111" s="111"/>
      <c r="T111" s="111"/>
      <c r="U111" s="111"/>
      <c r="V111" s="111"/>
      <c r="W111" s="111"/>
      <c r="X111" s="123"/>
      <c r="AI111" s="222" t="str">
        <f t="shared" si="3"/>
        <v/>
      </c>
    </row>
    <row r="112" spans="1:35" s="108" customFormat="1" ht="15.75">
      <c r="A112" s="119"/>
      <c r="B112" s="120"/>
      <c r="C112" s="111"/>
      <c r="D112" s="111"/>
      <c r="E112" s="121"/>
      <c r="F112" s="121"/>
      <c r="G112" s="113"/>
      <c r="H112" s="199" t="str">
        <f t="shared" si="2"/>
        <v/>
      </c>
      <c r="I112" s="200" t="str">
        <f>IF(H112="","",IF(AND(AI112&lt;=66),VLOOKUP(H112,'WordRead Look Up'!$A$13:$B$20,2,TRUE),IF(AND(AI112&gt;=67,AI112&lt;=72),VLOOKUP(H112,'WordRead Look Up'!$E$13:$F$20,2,TRUE),IF(AND(AI112&gt;=73,AI112&lt;=78),VLOOKUP(H112,'WordRead Look Up'!$I$13:$J$18,2,TRUE),IF(AND(AI112&gt;=79),VLOOKUP(H112,'WordRead Look Up'!$M$13:$N$18,2,TRUE),"")))))</f>
        <v/>
      </c>
      <c r="J112" s="122"/>
      <c r="K112" s="111"/>
      <c r="L112" s="111"/>
      <c r="M112" s="111"/>
      <c r="N112" s="111"/>
      <c r="O112" s="111"/>
      <c r="P112" s="111"/>
      <c r="Q112" s="111"/>
      <c r="R112" s="111"/>
      <c r="S112" s="111"/>
      <c r="T112" s="111"/>
      <c r="U112" s="111"/>
      <c r="V112" s="111"/>
      <c r="W112" s="111"/>
      <c r="X112" s="123"/>
      <c r="AI112" s="222" t="str">
        <f t="shared" si="3"/>
        <v/>
      </c>
    </row>
    <row r="113" spans="1:35" s="108" customFormat="1" ht="15.75">
      <c r="A113" s="119"/>
      <c r="B113" s="120"/>
      <c r="C113" s="111"/>
      <c r="D113" s="111"/>
      <c r="E113" s="121"/>
      <c r="F113" s="121"/>
      <c r="G113" s="113"/>
      <c r="H113" s="199" t="str">
        <f t="shared" si="2"/>
        <v/>
      </c>
      <c r="I113" s="200" t="str">
        <f>IF(H113="","",IF(AND(AI113&lt;=66),VLOOKUP(H113,'WordRead Look Up'!$A$13:$B$20,2,TRUE),IF(AND(AI113&gt;=67,AI113&lt;=72),VLOOKUP(H113,'WordRead Look Up'!$E$13:$F$20,2,TRUE),IF(AND(AI113&gt;=73,AI113&lt;=78),VLOOKUP(H113,'WordRead Look Up'!$I$13:$J$18,2,TRUE),IF(AND(AI113&gt;=79),VLOOKUP(H113,'WordRead Look Up'!$M$13:$N$18,2,TRUE),"")))))</f>
        <v/>
      </c>
      <c r="J113" s="122"/>
      <c r="K113" s="111"/>
      <c r="L113" s="111"/>
      <c r="M113" s="111"/>
      <c r="N113" s="111"/>
      <c r="O113" s="111"/>
      <c r="P113" s="111"/>
      <c r="Q113" s="111"/>
      <c r="R113" s="111"/>
      <c r="S113" s="111"/>
      <c r="T113" s="111"/>
      <c r="U113" s="111"/>
      <c r="V113" s="111"/>
      <c r="W113" s="111"/>
      <c r="X113" s="123"/>
      <c r="AI113" s="222" t="str">
        <f t="shared" si="3"/>
        <v/>
      </c>
    </row>
    <row r="114" spans="1:35" s="108" customFormat="1" ht="15.75">
      <c r="A114" s="119"/>
      <c r="B114" s="120"/>
      <c r="C114" s="111"/>
      <c r="D114" s="111"/>
      <c r="E114" s="121"/>
      <c r="F114" s="121"/>
      <c r="G114" s="113"/>
      <c r="H114" s="199" t="str">
        <f t="shared" si="2"/>
        <v/>
      </c>
      <c r="I114" s="200" t="str">
        <f>IF(H114="","",IF(AND(AI114&lt;=66),VLOOKUP(H114,'WordRead Look Up'!$A$13:$B$20,2,TRUE),IF(AND(AI114&gt;=67,AI114&lt;=72),VLOOKUP(H114,'WordRead Look Up'!$E$13:$F$20,2,TRUE),IF(AND(AI114&gt;=73,AI114&lt;=78),VLOOKUP(H114,'WordRead Look Up'!$I$13:$J$18,2,TRUE),IF(AND(AI114&gt;=79),VLOOKUP(H114,'WordRead Look Up'!$M$13:$N$18,2,TRUE),"")))))</f>
        <v/>
      </c>
      <c r="J114" s="122"/>
      <c r="K114" s="111"/>
      <c r="L114" s="111"/>
      <c r="M114" s="111"/>
      <c r="N114" s="111"/>
      <c r="O114" s="111"/>
      <c r="P114" s="111"/>
      <c r="Q114" s="111"/>
      <c r="R114" s="111"/>
      <c r="S114" s="111"/>
      <c r="T114" s="111"/>
      <c r="U114" s="111"/>
      <c r="V114" s="111"/>
      <c r="W114" s="111"/>
      <c r="X114" s="123"/>
      <c r="AI114" s="222" t="str">
        <f t="shared" si="3"/>
        <v/>
      </c>
    </row>
    <row r="115" spans="1:35" s="108" customFormat="1" ht="15.75">
      <c r="A115" s="119"/>
      <c r="B115" s="120"/>
      <c r="C115" s="111"/>
      <c r="D115" s="111"/>
      <c r="E115" s="121"/>
      <c r="F115" s="121"/>
      <c r="G115" s="113"/>
      <c r="H115" s="199" t="str">
        <f t="shared" si="2"/>
        <v/>
      </c>
      <c r="I115" s="200" t="str">
        <f>IF(H115="","",IF(AND(AI115&lt;=66),VLOOKUP(H115,'WordRead Look Up'!$A$13:$B$20,2,TRUE),IF(AND(AI115&gt;=67,AI115&lt;=72),VLOOKUP(H115,'WordRead Look Up'!$E$13:$F$20,2,TRUE),IF(AND(AI115&gt;=73,AI115&lt;=78),VLOOKUP(H115,'WordRead Look Up'!$I$13:$J$18,2,TRUE),IF(AND(AI115&gt;=79),VLOOKUP(H115,'WordRead Look Up'!$M$13:$N$18,2,TRUE),"")))))</f>
        <v/>
      </c>
      <c r="J115" s="122"/>
      <c r="K115" s="111"/>
      <c r="L115" s="111"/>
      <c r="M115" s="111"/>
      <c r="N115" s="111"/>
      <c r="O115" s="111"/>
      <c r="P115" s="111"/>
      <c r="Q115" s="111"/>
      <c r="R115" s="111"/>
      <c r="S115" s="111"/>
      <c r="T115" s="111"/>
      <c r="U115" s="111"/>
      <c r="V115" s="111"/>
      <c r="W115" s="111"/>
      <c r="X115" s="123"/>
      <c r="AI115" s="222" t="str">
        <f t="shared" si="3"/>
        <v/>
      </c>
    </row>
    <row r="116" spans="1:35" s="108" customFormat="1" ht="15.75">
      <c r="A116" s="119"/>
      <c r="B116" s="120"/>
      <c r="C116" s="111"/>
      <c r="D116" s="111"/>
      <c r="E116" s="121"/>
      <c r="F116" s="121"/>
      <c r="G116" s="113"/>
      <c r="H116" s="199" t="str">
        <f t="shared" si="2"/>
        <v/>
      </c>
      <c r="I116" s="200" t="str">
        <f>IF(H116="","",IF(AND(AI116&lt;=66),VLOOKUP(H116,'WordRead Look Up'!$A$13:$B$20,2,TRUE),IF(AND(AI116&gt;=67,AI116&lt;=72),VLOOKUP(H116,'WordRead Look Up'!$E$13:$F$20,2,TRUE),IF(AND(AI116&gt;=73,AI116&lt;=78),VLOOKUP(H116,'WordRead Look Up'!$I$13:$J$18,2,TRUE),IF(AND(AI116&gt;=79),VLOOKUP(H116,'WordRead Look Up'!$M$13:$N$18,2,TRUE),"")))))</f>
        <v/>
      </c>
      <c r="J116" s="122"/>
      <c r="K116" s="111"/>
      <c r="L116" s="111"/>
      <c r="M116" s="111"/>
      <c r="N116" s="111"/>
      <c r="O116" s="111"/>
      <c r="P116" s="111"/>
      <c r="Q116" s="111"/>
      <c r="R116" s="111"/>
      <c r="S116" s="111"/>
      <c r="T116" s="111"/>
      <c r="U116" s="111"/>
      <c r="V116" s="111"/>
      <c r="W116" s="111"/>
      <c r="X116" s="123"/>
      <c r="AI116" s="222" t="str">
        <f t="shared" si="3"/>
        <v/>
      </c>
    </row>
    <row r="117" spans="1:35" s="108" customFormat="1" ht="15.75">
      <c r="A117" s="119"/>
      <c r="B117" s="120"/>
      <c r="C117" s="111"/>
      <c r="D117" s="111"/>
      <c r="E117" s="121"/>
      <c r="F117" s="121"/>
      <c r="G117" s="113"/>
      <c r="H117" s="199" t="str">
        <f t="shared" si="2"/>
        <v/>
      </c>
      <c r="I117" s="200" t="str">
        <f>IF(H117="","",IF(AND(AI117&lt;=66),VLOOKUP(H117,'WordRead Look Up'!$A$13:$B$20,2,TRUE),IF(AND(AI117&gt;=67,AI117&lt;=72),VLOOKUP(H117,'WordRead Look Up'!$E$13:$F$20,2,TRUE),IF(AND(AI117&gt;=73,AI117&lt;=78),VLOOKUP(H117,'WordRead Look Up'!$I$13:$J$18,2,TRUE),IF(AND(AI117&gt;=79),VLOOKUP(H117,'WordRead Look Up'!$M$13:$N$18,2,TRUE),"")))))</f>
        <v/>
      </c>
      <c r="J117" s="122"/>
      <c r="K117" s="111"/>
      <c r="L117" s="111"/>
      <c r="M117" s="111"/>
      <c r="N117" s="111"/>
      <c r="O117" s="111"/>
      <c r="P117" s="111"/>
      <c r="Q117" s="111"/>
      <c r="R117" s="111"/>
      <c r="S117" s="111"/>
      <c r="T117" s="111"/>
      <c r="U117" s="111"/>
      <c r="V117" s="111"/>
      <c r="W117" s="111"/>
      <c r="X117" s="123"/>
      <c r="AI117" s="222" t="str">
        <f t="shared" si="3"/>
        <v/>
      </c>
    </row>
    <row r="118" spans="1:35" s="108" customFormat="1" ht="15.75">
      <c r="A118" s="119"/>
      <c r="B118" s="120"/>
      <c r="C118" s="111"/>
      <c r="D118" s="111"/>
      <c r="E118" s="121"/>
      <c r="F118" s="121"/>
      <c r="G118" s="113"/>
      <c r="H118" s="199" t="str">
        <f t="shared" si="2"/>
        <v/>
      </c>
      <c r="I118" s="200" t="str">
        <f>IF(H118="","",IF(AND(AI118&lt;=66),VLOOKUP(H118,'WordRead Look Up'!$A$13:$B$20,2,TRUE),IF(AND(AI118&gt;=67,AI118&lt;=72),VLOOKUP(H118,'WordRead Look Up'!$E$13:$F$20,2,TRUE),IF(AND(AI118&gt;=73,AI118&lt;=78),VLOOKUP(H118,'WordRead Look Up'!$I$13:$J$18,2,TRUE),IF(AND(AI118&gt;=79),VLOOKUP(H118,'WordRead Look Up'!$M$13:$N$18,2,TRUE),"")))))</f>
        <v/>
      </c>
      <c r="J118" s="122"/>
      <c r="K118" s="111"/>
      <c r="L118" s="111"/>
      <c r="M118" s="111"/>
      <c r="N118" s="111"/>
      <c r="O118" s="111"/>
      <c r="P118" s="111"/>
      <c r="Q118" s="111"/>
      <c r="R118" s="111"/>
      <c r="S118" s="111"/>
      <c r="T118" s="111"/>
      <c r="U118" s="111"/>
      <c r="V118" s="111"/>
      <c r="W118" s="111"/>
      <c r="X118" s="123"/>
      <c r="AI118" s="222" t="str">
        <f t="shared" si="3"/>
        <v/>
      </c>
    </row>
    <row r="119" spans="1:35" s="108" customFormat="1" ht="15.75">
      <c r="A119" s="119"/>
      <c r="B119" s="120"/>
      <c r="C119" s="111"/>
      <c r="D119" s="111"/>
      <c r="E119" s="121"/>
      <c r="F119" s="121"/>
      <c r="G119" s="113"/>
      <c r="H119" s="199" t="str">
        <f t="shared" si="2"/>
        <v/>
      </c>
      <c r="I119" s="200" t="str">
        <f>IF(H119="","",IF(AND(AI119&lt;=66),VLOOKUP(H119,'WordRead Look Up'!$A$13:$B$20,2,TRUE),IF(AND(AI119&gt;=67,AI119&lt;=72),VLOOKUP(H119,'WordRead Look Up'!$E$13:$F$20,2,TRUE),IF(AND(AI119&gt;=73,AI119&lt;=78),VLOOKUP(H119,'WordRead Look Up'!$I$13:$J$18,2,TRUE),IF(AND(AI119&gt;=79),VLOOKUP(H119,'WordRead Look Up'!$M$13:$N$18,2,TRUE),"")))))</f>
        <v/>
      </c>
      <c r="J119" s="122"/>
      <c r="K119" s="111"/>
      <c r="L119" s="111"/>
      <c r="M119" s="111"/>
      <c r="N119" s="111"/>
      <c r="O119" s="111"/>
      <c r="P119" s="111"/>
      <c r="Q119" s="111"/>
      <c r="R119" s="111"/>
      <c r="S119" s="111"/>
      <c r="T119" s="111"/>
      <c r="U119" s="111"/>
      <c r="V119" s="111"/>
      <c r="W119" s="111"/>
      <c r="X119" s="123"/>
      <c r="AI119" s="222" t="str">
        <f t="shared" si="3"/>
        <v/>
      </c>
    </row>
    <row r="120" spans="1:35" s="108" customFormat="1" ht="15.75">
      <c r="A120" s="119"/>
      <c r="B120" s="120"/>
      <c r="C120" s="111"/>
      <c r="D120" s="111"/>
      <c r="E120" s="121"/>
      <c r="F120" s="121"/>
      <c r="G120" s="113"/>
      <c r="H120" s="199" t="str">
        <f t="shared" si="2"/>
        <v/>
      </c>
      <c r="I120" s="200" t="str">
        <f>IF(H120="","",IF(AND(AI120&lt;=66),VLOOKUP(H120,'WordRead Look Up'!$A$13:$B$20,2,TRUE),IF(AND(AI120&gt;=67,AI120&lt;=72),VLOOKUP(H120,'WordRead Look Up'!$E$13:$F$20,2,TRUE),IF(AND(AI120&gt;=73,AI120&lt;=78),VLOOKUP(H120,'WordRead Look Up'!$I$13:$J$18,2,TRUE),IF(AND(AI120&gt;=79),VLOOKUP(H120,'WordRead Look Up'!$M$13:$N$18,2,TRUE),"")))))</f>
        <v/>
      </c>
      <c r="J120" s="122"/>
      <c r="K120" s="111"/>
      <c r="L120" s="111"/>
      <c r="M120" s="111"/>
      <c r="N120" s="111"/>
      <c r="O120" s="111"/>
      <c r="P120" s="111"/>
      <c r="Q120" s="111"/>
      <c r="R120" s="111"/>
      <c r="S120" s="111"/>
      <c r="T120" s="111"/>
      <c r="U120" s="111"/>
      <c r="V120" s="111"/>
      <c r="W120" s="111"/>
      <c r="X120" s="123"/>
      <c r="AI120" s="222" t="str">
        <f t="shared" si="3"/>
        <v/>
      </c>
    </row>
    <row r="121" spans="1:35" s="108" customFormat="1" ht="15.75">
      <c r="A121" s="119"/>
      <c r="B121" s="120"/>
      <c r="C121" s="111"/>
      <c r="D121" s="111"/>
      <c r="E121" s="121"/>
      <c r="F121" s="121"/>
      <c r="G121" s="113"/>
      <c r="H121" s="199" t="str">
        <f t="shared" si="2"/>
        <v/>
      </c>
      <c r="I121" s="200" t="str">
        <f>IF(H121="","",IF(AND(AI121&lt;=66),VLOOKUP(H121,'WordRead Look Up'!$A$13:$B$20,2,TRUE),IF(AND(AI121&gt;=67,AI121&lt;=72),VLOOKUP(H121,'WordRead Look Up'!$E$13:$F$20,2,TRUE),IF(AND(AI121&gt;=73,AI121&lt;=78),VLOOKUP(H121,'WordRead Look Up'!$I$13:$J$18,2,TRUE),IF(AND(AI121&gt;=79),VLOOKUP(H121,'WordRead Look Up'!$M$13:$N$18,2,TRUE),"")))))</f>
        <v/>
      </c>
      <c r="J121" s="122"/>
      <c r="K121" s="111"/>
      <c r="L121" s="111"/>
      <c r="M121" s="111"/>
      <c r="N121" s="111"/>
      <c r="O121" s="111"/>
      <c r="P121" s="111"/>
      <c r="Q121" s="111"/>
      <c r="R121" s="111"/>
      <c r="S121" s="111"/>
      <c r="T121" s="111"/>
      <c r="U121" s="111"/>
      <c r="V121" s="111"/>
      <c r="W121" s="111"/>
      <c r="X121" s="123"/>
      <c r="AI121" s="222" t="str">
        <f t="shared" si="3"/>
        <v/>
      </c>
    </row>
    <row r="122" spans="1:35" s="108" customFormat="1" ht="15.75">
      <c r="A122" s="119"/>
      <c r="B122" s="120"/>
      <c r="C122" s="111"/>
      <c r="D122" s="111"/>
      <c r="E122" s="121"/>
      <c r="F122" s="121"/>
      <c r="G122" s="113"/>
      <c r="H122" s="199" t="str">
        <f t="shared" si="2"/>
        <v/>
      </c>
      <c r="I122" s="200" t="str">
        <f>IF(H122="","",IF(AND(AI122&lt;=66),VLOOKUP(H122,'WordRead Look Up'!$A$13:$B$20,2,TRUE),IF(AND(AI122&gt;=67,AI122&lt;=72),VLOOKUP(H122,'WordRead Look Up'!$E$13:$F$20,2,TRUE),IF(AND(AI122&gt;=73,AI122&lt;=78),VLOOKUP(H122,'WordRead Look Up'!$I$13:$J$18,2,TRUE),IF(AND(AI122&gt;=79),VLOOKUP(H122,'WordRead Look Up'!$M$13:$N$18,2,TRUE),"")))))</f>
        <v/>
      </c>
      <c r="J122" s="122"/>
      <c r="K122" s="111"/>
      <c r="L122" s="111"/>
      <c r="M122" s="111"/>
      <c r="N122" s="111"/>
      <c r="O122" s="111"/>
      <c r="P122" s="111"/>
      <c r="Q122" s="111"/>
      <c r="R122" s="111"/>
      <c r="S122" s="111"/>
      <c r="T122" s="111"/>
      <c r="U122" s="111"/>
      <c r="V122" s="111"/>
      <c r="W122" s="111"/>
      <c r="X122" s="123"/>
      <c r="AI122" s="222" t="str">
        <f t="shared" si="3"/>
        <v/>
      </c>
    </row>
    <row r="123" spans="1:35" s="108" customFormat="1" ht="15.75">
      <c r="A123" s="119"/>
      <c r="B123" s="120"/>
      <c r="C123" s="111"/>
      <c r="D123" s="111"/>
      <c r="E123" s="121"/>
      <c r="F123" s="121"/>
      <c r="G123" s="113"/>
      <c r="H123" s="199" t="str">
        <f t="shared" si="2"/>
        <v/>
      </c>
      <c r="I123" s="200" t="str">
        <f>IF(H123="","",IF(AND(AI123&lt;=66),VLOOKUP(H123,'WordRead Look Up'!$A$13:$B$20,2,TRUE),IF(AND(AI123&gt;=67,AI123&lt;=72),VLOOKUP(H123,'WordRead Look Up'!$E$13:$F$20,2,TRUE),IF(AND(AI123&gt;=73,AI123&lt;=78),VLOOKUP(H123,'WordRead Look Up'!$I$13:$J$18,2,TRUE),IF(AND(AI123&gt;=79),VLOOKUP(H123,'WordRead Look Up'!$M$13:$N$18,2,TRUE),"")))))</f>
        <v/>
      </c>
      <c r="J123" s="122"/>
      <c r="K123" s="111"/>
      <c r="L123" s="111"/>
      <c r="M123" s="111"/>
      <c r="N123" s="111"/>
      <c r="O123" s="111"/>
      <c r="P123" s="111"/>
      <c r="Q123" s="111"/>
      <c r="R123" s="111"/>
      <c r="S123" s="111"/>
      <c r="T123" s="111"/>
      <c r="U123" s="111"/>
      <c r="V123" s="111"/>
      <c r="W123" s="111"/>
      <c r="X123" s="123"/>
      <c r="AI123" s="222" t="str">
        <f t="shared" si="3"/>
        <v/>
      </c>
    </row>
    <row r="124" spans="1:35" s="108" customFormat="1" ht="15.75">
      <c r="A124" s="119"/>
      <c r="B124" s="120"/>
      <c r="C124" s="111"/>
      <c r="D124" s="111"/>
      <c r="E124" s="121"/>
      <c r="F124" s="121"/>
      <c r="G124" s="113"/>
      <c r="H124" s="199" t="str">
        <f t="shared" si="2"/>
        <v/>
      </c>
      <c r="I124" s="200" t="str">
        <f>IF(H124="","",IF(AND(AI124&lt;=66),VLOOKUP(H124,'WordRead Look Up'!$A$13:$B$20,2,TRUE),IF(AND(AI124&gt;=67,AI124&lt;=72),VLOOKUP(H124,'WordRead Look Up'!$E$13:$F$20,2,TRUE),IF(AND(AI124&gt;=73,AI124&lt;=78),VLOOKUP(H124,'WordRead Look Up'!$I$13:$J$18,2,TRUE),IF(AND(AI124&gt;=79),VLOOKUP(H124,'WordRead Look Up'!$M$13:$N$18,2,TRUE),"")))))</f>
        <v/>
      </c>
      <c r="J124" s="122"/>
      <c r="K124" s="111"/>
      <c r="L124" s="111"/>
      <c r="M124" s="111"/>
      <c r="N124" s="111"/>
      <c r="O124" s="111"/>
      <c r="P124" s="111"/>
      <c r="Q124" s="111"/>
      <c r="R124" s="111"/>
      <c r="S124" s="111"/>
      <c r="T124" s="111"/>
      <c r="U124" s="111"/>
      <c r="V124" s="111"/>
      <c r="W124" s="111"/>
      <c r="X124" s="123"/>
      <c r="AI124" s="222" t="str">
        <f t="shared" si="3"/>
        <v/>
      </c>
    </row>
    <row r="125" spans="1:35" s="108" customFormat="1" ht="15.75">
      <c r="A125" s="119"/>
      <c r="B125" s="120"/>
      <c r="C125" s="111"/>
      <c r="D125" s="111"/>
      <c r="E125" s="121"/>
      <c r="F125" s="121"/>
      <c r="G125" s="113"/>
      <c r="H125" s="199" t="str">
        <f t="shared" si="2"/>
        <v/>
      </c>
      <c r="I125" s="200" t="str">
        <f>IF(H125="","",IF(AND(AI125&lt;=66),VLOOKUP(H125,'WordRead Look Up'!$A$13:$B$20,2,TRUE),IF(AND(AI125&gt;=67,AI125&lt;=72),VLOOKUP(H125,'WordRead Look Up'!$E$13:$F$20,2,TRUE),IF(AND(AI125&gt;=73,AI125&lt;=78),VLOOKUP(H125,'WordRead Look Up'!$I$13:$J$18,2,TRUE),IF(AND(AI125&gt;=79),VLOOKUP(H125,'WordRead Look Up'!$M$13:$N$18,2,TRUE),"")))))</f>
        <v/>
      </c>
      <c r="J125" s="122"/>
      <c r="K125" s="111"/>
      <c r="L125" s="111"/>
      <c r="M125" s="111"/>
      <c r="N125" s="111"/>
      <c r="O125" s="111"/>
      <c r="P125" s="111"/>
      <c r="Q125" s="111"/>
      <c r="R125" s="111"/>
      <c r="S125" s="111"/>
      <c r="T125" s="111"/>
      <c r="U125" s="111"/>
      <c r="V125" s="111"/>
      <c r="W125" s="111"/>
      <c r="X125" s="123"/>
      <c r="AI125" s="222" t="str">
        <f t="shared" si="3"/>
        <v/>
      </c>
    </row>
    <row r="126" spans="1:35" s="108" customFormat="1" ht="15.75">
      <c r="A126" s="119"/>
      <c r="B126" s="120"/>
      <c r="C126" s="111"/>
      <c r="D126" s="111"/>
      <c r="E126" s="121"/>
      <c r="F126" s="121"/>
      <c r="G126" s="113"/>
      <c r="H126" s="199" t="str">
        <f t="shared" si="2"/>
        <v/>
      </c>
      <c r="I126" s="200" t="str">
        <f>IF(H126="","",IF(AND(AI126&lt;=66),VLOOKUP(H126,'WordRead Look Up'!$A$13:$B$20,2,TRUE),IF(AND(AI126&gt;=67,AI126&lt;=72),VLOOKUP(H126,'WordRead Look Up'!$E$13:$F$20,2,TRUE),IF(AND(AI126&gt;=73,AI126&lt;=78),VLOOKUP(H126,'WordRead Look Up'!$I$13:$J$18,2,TRUE),IF(AND(AI126&gt;=79),VLOOKUP(H126,'WordRead Look Up'!$M$13:$N$18,2,TRUE),"")))))</f>
        <v/>
      </c>
      <c r="J126" s="122"/>
      <c r="K126" s="111"/>
      <c r="L126" s="111"/>
      <c r="M126" s="111"/>
      <c r="N126" s="111"/>
      <c r="O126" s="111"/>
      <c r="P126" s="111"/>
      <c r="Q126" s="111"/>
      <c r="R126" s="111"/>
      <c r="S126" s="111"/>
      <c r="T126" s="111"/>
      <c r="U126" s="111"/>
      <c r="V126" s="111"/>
      <c r="W126" s="111"/>
      <c r="X126" s="123"/>
      <c r="AI126" s="222" t="str">
        <f t="shared" si="3"/>
        <v/>
      </c>
    </row>
    <row r="127" spans="1:35" s="108" customFormat="1" ht="15.75">
      <c r="A127" s="119"/>
      <c r="B127" s="120"/>
      <c r="C127" s="111"/>
      <c r="D127" s="111"/>
      <c r="E127" s="121"/>
      <c r="F127" s="121"/>
      <c r="G127" s="113"/>
      <c r="H127" s="199" t="str">
        <f t="shared" si="2"/>
        <v/>
      </c>
      <c r="I127" s="200" t="str">
        <f>IF(H127="","",IF(AND(AI127&lt;=66),VLOOKUP(H127,'WordRead Look Up'!$A$13:$B$20,2,TRUE),IF(AND(AI127&gt;=67,AI127&lt;=72),VLOOKUP(H127,'WordRead Look Up'!$E$13:$F$20,2,TRUE),IF(AND(AI127&gt;=73,AI127&lt;=78),VLOOKUP(H127,'WordRead Look Up'!$I$13:$J$18,2,TRUE),IF(AND(AI127&gt;=79),VLOOKUP(H127,'WordRead Look Up'!$M$13:$N$18,2,TRUE),"")))))</f>
        <v/>
      </c>
      <c r="J127" s="122"/>
      <c r="K127" s="111"/>
      <c r="L127" s="111"/>
      <c r="M127" s="111"/>
      <c r="N127" s="111"/>
      <c r="O127" s="111"/>
      <c r="P127" s="111"/>
      <c r="Q127" s="111"/>
      <c r="R127" s="111"/>
      <c r="S127" s="111"/>
      <c r="T127" s="111"/>
      <c r="U127" s="111"/>
      <c r="V127" s="111"/>
      <c r="W127" s="111"/>
      <c r="X127" s="123"/>
      <c r="AI127" s="222" t="str">
        <f t="shared" si="3"/>
        <v/>
      </c>
    </row>
    <row r="128" spans="1:35" s="108" customFormat="1" ht="15.75">
      <c r="A128" s="119"/>
      <c r="B128" s="120"/>
      <c r="C128" s="111"/>
      <c r="D128" s="111"/>
      <c r="E128" s="121"/>
      <c r="F128" s="121"/>
      <c r="G128" s="113"/>
      <c r="H128" s="199" t="str">
        <f t="shared" si="2"/>
        <v/>
      </c>
      <c r="I128" s="200" t="str">
        <f>IF(H128="","",IF(AND(AI128&lt;=66),VLOOKUP(H128,'WordRead Look Up'!$A$13:$B$20,2,TRUE),IF(AND(AI128&gt;=67,AI128&lt;=72),VLOOKUP(H128,'WordRead Look Up'!$E$13:$F$20,2,TRUE),IF(AND(AI128&gt;=73,AI128&lt;=78),VLOOKUP(H128,'WordRead Look Up'!$I$13:$J$18,2,TRUE),IF(AND(AI128&gt;=79),VLOOKUP(H128,'WordRead Look Up'!$M$13:$N$18,2,TRUE),"")))))</f>
        <v/>
      </c>
      <c r="J128" s="122"/>
      <c r="K128" s="111"/>
      <c r="L128" s="111"/>
      <c r="M128" s="111"/>
      <c r="N128" s="111"/>
      <c r="O128" s="111"/>
      <c r="P128" s="111"/>
      <c r="Q128" s="111"/>
      <c r="R128" s="111"/>
      <c r="S128" s="111"/>
      <c r="T128" s="111"/>
      <c r="U128" s="111"/>
      <c r="V128" s="111"/>
      <c r="W128" s="111"/>
      <c r="X128" s="123"/>
      <c r="AI128" s="222" t="str">
        <f t="shared" si="3"/>
        <v/>
      </c>
    </row>
    <row r="129" spans="1:35" s="108" customFormat="1" ht="15.75">
      <c r="A129" s="119"/>
      <c r="B129" s="120"/>
      <c r="C129" s="111"/>
      <c r="D129" s="111"/>
      <c r="E129" s="121"/>
      <c r="F129" s="121"/>
      <c r="G129" s="113"/>
      <c r="H129" s="199" t="str">
        <f t="shared" si="2"/>
        <v/>
      </c>
      <c r="I129" s="200" t="str">
        <f>IF(H129="","",IF(AND(AI129&lt;=66),VLOOKUP(H129,'WordRead Look Up'!$A$13:$B$20,2,TRUE),IF(AND(AI129&gt;=67,AI129&lt;=72),VLOOKUP(H129,'WordRead Look Up'!$E$13:$F$20,2,TRUE),IF(AND(AI129&gt;=73,AI129&lt;=78),VLOOKUP(H129,'WordRead Look Up'!$I$13:$J$18,2,TRUE),IF(AND(AI129&gt;=79),VLOOKUP(H129,'WordRead Look Up'!$M$13:$N$18,2,TRUE),"")))))</f>
        <v/>
      </c>
      <c r="J129" s="122"/>
      <c r="K129" s="111"/>
      <c r="L129" s="111"/>
      <c r="M129" s="111"/>
      <c r="N129" s="111"/>
      <c r="O129" s="111"/>
      <c r="P129" s="111"/>
      <c r="Q129" s="111"/>
      <c r="R129" s="111"/>
      <c r="S129" s="111"/>
      <c r="T129" s="111"/>
      <c r="U129" s="111"/>
      <c r="V129" s="111"/>
      <c r="W129" s="111"/>
      <c r="X129" s="123"/>
      <c r="AI129" s="222" t="str">
        <f t="shared" si="3"/>
        <v/>
      </c>
    </row>
    <row r="130" spans="1:35" s="108" customFormat="1" ht="15.75">
      <c r="A130" s="119"/>
      <c r="B130" s="120"/>
      <c r="C130" s="111"/>
      <c r="D130" s="111"/>
      <c r="E130" s="121"/>
      <c r="F130" s="121"/>
      <c r="G130" s="113"/>
      <c r="H130" s="199" t="str">
        <f t="shared" si="2"/>
        <v/>
      </c>
      <c r="I130" s="200" t="str">
        <f>IF(H130="","",IF(AND(AI130&lt;=66),VLOOKUP(H130,'WordRead Look Up'!$A$13:$B$20,2,TRUE),IF(AND(AI130&gt;=67,AI130&lt;=72),VLOOKUP(H130,'WordRead Look Up'!$E$13:$F$20,2,TRUE),IF(AND(AI130&gt;=73,AI130&lt;=78),VLOOKUP(H130,'WordRead Look Up'!$I$13:$J$18,2,TRUE),IF(AND(AI130&gt;=79),VLOOKUP(H130,'WordRead Look Up'!$M$13:$N$18,2,TRUE),"")))))</f>
        <v/>
      </c>
      <c r="J130" s="122"/>
      <c r="K130" s="111"/>
      <c r="L130" s="111"/>
      <c r="M130" s="111"/>
      <c r="N130" s="111"/>
      <c r="O130" s="111"/>
      <c r="P130" s="111"/>
      <c r="Q130" s="111"/>
      <c r="R130" s="111"/>
      <c r="S130" s="111"/>
      <c r="T130" s="111"/>
      <c r="U130" s="111"/>
      <c r="V130" s="111"/>
      <c r="W130" s="111"/>
      <c r="X130" s="123"/>
      <c r="AI130" s="222" t="str">
        <f t="shared" si="3"/>
        <v/>
      </c>
    </row>
    <row r="131" spans="1:35" s="108" customFormat="1" ht="15.75">
      <c r="A131" s="119"/>
      <c r="B131" s="120"/>
      <c r="C131" s="111"/>
      <c r="D131" s="111"/>
      <c r="E131" s="121"/>
      <c r="F131" s="121"/>
      <c r="G131" s="113"/>
      <c r="H131" s="199" t="str">
        <f t="shared" si="2"/>
        <v/>
      </c>
      <c r="I131" s="200" t="str">
        <f>IF(H131="","",IF(AND(AI131&lt;=66),VLOOKUP(H131,'WordRead Look Up'!$A$13:$B$20,2,TRUE),IF(AND(AI131&gt;=67,AI131&lt;=72),VLOOKUP(H131,'WordRead Look Up'!$E$13:$F$20,2,TRUE),IF(AND(AI131&gt;=73,AI131&lt;=78),VLOOKUP(H131,'WordRead Look Up'!$I$13:$J$18,2,TRUE),IF(AND(AI131&gt;=79),VLOOKUP(H131,'WordRead Look Up'!$M$13:$N$18,2,TRUE),"")))))</f>
        <v/>
      </c>
      <c r="J131" s="122"/>
      <c r="K131" s="111"/>
      <c r="L131" s="111"/>
      <c r="M131" s="111"/>
      <c r="N131" s="111"/>
      <c r="O131" s="111"/>
      <c r="P131" s="111"/>
      <c r="Q131" s="111"/>
      <c r="R131" s="111"/>
      <c r="S131" s="111"/>
      <c r="T131" s="111"/>
      <c r="U131" s="111"/>
      <c r="V131" s="111"/>
      <c r="W131" s="111"/>
      <c r="X131" s="123"/>
      <c r="AI131" s="222" t="str">
        <f t="shared" si="3"/>
        <v/>
      </c>
    </row>
    <row r="132" spans="1:35" s="108" customFormat="1" ht="15.75">
      <c r="A132" s="119"/>
      <c r="B132" s="120"/>
      <c r="C132" s="111"/>
      <c r="D132" s="111"/>
      <c r="E132" s="121"/>
      <c r="F132" s="121"/>
      <c r="G132" s="113"/>
      <c r="H132" s="199" t="str">
        <f t="shared" si="2"/>
        <v/>
      </c>
      <c r="I132" s="200" t="str">
        <f>IF(H132="","",IF(AND(AI132&lt;=66),VLOOKUP(H132,'WordRead Look Up'!$A$13:$B$20,2,TRUE),IF(AND(AI132&gt;=67,AI132&lt;=72),VLOOKUP(H132,'WordRead Look Up'!$E$13:$F$20,2,TRUE),IF(AND(AI132&gt;=73,AI132&lt;=78),VLOOKUP(H132,'WordRead Look Up'!$I$13:$J$18,2,TRUE),IF(AND(AI132&gt;=79),VLOOKUP(H132,'WordRead Look Up'!$M$13:$N$18,2,TRUE),"")))))</f>
        <v/>
      </c>
      <c r="J132" s="122"/>
      <c r="K132" s="111"/>
      <c r="L132" s="111"/>
      <c r="M132" s="111"/>
      <c r="N132" s="111"/>
      <c r="O132" s="111"/>
      <c r="P132" s="111"/>
      <c r="Q132" s="111"/>
      <c r="R132" s="111"/>
      <c r="S132" s="111"/>
      <c r="T132" s="111"/>
      <c r="U132" s="111"/>
      <c r="V132" s="111"/>
      <c r="W132" s="111"/>
      <c r="X132" s="123"/>
      <c r="AI132" s="222" t="str">
        <f t="shared" si="3"/>
        <v/>
      </c>
    </row>
    <row r="133" spans="1:35" s="108" customFormat="1" ht="15.75">
      <c r="A133" s="119"/>
      <c r="B133" s="120"/>
      <c r="C133" s="111"/>
      <c r="D133" s="111"/>
      <c r="E133" s="121"/>
      <c r="F133" s="121"/>
      <c r="G133" s="113"/>
      <c r="H133" s="199" t="str">
        <f t="shared" si="2"/>
        <v/>
      </c>
      <c r="I133" s="200" t="str">
        <f>IF(H133="","",IF(AND(AI133&lt;=66),VLOOKUP(H133,'WordRead Look Up'!$A$13:$B$20,2,TRUE),IF(AND(AI133&gt;=67,AI133&lt;=72),VLOOKUP(H133,'WordRead Look Up'!$E$13:$F$20,2,TRUE),IF(AND(AI133&gt;=73,AI133&lt;=78),VLOOKUP(H133,'WordRead Look Up'!$I$13:$J$18,2,TRUE),IF(AND(AI133&gt;=79),VLOOKUP(H133,'WordRead Look Up'!$M$13:$N$18,2,TRUE),"")))))</f>
        <v/>
      </c>
      <c r="J133" s="122"/>
      <c r="K133" s="111"/>
      <c r="L133" s="111"/>
      <c r="M133" s="111"/>
      <c r="N133" s="111"/>
      <c r="O133" s="111"/>
      <c r="P133" s="111"/>
      <c r="Q133" s="111"/>
      <c r="R133" s="111"/>
      <c r="S133" s="111"/>
      <c r="T133" s="111"/>
      <c r="U133" s="111"/>
      <c r="V133" s="111"/>
      <c r="W133" s="111"/>
      <c r="X133" s="123"/>
      <c r="AI133" s="222" t="str">
        <f t="shared" si="3"/>
        <v/>
      </c>
    </row>
    <row r="134" spans="1:35" s="108" customFormat="1" ht="15.75">
      <c r="A134" s="119"/>
      <c r="B134" s="120"/>
      <c r="C134" s="111"/>
      <c r="D134" s="111"/>
      <c r="E134" s="121"/>
      <c r="F134" s="121"/>
      <c r="G134" s="113"/>
      <c r="H134" s="199" t="str">
        <f t="shared" si="2"/>
        <v/>
      </c>
      <c r="I134" s="200" t="str">
        <f>IF(H134="","",IF(AND(AI134&lt;=66),VLOOKUP(H134,'WordRead Look Up'!$A$13:$B$20,2,TRUE),IF(AND(AI134&gt;=67,AI134&lt;=72),VLOOKUP(H134,'WordRead Look Up'!$E$13:$F$20,2,TRUE),IF(AND(AI134&gt;=73,AI134&lt;=78),VLOOKUP(H134,'WordRead Look Up'!$I$13:$J$18,2,TRUE),IF(AND(AI134&gt;=79),VLOOKUP(H134,'WordRead Look Up'!$M$13:$N$18,2,TRUE),"")))))</f>
        <v/>
      </c>
      <c r="J134" s="122"/>
      <c r="K134" s="111"/>
      <c r="L134" s="111"/>
      <c r="M134" s="111"/>
      <c r="N134" s="111"/>
      <c r="O134" s="111"/>
      <c r="P134" s="111"/>
      <c r="Q134" s="111"/>
      <c r="R134" s="111"/>
      <c r="S134" s="111"/>
      <c r="T134" s="111"/>
      <c r="U134" s="111"/>
      <c r="V134" s="111"/>
      <c r="W134" s="111"/>
      <c r="X134" s="123"/>
      <c r="AI134" s="222" t="str">
        <f t="shared" si="3"/>
        <v/>
      </c>
    </row>
    <row r="135" spans="1:35" s="108" customFormat="1" ht="15.75">
      <c r="A135" s="119"/>
      <c r="B135" s="120"/>
      <c r="C135" s="111"/>
      <c r="D135" s="111"/>
      <c r="E135" s="121"/>
      <c r="F135" s="121"/>
      <c r="G135" s="113"/>
      <c r="H135" s="199" t="str">
        <f t="shared" si="2"/>
        <v/>
      </c>
      <c r="I135" s="200" t="str">
        <f>IF(H135="","",IF(AND(AI135&lt;=66),VLOOKUP(H135,'WordRead Look Up'!$A$13:$B$20,2,TRUE),IF(AND(AI135&gt;=67,AI135&lt;=72),VLOOKUP(H135,'WordRead Look Up'!$E$13:$F$20,2,TRUE),IF(AND(AI135&gt;=73,AI135&lt;=78),VLOOKUP(H135,'WordRead Look Up'!$I$13:$J$18,2,TRUE),IF(AND(AI135&gt;=79),VLOOKUP(H135,'WordRead Look Up'!$M$13:$N$18,2,TRUE),"")))))</f>
        <v/>
      </c>
      <c r="J135" s="122"/>
      <c r="K135" s="111"/>
      <c r="L135" s="111"/>
      <c r="M135" s="111"/>
      <c r="N135" s="111"/>
      <c r="O135" s="111"/>
      <c r="P135" s="111"/>
      <c r="Q135" s="111"/>
      <c r="R135" s="111"/>
      <c r="S135" s="111"/>
      <c r="T135" s="111"/>
      <c r="U135" s="111"/>
      <c r="V135" s="111"/>
      <c r="W135" s="111"/>
      <c r="X135" s="123"/>
      <c r="AI135" s="222" t="str">
        <f t="shared" si="3"/>
        <v/>
      </c>
    </row>
    <row r="136" spans="1:35" s="108" customFormat="1" ht="15.75">
      <c r="A136" s="119"/>
      <c r="B136" s="120"/>
      <c r="C136" s="111"/>
      <c r="D136" s="111"/>
      <c r="E136" s="121"/>
      <c r="F136" s="121"/>
      <c r="G136" s="113"/>
      <c r="H136" s="199" t="str">
        <f t="shared" ref="H136:H199" si="4">IF(E136="","",COUNTIF(J136:X136,"y"))</f>
        <v/>
      </c>
      <c r="I136" s="200" t="str">
        <f>IF(H136="","",IF(AND(AI136&lt;=66),VLOOKUP(H136,'WordRead Look Up'!$A$13:$B$20,2,TRUE),IF(AND(AI136&gt;=67,AI136&lt;=72),VLOOKUP(H136,'WordRead Look Up'!$E$13:$F$20,2,TRUE),IF(AND(AI136&gt;=73,AI136&lt;=78),VLOOKUP(H136,'WordRead Look Up'!$I$13:$J$18,2,TRUE),IF(AND(AI136&gt;=79),VLOOKUP(H136,'WordRead Look Up'!$M$13:$N$18,2,TRUE),"")))))</f>
        <v/>
      </c>
      <c r="J136" s="122"/>
      <c r="K136" s="111"/>
      <c r="L136" s="111"/>
      <c r="M136" s="111"/>
      <c r="N136" s="111"/>
      <c r="O136" s="111"/>
      <c r="P136" s="111"/>
      <c r="Q136" s="111"/>
      <c r="R136" s="111"/>
      <c r="S136" s="111"/>
      <c r="T136" s="111"/>
      <c r="U136" s="111"/>
      <c r="V136" s="111"/>
      <c r="W136" s="111"/>
      <c r="X136" s="123"/>
      <c r="AI136" s="222" t="str">
        <f t="shared" ref="AI136:AI199" si="5">IF(E136="","",DATEDIF(B136,A136,"m"))</f>
        <v/>
      </c>
    </row>
    <row r="137" spans="1:35" s="108" customFormat="1" ht="15.75">
      <c r="A137" s="119"/>
      <c r="B137" s="120"/>
      <c r="C137" s="111"/>
      <c r="D137" s="111"/>
      <c r="E137" s="121"/>
      <c r="F137" s="121"/>
      <c r="G137" s="113"/>
      <c r="H137" s="199" t="str">
        <f t="shared" si="4"/>
        <v/>
      </c>
      <c r="I137" s="200" t="str">
        <f>IF(H137="","",IF(AND(AI137&lt;=66),VLOOKUP(H137,'WordRead Look Up'!$A$13:$B$20,2,TRUE),IF(AND(AI137&gt;=67,AI137&lt;=72),VLOOKUP(H137,'WordRead Look Up'!$E$13:$F$20,2,TRUE),IF(AND(AI137&gt;=73,AI137&lt;=78),VLOOKUP(H137,'WordRead Look Up'!$I$13:$J$18,2,TRUE),IF(AND(AI137&gt;=79),VLOOKUP(H137,'WordRead Look Up'!$M$13:$N$18,2,TRUE),"")))))</f>
        <v/>
      </c>
      <c r="J137" s="122"/>
      <c r="K137" s="111"/>
      <c r="L137" s="111"/>
      <c r="M137" s="111"/>
      <c r="N137" s="111"/>
      <c r="O137" s="111"/>
      <c r="P137" s="111"/>
      <c r="Q137" s="111"/>
      <c r="R137" s="111"/>
      <c r="S137" s="111"/>
      <c r="T137" s="111"/>
      <c r="U137" s="111"/>
      <c r="V137" s="111"/>
      <c r="W137" s="111"/>
      <c r="X137" s="123"/>
      <c r="AI137" s="222" t="str">
        <f t="shared" si="5"/>
        <v/>
      </c>
    </row>
    <row r="138" spans="1:35" s="108" customFormat="1" ht="15.75">
      <c r="A138" s="119"/>
      <c r="B138" s="120"/>
      <c r="C138" s="111"/>
      <c r="D138" s="111"/>
      <c r="E138" s="121"/>
      <c r="F138" s="121"/>
      <c r="G138" s="113"/>
      <c r="H138" s="199" t="str">
        <f t="shared" si="4"/>
        <v/>
      </c>
      <c r="I138" s="200" t="str">
        <f>IF(H138="","",IF(AND(AI138&lt;=66),VLOOKUP(H138,'WordRead Look Up'!$A$13:$B$20,2,TRUE),IF(AND(AI138&gt;=67,AI138&lt;=72),VLOOKUP(H138,'WordRead Look Up'!$E$13:$F$20,2,TRUE),IF(AND(AI138&gt;=73,AI138&lt;=78),VLOOKUP(H138,'WordRead Look Up'!$I$13:$J$18,2,TRUE),IF(AND(AI138&gt;=79),VLOOKUP(H138,'WordRead Look Up'!$M$13:$N$18,2,TRUE),"")))))</f>
        <v/>
      </c>
      <c r="J138" s="122"/>
      <c r="K138" s="111"/>
      <c r="L138" s="111"/>
      <c r="M138" s="111"/>
      <c r="N138" s="111"/>
      <c r="O138" s="111"/>
      <c r="P138" s="111"/>
      <c r="Q138" s="111"/>
      <c r="R138" s="111"/>
      <c r="S138" s="111"/>
      <c r="T138" s="111"/>
      <c r="U138" s="111"/>
      <c r="V138" s="111"/>
      <c r="W138" s="111"/>
      <c r="X138" s="123"/>
      <c r="AI138" s="222" t="str">
        <f t="shared" si="5"/>
        <v/>
      </c>
    </row>
    <row r="139" spans="1:35" s="108" customFormat="1" ht="15.75">
      <c r="A139" s="119"/>
      <c r="B139" s="120"/>
      <c r="C139" s="111"/>
      <c r="D139" s="111"/>
      <c r="E139" s="121"/>
      <c r="F139" s="121"/>
      <c r="G139" s="113"/>
      <c r="H139" s="199" t="str">
        <f t="shared" si="4"/>
        <v/>
      </c>
      <c r="I139" s="200" t="str">
        <f>IF(H139="","",IF(AND(AI139&lt;=66),VLOOKUP(H139,'WordRead Look Up'!$A$13:$B$20,2,TRUE),IF(AND(AI139&gt;=67,AI139&lt;=72),VLOOKUP(H139,'WordRead Look Up'!$E$13:$F$20,2,TRUE),IF(AND(AI139&gt;=73,AI139&lt;=78),VLOOKUP(H139,'WordRead Look Up'!$I$13:$J$18,2,TRUE),IF(AND(AI139&gt;=79),VLOOKUP(H139,'WordRead Look Up'!$M$13:$N$18,2,TRUE),"")))))</f>
        <v/>
      </c>
      <c r="J139" s="122"/>
      <c r="K139" s="111"/>
      <c r="L139" s="111"/>
      <c r="M139" s="111"/>
      <c r="N139" s="111"/>
      <c r="O139" s="111"/>
      <c r="P139" s="111"/>
      <c r="Q139" s="111"/>
      <c r="R139" s="111"/>
      <c r="S139" s="111"/>
      <c r="T139" s="111"/>
      <c r="U139" s="111"/>
      <c r="V139" s="111"/>
      <c r="W139" s="111"/>
      <c r="X139" s="123"/>
      <c r="AI139" s="222" t="str">
        <f t="shared" si="5"/>
        <v/>
      </c>
    </row>
    <row r="140" spans="1:35" s="108" customFormat="1" ht="15.75">
      <c r="A140" s="119"/>
      <c r="B140" s="120"/>
      <c r="C140" s="111"/>
      <c r="D140" s="111"/>
      <c r="E140" s="121"/>
      <c r="F140" s="121"/>
      <c r="G140" s="113"/>
      <c r="H140" s="199" t="str">
        <f t="shared" si="4"/>
        <v/>
      </c>
      <c r="I140" s="200" t="str">
        <f>IF(H140="","",IF(AND(AI140&lt;=66),VLOOKUP(H140,'WordRead Look Up'!$A$13:$B$20,2,TRUE),IF(AND(AI140&gt;=67,AI140&lt;=72),VLOOKUP(H140,'WordRead Look Up'!$E$13:$F$20,2,TRUE),IF(AND(AI140&gt;=73,AI140&lt;=78),VLOOKUP(H140,'WordRead Look Up'!$I$13:$J$18,2,TRUE),IF(AND(AI140&gt;=79),VLOOKUP(H140,'WordRead Look Up'!$M$13:$N$18,2,TRUE),"")))))</f>
        <v/>
      </c>
      <c r="J140" s="122"/>
      <c r="K140" s="111"/>
      <c r="L140" s="111"/>
      <c r="M140" s="111"/>
      <c r="N140" s="111"/>
      <c r="O140" s="111"/>
      <c r="P140" s="111"/>
      <c r="Q140" s="111"/>
      <c r="R140" s="111"/>
      <c r="S140" s="111"/>
      <c r="T140" s="111"/>
      <c r="U140" s="111"/>
      <c r="V140" s="111"/>
      <c r="W140" s="111"/>
      <c r="X140" s="123"/>
      <c r="AI140" s="222" t="str">
        <f t="shared" si="5"/>
        <v/>
      </c>
    </row>
    <row r="141" spans="1:35" s="108" customFormat="1" ht="15.75">
      <c r="A141" s="119"/>
      <c r="B141" s="120"/>
      <c r="C141" s="111"/>
      <c r="D141" s="111"/>
      <c r="E141" s="121"/>
      <c r="F141" s="121"/>
      <c r="G141" s="113"/>
      <c r="H141" s="199" t="str">
        <f t="shared" si="4"/>
        <v/>
      </c>
      <c r="I141" s="200" t="str">
        <f>IF(H141="","",IF(AND(AI141&lt;=66),VLOOKUP(H141,'WordRead Look Up'!$A$13:$B$20,2,TRUE),IF(AND(AI141&gt;=67,AI141&lt;=72),VLOOKUP(H141,'WordRead Look Up'!$E$13:$F$20,2,TRUE),IF(AND(AI141&gt;=73,AI141&lt;=78),VLOOKUP(H141,'WordRead Look Up'!$I$13:$J$18,2,TRUE),IF(AND(AI141&gt;=79),VLOOKUP(H141,'WordRead Look Up'!$M$13:$N$18,2,TRUE),"")))))</f>
        <v/>
      </c>
      <c r="J141" s="122"/>
      <c r="K141" s="111"/>
      <c r="L141" s="111"/>
      <c r="M141" s="111"/>
      <c r="N141" s="111"/>
      <c r="O141" s="111"/>
      <c r="P141" s="111"/>
      <c r="Q141" s="111"/>
      <c r="R141" s="111"/>
      <c r="S141" s="111"/>
      <c r="T141" s="111"/>
      <c r="U141" s="111"/>
      <c r="V141" s="111"/>
      <c r="W141" s="111"/>
      <c r="X141" s="123"/>
      <c r="AI141" s="222" t="str">
        <f t="shared" si="5"/>
        <v/>
      </c>
    </row>
    <row r="142" spans="1:35" s="108" customFormat="1" ht="15.75">
      <c r="A142" s="119"/>
      <c r="B142" s="120"/>
      <c r="C142" s="111"/>
      <c r="D142" s="111"/>
      <c r="E142" s="121"/>
      <c r="F142" s="121"/>
      <c r="G142" s="113"/>
      <c r="H142" s="199" t="str">
        <f t="shared" si="4"/>
        <v/>
      </c>
      <c r="I142" s="200" t="str">
        <f>IF(H142="","",IF(AND(AI142&lt;=66),VLOOKUP(H142,'WordRead Look Up'!$A$13:$B$20,2,TRUE),IF(AND(AI142&gt;=67,AI142&lt;=72),VLOOKUP(H142,'WordRead Look Up'!$E$13:$F$20,2,TRUE),IF(AND(AI142&gt;=73,AI142&lt;=78),VLOOKUP(H142,'WordRead Look Up'!$I$13:$J$18,2,TRUE),IF(AND(AI142&gt;=79),VLOOKUP(H142,'WordRead Look Up'!$M$13:$N$18,2,TRUE),"")))))</f>
        <v/>
      </c>
      <c r="J142" s="122"/>
      <c r="K142" s="111"/>
      <c r="L142" s="111"/>
      <c r="M142" s="111"/>
      <c r="N142" s="111"/>
      <c r="O142" s="111"/>
      <c r="P142" s="111"/>
      <c r="Q142" s="111"/>
      <c r="R142" s="111"/>
      <c r="S142" s="111"/>
      <c r="T142" s="111"/>
      <c r="U142" s="111"/>
      <c r="V142" s="111"/>
      <c r="W142" s="111"/>
      <c r="X142" s="123"/>
      <c r="AI142" s="222" t="str">
        <f t="shared" si="5"/>
        <v/>
      </c>
    </row>
    <row r="143" spans="1:35" s="108" customFormat="1" ht="15.75">
      <c r="A143" s="119"/>
      <c r="B143" s="120"/>
      <c r="C143" s="111"/>
      <c r="D143" s="111"/>
      <c r="E143" s="121"/>
      <c r="F143" s="121"/>
      <c r="G143" s="113"/>
      <c r="H143" s="199" t="str">
        <f t="shared" si="4"/>
        <v/>
      </c>
      <c r="I143" s="200" t="str">
        <f>IF(H143="","",IF(AND(AI143&lt;=66),VLOOKUP(H143,'WordRead Look Up'!$A$13:$B$20,2,TRUE),IF(AND(AI143&gt;=67,AI143&lt;=72),VLOOKUP(H143,'WordRead Look Up'!$E$13:$F$20,2,TRUE),IF(AND(AI143&gt;=73,AI143&lt;=78),VLOOKUP(H143,'WordRead Look Up'!$I$13:$J$18,2,TRUE),IF(AND(AI143&gt;=79),VLOOKUP(H143,'WordRead Look Up'!$M$13:$N$18,2,TRUE),"")))))</f>
        <v/>
      </c>
      <c r="J143" s="122"/>
      <c r="K143" s="111"/>
      <c r="L143" s="111"/>
      <c r="M143" s="111"/>
      <c r="N143" s="111"/>
      <c r="O143" s="111"/>
      <c r="P143" s="111"/>
      <c r="Q143" s="111"/>
      <c r="R143" s="111"/>
      <c r="S143" s="111"/>
      <c r="T143" s="111"/>
      <c r="U143" s="111"/>
      <c r="V143" s="111"/>
      <c r="W143" s="111"/>
      <c r="X143" s="123"/>
      <c r="AI143" s="222" t="str">
        <f t="shared" si="5"/>
        <v/>
      </c>
    </row>
    <row r="144" spans="1:35" s="108" customFormat="1" ht="15.75">
      <c r="A144" s="119"/>
      <c r="B144" s="120"/>
      <c r="C144" s="111"/>
      <c r="D144" s="111"/>
      <c r="E144" s="121"/>
      <c r="F144" s="121"/>
      <c r="G144" s="113"/>
      <c r="H144" s="199" t="str">
        <f t="shared" si="4"/>
        <v/>
      </c>
      <c r="I144" s="200" t="str">
        <f>IF(H144="","",IF(AND(AI144&lt;=66),VLOOKUP(H144,'WordRead Look Up'!$A$13:$B$20,2,TRUE),IF(AND(AI144&gt;=67,AI144&lt;=72),VLOOKUP(H144,'WordRead Look Up'!$E$13:$F$20,2,TRUE),IF(AND(AI144&gt;=73,AI144&lt;=78),VLOOKUP(H144,'WordRead Look Up'!$I$13:$J$18,2,TRUE),IF(AND(AI144&gt;=79),VLOOKUP(H144,'WordRead Look Up'!$M$13:$N$18,2,TRUE),"")))))</f>
        <v/>
      </c>
      <c r="J144" s="122"/>
      <c r="K144" s="111"/>
      <c r="L144" s="111"/>
      <c r="M144" s="111"/>
      <c r="N144" s="111"/>
      <c r="O144" s="111"/>
      <c r="P144" s="111"/>
      <c r="Q144" s="111"/>
      <c r="R144" s="111"/>
      <c r="S144" s="111"/>
      <c r="T144" s="111"/>
      <c r="U144" s="111"/>
      <c r="V144" s="111"/>
      <c r="W144" s="111"/>
      <c r="X144" s="123"/>
      <c r="AI144" s="222" t="str">
        <f t="shared" si="5"/>
        <v/>
      </c>
    </row>
    <row r="145" spans="1:35" s="108" customFormat="1" ht="15.75">
      <c r="A145" s="119"/>
      <c r="B145" s="120"/>
      <c r="C145" s="111"/>
      <c r="D145" s="111"/>
      <c r="E145" s="121"/>
      <c r="F145" s="121"/>
      <c r="G145" s="113"/>
      <c r="H145" s="199" t="str">
        <f t="shared" si="4"/>
        <v/>
      </c>
      <c r="I145" s="200" t="str">
        <f>IF(H145="","",IF(AND(AI145&lt;=66),VLOOKUP(H145,'WordRead Look Up'!$A$13:$B$20,2,TRUE),IF(AND(AI145&gt;=67,AI145&lt;=72),VLOOKUP(H145,'WordRead Look Up'!$E$13:$F$20,2,TRUE),IF(AND(AI145&gt;=73,AI145&lt;=78),VLOOKUP(H145,'WordRead Look Up'!$I$13:$J$18,2,TRUE),IF(AND(AI145&gt;=79),VLOOKUP(H145,'WordRead Look Up'!$M$13:$N$18,2,TRUE),"")))))</f>
        <v/>
      </c>
      <c r="J145" s="122"/>
      <c r="K145" s="111"/>
      <c r="L145" s="111"/>
      <c r="M145" s="111"/>
      <c r="N145" s="111"/>
      <c r="O145" s="111"/>
      <c r="P145" s="111"/>
      <c r="Q145" s="111"/>
      <c r="R145" s="111"/>
      <c r="S145" s="111"/>
      <c r="T145" s="111"/>
      <c r="U145" s="111"/>
      <c r="V145" s="111"/>
      <c r="W145" s="111"/>
      <c r="X145" s="123"/>
      <c r="AI145" s="222" t="str">
        <f t="shared" si="5"/>
        <v/>
      </c>
    </row>
    <row r="146" spans="1:35" s="108" customFormat="1" ht="15.75">
      <c r="A146" s="119"/>
      <c r="B146" s="120"/>
      <c r="C146" s="111"/>
      <c r="D146" s="111"/>
      <c r="E146" s="121"/>
      <c r="F146" s="121"/>
      <c r="G146" s="113"/>
      <c r="H146" s="199" t="str">
        <f t="shared" si="4"/>
        <v/>
      </c>
      <c r="I146" s="200" t="str">
        <f>IF(H146="","",IF(AND(AI146&lt;=66),VLOOKUP(H146,'WordRead Look Up'!$A$13:$B$20,2,TRUE),IF(AND(AI146&gt;=67,AI146&lt;=72),VLOOKUP(H146,'WordRead Look Up'!$E$13:$F$20,2,TRUE),IF(AND(AI146&gt;=73,AI146&lt;=78),VLOOKUP(H146,'WordRead Look Up'!$I$13:$J$18,2,TRUE),IF(AND(AI146&gt;=79),VLOOKUP(H146,'WordRead Look Up'!$M$13:$N$18,2,TRUE),"")))))</f>
        <v/>
      </c>
      <c r="J146" s="122"/>
      <c r="K146" s="111"/>
      <c r="L146" s="111"/>
      <c r="M146" s="111"/>
      <c r="N146" s="111"/>
      <c r="O146" s="111"/>
      <c r="P146" s="111"/>
      <c r="Q146" s="111"/>
      <c r="R146" s="111"/>
      <c r="S146" s="111"/>
      <c r="T146" s="111"/>
      <c r="U146" s="111"/>
      <c r="V146" s="111"/>
      <c r="W146" s="111"/>
      <c r="X146" s="123"/>
      <c r="AI146" s="222" t="str">
        <f t="shared" si="5"/>
        <v/>
      </c>
    </row>
    <row r="147" spans="1:35" s="108" customFormat="1" ht="15.75">
      <c r="A147" s="119"/>
      <c r="B147" s="120"/>
      <c r="C147" s="111"/>
      <c r="D147" s="111"/>
      <c r="E147" s="121"/>
      <c r="F147" s="121"/>
      <c r="G147" s="113"/>
      <c r="H147" s="199" t="str">
        <f t="shared" si="4"/>
        <v/>
      </c>
      <c r="I147" s="200" t="str">
        <f>IF(H147="","",IF(AND(AI147&lt;=66),VLOOKUP(H147,'WordRead Look Up'!$A$13:$B$20,2,TRUE),IF(AND(AI147&gt;=67,AI147&lt;=72),VLOOKUP(H147,'WordRead Look Up'!$E$13:$F$20,2,TRUE),IF(AND(AI147&gt;=73,AI147&lt;=78),VLOOKUP(H147,'WordRead Look Up'!$I$13:$J$18,2,TRUE),IF(AND(AI147&gt;=79),VLOOKUP(H147,'WordRead Look Up'!$M$13:$N$18,2,TRUE),"")))))</f>
        <v/>
      </c>
      <c r="J147" s="122"/>
      <c r="K147" s="111"/>
      <c r="L147" s="111"/>
      <c r="M147" s="111"/>
      <c r="N147" s="111"/>
      <c r="O147" s="111"/>
      <c r="P147" s="111"/>
      <c r="Q147" s="111"/>
      <c r="R147" s="111"/>
      <c r="S147" s="111"/>
      <c r="T147" s="111"/>
      <c r="U147" s="111"/>
      <c r="V147" s="111"/>
      <c r="W147" s="111"/>
      <c r="X147" s="123"/>
      <c r="AI147" s="222" t="str">
        <f t="shared" si="5"/>
        <v/>
      </c>
    </row>
    <row r="148" spans="1:35" s="108" customFormat="1" ht="15.75">
      <c r="A148" s="119"/>
      <c r="B148" s="120"/>
      <c r="C148" s="111"/>
      <c r="D148" s="111"/>
      <c r="E148" s="121"/>
      <c r="F148" s="121"/>
      <c r="G148" s="113"/>
      <c r="H148" s="199" t="str">
        <f t="shared" si="4"/>
        <v/>
      </c>
      <c r="I148" s="200" t="str">
        <f>IF(H148="","",IF(AND(AI148&lt;=66),VLOOKUP(H148,'WordRead Look Up'!$A$13:$B$20,2,TRUE),IF(AND(AI148&gt;=67,AI148&lt;=72),VLOOKUP(H148,'WordRead Look Up'!$E$13:$F$20,2,TRUE),IF(AND(AI148&gt;=73,AI148&lt;=78),VLOOKUP(H148,'WordRead Look Up'!$I$13:$J$18,2,TRUE),IF(AND(AI148&gt;=79),VLOOKUP(H148,'WordRead Look Up'!$M$13:$N$18,2,TRUE),"")))))</f>
        <v/>
      </c>
      <c r="J148" s="122"/>
      <c r="K148" s="111"/>
      <c r="L148" s="111"/>
      <c r="M148" s="111"/>
      <c r="N148" s="111"/>
      <c r="O148" s="111"/>
      <c r="P148" s="111"/>
      <c r="Q148" s="111"/>
      <c r="R148" s="111"/>
      <c r="S148" s="111"/>
      <c r="T148" s="111"/>
      <c r="U148" s="111"/>
      <c r="V148" s="111"/>
      <c r="W148" s="111"/>
      <c r="X148" s="123"/>
      <c r="AI148" s="222" t="str">
        <f t="shared" si="5"/>
        <v/>
      </c>
    </row>
    <row r="149" spans="1:35" s="108" customFormat="1" ht="15.75">
      <c r="A149" s="119"/>
      <c r="B149" s="120"/>
      <c r="C149" s="111"/>
      <c r="D149" s="111"/>
      <c r="E149" s="121"/>
      <c r="F149" s="121"/>
      <c r="G149" s="113"/>
      <c r="H149" s="199" t="str">
        <f t="shared" si="4"/>
        <v/>
      </c>
      <c r="I149" s="200" t="str">
        <f>IF(H149="","",IF(AND(AI149&lt;=66),VLOOKUP(H149,'WordRead Look Up'!$A$13:$B$20,2,TRUE),IF(AND(AI149&gt;=67,AI149&lt;=72),VLOOKUP(H149,'WordRead Look Up'!$E$13:$F$20,2,TRUE),IF(AND(AI149&gt;=73,AI149&lt;=78),VLOOKUP(H149,'WordRead Look Up'!$I$13:$J$18,2,TRUE),IF(AND(AI149&gt;=79),VLOOKUP(H149,'WordRead Look Up'!$M$13:$N$18,2,TRUE),"")))))</f>
        <v/>
      </c>
      <c r="J149" s="122"/>
      <c r="K149" s="111"/>
      <c r="L149" s="111"/>
      <c r="M149" s="111"/>
      <c r="N149" s="111"/>
      <c r="O149" s="111"/>
      <c r="P149" s="111"/>
      <c r="Q149" s="111"/>
      <c r="R149" s="111"/>
      <c r="S149" s="111"/>
      <c r="T149" s="111"/>
      <c r="U149" s="111"/>
      <c r="V149" s="111"/>
      <c r="W149" s="111"/>
      <c r="X149" s="123"/>
      <c r="AI149" s="222" t="str">
        <f t="shared" si="5"/>
        <v/>
      </c>
    </row>
    <row r="150" spans="1:35" s="108" customFormat="1" ht="15.75">
      <c r="A150" s="119"/>
      <c r="B150" s="120"/>
      <c r="C150" s="111"/>
      <c r="D150" s="111"/>
      <c r="E150" s="121"/>
      <c r="F150" s="121"/>
      <c r="G150" s="113"/>
      <c r="H150" s="199" t="str">
        <f t="shared" si="4"/>
        <v/>
      </c>
      <c r="I150" s="200" t="str">
        <f>IF(H150="","",IF(AND(AI150&lt;=66),VLOOKUP(H150,'WordRead Look Up'!$A$13:$B$20,2,TRUE),IF(AND(AI150&gt;=67,AI150&lt;=72),VLOOKUP(H150,'WordRead Look Up'!$E$13:$F$20,2,TRUE),IF(AND(AI150&gt;=73,AI150&lt;=78),VLOOKUP(H150,'WordRead Look Up'!$I$13:$J$18,2,TRUE),IF(AND(AI150&gt;=79),VLOOKUP(H150,'WordRead Look Up'!$M$13:$N$18,2,TRUE),"")))))</f>
        <v/>
      </c>
      <c r="J150" s="122"/>
      <c r="K150" s="111"/>
      <c r="L150" s="111"/>
      <c r="M150" s="111"/>
      <c r="N150" s="111"/>
      <c r="O150" s="111"/>
      <c r="P150" s="111"/>
      <c r="Q150" s="111"/>
      <c r="R150" s="111"/>
      <c r="S150" s="111"/>
      <c r="T150" s="111"/>
      <c r="U150" s="111"/>
      <c r="V150" s="111"/>
      <c r="W150" s="111"/>
      <c r="X150" s="123"/>
      <c r="AI150" s="222" t="str">
        <f t="shared" si="5"/>
        <v/>
      </c>
    </row>
    <row r="151" spans="1:35" s="108" customFormat="1" ht="15.75">
      <c r="A151" s="119"/>
      <c r="B151" s="120"/>
      <c r="C151" s="111"/>
      <c r="D151" s="111"/>
      <c r="E151" s="121"/>
      <c r="F151" s="121"/>
      <c r="G151" s="113"/>
      <c r="H151" s="199" t="str">
        <f t="shared" si="4"/>
        <v/>
      </c>
      <c r="I151" s="200" t="str">
        <f>IF(H151="","",IF(AND(AI151&lt;=66),VLOOKUP(H151,'WordRead Look Up'!$A$13:$B$20,2,TRUE),IF(AND(AI151&gt;=67,AI151&lt;=72),VLOOKUP(H151,'WordRead Look Up'!$E$13:$F$20,2,TRUE),IF(AND(AI151&gt;=73,AI151&lt;=78),VLOOKUP(H151,'WordRead Look Up'!$I$13:$J$18,2,TRUE),IF(AND(AI151&gt;=79),VLOOKUP(H151,'WordRead Look Up'!$M$13:$N$18,2,TRUE),"")))))</f>
        <v/>
      </c>
      <c r="J151" s="122"/>
      <c r="K151" s="111"/>
      <c r="L151" s="111"/>
      <c r="M151" s="111"/>
      <c r="N151" s="111"/>
      <c r="O151" s="111"/>
      <c r="P151" s="111"/>
      <c r="Q151" s="111"/>
      <c r="R151" s="111"/>
      <c r="S151" s="111"/>
      <c r="T151" s="111"/>
      <c r="U151" s="111"/>
      <c r="V151" s="111"/>
      <c r="W151" s="111"/>
      <c r="X151" s="123"/>
      <c r="AI151" s="222" t="str">
        <f t="shared" si="5"/>
        <v/>
      </c>
    </row>
    <row r="152" spans="1:35" s="108" customFormat="1" ht="15.75">
      <c r="A152" s="119"/>
      <c r="B152" s="120"/>
      <c r="C152" s="111"/>
      <c r="D152" s="111"/>
      <c r="E152" s="121"/>
      <c r="F152" s="121"/>
      <c r="G152" s="113"/>
      <c r="H152" s="199" t="str">
        <f t="shared" si="4"/>
        <v/>
      </c>
      <c r="I152" s="200" t="str">
        <f>IF(H152="","",IF(AND(AI152&lt;=66),VLOOKUP(H152,'WordRead Look Up'!$A$13:$B$20,2,TRUE),IF(AND(AI152&gt;=67,AI152&lt;=72),VLOOKUP(H152,'WordRead Look Up'!$E$13:$F$20,2,TRUE),IF(AND(AI152&gt;=73,AI152&lt;=78),VLOOKUP(H152,'WordRead Look Up'!$I$13:$J$18,2,TRUE),IF(AND(AI152&gt;=79),VLOOKUP(H152,'WordRead Look Up'!$M$13:$N$18,2,TRUE),"")))))</f>
        <v/>
      </c>
      <c r="J152" s="122"/>
      <c r="K152" s="111"/>
      <c r="L152" s="111"/>
      <c r="M152" s="111"/>
      <c r="N152" s="111"/>
      <c r="O152" s="111"/>
      <c r="P152" s="111"/>
      <c r="Q152" s="111"/>
      <c r="R152" s="111"/>
      <c r="S152" s="111"/>
      <c r="T152" s="111"/>
      <c r="U152" s="111"/>
      <c r="V152" s="111"/>
      <c r="W152" s="111"/>
      <c r="X152" s="123"/>
      <c r="AI152" s="222" t="str">
        <f t="shared" si="5"/>
        <v/>
      </c>
    </row>
    <row r="153" spans="1:35" s="108" customFormat="1" ht="15.75">
      <c r="A153" s="119"/>
      <c r="B153" s="120"/>
      <c r="C153" s="111"/>
      <c r="D153" s="111"/>
      <c r="E153" s="121"/>
      <c r="F153" s="121"/>
      <c r="G153" s="113"/>
      <c r="H153" s="199" t="str">
        <f t="shared" si="4"/>
        <v/>
      </c>
      <c r="I153" s="200" t="str">
        <f>IF(H153="","",IF(AND(AI153&lt;=66),VLOOKUP(H153,'WordRead Look Up'!$A$13:$B$20,2,TRUE),IF(AND(AI153&gt;=67,AI153&lt;=72),VLOOKUP(H153,'WordRead Look Up'!$E$13:$F$20,2,TRUE),IF(AND(AI153&gt;=73,AI153&lt;=78),VLOOKUP(H153,'WordRead Look Up'!$I$13:$J$18,2,TRUE),IF(AND(AI153&gt;=79),VLOOKUP(H153,'WordRead Look Up'!$M$13:$N$18,2,TRUE),"")))))</f>
        <v/>
      </c>
      <c r="J153" s="122"/>
      <c r="K153" s="111"/>
      <c r="L153" s="111"/>
      <c r="M153" s="111"/>
      <c r="N153" s="111"/>
      <c r="O153" s="111"/>
      <c r="P153" s="111"/>
      <c r="Q153" s="111"/>
      <c r="R153" s="111"/>
      <c r="S153" s="111"/>
      <c r="T153" s="111"/>
      <c r="U153" s="111"/>
      <c r="V153" s="111"/>
      <c r="W153" s="111"/>
      <c r="X153" s="123"/>
      <c r="AI153" s="222" t="str">
        <f t="shared" si="5"/>
        <v/>
      </c>
    </row>
    <row r="154" spans="1:35" s="108" customFormat="1" ht="15.75">
      <c r="A154" s="119"/>
      <c r="B154" s="120"/>
      <c r="C154" s="111"/>
      <c r="D154" s="111"/>
      <c r="E154" s="121"/>
      <c r="F154" s="121"/>
      <c r="G154" s="113"/>
      <c r="H154" s="199" t="str">
        <f t="shared" si="4"/>
        <v/>
      </c>
      <c r="I154" s="200" t="str">
        <f>IF(H154="","",IF(AND(AI154&lt;=66),VLOOKUP(H154,'WordRead Look Up'!$A$13:$B$20,2,TRUE),IF(AND(AI154&gt;=67,AI154&lt;=72),VLOOKUP(H154,'WordRead Look Up'!$E$13:$F$20,2,TRUE),IF(AND(AI154&gt;=73,AI154&lt;=78),VLOOKUP(H154,'WordRead Look Up'!$I$13:$J$18,2,TRUE),IF(AND(AI154&gt;=79),VLOOKUP(H154,'WordRead Look Up'!$M$13:$N$18,2,TRUE),"")))))</f>
        <v/>
      </c>
      <c r="J154" s="122"/>
      <c r="K154" s="111"/>
      <c r="L154" s="111"/>
      <c r="M154" s="111"/>
      <c r="N154" s="111"/>
      <c r="O154" s="111"/>
      <c r="P154" s="111"/>
      <c r="Q154" s="111"/>
      <c r="R154" s="111"/>
      <c r="S154" s="111"/>
      <c r="T154" s="111"/>
      <c r="U154" s="111"/>
      <c r="V154" s="111"/>
      <c r="W154" s="111"/>
      <c r="X154" s="123"/>
      <c r="AI154" s="222" t="str">
        <f t="shared" si="5"/>
        <v/>
      </c>
    </row>
    <row r="155" spans="1:35" s="108" customFormat="1" ht="15.75">
      <c r="A155" s="119"/>
      <c r="B155" s="120"/>
      <c r="C155" s="111"/>
      <c r="D155" s="111"/>
      <c r="E155" s="121"/>
      <c r="F155" s="121"/>
      <c r="G155" s="113"/>
      <c r="H155" s="199" t="str">
        <f t="shared" si="4"/>
        <v/>
      </c>
      <c r="I155" s="200" t="str">
        <f>IF(H155="","",IF(AND(AI155&lt;=66),VLOOKUP(H155,'WordRead Look Up'!$A$13:$B$20,2,TRUE),IF(AND(AI155&gt;=67,AI155&lt;=72),VLOOKUP(H155,'WordRead Look Up'!$E$13:$F$20,2,TRUE),IF(AND(AI155&gt;=73,AI155&lt;=78),VLOOKUP(H155,'WordRead Look Up'!$I$13:$J$18,2,TRUE),IF(AND(AI155&gt;=79),VLOOKUP(H155,'WordRead Look Up'!$M$13:$N$18,2,TRUE),"")))))</f>
        <v/>
      </c>
      <c r="J155" s="122"/>
      <c r="K155" s="111"/>
      <c r="L155" s="111"/>
      <c r="M155" s="111"/>
      <c r="N155" s="111"/>
      <c r="O155" s="111"/>
      <c r="P155" s="111"/>
      <c r="Q155" s="111"/>
      <c r="R155" s="111"/>
      <c r="S155" s="111"/>
      <c r="T155" s="111"/>
      <c r="U155" s="111"/>
      <c r="V155" s="111"/>
      <c r="W155" s="111"/>
      <c r="X155" s="123"/>
      <c r="AI155" s="222" t="str">
        <f t="shared" si="5"/>
        <v/>
      </c>
    </row>
    <row r="156" spans="1:35" s="108" customFormat="1" ht="15.75">
      <c r="A156" s="119"/>
      <c r="B156" s="120"/>
      <c r="C156" s="111"/>
      <c r="D156" s="111"/>
      <c r="E156" s="121"/>
      <c r="F156" s="121"/>
      <c r="G156" s="113"/>
      <c r="H156" s="199" t="str">
        <f t="shared" si="4"/>
        <v/>
      </c>
      <c r="I156" s="200" t="str">
        <f>IF(H156="","",IF(AND(AI156&lt;=66),VLOOKUP(H156,'WordRead Look Up'!$A$13:$B$20,2,TRUE),IF(AND(AI156&gt;=67,AI156&lt;=72),VLOOKUP(H156,'WordRead Look Up'!$E$13:$F$20,2,TRUE),IF(AND(AI156&gt;=73,AI156&lt;=78),VLOOKUP(H156,'WordRead Look Up'!$I$13:$J$18,2,TRUE),IF(AND(AI156&gt;=79),VLOOKUP(H156,'WordRead Look Up'!$M$13:$N$18,2,TRUE),"")))))</f>
        <v/>
      </c>
      <c r="J156" s="122"/>
      <c r="K156" s="111"/>
      <c r="L156" s="111"/>
      <c r="M156" s="111"/>
      <c r="N156" s="111"/>
      <c r="O156" s="111"/>
      <c r="P156" s="111"/>
      <c r="Q156" s="111"/>
      <c r="R156" s="111"/>
      <c r="S156" s="111"/>
      <c r="T156" s="111"/>
      <c r="U156" s="111"/>
      <c r="V156" s="111"/>
      <c r="W156" s="111"/>
      <c r="X156" s="123"/>
      <c r="AI156" s="222" t="str">
        <f t="shared" si="5"/>
        <v/>
      </c>
    </row>
    <row r="157" spans="1:35" s="108" customFormat="1" ht="15.75">
      <c r="A157" s="119"/>
      <c r="B157" s="120"/>
      <c r="C157" s="111"/>
      <c r="D157" s="111"/>
      <c r="E157" s="121"/>
      <c r="F157" s="121"/>
      <c r="G157" s="113"/>
      <c r="H157" s="199" t="str">
        <f t="shared" si="4"/>
        <v/>
      </c>
      <c r="I157" s="200" t="str">
        <f>IF(H157="","",IF(AND(AI157&lt;=66),VLOOKUP(H157,'WordRead Look Up'!$A$13:$B$20,2,TRUE),IF(AND(AI157&gt;=67,AI157&lt;=72),VLOOKUP(H157,'WordRead Look Up'!$E$13:$F$20,2,TRUE),IF(AND(AI157&gt;=73,AI157&lt;=78),VLOOKUP(H157,'WordRead Look Up'!$I$13:$J$18,2,TRUE),IF(AND(AI157&gt;=79),VLOOKUP(H157,'WordRead Look Up'!$M$13:$N$18,2,TRUE),"")))))</f>
        <v/>
      </c>
      <c r="J157" s="122"/>
      <c r="K157" s="111"/>
      <c r="L157" s="111"/>
      <c r="M157" s="111"/>
      <c r="N157" s="111"/>
      <c r="O157" s="111"/>
      <c r="P157" s="111"/>
      <c r="Q157" s="111"/>
      <c r="R157" s="111"/>
      <c r="S157" s="111"/>
      <c r="T157" s="111"/>
      <c r="U157" s="111"/>
      <c r="V157" s="111"/>
      <c r="W157" s="111"/>
      <c r="X157" s="123"/>
      <c r="AI157" s="222" t="str">
        <f t="shared" si="5"/>
        <v/>
      </c>
    </row>
    <row r="158" spans="1:35" s="108" customFormat="1" ht="15.75">
      <c r="A158" s="119"/>
      <c r="B158" s="120"/>
      <c r="C158" s="111"/>
      <c r="D158" s="111"/>
      <c r="E158" s="121"/>
      <c r="F158" s="121"/>
      <c r="G158" s="113"/>
      <c r="H158" s="199" t="str">
        <f t="shared" si="4"/>
        <v/>
      </c>
      <c r="I158" s="200" t="str">
        <f>IF(H158="","",IF(AND(AI158&lt;=66),VLOOKUP(H158,'WordRead Look Up'!$A$13:$B$20,2,TRUE),IF(AND(AI158&gt;=67,AI158&lt;=72),VLOOKUP(H158,'WordRead Look Up'!$E$13:$F$20,2,TRUE),IF(AND(AI158&gt;=73,AI158&lt;=78),VLOOKUP(H158,'WordRead Look Up'!$I$13:$J$18,2,TRUE),IF(AND(AI158&gt;=79),VLOOKUP(H158,'WordRead Look Up'!$M$13:$N$18,2,TRUE),"")))))</f>
        <v/>
      </c>
      <c r="J158" s="122"/>
      <c r="K158" s="111"/>
      <c r="L158" s="111"/>
      <c r="M158" s="111"/>
      <c r="N158" s="111"/>
      <c r="O158" s="111"/>
      <c r="P158" s="111"/>
      <c r="Q158" s="111"/>
      <c r="R158" s="111"/>
      <c r="S158" s="111"/>
      <c r="T158" s="111"/>
      <c r="U158" s="111"/>
      <c r="V158" s="111"/>
      <c r="W158" s="111"/>
      <c r="X158" s="123"/>
      <c r="AI158" s="222" t="str">
        <f t="shared" si="5"/>
        <v/>
      </c>
    </row>
    <row r="159" spans="1:35" s="108" customFormat="1" ht="15.75">
      <c r="A159" s="119"/>
      <c r="B159" s="120"/>
      <c r="C159" s="111"/>
      <c r="D159" s="111"/>
      <c r="E159" s="121"/>
      <c r="F159" s="121"/>
      <c r="G159" s="113"/>
      <c r="H159" s="199" t="str">
        <f t="shared" si="4"/>
        <v/>
      </c>
      <c r="I159" s="200" t="str">
        <f>IF(H159="","",IF(AND(AI159&lt;=66),VLOOKUP(H159,'WordRead Look Up'!$A$13:$B$20,2,TRUE),IF(AND(AI159&gt;=67,AI159&lt;=72),VLOOKUP(H159,'WordRead Look Up'!$E$13:$F$20,2,TRUE),IF(AND(AI159&gt;=73,AI159&lt;=78),VLOOKUP(H159,'WordRead Look Up'!$I$13:$J$18,2,TRUE),IF(AND(AI159&gt;=79),VLOOKUP(H159,'WordRead Look Up'!$M$13:$N$18,2,TRUE),"")))))</f>
        <v/>
      </c>
      <c r="J159" s="122"/>
      <c r="K159" s="111"/>
      <c r="L159" s="111"/>
      <c r="M159" s="111"/>
      <c r="N159" s="111"/>
      <c r="O159" s="111"/>
      <c r="P159" s="111"/>
      <c r="Q159" s="111"/>
      <c r="R159" s="111"/>
      <c r="S159" s="111"/>
      <c r="T159" s="111"/>
      <c r="U159" s="111"/>
      <c r="V159" s="111"/>
      <c r="W159" s="111"/>
      <c r="X159" s="123"/>
      <c r="AI159" s="222" t="str">
        <f t="shared" si="5"/>
        <v/>
      </c>
    </row>
    <row r="160" spans="1:35" s="108" customFormat="1" ht="15.75">
      <c r="A160" s="119"/>
      <c r="B160" s="120"/>
      <c r="C160" s="111"/>
      <c r="D160" s="111"/>
      <c r="E160" s="121"/>
      <c r="F160" s="121"/>
      <c r="G160" s="113"/>
      <c r="H160" s="199" t="str">
        <f t="shared" si="4"/>
        <v/>
      </c>
      <c r="I160" s="200" t="str">
        <f>IF(H160="","",IF(AND(AI160&lt;=66),VLOOKUP(H160,'WordRead Look Up'!$A$13:$B$20,2,TRUE),IF(AND(AI160&gt;=67,AI160&lt;=72),VLOOKUP(H160,'WordRead Look Up'!$E$13:$F$20,2,TRUE),IF(AND(AI160&gt;=73,AI160&lt;=78),VLOOKUP(H160,'WordRead Look Up'!$I$13:$J$18,2,TRUE),IF(AND(AI160&gt;=79),VLOOKUP(H160,'WordRead Look Up'!$M$13:$N$18,2,TRUE),"")))))</f>
        <v/>
      </c>
      <c r="J160" s="122"/>
      <c r="K160" s="111"/>
      <c r="L160" s="111"/>
      <c r="M160" s="111"/>
      <c r="N160" s="111"/>
      <c r="O160" s="111"/>
      <c r="P160" s="111"/>
      <c r="Q160" s="111"/>
      <c r="R160" s="111"/>
      <c r="S160" s="111"/>
      <c r="T160" s="111"/>
      <c r="U160" s="111"/>
      <c r="V160" s="111"/>
      <c r="W160" s="111"/>
      <c r="X160" s="123"/>
      <c r="AI160" s="222" t="str">
        <f t="shared" si="5"/>
        <v/>
      </c>
    </row>
    <row r="161" spans="1:35" s="108" customFormat="1" ht="15.75">
      <c r="A161" s="119"/>
      <c r="B161" s="120"/>
      <c r="C161" s="111"/>
      <c r="D161" s="111"/>
      <c r="E161" s="121"/>
      <c r="F161" s="121"/>
      <c r="G161" s="113"/>
      <c r="H161" s="199" t="str">
        <f t="shared" si="4"/>
        <v/>
      </c>
      <c r="I161" s="200" t="str">
        <f>IF(H161="","",IF(AND(AI161&lt;=66),VLOOKUP(H161,'WordRead Look Up'!$A$13:$B$20,2,TRUE),IF(AND(AI161&gt;=67,AI161&lt;=72),VLOOKUP(H161,'WordRead Look Up'!$E$13:$F$20,2,TRUE),IF(AND(AI161&gt;=73,AI161&lt;=78),VLOOKUP(H161,'WordRead Look Up'!$I$13:$J$18,2,TRUE),IF(AND(AI161&gt;=79),VLOOKUP(H161,'WordRead Look Up'!$M$13:$N$18,2,TRUE),"")))))</f>
        <v/>
      </c>
      <c r="J161" s="122"/>
      <c r="K161" s="111"/>
      <c r="L161" s="111"/>
      <c r="M161" s="111"/>
      <c r="N161" s="111"/>
      <c r="O161" s="111"/>
      <c r="P161" s="111"/>
      <c r="Q161" s="111"/>
      <c r="R161" s="111"/>
      <c r="S161" s="111"/>
      <c r="T161" s="111"/>
      <c r="U161" s="111"/>
      <c r="V161" s="111"/>
      <c r="W161" s="111"/>
      <c r="X161" s="123"/>
      <c r="AI161" s="222" t="str">
        <f t="shared" si="5"/>
        <v/>
      </c>
    </row>
    <row r="162" spans="1:35" s="108" customFormat="1" ht="15.75">
      <c r="A162" s="119"/>
      <c r="B162" s="120"/>
      <c r="C162" s="111"/>
      <c r="D162" s="111"/>
      <c r="E162" s="121"/>
      <c r="F162" s="121"/>
      <c r="G162" s="113"/>
      <c r="H162" s="199" t="str">
        <f t="shared" si="4"/>
        <v/>
      </c>
      <c r="I162" s="200" t="str">
        <f>IF(H162="","",IF(AND(AI162&lt;=66),VLOOKUP(H162,'WordRead Look Up'!$A$13:$B$20,2,TRUE),IF(AND(AI162&gt;=67,AI162&lt;=72),VLOOKUP(H162,'WordRead Look Up'!$E$13:$F$20,2,TRUE),IF(AND(AI162&gt;=73,AI162&lt;=78),VLOOKUP(H162,'WordRead Look Up'!$I$13:$J$18,2,TRUE),IF(AND(AI162&gt;=79),VLOOKUP(H162,'WordRead Look Up'!$M$13:$N$18,2,TRUE),"")))))</f>
        <v/>
      </c>
      <c r="J162" s="122"/>
      <c r="K162" s="111"/>
      <c r="L162" s="111"/>
      <c r="M162" s="111"/>
      <c r="N162" s="111"/>
      <c r="O162" s="111"/>
      <c r="P162" s="111"/>
      <c r="Q162" s="111"/>
      <c r="R162" s="111"/>
      <c r="S162" s="111"/>
      <c r="T162" s="111"/>
      <c r="U162" s="111"/>
      <c r="V162" s="111"/>
      <c r="W162" s="111"/>
      <c r="X162" s="123"/>
      <c r="AI162" s="222" t="str">
        <f t="shared" si="5"/>
        <v/>
      </c>
    </row>
    <row r="163" spans="1:35" s="108" customFormat="1" ht="15.75">
      <c r="A163" s="119"/>
      <c r="B163" s="120"/>
      <c r="C163" s="111"/>
      <c r="D163" s="111"/>
      <c r="E163" s="121"/>
      <c r="F163" s="121"/>
      <c r="G163" s="113"/>
      <c r="H163" s="199" t="str">
        <f t="shared" si="4"/>
        <v/>
      </c>
      <c r="I163" s="200" t="str">
        <f>IF(H163="","",IF(AND(AI163&lt;=66),VLOOKUP(H163,'WordRead Look Up'!$A$13:$B$20,2,TRUE),IF(AND(AI163&gt;=67,AI163&lt;=72),VLOOKUP(H163,'WordRead Look Up'!$E$13:$F$20,2,TRUE),IF(AND(AI163&gt;=73,AI163&lt;=78),VLOOKUP(H163,'WordRead Look Up'!$I$13:$J$18,2,TRUE),IF(AND(AI163&gt;=79),VLOOKUP(H163,'WordRead Look Up'!$M$13:$N$18,2,TRUE),"")))))</f>
        <v/>
      </c>
      <c r="J163" s="122"/>
      <c r="K163" s="111"/>
      <c r="L163" s="111"/>
      <c r="M163" s="111"/>
      <c r="N163" s="111"/>
      <c r="O163" s="111"/>
      <c r="P163" s="111"/>
      <c r="Q163" s="111"/>
      <c r="R163" s="111"/>
      <c r="S163" s="111"/>
      <c r="T163" s="111"/>
      <c r="U163" s="111"/>
      <c r="V163" s="111"/>
      <c r="W163" s="111"/>
      <c r="X163" s="123"/>
      <c r="AI163" s="222" t="str">
        <f t="shared" si="5"/>
        <v/>
      </c>
    </row>
    <row r="164" spans="1:35" s="108" customFormat="1" ht="15.75">
      <c r="A164" s="119"/>
      <c r="B164" s="120"/>
      <c r="C164" s="111"/>
      <c r="D164" s="111"/>
      <c r="E164" s="121"/>
      <c r="F164" s="121"/>
      <c r="G164" s="113"/>
      <c r="H164" s="199" t="str">
        <f t="shared" si="4"/>
        <v/>
      </c>
      <c r="I164" s="200" t="str">
        <f>IF(H164="","",IF(AND(AI164&lt;=66),VLOOKUP(H164,'WordRead Look Up'!$A$13:$B$20,2,TRUE),IF(AND(AI164&gt;=67,AI164&lt;=72),VLOOKUP(H164,'WordRead Look Up'!$E$13:$F$20,2,TRUE),IF(AND(AI164&gt;=73,AI164&lt;=78),VLOOKUP(H164,'WordRead Look Up'!$I$13:$J$18,2,TRUE),IF(AND(AI164&gt;=79),VLOOKUP(H164,'WordRead Look Up'!$M$13:$N$18,2,TRUE),"")))))</f>
        <v/>
      </c>
      <c r="J164" s="122"/>
      <c r="K164" s="111"/>
      <c r="L164" s="111"/>
      <c r="M164" s="111"/>
      <c r="N164" s="111"/>
      <c r="O164" s="111"/>
      <c r="P164" s="111"/>
      <c r="Q164" s="111"/>
      <c r="R164" s="111"/>
      <c r="S164" s="111"/>
      <c r="T164" s="111"/>
      <c r="U164" s="111"/>
      <c r="V164" s="111"/>
      <c r="W164" s="111"/>
      <c r="X164" s="123"/>
      <c r="AI164" s="222" t="str">
        <f t="shared" si="5"/>
        <v/>
      </c>
    </row>
    <row r="165" spans="1:35" s="108" customFormat="1" ht="15.75">
      <c r="A165" s="119"/>
      <c r="B165" s="120"/>
      <c r="C165" s="111"/>
      <c r="D165" s="111"/>
      <c r="E165" s="121"/>
      <c r="F165" s="121"/>
      <c r="G165" s="113"/>
      <c r="H165" s="199" t="str">
        <f t="shared" si="4"/>
        <v/>
      </c>
      <c r="I165" s="200" t="str">
        <f>IF(H165="","",IF(AND(AI165&lt;=66),VLOOKUP(H165,'WordRead Look Up'!$A$13:$B$20,2,TRUE),IF(AND(AI165&gt;=67,AI165&lt;=72),VLOOKUP(H165,'WordRead Look Up'!$E$13:$F$20,2,TRUE),IF(AND(AI165&gt;=73,AI165&lt;=78),VLOOKUP(H165,'WordRead Look Up'!$I$13:$J$18,2,TRUE),IF(AND(AI165&gt;=79),VLOOKUP(H165,'WordRead Look Up'!$M$13:$N$18,2,TRUE),"")))))</f>
        <v/>
      </c>
      <c r="J165" s="122"/>
      <c r="K165" s="111"/>
      <c r="L165" s="111"/>
      <c r="M165" s="111"/>
      <c r="N165" s="111"/>
      <c r="O165" s="111"/>
      <c r="P165" s="111"/>
      <c r="Q165" s="111"/>
      <c r="R165" s="111"/>
      <c r="S165" s="111"/>
      <c r="T165" s="111"/>
      <c r="U165" s="111"/>
      <c r="V165" s="111"/>
      <c r="W165" s="111"/>
      <c r="X165" s="123"/>
      <c r="AI165" s="222" t="str">
        <f t="shared" si="5"/>
        <v/>
      </c>
    </row>
    <row r="166" spans="1:35" s="108" customFormat="1" ht="15.75">
      <c r="A166" s="119"/>
      <c r="B166" s="120"/>
      <c r="C166" s="111"/>
      <c r="D166" s="111"/>
      <c r="E166" s="121"/>
      <c r="F166" s="121"/>
      <c r="G166" s="113"/>
      <c r="H166" s="199" t="str">
        <f t="shared" si="4"/>
        <v/>
      </c>
      <c r="I166" s="200" t="str">
        <f>IF(H166="","",IF(AND(AI166&lt;=66),VLOOKUP(H166,'WordRead Look Up'!$A$13:$B$20,2,TRUE),IF(AND(AI166&gt;=67,AI166&lt;=72),VLOOKUP(H166,'WordRead Look Up'!$E$13:$F$20,2,TRUE),IF(AND(AI166&gt;=73,AI166&lt;=78),VLOOKUP(H166,'WordRead Look Up'!$I$13:$J$18,2,TRUE),IF(AND(AI166&gt;=79),VLOOKUP(H166,'WordRead Look Up'!$M$13:$N$18,2,TRUE),"")))))</f>
        <v/>
      </c>
      <c r="J166" s="122"/>
      <c r="K166" s="111"/>
      <c r="L166" s="111"/>
      <c r="M166" s="111"/>
      <c r="N166" s="111"/>
      <c r="O166" s="111"/>
      <c r="P166" s="111"/>
      <c r="Q166" s="111"/>
      <c r="R166" s="111"/>
      <c r="S166" s="111"/>
      <c r="T166" s="111"/>
      <c r="U166" s="111"/>
      <c r="V166" s="111"/>
      <c r="W166" s="111"/>
      <c r="X166" s="123"/>
      <c r="AI166" s="222" t="str">
        <f t="shared" si="5"/>
        <v/>
      </c>
    </row>
    <row r="167" spans="1:35" s="108" customFormat="1" ht="15.75">
      <c r="A167" s="119"/>
      <c r="B167" s="120"/>
      <c r="C167" s="111"/>
      <c r="D167" s="111"/>
      <c r="E167" s="121"/>
      <c r="F167" s="121"/>
      <c r="G167" s="113"/>
      <c r="H167" s="199" t="str">
        <f t="shared" si="4"/>
        <v/>
      </c>
      <c r="I167" s="200" t="str">
        <f>IF(H167="","",IF(AND(AI167&lt;=66),VLOOKUP(H167,'WordRead Look Up'!$A$13:$B$20,2,TRUE),IF(AND(AI167&gt;=67,AI167&lt;=72),VLOOKUP(H167,'WordRead Look Up'!$E$13:$F$20,2,TRUE),IF(AND(AI167&gt;=73,AI167&lt;=78),VLOOKUP(H167,'WordRead Look Up'!$I$13:$J$18,2,TRUE),IF(AND(AI167&gt;=79),VLOOKUP(H167,'WordRead Look Up'!$M$13:$N$18,2,TRUE),"")))))</f>
        <v/>
      </c>
      <c r="J167" s="122"/>
      <c r="K167" s="111"/>
      <c r="L167" s="111"/>
      <c r="M167" s="111"/>
      <c r="N167" s="111"/>
      <c r="O167" s="111"/>
      <c r="P167" s="111"/>
      <c r="Q167" s="111"/>
      <c r="R167" s="111"/>
      <c r="S167" s="111"/>
      <c r="T167" s="111"/>
      <c r="U167" s="111"/>
      <c r="V167" s="111"/>
      <c r="W167" s="111"/>
      <c r="X167" s="123"/>
      <c r="AI167" s="222" t="str">
        <f t="shared" si="5"/>
        <v/>
      </c>
    </row>
    <row r="168" spans="1:35" s="108" customFormat="1" ht="15.75">
      <c r="A168" s="119"/>
      <c r="B168" s="120"/>
      <c r="C168" s="111"/>
      <c r="D168" s="111"/>
      <c r="E168" s="121"/>
      <c r="F168" s="121"/>
      <c r="G168" s="113"/>
      <c r="H168" s="199" t="str">
        <f t="shared" si="4"/>
        <v/>
      </c>
      <c r="I168" s="200" t="str">
        <f>IF(H168="","",IF(AND(AI168&lt;=66),VLOOKUP(H168,'WordRead Look Up'!$A$13:$B$20,2,TRUE),IF(AND(AI168&gt;=67,AI168&lt;=72),VLOOKUP(H168,'WordRead Look Up'!$E$13:$F$20,2,TRUE),IF(AND(AI168&gt;=73,AI168&lt;=78),VLOOKUP(H168,'WordRead Look Up'!$I$13:$J$18,2,TRUE),IF(AND(AI168&gt;=79),VLOOKUP(H168,'WordRead Look Up'!$M$13:$N$18,2,TRUE),"")))))</f>
        <v/>
      </c>
      <c r="J168" s="122"/>
      <c r="K168" s="111"/>
      <c r="L168" s="111"/>
      <c r="M168" s="111"/>
      <c r="N168" s="111"/>
      <c r="O168" s="111"/>
      <c r="P168" s="111"/>
      <c r="Q168" s="111"/>
      <c r="R168" s="111"/>
      <c r="S168" s="111"/>
      <c r="T168" s="111"/>
      <c r="U168" s="111"/>
      <c r="V168" s="111"/>
      <c r="W168" s="111"/>
      <c r="X168" s="123"/>
      <c r="AI168" s="222" t="str">
        <f t="shared" si="5"/>
        <v/>
      </c>
    </row>
    <row r="169" spans="1:35" s="108" customFormat="1" ht="15.75">
      <c r="A169" s="119"/>
      <c r="B169" s="120"/>
      <c r="C169" s="111"/>
      <c r="D169" s="111"/>
      <c r="E169" s="121"/>
      <c r="F169" s="121"/>
      <c r="G169" s="113"/>
      <c r="H169" s="199" t="str">
        <f t="shared" si="4"/>
        <v/>
      </c>
      <c r="I169" s="200" t="str">
        <f>IF(H169="","",IF(AND(AI169&lt;=66),VLOOKUP(H169,'WordRead Look Up'!$A$13:$B$20,2,TRUE),IF(AND(AI169&gt;=67,AI169&lt;=72),VLOOKUP(H169,'WordRead Look Up'!$E$13:$F$20,2,TRUE),IF(AND(AI169&gt;=73,AI169&lt;=78),VLOOKUP(H169,'WordRead Look Up'!$I$13:$J$18,2,TRUE),IF(AND(AI169&gt;=79),VLOOKUP(H169,'WordRead Look Up'!$M$13:$N$18,2,TRUE),"")))))</f>
        <v/>
      </c>
      <c r="J169" s="122"/>
      <c r="K169" s="111"/>
      <c r="L169" s="111"/>
      <c r="M169" s="111"/>
      <c r="N169" s="111"/>
      <c r="O169" s="111"/>
      <c r="P169" s="111"/>
      <c r="Q169" s="111"/>
      <c r="R169" s="111"/>
      <c r="S169" s="111"/>
      <c r="T169" s="111"/>
      <c r="U169" s="111"/>
      <c r="V169" s="111"/>
      <c r="W169" s="111"/>
      <c r="X169" s="123"/>
      <c r="AI169" s="222" t="str">
        <f t="shared" si="5"/>
        <v/>
      </c>
    </row>
    <row r="170" spans="1:35" s="108" customFormat="1" ht="15.75">
      <c r="A170" s="119"/>
      <c r="B170" s="120"/>
      <c r="C170" s="111"/>
      <c r="D170" s="111"/>
      <c r="E170" s="121"/>
      <c r="F170" s="121"/>
      <c r="G170" s="113"/>
      <c r="H170" s="199" t="str">
        <f t="shared" si="4"/>
        <v/>
      </c>
      <c r="I170" s="200" t="str">
        <f>IF(H170="","",IF(AND(AI170&lt;=66),VLOOKUP(H170,'WordRead Look Up'!$A$13:$B$20,2,TRUE),IF(AND(AI170&gt;=67,AI170&lt;=72),VLOOKUP(H170,'WordRead Look Up'!$E$13:$F$20,2,TRUE),IF(AND(AI170&gt;=73,AI170&lt;=78),VLOOKUP(H170,'WordRead Look Up'!$I$13:$J$18,2,TRUE),IF(AND(AI170&gt;=79),VLOOKUP(H170,'WordRead Look Up'!$M$13:$N$18,2,TRUE),"")))))</f>
        <v/>
      </c>
      <c r="J170" s="122"/>
      <c r="K170" s="111"/>
      <c r="L170" s="111"/>
      <c r="M170" s="111"/>
      <c r="N170" s="111"/>
      <c r="O170" s="111"/>
      <c r="P170" s="111"/>
      <c r="Q170" s="111"/>
      <c r="R170" s="111"/>
      <c r="S170" s="111"/>
      <c r="T170" s="111"/>
      <c r="U170" s="111"/>
      <c r="V170" s="111"/>
      <c r="W170" s="111"/>
      <c r="X170" s="123"/>
      <c r="AI170" s="222" t="str">
        <f t="shared" si="5"/>
        <v/>
      </c>
    </row>
    <row r="171" spans="1:35" s="108" customFormat="1" ht="15.75">
      <c r="A171" s="119"/>
      <c r="B171" s="120"/>
      <c r="C171" s="111"/>
      <c r="D171" s="111"/>
      <c r="E171" s="121"/>
      <c r="F171" s="121"/>
      <c r="G171" s="113"/>
      <c r="H171" s="199" t="str">
        <f t="shared" si="4"/>
        <v/>
      </c>
      <c r="I171" s="200" t="str">
        <f>IF(H171="","",IF(AND(AI171&lt;=66),VLOOKUP(H171,'WordRead Look Up'!$A$13:$B$20,2,TRUE),IF(AND(AI171&gt;=67,AI171&lt;=72),VLOOKUP(H171,'WordRead Look Up'!$E$13:$F$20,2,TRUE),IF(AND(AI171&gt;=73,AI171&lt;=78),VLOOKUP(H171,'WordRead Look Up'!$I$13:$J$18,2,TRUE),IF(AND(AI171&gt;=79),VLOOKUP(H171,'WordRead Look Up'!$M$13:$N$18,2,TRUE),"")))))</f>
        <v/>
      </c>
      <c r="J171" s="122"/>
      <c r="K171" s="111"/>
      <c r="L171" s="111"/>
      <c r="M171" s="111"/>
      <c r="N171" s="111"/>
      <c r="O171" s="111"/>
      <c r="P171" s="111"/>
      <c r="Q171" s="111"/>
      <c r="R171" s="111"/>
      <c r="S171" s="111"/>
      <c r="T171" s="111"/>
      <c r="U171" s="111"/>
      <c r="V171" s="111"/>
      <c r="W171" s="111"/>
      <c r="X171" s="123"/>
      <c r="AI171" s="222" t="str">
        <f t="shared" si="5"/>
        <v/>
      </c>
    </row>
    <row r="172" spans="1:35" s="108" customFormat="1" ht="15.75">
      <c r="A172" s="119"/>
      <c r="B172" s="120"/>
      <c r="C172" s="111"/>
      <c r="D172" s="111"/>
      <c r="E172" s="121"/>
      <c r="F172" s="121"/>
      <c r="G172" s="113"/>
      <c r="H172" s="199" t="str">
        <f t="shared" si="4"/>
        <v/>
      </c>
      <c r="I172" s="200" t="str">
        <f>IF(H172="","",IF(AND(AI172&lt;=66),VLOOKUP(H172,'WordRead Look Up'!$A$13:$B$20,2,TRUE),IF(AND(AI172&gt;=67,AI172&lt;=72),VLOOKUP(H172,'WordRead Look Up'!$E$13:$F$20,2,TRUE),IF(AND(AI172&gt;=73,AI172&lt;=78),VLOOKUP(H172,'WordRead Look Up'!$I$13:$J$18,2,TRUE),IF(AND(AI172&gt;=79),VLOOKUP(H172,'WordRead Look Up'!$M$13:$N$18,2,TRUE),"")))))</f>
        <v/>
      </c>
      <c r="J172" s="122"/>
      <c r="K172" s="111"/>
      <c r="L172" s="111"/>
      <c r="M172" s="111"/>
      <c r="N172" s="111"/>
      <c r="O172" s="111"/>
      <c r="P172" s="111"/>
      <c r="Q172" s="111"/>
      <c r="R172" s="111"/>
      <c r="S172" s="111"/>
      <c r="T172" s="111"/>
      <c r="U172" s="111"/>
      <c r="V172" s="111"/>
      <c r="W172" s="111"/>
      <c r="X172" s="123"/>
      <c r="AI172" s="222" t="str">
        <f t="shared" si="5"/>
        <v/>
      </c>
    </row>
    <row r="173" spans="1:35" s="108" customFormat="1" ht="15.75">
      <c r="A173" s="119"/>
      <c r="B173" s="120"/>
      <c r="C173" s="111"/>
      <c r="D173" s="111"/>
      <c r="E173" s="121"/>
      <c r="F173" s="121"/>
      <c r="G173" s="113"/>
      <c r="H173" s="199" t="str">
        <f t="shared" si="4"/>
        <v/>
      </c>
      <c r="I173" s="200" t="str">
        <f>IF(H173="","",IF(AND(AI173&lt;=66),VLOOKUP(H173,'WordRead Look Up'!$A$13:$B$20,2,TRUE),IF(AND(AI173&gt;=67,AI173&lt;=72),VLOOKUP(H173,'WordRead Look Up'!$E$13:$F$20,2,TRUE),IF(AND(AI173&gt;=73,AI173&lt;=78),VLOOKUP(H173,'WordRead Look Up'!$I$13:$J$18,2,TRUE),IF(AND(AI173&gt;=79),VLOOKUP(H173,'WordRead Look Up'!$M$13:$N$18,2,TRUE),"")))))</f>
        <v/>
      </c>
      <c r="J173" s="122"/>
      <c r="K173" s="111"/>
      <c r="L173" s="111"/>
      <c r="M173" s="111"/>
      <c r="N173" s="111"/>
      <c r="O173" s="111"/>
      <c r="P173" s="111"/>
      <c r="Q173" s="111"/>
      <c r="R173" s="111"/>
      <c r="S173" s="111"/>
      <c r="T173" s="111"/>
      <c r="U173" s="111"/>
      <c r="V173" s="111"/>
      <c r="W173" s="111"/>
      <c r="X173" s="123"/>
      <c r="AI173" s="222" t="str">
        <f t="shared" si="5"/>
        <v/>
      </c>
    </row>
    <row r="174" spans="1:35" s="108" customFormat="1" ht="15.75">
      <c r="A174" s="119"/>
      <c r="B174" s="120"/>
      <c r="C174" s="111"/>
      <c r="D174" s="111"/>
      <c r="E174" s="121"/>
      <c r="F174" s="121"/>
      <c r="G174" s="113"/>
      <c r="H174" s="199" t="str">
        <f t="shared" si="4"/>
        <v/>
      </c>
      <c r="I174" s="200" t="str">
        <f>IF(H174="","",IF(AND(AI174&lt;=66),VLOOKUP(H174,'WordRead Look Up'!$A$13:$B$20,2,TRUE),IF(AND(AI174&gt;=67,AI174&lt;=72),VLOOKUP(H174,'WordRead Look Up'!$E$13:$F$20,2,TRUE),IF(AND(AI174&gt;=73,AI174&lt;=78),VLOOKUP(H174,'WordRead Look Up'!$I$13:$J$18,2,TRUE),IF(AND(AI174&gt;=79),VLOOKUP(H174,'WordRead Look Up'!$M$13:$N$18,2,TRUE),"")))))</f>
        <v/>
      </c>
      <c r="J174" s="122"/>
      <c r="K174" s="111"/>
      <c r="L174" s="111"/>
      <c r="M174" s="111"/>
      <c r="N174" s="111"/>
      <c r="O174" s="111"/>
      <c r="P174" s="111"/>
      <c r="Q174" s="111"/>
      <c r="R174" s="111"/>
      <c r="S174" s="111"/>
      <c r="T174" s="111"/>
      <c r="U174" s="111"/>
      <c r="V174" s="111"/>
      <c r="W174" s="111"/>
      <c r="X174" s="123"/>
      <c r="AI174" s="222" t="str">
        <f t="shared" si="5"/>
        <v/>
      </c>
    </row>
    <row r="175" spans="1:35" s="108" customFormat="1" ht="15.75">
      <c r="A175" s="119"/>
      <c r="B175" s="120"/>
      <c r="C175" s="111"/>
      <c r="D175" s="111"/>
      <c r="E175" s="121"/>
      <c r="F175" s="121"/>
      <c r="G175" s="113"/>
      <c r="H175" s="199" t="str">
        <f t="shared" si="4"/>
        <v/>
      </c>
      <c r="I175" s="200" t="str">
        <f>IF(H175="","",IF(AND(AI175&lt;=66),VLOOKUP(H175,'WordRead Look Up'!$A$13:$B$20,2,TRUE),IF(AND(AI175&gt;=67,AI175&lt;=72),VLOOKUP(H175,'WordRead Look Up'!$E$13:$F$20,2,TRUE),IF(AND(AI175&gt;=73,AI175&lt;=78),VLOOKUP(H175,'WordRead Look Up'!$I$13:$J$18,2,TRUE),IF(AND(AI175&gt;=79),VLOOKUP(H175,'WordRead Look Up'!$M$13:$N$18,2,TRUE),"")))))</f>
        <v/>
      </c>
      <c r="J175" s="122"/>
      <c r="K175" s="111"/>
      <c r="L175" s="111"/>
      <c r="M175" s="111"/>
      <c r="N175" s="111"/>
      <c r="O175" s="111"/>
      <c r="P175" s="111"/>
      <c r="Q175" s="111"/>
      <c r="R175" s="111"/>
      <c r="S175" s="111"/>
      <c r="T175" s="111"/>
      <c r="U175" s="111"/>
      <c r="V175" s="111"/>
      <c r="W175" s="111"/>
      <c r="X175" s="123"/>
      <c r="AI175" s="222" t="str">
        <f t="shared" si="5"/>
        <v/>
      </c>
    </row>
    <row r="176" spans="1:35" s="108" customFormat="1" ht="15.75">
      <c r="A176" s="119"/>
      <c r="B176" s="120"/>
      <c r="C176" s="111"/>
      <c r="D176" s="111"/>
      <c r="E176" s="121"/>
      <c r="F176" s="121"/>
      <c r="G176" s="113"/>
      <c r="H176" s="199" t="str">
        <f t="shared" si="4"/>
        <v/>
      </c>
      <c r="I176" s="200" t="str">
        <f>IF(H176="","",IF(AND(AI176&lt;=66),VLOOKUP(H176,'WordRead Look Up'!$A$13:$B$20,2,TRUE),IF(AND(AI176&gt;=67,AI176&lt;=72),VLOOKUP(H176,'WordRead Look Up'!$E$13:$F$20,2,TRUE),IF(AND(AI176&gt;=73,AI176&lt;=78),VLOOKUP(H176,'WordRead Look Up'!$I$13:$J$18,2,TRUE),IF(AND(AI176&gt;=79),VLOOKUP(H176,'WordRead Look Up'!$M$13:$N$18,2,TRUE),"")))))</f>
        <v/>
      </c>
      <c r="J176" s="122"/>
      <c r="K176" s="111"/>
      <c r="L176" s="111"/>
      <c r="M176" s="111"/>
      <c r="N176" s="111"/>
      <c r="O176" s="111"/>
      <c r="P176" s="111"/>
      <c r="Q176" s="111"/>
      <c r="R176" s="111"/>
      <c r="S176" s="111"/>
      <c r="T176" s="111"/>
      <c r="U176" s="111"/>
      <c r="V176" s="111"/>
      <c r="W176" s="111"/>
      <c r="X176" s="123"/>
      <c r="AI176" s="222" t="str">
        <f t="shared" si="5"/>
        <v/>
      </c>
    </row>
    <row r="177" spans="1:35" s="108" customFormat="1" ht="15.75">
      <c r="A177" s="119"/>
      <c r="B177" s="120"/>
      <c r="C177" s="111"/>
      <c r="D177" s="111"/>
      <c r="E177" s="121"/>
      <c r="F177" s="121"/>
      <c r="G177" s="113"/>
      <c r="H177" s="199" t="str">
        <f t="shared" si="4"/>
        <v/>
      </c>
      <c r="I177" s="200" t="str">
        <f>IF(H177="","",IF(AND(AI177&lt;=66),VLOOKUP(H177,'WordRead Look Up'!$A$13:$B$20,2,TRUE),IF(AND(AI177&gt;=67,AI177&lt;=72),VLOOKUP(H177,'WordRead Look Up'!$E$13:$F$20,2,TRUE),IF(AND(AI177&gt;=73,AI177&lt;=78),VLOOKUP(H177,'WordRead Look Up'!$I$13:$J$18,2,TRUE),IF(AND(AI177&gt;=79),VLOOKUP(H177,'WordRead Look Up'!$M$13:$N$18,2,TRUE),"")))))</f>
        <v/>
      </c>
      <c r="J177" s="122"/>
      <c r="K177" s="111"/>
      <c r="L177" s="111"/>
      <c r="M177" s="111"/>
      <c r="N177" s="111"/>
      <c r="O177" s="111"/>
      <c r="P177" s="111"/>
      <c r="Q177" s="111"/>
      <c r="R177" s="111"/>
      <c r="S177" s="111"/>
      <c r="T177" s="111"/>
      <c r="U177" s="111"/>
      <c r="V177" s="111"/>
      <c r="W177" s="111"/>
      <c r="X177" s="123"/>
      <c r="AI177" s="222" t="str">
        <f t="shared" si="5"/>
        <v/>
      </c>
    </row>
    <row r="178" spans="1:35" s="108" customFormat="1" ht="15.75">
      <c r="A178" s="119"/>
      <c r="B178" s="120"/>
      <c r="C178" s="111"/>
      <c r="D178" s="111"/>
      <c r="E178" s="121"/>
      <c r="F178" s="121"/>
      <c r="G178" s="113"/>
      <c r="H178" s="199" t="str">
        <f t="shared" si="4"/>
        <v/>
      </c>
      <c r="I178" s="200" t="str">
        <f>IF(H178="","",IF(AND(AI178&lt;=66),VLOOKUP(H178,'WordRead Look Up'!$A$13:$B$20,2,TRUE),IF(AND(AI178&gt;=67,AI178&lt;=72),VLOOKUP(H178,'WordRead Look Up'!$E$13:$F$20,2,TRUE),IF(AND(AI178&gt;=73,AI178&lt;=78),VLOOKUP(H178,'WordRead Look Up'!$I$13:$J$18,2,TRUE),IF(AND(AI178&gt;=79),VLOOKUP(H178,'WordRead Look Up'!$M$13:$N$18,2,TRUE),"")))))</f>
        <v/>
      </c>
      <c r="J178" s="122"/>
      <c r="K178" s="111"/>
      <c r="L178" s="111"/>
      <c r="M178" s="111"/>
      <c r="N178" s="111"/>
      <c r="O178" s="111"/>
      <c r="P178" s="111"/>
      <c r="Q178" s="111"/>
      <c r="R178" s="111"/>
      <c r="S178" s="111"/>
      <c r="T178" s="111"/>
      <c r="U178" s="111"/>
      <c r="V178" s="111"/>
      <c r="W178" s="111"/>
      <c r="X178" s="123"/>
      <c r="AI178" s="222" t="str">
        <f t="shared" si="5"/>
        <v/>
      </c>
    </row>
    <row r="179" spans="1:35" s="108" customFormat="1" ht="15.75">
      <c r="A179" s="119"/>
      <c r="B179" s="120"/>
      <c r="C179" s="111"/>
      <c r="D179" s="111"/>
      <c r="E179" s="121"/>
      <c r="F179" s="121"/>
      <c r="G179" s="113"/>
      <c r="H179" s="199" t="str">
        <f t="shared" si="4"/>
        <v/>
      </c>
      <c r="I179" s="200" t="str">
        <f>IF(H179="","",IF(AND(AI179&lt;=66),VLOOKUP(H179,'WordRead Look Up'!$A$13:$B$20,2,TRUE),IF(AND(AI179&gt;=67,AI179&lt;=72),VLOOKUP(H179,'WordRead Look Up'!$E$13:$F$20,2,TRUE),IF(AND(AI179&gt;=73,AI179&lt;=78),VLOOKUP(H179,'WordRead Look Up'!$I$13:$J$18,2,TRUE),IF(AND(AI179&gt;=79),VLOOKUP(H179,'WordRead Look Up'!$M$13:$N$18,2,TRUE),"")))))</f>
        <v/>
      </c>
      <c r="J179" s="122"/>
      <c r="K179" s="111"/>
      <c r="L179" s="111"/>
      <c r="M179" s="111"/>
      <c r="N179" s="111"/>
      <c r="O179" s="111"/>
      <c r="P179" s="111"/>
      <c r="Q179" s="111"/>
      <c r="R179" s="111"/>
      <c r="S179" s="111"/>
      <c r="T179" s="111"/>
      <c r="U179" s="111"/>
      <c r="V179" s="111"/>
      <c r="W179" s="111"/>
      <c r="X179" s="123"/>
      <c r="AI179" s="222" t="str">
        <f t="shared" si="5"/>
        <v/>
      </c>
    </row>
    <row r="180" spans="1:35" s="108" customFormat="1" ht="15.75">
      <c r="A180" s="119"/>
      <c r="B180" s="120"/>
      <c r="C180" s="111"/>
      <c r="D180" s="111"/>
      <c r="E180" s="121"/>
      <c r="F180" s="121"/>
      <c r="G180" s="113"/>
      <c r="H180" s="199" t="str">
        <f t="shared" si="4"/>
        <v/>
      </c>
      <c r="I180" s="200" t="str">
        <f>IF(H180="","",IF(AND(AI180&lt;=66),VLOOKUP(H180,'WordRead Look Up'!$A$13:$B$20,2,TRUE),IF(AND(AI180&gt;=67,AI180&lt;=72),VLOOKUP(H180,'WordRead Look Up'!$E$13:$F$20,2,TRUE),IF(AND(AI180&gt;=73,AI180&lt;=78),VLOOKUP(H180,'WordRead Look Up'!$I$13:$J$18,2,TRUE),IF(AND(AI180&gt;=79),VLOOKUP(H180,'WordRead Look Up'!$M$13:$N$18,2,TRUE),"")))))</f>
        <v/>
      </c>
      <c r="J180" s="122"/>
      <c r="K180" s="111"/>
      <c r="L180" s="111"/>
      <c r="M180" s="111"/>
      <c r="N180" s="111"/>
      <c r="O180" s="111"/>
      <c r="P180" s="111"/>
      <c r="Q180" s="111"/>
      <c r="R180" s="111"/>
      <c r="S180" s="111"/>
      <c r="T180" s="111"/>
      <c r="U180" s="111"/>
      <c r="V180" s="111"/>
      <c r="W180" s="111"/>
      <c r="X180" s="123"/>
      <c r="AI180" s="222" t="str">
        <f t="shared" si="5"/>
        <v/>
      </c>
    </row>
    <row r="181" spans="1:35" s="108" customFormat="1" ht="15.75">
      <c r="A181" s="119"/>
      <c r="B181" s="120"/>
      <c r="C181" s="111"/>
      <c r="D181" s="111"/>
      <c r="E181" s="121"/>
      <c r="F181" s="121"/>
      <c r="G181" s="113"/>
      <c r="H181" s="199" t="str">
        <f t="shared" si="4"/>
        <v/>
      </c>
      <c r="I181" s="200" t="str">
        <f>IF(H181="","",IF(AND(AI181&lt;=66),VLOOKUP(H181,'WordRead Look Up'!$A$13:$B$20,2,TRUE),IF(AND(AI181&gt;=67,AI181&lt;=72),VLOOKUP(H181,'WordRead Look Up'!$E$13:$F$20,2,TRUE),IF(AND(AI181&gt;=73,AI181&lt;=78),VLOOKUP(H181,'WordRead Look Up'!$I$13:$J$18,2,TRUE),IF(AND(AI181&gt;=79),VLOOKUP(H181,'WordRead Look Up'!$M$13:$N$18,2,TRUE),"")))))</f>
        <v/>
      </c>
      <c r="J181" s="122"/>
      <c r="K181" s="111"/>
      <c r="L181" s="111"/>
      <c r="M181" s="111"/>
      <c r="N181" s="111"/>
      <c r="O181" s="111"/>
      <c r="P181" s="111"/>
      <c r="Q181" s="111"/>
      <c r="R181" s="111"/>
      <c r="S181" s="111"/>
      <c r="T181" s="111"/>
      <c r="U181" s="111"/>
      <c r="V181" s="111"/>
      <c r="W181" s="111"/>
      <c r="X181" s="123"/>
      <c r="AI181" s="222" t="str">
        <f t="shared" si="5"/>
        <v/>
      </c>
    </row>
    <row r="182" spans="1:35" s="108" customFormat="1" ht="15.75">
      <c r="A182" s="119"/>
      <c r="B182" s="120"/>
      <c r="C182" s="111"/>
      <c r="D182" s="111"/>
      <c r="E182" s="121"/>
      <c r="F182" s="121"/>
      <c r="G182" s="113"/>
      <c r="H182" s="199" t="str">
        <f t="shared" si="4"/>
        <v/>
      </c>
      <c r="I182" s="200" t="str">
        <f>IF(H182="","",IF(AND(AI182&lt;=66),VLOOKUP(H182,'WordRead Look Up'!$A$13:$B$20,2,TRUE),IF(AND(AI182&gt;=67,AI182&lt;=72),VLOOKUP(H182,'WordRead Look Up'!$E$13:$F$20,2,TRUE),IF(AND(AI182&gt;=73,AI182&lt;=78),VLOOKUP(H182,'WordRead Look Up'!$I$13:$J$18,2,TRUE),IF(AND(AI182&gt;=79),VLOOKUP(H182,'WordRead Look Up'!$M$13:$N$18,2,TRUE),"")))))</f>
        <v/>
      </c>
      <c r="J182" s="122"/>
      <c r="K182" s="111"/>
      <c r="L182" s="111"/>
      <c r="M182" s="111"/>
      <c r="N182" s="111"/>
      <c r="O182" s="111"/>
      <c r="P182" s="111"/>
      <c r="Q182" s="111"/>
      <c r="R182" s="111"/>
      <c r="S182" s="111"/>
      <c r="T182" s="111"/>
      <c r="U182" s="111"/>
      <c r="V182" s="111"/>
      <c r="W182" s="111"/>
      <c r="X182" s="123"/>
      <c r="AI182" s="222" t="str">
        <f t="shared" si="5"/>
        <v/>
      </c>
    </row>
    <row r="183" spans="1:35" s="108" customFormat="1" ht="15.75">
      <c r="A183" s="119"/>
      <c r="B183" s="120"/>
      <c r="C183" s="111"/>
      <c r="D183" s="111"/>
      <c r="E183" s="121"/>
      <c r="F183" s="121"/>
      <c r="G183" s="113"/>
      <c r="H183" s="199" t="str">
        <f t="shared" si="4"/>
        <v/>
      </c>
      <c r="I183" s="200" t="str">
        <f>IF(H183="","",IF(AND(AI183&lt;=66),VLOOKUP(H183,'WordRead Look Up'!$A$13:$B$20,2,TRUE),IF(AND(AI183&gt;=67,AI183&lt;=72),VLOOKUP(H183,'WordRead Look Up'!$E$13:$F$20,2,TRUE),IF(AND(AI183&gt;=73,AI183&lt;=78),VLOOKUP(H183,'WordRead Look Up'!$I$13:$J$18,2,TRUE),IF(AND(AI183&gt;=79),VLOOKUP(H183,'WordRead Look Up'!$M$13:$N$18,2,TRUE),"")))))</f>
        <v/>
      </c>
      <c r="J183" s="122"/>
      <c r="K183" s="111"/>
      <c r="L183" s="111"/>
      <c r="M183" s="111"/>
      <c r="N183" s="111"/>
      <c r="O183" s="111"/>
      <c r="P183" s="111"/>
      <c r="Q183" s="111"/>
      <c r="R183" s="111"/>
      <c r="S183" s="111"/>
      <c r="T183" s="111"/>
      <c r="U183" s="111"/>
      <c r="V183" s="111"/>
      <c r="W183" s="111"/>
      <c r="X183" s="123"/>
      <c r="AI183" s="222" t="str">
        <f t="shared" si="5"/>
        <v/>
      </c>
    </row>
    <row r="184" spans="1:35" s="108" customFormat="1" ht="15.75">
      <c r="A184" s="119"/>
      <c r="B184" s="120"/>
      <c r="C184" s="111"/>
      <c r="D184" s="111"/>
      <c r="E184" s="121"/>
      <c r="F184" s="121"/>
      <c r="G184" s="113"/>
      <c r="H184" s="199" t="str">
        <f t="shared" si="4"/>
        <v/>
      </c>
      <c r="I184" s="200" t="str">
        <f>IF(H184="","",IF(AND(AI184&lt;=66),VLOOKUP(H184,'WordRead Look Up'!$A$13:$B$20,2,TRUE),IF(AND(AI184&gt;=67,AI184&lt;=72),VLOOKUP(H184,'WordRead Look Up'!$E$13:$F$20,2,TRUE),IF(AND(AI184&gt;=73,AI184&lt;=78),VLOOKUP(H184,'WordRead Look Up'!$I$13:$J$18,2,TRUE),IF(AND(AI184&gt;=79),VLOOKUP(H184,'WordRead Look Up'!$M$13:$N$18,2,TRUE),"")))))</f>
        <v/>
      </c>
      <c r="J184" s="122"/>
      <c r="K184" s="111"/>
      <c r="L184" s="111"/>
      <c r="M184" s="111"/>
      <c r="N184" s="111"/>
      <c r="O184" s="111"/>
      <c r="P184" s="111"/>
      <c r="Q184" s="111"/>
      <c r="R184" s="111"/>
      <c r="S184" s="111"/>
      <c r="T184" s="111"/>
      <c r="U184" s="111"/>
      <c r="V184" s="111"/>
      <c r="W184" s="111"/>
      <c r="X184" s="123"/>
      <c r="AI184" s="222" t="str">
        <f t="shared" si="5"/>
        <v/>
      </c>
    </row>
    <row r="185" spans="1:35" s="108" customFormat="1" ht="15.75">
      <c r="A185" s="119"/>
      <c r="B185" s="120"/>
      <c r="C185" s="111"/>
      <c r="D185" s="111"/>
      <c r="E185" s="121"/>
      <c r="F185" s="121"/>
      <c r="G185" s="113"/>
      <c r="H185" s="199" t="str">
        <f t="shared" si="4"/>
        <v/>
      </c>
      <c r="I185" s="200" t="str">
        <f>IF(H185="","",IF(AND(AI185&lt;=66),VLOOKUP(H185,'WordRead Look Up'!$A$13:$B$20,2,TRUE),IF(AND(AI185&gt;=67,AI185&lt;=72),VLOOKUP(H185,'WordRead Look Up'!$E$13:$F$20,2,TRUE),IF(AND(AI185&gt;=73,AI185&lt;=78),VLOOKUP(H185,'WordRead Look Up'!$I$13:$J$18,2,TRUE),IF(AND(AI185&gt;=79),VLOOKUP(H185,'WordRead Look Up'!$M$13:$N$18,2,TRUE),"")))))</f>
        <v/>
      </c>
      <c r="J185" s="122"/>
      <c r="K185" s="111"/>
      <c r="L185" s="111"/>
      <c r="M185" s="111"/>
      <c r="N185" s="111"/>
      <c r="O185" s="111"/>
      <c r="P185" s="111"/>
      <c r="Q185" s="111"/>
      <c r="R185" s="111"/>
      <c r="S185" s="111"/>
      <c r="T185" s="111"/>
      <c r="U185" s="111"/>
      <c r="V185" s="111"/>
      <c r="W185" s="111"/>
      <c r="X185" s="123"/>
      <c r="AI185" s="222" t="str">
        <f t="shared" si="5"/>
        <v/>
      </c>
    </row>
    <row r="186" spans="1:35" s="108" customFormat="1" ht="15.75">
      <c r="A186" s="119"/>
      <c r="B186" s="120"/>
      <c r="C186" s="111"/>
      <c r="D186" s="111"/>
      <c r="E186" s="121"/>
      <c r="F186" s="121"/>
      <c r="G186" s="113"/>
      <c r="H186" s="199" t="str">
        <f t="shared" si="4"/>
        <v/>
      </c>
      <c r="I186" s="200" t="str">
        <f>IF(H186="","",IF(AND(AI186&lt;=66),VLOOKUP(H186,'WordRead Look Up'!$A$13:$B$20,2,TRUE),IF(AND(AI186&gt;=67,AI186&lt;=72),VLOOKUP(H186,'WordRead Look Up'!$E$13:$F$20,2,TRUE),IF(AND(AI186&gt;=73,AI186&lt;=78),VLOOKUP(H186,'WordRead Look Up'!$I$13:$J$18,2,TRUE),IF(AND(AI186&gt;=79),VLOOKUP(H186,'WordRead Look Up'!$M$13:$N$18,2,TRUE),"")))))</f>
        <v/>
      </c>
      <c r="J186" s="122"/>
      <c r="K186" s="111"/>
      <c r="L186" s="111"/>
      <c r="M186" s="111"/>
      <c r="N186" s="111"/>
      <c r="O186" s="111"/>
      <c r="P186" s="111"/>
      <c r="Q186" s="111"/>
      <c r="R186" s="111"/>
      <c r="S186" s="111"/>
      <c r="T186" s="111"/>
      <c r="U186" s="111"/>
      <c r="V186" s="111"/>
      <c r="W186" s="111"/>
      <c r="X186" s="123"/>
      <c r="AI186" s="222" t="str">
        <f t="shared" si="5"/>
        <v/>
      </c>
    </row>
    <row r="187" spans="1:35" s="108" customFormat="1" ht="15.75">
      <c r="A187" s="119"/>
      <c r="B187" s="120"/>
      <c r="C187" s="111"/>
      <c r="D187" s="111"/>
      <c r="E187" s="121"/>
      <c r="F187" s="121"/>
      <c r="G187" s="113"/>
      <c r="H187" s="199" t="str">
        <f t="shared" si="4"/>
        <v/>
      </c>
      <c r="I187" s="200" t="str">
        <f>IF(H187="","",IF(AND(AI187&lt;=66),VLOOKUP(H187,'WordRead Look Up'!$A$13:$B$20,2,TRUE),IF(AND(AI187&gt;=67,AI187&lt;=72),VLOOKUP(H187,'WordRead Look Up'!$E$13:$F$20,2,TRUE),IF(AND(AI187&gt;=73,AI187&lt;=78),VLOOKUP(H187,'WordRead Look Up'!$I$13:$J$18,2,TRUE),IF(AND(AI187&gt;=79),VLOOKUP(H187,'WordRead Look Up'!$M$13:$N$18,2,TRUE),"")))))</f>
        <v/>
      </c>
      <c r="J187" s="122"/>
      <c r="K187" s="111"/>
      <c r="L187" s="111"/>
      <c r="M187" s="111"/>
      <c r="N187" s="111"/>
      <c r="O187" s="111"/>
      <c r="P187" s="111"/>
      <c r="Q187" s="111"/>
      <c r="R187" s="111"/>
      <c r="S187" s="111"/>
      <c r="T187" s="111"/>
      <c r="U187" s="111"/>
      <c r="V187" s="111"/>
      <c r="W187" s="111"/>
      <c r="X187" s="123"/>
      <c r="AI187" s="222" t="str">
        <f t="shared" si="5"/>
        <v/>
      </c>
    </row>
    <row r="188" spans="1:35" s="108" customFormat="1" ht="15.75">
      <c r="A188" s="119"/>
      <c r="B188" s="120"/>
      <c r="C188" s="111"/>
      <c r="D188" s="111"/>
      <c r="E188" s="121"/>
      <c r="F188" s="121"/>
      <c r="G188" s="113"/>
      <c r="H188" s="199" t="str">
        <f t="shared" si="4"/>
        <v/>
      </c>
      <c r="I188" s="200" t="str">
        <f>IF(H188="","",IF(AND(AI188&lt;=66),VLOOKUP(H188,'WordRead Look Up'!$A$13:$B$20,2,TRUE),IF(AND(AI188&gt;=67,AI188&lt;=72),VLOOKUP(H188,'WordRead Look Up'!$E$13:$F$20,2,TRUE),IF(AND(AI188&gt;=73,AI188&lt;=78),VLOOKUP(H188,'WordRead Look Up'!$I$13:$J$18,2,TRUE),IF(AND(AI188&gt;=79),VLOOKUP(H188,'WordRead Look Up'!$M$13:$N$18,2,TRUE),"")))))</f>
        <v/>
      </c>
      <c r="J188" s="122"/>
      <c r="K188" s="111"/>
      <c r="L188" s="111"/>
      <c r="M188" s="111"/>
      <c r="N188" s="111"/>
      <c r="O188" s="111"/>
      <c r="P188" s="111"/>
      <c r="Q188" s="111"/>
      <c r="R188" s="111"/>
      <c r="S188" s="111"/>
      <c r="T188" s="111"/>
      <c r="U188" s="111"/>
      <c r="V188" s="111"/>
      <c r="W188" s="111"/>
      <c r="X188" s="123"/>
      <c r="AI188" s="222" t="str">
        <f t="shared" si="5"/>
        <v/>
      </c>
    </row>
    <row r="189" spans="1:35" s="108" customFormat="1" ht="15.75">
      <c r="A189" s="119"/>
      <c r="B189" s="120"/>
      <c r="C189" s="111"/>
      <c r="D189" s="111"/>
      <c r="E189" s="121"/>
      <c r="F189" s="121"/>
      <c r="G189" s="113"/>
      <c r="H189" s="199" t="str">
        <f t="shared" si="4"/>
        <v/>
      </c>
      <c r="I189" s="200" t="str">
        <f>IF(H189="","",IF(AND(AI189&lt;=66),VLOOKUP(H189,'WordRead Look Up'!$A$13:$B$20,2,TRUE),IF(AND(AI189&gt;=67,AI189&lt;=72),VLOOKUP(H189,'WordRead Look Up'!$E$13:$F$20,2,TRUE),IF(AND(AI189&gt;=73,AI189&lt;=78),VLOOKUP(H189,'WordRead Look Up'!$I$13:$J$18,2,TRUE),IF(AND(AI189&gt;=79),VLOOKUP(H189,'WordRead Look Up'!$M$13:$N$18,2,TRUE),"")))))</f>
        <v/>
      </c>
      <c r="J189" s="122"/>
      <c r="K189" s="111"/>
      <c r="L189" s="111"/>
      <c r="M189" s="111"/>
      <c r="N189" s="111"/>
      <c r="O189" s="111"/>
      <c r="P189" s="111"/>
      <c r="Q189" s="111"/>
      <c r="R189" s="111"/>
      <c r="S189" s="111"/>
      <c r="T189" s="111"/>
      <c r="U189" s="111"/>
      <c r="V189" s="111"/>
      <c r="W189" s="111"/>
      <c r="X189" s="123"/>
      <c r="AI189" s="222" t="str">
        <f t="shared" si="5"/>
        <v/>
      </c>
    </row>
    <row r="190" spans="1:35" s="108" customFormat="1" ht="15.75">
      <c r="A190" s="119"/>
      <c r="B190" s="120"/>
      <c r="C190" s="111"/>
      <c r="D190" s="111"/>
      <c r="E190" s="121"/>
      <c r="F190" s="121"/>
      <c r="G190" s="113"/>
      <c r="H190" s="199" t="str">
        <f t="shared" si="4"/>
        <v/>
      </c>
      <c r="I190" s="200" t="str">
        <f>IF(H190="","",IF(AND(AI190&lt;=66),VLOOKUP(H190,'WordRead Look Up'!$A$13:$B$20,2,TRUE),IF(AND(AI190&gt;=67,AI190&lt;=72),VLOOKUP(H190,'WordRead Look Up'!$E$13:$F$20,2,TRUE),IF(AND(AI190&gt;=73,AI190&lt;=78),VLOOKUP(H190,'WordRead Look Up'!$I$13:$J$18,2,TRUE),IF(AND(AI190&gt;=79),VLOOKUP(H190,'WordRead Look Up'!$M$13:$N$18,2,TRUE),"")))))</f>
        <v/>
      </c>
      <c r="J190" s="122"/>
      <c r="K190" s="111"/>
      <c r="L190" s="111"/>
      <c r="M190" s="111"/>
      <c r="N190" s="111"/>
      <c r="O190" s="111"/>
      <c r="P190" s="111"/>
      <c r="Q190" s="111"/>
      <c r="R190" s="111"/>
      <c r="S190" s="111"/>
      <c r="T190" s="111"/>
      <c r="U190" s="111"/>
      <c r="V190" s="111"/>
      <c r="W190" s="111"/>
      <c r="X190" s="123"/>
      <c r="AI190" s="222" t="str">
        <f t="shared" si="5"/>
        <v/>
      </c>
    </row>
    <row r="191" spans="1:35" s="108" customFormat="1" ht="15.75">
      <c r="A191" s="119"/>
      <c r="B191" s="120"/>
      <c r="C191" s="111"/>
      <c r="D191" s="111"/>
      <c r="E191" s="121"/>
      <c r="F191" s="121"/>
      <c r="G191" s="113"/>
      <c r="H191" s="199" t="str">
        <f t="shared" si="4"/>
        <v/>
      </c>
      <c r="I191" s="200" t="str">
        <f>IF(H191="","",IF(AND(AI191&lt;=66),VLOOKUP(H191,'WordRead Look Up'!$A$13:$B$20,2,TRUE),IF(AND(AI191&gt;=67,AI191&lt;=72),VLOOKUP(H191,'WordRead Look Up'!$E$13:$F$20,2,TRUE),IF(AND(AI191&gt;=73,AI191&lt;=78),VLOOKUP(H191,'WordRead Look Up'!$I$13:$J$18,2,TRUE),IF(AND(AI191&gt;=79),VLOOKUP(H191,'WordRead Look Up'!$M$13:$N$18,2,TRUE),"")))))</f>
        <v/>
      </c>
      <c r="J191" s="122"/>
      <c r="K191" s="111"/>
      <c r="L191" s="111"/>
      <c r="M191" s="111"/>
      <c r="N191" s="111"/>
      <c r="O191" s="111"/>
      <c r="P191" s="111"/>
      <c r="Q191" s="111"/>
      <c r="R191" s="111"/>
      <c r="S191" s="111"/>
      <c r="T191" s="111"/>
      <c r="U191" s="111"/>
      <c r="V191" s="111"/>
      <c r="W191" s="111"/>
      <c r="X191" s="123"/>
      <c r="AI191" s="222" t="str">
        <f t="shared" si="5"/>
        <v/>
      </c>
    </row>
    <row r="192" spans="1:35" s="108" customFormat="1" ht="15.75">
      <c r="A192" s="119"/>
      <c r="B192" s="120"/>
      <c r="C192" s="111"/>
      <c r="D192" s="111"/>
      <c r="E192" s="121"/>
      <c r="F192" s="121"/>
      <c r="G192" s="113"/>
      <c r="H192" s="199" t="str">
        <f t="shared" si="4"/>
        <v/>
      </c>
      <c r="I192" s="200" t="str">
        <f>IF(H192="","",IF(AND(AI192&lt;=66),VLOOKUP(H192,'WordRead Look Up'!$A$13:$B$20,2,TRUE),IF(AND(AI192&gt;=67,AI192&lt;=72),VLOOKUP(H192,'WordRead Look Up'!$E$13:$F$20,2,TRUE),IF(AND(AI192&gt;=73,AI192&lt;=78),VLOOKUP(H192,'WordRead Look Up'!$I$13:$J$18,2,TRUE),IF(AND(AI192&gt;=79),VLOOKUP(H192,'WordRead Look Up'!$M$13:$N$18,2,TRUE),"")))))</f>
        <v/>
      </c>
      <c r="J192" s="122"/>
      <c r="K192" s="111"/>
      <c r="L192" s="111"/>
      <c r="M192" s="111"/>
      <c r="N192" s="111"/>
      <c r="O192" s="111"/>
      <c r="P192" s="111"/>
      <c r="Q192" s="111"/>
      <c r="R192" s="111"/>
      <c r="S192" s="111"/>
      <c r="T192" s="111"/>
      <c r="U192" s="111"/>
      <c r="V192" s="111"/>
      <c r="W192" s="111"/>
      <c r="X192" s="123"/>
      <c r="AI192" s="222" t="str">
        <f t="shared" si="5"/>
        <v/>
      </c>
    </row>
    <row r="193" spans="1:35" s="108" customFormat="1" ht="15.75">
      <c r="A193" s="119"/>
      <c r="B193" s="120"/>
      <c r="C193" s="111"/>
      <c r="D193" s="111"/>
      <c r="E193" s="121"/>
      <c r="F193" s="121"/>
      <c r="G193" s="113"/>
      <c r="H193" s="199" t="str">
        <f t="shared" si="4"/>
        <v/>
      </c>
      <c r="I193" s="200" t="str">
        <f>IF(H193="","",IF(AND(AI193&lt;=66),VLOOKUP(H193,'WordRead Look Up'!$A$13:$B$20,2,TRUE),IF(AND(AI193&gt;=67,AI193&lt;=72),VLOOKUP(H193,'WordRead Look Up'!$E$13:$F$20,2,TRUE),IF(AND(AI193&gt;=73,AI193&lt;=78),VLOOKUP(H193,'WordRead Look Up'!$I$13:$J$18,2,TRUE),IF(AND(AI193&gt;=79),VLOOKUP(H193,'WordRead Look Up'!$M$13:$N$18,2,TRUE),"")))))</f>
        <v/>
      </c>
      <c r="J193" s="122"/>
      <c r="K193" s="111"/>
      <c r="L193" s="111"/>
      <c r="M193" s="111"/>
      <c r="N193" s="111"/>
      <c r="O193" s="111"/>
      <c r="P193" s="111"/>
      <c r="Q193" s="111"/>
      <c r="R193" s="111"/>
      <c r="S193" s="111"/>
      <c r="T193" s="111"/>
      <c r="U193" s="111"/>
      <c r="V193" s="111"/>
      <c r="W193" s="111"/>
      <c r="X193" s="123"/>
      <c r="AI193" s="222" t="str">
        <f t="shared" si="5"/>
        <v/>
      </c>
    </row>
    <row r="194" spans="1:35" s="108" customFormat="1" ht="15.75">
      <c r="A194" s="119"/>
      <c r="B194" s="120"/>
      <c r="C194" s="111"/>
      <c r="D194" s="111"/>
      <c r="E194" s="121"/>
      <c r="F194" s="121"/>
      <c r="G194" s="113"/>
      <c r="H194" s="199" t="str">
        <f t="shared" si="4"/>
        <v/>
      </c>
      <c r="I194" s="200" t="str">
        <f>IF(H194="","",IF(AND(AI194&lt;=66),VLOOKUP(H194,'WordRead Look Up'!$A$13:$B$20,2,TRUE),IF(AND(AI194&gt;=67,AI194&lt;=72),VLOOKUP(H194,'WordRead Look Up'!$E$13:$F$20,2,TRUE),IF(AND(AI194&gt;=73,AI194&lt;=78),VLOOKUP(H194,'WordRead Look Up'!$I$13:$J$18,2,TRUE),IF(AND(AI194&gt;=79),VLOOKUP(H194,'WordRead Look Up'!$M$13:$N$18,2,TRUE),"")))))</f>
        <v/>
      </c>
      <c r="J194" s="122"/>
      <c r="K194" s="111"/>
      <c r="L194" s="111"/>
      <c r="M194" s="111"/>
      <c r="N194" s="111"/>
      <c r="O194" s="111"/>
      <c r="P194" s="111"/>
      <c r="Q194" s="111"/>
      <c r="R194" s="111"/>
      <c r="S194" s="111"/>
      <c r="T194" s="111"/>
      <c r="U194" s="111"/>
      <c r="V194" s="111"/>
      <c r="W194" s="111"/>
      <c r="X194" s="123"/>
      <c r="AI194" s="222" t="str">
        <f t="shared" si="5"/>
        <v/>
      </c>
    </row>
    <row r="195" spans="1:35" s="108" customFormat="1" ht="15.75">
      <c r="A195" s="119"/>
      <c r="B195" s="120"/>
      <c r="C195" s="111"/>
      <c r="D195" s="111"/>
      <c r="E195" s="121"/>
      <c r="F195" s="121"/>
      <c r="G195" s="113"/>
      <c r="H195" s="199" t="str">
        <f t="shared" si="4"/>
        <v/>
      </c>
      <c r="I195" s="200" t="str">
        <f>IF(H195="","",IF(AND(AI195&lt;=66),VLOOKUP(H195,'WordRead Look Up'!$A$13:$B$20,2,TRUE),IF(AND(AI195&gt;=67,AI195&lt;=72),VLOOKUP(H195,'WordRead Look Up'!$E$13:$F$20,2,TRUE),IF(AND(AI195&gt;=73,AI195&lt;=78),VLOOKUP(H195,'WordRead Look Up'!$I$13:$J$18,2,TRUE),IF(AND(AI195&gt;=79),VLOOKUP(H195,'WordRead Look Up'!$M$13:$N$18,2,TRUE),"")))))</f>
        <v/>
      </c>
      <c r="J195" s="122"/>
      <c r="K195" s="111"/>
      <c r="L195" s="111"/>
      <c r="M195" s="111"/>
      <c r="N195" s="111"/>
      <c r="O195" s="111"/>
      <c r="P195" s="111"/>
      <c r="Q195" s="111"/>
      <c r="R195" s="111"/>
      <c r="S195" s="111"/>
      <c r="T195" s="111"/>
      <c r="U195" s="111"/>
      <c r="V195" s="111"/>
      <c r="W195" s="111"/>
      <c r="X195" s="123"/>
      <c r="AI195" s="222" t="str">
        <f t="shared" si="5"/>
        <v/>
      </c>
    </row>
    <row r="196" spans="1:35" s="108" customFormat="1" ht="15.75">
      <c r="A196" s="119"/>
      <c r="B196" s="120"/>
      <c r="C196" s="111"/>
      <c r="D196" s="111"/>
      <c r="E196" s="121"/>
      <c r="F196" s="121"/>
      <c r="G196" s="113"/>
      <c r="H196" s="199" t="str">
        <f t="shared" si="4"/>
        <v/>
      </c>
      <c r="I196" s="200" t="str">
        <f>IF(H196="","",IF(AND(AI196&lt;=66),VLOOKUP(H196,'WordRead Look Up'!$A$13:$B$20,2,TRUE),IF(AND(AI196&gt;=67,AI196&lt;=72),VLOOKUP(H196,'WordRead Look Up'!$E$13:$F$20,2,TRUE),IF(AND(AI196&gt;=73,AI196&lt;=78),VLOOKUP(H196,'WordRead Look Up'!$I$13:$J$18,2,TRUE),IF(AND(AI196&gt;=79),VLOOKUP(H196,'WordRead Look Up'!$M$13:$N$18,2,TRUE),"")))))</f>
        <v/>
      </c>
      <c r="J196" s="122"/>
      <c r="K196" s="111"/>
      <c r="L196" s="111"/>
      <c r="M196" s="111"/>
      <c r="N196" s="111"/>
      <c r="O196" s="111"/>
      <c r="P196" s="111"/>
      <c r="Q196" s="111"/>
      <c r="R196" s="111"/>
      <c r="S196" s="111"/>
      <c r="T196" s="111"/>
      <c r="U196" s="111"/>
      <c r="V196" s="111"/>
      <c r="W196" s="111"/>
      <c r="X196" s="123"/>
      <c r="AI196" s="222" t="str">
        <f t="shared" si="5"/>
        <v/>
      </c>
    </row>
    <row r="197" spans="1:35" s="108" customFormat="1" ht="15.75">
      <c r="A197" s="119"/>
      <c r="B197" s="120"/>
      <c r="C197" s="111"/>
      <c r="D197" s="111"/>
      <c r="E197" s="121"/>
      <c r="F197" s="121"/>
      <c r="G197" s="113"/>
      <c r="H197" s="199" t="str">
        <f t="shared" si="4"/>
        <v/>
      </c>
      <c r="I197" s="200" t="str">
        <f>IF(H197="","",IF(AND(AI197&lt;=66),VLOOKUP(H197,'WordRead Look Up'!$A$13:$B$20,2,TRUE),IF(AND(AI197&gt;=67,AI197&lt;=72),VLOOKUP(H197,'WordRead Look Up'!$E$13:$F$20,2,TRUE),IF(AND(AI197&gt;=73,AI197&lt;=78),VLOOKUP(H197,'WordRead Look Up'!$I$13:$J$18,2,TRUE),IF(AND(AI197&gt;=79),VLOOKUP(H197,'WordRead Look Up'!$M$13:$N$18,2,TRUE),"")))))</f>
        <v/>
      </c>
      <c r="J197" s="122"/>
      <c r="K197" s="111"/>
      <c r="L197" s="111"/>
      <c r="M197" s="111"/>
      <c r="N197" s="111"/>
      <c r="O197" s="111"/>
      <c r="P197" s="111"/>
      <c r="Q197" s="111"/>
      <c r="R197" s="111"/>
      <c r="S197" s="111"/>
      <c r="T197" s="111"/>
      <c r="U197" s="111"/>
      <c r="V197" s="111"/>
      <c r="W197" s="111"/>
      <c r="X197" s="123"/>
      <c r="AI197" s="222" t="str">
        <f t="shared" si="5"/>
        <v/>
      </c>
    </row>
    <row r="198" spans="1:35" s="108" customFormat="1" ht="15.75">
      <c r="A198" s="119"/>
      <c r="B198" s="120"/>
      <c r="C198" s="111"/>
      <c r="D198" s="111"/>
      <c r="E198" s="121"/>
      <c r="F198" s="121"/>
      <c r="G198" s="113"/>
      <c r="H198" s="199" t="str">
        <f t="shared" si="4"/>
        <v/>
      </c>
      <c r="I198" s="200" t="str">
        <f>IF(H198="","",IF(AND(AI198&lt;=66),VLOOKUP(H198,'WordRead Look Up'!$A$13:$B$20,2,TRUE),IF(AND(AI198&gt;=67,AI198&lt;=72),VLOOKUP(H198,'WordRead Look Up'!$E$13:$F$20,2,TRUE),IF(AND(AI198&gt;=73,AI198&lt;=78),VLOOKUP(H198,'WordRead Look Up'!$I$13:$J$18,2,TRUE),IF(AND(AI198&gt;=79),VLOOKUP(H198,'WordRead Look Up'!$M$13:$N$18,2,TRUE),"")))))</f>
        <v/>
      </c>
      <c r="J198" s="122"/>
      <c r="K198" s="111"/>
      <c r="L198" s="111"/>
      <c r="M198" s="111"/>
      <c r="N198" s="111"/>
      <c r="O198" s="111"/>
      <c r="P198" s="111"/>
      <c r="Q198" s="111"/>
      <c r="R198" s="111"/>
      <c r="S198" s="111"/>
      <c r="T198" s="111"/>
      <c r="U198" s="111"/>
      <c r="V198" s="111"/>
      <c r="W198" s="111"/>
      <c r="X198" s="123"/>
      <c r="AI198" s="222" t="str">
        <f t="shared" si="5"/>
        <v/>
      </c>
    </row>
    <row r="199" spans="1:35" s="108" customFormat="1" ht="15.75">
      <c r="A199" s="119"/>
      <c r="B199" s="120"/>
      <c r="C199" s="111"/>
      <c r="D199" s="111"/>
      <c r="E199" s="121"/>
      <c r="F199" s="121"/>
      <c r="G199" s="113"/>
      <c r="H199" s="199" t="str">
        <f t="shared" si="4"/>
        <v/>
      </c>
      <c r="I199" s="200" t="str">
        <f>IF(H199="","",IF(AND(AI199&lt;=66),VLOOKUP(H199,'WordRead Look Up'!$A$13:$B$20,2,TRUE),IF(AND(AI199&gt;=67,AI199&lt;=72),VLOOKUP(H199,'WordRead Look Up'!$E$13:$F$20,2,TRUE),IF(AND(AI199&gt;=73,AI199&lt;=78),VLOOKUP(H199,'WordRead Look Up'!$I$13:$J$18,2,TRUE),IF(AND(AI199&gt;=79),VLOOKUP(H199,'WordRead Look Up'!$M$13:$N$18,2,TRUE),"")))))</f>
        <v/>
      </c>
      <c r="J199" s="122"/>
      <c r="K199" s="111"/>
      <c r="L199" s="111"/>
      <c r="M199" s="111"/>
      <c r="N199" s="111"/>
      <c r="O199" s="111"/>
      <c r="P199" s="111"/>
      <c r="Q199" s="111"/>
      <c r="R199" s="111"/>
      <c r="S199" s="111"/>
      <c r="T199" s="111"/>
      <c r="U199" s="111"/>
      <c r="V199" s="111"/>
      <c r="W199" s="111"/>
      <c r="X199" s="123"/>
      <c r="AI199" s="222" t="str">
        <f t="shared" si="5"/>
        <v/>
      </c>
    </row>
    <row r="200" spans="1:35" s="108" customFormat="1" ht="15.75">
      <c r="A200" s="119"/>
      <c r="B200" s="120"/>
      <c r="C200" s="111"/>
      <c r="D200" s="111"/>
      <c r="E200" s="121"/>
      <c r="F200" s="121"/>
      <c r="G200" s="113"/>
      <c r="H200" s="199" t="str">
        <f t="shared" ref="H200:H263" si="6">IF(E200="","",COUNTIF(J200:X200,"y"))</f>
        <v/>
      </c>
      <c r="I200" s="200" t="str">
        <f>IF(H200="","",IF(AND(AI200&lt;=66),VLOOKUP(H200,'WordRead Look Up'!$A$13:$B$20,2,TRUE),IF(AND(AI200&gt;=67,AI200&lt;=72),VLOOKUP(H200,'WordRead Look Up'!$E$13:$F$20,2,TRUE),IF(AND(AI200&gt;=73,AI200&lt;=78),VLOOKUP(H200,'WordRead Look Up'!$I$13:$J$18,2,TRUE),IF(AND(AI200&gt;=79),VLOOKUP(H200,'WordRead Look Up'!$M$13:$N$18,2,TRUE),"")))))</f>
        <v/>
      </c>
      <c r="J200" s="122"/>
      <c r="K200" s="111"/>
      <c r="L200" s="111"/>
      <c r="M200" s="111"/>
      <c r="N200" s="111"/>
      <c r="O200" s="111"/>
      <c r="P200" s="111"/>
      <c r="Q200" s="111"/>
      <c r="R200" s="111"/>
      <c r="S200" s="111"/>
      <c r="T200" s="111"/>
      <c r="U200" s="111"/>
      <c r="V200" s="111"/>
      <c r="W200" s="111"/>
      <c r="X200" s="123"/>
      <c r="AI200" s="222" t="str">
        <f t="shared" ref="AI200:AI263" si="7">IF(E200="","",DATEDIF(B200,A200,"m"))</f>
        <v/>
      </c>
    </row>
    <row r="201" spans="1:35" s="108" customFormat="1" ht="15.75">
      <c r="A201" s="119"/>
      <c r="B201" s="120"/>
      <c r="C201" s="111"/>
      <c r="D201" s="111"/>
      <c r="E201" s="121"/>
      <c r="F201" s="121"/>
      <c r="G201" s="113"/>
      <c r="H201" s="199" t="str">
        <f t="shared" si="6"/>
        <v/>
      </c>
      <c r="I201" s="200" t="str">
        <f>IF(H201="","",IF(AND(AI201&lt;=66),VLOOKUP(H201,'WordRead Look Up'!$A$13:$B$20,2,TRUE),IF(AND(AI201&gt;=67,AI201&lt;=72),VLOOKUP(H201,'WordRead Look Up'!$E$13:$F$20,2,TRUE),IF(AND(AI201&gt;=73,AI201&lt;=78),VLOOKUP(H201,'WordRead Look Up'!$I$13:$J$18,2,TRUE),IF(AND(AI201&gt;=79),VLOOKUP(H201,'WordRead Look Up'!$M$13:$N$18,2,TRUE),"")))))</f>
        <v/>
      </c>
      <c r="J201" s="122"/>
      <c r="K201" s="111"/>
      <c r="L201" s="111"/>
      <c r="M201" s="111"/>
      <c r="N201" s="111"/>
      <c r="O201" s="111"/>
      <c r="P201" s="111"/>
      <c r="Q201" s="111"/>
      <c r="R201" s="111"/>
      <c r="S201" s="111"/>
      <c r="T201" s="111"/>
      <c r="U201" s="111"/>
      <c r="V201" s="111"/>
      <c r="W201" s="111"/>
      <c r="X201" s="123"/>
      <c r="AI201" s="222" t="str">
        <f t="shared" si="7"/>
        <v/>
      </c>
    </row>
    <row r="202" spans="1:35" s="108" customFormat="1" ht="15.75">
      <c r="A202" s="119"/>
      <c r="B202" s="120"/>
      <c r="C202" s="111"/>
      <c r="D202" s="111"/>
      <c r="E202" s="121"/>
      <c r="F202" s="121"/>
      <c r="G202" s="113"/>
      <c r="H202" s="199" t="str">
        <f t="shared" si="6"/>
        <v/>
      </c>
      <c r="I202" s="200" t="str">
        <f>IF(H202="","",IF(AND(AI202&lt;=66),VLOOKUP(H202,'WordRead Look Up'!$A$13:$B$20,2,TRUE),IF(AND(AI202&gt;=67,AI202&lt;=72),VLOOKUP(H202,'WordRead Look Up'!$E$13:$F$20,2,TRUE),IF(AND(AI202&gt;=73,AI202&lt;=78),VLOOKUP(H202,'WordRead Look Up'!$I$13:$J$18,2,TRUE),IF(AND(AI202&gt;=79),VLOOKUP(H202,'WordRead Look Up'!$M$13:$N$18,2,TRUE),"")))))</f>
        <v/>
      </c>
      <c r="J202" s="122"/>
      <c r="K202" s="111"/>
      <c r="L202" s="111"/>
      <c r="M202" s="111"/>
      <c r="N202" s="111"/>
      <c r="O202" s="111"/>
      <c r="P202" s="111"/>
      <c r="Q202" s="111"/>
      <c r="R202" s="111"/>
      <c r="S202" s="111"/>
      <c r="T202" s="111"/>
      <c r="U202" s="111"/>
      <c r="V202" s="111"/>
      <c r="W202" s="111"/>
      <c r="X202" s="123"/>
      <c r="AI202" s="222" t="str">
        <f t="shared" si="7"/>
        <v/>
      </c>
    </row>
    <row r="203" spans="1:35" s="108" customFormat="1" ht="15.75">
      <c r="A203" s="119"/>
      <c r="B203" s="120"/>
      <c r="C203" s="111"/>
      <c r="D203" s="111"/>
      <c r="E203" s="121"/>
      <c r="F203" s="121"/>
      <c r="G203" s="113"/>
      <c r="H203" s="199" t="str">
        <f t="shared" si="6"/>
        <v/>
      </c>
      <c r="I203" s="200" t="str">
        <f>IF(H203="","",IF(AND(AI203&lt;=66),VLOOKUP(H203,'WordRead Look Up'!$A$13:$B$20,2,TRUE),IF(AND(AI203&gt;=67,AI203&lt;=72),VLOOKUP(H203,'WordRead Look Up'!$E$13:$F$20,2,TRUE),IF(AND(AI203&gt;=73,AI203&lt;=78),VLOOKUP(H203,'WordRead Look Up'!$I$13:$J$18,2,TRUE),IF(AND(AI203&gt;=79),VLOOKUP(H203,'WordRead Look Up'!$M$13:$N$18,2,TRUE),"")))))</f>
        <v/>
      </c>
      <c r="J203" s="122"/>
      <c r="K203" s="111"/>
      <c r="L203" s="111"/>
      <c r="M203" s="111"/>
      <c r="N203" s="111"/>
      <c r="O203" s="111"/>
      <c r="P203" s="111"/>
      <c r="Q203" s="111"/>
      <c r="R203" s="111"/>
      <c r="S203" s="111"/>
      <c r="T203" s="111"/>
      <c r="U203" s="111"/>
      <c r="V203" s="111"/>
      <c r="W203" s="111"/>
      <c r="X203" s="123"/>
      <c r="AI203" s="222" t="str">
        <f t="shared" si="7"/>
        <v/>
      </c>
    </row>
    <row r="204" spans="1:35" s="108" customFormat="1" ht="15.75">
      <c r="A204" s="119"/>
      <c r="B204" s="120"/>
      <c r="C204" s="111"/>
      <c r="D204" s="111"/>
      <c r="E204" s="121"/>
      <c r="F204" s="121"/>
      <c r="G204" s="113"/>
      <c r="H204" s="199" t="str">
        <f t="shared" si="6"/>
        <v/>
      </c>
      <c r="I204" s="200" t="str">
        <f>IF(H204="","",IF(AND(AI204&lt;=66),VLOOKUP(H204,'WordRead Look Up'!$A$13:$B$20,2,TRUE),IF(AND(AI204&gt;=67,AI204&lt;=72),VLOOKUP(H204,'WordRead Look Up'!$E$13:$F$20,2,TRUE),IF(AND(AI204&gt;=73,AI204&lt;=78),VLOOKUP(H204,'WordRead Look Up'!$I$13:$J$18,2,TRUE),IF(AND(AI204&gt;=79),VLOOKUP(H204,'WordRead Look Up'!$M$13:$N$18,2,TRUE),"")))))</f>
        <v/>
      </c>
      <c r="J204" s="122"/>
      <c r="K204" s="111"/>
      <c r="L204" s="111"/>
      <c r="M204" s="111"/>
      <c r="N204" s="111"/>
      <c r="O204" s="111"/>
      <c r="P204" s="111"/>
      <c r="Q204" s="111"/>
      <c r="R204" s="111"/>
      <c r="S204" s="111"/>
      <c r="T204" s="111"/>
      <c r="U204" s="111"/>
      <c r="V204" s="111"/>
      <c r="W204" s="111"/>
      <c r="X204" s="123"/>
      <c r="AI204" s="222" t="str">
        <f t="shared" si="7"/>
        <v/>
      </c>
    </row>
    <row r="205" spans="1:35" s="108" customFormat="1" ht="15.75">
      <c r="A205" s="119"/>
      <c r="B205" s="120"/>
      <c r="C205" s="111"/>
      <c r="D205" s="111"/>
      <c r="E205" s="121"/>
      <c r="F205" s="121"/>
      <c r="G205" s="113"/>
      <c r="H205" s="199" t="str">
        <f t="shared" si="6"/>
        <v/>
      </c>
      <c r="I205" s="200" t="str">
        <f>IF(H205="","",IF(AND(AI205&lt;=66),VLOOKUP(H205,'WordRead Look Up'!$A$13:$B$20,2,TRUE),IF(AND(AI205&gt;=67,AI205&lt;=72),VLOOKUP(H205,'WordRead Look Up'!$E$13:$F$20,2,TRUE),IF(AND(AI205&gt;=73,AI205&lt;=78),VLOOKUP(H205,'WordRead Look Up'!$I$13:$J$18,2,TRUE),IF(AND(AI205&gt;=79),VLOOKUP(H205,'WordRead Look Up'!$M$13:$N$18,2,TRUE),"")))))</f>
        <v/>
      </c>
      <c r="J205" s="122"/>
      <c r="K205" s="111"/>
      <c r="L205" s="111"/>
      <c r="M205" s="111"/>
      <c r="N205" s="111"/>
      <c r="O205" s="111"/>
      <c r="P205" s="111"/>
      <c r="Q205" s="111"/>
      <c r="R205" s="111"/>
      <c r="S205" s="111"/>
      <c r="T205" s="111"/>
      <c r="U205" s="111"/>
      <c r="V205" s="111"/>
      <c r="W205" s="111"/>
      <c r="X205" s="123"/>
      <c r="AI205" s="222" t="str">
        <f t="shared" si="7"/>
        <v/>
      </c>
    </row>
    <row r="206" spans="1:35" s="108" customFormat="1" ht="15.75">
      <c r="A206" s="119"/>
      <c r="B206" s="120"/>
      <c r="C206" s="111"/>
      <c r="D206" s="111"/>
      <c r="E206" s="121"/>
      <c r="F206" s="121"/>
      <c r="G206" s="113"/>
      <c r="H206" s="199" t="str">
        <f t="shared" si="6"/>
        <v/>
      </c>
      <c r="I206" s="200" t="str">
        <f>IF(H206="","",IF(AND(AI206&lt;=66),VLOOKUP(H206,'WordRead Look Up'!$A$13:$B$20,2,TRUE),IF(AND(AI206&gt;=67,AI206&lt;=72),VLOOKUP(H206,'WordRead Look Up'!$E$13:$F$20,2,TRUE),IF(AND(AI206&gt;=73,AI206&lt;=78),VLOOKUP(H206,'WordRead Look Up'!$I$13:$J$18,2,TRUE),IF(AND(AI206&gt;=79),VLOOKUP(H206,'WordRead Look Up'!$M$13:$N$18,2,TRUE),"")))))</f>
        <v/>
      </c>
      <c r="J206" s="122"/>
      <c r="K206" s="111"/>
      <c r="L206" s="111"/>
      <c r="M206" s="111"/>
      <c r="N206" s="111"/>
      <c r="O206" s="111"/>
      <c r="P206" s="111"/>
      <c r="Q206" s="111"/>
      <c r="R206" s="111"/>
      <c r="S206" s="111"/>
      <c r="T206" s="111"/>
      <c r="U206" s="111"/>
      <c r="V206" s="111"/>
      <c r="W206" s="111"/>
      <c r="X206" s="123"/>
      <c r="AI206" s="222" t="str">
        <f t="shared" si="7"/>
        <v/>
      </c>
    </row>
    <row r="207" spans="1:35" s="108" customFormat="1" ht="15.75">
      <c r="A207" s="119"/>
      <c r="B207" s="120"/>
      <c r="C207" s="111"/>
      <c r="D207" s="111"/>
      <c r="E207" s="121"/>
      <c r="F207" s="121"/>
      <c r="G207" s="113"/>
      <c r="H207" s="199" t="str">
        <f t="shared" si="6"/>
        <v/>
      </c>
      <c r="I207" s="200" t="str">
        <f>IF(H207="","",IF(AND(AI207&lt;=66),VLOOKUP(H207,'WordRead Look Up'!$A$13:$B$20,2,TRUE),IF(AND(AI207&gt;=67,AI207&lt;=72),VLOOKUP(H207,'WordRead Look Up'!$E$13:$F$20,2,TRUE),IF(AND(AI207&gt;=73,AI207&lt;=78),VLOOKUP(H207,'WordRead Look Up'!$I$13:$J$18,2,TRUE),IF(AND(AI207&gt;=79),VLOOKUP(H207,'WordRead Look Up'!$M$13:$N$18,2,TRUE),"")))))</f>
        <v/>
      </c>
      <c r="J207" s="122"/>
      <c r="K207" s="111"/>
      <c r="L207" s="111"/>
      <c r="M207" s="111"/>
      <c r="N207" s="111"/>
      <c r="O207" s="111"/>
      <c r="P207" s="111"/>
      <c r="Q207" s="111"/>
      <c r="R207" s="111"/>
      <c r="S207" s="111"/>
      <c r="T207" s="111"/>
      <c r="U207" s="111"/>
      <c r="V207" s="111"/>
      <c r="W207" s="111"/>
      <c r="X207" s="123"/>
      <c r="AI207" s="222" t="str">
        <f t="shared" si="7"/>
        <v/>
      </c>
    </row>
    <row r="208" spans="1:35" s="108" customFormat="1" ht="15.75">
      <c r="A208" s="119"/>
      <c r="B208" s="120"/>
      <c r="C208" s="111"/>
      <c r="D208" s="111"/>
      <c r="E208" s="121"/>
      <c r="F208" s="121"/>
      <c r="G208" s="113"/>
      <c r="H208" s="199" t="str">
        <f t="shared" si="6"/>
        <v/>
      </c>
      <c r="I208" s="200" t="str">
        <f>IF(H208="","",IF(AND(AI208&lt;=66),VLOOKUP(H208,'WordRead Look Up'!$A$13:$B$20,2,TRUE),IF(AND(AI208&gt;=67,AI208&lt;=72),VLOOKUP(H208,'WordRead Look Up'!$E$13:$F$20,2,TRUE),IF(AND(AI208&gt;=73,AI208&lt;=78),VLOOKUP(H208,'WordRead Look Up'!$I$13:$J$18,2,TRUE),IF(AND(AI208&gt;=79),VLOOKUP(H208,'WordRead Look Up'!$M$13:$N$18,2,TRUE),"")))))</f>
        <v/>
      </c>
      <c r="J208" s="122"/>
      <c r="K208" s="111"/>
      <c r="L208" s="111"/>
      <c r="M208" s="111"/>
      <c r="N208" s="111"/>
      <c r="O208" s="111"/>
      <c r="P208" s="111"/>
      <c r="Q208" s="111"/>
      <c r="R208" s="111"/>
      <c r="S208" s="111"/>
      <c r="T208" s="111"/>
      <c r="U208" s="111"/>
      <c r="V208" s="111"/>
      <c r="W208" s="111"/>
      <c r="X208" s="123"/>
      <c r="AI208" s="222" t="str">
        <f t="shared" si="7"/>
        <v/>
      </c>
    </row>
    <row r="209" spans="1:35" s="108" customFormat="1" ht="15.75">
      <c r="A209" s="119"/>
      <c r="B209" s="120"/>
      <c r="C209" s="111"/>
      <c r="D209" s="111"/>
      <c r="E209" s="121"/>
      <c r="F209" s="121"/>
      <c r="G209" s="113"/>
      <c r="H209" s="199" t="str">
        <f t="shared" si="6"/>
        <v/>
      </c>
      <c r="I209" s="200" t="str">
        <f>IF(H209="","",IF(AND(AI209&lt;=66),VLOOKUP(H209,'WordRead Look Up'!$A$13:$B$20,2,TRUE),IF(AND(AI209&gt;=67,AI209&lt;=72),VLOOKUP(H209,'WordRead Look Up'!$E$13:$F$20,2,TRUE),IF(AND(AI209&gt;=73,AI209&lt;=78),VLOOKUP(H209,'WordRead Look Up'!$I$13:$J$18,2,TRUE),IF(AND(AI209&gt;=79),VLOOKUP(H209,'WordRead Look Up'!$M$13:$N$18,2,TRUE),"")))))</f>
        <v/>
      </c>
      <c r="J209" s="122"/>
      <c r="K209" s="111"/>
      <c r="L209" s="111"/>
      <c r="M209" s="111"/>
      <c r="N209" s="111"/>
      <c r="O209" s="111"/>
      <c r="P209" s="111"/>
      <c r="Q209" s="111"/>
      <c r="R209" s="111"/>
      <c r="S209" s="111"/>
      <c r="T209" s="111"/>
      <c r="U209" s="111"/>
      <c r="V209" s="111"/>
      <c r="W209" s="111"/>
      <c r="X209" s="123"/>
      <c r="AI209" s="222" t="str">
        <f t="shared" si="7"/>
        <v/>
      </c>
    </row>
    <row r="210" spans="1:35" s="108" customFormat="1" ht="15.75">
      <c r="A210" s="119"/>
      <c r="B210" s="120"/>
      <c r="C210" s="111"/>
      <c r="D210" s="111"/>
      <c r="E210" s="121"/>
      <c r="F210" s="121"/>
      <c r="G210" s="113"/>
      <c r="H210" s="199" t="str">
        <f t="shared" si="6"/>
        <v/>
      </c>
      <c r="I210" s="200" t="str">
        <f>IF(H210="","",IF(AND(AI210&lt;=66),VLOOKUP(H210,'WordRead Look Up'!$A$13:$B$20,2,TRUE),IF(AND(AI210&gt;=67,AI210&lt;=72),VLOOKUP(H210,'WordRead Look Up'!$E$13:$F$20,2,TRUE),IF(AND(AI210&gt;=73,AI210&lt;=78),VLOOKUP(H210,'WordRead Look Up'!$I$13:$J$18,2,TRUE),IF(AND(AI210&gt;=79),VLOOKUP(H210,'WordRead Look Up'!$M$13:$N$18,2,TRUE),"")))))</f>
        <v/>
      </c>
      <c r="J210" s="122"/>
      <c r="K210" s="111"/>
      <c r="L210" s="111"/>
      <c r="M210" s="111"/>
      <c r="N210" s="111"/>
      <c r="O210" s="111"/>
      <c r="P210" s="111"/>
      <c r="Q210" s="111"/>
      <c r="R210" s="111"/>
      <c r="S210" s="111"/>
      <c r="T210" s="111"/>
      <c r="U210" s="111"/>
      <c r="V210" s="111"/>
      <c r="W210" s="111"/>
      <c r="X210" s="123"/>
      <c r="AI210" s="222" t="str">
        <f t="shared" si="7"/>
        <v/>
      </c>
    </row>
    <row r="211" spans="1:35" s="108" customFormat="1" ht="15.75">
      <c r="A211" s="119"/>
      <c r="B211" s="120"/>
      <c r="C211" s="111"/>
      <c r="D211" s="111"/>
      <c r="E211" s="121"/>
      <c r="F211" s="121"/>
      <c r="G211" s="113"/>
      <c r="H211" s="199" t="str">
        <f t="shared" si="6"/>
        <v/>
      </c>
      <c r="I211" s="200" t="str">
        <f>IF(H211="","",IF(AND(AI211&lt;=66),VLOOKUP(H211,'WordRead Look Up'!$A$13:$B$20,2,TRUE),IF(AND(AI211&gt;=67,AI211&lt;=72),VLOOKUP(H211,'WordRead Look Up'!$E$13:$F$20,2,TRUE),IF(AND(AI211&gt;=73,AI211&lt;=78),VLOOKUP(H211,'WordRead Look Up'!$I$13:$J$18,2,TRUE),IF(AND(AI211&gt;=79),VLOOKUP(H211,'WordRead Look Up'!$M$13:$N$18,2,TRUE),"")))))</f>
        <v/>
      </c>
      <c r="J211" s="122"/>
      <c r="K211" s="111"/>
      <c r="L211" s="111"/>
      <c r="M211" s="111"/>
      <c r="N211" s="111"/>
      <c r="O211" s="111"/>
      <c r="P211" s="111"/>
      <c r="Q211" s="111"/>
      <c r="R211" s="111"/>
      <c r="S211" s="111"/>
      <c r="T211" s="111"/>
      <c r="U211" s="111"/>
      <c r="V211" s="111"/>
      <c r="W211" s="111"/>
      <c r="X211" s="123"/>
      <c r="AI211" s="222" t="str">
        <f t="shared" si="7"/>
        <v/>
      </c>
    </row>
    <row r="212" spans="1:35" s="108" customFormat="1" ht="15.75">
      <c r="A212" s="119"/>
      <c r="B212" s="120"/>
      <c r="C212" s="111"/>
      <c r="D212" s="111"/>
      <c r="E212" s="121"/>
      <c r="F212" s="121"/>
      <c r="G212" s="113"/>
      <c r="H212" s="199" t="str">
        <f t="shared" si="6"/>
        <v/>
      </c>
      <c r="I212" s="200" t="str">
        <f>IF(H212="","",IF(AND(AI212&lt;=66),VLOOKUP(H212,'WordRead Look Up'!$A$13:$B$20,2,TRUE),IF(AND(AI212&gt;=67,AI212&lt;=72),VLOOKUP(H212,'WordRead Look Up'!$E$13:$F$20,2,TRUE),IF(AND(AI212&gt;=73,AI212&lt;=78),VLOOKUP(H212,'WordRead Look Up'!$I$13:$J$18,2,TRUE),IF(AND(AI212&gt;=79),VLOOKUP(H212,'WordRead Look Up'!$M$13:$N$18,2,TRUE),"")))))</f>
        <v/>
      </c>
      <c r="J212" s="122"/>
      <c r="K212" s="111"/>
      <c r="L212" s="111"/>
      <c r="M212" s="111"/>
      <c r="N212" s="111"/>
      <c r="O212" s="111"/>
      <c r="P212" s="111"/>
      <c r="Q212" s="111"/>
      <c r="R212" s="111"/>
      <c r="S212" s="111"/>
      <c r="T212" s="111"/>
      <c r="U212" s="111"/>
      <c r="V212" s="111"/>
      <c r="W212" s="111"/>
      <c r="X212" s="123"/>
      <c r="AI212" s="222" t="str">
        <f t="shared" si="7"/>
        <v/>
      </c>
    </row>
    <row r="213" spans="1:35" s="108" customFormat="1" ht="15.75">
      <c r="A213" s="119"/>
      <c r="B213" s="120"/>
      <c r="C213" s="111"/>
      <c r="D213" s="111"/>
      <c r="E213" s="121"/>
      <c r="F213" s="121"/>
      <c r="G213" s="113"/>
      <c r="H213" s="199" t="str">
        <f t="shared" si="6"/>
        <v/>
      </c>
      <c r="I213" s="200" t="str">
        <f>IF(H213="","",IF(AND(AI213&lt;=66),VLOOKUP(H213,'WordRead Look Up'!$A$13:$B$20,2,TRUE),IF(AND(AI213&gt;=67,AI213&lt;=72),VLOOKUP(H213,'WordRead Look Up'!$E$13:$F$20,2,TRUE),IF(AND(AI213&gt;=73,AI213&lt;=78),VLOOKUP(H213,'WordRead Look Up'!$I$13:$J$18,2,TRUE),IF(AND(AI213&gt;=79),VLOOKUP(H213,'WordRead Look Up'!$M$13:$N$18,2,TRUE),"")))))</f>
        <v/>
      </c>
      <c r="J213" s="122"/>
      <c r="K213" s="111"/>
      <c r="L213" s="111"/>
      <c r="M213" s="111"/>
      <c r="N213" s="111"/>
      <c r="O213" s="111"/>
      <c r="P213" s="111"/>
      <c r="Q213" s="111"/>
      <c r="R213" s="111"/>
      <c r="S213" s="111"/>
      <c r="T213" s="111"/>
      <c r="U213" s="111"/>
      <c r="V213" s="111"/>
      <c r="W213" s="111"/>
      <c r="X213" s="123"/>
      <c r="AI213" s="222" t="str">
        <f t="shared" si="7"/>
        <v/>
      </c>
    </row>
    <row r="214" spans="1:35" s="108" customFormat="1" ht="15.75">
      <c r="A214" s="119"/>
      <c r="B214" s="120"/>
      <c r="C214" s="111"/>
      <c r="D214" s="111"/>
      <c r="E214" s="121"/>
      <c r="F214" s="121"/>
      <c r="G214" s="113"/>
      <c r="H214" s="199" t="str">
        <f t="shared" si="6"/>
        <v/>
      </c>
      <c r="I214" s="200" t="str">
        <f>IF(H214="","",IF(AND(AI214&lt;=66),VLOOKUP(H214,'WordRead Look Up'!$A$13:$B$20,2,TRUE),IF(AND(AI214&gt;=67,AI214&lt;=72),VLOOKUP(H214,'WordRead Look Up'!$E$13:$F$20,2,TRUE),IF(AND(AI214&gt;=73,AI214&lt;=78),VLOOKUP(H214,'WordRead Look Up'!$I$13:$J$18,2,TRUE),IF(AND(AI214&gt;=79),VLOOKUP(H214,'WordRead Look Up'!$M$13:$N$18,2,TRUE),"")))))</f>
        <v/>
      </c>
      <c r="J214" s="122"/>
      <c r="K214" s="111"/>
      <c r="L214" s="111"/>
      <c r="M214" s="111"/>
      <c r="N214" s="111"/>
      <c r="O214" s="111"/>
      <c r="P214" s="111"/>
      <c r="Q214" s="111"/>
      <c r="R214" s="111"/>
      <c r="S214" s="111"/>
      <c r="T214" s="111"/>
      <c r="U214" s="111"/>
      <c r="V214" s="111"/>
      <c r="W214" s="111"/>
      <c r="X214" s="123"/>
      <c r="AI214" s="222" t="str">
        <f t="shared" si="7"/>
        <v/>
      </c>
    </row>
    <row r="215" spans="1:35" s="108" customFormat="1" ht="15.75">
      <c r="A215" s="119"/>
      <c r="B215" s="120"/>
      <c r="C215" s="111"/>
      <c r="D215" s="111"/>
      <c r="E215" s="121"/>
      <c r="F215" s="121"/>
      <c r="G215" s="113"/>
      <c r="H215" s="199" t="str">
        <f t="shared" si="6"/>
        <v/>
      </c>
      <c r="I215" s="200" t="str">
        <f>IF(H215="","",IF(AND(AI215&lt;=66),VLOOKUP(H215,'WordRead Look Up'!$A$13:$B$20,2,TRUE),IF(AND(AI215&gt;=67,AI215&lt;=72),VLOOKUP(H215,'WordRead Look Up'!$E$13:$F$20,2,TRUE),IF(AND(AI215&gt;=73,AI215&lt;=78),VLOOKUP(H215,'WordRead Look Up'!$I$13:$J$18,2,TRUE),IF(AND(AI215&gt;=79),VLOOKUP(H215,'WordRead Look Up'!$M$13:$N$18,2,TRUE),"")))))</f>
        <v/>
      </c>
      <c r="J215" s="122"/>
      <c r="K215" s="111"/>
      <c r="L215" s="111"/>
      <c r="M215" s="111"/>
      <c r="N215" s="111"/>
      <c r="O215" s="111"/>
      <c r="P215" s="111"/>
      <c r="Q215" s="111"/>
      <c r="R215" s="111"/>
      <c r="S215" s="111"/>
      <c r="T215" s="111"/>
      <c r="U215" s="111"/>
      <c r="V215" s="111"/>
      <c r="W215" s="111"/>
      <c r="X215" s="123"/>
      <c r="AI215" s="222" t="str">
        <f t="shared" si="7"/>
        <v/>
      </c>
    </row>
    <row r="216" spans="1:35" s="108" customFormat="1" ht="15.75">
      <c r="A216" s="119"/>
      <c r="B216" s="120"/>
      <c r="C216" s="111"/>
      <c r="D216" s="111"/>
      <c r="E216" s="121"/>
      <c r="F216" s="121"/>
      <c r="G216" s="113"/>
      <c r="H216" s="199" t="str">
        <f t="shared" si="6"/>
        <v/>
      </c>
      <c r="I216" s="200" t="str">
        <f>IF(H216="","",IF(AND(AI216&lt;=66),VLOOKUP(H216,'WordRead Look Up'!$A$13:$B$20,2,TRUE),IF(AND(AI216&gt;=67,AI216&lt;=72),VLOOKUP(H216,'WordRead Look Up'!$E$13:$F$20,2,TRUE),IF(AND(AI216&gt;=73,AI216&lt;=78),VLOOKUP(H216,'WordRead Look Up'!$I$13:$J$18,2,TRUE),IF(AND(AI216&gt;=79),VLOOKUP(H216,'WordRead Look Up'!$M$13:$N$18,2,TRUE),"")))))</f>
        <v/>
      </c>
      <c r="J216" s="122"/>
      <c r="K216" s="111"/>
      <c r="L216" s="111"/>
      <c r="M216" s="111"/>
      <c r="N216" s="111"/>
      <c r="O216" s="111"/>
      <c r="P216" s="111"/>
      <c r="Q216" s="111"/>
      <c r="R216" s="111"/>
      <c r="S216" s="111"/>
      <c r="T216" s="111"/>
      <c r="U216" s="111"/>
      <c r="V216" s="111"/>
      <c r="W216" s="111"/>
      <c r="X216" s="123"/>
      <c r="AI216" s="222" t="str">
        <f t="shared" si="7"/>
        <v/>
      </c>
    </row>
    <row r="217" spans="1:35" s="108" customFormat="1" ht="15.75">
      <c r="A217" s="119"/>
      <c r="B217" s="120"/>
      <c r="C217" s="111"/>
      <c r="D217" s="111"/>
      <c r="E217" s="121"/>
      <c r="F217" s="121"/>
      <c r="G217" s="113"/>
      <c r="H217" s="199" t="str">
        <f t="shared" si="6"/>
        <v/>
      </c>
      <c r="I217" s="200" t="str">
        <f>IF(H217="","",IF(AND(AI217&lt;=66),VLOOKUP(H217,'WordRead Look Up'!$A$13:$B$20,2,TRUE),IF(AND(AI217&gt;=67,AI217&lt;=72),VLOOKUP(H217,'WordRead Look Up'!$E$13:$F$20,2,TRUE),IF(AND(AI217&gt;=73,AI217&lt;=78),VLOOKUP(H217,'WordRead Look Up'!$I$13:$J$18,2,TRUE),IF(AND(AI217&gt;=79),VLOOKUP(H217,'WordRead Look Up'!$M$13:$N$18,2,TRUE),"")))))</f>
        <v/>
      </c>
      <c r="J217" s="122"/>
      <c r="K217" s="111"/>
      <c r="L217" s="111"/>
      <c r="M217" s="111"/>
      <c r="N217" s="111"/>
      <c r="O217" s="111"/>
      <c r="P217" s="111"/>
      <c r="Q217" s="111"/>
      <c r="R217" s="111"/>
      <c r="S217" s="111"/>
      <c r="T217" s="111"/>
      <c r="U217" s="111"/>
      <c r="V217" s="111"/>
      <c r="W217" s="111"/>
      <c r="X217" s="123"/>
      <c r="AI217" s="222" t="str">
        <f t="shared" si="7"/>
        <v/>
      </c>
    </row>
    <row r="218" spans="1:35" s="108" customFormat="1" ht="15.75">
      <c r="A218" s="119"/>
      <c r="B218" s="120"/>
      <c r="C218" s="111"/>
      <c r="D218" s="111"/>
      <c r="E218" s="121"/>
      <c r="F218" s="121"/>
      <c r="G218" s="113"/>
      <c r="H218" s="199" t="str">
        <f t="shared" si="6"/>
        <v/>
      </c>
      <c r="I218" s="200" t="str">
        <f>IF(H218="","",IF(AND(AI218&lt;=66),VLOOKUP(H218,'WordRead Look Up'!$A$13:$B$20,2,TRUE),IF(AND(AI218&gt;=67,AI218&lt;=72),VLOOKUP(H218,'WordRead Look Up'!$E$13:$F$20,2,TRUE),IF(AND(AI218&gt;=73,AI218&lt;=78),VLOOKUP(H218,'WordRead Look Up'!$I$13:$J$18,2,TRUE),IF(AND(AI218&gt;=79),VLOOKUP(H218,'WordRead Look Up'!$M$13:$N$18,2,TRUE),"")))))</f>
        <v/>
      </c>
      <c r="J218" s="122"/>
      <c r="K218" s="111"/>
      <c r="L218" s="111"/>
      <c r="M218" s="111"/>
      <c r="N218" s="111"/>
      <c r="O218" s="111"/>
      <c r="P218" s="111"/>
      <c r="Q218" s="111"/>
      <c r="R218" s="111"/>
      <c r="S218" s="111"/>
      <c r="T218" s="111"/>
      <c r="U218" s="111"/>
      <c r="V218" s="111"/>
      <c r="W218" s="111"/>
      <c r="X218" s="123"/>
      <c r="AI218" s="222" t="str">
        <f t="shared" si="7"/>
        <v/>
      </c>
    </row>
    <row r="219" spans="1:35" s="108" customFormat="1" ht="15.75">
      <c r="A219" s="119"/>
      <c r="B219" s="120"/>
      <c r="C219" s="111"/>
      <c r="D219" s="111"/>
      <c r="E219" s="121"/>
      <c r="F219" s="121"/>
      <c r="G219" s="113"/>
      <c r="H219" s="199" t="str">
        <f t="shared" si="6"/>
        <v/>
      </c>
      <c r="I219" s="200" t="str">
        <f>IF(H219="","",IF(AND(AI219&lt;=66),VLOOKUP(H219,'WordRead Look Up'!$A$13:$B$20,2,TRUE),IF(AND(AI219&gt;=67,AI219&lt;=72),VLOOKUP(H219,'WordRead Look Up'!$E$13:$F$20,2,TRUE),IF(AND(AI219&gt;=73,AI219&lt;=78),VLOOKUP(H219,'WordRead Look Up'!$I$13:$J$18,2,TRUE),IF(AND(AI219&gt;=79),VLOOKUP(H219,'WordRead Look Up'!$M$13:$N$18,2,TRUE),"")))))</f>
        <v/>
      </c>
      <c r="J219" s="122"/>
      <c r="K219" s="111"/>
      <c r="L219" s="111"/>
      <c r="M219" s="111"/>
      <c r="N219" s="111"/>
      <c r="O219" s="111"/>
      <c r="P219" s="111"/>
      <c r="Q219" s="111"/>
      <c r="R219" s="111"/>
      <c r="S219" s="111"/>
      <c r="T219" s="111"/>
      <c r="U219" s="111"/>
      <c r="V219" s="111"/>
      <c r="W219" s="111"/>
      <c r="X219" s="123"/>
      <c r="AI219" s="222" t="str">
        <f t="shared" si="7"/>
        <v/>
      </c>
    </row>
    <row r="220" spans="1:35" s="108" customFormat="1" ht="15.75">
      <c r="A220" s="119"/>
      <c r="B220" s="120"/>
      <c r="C220" s="111"/>
      <c r="D220" s="111"/>
      <c r="E220" s="121"/>
      <c r="F220" s="121"/>
      <c r="G220" s="113"/>
      <c r="H220" s="199" t="str">
        <f t="shared" si="6"/>
        <v/>
      </c>
      <c r="I220" s="200" t="str">
        <f>IF(H220="","",IF(AND(AI220&lt;=66),VLOOKUP(H220,'WordRead Look Up'!$A$13:$B$20,2,TRUE),IF(AND(AI220&gt;=67,AI220&lt;=72),VLOOKUP(H220,'WordRead Look Up'!$E$13:$F$20,2,TRUE),IF(AND(AI220&gt;=73,AI220&lt;=78),VLOOKUP(H220,'WordRead Look Up'!$I$13:$J$18,2,TRUE),IF(AND(AI220&gt;=79),VLOOKUP(H220,'WordRead Look Up'!$M$13:$N$18,2,TRUE),"")))))</f>
        <v/>
      </c>
      <c r="J220" s="122"/>
      <c r="K220" s="111"/>
      <c r="L220" s="111"/>
      <c r="M220" s="111"/>
      <c r="N220" s="111"/>
      <c r="O220" s="111"/>
      <c r="P220" s="111"/>
      <c r="Q220" s="111"/>
      <c r="R220" s="111"/>
      <c r="S220" s="111"/>
      <c r="T220" s="111"/>
      <c r="U220" s="111"/>
      <c r="V220" s="111"/>
      <c r="W220" s="111"/>
      <c r="X220" s="123"/>
      <c r="AI220" s="222" t="str">
        <f t="shared" si="7"/>
        <v/>
      </c>
    </row>
    <row r="221" spans="1:35" s="108" customFormat="1" ht="15.75">
      <c r="A221" s="119"/>
      <c r="B221" s="120"/>
      <c r="C221" s="111"/>
      <c r="D221" s="111"/>
      <c r="E221" s="121"/>
      <c r="F221" s="121"/>
      <c r="G221" s="113"/>
      <c r="H221" s="199" t="str">
        <f t="shared" si="6"/>
        <v/>
      </c>
      <c r="I221" s="200" t="str">
        <f>IF(H221="","",IF(AND(AI221&lt;=66),VLOOKUP(H221,'WordRead Look Up'!$A$13:$B$20,2,TRUE),IF(AND(AI221&gt;=67,AI221&lt;=72),VLOOKUP(H221,'WordRead Look Up'!$E$13:$F$20,2,TRUE),IF(AND(AI221&gt;=73,AI221&lt;=78),VLOOKUP(H221,'WordRead Look Up'!$I$13:$J$18,2,TRUE),IF(AND(AI221&gt;=79),VLOOKUP(H221,'WordRead Look Up'!$M$13:$N$18,2,TRUE),"")))))</f>
        <v/>
      </c>
      <c r="J221" s="122"/>
      <c r="K221" s="111"/>
      <c r="L221" s="111"/>
      <c r="M221" s="111"/>
      <c r="N221" s="111"/>
      <c r="O221" s="111"/>
      <c r="P221" s="111"/>
      <c r="Q221" s="111"/>
      <c r="R221" s="111"/>
      <c r="S221" s="111"/>
      <c r="T221" s="111"/>
      <c r="U221" s="111"/>
      <c r="V221" s="111"/>
      <c r="W221" s="111"/>
      <c r="X221" s="123"/>
      <c r="AI221" s="222" t="str">
        <f t="shared" si="7"/>
        <v/>
      </c>
    </row>
    <row r="222" spans="1:35" s="108" customFormat="1" ht="15.75">
      <c r="A222" s="119"/>
      <c r="B222" s="120"/>
      <c r="C222" s="111"/>
      <c r="D222" s="111"/>
      <c r="E222" s="121"/>
      <c r="F222" s="121"/>
      <c r="G222" s="113"/>
      <c r="H222" s="199" t="str">
        <f t="shared" si="6"/>
        <v/>
      </c>
      <c r="I222" s="200" t="str">
        <f>IF(H222="","",IF(AND(AI222&lt;=66),VLOOKUP(H222,'WordRead Look Up'!$A$13:$B$20,2,TRUE),IF(AND(AI222&gt;=67,AI222&lt;=72),VLOOKUP(H222,'WordRead Look Up'!$E$13:$F$20,2,TRUE),IF(AND(AI222&gt;=73,AI222&lt;=78),VLOOKUP(H222,'WordRead Look Up'!$I$13:$J$18,2,TRUE),IF(AND(AI222&gt;=79),VLOOKUP(H222,'WordRead Look Up'!$M$13:$N$18,2,TRUE),"")))))</f>
        <v/>
      </c>
      <c r="J222" s="122"/>
      <c r="K222" s="111"/>
      <c r="L222" s="111"/>
      <c r="M222" s="111"/>
      <c r="N222" s="111"/>
      <c r="O222" s="111"/>
      <c r="P222" s="111"/>
      <c r="Q222" s="111"/>
      <c r="R222" s="111"/>
      <c r="S222" s="111"/>
      <c r="T222" s="111"/>
      <c r="U222" s="111"/>
      <c r="V222" s="111"/>
      <c r="W222" s="111"/>
      <c r="X222" s="123"/>
      <c r="AI222" s="222" t="str">
        <f t="shared" si="7"/>
        <v/>
      </c>
    </row>
    <row r="223" spans="1:35" s="108" customFormat="1" ht="15.75">
      <c r="A223" s="119"/>
      <c r="B223" s="120"/>
      <c r="C223" s="111"/>
      <c r="D223" s="111"/>
      <c r="E223" s="121"/>
      <c r="F223" s="121"/>
      <c r="G223" s="113"/>
      <c r="H223" s="199" t="str">
        <f t="shared" si="6"/>
        <v/>
      </c>
      <c r="I223" s="200" t="str">
        <f>IF(H223="","",IF(AND(AI223&lt;=66),VLOOKUP(H223,'WordRead Look Up'!$A$13:$B$20,2,TRUE),IF(AND(AI223&gt;=67,AI223&lt;=72),VLOOKUP(H223,'WordRead Look Up'!$E$13:$F$20,2,TRUE),IF(AND(AI223&gt;=73,AI223&lt;=78),VLOOKUP(H223,'WordRead Look Up'!$I$13:$J$18,2,TRUE),IF(AND(AI223&gt;=79),VLOOKUP(H223,'WordRead Look Up'!$M$13:$N$18,2,TRUE),"")))))</f>
        <v/>
      </c>
      <c r="J223" s="122"/>
      <c r="K223" s="111"/>
      <c r="L223" s="111"/>
      <c r="M223" s="111"/>
      <c r="N223" s="111"/>
      <c r="O223" s="111"/>
      <c r="P223" s="111"/>
      <c r="Q223" s="111"/>
      <c r="R223" s="111"/>
      <c r="S223" s="111"/>
      <c r="T223" s="111"/>
      <c r="U223" s="111"/>
      <c r="V223" s="111"/>
      <c r="W223" s="111"/>
      <c r="X223" s="123"/>
      <c r="AI223" s="222" t="str">
        <f t="shared" si="7"/>
        <v/>
      </c>
    </row>
    <row r="224" spans="1:35" s="108" customFormat="1" ht="15.75">
      <c r="A224" s="119"/>
      <c r="B224" s="120"/>
      <c r="C224" s="111"/>
      <c r="D224" s="111"/>
      <c r="E224" s="121"/>
      <c r="F224" s="121"/>
      <c r="G224" s="113"/>
      <c r="H224" s="199" t="str">
        <f t="shared" si="6"/>
        <v/>
      </c>
      <c r="I224" s="200" t="str">
        <f>IF(H224="","",IF(AND(AI224&lt;=66),VLOOKUP(H224,'WordRead Look Up'!$A$13:$B$20,2,TRUE),IF(AND(AI224&gt;=67,AI224&lt;=72),VLOOKUP(H224,'WordRead Look Up'!$E$13:$F$20,2,TRUE),IF(AND(AI224&gt;=73,AI224&lt;=78),VLOOKUP(H224,'WordRead Look Up'!$I$13:$J$18,2,TRUE),IF(AND(AI224&gt;=79),VLOOKUP(H224,'WordRead Look Up'!$M$13:$N$18,2,TRUE),"")))))</f>
        <v/>
      </c>
      <c r="J224" s="122"/>
      <c r="K224" s="111"/>
      <c r="L224" s="111"/>
      <c r="M224" s="111"/>
      <c r="N224" s="111"/>
      <c r="O224" s="111"/>
      <c r="P224" s="111"/>
      <c r="Q224" s="111"/>
      <c r="R224" s="111"/>
      <c r="S224" s="111"/>
      <c r="T224" s="111"/>
      <c r="U224" s="111"/>
      <c r="V224" s="111"/>
      <c r="W224" s="111"/>
      <c r="X224" s="123"/>
      <c r="AI224" s="222" t="str">
        <f t="shared" si="7"/>
        <v/>
      </c>
    </row>
    <row r="225" spans="1:35" s="108" customFormat="1" ht="15.75">
      <c r="A225" s="119"/>
      <c r="B225" s="120"/>
      <c r="C225" s="111"/>
      <c r="D225" s="111"/>
      <c r="E225" s="121"/>
      <c r="F225" s="121"/>
      <c r="G225" s="113"/>
      <c r="H225" s="199" t="str">
        <f t="shared" si="6"/>
        <v/>
      </c>
      <c r="I225" s="200" t="str">
        <f>IF(H225="","",IF(AND(AI225&lt;=66),VLOOKUP(H225,'WordRead Look Up'!$A$13:$B$20,2,TRUE),IF(AND(AI225&gt;=67,AI225&lt;=72),VLOOKUP(H225,'WordRead Look Up'!$E$13:$F$20,2,TRUE),IF(AND(AI225&gt;=73,AI225&lt;=78),VLOOKUP(H225,'WordRead Look Up'!$I$13:$J$18,2,TRUE),IF(AND(AI225&gt;=79),VLOOKUP(H225,'WordRead Look Up'!$M$13:$N$18,2,TRUE),"")))))</f>
        <v/>
      </c>
      <c r="J225" s="122"/>
      <c r="K225" s="111"/>
      <c r="L225" s="111"/>
      <c r="M225" s="111"/>
      <c r="N225" s="111"/>
      <c r="O225" s="111"/>
      <c r="P225" s="111"/>
      <c r="Q225" s="111"/>
      <c r="R225" s="111"/>
      <c r="S225" s="111"/>
      <c r="T225" s="111"/>
      <c r="U225" s="111"/>
      <c r="V225" s="111"/>
      <c r="W225" s="111"/>
      <c r="X225" s="123"/>
      <c r="AI225" s="222" t="str">
        <f t="shared" si="7"/>
        <v/>
      </c>
    </row>
    <row r="226" spans="1:35" s="108" customFormat="1" ht="15.75">
      <c r="A226" s="119"/>
      <c r="B226" s="120"/>
      <c r="C226" s="111"/>
      <c r="D226" s="111"/>
      <c r="E226" s="121"/>
      <c r="F226" s="121"/>
      <c r="G226" s="113"/>
      <c r="H226" s="199" t="str">
        <f t="shared" si="6"/>
        <v/>
      </c>
      <c r="I226" s="200" t="str">
        <f>IF(H226="","",IF(AND(AI226&lt;=66),VLOOKUP(H226,'WordRead Look Up'!$A$13:$B$20,2,TRUE),IF(AND(AI226&gt;=67,AI226&lt;=72),VLOOKUP(H226,'WordRead Look Up'!$E$13:$F$20,2,TRUE),IF(AND(AI226&gt;=73,AI226&lt;=78),VLOOKUP(H226,'WordRead Look Up'!$I$13:$J$18,2,TRUE),IF(AND(AI226&gt;=79),VLOOKUP(H226,'WordRead Look Up'!$M$13:$N$18,2,TRUE),"")))))</f>
        <v/>
      </c>
      <c r="J226" s="122"/>
      <c r="K226" s="111"/>
      <c r="L226" s="111"/>
      <c r="M226" s="111"/>
      <c r="N226" s="111"/>
      <c r="O226" s="111"/>
      <c r="P226" s="111"/>
      <c r="Q226" s="111"/>
      <c r="R226" s="111"/>
      <c r="S226" s="111"/>
      <c r="T226" s="111"/>
      <c r="U226" s="111"/>
      <c r="V226" s="111"/>
      <c r="W226" s="111"/>
      <c r="X226" s="123"/>
      <c r="AI226" s="222" t="str">
        <f t="shared" si="7"/>
        <v/>
      </c>
    </row>
    <row r="227" spans="1:35" s="108" customFormat="1" ht="15.75">
      <c r="A227" s="119"/>
      <c r="B227" s="120"/>
      <c r="C227" s="111"/>
      <c r="D227" s="111"/>
      <c r="E227" s="121"/>
      <c r="F227" s="121"/>
      <c r="G227" s="113"/>
      <c r="H227" s="199" t="str">
        <f t="shared" si="6"/>
        <v/>
      </c>
      <c r="I227" s="200" t="str">
        <f>IF(H227="","",IF(AND(AI227&lt;=66),VLOOKUP(H227,'WordRead Look Up'!$A$13:$B$20,2,TRUE),IF(AND(AI227&gt;=67,AI227&lt;=72),VLOOKUP(H227,'WordRead Look Up'!$E$13:$F$20,2,TRUE),IF(AND(AI227&gt;=73,AI227&lt;=78),VLOOKUP(H227,'WordRead Look Up'!$I$13:$J$18,2,TRUE),IF(AND(AI227&gt;=79),VLOOKUP(H227,'WordRead Look Up'!$M$13:$N$18,2,TRUE),"")))))</f>
        <v/>
      </c>
      <c r="J227" s="122"/>
      <c r="K227" s="111"/>
      <c r="L227" s="111"/>
      <c r="M227" s="111"/>
      <c r="N227" s="111"/>
      <c r="O227" s="111"/>
      <c r="P227" s="111"/>
      <c r="Q227" s="111"/>
      <c r="R227" s="111"/>
      <c r="S227" s="111"/>
      <c r="T227" s="111"/>
      <c r="U227" s="111"/>
      <c r="V227" s="111"/>
      <c r="W227" s="111"/>
      <c r="X227" s="123"/>
      <c r="AI227" s="222" t="str">
        <f t="shared" si="7"/>
        <v/>
      </c>
    </row>
    <row r="228" spans="1:35" s="108" customFormat="1" ht="15.75">
      <c r="A228" s="119"/>
      <c r="B228" s="120"/>
      <c r="C228" s="111"/>
      <c r="D228" s="111"/>
      <c r="E228" s="121"/>
      <c r="F228" s="121"/>
      <c r="G228" s="113"/>
      <c r="H228" s="199" t="str">
        <f t="shared" si="6"/>
        <v/>
      </c>
      <c r="I228" s="200" t="str">
        <f>IF(H228="","",IF(AND(AI228&lt;=66),VLOOKUP(H228,'WordRead Look Up'!$A$13:$B$20,2,TRUE),IF(AND(AI228&gt;=67,AI228&lt;=72),VLOOKUP(H228,'WordRead Look Up'!$E$13:$F$20,2,TRUE),IF(AND(AI228&gt;=73,AI228&lt;=78),VLOOKUP(H228,'WordRead Look Up'!$I$13:$J$18,2,TRUE),IF(AND(AI228&gt;=79),VLOOKUP(H228,'WordRead Look Up'!$M$13:$N$18,2,TRUE),"")))))</f>
        <v/>
      </c>
      <c r="J228" s="122"/>
      <c r="K228" s="111"/>
      <c r="L228" s="111"/>
      <c r="M228" s="111"/>
      <c r="N228" s="111"/>
      <c r="O228" s="111"/>
      <c r="P228" s="111"/>
      <c r="Q228" s="111"/>
      <c r="R228" s="111"/>
      <c r="S228" s="111"/>
      <c r="T228" s="111"/>
      <c r="U228" s="111"/>
      <c r="V228" s="111"/>
      <c r="W228" s="111"/>
      <c r="X228" s="123"/>
      <c r="AI228" s="222" t="str">
        <f t="shared" si="7"/>
        <v/>
      </c>
    </row>
    <row r="229" spans="1:35" s="108" customFormat="1" ht="15.75">
      <c r="A229" s="119"/>
      <c r="B229" s="120"/>
      <c r="C229" s="111"/>
      <c r="D229" s="111"/>
      <c r="E229" s="121"/>
      <c r="F229" s="121"/>
      <c r="G229" s="113"/>
      <c r="H229" s="199" t="str">
        <f t="shared" si="6"/>
        <v/>
      </c>
      <c r="I229" s="200" t="str">
        <f>IF(H229="","",IF(AND(AI229&lt;=66),VLOOKUP(H229,'WordRead Look Up'!$A$13:$B$20,2,TRUE),IF(AND(AI229&gt;=67,AI229&lt;=72),VLOOKUP(H229,'WordRead Look Up'!$E$13:$F$20,2,TRUE),IF(AND(AI229&gt;=73,AI229&lt;=78),VLOOKUP(H229,'WordRead Look Up'!$I$13:$J$18,2,TRUE),IF(AND(AI229&gt;=79),VLOOKUP(H229,'WordRead Look Up'!$M$13:$N$18,2,TRUE),"")))))</f>
        <v/>
      </c>
      <c r="J229" s="122"/>
      <c r="K229" s="111"/>
      <c r="L229" s="111"/>
      <c r="M229" s="111"/>
      <c r="N229" s="111"/>
      <c r="O229" s="111"/>
      <c r="P229" s="111"/>
      <c r="Q229" s="111"/>
      <c r="R229" s="111"/>
      <c r="S229" s="111"/>
      <c r="T229" s="111"/>
      <c r="U229" s="111"/>
      <c r="V229" s="111"/>
      <c r="W229" s="111"/>
      <c r="X229" s="123"/>
      <c r="AI229" s="222" t="str">
        <f t="shared" si="7"/>
        <v/>
      </c>
    </row>
    <row r="230" spans="1:35" s="108" customFormat="1" ht="15.75">
      <c r="A230" s="119"/>
      <c r="B230" s="120"/>
      <c r="C230" s="111"/>
      <c r="D230" s="111"/>
      <c r="E230" s="121"/>
      <c r="F230" s="121"/>
      <c r="G230" s="113"/>
      <c r="H230" s="199" t="str">
        <f t="shared" si="6"/>
        <v/>
      </c>
      <c r="I230" s="200" t="str">
        <f>IF(H230="","",IF(AND(AI230&lt;=66),VLOOKUP(H230,'WordRead Look Up'!$A$13:$B$20,2,TRUE),IF(AND(AI230&gt;=67,AI230&lt;=72),VLOOKUP(H230,'WordRead Look Up'!$E$13:$F$20,2,TRUE),IF(AND(AI230&gt;=73,AI230&lt;=78),VLOOKUP(H230,'WordRead Look Up'!$I$13:$J$18,2,TRUE),IF(AND(AI230&gt;=79),VLOOKUP(H230,'WordRead Look Up'!$M$13:$N$18,2,TRUE),"")))))</f>
        <v/>
      </c>
      <c r="J230" s="122"/>
      <c r="K230" s="111"/>
      <c r="L230" s="111"/>
      <c r="M230" s="111"/>
      <c r="N230" s="111"/>
      <c r="O230" s="111"/>
      <c r="P230" s="111"/>
      <c r="Q230" s="111"/>
      <c r="R230" s="111"/>
      <c r="S230" s="111"/>
      <c r="T230" s="111"/>
      <c r="U230" s="111"/>
      <c r="V230" s="111"/>
      <c r="W230" s="111"/>
      <c r="X230" s="123"/>
      <c r="AI230" s="222" t="str">
        <f t="shared" si="7"/>
        <v/>
      </c>
    </row>
    <row r="231" spans="1:35" s="108" customFormat="1" ht="15.75">
      <c r="A231" s="119"/>
      <c r="B231" s="120"/>
      <c r="C231" s="111"/>
      <c r="D231" s="111"/>
      <c r="E231" s="121"/>
      <c r="F231" s="121"/>
      <c r="G231" s="113"/>
      <c r="H231" s="199" t="str">
        <f t="shared" si="6"/>
        <v/>
      </c>
      <c r="I231" s="200" t="str">
        <f>IF(H231="","",IF(AND(AI231&lt;=66),VLOOKUP(H231,'WordRead Look Up'!$A$13:$B$20,2,TRUE),IF(AND(AI231&gt;=67,AI231&lt;=72),VLOOKUP(H231,'WordRead Look Up'!$E$13:$F$20,2,TRUE),IF(AND(AI231&gt;=73,AI231&lt;=78),VLOOKUP(H231,'WordRead Look Up'!$I$13:$J$18,2,TRUE),IF(AND(AI231&gt;=79),VLOOKUP(H231,'WordRead Look Up'!$M$13:$N$18,2,TRUE),"")))))</f>
        <v/>
      </c>
      <c r="J231" s="122"/>
      <c r="K231" s="111"/>
      <c r="L231" s="111"/>
      <c r="M231" s="111"/>
      <c r="N231" s="111"/>
      <c r="O231" s="111"/>
      <c r="P231" s="111"/>
      <c r="Q231" s="111"/>
      <c r="R231" s="111"/>
      <c r="S231" s="111"/>
      <c r="T231" s="111"/>
      <c r="U231" s="111"/>
      <c r="V231" s="111"/>
      <c r="W231" s="111"/>
      <c r="X231" s="123"/>
      <c r="AI231" s="222" t="str">
        <f t="shared" si="7"/>
        <v/>
      </c>
    </row>
    <row r="232" spans="1:35" s="108" customFormat="1" ht="15.75">
      <c r="A232" s="119"/>
      <c r="B232" s="120"/>
      <c r="C232" s="111"/>
      <c r="D232" s="111"/>
      <c r="E232" s="121"/>
      <c r="F232" s="121"/>
      <c r="G232" s="113"/>
      <c r="H232" s="199" t="str">
        <f t="shared" si="6"/>
        <v/>
      </c>
      <c r="I232" s="200" t="str">
        <f>IF(H232="","",IF(AND(AI232&lt;=66),VLOOKUP(H232,'WordRead Look Up'!$A$13:$B$20,2,TRUE),IF(AND(AI232&gt;=67,AI232&lt;=72),VLOOKUP(H232,'WordRead Look Up'!$E$13:$F$20,2,TRUE),IF(AND(AI232&gt;=73,AI232&lt;=78),VLOOKUP(H232,'WordRead Look Up'!$I$13:$J$18,2,TRUE),IF(AND(AI232&gt;=79),VLOOKUP(H232,'WordRead Look Up'!$M$13:$N$18,2,TRUE),"")))))</f>
        <v/>
      </c>
      <c r="J232" s="122"/>
      <c r="K232" s="111"/>
      <c r="L232" s="111"/>
      <c r="M232" s="111"/>
      <c r="N232" s="111"/>
      <c r="O232" s="111"/>
      <c r="P232" s="111"/>
      <c r="Q232" s="111"/>
      <c r="R232" s="111"/>
      <c r="S232" s="111"/>
      <c r="T232" s="111"/>
      <c r="U232" s="111"/>
      <c r="V232" s="111"/>
      <c r="W232" s="111"/>
      <c r="X232" s="123"/>
      <c r="AI232" s="222" t="str">
        <f t="shared" si="7"/>
        <v/>
      </c>
    </row>
    <row r="233" spans="1:35" s="108" customFormat="1" ht="15.75">
      <c r="A233" s="119"/>
      <c r="B233" s="120"/>
      <c r="C233" s="111"/>
      <c r="D233" s="111"/>
      <c r="E233" s="121"/>
      <c r="F233" s="121"/>
      <c r="G233" s="113"/>
      <c r="H233" s="199" t="str">
        <f t="shared" si="6"/>
        <v/>
      </c>
      <c r="I233" s="200" t="str">
        <f>IF(H233="","",IF(AND(AI233&lt;=66),VLOOKUP(H233,'WordRead Look Up'!$A$13:$B$20,2,TRUE),IF(AND(AI233&gt;=67,AI233&lt;=72),VLOOKUP(H233,'WordRead Look Up'!$E$13:$F$20,2,TRUE),IF(AND(AI233&gt;=73,AI233&lt;=78),VLOOKUP(H233,'WordRead Look Up'!$I$13:$J$18,2,TRUE),IF(AND(AI233&gt;=79),VLOOKUP(H233,'WordRead Look Up'!$M$13:$N$18,2,TRUE),"")))))</f>
        <v/>
      </c>
      <c r="J233" s="122"/>
      <c r="K233" s="111"/>
      <c r="L233" s="111"/>
      <c r="M233" s="111"/>
      <c r="N233" s="111"/>
      <c r="O233" s="111"/>
      <c r="P233" s="111"/>
      <c r="Q233" s="111"/>
      <c r="R233" s="111"/>
      <c r="S233" s="111"/>
      <c r="T233" s="111"/>
      <c r="U233" s="111"/>
      <c r="V233" s="111"/>
      <c r="W233" s="111"/>
      <c r="X233" s="123"/>
      <c r="AI233" s="222" t="str">
        <f t="shared" si="7"/>
        <v/>
      </c>
    </row>
    <row r="234" spans="1:35" s="108" customFormat="1" ht="15.75">
      <c r="A234" s="119"/>
      <c r="B234" s="120"/>
      <c r="C234" s="111"/>
      <c r="D234" s="111"/>
      <c r="E234" s="121"/>
      <c r="F234" s="121"/>
      <c r="G234" s="113"/>
      <c r="H234" s="199" t="str">
        <f t="shared" si="6"/>
        <v/>
      </c>
      <c r="I234" s="200" t="str">
        <f>IF(H234="","",IF(AND(AI234&lt;=66),VLOOKUP(H234,'WordRead Look Up'!$A$13:$B$20,2,TRUE),IF(AND(AI234&gt;=67,AI234&lt;=72),VLOOKUP(H234,'WordRead Look Up'!$E$13:$F$20,2,TRUE),IF(AND(AI234&gt;=73,AI234&lt;=78),VLOOKUP(H234,'WordRead Look Up'!$I$13:$J$18,2,TRUE),IF(AND(AI234&gt;=79),VLOOKUP(H234,'WordRead Look Up'!$M$13:$N$18,2,TRUE),"")))))</f>
        <v/>
      </c>
      <c r="J234" s="122"/>
      <c r="K234" s="111"/>
      <c r="L234" s="111"/>
      <c r="M234" s="111"/>
      <c r="N234" s="111"/>
      <c r="O234" s="111"/>
      <c r="P234" s="111"/>
      <c r="Q234" s="111"/>
      <c r="R234" s="111"/>
      <c r="S234" s="111"/>
      <c r="T234" s="111"/>
      <c r="U234" s="111"/>
      <c r="V234" s="111"/>
      <c r="W234" s="111"/>
      <c r="X234" s="123"/>
      <c r="AI234" s="222" t="str">
        <f t="shared" si="7"/>
        <v/>
      </c>
    </row>
    <row r="235" spans="1:35" s="108" customFormat="1" ht="15.75">
      <c r="A235" s="119"/>
      <c r="B235" s="120"/>
      <c r="C235" s="111"/>
      <c r="D235" s="111"/>
      <c r="E235" s="121"/>
      <c r="F235" s="121"/>
      <c r="G235" s="113"/>
      <c r="H235" s="199" t="str">
        <f t="shared" si="6"/>
        <v/>
      </c>
      <c r="I235" s="200" t="str">
        <f>IF(H235="","",IF(AND(AI235&lt;=66),VLOOKUP(H235,'WordRead Look Up'!$A$13:$B$20,2,TRUE),IF(AND(AI235&gt;=67,AI235&lt;=72),VLOOKUP(H235,'WordRead Look Up'!$E$13:$F$20,2,TRUE),IF(AND(AI235&gt;=73,AI235&lt;=78),VLOOKUP(H235,'WordRead Look Up'!$I$13:$J$18,2,TRUE),IF(AND(AI235&gt;=79),VLOOKUP(H235,'WordRead Look Up'!$M$13:$N$18,2,TRUE),"")))))</f>
        <v/>
      </c>
      <c r="J235" s="122"/>
      <c r="K235" s="111"/>
      <c r="L235" s="111"/>
      <c r="M235" s="111"/>
      <c r="N235" s="111"/>
      <c r="O235" s="111"/>
      <c r="P235" s="111"/>
      <c r="Q235" s="111"/>
      <c r="R235" s="111"/>
      <c r="S235" s="111"/>
      <c r="T235" s="111"/>
      <c r="U235" s="111"/>
      <c r="V235" s="111"/>
      <c r="W235" s="111"/>
      <c r="X235" s="123"/>
      <c r="AI235" s="222" t="str">
        <f t="shared" si="7"/>
        <v/>
      </c>
    </row>
    <row r="236" spans="1:35" s="108" customFormat="1" ht="15.75">
      <c r="A236" s="119"/>
      <c r="B236" s="120"/>
      <c r="C236" s="111"/>
      <c r="D236" s="111"/>
      <c r="E236" s="121"/>
      <c r="F236" s="121"/>
      <c r="G236" s="113"/>
      <c r="H236" s="199" t="str">
        <f t="shared" si="6"/>
        <v/>
      </c>
      <c r="I236" s="200" t="str">
        <f>IF(H236="","",IF(AND(AI236&lt;=66),VLOOKUP(H236,'WordRead Look Up'!$A$13:$B$20,2,TRUE),IF(AND(AI236&gt;=67,AI236&lt;=72),VLOOKUP(H236,'WordRead Look Up'!$E$13:$F$20,2,TRUE),IF(AND(AI236&gt;=73,AI236&lt;=78),VLOOKUP(H236,'WordRead Look Up'!$I$13:$J$18,2,TRUE),IF(AND(AI236&gt;=79),VLOOKUP(H236,'WordRead Look Up'!$M$13:$N$18,2,TRUE),"")))))</f>
        <v/>
      </c>
      <c r="J236" s="122"/>
      <c r="K236" s="111"/>
      <c r="L236" s="111"/>
      <c r="M236" s="111"/>
      <c r="N236" s="111"/>
      <c r="O236" s="111"/>
      <c r="P236" s="111"/>
      <c r="Q236" s="111"/>
      <c r="R236" s="111"/>
      <c r="S236" s="111"/>
      <c r="T236" s="111"/>
      <c r="U236" s="111"/>
      <c r="V236" s="111"/>
      <c r="W236" s="111"/>
      <c r="X236" s="123"/>
      <c r="AI236" s="222" t="str">
        <f t="shared" si="7"/>
        <v/>
      </c>
    </row>
    <row r="237" spans="1:35" s="108" customFormat="1" ht="15.75">
      <c r="A237" s="119"/>
      <c r="B237" s="120"/>
      <c r="C237" s="111"/>
      <c r="D237" s="111"/>
      <c r="E237" s="121"/>
      <c r="F237" s="121"/>
      <c r="G237" s="113"/>
      <c r="H237" s="199" t="str">
        <f t="shared" si="6"/>
        <v/>
      </c>
      <c r="I237" s="200" t="str">
        <f>IF(H237="","",IF(AND(AI237&lt;=66),VLOOKUP(H237,'WordRead Look Up'!$A$13:$B$20,2,TRUE),IF(AND(AI237&gt;=67,AI237&lt;=72),VLOOKUP(H237,'WordRead Look Up'!$E$13:$F$20,2,TRUE),IF(AND(AI237&gt;=73,AI237&lt;=78),VLOOKUP(H237,'WordRead Look Up'!$I$13:$J$18,2,TRUE),IF(AND(AI237&gt;=79),VLOOKUP(H237,'WordRead Look Up'!$M$13:$N$18,2,TRUE),"")))))</f>
        <v/>
      </c>
      <c r="J237" s="122"/>
      <c r="K237" s="111"/>
      <c r="L237" s="111"/>
      <c r="M237" s="111"/>
      <c r="N237" s="111"/>
      <c r="O237" s="111"/>
      <c r="P237" s="111"/>
      <c r="Q237" s="111"/>
      <c r="R237" s="111"/>
      <c r="S237" s="111"/>
      <c r="T237" s="111"/>
      <c r="U237" s="111"/>
      <c r="V237" s="111"/>
      <c r="W237" s="111"/>
      <c r="X237" s="123"/>
      <c r="AI237" s="222" t="str">
        <f t="shared" si="7"/>
        <v/>
      </c>
    </row>
    <row r="238" spans="1:35" s="108" customFormat="1" ht="15.75">
      <c r="A238" s="119"/>
      <c r="B238" s="120"/>
      <c r="C238" s="111"/>
      <c r="D238" s="111"/>
      <c r="E238" s="121"/>
      <c r="F238" s="121"/>
      <c r="G238" s="113"/>
      <c r="H238" s="199" t="str">
        <f t="shared" si="6"/>
        <v/>
      </c>
      <c r="I238" s="200" t="str">
        <f>IF(H238="","",IF(AND(AI238&lt;=66),VLOOKUP(H238,'WordRead Look Up'!$A$13:$B$20,2,TRUE),IF(AND(AI238&gt;=67,AI238&lt;=72),VLOOKUP(H238,'WordRead Look Up'!$E$13:$F$20,2,TRUE),IF(AND(AI238&gt;=73,AI238&lt;=78),VLOOKUP(H238,'WordRead Look Up'!$I$13:$J$18,2,TRUE),IF(AND(AI238&gt;=79),VLOOKUP(H238,'WordRead Look Up'!$M$13:$N$18,2,TRUE),"")))))</f>
        <v/>
      </c>
      <c r="J238" s="122"/>
      <c r="K238" s="111"/>
      <c r="L238" s="111"/>
      <c r="M238" s="111"/>
      <c r="N238" s="111"/>
      <c r="O238" s="111"/>
      <c r="P238" s="111"/>
      <c r="Q238" s="111"/>
      <c r="R238" s="111"/>
      <c r="S238" s="111"/>
      <c r="T238" s="111"/>
      <c r="U238" s="111"/>
      <c r="V238" s="111"/>
      <c r="W238" s="111"/>
      <c r="X238" s="123"/>
      <c r="AI238" s="222" t="str">
        <f t="shared" si="7"/>
        <v/>
      </c>
    </row>
    <row r="239" spans="1:35" s="108" customFormat="1" ht="15.75">
      <c r="A239" s="119"/>
      <c r="B239" s="120"/>
      <c r="C239" s="111"/>
      <c r="D239" s="111"/>
      <c r="E239" s="121"/>
      <c r="F239" s="121"/>
      <c r="G239" s="113"/>
      <c r="H239" s="199" t="str">
        <f t="shared" si="6"/>
        <v/>
      </c>
      <c r="I239" s="200" t="str">
        <f>IF(H239="","",IF(AND(AI239&lt;=66),VLOOKUP(H239,'WordRead Look Up'!$A$13:$B$20,2,TRUE),IF(AND(AI239&gt;=67,AI239&lt;=72),VLOOKUP(H239,'WordRead Look Up'!$E$13:$F$20,2,TRUE),IF(AND(AI239&gt;=73,AI239&lt;=78),VLOOKUP(H239,'WordRead Look Up'!$I$13:$J$18,2,TRUE),IF(AND(AI239&gt;=79),VLOOKUP(H239,'WordRead Look Up'!$M$13:$N$18,2,TRUE),"")))))</f>
        <v/>
      </c>
      <c r="J239" s="122"/>
      <c r="K239" s="111"/>
      <c r="L239" s="111"/>
      <c r="M239" s="111"/>
      <c r="N239" s="111"/>
      <c r="O239" s="111"/>
      <c r="P239" s="111"/>
      <c r="Q239" s="111"/>
      <c r="R239" s="111"/>
      <c r="S239" s="111"/>
      <c r="T239" s="111"/>
      <c r="U239" s="111"/>
      <c r="V239" s="111"/>
      <c r="W239" s="111"/>
      <c r="X239" s="123"/>
      <c r="AI239" s="222" t="str">
        <f t="shared" si="7"/>
        <v/>
      </c>
    </row>
    <row r="240" spans="1:35" s="108" customFormat="1" ht="15.75">
      <c r="A240" s="119"/>
      <c r="B240" s="120"/>
      <c r="C240" s="111"/>
      <c r="D240" s="111"/>
      <c r="E240" s="121"/>
      <c r="F240" s="121"/>
      <c r="G240" s="113"/>
      <c r="H240" s="199" t="str">
        <f t="shared" si="6"/>
        <v/>
      </c>
      <c r="I240" s="200" t="str">
        <f>IF(H240="","",IF(AND(AI240&lt;=66),VLOOKUP(H240,'WordRead Look Up'!$A$13:$B$20,2,TRUE),IF(AND(AI240&gt;=67,AI240&lt;=72),VLOOKUP(H240,'WordRead Look Up'!$E$13:$F$20,2,TRUE),IF(AND(AI240&gt;=73,AI240&lt;=78),VLOOKUP(H240,'WordRead Look Up'!$I$13:$J$18,2,TRUE),IF(AND(AI240&gt;=79),VLOOKUP(H240,'WordRead Look Up'!$M$13:$N$18,2,TRUE),"")))))</f>
        <v/>
      </c>
      <c r="J240" s="122"/>
      <c r="K240" s="111"/>
      <c r="L240" s="111"/>
      <c r="M240" s="111"/>
      <c r="N240" s="111"/>
      <c r="O240" s="111"/>
      <c r="P240" s="111"/>
      <c r="Q240" s="111"/>
      <c r="R240" s="111"/>
      <c r="S240" s="111"/>
      <c r="T240" s="111"/>
      <c r="U240" s="111"/>
      <c r="V240" s="111"/>
      <c r="W240" s="111"/>
      <c r="X240" s="123"/>
      <c r="AI240" s="222" t="str">
        <f t="shared" si="7"/>
        <v/>
      </c>
    </row>
    <row r="241" spans="1:35" s="108" customFormat="1" ht="15.75">
      <c r="A241" s="119"/>
      <c r="B241" s="120"/>
      <c r="C241" s="111"/>
      <c r="D241" s="111"/>
      <c r="E241" s="121"/>
      <c r="F241" s="121"/>
      <c r="G241" s="113"/>
      <c r="H241" s="199" t="str">
        <f t="shared" si="6"/>
        <v/>
      </c>
      <c r="I241" s="200" t="str">
        <f>IF(H241="","",IF(AND(AI241&lt;=66),VLOOKUP(H241,'WordRead Look Up'!$A$13:$B$20,2,TRUE),IF(AND(AI241&gt;=67,AI241&lt;=72),VLOOKUP(H241,'WordRead Look Up'!$E$13:$F$20,2,TRUE),IF(AND(AI241&gt;=73,AI241&lt;=78),VLOOKUP(H241,'WordRead Look Up'!$I$13:$J$18,2,TRUE),IF(AND(AI241&gt;=79),VLOOKUP(H241,'WordRead Look Up'!$M$13:$N$18,2,TRUE),"")))))</f>
        <v/>
      </c>
      <c r="J241" s="122"/>
      <c r="K241" s="111"/>
      <c r="L241" s="111"/>
      <c r="M241" s="111"/>
      <c r="N241" s="111"/>
      <c r="O241" s="111"/>
      <c r="P241" s="111"/>
      <c r="Q241" s="111"/>
      <c r="R241" s="111"/>
      <c r="S241" s="111"/>
      <c r="T241" s="111"/>
      <c r="U241" s="111"/>
      <c r="V241" s="111"/>
      <c r="W241" s="111"/>
      <c r="X241" s="123"/>
      <c r="AI241" s="222" t="str">
        <f t="shared" si="7"/>
        <v/>
      </c>
    </row>
    <row r="242" spans="1:35" s="108" customFormat="1" ht="15.75">
      <c r="A242" s="119"/>
      <c r="B242" s="120"/>
      <c r="C242" s="111"/>
      <c r="D242" s="111"/>
      <c r="E242" s="121"/>
      <c r="F242" s="121"/>
      <c r="G242" s="113"/>
      <c r="H242" s="199" t="str">
        <f t="shared" si="6"/>
        <v/>
      </c>
      <c r="I242" s="200" t="str">
        <f>IF(H242="","",IF(AND(AI242&lt;=66),VLOOKUP(H242,'WordRead Look Up'!$A$13:$B$20,2,TRUE),IF(AND(AI242&gt;=67,AI242&lt;=72),VLOOKUP(H242,'WordRead Look Up'!$E$13:$F$20,2,TRUE),IF(AND(AI242&gt;=73,AI242&lt;=78),VLOOKUP(H242,'WordRead Look Up'!$I$13:$J$18,2,TRUE),IF(AND(AI242&gt;=79),VLOOKUP(H242,'WordRead Look Up'!$M$13:$N$18,2,TRUE),"")))))</f>
        <v/>
      </c>
      <c r="J242" s="122"/>
      <c r="K242" s="111"/>
      <c r="L242" s="111"/>
      <c r="M242" s="111"/>
      <c r="N242" s="111"/>
      <c r="O242" s="111"/>
      <c r="P242" s="111"/>
      <c r="Q242" s="111"/>
      <c r="R242" s="111"/>
      <c r="S242" s="111"/>
      <c r="T242" s="111"/>
      <c r="U242" s="111"/>
      <c r="V242" s="111"/>
      <c r="W242" s="111"/>
      <c r="X242" s="123"/>
      <c r="AI242" s="222" t="str">
        <f t="shared" si="7"/>
        <v/>
      </c>
    </row>
    <row r="243" spans="1:35" s="108" customFormat="1" ht="15.75">
      <c r="A243" s="119"/>
      <c r="B243" s="120"/>
      <c r="C243" s="111"/>
      <c r="D243" s="111"/>
      <c r="E243" s="121"/>
      <c r="F243" s="121"/>
      <c r="G243" s="113"/>
      <c r="H243" s="199" t="str">
        <f t="shared" si="6"/>
        <v/>
      </c>
      <c r="I243" s="200" t="str">
        <f>IF(H243="","",IF(AND(AI243&lt;=66),VLOOKUP(H243,'WordRead Look Up'!$A$13:$B$20,2,TRUE),IF(AND(AI243&gt;=67,AI243&lt;=72),VLOOKUP(H243,'WordRead Look Up'!$E$13:$F$20,2,TRUE),IF(AND(AI243&gt;=73,AI243&lt;=78),VLOOKUP(H243,'WordRead Look Up'!$I$13:$J$18,2,TRUE),IF(AND(AI243&gt;=79),VLOOKUP(H243,'WordRead Look Up'!$M$13:$N$18,2,TRUE),"")))))</f>
        <v/>
      </c>
      <c r="J243" s="122"/>
      <c r="K243" s="111"/>
      <c r="L243" s="111"/>
      <c r="M243" s="111"/>
      <c r="N243" s="111"/>
      <c r="O243" s="111"/>
      <c r="P243" s="111"/>
      <c r="Q243" s="111"/>
      <c r="R243" s="111"/>
      <c r="S243" s="111"/>
      <c r="T243" s="111"/>
      <c r="U243" s="111"/>
      <c r="V243" s="111"/>
      <c r="W243" s="111"/>
      <c r="X243" s="123"/>
      <c r="AI243" s="222" t="str">
        <f t="shared" si="7"/>
        <v/>
      </c>
    </row>
    <row r="244" spans="1:35" s="108" customFormat="1" ht="15.75">
      <c r="A244" s="119"/>
      <c r="B244" s="120"/>
      <c r="C244" s="111"/>
      <c r="D244" s="111"/>
      <c r="E244" s="121"/>
      <c r="F244" s="121"/>
      <c r="G244" s="113"/>
      <c r="H244" s="199" t="str">
        <f t="shared" si="6"/>
        <v/>
      </c>
      <c r="I244" s="200" t="str">
        <f>IF(H244="","",IF(AND(AI244&lt;=66),VLOOKUP(H244,'WordRead Look Up'!$A$13:$B$20,2,TRUE),IF(AND(AI244&gt;=67,AI244&lt;=72),VLOOKUP(H244,'WordRead Look Up'!$E$13:$F$20,2,TRUE),IF(AND(AI244&gt;=73,AI244&lt;=78),VLOOKUP(H244,'WordRead Look Up'!$I$13:$J$18,2,TRUE),IF(AND(AI244&gt;=79),VLOOKUP(H244,'WordRead Look Up'!$M$13:$N$18,2,TRUE),"")))))</f>
        <v/>
      </c>
      <c r="J244" s="122"/>
      <c r="K244" s="111"/>
      <c r="L244" s="111"/>
      <c r="M244" s="111"/>
      <c r="N244" s="111"/>
      <c r="O244" s="111"/>
      <c r="P244" s="111"/>
      <c r="Q244" s="111"/>
      <c r="R244" s="111"/>
      <c r="S244" s="111"/>
      <c r="T244" s="111"/>
      <c r="U244" s="111"/>
      <c r="V244" s="111"/>
      <c r="W244" s="111"/>
      <c r="X244" s="123"/>
      <c r="AI244" s="222" t="str">
        <f t="shared" si="7"/>
        <v/>
      </c>
    </row>
    <row r="245" spans="1:35" s="108" customFormat="1" ht="15.75">
      <c r="A245" s="119"/>
      <c r="B245" s="120"/>
      <c r="C245" s="111"/>
      <c r="D245" s="111"/>
      <c r="E245" s="121"/>
      <c r="F245" s="121"/>
      <c r="G245" s="113"/>
      <c r="H245" s="199" t="str">
        <f t="shared" si="6"/>
        <v/>
      </c>
      <c r="I245" s="200" t="str">
        <f>IF(H245="","",IF(AND(AI245&lt;=66),VLOOKUP(H245,'WordRead Look Up'!$A$13:$B$20,2,TRUE),IF(AND(AI245&gt;=67,AI245&lt;=72),VLOOKUP(H245,'WordRead Look Up'!$E$13:$F$20,2,TRUE),IF(AND(AI245&gt;=73,AI245&lt;=78),VLOOKUP(H245,'WordRead Look Up'!$I$13:$J$18,2,TRUE),IF(AND(AI245&gt;=79),VLOOKUP(H245,'WordRead Look Up'!$M$13:$N$18,2,TRUE),"")))))</f>
        <v/>
      </c>
      <c r="J245" s="122"/>
      <c r="K245" s="111"/>
      <c r="L245" s="111"/>
      <c r="M245" s="111"/>
      <c r="N245" s="111"/>
      <c r="O245" s="111"/>
      <c r="P245" s="111"/>
      <c r="Q245" s="111"/>
      <c r="R245" s="111"/>
      <c r="S245" s="111"/>
      <c r="T245" s="111"/>
      <c r="U245" s="111"/>
      <c r="V245" s="111"/>
      <c r="W245" s="111"/>
      <c r="X245" s="123"/>
      <c r="AI245" s="222" t="str">
        <f t="shared" si="7"/>
        <v/>
      </c>
    </row>
    <row r="246" spans="1:35" s="108" customFormat="1" ht="15.75">
      <c r="A246" s="119"/>
      <c r="B246" s="120"/>
      <c r="C246" s="111"/>
      <c r="D246" s="111"/>
      <c r="E246" s="121"/>
      <c r="F246" s="121"/>
      <c r="G246" s="113"/>
      <c r="H246" s="199" t="str">
        <f t="shared" si="6"/>
        <v/>
      </c>
      <c r="I246" s="200" t="str">
        <f>IF(H246="","",IF(AND(AI246&lt;=66),VLOOKUP(H246,'WordRead Look Up'!$A$13:$B$20,2,TRUE),IF(AND(AI246&gt;=67,AI246&lt;=72),VLOOKUP(H246,'WordRead Look Up'!$E$13:$F$20,2,TRUE),IF(AND(AI246&gt;=73,AI246&lt;=78),VLOOKUP(H246,'WordRead Look Up'!$I$13:$J$18,2,TRUE),IF(AND(AI246&gt;=79),VLOOKUP(H246,'WordRead Look Up'!$M$13:$N$18,2,TRUE),"")))))</f>
        <v/>
      </c>
      <c r="J246" s="122"/>
      <c r="K246" s="111"/>
      <c r="L246" s="111"/>
      <c r="M246" s="111"/>
      <c r="N246" s="111"/>
      <c r="O246" s="111"/>
      <c r="P246" s="111"/>
      <c r="Q246" s="111"/>
      <c r="R246" s="111"/>
      <c r="S246" s="111"/>
      <c r="T246" s="111"/>
      <c r="U246" s="111"/>
      <c r="V246" s="111"/>
      <c r="W246" s="111"/>
      <c r="X246" s="123"/>
      <c r="AI246" s="222" t="str">
        <f t="shared" si="7"/>
        <v/>
      </c>
    </row>
    <row r="247" spans="1:35" s="108" customFormat="1" ht="15.75">
      <c r="A247" s="119"/>
      <c r="B247" s="120"/>
      <c r="C247" s="111"/>
      <c r="D247" s="111"/>
      <c r="E247" s="121"/>
      <c r="F247" s="121"/>
      <c r="G247" s="113"/>
      <c r="H247" s="199" t="str">
        <f t="shared" si="6"/>
        <v/>
      </c>
      <c r="I247" s="200" t="str">
        <f>IF(H247="","",IF(AND(AI247&lt;=66),VLOOKUP(H247,'WordRead Look Up'!$A$13:$B$20,2,TRUE),IF(AND(AI247&gt;=67,AI247&lt;=72),VLOOKUP(H247,'WordRead Look Up'!$E$13:$F$20,2,TRUE),IF(AND(AI247&gt;=73,AI247&lt;=78),VLOOKUP(H247,'WordRead Look Up'!$I$13:$J$18,2,TRUE),IF(AND(AI247&gt;=79),VLOOKUP(H247,'WordRead Look Up'!$M$13:$N$18,2,TRUE),"")))))</f>
        <v/>
      </c>
      <c r="J247" s="122"/>
      <c r="K247" s="111"/>
      <c r="L247" s="111"/>
      <c r="M247" s="111"/>
      <c r="N247" s="111"/>
      <c r="O247" s="111"/>
      <c r="P247" s="111"/>
      <c r="Q247" s="111"/>
      <c r="R247" s="111"/>
      <c r="S247" s="111"/>
      <c r="T247" s="111"/>
      <c r="U247" s="111"/>
      <c r="V247" s="111"/>
      <c r="W247" s="111"/>
      <c r="X247" s="123"/>
      <c r="AI247" s="222" t="str">
        <f t="shared" si="7"/>
        <v/>
      </c>
    </row>
    <row r="248" spans="1:35" s="108" customFormat="1" ht="15.75">
      <c r="A248" s="119"/>
      <c r="B248" s="120"/>
      <c r="C248" s="111"/>
      <c r="D248" s="111"/>
      <c r="E248" s="121"/>
      <c r="F248" s="121"/>
      <c r="G248" s="113"/>
      <c r="H248" s="199" t="str">
        <f t="shared" si="6"/>
        <v/>
      </c>
      <c r="I248" s="200" t="str">
        <f>IF(H248="","",IF(AND(AI248&lt;=66),VLOOKUP(H248,'WordRead Look Up'!$A$13:$B$20,2,TRUE),IF(AND(AI248&gt;=67,AI248&lt;=72),VLOOKUP(H248,'WordRead Look Up'!$E$13:$F$20,2,TRUE),IF(AND(AI248&gt;=73,AI248&lt;=78),VLOOKUP(H248,'WordRead Look Up'!$I$13:$J$18,2,TRUE),IF(AND(AI248&gt;=79),VLOOKUP(H248,'WordRead Look Up'!$M$13:$N$18,2,TRUE),"")))))</f>
        <v/>
      </c>
      <c r="J248" s="122"/>
      <c r="K248" s="111"/>
      <c r="L248" s="111"/>
      <c r="M248" s="111"/>
      <c r="N248" s="111"/>
      <c r="O248" s="111"/>
      <c r="P248" s="111"/>
      <c r="Q248" s="111"/>
      <c r="R248" s="111"/>
      <c r="S248" s="111"/>
      <c r="T248" s="111"/>
      <c r="U248" s="111"/>
      <c r="V248" s="111"/>
      <c r="W248" s="111"/>
      <c r="X248" s="123"/>
      <c r="AI248" s="222" t="str">
        <f t="shared" si="7"/>
        <v/>
      </c>
    </row>
    <row r="249" spans="1:35" s="108" customFormat="1" ht="15.75">
      <c r="A249" s="119"/>
      <c r="B249" s="120"/>
      <c r="C249" s="111"/>
      <c r="D249" s="111"/>
      <c r="E249" s="121"/>
      <c r="F249" s="121"/>
      <c r="G249" s="113"/>
      <c r="H249" s="199" t="str">
        <f t="shared" si="6"/>
        <v/>
      </c>
      <c r="I249" s="200" t="str">
        <f>IF(H249="","",IF(AND(AI249&lt;=66),VLOOKUP(H249,'WordRead Look Up'!$A$13:$B$20,2,TRUE),IF(AND(AI249&gt;=67,AI249&lt;=72),VLOOKUP(H249,'WordRead Look Up'!$E$13:$F$20,2,TRUE),IF(AND(AI249&gt;=73,AI249&lt;=78),VLOOKUP(H249,'WordRead Look Up'!$I$13:$J$18,2,TRUE),IF(AND(AI249&gt;=79),VLOOKUP(H249,'WordRead Look Up'!$M$13:$N$18,2,TRUE),"")))))</f>
        <v/>
      </c>
      <c r="J249" s="122"/>
      <c r="K249" s="111"/>
      <c r="L249" s="111"/>
      <c r="M249" s="111"/>
      <c r="N249" s="111"/>
      <c r="O249" s="111"/>
      <c r="P249" s="111"/>
      <c r="Q249" s="111"/>
      <c r="R249" s="111"/>
      <c r="S249" s="111"/>
      <c r="T249" s="111"/>
      <c r="U249" s="111"/>
      <c r="V249" s="111"/>
      <c r="W249" s="111"/>
      <c r="X249" s="123"/>
      <c r="AI249" s="222" t="str">
        <f t="shared" si="7"/>
        <v/>
      </c>
    </row>
    <row r="250" spans="1:35" s="108" customFormat="1" ht="15.75">
      <c r="A250" s="119"/>
      <c r="B250" s="120"/>
      <c r="C250" s="111"/>
      <c r="D250" s="111"/>
      <c r="E250" s="121"/>
      <c r="F250" s="121"/>
      <c r="G250" s="113"/>
      <c r="H250" s="199" t="str">
        <f t="shared" si="6"/>
        <v/>
      </c>
      <c r="I250" s="200" t="str">
        <f>IF(H250="","",IF(AND(AI250&lt;=66),VLOOKUP(H250,'WordRead Look Up'!$A$13:$B$20,2,TRUE),IF(AND(AI250&gt;=67,AI250&lt;=72),VLOOKUP(H250,'WordRead Look Up'!$E$13:$F$20,2,TRUE),IF(AND(AI250&gt;=73,AI250&lt;=78),VLOOKUP(H250,'WordRead Look Up'!$I$13:$J$18,2,TRUE),IF(AND(AI250&gt;=79),VLOOKUP(H250,'WordRead Look Up'!$M$13:$N$18,2,TRUE),"")))))</f>
        <v/>
      </c>
      <c r="J250" s="122"/>
      <c r="K250" s="111"/>
      <c r="L250" s="111"/>
      <c r="M250" s="111"/>
      <c r="N250" s="111"/>
      <c r="O250" s="111"/>
      <c r="P250" s="111"/>
      <c r="Q250" s="111"/>
      <c r="R250" s="111"/>
      <c r="S250" s="111"/>
      <c r="T250" s="111"/>
      <c r="U250" s="111"/>
      <c r="V250" s="111"/>
      <c r="W250" s="111"/>
      <c r="X250" s="123"/>
      <c r="AI250" s="222" t="str">
        <f t="shared" si="7"/>
        <v/>
      </c>
    </row>
    <row r="251" spans="1:35" s="108" customFormat="1" ht="15.75">
      <c r="A251" s="119"/>
      <c r="B251" s="120"/>
      <c r="C251" s="111"/>
      <c r="D251" s="111"/>
      <c r="E251" s="121"/>
      <c r="F251" s="121"/>
      <c r="G251" s="113"/>
      <c r="H251" s="199" t="str">
        <f t="shared" si="6"/>
        <v/>
      </c>
      <c r="I251" s="200" t="str">
        <f>IF(H251="","",IF(AND(AI251&lt;=66),VLOOKUP(H251,'WordRead Look Up'!$A$13:$B$20,2,TRUE),IF(AND(AI251&gt;=67,AI251&lt;=72),VLOOKUP(H251,'WordRead Look Up'!$E$13:$F$20,2,TRUE),IF(AND(AI251&gt;=73,AI251&lt;=78),VLOOKUP(H251,'WordRead Look Up'!$I$13:$J$18,2,TRUE),IF(AND(AI251&gt;=79),VLOOKUP(H251,'WordRead Look Up'!$M$13:$N$18,2,TRUE),"")))))</f>
        <v/>
      </c>
      <c r="J251" s="122"/>
      <c r="K251" s="111"/>
      <c r="L251" s="111"/>
      <c r="M251" s="111"/>
      <c r="N251" s="111"/>
      <c r="O251" s="111"/>
      <c r="P251" s="111"/>
      <c r="Q251" s="111"/>
      <c r="R251" s="111"/>
      <c r="S251" s="111"/>
      <c r="T251" s="111"/>
      <c r="U251" s="111"/>
      <c r="V251" s="111"/>
      <c r="W251" s="111"/>
      <c r="X251" s="123"/>
      <c r="AI251" s="222" t="str">
        <f t="shared" si="7"/>
        <v/>
      </c>
    </row>
    <row r="252" spans="1:35" s="108" customFormat="1" ht="15.75">
      <c r="A252" s="119"/>
      <c r="B252" s="120"/>
      <c r="C252" s="111"/>
      <c r="D252" s="111"/>
      <c r="E252" s="121"/>
      <c r="F252" s="121"/>
      <c r="G252" s="113"/>
      <c r="H252" s="199" t="str">
        <f t="shared" si="6"/>
        <v/>
      </c>
      <c r="I252" s="200" t="str">
        <f>IF(H252="","",IF(AND(AI252&lt;=66),VLOOKUP(H252,'WordRead Look Up'!$A$13:$B$20,2,TRUE),IF(AND(AI252&gt;=67,AI252&lt;=72),VLOOKUP(H252,'WordRead Look Up'!$E$13:$F$20,2,TRUE),IF(AND(AI252&gt;=73,AI252&lt;=78),VLOOKUP(H252,'WordRead Look Up'!$I$13:$J$18,2,TRUE),IF(AND(AI252&gt;=79),VLOOKUP(H252,'WordRead Look Up'!$M$13:$N$18,2,TRUE),"")))))</f>
        <v/>
      </c>
      <c r="J252" s="122"/>
      <c r="K252" s="111"/>
      <c r="L252" s="111"/>
      <c r="M252" s="111"/>
      <c r="N252" s="111"/>
      <c r="O252" s="111"/>
      <c r="P252" s="111"/>
      <c r="Q252" s="111"/>
      <c r="R252" s="111"/>
      <c r="S252" s="111"/>
      <c r="T252" s="111"/>
      <c r="U252" s="111"/>
      <c r="V252" s="111"/>
      <c r="W252" s="111"/>
      <c r="X252" s="123"/>
      <c r="AI252" s="222" t="str">
        <f t="shared" si="7"/>
        <v/>
      </c>
    </row>
    <row r="253" spans="1:35" s="108" customFormat="1" ht="15.75">
      <c r="A253" s="119"/>
      <c r="B253" s="120"/>
      <c r="C253" s="111"/>
      <c r="D253" s="111"/>
      <c r="E253" s="121"/>
      <c r="F253" s="121"/>
      <c r="G253" s="113"/>
      <c r="H253" s="199" t="str">
        <f t="shared" si="6"/>
        <v/>
      </c>
      <c r="I253" s="200" t="str">
        <f>IF(H253="","",IF(AND(AI253&lt;=66),VLOOKUP(H253,'WordRead Look Up'!$A$13:$B$20,2,TRUE),IF(AND(AI253&gt;=67,AI253&lt;=72),VLOOKUP(H253,'WordRead Look Up'!$E$13:$F$20,2,TRUE),IF(AND(AI253&gt;=73,AI253&lt;=78),VLOOKUP(H253,'WordRead Look Up'!$I$13:$J$18,2,TRUE),IF(AND(AI253&gt;=79),VLOOKUP(H253,'WordRead Look Up'!$M$13:$N$18,2,TRUE),"")))))</f>
        <v/>
      </c>
      <c r="J253" s="122"/>
      <c r="K253" s="111"/>
      <c r="L253" s="111"/>
      <c r="M253" s="111"/>
      <c r="N253" s="111"/>
      <c r="O253" s="111"/>
      <c r="P253" s="111"/>
      <c r="Q253" s="111"/>
      <c r="R253" s="111"/>
      <c r="S253" s="111"/>
      <c r="T253" s="111"/>
      <c r="U253" s="111"/>
      <c r="V253" s="111"/>
      <c r="W253" s="111"/>
      <c r="X253" s="123"/>
      <c r="AI253" s="222" t="str">
        <f t="shared" si="7"/>
        <v/>
      </c>
    </row>
    <row r="254" spans="1:35" s="108" customFormat="1" ht="15.75">
      <c r="A254" s="119"/>
      <c r="B254" s="120"/>
      <c r="C254" s="111"/>
      <c r="D254" s="111"/>
      <c r="E254" s="121"/>
      <c r="F254" s="121"/>
      <c r="G254" s="113"/>
      <c r="H254" s="199" t="str">
        <f t="shared" si="6"/>
        <v/>
      </c>
      <c r="I254" s="200" t="str">
        <f>IF(H254="","",IF(AND(AI254&lt;=66),VLOOKUP(H254,'WordRead Look Up'!$A$13:$B$20,2,TRUE),IF(AND(AI254&gt;=67,AI254&lt;=72),VLOOKUP(H254,'WordRead Look Up'!$E$13:$F$20,2,TRUE),IF(AND(AI254&gt;=73,AI254&lt;=78),VLOOKUP(H254,'WordRead Look Up'!$I$13:$J$18,2,TRUE),IF(AND(AI254&gt;=79),VLOOKUP(H254,'WordRead Look Up'!$M$13:$N$18,2,TRUE),"")))))</f>
        <v/>
      </c>
      <c r="J254" s="122"/>
      <c r="K254" s="111"/>
      <c r="L254" s="111"/>
      <c r="M254" s="111"/>
      <c r="N254" s="111"/>
      <c r="O254" s="111"/>
      <c r="P254" s="111"/>
      <c r="Q254" s="111"/>
      <c r="R254" s="111"/>
      <c r="S254" s="111"/>
      <c r="T254" s="111"/>
      <c r="U254" s="111"/>
      <c r="V254" s="111"/>
      <c r="W254" s="111"/>
      <c r="X254" s="123"/>
      <c r="AI254" s="222" t="str">
        <f t="shared" si="7"/>
        <v/>
      </c>
    </row>
    <row r="255" spans="1:35" s="108" customFormat="1" ht="15.75">
      <c r="A255" s="119"/>
      <c r="B255" s="120"/>
      <c r="C255" s="111"/>
      <c r="D255" s="111"/>
      <c r="E255" s="121"/>
      <c r="F255" s="121"/>
      <c r="G255" s="113"/>
      <c r="H255" s="199" t="str">
        <f t="shared" si="6"/>
        <v/>
      </c>
      <c r="I255" s="200" t="str">
        <f>IF(H255="","",IF(AND(AI255&lt;=66),VLOOKUP(H255,'WordRead Look Up'!$A$13:$B$20,2,TRUE),IF(AND(AI255&gt;=67,AI255&lt;=72),VLOOKUP(H255,'WordRead Look Up'!$E$13:$F$20,2,TRUE),IF(AND(AI255&gt;=73,AI255&lt;=78),VLOOKUP(H255,'WordRead Look Up'!$I$13:$J$18,2,TRUE),IF(AND(AI255&gt;=79),VLOOKUP(H255,'WordRead Look Up'!$M$13:$N$18,2,TRUE),"")))))</f>
        <v/>
      </c>
      <c r="J255" s="122"/>
      <c r="K255" s="111"/>
      <c r="L255" s="111"/>
      <c r="M255" s="111"/>
      <c r="N255" s="111"/>
      <c r="O255" s="111"/>
      <c r="P255" s="111"/>
      <c r="Q255" s="111"/>
      <c r="R255" s="111"/>
      <c r="S255" s="111"/>
      <c r="T255" s="111"/>
      <c r="U255" s="111"/>
      <c r="V255" s="111"/>
      <c r="W255" s="111"/>
      <c r="X255" s="123"/>
      <c r="AI255" s="222" t="str">
        <f t="shared" si="7"/>
        <v/>
      </c>
    </row>
    <row r="256" spans="1:35" s="108" customFormat="1" ht="15.75">
      <c r="A256" s="119"/>
      <c r="B256" s="120"/>
      <c r="C256" s="111"/>
      <c r="D256" s="111"/>
      <c r="E256" s="121"/>
      <c r="F256" s="121"/>
      <c r="G256" s="113"/>
      <c r="H256" s="199" t="str">
        <f t="shared" si="6"/>
        <v/>
      </c>
      <c r="I256" s="200" t="str">
        <f>IF(H256="","",IF(AND(AI256&lt;=66),VLOOKUP(H256,'WordRead Look Up'!$A$13:$B$20,2,TRUE),IF(AND(AI256&gt;=67,AI256&lt;=72),VLOOKUP(H256,'WordRead Look Up'!$E$13:$F$20,2,TRUE),IF(AND(AI256&gt;=73,AI256&lt;=78),VLOOKUP(H256,'WordRead Look Up'!$I$13:$J$18,2,TRUE),IF(AND(AI256&gt;=79),VLOOKUP(H256,'WordRead Look Up'!$M$13:$N$18,2,TRUE),"")))))</f>
        <v/>
      </c>
      <c r="J256" s="122"/>
      <c r="K256" s="111"/>
      <c r="L256" s="111"/>
      <c r="M256" s="111"/>
      <c r="N256" s="111"/>
      <c r="O256" s="111"/>
      <c r="P256" s="111"/>
      <c r="Q256" s="111"/>
      <c r="R256" s="111"/>
      <c r="S256" s="111"/>
      <c r="T256" s="111"/>
      <c r="U256" s="111"/>
      <c r="V256" s="111"/>
      <c r="W256" s="111"/>
      <c r="X256" s="123"/>
      <c r="AI256" s="222" t="str">
        <f t="shared" si="7"/>
        <v/>
      </c>
    </row>
    <row r="257" spans="1:35" s="108" customFormat="1" ht="15.75">
      <c r="A257" s="119"/>
      <c r="B257" s="120"/>
      <c r="C257" s="111"/>
      <c r="D257" s="111"/>
      <c r="E257" s="121"/>
      <c r="F257" s="121"/>
      <c r="G257" s="113"/>
      <c r="H257" s="199" t="str">
        <f t="shared" si="6"/>
        <v/>
      </c>
      <c r="I257" s="200" t="str">
        <f>IF(H257="","",IF(AND(AI257&lt;=66),VLOOKUP(H257,'WordRead Look Up'!$A$13:$B$20,2,TRUE),IF(AND(AI257&gt;=67,AI257&lt;=72),VLOOKUP(H257,'WordRead Look Up'!$E$13:$F$20,2,TRUE),IF(AND(AI257&gt;=73,AI257&lt;=78),VLOOKUP(H257,'WordRead Look Up'!$I$13:$J$18,2,TRUE),IF(AND(AI257&gt;=79),VLOOKUP(H257,'WordRead Look Up'!$M$13:$N$18,2,TRUE),"")))))</f>
        <v/>
      </c>
      <c r="J257" s="122"/>
      <c r="K257" s="111"/>
      <c r="L257" s="111"/>
      <c r="M257" s="111"/>
      <c r="N257" s="111"/>
      <c r="O257" s="111"/>
      <c r="P257" s="111"/>
      <c r="Q257" s="111"/>
      <c r="R257" s="111"/>
      <c r="S257" s="111"/>
      <c r="T257" s="111"/>
      <c r="U257" s="111"/>
      <c r="V257" s="111"/>
      <c r="W257" s="111"/>
      <c r="X257" s="123"/>
      <c r="AI257" s="222" t="str">
        <f t="shared" si="7"/>
        <v/>
      </c>
    </row>
    <row r="258" spans="1:35" s="108" customFormat="1" ht="15.75">
      <c r="A258" s="119"/>
      <c r="B258" s="120"/>
      <c r="C258" s="111"/>
      <c r="D258" s="111"/>
      <c r="E258" s="121"/>
      <c r="F258" s="121"/>
      <c r="G258" s="113"/>
      <c r="H258" s="199" t="str">
        <f t="shared" si="6"/>
        <v/>
      </c>
      <c r="I258" s="200" t="str">
        <f>IF(H258="","",IF(AND(AI258&lt;=66),VLOOKUP(H258,'WordRead Look Up'!$A$13:$B$20,2,TRUE),IF(AND(AI258&gt;=67,AI258&lt;=72),VLOOKUP(H258,'WordRead Look Up'!$E$13:$F$20,2,TRUE),IF(AND(AI258&gt;=73,AI258&lt;=78),VLOOKUP(H258,'WordRead Look Up'!$I$13:$J$18,2,TRUE),IF(AND(AI258&gt;=79),VLOOKUP(H258,'WordRead Look Up'!$M$13:$N$18,2,TRUE),"")))))</f>
        <v/>
      </c>
      <c r="J258" s="122"/>
      <c r="K258" s="111"/>
      <c r="L258" s="111"/>
      <c r="M258" s="111"/>
      <c r="N258" s="111"/>
      <c r="O258" s="111"/>
      <c r="P258" s="111"/>
      <c r="Q258" s="111"/>
      <c r="R258" s="111"/>
      <c r="S258" s="111"/>
      <c r="T258" s="111"/>
      <c r="U258" s="111"/>
      <c r="V258" s="111"/>
      <c r="W258" s="111"/>
      <c r="X258" s="123"/>
      <c r="AI258" s="222" t="str">
        <f t="shared" si="7"/>
        <v/>
      </c>
    </row>
    <row r="259" spans="1:35" s="108" customFormat="1" ht="15.75">
      <c r="A259" s="119"/>
      <c r="B259" s="120"/>
      <c r="C259" s="111"/>
      <c r="D259" s="111"/>
      <c r="E259" s="121"/>
      <c r="F259" s="121"/>
      <c r="G259" s="113"/>
      <c r="H259" s="199" t="str">
        <f t="shared" si="6"/>
        <v/>
      </c>
      <c r="I259" s="200" t="str">
        <f>IF(H259="","",IF(AND(AI259&lt;=66),VLOOKUP(H259,'WordRead Look Up'!$A$13:$B$20,2,TRUE),IF(AND(AI259&gt;=67,AI259&lt;=72),VLOOKUP(H259,'WordRead Look Up'!$E$13:$F$20,2,TRUE),IF(AND(AI259&gt;=73,AI259&lt;=78),VLOOKUP(H259,'WordRead Look Up'!$I$13:$J$18,2,TRUE),IF(AND(AI259&gt;=79),VLOOKUP(H259,'WordRead Look Up'!$M$13:$N$18,2,TRUE),"")))))</f>
        <v/>
      </c>
      <c r="J259" s="122"/>
      <c r="K259" s="111"/>
      <c r="L259" s="111"/>
      <c r="M259" s="111"/>
      <c r="N259" s="111"/>
      <c r="O259" s="111"/>
      <c r="P259" s="111"/>
      <c r="Q259" s="111"/>
      <c r="R259" s="111"/>
      <c r="S259" s="111"/>
      <c r="T259" s="111"/>
      <c r="U259" s="111"/>
      <c r="V259" s="111"/>
      <c r="W259" s="111"/>
      <c r="X259" s="123"/>
      <c r="AI259" s="222" t="str">
        <f t="shared" si="7"/>
        <v/>
      </c>
    </row>
    <row r="260" spans="1:35" s="108" customFormat="1" ht="15.75">
      <c r="A260" s="119"/>
      <c r="B260" s="120"/>
      <c r="C260" s="111"/>
      <c r="D260" s="111"/>
      <c r="E260" s="121"/>
      <c r="F260" s="121"/>
      <c r="G260" s="113"/>
      <c r="H260" s="199" t="str">
        <f t="shared" si="6"/>
        <v/>
      </c>
      <c r="I260" s="200" t="str">
        <f>IF(H260="","",IF(AND(AI260&lt;=66),VLOOKUP(H260,'WordRead Look Up'!$A$13:$B$20,2,TRUE),IF(AND(AI260&gt;=67,AI260&lt;=72),VLOOKUP(H260,'WordRead Look Up'!$E$13:$F$20,2,TRUE),IF(AND(AI260&gt;=73,AI260&lt;=78),VLOOKUP(H260,'WordRead Look Up'!$I$13:$J$18,2,TRUE),IF(AND(AI260&gt;=79),VLOOKUP(H260,'WordRead Look Up'!$M$13:$N$18,2,TRUE),"")))))</f>
        <v/>
      </c>
      <c r="J260" s="122"/>
      <c r="K260" s="111"/>
      <c r="L260" s="111"/>
      <c r="M260" s="111"/>
      <c r="N260" s="111"/>
      <c r="O260" s="111"/>
      <c r="P260" s="111"/>
      <c r="Q260" s="111"/>
      <c r="R260" s="111"/>
      <c r="S260" s="111"/>
      <c r="T260" s="111"/>
      <c r="U260" s="111"/>
      <c r="V260" s="111"/>
      <c r="W260" s="111"/>
      <c r="X260" s="123"/>
      <c r="AI260" s="222" t="str">
        <f t="shared" si="7"/>
        <v/>
      </c>
    </row>
    <row r="261" spans="1:35" s="108" customFormat="1" ht="15.75">
      <c r="A261" s="119"/>
      <c r="B261" s="120"/>
      <c r="C261" s="111"/>
      <c r="D261" s="111"/>
      <c r="E261" s="121"/>
      <c r="F261" s="121"/>
      <c r="G261" s="113"/>
      <c r="H261" s="199" t="str">
        <f t="shared" si="6"/>
        <v/>
      </c>
      <c r="I261" s="200" t="str">
        <f>IF(H261="","",IF(AND(AI261&lt;=66),VLOOKUP(H261,'WordRead Look Up'!$A$13:$B$20,2,TRUE),IF(AND(AI261&gt;=67,AI261&lt;=72),VLOOKUP(H261,'WordRead Look Up'!$E$13:$F$20,2,TRUE),IF(AND(AI261&gt;=73,AI261&lt;=78),VLOOKUP(H261,'WordRead Look Up'!$I$13:$J$18,2,TRUE),IF(AND(AI261&gt;=79),VLOOKUP(H261,'WordRead Look Up'!$M$13:$N$18,2,TRUE),"")))))</f>
        <v/>
      </c>
      <c r="J261" s="122"/>
      <c r="K261" s="111"/>
      <c r="L261" s="111"/>
      <c r="M261" s="111"/>
      <c r="N261" s="111"/>
      <c r="O261" s="111"/>
      <c r="P261" s="111"/>
      <c r="Q261" s="111"/>
      <c r="R261" s="111"/>
      <c r="S261" s="111"/>
      <c r="T261" s="111"/>
      <c r="U261" s="111"/>
      <c r="V261" s="111"/>
      <c r="W261" s="111"/>
      <c r="X261" s="123"/>
      <c r="AI261" s="222" t="str">
        <f t="shared" si="7"/>
        <v/>
      </c>
    </row>
    <row r="262" spans="1:35" s="108" customFormat="1" ht="15.75">
      <c r="A262" s="119"/>
      <c r="B262" s="120"/>
      <c r="C262" s="111"/>
      <c r="D262" s="111"/>
      <c r="E262" s="121"/>
      <c r="F262" s="121"/>
      <c r="G262" s="113"/>
      <c r="H262" s="199" t="str">
        <f t="shared" si="6"/>
        <v/>
      </c>
      <c r="I262" s="200" t="str">
        <f>IF(H262="","",IF(AND(AI262&lt;=66),VLOOKUP(H262,'WordRead Look Up'!$A$13:$B$20,2,TRUE),IF(AND(AI262&gt;=67,AI262&lt;=72),VLOOKUP(H262,'WordRead Look Up'!$E$13:$F$20,2,TRUE),IF(AND(AI262&gt;=73,AI262&lt;=78),VLOOKUP(H262,'WordRead Look Up'!$I$13:$J$18,2,TRUE),IF(AND(AI262&gt;=79),VLOOKUP(H262,'WordRead Look Up'!$M$13:$N$18,2,TRUE),"")))))</f>
        <v/>
      </c>
      <c r="J262" s="122"/>
      <c r="K262" s="111"/>
      <c r="L262" s="111"/>
      <c r="M262" s="111"/>
      <c r="N262" s="111"/>
      <c r="O262" s="111"/>
      <c r="P262" s="111"/>
      <c r="Q262" s="111"/>
      <c r="R262" s="111"/>
      <c r="S262" s="111"/>
      <c r="T262" s="111"/>
      <c r="U262" s="111"/>
      <c r="V262" s="111"/>
      <c r="W262" s="111"/>
      <c r="X262" s="123"/>
      <c r="AI262" s="222" t="str">
        <f t="shared" si="7"/>
        <v/>
      </c>
    </row>
    <row r="263" spans="1:35" s="108" customFormat="1" ht="15.75">
      <c r="A263" s="119"/>
      <c r="B263" s="120"/>
      <c r="C263" s="111"/>
      <c r="D263" s="111"/>
      <c r="E263" s="121"/>
      <c r="F263" s="121"/>
      <c r="G263" s="113"/>
      <c r="H263" s="199" t="str">
        <f t="shared" si="6"/>
        <v/>
      </c>
      <c r="I263" s="200" t="str">
        <f>IF(H263="","",IF(AND(AI263&lt;=66),VLOOKUP(H263,'WordRead Look Up'!$A$13:$B$20,2,TRUE),IF(AND(AI263&gt;=67,AI263&lt;=72),VLOOKUP(H263,'WordRead Look Up'!$E$13:$F$20,2,TRUE),IF(AND(AI263&gt;=73,AI263&lt;=78),VLOOKUP(H263,'WordRead Look Up'!$I$13:$J$18,2,TRUE),IF(AND(AI263&gt;=79),VLOOKUP(H263,'WordRead Look Up'!$M$13:$N$18,2,TRUE),"")))))</f>
        <v/>
      </c>
      <c r="J263" s="122"/>
      <c r="K263" s="111"/>
      <c r="L263" s="111"/>
      <c r="M263" s="111"/>
      <c r="N263" s="111"/>
      <c r="O263" s="111"/>
      <c r="P263" s="111"/>
      <c r="Q263" s="111"/>
      <c r="R263" s="111"/>
      <c r="S263" s="111"/>
      <c r="T263" s="111"/>
      <c r="U263" s="111"/>
      <c r="V263" s="111"/>
      <c r="W263" s="111"/>
      <c r="X263" s="123"/>
      <c r="AI263" s="222" t="str">
        <f t="shared" si="7"/>
        <v/>
      </c>
    </row>
    <row r="264" spans="1:35" s="108" customFormat="1" ht="15.75">
      <c r="A264" s="119"/>
      <c r="B264" s="120"/>
      <c r="C264" s="111"/>
      <c r="D264" s="111"/>
      <c r="E264" s="121"/>
      <c r="F264" s="121"/>
      <c r="G264" s="113"/>
      <c r="H264" s="199" t="str">
        <f t="shared" ref="H264:H327" si="8">IF(E264="","",COUNTIF(J264:X264,"y"))</f>
        <v/>
      </c>
      <c r="I264" s="200" t="str">
        <f>IF(H264="","",IF(AND(AI264&lt;=66),VLOOKUP(H264,'WordRead Look Up'!$A$13:$B$20,2,TRUE),IF(AND(AI264&gt;=67,AI264&lt;=72),VLOOKUP(H264,'WordRead Look Up'!$E$13:$F$20,2,TRUE),IF(AND(AI264&gt;=73,AI264&lt;=78),VLOOKUP(H264,'WordRead Look Up'!$I$13:$J$18,2,TRUE),IF(AND(AI264&gt;=79),VLOOKUP(H264,'WordRead Look Up'!$M$13:$N$18,2,TRUE),"")))))</f>
        <v/>
      </c>
      <c r="J264" s="122"/>
      <c r="K264" s="111"/>
      <c r="L264" s="111"/>
      <c r="M264" s="111"/>
      <c r="N264" s="111"/>
      <c r="O264" s="111"/>
      <c r="P264" s="111"/>
      <c r="Q264" s="111"/>
      <c r="R264" s="111"/>
      <c r="S264" s="111"/>
      <c r="T264" s="111"/>
      <c r="U264" s="111"/>
      <c r="V264" s="111"/>
      <c r="W264" s="111"/>
      <c r="X264" s="123"/>
      <c r="AI264" s="222" t="str">
        <f t="shared" ref="AI264:AI327" si="9">IF(E264="","",DATEDIF(B264,A264,"m"))</f>
        <v/>
      </c>
    </row>
    <row r="265" spans="1:35" s="108" customFormat="1" ht="15.75">
      <c r="A265" s="119"/>
      <c r="B265" s="120"/>
      <c r="C265" s="111"/>
      <c r="D265" s="111"/>
      <c r="E265" s="121"/>
      <c r="F265" s="121"/>
      <c r="G265" s="113"/>
      <c r="H265" s="199" t="str">
        <f t="shared" si="8"/>
        <v/>
      </c>
      <c r="I265" s="200" t="str">
        <f>IF(H265="","",IF(AND(AI265&lt;=66),VLOOKUP(H265,'WordRead Look Up'!$A$13:$B$20,2,TRUE),IF(AND(AI265&gt;=67,AI265&lt;=72),VLOOKUP(H265,'WordRead Look Up'!$E$13:$F$20,2,TRUE),IF(AND(AI265&gt;=73,AI265&lt;=78),VLOOKUP(H265,'WordRead Look Up'!$I$13:$J$18,2,TRUE),IF(AND(AI265&gt;=79),VLOOKUP(H265,'WordRead Look Up'!$M$13:$N$18,2,TRUE),"")))))</f>
        <v/>
      </c>
      <c r="J265" s="122"/>
      <c r="K265" s="111"/>
      <c r="L265" s="111"/>
      <c r="M265" s="111"/>
      <c r="N265" s="111"/>
      <c r="O265" s="111"/>
      <c r="P265" s="111"/>
      <c r="Q265" s="111"/>
      <c r="R265" s="111"/>
      <c r="S265" s="111"/>
      <c r="T265" s="111"/>
      <c r="U265" s="111"/>
      <c r="V265" s="111"/>
      <c r="W265" s="111"/>
      <c r="X265" s="123"/>
      <c r="AI265" s="222" t="str">
        <f t="shared" si="9"/>
        <v/>
      </c>
    </row>
    <row r="266" spans="1:35" s="108" customFormat="1" ht="15.75">
      <c r="A266" s="119"/>
      <c r="B266" s="120"/>
      <c r="C266" s="111"/>
      <c r="D266" s="111"/>
      <c r="E266" s="121"/>
      <c r="F266" s="121"/>
      <c r="G266" s="113"/>
      <c r="H266" s="199" t="str">
        <f t="shared" si="8"/>
        <v/>
      </c>
      <c r="I266" s="200" t="str">
        <f>IF(H266="","",IF(AND(AI266&lt;=66),VLOOKUP(H266,'WordRead Look Up'!$A$13:$B$20,2,TRUE),IF(AND(AI266&gt;=67,AI266&lt;=72),VLOOKUP(H266,'WordRead Look Up'!$E$13:$F$20,2,TRUE),IF(AND(AI266&gt;=73,AI266&lt;=78),VLOOKUP(H266,'WordRead Look Up'!$I$13:$J$18,2,TRUE),IF(AND(AI266&gt;=79),VLOOKUP(H266,'WordRead Look Up'!$M$13:$N$18,2,TRUE),"")))))</f>
        <v/>
      </c>
      <c r="J266" s="122"/>
      <c r="K266" s="111"/>
      <c r="L266" s="111"/>
      <c r="M266" s="111"/>
      <c r="N266" s="111"/>
      <c r="O266" s="111"/>
      <c r="P266" s="111"/>
      <c r="Q266" s="111"/>
      <c r="R266" s="111"/>
      <c r="S266" s="111"/>
      <c r="T266" s="111"/>
      <c r="U266" s="111"/>
      <c r="V266" s="111"/>
      <c r="W266" s="111"/>
      <c r="X266" s="123"/>
      <c r="AI266" s="222" t="str">
        <f t="shared" si="9"/>
        <v/>
      </c>
    </row>
    <row r="267" spans="1:35" s="108" customFormat="1" ht="15.75">
      <c r="A267" s="119"/>
      <c r="B267" s="120"/>
      <c r="C267" s="111"/>
      <c r="D267" s="111"/>
      <c r="E267" s="121"/>
      <c r="F267" s="121"/>
      <c r="G267" s="113"/>
      <c r="H267" s="199" t="str">
        <f t="shared" si="8"/>
        <v/>
      </c>
      <c r="I267" s="200" t="str">
        <f>IF(H267="","",IF(AND(AI267&lt;=66),VLOOKUP(H267,'WordRead Look Up'!$A$13:$B$20,2,TRUE),IF(AND(AI267&gt;=67,AI267&lt;=72),VLOOKUP(H267,'WordRead Look Up'!$E$13:$F$20,2,TRUE),IF(AND(AI267&gt;=73,AI267&lt;=78),VLOOKUP(H267,'WordRead Look Up'!$I$13:$J$18,2,TRUE),IF(AND(AI267&gt;=79),VLOOKUP(H267,'WordRead Look Up'!$M$13:$N$18,2,TRUE),"")))))</f>
        <v/>
      </c>
      <c r="J267" s="122"/>
      <c r="K267" s="111"/>
      <c r="L267" s="111"/>
      <c r="M267" s="111"/>
      <c r="N267" s="111"/>
      <c r="O267" s="111"/>
      <c r="P267" s="111"/>
      <c r="Q267" s="111"/>
      <c r="R267" s="111"/>
      <c r="S267" s="111"/>
      <c r="T267" s="111"/>
      <c r="U267" s="111"/>
      <c r="V267" s="111"/>
      <c r="W267" s="111"/>
      <c r="X267" s="123"/>
      <c r="AI267" s="222" t="str">
        <f t="shared" si="9"/>
        <v/>
      </c>
    </row>
    <row r="268" spans="1:35" s="108" customFormat="1" ht="15.75">
      <c r="A268" s="119"/>
      <c r="B268" s="120"/>
      <c r="C268" s="111"/>
      <c r="D268" s="111"/>
      <c r="E268" s="121"/>
      <c r="F268" s="121"/>
      <c r="G268" s="113"/>
      <c r="H268" s="199" t="str">
        <f t="shared" si="8"/>
        <v/>
      </c>
      <c r="I268" s="200" t="str">
        <f>IF(H268="","",IF(AND(AI268&lt;=66),VLOOKUP(H268,'WordRead Look Up'!$A$13:$B$20,2,TRUE),IF(AND(AI268&gt;=67,AI268&lt;=72),VLOOKUP(H268,'WordRead Look Up'!$E$13:$F$20,2,TRUE),IF(AND(AI268&gt;=73,AI268&lt;=78),VLOOKUP(H268,'WordRead Look Up'!$I$13:$J$18,2,TRUE),IF(AND(AI268&gt;=79),VLOOKUP(H268,'WordRead Look Up'!$M$13:$N$18,2,TRUE),"")))))</f>
        <v/>
      </c>
      <c r="J268" s="122"/>
      <c r="K268" s="111"/>
      <c r="L268" s="111"/>
      <c r="M268" s="111"/>
      <c r="N268" s="111"/>
      <c r="O268" s="111"/>
      <c r="P268" s="111"/>
      <c r="Q268" s="111"/>
      <c r="R268" s="111"/>
      <c r="S268" s="111"/>
      <c r="T268" s="111"/>
      <c r="U268" s="111"/>
      <c r="V268" s="111"/>
      <c r="W268" s="111"/>
      <c r="X268" s="123"/>
      <c r="AI268" s="222" t="str">
        <f t="shared" si="9"/>
        <v/>
      </c>
    </row>
    <row r="269" spans="1:35" s="108" customFormat="1" ht="15.75">
      <c r="A269" s="119"/>
      <c r="B269" s="120"/>
      <c r="C269" s="111"/>
      <c r="D269" s="111"/>
      <c r="E269" s="121"/>
      <c r="F269" s="121"/>
      <c r="G269" s="113"/>
      <c r="H269" s="199" t="str">
        <f t="shared" si="8"/>
        <v/>
      </c>
      <c r="I269" s="200" t="str">
        <f>IF(H269="","",IF(AND(AI269&lt;=66),VLOOKUP(H269,'WordRead Look Up'!$A$13:$B$20,2,TRUE),IF(AND(AI269&gt;=67,AI269&lt;=72),VLOOKUP(H269,'WordRead Look Up'!$E$13:$F$20,2,TRUE),IF(AND(AI269&gt;=73,AI269&lt;=78),VLOOKUP(H269,'WordRead Look Up'!$I$13:$J$18,2,TRUE),IF(AND(AI269&gt;=79),VLOOKUP(H269,'WordRead Look Up'!$M$13:$N$18,2,TRUE),"")))))</f>
        <v/>
      </c>
      <c r="J269" s="122"/>
      <c r="K269" s="111"/>
      <c r="L269" s="111"/>
      <c r="M269" s="111"/>
      <c r="N269" s="111"/>
      <c r="O269" s="111"/>
      <c r="P269" s="111"/>
      <c r="Q269" s="111"/>
      <c r="R269" s="111"/>
      <c r="S269" s="111"/>
      <c r="T269" s="111"/>
      <c r="U269" s="111"/>
      <c r="V269" s="111"/>
      <c r="W269" s="111"/>
      <c r="X269" s="123"/>
      <c r="AI269" s="222" t="str">
        <f t="shared" si="9"/>
        <v/>
      </c>
    </row>
    <row r="270" spans="1:35" s="108" customFormat="1" ht="15.75">
      <c r="A270" s="119"/>
      <c r="B270" s="120"/>
      <c r="C270" s="111"/>
      <c r="D270" s="111"/>
      <c r="E270" s="121"/>
      <c r="F270" s="121"/>
      <c r="G270" s="113"/>
      <c r="H270" s="199" t="str">
        <f t="shared" si="8"/>
        <v/>
      </c>
      <c r="I270" s="200" t="str">
        <f>IF(H270="","",IF(AND(AI270&lt;=66),VLOOKUP(H270,'WordRead Look Up'!$A$13:$B$20,2,TRUE),IF(AND(AI270&gt;=67,AI270&lt;=72),VLOOKUP(H270,'WordRead Look Up'!$E$13:$F$20,2,TRUE),IF(AND(AI270&gt;=73,AI270&lt;=78),VLOOKUP(H270,'WordRead Look Up'!$I$13:$J$18,2,TRUE),IF(AND(AI270&gt;=79),VLOOKUP(H270,'WordRead Look Up'!$M$13:$N$18,2,TRUE),"")))))</f>
        <v/>
      </c>
      <c r="J270" s="122"/>
      <c r="K270" s="111"/>
      <c r="L270" s="111"/>
      <c r="M270" s="111"/>
      <c r="N270" s="111"/>
      <c r="O270" s="111"/>
      <c r="P270" s="111"/>
      <c r="Q270" s="111"/>
      <c r="R270" s="111"/>
      <c r="S270" s="111"/>
      <c r="T270" s="111"/>
      <c r="U270" s="111"/>
      <c r="V270" s="111"/>
      <c r="W270" s="111"/>
      <c r="X270" s="123"/>
      <c r="AI270" s="222" t="str">
        <f t="shared" si="9"/>
        <v/>
      </c>
    </row>
    <row r="271" spans="1:35" s="108" customFormat="1" ht="15.75">
      <c r="A271" s="119"/>
      <c r="B271" s="120"/>
      <c r="C271" s="111"/>
      <c r="D271" s="111"/>
      <c r="E271" s="121"/>
      <c r="F271" s="121"/>
      <c r="G271" s="113"/>
      <c r="H271" s="199" t="str">
        <f t="shared" si="8"/>
        <v/>
      </c>
      <c r="I271" s="200" t="str">
        <f>IF(H271="","",IF(AND(AI271&lt;=66),VLOOKUP(H271,'WordRead Look Up'!$A$13:$B$20,2,TRUE),IF(AND(AI271&gt;=67,AI271&lt;=72),VLOOKUP(H271,'WordRead Look Up'!$E$13:$F$20,2,TRUE),IF(AND(AI271&gt;=73,AI271&lt;=78),VLOOKUP(H271,'WordRead Look Up'!$I$13:$J$18,2,TRUE),IF(AND(AI271&gt;=79),VLOOKUP(H271,'WordRead Look Up'!$M$13:$N$18,2,TRUE),"")))))</f>
        <v/>
      </c>
      <c r="J271" s="122"/>
      <c r="K271" s="111"/>
      <c r="L271" s="111"/>
      <c r="M271" s="111"/>
      <c r="N271" s="111"/>
      <c r="O271" s="111"/>
      <c r="P271" s="111"/>
      <c r="Q271" s="111"/>
      <c r="R271" s="111"/>
      <c r="S271" s="111"/>
      <c r="T271" s="111"/>
      <c r="U271" s="111"/>
      <c r="V271" s="111"/>
      <c r="W271" s="111"/>
      <c r="X271" s="123"/>
      <c r="AI271" s="222" t="str">
        <f t="shared" si="9"/>
        <v/>
      </c>
    </row>
    <row r="272" spans="1:35" s="108" customFormat="1" ht="15.75">
      <c r="A272" s="119"/>
      <c r="B272" s="120"/>
      <c r="C272" s="111"/>
      <c r="D272" s="111"/>
      <c r="E272" s="121"/>
      <c r="F272" s="121"/>
      <c r="G272" s="113"/>
      <c r="H272" s="199" t="str">
        <f t="shared" si="8"/>
        <v/>
      </c>
      <c r="I272" s="200" t="str">
        <f>IF(H272="","",IF(AND(AI272&lt;=66),VLOOKUP(H272,'WordRead Look Up'!$A$13:$B$20,2,TRUE),IF(AND(AI272&gt;=67,AI272&lt;=72),VLOOKUP(H272,'WordRead Look Up'!$E$13:$F$20,2,TRUE),IF(AND(AI272&gt;=73,AI272&lt;=78),VLOOKUP(H272,'WordRead Look Up'!$I$13:$J$18,2,TRUE),IF(AND(AI272&gt;=79),VLOOKUP(H272,'WordRead Look Up'!$M$13:$N$18,2,TRUE),"")))))</f>
        <v/>
      </c>
      <c r="J272" s="122"/>
      <c r="K272" s="111"/>
      <c r="L272" s="111"/>
      <c r="M272" s="111"/>
      <c r="N272" s="111"/>
      <c r="O272" s="111"/>
      <c r="P272" s="111"/>
      <c r="Q272" s="111"/>
      <c r="R272" s="111"/>
      <c r="S272" s="111"/>
      <c r="T272" s="111"/>
      <c r="U272" s="111"/>
      <c r="V272" s="111"/>
      <c r="W272" s="111"/>
      <c r="X272" s="123"/>
      <c r="AI272" s="222" t="str">
        <f t="shared" si="9"/>
        <v/>
      </c>
    </row>
    <row r="273" spans="1:35" s="108" customFormat="1" ht="15.75">
      <c r="A273" s="119"/>
      <c r="B273" s="120"/>
      <c r="C273" s="111"/>
      <c r="D273" s="111"/>
      <c r="E273" s="121"/>
      <c r="F273" s="121"/>
      <c r="G273" s="113"/>
      <c r="H273" s="199" t="str">
        <f t="shared" si="8"/>
        <v/>
      </c>
      <c r="I273" s="200" t="str">
        <f>IF(H273="","",IF(AND(AI273&lt;=66),VLOOKUP(H273,'WordRead Look Up'!$A$13:$B$20,2,TRUE),IF(AND(AI273&gt;=67,AI273&lt;=72),VLOOKUP(H273,'WordRead Look Up'!$E$13:$F$20,2,TRUE),IF(AND(AI273&gt;=73,AI273&lt;=78),VLOOKUP(H273,'WordRead Look Up'!$I$13:$J$18,2,TRUE),IF(AND(AI273&gt;=79),VLOOKUP(H273,'WordRead Look Up'!$M$13:$N$18,2,TRUE),"")))))</f>
        <v/>
      </c>
      <c r="J273" s="122"/>
      <c r="K273" s="111"/>
      <c r="L273" s="111"/>
      <c r="M273" s="111"/>
      <c r="N273" s="111"/>
      <c r="O273" s="111"/>
      <c r="P273" s="111"/>
      <c r="Q273" s="111"/>
      <c r="R273" s="111"/>
      <c r="S273" s="111"/>
      <c r="T273" s="111"/>
      <c r="U273" s="111"/>
      <c r="V273" s="111"/>
      <c r="W273" s="111"/>
      <c r="X273" s="123"/>
      <c r="AI273" s="222" t="str">
        <f t="shared" si="9"/>
        <v/>
      </c>
    </row>
    <row r="274" spans="1:35" s="108" customFormat="1" ht="15.75">
      <c r="A274" s="119"/>
      <c r="B274" s="120"/>
      <c r="C274" s="111"/>
      <c r="D274" s="111"/>
      <c r="E274" s="121"/>
      <c r="F274" s="121"/>
      <c r="G274" s="113"/>
      <c r="H274" s="199" t="str">
        <f t="shared" si="8"/>
        <v/>
      </c>
      <c r="I274" s="200" t="str">
        <f>IF(H274="","",IF(AND(AI274&lt;=66),VLOOKUP(H274,'WordRead Look Up'!$A$13:$B$20,2,TRUE),IF(AND(AI274&gt;=67,AI274&lt;=72),VLOOKUP(H274,'WordRead Look Up'!$E$13:$F$20,2,TRUE),IF(AND(AI274&gt;=73,AI274&lt;=78),VLOOKUP(H274,'WordRead Look Up'!$I$13:$J$18,2,TRUE),IF(AND(AI274&gt;=79),VLOOKUP(H274,'WordRead Look Up'!$M$13:$N$18,2,TRUE),"")))))</f>
        <v/>
      </c>
      <c r="J274" s="122"/>
      <c r="K274" s="111"/>
      <c r="L274" s="111"/>
      <c r="M274" s="111"/>
      <c r="N274" s="111"/>
      <c r="O274" s="111"/>
      <c r="P274" s="111"/>
      <c r="Q274" s="111"/>
      <c r="R274" s="111"/>
      <c r="S274" s="111"/>
      <c r="T274" s="111"/>
      <c r="U274" s="111"/>
      <c r="V274" s="111"/>
      <c r="W274" s="111"/>
      <c r="X274" s="123"/>
      <c r="AI274" s="222" t="str">
        <f t="shared" si="9"/>
        <v/>
      </c>
    </row>
    <row r="275" spans="1:35" s="108" customFormat="1" ht="15.75">
      <c r="A275" s="119"/>
      <c r="B275" s="120"/>
      <c r="C275" s="111"/>
      <c r="D275" s="111"/>
      <c r="E275" s="121"/>
      <c r="F275" s="121"/>
      <c r="G275" s="113"/>
      <c r="H275" s="199" t="str">
        <f t="shared" si="8"/>
        <v/>
      </c>
      <c r="I275" s="200" t="str">
        <f>IF(H275="","",IF(AND(AI275&lt;=66),VLOOKUP(H275,'WordRead Look Up'!$A$13:$B$20,2,TRUE),IF(AND(AI275&gt;=67,AI275&lt;=72),VLOOKUP(H275,'WordRead Look Up'!$E$13:$F$20,2,TRUE),IF(AND(AI275&gt;=73,AI275&lt;=78),VLOOKUP(H275,'WordRead Look Up'!$I$13:$J$18,2,TRUE),IF(AND(AI275&gt;=79),VLOOKUP(H275,'WordRead Look Up'!$M$13:$N$18,2,TRUE),"")))))</f>
        <v/>
      </c>
      <c r="J275" s="122"/>
      <c r="K275" s="111"/>
      <c r="L275" s="111"/>
      <c r="M275" s="111"/>
      <c r="N275" s="111"/>
      <c r="O275" s="111"/>
      <c r="P275" s="111"/>
      <c r="Q275" s="111"/>
      <c r="R275" s="111"/>
      <c r="S275" s="111"/>
      <c r="T275" s="111"/>
      <c r="U275" s="111"/>
      <c r="V275" s="111"/>
      <c r="W275" s="111"/>
      <c r="X275" s="123"/>
      <c r="AI275" s="222" t="str">
        <f t="shared" si="9"/>
        <v/>
      </c>
    </row>
    <row r="276" spans="1:35" s="108" customFormat="1" ht="15.75">
      <c r="A276" s="119"/>
      <c r="B276" s="120"/>
      <c r="C276" s="111"/>
      <c r="D276" s="111"/>
      <c r="E276" s="121"/>
      <c r="F276" s="121"/>
      <c r="G276" s="113"/>
      <c r="H276" s="199" t="str">
        <f t="shared" si="8"/>
        <v/>
      </c>
      <c r="I276" s="200" t="str">
        <f>IF(H276="","",IF(AND(AI276&lt;=66),VLOOKUP(H276,'WordRead Look Up'!$A$13:$B$20,2,TRUE),IF(AND(AI276&gt;=67,AI276&lt;=72),VLOOKUP(H276,'WordRead Look Up'!$E$13:$F$20,2,TRUE),IF(AND(AI276&gt;=73,AI276&lt;=78),VLOOKUP(H276,'WordRead Look Up'!$I$13:$J$18,2,TRUE),IF(AND(AI276&gt;=79),VLOOKUP(H276,'WordRead Look Up'!$M$13:$N$18,2,TRUE),"")))))</f>
        <v/>
      </c>
      <c r="J276" s="122"/>
      <c r="K276" s="111"/>
      <c r="L276" s="111"/>
      <c r="M276" s="111"/>
      <c r="N276" s="111"/>
      <c r="O276" s="111"/>
      <c r="P276" s="111"/>
      <c r="Q276" s="111"/>
      <c r="R276" s="111"/>
      <c r="S276" s="111"/>
      <c r="T276" s="111"/>
      <c r="U276" s="111"/>
      <c r="V276" s="111"/>
      <c r="W276" s="111"/>
      <c r="X276" s="123"/>
      <c r="AI276" s="222" t="str">
        <f t="shared" si="9"/>
        <v/>
      </c>
    </row>
    <row r="277" spans="1:35" s="108" customFormat="1" ht="15.75">
      <c r="A277" s="119"/>
      <c r="B277" s="120"/>
      <c r="C277" s="111"/>
      <c r="D277" s="111"/>
      <c r="E277" s="121"/>
      <c r="F277" s="121"/>
      <c r="G277" s="113"/>
      <c r="H277" s="199" t="str">
        <f t="shared" si="8"/>
        <v/>
      </c>
      <c r="I277" s="200" t="str">
        <f>IF(H277="","",IF(AND(AI277&lt;=66),VLOOKUP(H277,'WordRead Look Up'!$A$13:$B$20,2,TRUE),IF(AND(AI277&gt;=67,AI277&lt;=72),VLOOKUP(H277,'WordRead Look Up'!$E$13:$F$20,2,TRUE),IF(AND(AI277&gt;=73,AI277&lt;=78),VLOOKUP(H277,'WordRead Look Up'!$I$13:$J$18,2,TRUE),IF(AND(AI277&gt;=79),VLOOKUP(H277,'WordRead Look Up'!$M$13:$N$18,2,TRUE),"")))))</f>
        <v/>
      </c>
      <c r="J277" s="122"/>
      <c r="K277" s="111"/>
      <c r="L277" s="111"/>
      <c r="M277" s="111"/>
      <c r="N277" s="111"/>
      <c r="O277" s="111"/>
      <c r="P277" s="111"/>
      <c r="Q277" s="111"/>
      <c r="R277" s="111"/>
      <c r="S277" s="111"/>
      <c r="T277" s="111"/>
      <c r="U277" s="111"/>
      <c r="V277" s="111"/>
      <c r="W277" s="111"/>
      <c r="X277" s="123"/>
      <c r="AI277" s="222" t="str">
        <f t="shared" si="9"/>
        <v/>
      </c>
    </row>
    <row r="278" spans="1:35" s="108" customFormat="1" ht="15.75">
      <c r="A278" s="119"/>
      <c r="B278" s="120"/>
      <c r="C278" s="111"/>
      <c r="D278" s="111"/>
      <c r="E278" s="121"/>
      <c r="F278" s="121"/>
      <c r="G278" s="113"/>
      <c r="H278" s="199" t="str">
        <f t="shared" si="8"/>
        <v/>
      </c>
      <c r="I278" s="200" t="str">
        <f>IF(H278="","",IF(AND(AI278&lt;=66),VLOOKUP(H278,'WordRead Look Up'!$A$13:$B$20,2,TRUE),IF(AND(AI278&gt;=67,AI278&lt;=72),VLOOKUP(H278,'WordRead Look Up'!$E$13:$F$20,2,TRUE),IF(AND(AI278&gt;=73,AI278&lt;=78),VLOOKUP(H278,'WordRead Look Up'!$I$13:$J$18,2,TRUE),IF(AND(AI278&gt;=79),VLOOKUP(H278,'WordRead Look Up'!$M$13:$N$18,2,TRUE),"")))))</f>
        <v/>
      </c>
      <c r="J278" s="122"/>
      <c r="K278" s="111"/>
      <c r="L278" s="111"/>
      <c r="M278" s="111"/>
      <c r="N278" s="111"/>
      <c r="O278" s="111"/>
      <c r="P278" s="111"/>
      <c r="Q278" s="111"/>
      <c r="R278" s="111"/>
      <c r="S278" s="111"/>
      <c r="T278" s="111"/>
      <c r="U278" s="111"/>
      <c r="V278" s="111"/>
      <c r="W278" s="111"/>
      <c r="X278" s="123"/>
      <c r="AI278" s="222" t="str">
        <f t="shared" si="9"/>
        <v/>
      </c>
    </row>
    <row r="279" spans="1:35" s="108" customFormat="1" ht="15.75">
      <c r="A279" s="119"/>
      <c r="B279" s="120"/>
      <c r="C279" s="111"/>
      <c r="D279" s="111"/>
      <c r="E279" s="121"/>
      <c r="F279" s="121"/>
      <c r="G279" s="113"/>
      <c r="H279" s="199" t="str">
        <f t="shared" si="8"/>
        <v/>
      </c>
      <c r="I279" s="200" t="str">
        <f>IF(H279="","",IF(AND(AI279&lt;=66),VLOOKUP(H279,'WordRead Look Up'!$A$13:$B$20,2,TRUE),IF(AND(AI279&gt;=67,AI279&lt;=72),VLOOKUP(H279,'WordRead Look Up'!$E$13:$F$20,2,TRUE),IF(AND(AI279&gt;=73,AI279&lt;=78),VLOOKUP(H279,'WordRead Look Up'!$I$13:$J$18,2,TRUE),IF(AND(AI279&gt;=79),VLOOKUP(H279,'WordRead Look Up'!$M$13:$N$18,2,TRUE),"")))))</f>
        <v/>
      </c>
      <c r="J279" s="122"/>
      <c r="K279" s="111"/>
      <c r="L279" s="111"/>
      <c r="M279" s="111"/>
      <c r="N279" s="111"/>
      <c r="O279" s="111"/>
      <c r="P279" s="111"/>
      <c r="Q279" s="111"/>
      <c r="R279" s="111"/>
      <c r="S279" s="111"/>
      <c r="T279" s="111"/>
      <c r="U279" s="111"/>
      <c r="V279" s="111"/>
      <c r="W279" s="111"/>
      <c r="X279" s="123"/>
      <c r="AI279" s="222" t="str">
        <f t="shared" si="9"/>
        <v/>
      </c>
    </row>
    <row r="280" spans="1:35" s="108" customFormat="1" ht="15.75">
      <c r="A280" s="119"/>
      <c r="B280" s="120"/>
      <c r="C280" s="111"/>
      <c r="D280" s="111"/>
      <c r="E280" s="121"/>
      <c r="F280" s="121"/>
      <c r="G280" s="113"/>
      <c r="H280" s="199" t="str">
        <f t="shared" si="8"/>
        <v/>
      </c>
      <c r="I280" s="200" t="str">
        <f>IF(H280="","",IF(AND(AI280&lt;=66),VLOOKUP(H280,'WordRead Look Up'!$A$13:$B$20,2,TRUE),IF(AND(AI280&gt;=67,AI280&lt;=72),VLOOKUP(H280,'WordRead Look Up'!$E$13:$F$20,2,TRUE),IF(AND(AI280&gt;=73,AI280&lt;=78),VLOOKUP(H280,'WordRead Look Up'!$I$13:$J$18,2,TRUE),IF(AND(AI280&gt;=79),VLOOKUP(H280,'WordRead Look Up'!$M$13:$N$18,2,TRUE),"")))))</f>
        <v/>
      </c>
      <c r="J280" s="122"/>
      <c r="K280" s="111"/>
      <c r="L280" s="111"/>
      <c r="M280" s="111"/>
      <c r="N280" s="111"/>
      <c r="O280" s="111"/>
      <c r="P280" s="111"/>
      <c r="Q280" s="111"/>
      <c r="R280" s="111"/>
      <c r="S280" s="111"/>
      <c r="T280" s="111"/>
      <c r="U280" s="111"/>
      <c r="V280" s="111"/>
      <c r="W280" s="111"/>
      <c r="X280" s="123"/>
      <c r="AI280" s="222" t="str">
        <f t="shared" si="9"/>
        <v/>
      </c>
    </row>
    <row r="281" spans="1:35" s="108" customFormat="1" ht="15.75">
      <c r="A281" s="119"/>
      <c r="B281" s="120"/>
      <c r="C281" s="111"/>
      <c r="D281" s="111"/>
      <c r="E281" s="121"/>
      <c r="F281" s="121"/>
      <c r="G281" s="113"/>
      <c r="H281" s="199" t="str">
        <f t="shared" si="8"/>
        <v/>
      </c>
      <c r="I281" s="200" t="str">
        <f>IF(H281="","",IF(AND(AI281&lt;=66),VLOOKUP(H281,'WordRead Look Up'!$A$13:$B$20,2,TRUE),IF(AND(AI281&gt;=67,AI281&lt;=72),VLOOKUP(H281,'WordRead Look Up'!$E$13:$F$20,2,TRUE),IF(AND(AI281&gt;=73,AI281&lt;=78),VLOOKUP(H281,'WordRead Look Up'!$I$13:$J$18,2,TRUE),IF(AND(AI281&gt;=79),VLOOKUP(H281,'WordRead Look Up'!$M$13:$N$18,2,TRUE),"")))))</f>
        <v/>
      </c>
      <c r="J281" s="122"/>
      <c r="K281" s="111"/>
      <c r="L281" s="111"/>
      <c r="M281" s="111"/>
      <c r="N281" s="111"/>
      <c r="O281" s="111"/>
      <c r="P281" s="111"/>
      <c r="Q281" s="111"/>
      <c r="R281" s="111"/>
      <c r="S281" s="111"/>
      <c r="T281" s="111"/>
      <c r="U281" s="111"/>
      <c r="V281" s="111"/>
      <c r="W281" s="111"/>
      <c r="X281" s="123"/>
      <c r="AI281" s="222" t="str">
        <f t="shared" si="9"/>
        <v/>
      </c>
    </row>
    <row r="282" spans="1:35" s="108" customFormat="1" ht="15.75">
      <c r="A282" s="119"/>
      <c r="B282" s="120"/>
      <c r="C282" s="111"/>
      <c r="D282" s="111"/>
      <c r="E282" s="121"/>
      <c r="F282" s="121"/>
      <c r="G282" s="113"/>
      <c r="H282" s="199" t="str">
        <f t="shared" si="8"/>
        <v/>
      </c>
      <c r="I282" s="200" t="str">
        <f>IF(H282="","",IF(AND(AI282&lt;=66),VLOOKUP(H282,'WordRead Look Up'!$A$13:$B$20,2,TRUE),IF(AND(AI282&gt;=67,AI282&lt;=72),VLOOKUP(H282,'WordRead Look Up'!$E$13:$F$20,2,TRUE),IF(AND(AI282&gt;=73,AI282&lt;=78),VLOOKUP(H282,'WordRead Look Up'!$I$13:$J$18,2,TRUE),IF(AND(AI282&gt;=79),VLOOKUP(H282,'WordRead Look Up'!$M$13:$N$18,2,TRUE),"")))))</f>
        <v/>
      </c>
      <c r="J282" s="122"/>
      <c r="K282" s="111"/>
      <c r="L282" s="111"/>
      <c r="M282" s="111"/>
      <c r="N282" s="111"/>
      <c r="O282" s="111"/>
      <c r="P282" s="111"/>
      <c r="Q282" s="111"/>
      <c r="R282" s="111"/>
      <c r="S282" s="111"/>
      <c r="T282" s="111"/>
      <c r="U282" s="111"/>
      <c r="V282" s="111"/>
      <c r="W282" s="111"/>
      <c r="X282" s="123"/>
      <c r="AI282" s="222" t="str">
        <f t="shared" si="9"/>
        <v/>
      </c>
    </row>
    <row r="283" spans="1:35" s="108" customFormat="1" ht="15.75">
      <c r="A283" s="119"/>
      <c r="B283" s="120"/>
      <c r="C283" s="111"/>
      <c r="D283" s="111"/>
      <c r="E283" s="121"/>
      <c r="F283" s="121"/>
      <c r="G283" s="113"/>
      <c r="H283" s="199" t="str">
        <f t="shared" si="8"/>
        <v/>
      </c>
      <c r="I283" s="200" t="str">
        <f>IF(H283="","",IF(AND(AI283&lt;=66),VLOOKUP(H283,'WordRead Look Up'!$A$13:$B$20,2,TRUE),IF(AND(AI283&gt;=67,AI283&lt;=72),VLOOKUP(H283,'WordRead Look Up'!$E$13:$F$20,2,TRUE),IF(AND(AI283&gt;=73,AI283&lt;=78),VLOOKUP(H283,'WordRead Look Up'!$I$13:$J$18,2,TRUE),IF(AND(AI283&gt;=79),VLOOKUP(H283,'WordRead Look Up'!$M$13:$N$18,2,TRUE),"")))))</f>
        <v/>
      </c>
      <c r="J283" s="122"/>
      <c r="K283" s="111"/>
      <c r="L283" s="111"/>
      <c r="M283" s="111"/>
      <c r="N283" s="111"/>
      <c r="O283" s="111"/>
      <c r="P283" s="111"/>
      <c r="Q283" s="111"/>
      <c r="R283" s="111"/>
      <c r="S283" s="111"/>
      <c r="T283" s="111"/>
      <c r="U283" s="111"/>
      <c r="V283" s="111"/>
      <c r="W283" s="111"/>
      <c r="X283" s="123"/>
      <c r="AI283" s="222" t="str">
        <f t="shared" si="9"/>
        <v/>
      </c>
    </row>
    <row r="284" spans="1:35" s="108" customFormat="1" ht="15.75">
      <c r="A284" s="119"/>
      <c r="B284" s="120"/>
      <c r="C284" s="111"/>
      <c r="D284" s="111"/>
      <c r="E284" s="121"/>
      <c r="F284" s="121"/>
      <c r="G284" s="113"/>
      <c r="H284" s="199" t="str">
        <f t="shared" si="8"/>
        <v/>
      </c>
      <c r="I284" s="200" t="str">
        <f>IF(H284="","",IF(AND(AI284&lt;=66),VLOOKUP(H284,'WordRead Look Up'!$A$13:$B$20,2,TRUE),IF(AND(AI284&gt;=67,AI284&lt;=72),VLOOKUP(H284,'WordRead Look Up'!$E$13:$F$20,2,TRUE),IF(AND(AI284&gt;=73,AI284&lt;=78),VLOOKUP(H284,'WordRead Look Up'!$I$13:$J$18,2,TRUE),IF(AND(AI284&gt;=79),VLOOKUP(H284,'WordRead Look Up'!$M$13:$N$18,2,TRUE),"")))))</f>
        <v/>
      </c>
      <c r="J284" s="122"/>
      <c r="K284" s="111"/>
      <c r="L284" s="111"/>
      <c r="M284" s="111"/>
      <c r="N284" s="111"/>
      <c r="O284" s="111"/>
      <c r="P284" s="111"/>
      <c r="Q284" s="111"/>
      <c r="R284" s="111"/>
      <c r="S284" s="111"/>
      <c r="T284" s="111"/>
      <c r="U284" s="111"/>
      <c r="V284" s="111"/>
      <c r="W284" s="111"/>
      <c r="X284" s="123"/>
      <c r="AI284" s="222" t="str">
        <f t="shared" si="9"/>
        <v/>
      </c>
    </row>
    <row r="285" spans="1:35" s="108" customFormat="1" ht="15.75">
      <c r="A285" s="119"/>
      <c r="B285" s="120"/>
      <c r="C285" s="111"/>
      <c r="D285" s="111"/>
      <c r="E285" s="121"/>
      <c r="F285" s="121"/>
      <c r="G285" s="113"/>
      <c r="H285" s="199" t="str">
        <f t="shared" si="8"/>
        <v/>
      </c>
      <c r="I285" s="200" t="str">
        <f>IF(H285="","",IF(AND(AI285&lt;=66),VLOOKUP(H285,'WordRead Look Up'!$A$13:$B$20,2,TRUE),IF(AND(AI285&gt;=67,AI285&lt;=72),VLOOKUP(H285,'WordRead Look Up'!$E$13:$F$20,2,TRUE),IF(AND(AI285&gt;=73,AI285&lt;=78),VLOOKUP(H285,'WordRead Look Up'!$I$13:$J$18,2,TRUE),IF(AND(AI285&gt;=79),VLOOKUP(H285,'WordRead Look Up'!$M$13:$N$18,2,TRUE),"")))))</f>
        <v/>
      </c>
      <c r="J285" s="122"/>
      <c r="K285" s="111"/>
      <c r="L285" s="111"/>
      <c r="M285" s="111"/>
      <c r="N285" s="111"/>
      <c r="O285" s="111"/>
      <c r="P285" s="111"/>
      <c r="Q285" s="111"/>
      <c r="R285" s="111"/>
      <c r="S285" s="111"/>
      <c r="T285" s="111"/>
      <c r="U285" s="111"/>
      <c r="V285" s="111"/>
      <c r="W285" s="111"/>
      <c r="X285" s="123"/>
      <c r="AI285" s="222" t="str">
        <f t="shared" si="9"/>
        <v/>
      </c>
    </row>
    <row r="286" spans="1:35" s="108" customFormat="1" ht="15.75">
      <c r="A286" s="119"/>
      <c r="B286" s="120"/>
      <c r="C286" s="111"/>
      <c r="D286" s="111"/>
      <c r="E286" s="121"/>
      <c r="F286" s="121"/>
      <c r="G286" s="113"/>
      <c r="H286" s="199" t="str">
        <f t="shared" si="8"/>
        <v/>
      </c>
      <c r="I286" s="200" t="str">
        <f>IF(H286="","",IF(AND(AI286&lt;=66),VLOOKUP(H286,'WordRead Look Up'!$A$13:$B$20,2,TRUE),IF(AND(AI286&gt;=67,AI286&lt;=72),VLOOKUP(H286,'WordRead Look Up'!$E$13:$F$20,2,TRUE),IF(AND(AI286&gt;=73,AI286&lt;=78),VLOOKUP(H286,'WordRead Look Up'!$I$13:$J$18,2,TRUE),IF(AND(AI286&gt;=79),VLOOKUP(H286,'WordRead Look Up'!$M$13:$N$18,2,TRUE),"")))))</f>
        <v/>
      </c>
      <c r="J286" s="122"/>
      <c r="K286" s="111"/>
      <c r="L286" s="111"/>
      <c r="M286" s="111"/>
      <c r="N286" s="111"/>
      <c r="O286" s="111"/>
      <c r="P286" s="111"/>
      <c r="Q286" s="111"/>
      <c r="R286" s="111"/>
      <c r="S286" s="111"/>
      <c r="T286" s="111"/>
      <c r="U286" s="111"/>
      <c r="V286" s="111"/>
      <c r="W286" s="111"/>
      <c r="X286" s="123"/>
      <c r="AI286" s="222" t="str">
        <f t="shared" si="9"/>
        <v/>
      </c>
    </row>
    <row r="287" spans="1:35" s="108" customFormat="1" ht="15.75">
      <c r="A287" s="119"/>
      <c r="B287" s="120"/>
      <c r="C287" s="111"/>
      <c r="D287" s="111"/>
      <c r="E287" s="121"/>
      <c r="F287" s="121"/>
      <c r="G287" s="113"/>
      <c r="H287" s="199" t="str">
        <f t="shared" si="8"/>
        <v/>
      </c>
      <c r="I287" s="200" t="str">
        <f>IF(H287="","",IF(AND(AI287&lt;=66),VLOOKUP(H287,'WordRead Look Up'!$A$13:$B$20,2,TRUE),IF(AND(AI287&gt;=67,AI287&lt;=72),VLOOKUP(H287,'WordRead Look Up'!$E$13:$F$20,2,TRUE),IF(AND(AI287&gt;=73,AI287&lt;=78),VLOOKUP(H287,'WordRead Look Up'!$I$13:$J$18,2,TRUE),IF(AND(AI287&gt;=79),VLOOKUP(H287,'WordRead Look Up'!$M$13:$N$18,2,TRUE),"")))))</f>
        <v/>
      </c>
      <c r="J287" s="122"/>
      <c r="K287" s="111"/>
      <c r="L287" s="111"/>
      <c r="M287" s="111"/>
      <c r="N287" s="111"/>
      <c r="O287" s="111"/>
      <c r="P287" s="111"/>
      <c r="Q287" s="111"/>
      <c r="R287" s="111"/>
      <c r="S287" s="111"/>
      <c r="T287" s="111"/>
      <c r="U287" s="111"/>
      <c r="V287" s="111"/>
      <c r="W287" s="111"/>
      <c r="X287" s="123"/>
      <c r="AI287" s="222" t="str">
        <f t="shared" si="9"/>
        <v/>
      </c>
    </row>
    <row r="288" spans="1:35" s="108" customFormat="1" ht="15.75">
      <c r="A288" s="119"/>
      <c r="B288" s="120"/>
      <c r="C288" s="111"/>
      <c r="D288" s="111"/>
      <c r="E288" s="121"/>
      <c r="F288" s="121"/>
      <c r="G288" s="113"/>
      <c r="H288" s="199" t="str">
        <f t="shared" si="8"/>
        <v/>
      </c>
      <c r="I288" s="200" t="str">
        <f>IF(H288="","",IF(AND(AI288&lt;=66),VLOOKUP(H288,'WordRead Look Up'!$A$13:$B$20,2,TRUE),IF(AND(AI288&gt;=67,AI288&lt;=72),VLOOKUP(H288,'WordRead Look Up'!$E$13:$F$20,2,TRUE),IF(AND(AI288&gt;=73,AI288&lt;=78),VLOOKUP(H288,'WordRead Look Up'!$I$13:$J$18,2,TRUE),IF(AND(AI288&gt;=79),VLOOKUP(H288,'WordRead Look Up'!$M$13:$N$18,2,TRUE),"")))))</f>
        <v/>
      </c>
      <c r="J288" s="122"/>
      <c r="K288" s="111"/>
      <c r="L288" s="111"/>
      <c r="M288" s="111"/>
      <c r="N288" s="111"/>
      <c r="O288" s="111"/>
      <c r="P288" s="111"/>
      <c r="Q288" s="111"/>
      <c r="R288" s="111"/>
      <c r="S288" s="111"/>
      <c r="T288" s="111"/>
      <c r="U288" s="111"/>
      <c r="V288" s="111"/>
      <c r="W288" s="111"/>
      <c r="X288" s="123"/>
      <c r="AI288" s="222" t="str">
        <f t="shared" si="9"/>
        <v/>
      </c>
    </row>
    <row r="289" spans="1:35" s="108" customFormat="1" ht="15.75">
      <c r="A289" s="119"/>
      <c r="B289" s="120"/>
      <c r="C289" s="111"/>
      <c r="D289" s="111"/>
      <c r="E289" s="121"/>
      <c r="F289" s="121"/>
      <c r="G289" s="113"/>
      <c r="H289" s="199" t="str">
        <f t="shared" si="8"/>
        <v/>
      </c>
      <c r="I289" s="200" t="str">
        <f>IF(H289="","",IF(AND(AI289&lt;=66),VLOOKUP(H289,'WordRead Look Up'!$A$13:$B$20,2,TRUE),IF(AND(AI289&gt;=67,AI289&lt;=72),VLOOKUP(H289,'WordRead Look Up'!$E$13:$F$20,2,TRUE),IF(AND(AI289&gt;=73,AI289&lt;=78),VLOOKUP(H289,'WordRead Look Up'!$I$13:$J$18,2,TRUE),IF(AND(AI289&gt;=79),VLOOKUP(H289,'WordRead Look Up'!$M$13:$N$18,2,TRUE),"")))))</f>
        <v/>
      </c>
      <c r="J289" s="122"/>
      <c r="K289" s="111"/>
      <c r="L289" s="111"/>
      <c r="M289" s="111"/>
      <c r="N289" s="111"/>
      <c r="O289" s="111"/>
      <c r="P289" s="111"/>
      <c r="Q289" s="111"/>
      <c r="R289" s="111"/>
      <c r="S289" s="111"/>
      <c r="T289" s="111"/>
      <c r="U289" s="111"/>
      <c r="V289" s="111"/>
      <c r="W289" s="111"/>
      <c r="X289" s="123"/>
      <c r="AI289" s="222" t="str">
        <f t="shared" si="9"/>
        <v/>
      </c>
    </row>
    <row r="290" spans="1:35" s="108" customFormat="1" ht="15.75">
      <c r="A290" s="119"/>
      <c r="B290" s="120"/>
      <c r="C290" s="111"/>
      <c r="D290" s="111"/>
      <c r="E290" s="121"/>
      <c r="F290" s="121"/>
      <c r="G290" s="113"/>
      <c r="H290" s="199" t="str">
        <f t="shared" si="8"/>
        <v/>
      </c>
      <c r="I290" s="200" t="str">
        <f>IF(H290="","",IF(AND(AI290&lt;=66),VLOOKUP(H290,'WordRead Look Up'!$A$13:$B$20,2,TRUE),IF(AND(AI290&gt;=67,AI290&lt;=72),VLOOKUP(H290,'WordRead Look Up'!$E$13:$F$20,2,TRUE),IF(AND(AI290&gt;=73,AI290&lt;=78),VLOOKUP(H290,'WordRead Look Up'!$I$13:$J$18,2,TRUE),IF(AND(AI290&gt;=79),VLOOKUP(H290,'WordRead Look Up'!$M$13:$N$18,2,TRUE),"")))))</f>
        <v/>
      </c>
      <c r="J290" s="122"/>
      <c r="K290" s="111"/>
      <c r="L290" s="111"/>
      <c r="M290" s="111"/>
      <c r="N290" s="111"/>
      <c r="O290" s="111"/>
      <c r="P290" s="111"/>
      <c r="Q290" s="111"/>
      <c r="R290" s="111"/>
      <c r="S290" s="111"/>
      <c r="T290" s="111"/>
      <c r="U290" s="111"/>
      <c r="V290" s="111"/>
      <c r="W290" s="111"/>
      <c r="X290" s="123"/>
      <c r="AI290" s="222" t="str">
        <f t="shared" si="9"/>
        <v/>
      </c>
    </row>
    <row r="291" spans="1:35" s="108" customFormat="1" ht="15.75">
      <c r="A291" s="119"/>
      <c r="B291" s="120"/>
      <c r="C291" s="111"/>
      <c r="D291" s="111"/>
      <c r="E291" s="121"/>
      <c r="F291" s="121"/>
      <c r="G291" s="113"/>
      <c r="H291" s="199" t="str">
        <f t="shared" si="8"/>
        <v/>
      </c>
      <c r="I291" s="200" t="str">
        <f>IF(H291="","",IF(AND(AI291&lt;=66),VLOOKUP(H291,'WordRead Look Up'!$A$13:$B$20,2,TRUE),IF(AND(AI291&gt;=67,AI291&lt;=72),VLOOKUP(H291,'WordRead Look Up'!$E$13:$F$20,2,TRUE),IF(AND(AI291&gt;=73,AI291&lt;=78),VLOOKUP(H291,'WordRead Look Up'!$I$13:$J$18,2,TRUE),IF(AND(AI291&gt;=79),VLOOKUP(H291,'WordRead Look Up'!$M$13:$N$18,2,TRUE),"")))))</f>
        <v/>
      </c>
      <c r="J291" s="122"/>
      <c r="K291" s="111"/>
      <c r="L291" s="111"/>
      <c r="M291" s="111"/>
      <c r="N291" s="111"/>
      <c r="O291" s="111"/>
      <c r="P291" s="111"/>
      <c r="Q291" s="111"/>
      <c r="R291" s="111"/>
      <c r="S291" s="111"/>
      <c r="T291" s="111"/>
      <c r="U291" s="111"/>
      <c r="V291" s="111"/>
      <c r="W291" s="111"/>
      <c r="X291" s="123"/>
      <c r="AI291" s="222" t="str">
        <f t="shared" si="9"/>
        <v/>
      </c>
    </row>
    <row r="292" spans="1:35" s="108" customFormat="1" ht="15.75">
      <c r="A292" s="119"/>
      <c r="B292" s="120"/>
      <c r="C292" s="111"/>
      <c r="D292" s="111"/>
      <c r="E292" s="121"/>
      <c r="F292" s="121"/>
      <c r="G292" s="113"/>
      <c r="H292" s="199" t="str">
        <f t="shared" si="8"/>
        <v/>
      </c>
      <c r="I292" s="200" t="str">
        <f>IF(H292="","",IF(AND(AI292&lt;=66),VLOOKUP(H292,'WordRead Look Up'!$A$13:$B$20,2,TRUE),IF(AND(AI292&gt;=67,AI292&lt;=72),VLOOKUP(H292,'WordRead Look Up'!$E$13:$F$20,2,TRUE),IF(AND(AI292&gt;=73,AI292&lt;=78),VLOOKUP(H292,'WordRead Look Up'!$I$13:$J$18,2,TRUE),IF(AND(AI292&gt;=79),VLOOKUP(H292,'WordRead Look Up'!$M$13:$N$18,2,TRUE),"")))))</f>
        <v/>
      </c>
      <c r="J292" s="122"/>
      <c r="K292" s="111"/>
      <c r="L292" s="111"/>
      <c r="M292" s="111"/>
      <c r="N292" s="111"/>
      <c r="O292" s="111"/>
      <c r="P292" s="111"/>
      <c r="Q292" s="111"/>
      <c r="R292" s="111"/>
      <c r="S292" s="111"/>
      <c r="T292" s="111"/>
      <c r="U292" s="111"/>
      <c r="V292" s="111"/>
      <c r="W292" s="111"/>
      <c r="X292" s="123"/>
      <c r="AI292" s="222" t="str">
        <f t="shared" si="9"/>
        <v/>
      </c>
    </row>
    <row r="293" spans="1:35" s="108" customFormat="1" ht="15.75">
      <c r="A293" s="119"/>
      <c r="B293" s="120"/>
      <c r="C293" s="111"/>
      <c r="D293" s="111"/>
      <c r="E293" s="121"/>
      <c r="F293" s="121"/>
      <c r="G293" s="113"/>
      <c r="H293" s="199" t="str">
        <f t="shared" si="8"/>
        <v/>
      </c>
      <c r="I293" s="200" t="str">
        <f>IF(H293="","",IF(AND(AI293&lt;=66),VLOOKUP(H293,'WordRead Look Up'!$A$13:$B$20,2,TRUE),IF(AND(AI293&gt;=67,AI293&lt;=72),VLOOKUP(H293,'WordRead Look Up'!$E$13:$F$20,2,TRUE),IF(AND(AI293&gt;=73,AI293&lt;=78),VLOOKUP(H293,'WordRead Look Up'!$I$13:$J$18,2,TRUE),IF(AND(AI293&gt;=79),VLOOKUP(H293,'WordRead Look Up'!$M$13:$N$18,2,TRUE),"")))))</f>
        <v/>
      </c>
      <c r="J293" s="122"/>
      <c r="K293" s="111"/>
      <c r="L293" s="111"/>
      <c r="M293" s="111"/>
      <c r="N293" s="111"/>
      <c r="O293" s="111"/>
      <c r="P293" s="111"/>
      <c r="Q293" s="111"/>
      <c r="R293" s="111"/>
      <c r="S293" s="111"/>
      <c r="T293" s="111"/>
      <c r="U293" s="111"/>
      <c r="V293" s="111"/>
      <c r="W293" s="111"/>
      <c r="X293" s="123"/>
      <c r="AI293" s="222" t="str">
        <f t="shared" si="9"/>
        <v/>
      </c>
    </row>
    <row r="294" spans="1:35" s="108" customFormat="1" ht="15.75">
      <c r="A294" s="119"/>
      <c r="B294" s="120"/>
      <c r="C294" s="111"/>
      <c r="D294" s="111"/>
      <c r="E294" s="121"/>
      <c r="F294" s="121"/>
      <c r="G294" s="113"/>
      <c r="H294" s="199" t="str">
        <f t="shared" si="8"/>
        <v/>
      </c>
      <c r="I294" s="200" t="str">
        <f>IF(H294="","",IF(AND(AI294&lt;=66),VLOOKUP(H294,'WordRead Look Up'!$A$13:$B$20,2,TRUE),IF(AND(AI294&gt;=67,AI294&lt;=72),VLOOKUP(H294,'WordRead Look Up'!$E$13:$F$20,2,TRUE),IF(AND(AI294&gt;=73,AI294&lt;=78),VLOOKUP(H294,'WordRead Look Up'!$I$13:$J$18,2,TRUE),IF(AND(AI294&gt;=79),VLOOKUP(H294,'WordRead Look Up'!$M$13:$N$18,2,TRUE),"")))))</f>
        <v/>
      </c>
      <c r="J294" s="122"/>
      <c r="K294" s="111"/>
      <c r="L294" s="111"/>
      <c r="M294" s="111"/>
      <c r="N294" s="111"/>
      <c r="O294" s="111"/>
      <c r="P294" s="111"/>
      <c r="Q294" s="111"/>
      <c r="R294" s="111"/>
      <c r="S294" s="111"/>
      <c r="T294" s="111"/>
      <c r="U294" s="111"/>
      <c r="V294" s="111"/>
      <c r="W294" s="111"/>
      <c r="X294" s="123"/>
      <c r="AI294" s="222" t="str">
        <f t="shared" si="9"/>
        <v/>
      </c>
    </row>
    <row r="295" spans="1:35" s="108" customFormat="1" ht="15.75">
      <c r="A295" s="119"/>
      <c r="B295" s="120"/>
      <c r="C295" s="111"/>
      <c r="D295" s="111"/>
      <c r="E295" s="121"/>
      <c r="F295" s="121"/>
      <c r="G295" s="113"/>
      <c r="H295" s="199" t="str">
        <f t="shared" si="8"/>
        <v/>
      </c>
      <c r="I295" s="200" t="str">
        <f>IF(H295="","",IF(AND(AI295&lt;=66),VLOOKUP(H295,'WordRead Look Up'!$A$13:$B$20,2,TRUE),IF(AND(AI295&gt;=67,AI295&lt;=72),VLOOKUP(H295,'WordRead Look Up'!$E$13:$F$20,2,TRUE),IF(AND(AI295&gt;=73,AI295&lt;=78),VLOOKUP(H295,'WordRead Look Up'!$I$13:$J$18,2,TRUE),IF(AND(AI295&gt;=79),VLOOKUP(H295,'WordRead Look Up'!$M$13:$N$18,2,TRUE),"")))))</f>
        <v/>
      </c>
      <c r="J295" s="122"/>
      <c r="K295" s="111"/>
      <c r="L295" s="111"/>
      <c r="M295" s="111"/>
      <c r="N295" s="111"/>
      <c r="O295" s="111"/>
      <c r="P295" s="111"/>
      <c r="Q295" s="111"/>
      <c r="R295" s="111"/>
      <c r="S295" s="111"/>
      <c r="T295" s="111"/>
      <c r="U295" s="111"/>
      <c r="V295" s="111"/>
      <c r="W295" s="111"/>
      <c r="X295" s="123"/>
      <c r="AI295" s="222" t="str">
        <f t="shared" si="9"/>
        <v/>
      </c>
    </row>
    <row r="296" spans="1:35" s="108" customFormat="1" ht="15.75">
      <c r="A296" s="119"/>
      <c r="B296" s="120"/>
      <c r="C296" s="111"/>
      <c r="D296" s="111"/>
      <c r="E296" s="121"/>
      <c r="F296" s="121"/>
      <c r="G296" s="113"/>
      <c r="H296" s="199" t="str">
        <f t="shared" si="8"/>
        <v/>
      </c>
      <c r="I296" s="200" t="str">
        <f>IF(H296="","",IF(AND(AI296&lt;=66),VLOOKUP(H296,'WordRead Look Up'!$A$13:$B$20,2,TRUE),IF(AND(AI296&gt;=67,AI296&lt;=72),VLOOKUP(H296,'WordRead Look Up'!$E$13:$F$20,2,TRUE),IF(AND(AI296&gt;=73,AI296&lt;=78),VLOOKUP(H296,'WordRead Look Up'!$I$13:$J$18,2,TRUE),IF(AND(AI296&gt;=79),VLOOKUP(H296,'WordRead Look Up'!$M$13:$N$18,2,TRUE),"")))))</f>
        <v/>
      </c>
      <c r="J296" s="122"/>
      <c r="K296" s="111"/>
      <c r="L296" s="111"/>
      <c r="M296" s="111"/>
      <c r="N296" s="111"/>
      <c r="O296" s="111"/>
      <c r="P296" s="111"/>
      <c r="Q296" s="111"/>
      <c r="R296" s="111"/>
      <c r="S296" s="111"/>
      <c r="T296" s="111"/>
      <c r="U296" s="111"/>
      <c r="V296" s="111"/>
      <c r="W296" s="111"/>
      <c r="X296" s="123"/>
      <c r="AI296" s="222" t="str">
        <f t="shared" si="9"/>
        <v/>
      </c>
    </row>
    <row r="297" spans="1:35" s="108" customFormat="1" ht="15.75">
      <c r="A297" s="119"/>
      <c r="B297" s="120"/>
      <c r="C297" s="111"/>
      <c r="D297" s="111"/>
      <c r="E297" s="121"/>
      <c r="F297" s="121"/>
      <c r="G297" s="113"/>
      <c r="H297" s="199" t="str">
        <f t="shared" si="8"/>
        <v/>
      </c>
      <c r="I297" s="200" t="str">
        <f>IF(H297="","",IF(AND(AI297&lt;=66),VLOOKUP(H297,'WordRead Look Up'!$A$13:$B$20,2,TRUE),IF(AND(AI297&gt;=67,AI297&lt;=72),VLOOKUP(H297,'WordRead Look Up'!$E$13:$F$20,2,TRUE),IF(AND(AI297&gt;=73,AI297&lt;=78),VLOOKUP(H297,'WordRead Look Up'!$I$13:$J$18,2,TRUE),IF(AND(AI297&gt;=79),VLOOKUP(H297,'WordRead Look Up'!$M$13:$N$18,2,TRUE),"")))))</f>
        <v/>
      </c>
      <c r="J297" s="122"/>
      <c r="K297" s="111"/>
      <c r="L297" s="111"/>
      <c r="M297" s="111"/>
      <c r="N297" s="111"/>
      <c r="O297" s="111"/>
      <c r="P297" s="111"/>
      <c r="Q297" s="111"/>
      <c r="R297" s="111"/>
      <c r="S297" s="111"/>
      <c r="T297" s="111"/>
      <c r="U297" s="111"/>
      <c r="V297" s="111"/>
      <c r="W297" s="111"/>
      <c r="X297" s="123"/>
      <c r="AI297" s="222" t="str">
        <f t="shared" si="9"/>
        <v/>
      </c>
    </row>
    <row r="298" spans="1:35" s="108" customFormat="1" ht="15.75">
      <c r="A298" s="119"/>
      <c r="B298" s="120"/>
      <c r="C298" s="111"/>
      <c r="D298" s="111"/>
      <c r="E298" s="121"/>
      <c r="F298" s="121"/>
      <c r="G298" s="113"/>
      <c r="H298" s="199" t="str">
        <f t="shared" si="8"/>
        <v/>
      </c>
      <c r="I298" s="200" t="str">
        <f>IF(H298="","",IF(AND(AI298&lt;=66),VLOOKUP(H298,'WordRead Look Up'!$A$13:$B$20,2,TRUE),IF(AND(AI298&gt;=67,AI298&lt;=72),VLOOKUP(H298,'WordRead Look Up'!$E$13:$F$20,2,TRUE),IF(AND(AI298&gt;=73,AI298&lt;=78),VLOOKUP(H298,'WordRead Look Up'!$I$13:$J$18,2,TRUE),IF(AND(AI298&gt;=79),VLOOKUP(H298,'WordRead Look Up'!$M$13:$N$18,2,TRUE),"")))))</f>
        <v/>
      </c>
      <c r="J298" s="122"/>
      <c r="K298" s="111"/>
      <c r="L298" s="111"/>
      <c r="M298" s="111"/>
      <c r="N298" s="111"/>
      <c r="O298" s="111"/>
      <c r="P298" s="111"/>
      <c r="Q298" s="111"/>
      <c r="R298" s="111"/>
      <c r="S298" s="111"/>
      <c r="T298" s="111"/>
      <c r="U298" s="111"/>
      <c r="V298" s="111"/>
      <c r="W298" s="111"/>
      <c r="X298" s="123"/>
      <c r="AI298" s="222" t="str">
        <f t="shared" si="9"/>
        <v/>
      </c>
    </row>
    <row r="299" spans="1:35" s="108" customFormat="1" ht="15.75">
      <c r="A299" s="119"/>
      <c r="B299" s="120"/>
      <c r="C299" s="111"/>
      <c r="D299" s="111"/>
      <c r="E299" s="121"/>
      <c r="F299" s="121"/>
      <c r="G299" s="113"/>
      <c r="H299" s="199" t="str">
        <f t="shared" si="8"/>
        <v/>
      </c>
      <c r="I299" s="200" t="str">
        <f>IF(H299="","",IF(AND(AI299&lt;=66),VLOOKUP(H299,'WordRead Look Up'!$A$13:$B$20,2,TRUE),IF(AND(AI299&gt;=67,AI299&lt;=72),VLOOKUP(H299,'WordRead Look Up'!$E$13:$F$20,2,TRUE),IF(AND(AI299&gt;=73,AI299&lt;=78),VLOOKUP(H299,'WordRead Look Up'!$I$13:$J$18,2,TRUE),IF(AND(AI299&gt;=79),VLOOKUP(H299,'WordRead Look Up'!$M$13:$N$18,2,TRUE),"")))))</f>
        <v/>
      </c>
      <c r="J299" s="122"/>
      <c r="K299" s="111"/>
      <c r="L299" s="111"/>
      <c r="M299" s="111"/>
      <c r="N299" s="111"/>
      <c r="O299" s="111"/>
      <c r="P299" s="111"/>
      <c r="Q299" s="111"/>
      <c r="R299" s="111"/>
      <c r="S299" s="111"/>
      <c r="T299" s="111"/>
      <c r="U299" s="111"/>
      <c r="V299" s="111"/>
      <c r="W299" s="111"/>
      <c r="X299" s="123"/>
      <c r="AI299" s="222" t="str">
        <f t="shared" si="9"/>
        <v/>
      </c>
    </row>
    <row r="300" spans="1:35" s="108" customFormat="1" ht="15.75">
      <c r="A300" s="119"/>
      <c r="B300" s="120"/>
      <c r="C300" s="111"/>
      <c r="D300" s="111"/>
      <c r="E300" s="121"/>
      <c r="F300" s="121"/>
      <c r="G300" s="113"/>
      <c r="H300" s="199" t="str">
        <f t="shared" si="8"/>
        <v/>
      </c>
      <c r="I300" s="200" t="str">
        <f>IF(H300="","",IF(AND(AI300&lt;=66),VLOOKUP(H300,'WordRead Look Up'!$A$13:$B$20,2,TRUE),IF(AND(AI300&gt;=67,AI300&lt;=72),VLOOKUP(H300,'WordRead Look Up'!$E$13:$F$20,2,TRUE),IF(AND(AI300&gt;=73,AI300&lt;=78),VLOOKUP(H300,'WordRead Look Up'!$I$13:$J$18,2,TRUE),IF(AND(AI300&gt;=79),VLOOKUP(H300,'WordRead Look Up'!$M$13:$N$18,2,TRUE),"")))))</f>
        <v/>
      </c>
      <c r="J300" s="122"/>
      <c r="K300" s="111"/>
      <c r="L300" s="111"/>
      <c r="M300" s="111"/>
      <c r="N300" s="111"/>
      <c r="O300" s="111"/>
      <c r="P300" s="111"/>
      <c r="Q300" s="111"/>
      <c r="R300" s="111"/>
      <c r="S300" s="111"/>
      <c r="T300" s="111"/>
      <c r="U300" s="111"/>
      <c r="V300" s="111"/>
      <c r="W300" s="111"/>
      <c r="X300" s="123"/>
      <c r="AI300" s="222" t="str">
        <f t="shared" si="9"/>
        <v/>
      </c>
    </row>
    <row r="301" spans="1:35" s="108" customFormat="1" ht="15.75">
      <c r="A301" s="119"/>
      <c r="B301" s="120"/>
      <c r="C301" s="111"/>
      <c r="D301" s="111"/>
      <c r="E301" s="121"/>
      <c r="F301" s="121"/>
      <c r="G301" s="113"/>
      <c r="H301" s="199" t="str">
        <f t="shared" si="8"/>
        <v/>
      </c>
      <c r="I301" s="200" t="str">
        <f>IF(H301="","",IF(AND(AI301&lt;=66),VLOOKUP(H301,'WordRead Look Up'!$A$13:$B$20,2,TRUE),IF(AND(AI301&gt;=67,AI301&lt;=72),VLOOKUP(H301,'WordRead Look Up'!$E$13:$F$20,2,TRUE),IF(AND(AI301&gt;=73,AI301&lt;=78),VLOOKUP(H301,'WordRead Look Up'!$I$13:$J$18,2,TRUE),IF(AND(AI301&gt;=79),VLOOKUP(H301,'WordRead Look Up'!$M$13:$N$18,2,TRUE),"")))))</f>
        <v/>
      </c>
      <c r="J301" s="122"/>
      <c r="K301" s="111"/>
      <c r="L301" s="111"/>
      <c r="M301" s="111"/>
      <c r="N301" s="111"/>
      <c r="O301" s="111"/>
      <c r="P301" s="111"/>
      <c r="Q301" s="111"/>
      <c r="R301" s="111"/>
      <c r="S301" s="111"/>
      <c r="T301" s="111"/>
      <c r="U301" s="111"/>
      <c r="V301" s="111"/>
      <c r="W301" s="111"/>
      <c r="X301" s="123"/>
      <c r="AI301" s="222" t="str">
        <f t="shared" si="9"/>
        <v/>
      </c>
    </row>
    <row r="302" spans="1:35" s="108" customFormat="1" ht="15.75">
      <c r="A302" s="119"/>
      <c r="B302" s="120"/>
      <c r="C302" s="111"/>
      <c r="D302" s="111"/>
      <c r="E302" s="121"/>
      <c r="F302" s="121"/>
      <c r="G302" s="113"/>
      <c r="H302" s="199" t="str">
        <f t="shared" si="8"/>
        <v/>
      </c>
      <c r="I302" s="200" t="str">
        <f>IF(H302="","",IF(AND(AI302&lt;=66),VLOOKUP(H302,'WordRead Look Up'!$A$13:$B$20,2,TRUE),IF(AND(AI302&gt;=67,AI302&lt;=72),VLOOKUP(H302,'WordRead Look Up'!$E$13:$F$20,2,TRUE),IF(AND(AI302&gt;=73,AI302&lt;=78),VLOOKUP(H302,'WordRead Look Up'!$I$13:$J$18,2,TRUE),IF(AND(AI302&gt;=79),VLOOKUP(H302,'WordRead Look Up'!$M$13:$N$18,2,TRUE),"")))))</f>
        <v/>
      </c>
      <c r="J302" s="122"/>
      <c r="K302" s="111"/>
      <c r="L302" s="111"/>
      <c r="M302" s="111"/>
      <c r="N302" s="111"/>
      <c r="O302" s="111"/>
      <c r="P302" s="111"/>
      <c r="Q302" s="111"/>
      <c r="R302" s="111"/>
      <c r="S302" s="111"/>
      <c r="T302" s="111"/>
      <c r="U302" s="111"/>
      <c r="V302" s="111"/>
      <c r="W302" s="111"/>
      <c r="X302" s="123"/>
      <c r="AI302" s="222" t="str">
        <f t="shared" si="9"/>
        <v/>
      </c>
    </row>
    <row r="303" spans="1:35" s="108" customFormat="1" ht="15.75">
      <c r="A303" s="119"/>
      <c r="B303" s="120"/>
      <c r="C303" s="111"/>
      <c r="D303" s="111"/>
      <c r="E303" s="121"/>
      <c r="F303" s="121"/>
      <c r="G303" s="113"/>
      <c r="H303" s="199" t="str">
        <f t="shared" si="8"/>
        <v/>
      </c>
      <c r="I303" s="200" t="str">
        <f>IF(H303="","",IF(AND(AI303&lt;=66),VLOOKUP(H303,'WordRead Look Up'!$A$13:$B$20,2,TRUE),IF(AND(AI303&gt;=67,AI303&lt;=72),VLOOKUP(H303,'WordRead Look Up'!$E$13:$F$20,2,TRUE),IF(AND(AI303&gt;=73,AI303&lt;=78),VLOOKUP(H303,'WordRead Look Up'!$I$13:$J$18,2,TRUE),IF(AND(AI303&gt;=79),VLOOKUP(H303,'WordRead Look Up'!$M$13:$N$18,2,TRUE),"")))))</f>
        <v/>
      </c>
      <c r="J303" s="122"/>
      <c r="K303" s="111"/>
      <c r="L303" s="111"/>
      <c r="M303" s="111"/>
      <c r="N303" s="111"/>
      <c r="O303" s="111"/>
      <c r="P303" s="111"/>
      <c r="Q303" s="111"/>
      <c r="R303" s="111"/>
      <c r="S303" s="111"/>
      <c r="T303" s="111"/>
      <c r="U303" s="111"/>
      <c r="V303" s="111"/>
      <c r="W303" s="111"/>
      <c r="X303" s="123"/>
      <c r="AI303" s="222" t="str">
        <f t="shared" si="9"/>
        <v/>
      </c>
    </row>
    <row r="304" spans="1:35" s="108" customFormat="1" ht="15.75">
      <c r="A304" s="119"/>
      <c r="B304" s="120"/>
      <c r="C304" s="111"/>
      <c r="D304" s="111"/>
      <c r="E304" s="121"/>
      <c r="F304" s="121"/>
      <c r="G304" s="113"/>
      <c r="H304" s="199" t="str">
        <f t="shared" si="8"/>
        <v/>
      </c>
      <c r="I304" s="200" t="str">
        <f>IF(H304="","",IF(AND(AI304&lt;=66),VLOOKUP(H304,'WordRead Look Up'!$A$13:$B$20,2,TRUE),IF(AND(AI304&gt;=67,AI304&lt;=72),VLOOKUP(H304,'WordRead Look Up'!$E$13:$F$20,2,TRUE),IF(AND(AI304&gt;=73,AI304&lt;=78),VLOOKUP(H304,'WordRead Look Up'!$I$13:$J$18,2,TRUE),IF(AND(AI304&gt;=79),VLOOKUP(H304,'WordRead Look Up'!$M$13:$N$18,2,TRUE),"")))))</f>
        <v/>
      </c>
      <c r="J304" s="122"/>
      <c r="K304" s="111"/>
      <c r="L304" s="111"/>
      <c r="M304" s="111"/>
      <c r="N304" s="111"/>
      <c r="O304" s="111"/>
      <c r="P304" s="111"/>
      <c r="Q304" s="111"/>
      <c r="R304" s="111"/>
      <c r="S304" s="111"/>
      <c r="T304" s="111"/>
      <c r="U304" s="111"/>
      <c r="V304" s="111"/>
      <c r="W304" s="111"/>
      <c r="X304" s="123"/>
      <c r="AI304" s="222" t="str">
        <f t="shared" si="9"/>
        <v/>
      </c>
    </row>
    <row r="305" spans="1:35" s="108" customFormat="1" ht="15.75">
      <c r="A305" s="119"/>
      <c r="B305" s="120"/>
      <c r="C305" s="111"/>
      <c r="D305" s="111"/>
      <c r="E305" s="121"/>
      <c r="F305" s="121"/>
      <c r="G305" s="113"/>
      <c r="H305" s="199" t="str">
        <f t="shared" si="8"/>
        <v/>
      </c>
      <c r="I305" s="200" t="str">
        <f>IF(H305="","",IF(AND(AI305&lt;=66),VLOOKUP(H305,'WordRead Look Up'!$A$13:$B$20,2,TRUE),IF(AND(AI305&gt;=67,AI305&lt;=72),VLOOKUP(H305,'WordRead Look Up'!$E$13:$F$20,2,TRUE),IF(AND(AI305&gt;=73,AI305&lt;=78),VLOOKUP(H305,'WordRead Look Up'!$I$13:$J$18,2,TRUE),IF(AND(AI305&gt;=79),VLOOKUP(H305,'WordRead Look Up'!$M$13:$N$18,2,TRUE),"")))))</f>
        <v/>
      </c>
      <c r="J305" s="122"/>
      <c r="K305" s="111"/>
      <c r="L305" s="111"/>
      <c r="M305" s="111"/>
      <c r="N305" s="111"/>
      <c r="O305" s="111"/>
      <c r="P305" s="111"/>
      <c r="Q305" s="111"/>
      <c r="R305" s="111"/>
      <c r="S305" s="111"/>
      <c r="T305" s="111"/>
      <c r="U305" s="111"/>
      <c r="V305" s="111"/>
      <c r="W305" s="111"/>
      <c r="X305" s="123"/>
      <c r="AI305" s="222" t="str">
        <f t="shared" si="9"/>
        <v/>
      </c>
    </row>
    <row r="306" spans="1:35" s="108" customFormat="1" ht="15.75">
      <c r="A306" s="119"/>
      <c r="B306" s="120"/>
      <c r="C306" s="111"/>
      <c r="D306" s="111"/>
      <c r="E306" s="121"/>
      <c r="F306" s="121"/>
      <c r="G306" s="113"/>
      <c r="H306" s="199" t="str">
        <f t="shared" si="8"/>
        <v/>
      </c>
      <c r="I306" s="200" t="str">
        <f>IF(H306="","",IF(AND(AI306&lt;=66),VLOOKUP(H306,'WordRead Look Up'!$A$13:$B$20,2,TRUE),IF(AND(AI306&gt;=67,AI306&lt;=72),VLOOKUP(H306,'WordRead Look Up'!$E$13:$F$20,2,TRUE),IF(AND(AI306&gt;=73,AI306&lt;=78),VLOOKUP(H306,'WordRead Look Up'!$I$13:$J$18,2,TRUE),IF(AND(AI306&gt;=79),VLOOKUP(H306,'WordRead Look Up'!$M$13:$N$18,2,TRUE),"")))))</f>
        <v/>
      </c>
      <c r="J306" s="122"/>
      <c r="K306" s="111"/>
      <c r="L306" s="111"/>
      <c r="M306" s="111"/>
      <c r="N306" s="111"/>
      <c r="O306" s="111"/>
      <c r="P306" s="111"/>
      <c r="Q306" s="111"/>
      <c r="R306" s="111"/>
      <c r="S306" s="111"/>
      <c r="T306" s="111"/>
      <c r="U306" s="111"/>
      <c r="V306" s="111"/>
      <c r="W306" s="111"/>
      <c r="X306" s="123"/>
      <c r="AI306" s="222" t="str">
        <f t="shared" si="9"/>
        <v/>
      </c>
    </row>
    <row r="307" spans="1:35" s="108" customFormat="1" ht="15.75">
      <c r="A307" s="119"/>
      <c r="B307" s="120"/>
      <c r="C307" s="111"/>
      <c r="D307" s="111"/>
      <c r="E307" s="121"/>
      <c r="F307" s="121"/>
      <c r="G307" s="113"/>
      <c r="H307" s="199" t="str">
        <f t="shared" si="8"/>
        <v/>
      </c>
      <c r="I307" s="200" t="str">
        <f>IF(H307="","",IF(AND(AI307&lt;=66),VLOOKUP(H307,'WordRead Look Up'!$A$13:$B$20,2,TRUE),IF(AND(AI307&gt;=67,AI307&lt;=72),VLOOKUP(H307,'WordRead Look Up'!$E$13:$F$20,2,TRUE),IF(AND(AI307&gt;=73,AI307&lt;=78),VLOOKUP(H307,'WordRead Look Up'!$I$13:$J$18,2,TRUE),IF(AND(AI307&gt;=79),VLOOKUP(H307,'WordRead Look Up'!$M$13:$N$18,2,TRUE),"")))))</f>
        <v/>
      </c>
      <c r="J307" s="122"/>
      <c r="K307" s="111"/>
      <c r="L307" s="111"/>
      <c r="M307" s="111"/>
      <c r="N307" s="111"/>
      <c r="O307" s="111"/>
      <c r="P307" s="111"/>
      <c r="Q307" s="111"/>
      <c r="R307" s="111"/>
      <c r="S307" s="111"/>
      <c r="T307" s="111"/>
      <c r="U307" s="111"/>
      <c r="V307" s="111"/>
      <c r="W307" s="111"/>
      <c r="X307" s="123"/>
      <c r="AI307" s="222" t="str">
        <f t="shared" si="9"/>
        <v/>
      </c>
    </row>
    <row r="308" spans="1:35" s="108" customFormat="1" ht="15.75">
      <c r="A308" s="119"/>
      <c r="B308" s="120"/>
      <c r="C308" s="111"/>
      <c r="D308" s="111"/>
      <c r="E308" s="121"/>
      <c r="F308" s="121"/>
      <c r="G308" s="113"/>
      <c r="H308" s="199" t="str">
        <f t="shared" si="8"/>
        <v/>
      </c>
      <c r="I308" s="200" t="str">
        <f>IF(H308="","",IF(AND(AI308&lt;=66),VLOOKUP(H308,'WordRead Look Up'!$A$13:$B$20,2,TRUE),IF(AND(AI308&gt;=67,AI308&lt;=72),VLOOKUP(H308,'WordRead Look Up'!$E$13:$F$20,2,TRUE),IF(AND(AI308&gt;=73,AI308&lt;=78),VLOOKUP(H308,'WordRead Look Up'!$I$13:$J$18,2,TRUE),IF(AND(AI308&gt;=79),VLOOKUP(H308,'WordRead Look Up'!$M$13:$N$18,2,TRUE),"")))))</f>
        <v/>
      </c>
      <c r="J308" s="122"/>
      <c r="K308" s="111"/>
      <c r="L308" s="111"/>
      <c r="M308" s="111"/>
      <c r="N308" s="111"/>
      <c r="O308" s="111"/>
      <c r="P308" s="111"/>
      <c r="Q308" s="111"/>
      <c r="R308" s="111"/>
      <c r="S308" s="111"/>
      <c r="T308" s="111"/>
      <c r="U308" s="111"/>
      <c r="V308" s="111"/>
      <c r="W308" s="111"/>
      <c r="X308" s="123"/>
      <c r="AI308" s="222" t="str">
        <f t="shared" si="9"/>
        <v/>
      </c>
    </row>
    <row r="309" spans="1:35" s="108" customFormat="1" ht="15.75">
      <c r="A309" s="119"/>
      <c r="B309" s="120"/>
      <c r="C309" s="111"/>
      <c r="D309" s="111"/>
      <c r="E309" s="121"/>
      <c r="F309" s="121"/>
      <c r="G309" s="113"/>
      <c r="H309" s="199" t="str">
        <f t="shared" si="8"/>
        <v/>
      </c>
      <c r="I309" s="200" t="str">
        <f>IF(H309="","",IF(AND(AI309&lt;=66),VLOOKUP(H309,'WordRead Look Up'!$A$13:$B$20,2,TRUE),IF(AND(AI309&gt;=67,AI309&lt;=72),VLOOKUP(H309,'WordRead Look Up'!$E$13:$F$20,2,TRUE),IF(AND(AI309&gt;=73,AI309&lt;=78),VLOOKUP(H309,'WordRead Look Up'!$I$13:$J$18,2,TRUE),IF(AND(AI309&gt;=79),VLOOKUP(H309,'WordRead Look Up'!$M$13:$N$18,2,TRUE),"")))))</f>
        <v/>
      </c>
      <c r="J309" s="122"/>
      <c r="K309" s="111"/>
      <c r="L309" s="111"/>
      <c r="M309" s="111"/>
      <c r="N309" s="111"/>
      <c r="O309" s="111"/>
      <c r="P309" s="111"/>
      <c r="Q309" s="111"/>
      <c r="R309" s="111"/>
      <c r="S309" s="111"/>
      <c r="T309" s="111"/>
      <c r="U309" s="111"/>
      <c r="V309" s="111"/>
      <c r="W309" s="111"/>
      <c r="X309" s="123"/>
      <c r="AI309" s="222" t="str">
        <f t="shared" si="9"/>
        <v/>
      </c>
    </row>
    <row r="310" spans="1:35" s="108" customFormat="1" ht="15.75">
      <c r="A310" s="119"/>
      <c r="B310" s="120"/>
      <c r="C310" s="111"/>
      <c r="D310" s="111"/>
      <c r="E310" s="121"/>
      <c r="F310" s="121"/>
      <c r="G310" s="113"/>
      <c r="H310" s="199" t="str">
        <f t="shared" si="8"/>
        <v/>
      </c>
      <c r="I310" s="200" t="str">
        <f>IF(H310="","",IF(AND(AI310&lt;=66),VLOOKUP(H310,'WordRead Look Up'!$A$13:$B$20,2,TRUE),IF(AND(AI310&gt;=67,AI310&lt;=72),VLOOKUP(H310,'WordRead Look Up'!$E$13:$F$20,2,TRUE),IF(AND(AI310&gt;=73,AI310&lt;=78),VLOOKUP(H310,'WordRead Look Up'!$I$13:$J$18,2,TRUE),IF(AND(AI310&gt;=79),VLOOKUP(H310,'WordRead Look Up'!$M$13:$N$18,2,TRUE),"")))))</f>
        <v/>
      </c>
      <c r="J310" s="122"/>
      <c r="K310" s="111"/>
      <c r="L310" s="111"/>
      <c r="M310" s="111"/>
      <c r="N310" s="111"/>
      <c r="O310" s="111"/>
      <c r="P310" s="111"/>
      <c r="Q310" s="111"/>
      <c r="R310" s="111"/>
      <c r="S310" s="111"/>
      <c r="T310" s="111"/>
      <c r="U310" s="111"/>
      <c r="V310" s="111"/>
      <c r="W310" s="111"/>
      <c r="X310" s="123"/>
      <c r="AI310" s="222" t="str">
        <f t="shared" si="9"/>
        <v/>
      </c>
    </row>
    <row r="311" spans="1:35" s="108" customFormat="1" ht="15.75">
      <c r="A311" s="119"/>
      <c r="B311" s="120"/>
      <c r="C311" s="111"/>
      <c r="D311" s="111"/>
      <c r="E311" s="121"/>
      <c r="F311" s="121"/>
      <c r="G311" s="113"/>
      <c r="H311" s="199" t="str">
        <f t="shared" si="8"/>
        <v/>
      </c>
      <c r="I311" s="200" t="str">
        <f>IF(H311="","",IF(AND(AI311&lt;=66),VLOOKUP(H311,'WordRead Look Up'!$A$13:$B$20,2,TRUE),IF(AND(AI311&gt;=67,AI311&lt;=72),VLOOKUP(H311,'WordRead Look Up'!$E$13:$F$20,2,TRUE),IF(AND(AI311&gt;=73,AI311&lt;=78),VLOOKUP(H311,'WordRead Look Up'!$I$13:$J$18,2,TRUE),IF(AND(AI311&gt;=79),VLOOKUP(H311,'WordRead Look Up'!$M$13:$N$18,2,TRUE),"")))))</f>
        <v/>
      </c>
      <c r="J311" s="122"/>
      <c r="K311" s="111"/>
      <c r="L311" s="111"/>
      <c r="M311" s="111"/>
      <c r="N311" s="111"/>
      <c r="O311" s="111"/>
      <c r="P311" s="111"/>
      <c r="Q311" s="111"/>
      <c r="R311" s="111"/>
      <c r="S311" s="111"/>
      <c r="T311" s="111"/>
      <c r="U311" s="111"/>
      <c r="V311" s="111"/>
      <c r="W311" s="111"/>
      <c r="X311" s="123"/>
      <c r="AI311" s="222" t="str">
        <f t="shared" si="9"/>
        <v/>
      </c>
    </row>
    <row r="312" spans="1:35" s="108" customFormat="1" ht="15.75">
      <c r="A312" s="119"/>
      <c r="B312" s="120"/>
      <c r="C312" s="111"/>
      <c r="D312" s="111"/>
      <c r="E312" s="121"/>
      <c r="F312" s="121"/>
      <c r="G312" s="113"/>
      <c r="H312" s="199" t="str">
        <f t="shared" si="8"/>
        <v/>
      </c>
      <c r="I312" s="200" t="str">
        <f>IF(H312="","",IF(AND(AI312&lt;=66),VLOOKUP(H312,'WordRead Look Up'!$A$13:$B$20,2,TRUE),IF(AND(AI312&gt;=67,AI312&lt;=72),VLOOKUP(H312,'WordRead Look Up'!$E$13:$F$20,2,TRUE),IF(AND(AI312&gt;=73,AI312&lt;=78),VLOOKUP(H312,'WordRead Look Up'!$I$13:$J$18,2,TRUE),IF(AND(AI312&gt;=79),VLOOKUP(H312,'WordRead Look Up'!$M$13:$N$18,2,TRUE),"")))))</f>
        <v/>
      </c>
      <c r="J312" s="122"/>
      <c r="K312" s="111"/>
      <c r="L312" s="111"/>
      <c r="M312" s="111"/>
      <c r="N312" s="111"/>
      <c r="O312" s="111"/>
      <c r="P312" s="111"/>
      <c r="Q312" s="111"/>
      <c r="R312" s="111"/>
      <c r="S312" s="111"/>
      <c r="T312" s="111"/>
      <c r="U312" s="111"/>
      <c r="V312" s="111"/>
      <c r="W312" s="111"/>
      <c r="X312" s="123"/>
      <c r="AI312" s="222" t="str">
        <f t="shared" si="9"/>
        <v/>
      </c>
    </row>
    <row r="313" spans="1:35" s="108" customFormat="1" ht="15.75">
      <c r="A313" s="119"/>
      <c r="B313" s="120"/>
      <c r="C313" s="111"/>
      <c r="D313" s="111"/>
      <c r="E313" s="121"/>
      <c r="F313" s="121"/>
      <c r="G313" s="113"/>
      <c r="H313" s="199" t="str">
        <f t="shared" si="8"/>
        <v/>
      </c>
      <c r="I313" s="200" t="str">
        <f>IF(H313="","",IF(AND(AI313&lt;=66),VLOOKUP(H313,'WordRead Look Up'!$A$13:$B$20,2,TRUE),IF(AND(AI313&gt;=67,AI313&lt;=72),VLOOKUP(H313,'WordRead Look Up'!$E$13:$F$20,2,TRUE),IF(AND(AI313&gt;=73,AI313&lt;=78),VLOOKUP(H313,'WordRead Look Up'!$I$13:$J$18,2,TRUE),IF(AND(AI313&gt;=79),VLOOKUP(H313,'WordRead Look Up'!$M$13:$N$18,2,TRUE),"")))))</f>
        <v/>
      </c>
      <c r="J313" s="122"/>
      <c r="K313" s="111"/>
      <c r="L313" s="111"/>
      <c r="M313" s="111"/>
      <c r="N313" s="111"/>
      <c r="O313" s="111"/>
      <c r="P313" s="111"/>
      <c r="Q313" s="111"/>
      <c r="R313" s="111"/>
      <c r="S313" s="111"/>
      <c r="T313" s="111"/>
      <c r="U313" s="111"/>
      <c r="V313" s="111"/>
      <c r="W313" s="111"/>
      <c r="X313" s="123"/>
      <c r="AI313" s="222" t="str">
        <f t="shared" si="9"/>
        <v/>
      </c>
    </row>
    <row r="314" spans="1:35" s="108" customFormat="1" ht="15.75">
      <c r="A314" s="119"/>
      <c r="B314" s="120"/>
      <c r="C314" s="111"/>
      <c r="D314" s="111"/>
      <c r="E314" s="121"/>
      <c r="F314" s="121"/>
      <c r="G314" s="113"/>
      <c r="H314" s="199" t="str">
        <f t="shared" si="8"/>
        <v/>
      </c>
      <c r="I314" s="200" t="str">
        <f>IF(H314="","",IF(AND(AI314&lt;=66),VLOOKUP(H314,'WordRead Look Up'!$A$13:$B$20,2,TRUE),IF(AND(AI314&gt;=67,AI314&lt;=72),VLOOKUP(H314,'WordRead Look Up'!$E$13:$F$20,2,TRUE),IF(AND(AI314&gt;=73,AI314&lt;=78),VLOOKUP(H314,'WordRead Look Up'!$I$13:$J$18,2,TRUE),IF(AND(AI314&gt;=79),VLOOKUP(H314,'WordRead Look Up'!$M$13:$N$18,2,TRUE),"")))))</f>
        <v/>
      </c>
      <c r="J314" s="122"/>
      <c r="K314" s="111"/>
      <c r="L314" s="111"/>
      <c r="M314" s="111"/>
      <c r="N314" s="111"/>
      <c r="O314" s="111"/>
      <c r="P314" s="111"/>
      <c r="Q314" s="111"/>
      <c r="R314" s="111"/>
      <c r="S314" s="111"/>
      <c r="T314" s="111"/>
      <c r="U314" s="111"/>
      <c r="V314" s="111"/>
      <c r="W314" s="111"/>
      <c r="X314" s="123"/>
      <c r="AI314" s="222" t="str">
        <f t="shared" si="9"/>
        <v/>
      </c>
    </row>
    <row r="315" spans="1:35" s="108" customFormat="1" ht="15.75">
      <c r="A315" s="119"/>
      <c r="B315" s="120"/>
      <c r="C315" s="111"/>
      <c r="D315" s="111"/>
      <c r="E315" s="121"/>
      <c r="F315" s="121"/>
      <c r="G315" s="113"/>
      <c r="H315" s="199" t="str">
        <f t="shared" si="8"/>
        <v/>
      </c>
      <c r="I315" s="200" t="str">
        <f>IF(H315="","",IF(AND(AI315&lt;=66),VLOOKUP(H315,'WordRead Look Up'!$A$13:$B$20,2,TRUE),IF(AND(AI315&gt;=67,AI315&lt;=72),VLOOKUP(H315,'WordRead Look Up'!$E$13:$F$20,2,TRUE),IF(AND(AI315&gt;=73,AI315&lt;=78),VLOOKUP(H315,'WordRead Look Up'!$I$13:$J$18,2,TRUE),IF(AND(AI315&gt;=79),VLOOKUP(H315,'WordRead Look Up'!$M$13:$N$18,2,TRUE),"")))))</f>
        <v/>
      </c>
      <c r="J315" s="122"/>
      <c r="K315" s="111"/>
      <c r="L315" s="111"/>
      <c r="M315" s="111"/>
      <c r="N315" s="111"/>
      <c r="O315" s="111"/>
      <c r="P315" s="111"/>
      <c r="Q315" s="111"/>
      <c r="R315" s="111"/>
      <c r="S315" s="111"/>
      <c r="T315" s="111"/>
      <c r="U315" s="111"/>
      <c r="V315" s="111"/>
      <c r="W315" s="111"/>
      <c r="X315" s="123"/>
      <c r="AI315" s="222" t="str">
        <f t="shared" si="9"/>
        <v/>
      </c>
    </row>
    <row r="316" spans="1:35" s="108" customFormat="1" ht="15.75">
      <c r="A316" s="119"/>
      <c r="B316" s="120"/>
      <c r="C316" s="111"/>
      <c r="D316" s="111"/>
      <c r="E316" s="121"/>
      <c r="F316" s="121"/>
      <c r="G316" s="113"/>
      <c r="H316" s="199" t="str">
        <f t="shared" si="8"/>
        <v/>
      </c>
      <c r="I316" s="200" t="str">
        <f>IF(H316="","",IF(AND(AI316&lt;=66),VLOOKUP(H316,'WordRead Look Up'!$A$13:$B$20,2,TRUE),IF(AND(AI316&gt;=67,AI316&lt;=72),VLOOKUP(H316,'WordRead Look Up'!$E$13:$F$20,2,TRUE),IF(AND(AI316&gt;=73,AI316&lt;=78),VLOOKUP(H316,'WordRead Look Up'!$I$13:$J$18,2,TRUE),IF(AND(AI316&gt;=79),VLOOKUP(H316,'WordRead Look Up'!$M$13:$N$18,2,TRUE),"")))))</f>
        <v/>
      </c>
      <c r="J316" s="122"/>
      <c r="K316" s="111"/>
      <c r="L316" s="111"/>
      <c r="M316" s="111"/>
      <c r="N316" s="111"/>
      <c r="O316" s="111"/>
      <c r="P316" s="111"/>
      <c r="Q316" s="111"/>
      <c r="R316" s="111"/>
      <c r="S316" s="111"/>
      <c r="T316" s="111"/>
      <c r="U316" s="111"/>
      <c r="V316" s="111"/>
      <c r="W316" s="111"/>
      <c r="X316" s="123"/>
      <c r="AI316" s="222" t="str">
        <f t="shared" si="9"/>
        <v/>
      </c>
    </row>
    <row r="317" spans="1:35" s="108" customFormat="1" ht="15.75">
      <c r="A317" s="119"/>
      <c r="B317" s="120"/>
      <c r="C317" s="111"/>
      <c r="D317" s="111"/>
      <c r="E317" s="121"/>
      <c r="F317" s="121"/>
      <c r="G317" s="113"/>
      <c r="H317" s="199" t="str">
        <f t="shared" si="8"/>
        <v/>
      </c>
      <c r="I317" s="200" t="str">
        <f>IF(H317="","",IF(AND(AI317&lt;=66),VLOOKUP(H317,'WordRead Look Up'!$A$13:$B$20,2,TRUE),IF(AND(AI317&gt;=67,AI317&lt;=72),VLOOKUP(H317,'WordRead Look Up'!$E$13:$F$20,2,TRUE),IF(AND(AI317&gt;=73,AI317&lt;=78),VLOOKUP(H317,'WordRead Look Up'!$I$13:$J$18,2,TRUE),IF(AND(AI317&gt;=79),VLOOKUP(H317,'WordRead Look Up'!$M$13:$N$18,2,TRUE),"")))))</f>
        <v/>
      </c>
      <c r="J317" s="122"/>
      <c r="K317" s="111"/>
      <c r="L317" s="111"/>
      <c r="M317" s="111"/>
      <c r="N317" s="111"/>
      <c r="O317" s="111"/>
      <c r="P317" s="111"/>
      <c r="Q317" s="111"/>
      <c r="R317" s="111"/>
      <c r="S317" s="111"/>
      <c r="T317" s="111"/>
      <c r="U317" s="111"/>
      <c r="V317" s="111"/>
      <c r="W317" s="111"/>
      <c r="X317" s="123"/>
      <c r="AI317" s="222" t="str">
        <f t="shared" si="9"/>
        <v/>
      </c>
    </row>
    <row r="318" spans="1:35" s="108" customFormat="1" ht="15.75">
      <c r="A318" s="119"/>
      <c r="B318" s="120"/>
      <c r="C318" s="111"/>
      <c r="D318" s="111"/>
      <c r="E318" s="121"/>
      <c r="F318" s="121"/>
      <c r="G318" s="113"/>
      <c r="H318" s="199" t="str">
        <f t="shared" si="8"/>
        <v/>
      </c>
      <c r="I318" s="200" t="str">
        <f>IF(H318="","",IF(AND(AI318&lt;=66),VLOOKUP(H318,'WordRead Look Up'!$A$13:$B$20,2,TRUE),IF(AND(AI318&gt;=67,AI318&lt;=72),VLOOKUP(H318,'WordRead Look Up'!$E$13:$F$20,2,TRUE),IF(AND(AI318&gt;=73,AI318&lt;=78),VLOOKUP(H318,'WordRead Look Up'!$I$13:$J$18,2,TRUE),IF(AND(AI318&gt;=79),VLOOKUP(H318,'WordRead Look Up'!$M$13:$N$18,2,TRUE),"")))))</f>
        <v/>
      </c>
      <c r="J318" s="122"/>
      <c r="K318" s="111"/>
      <c r="L318" s="111"/>
      <c r="M318" s="111"/>
      <c r="N318" s="111"/>
      <c r="O318" s="111"/>
      <c r="P318" s="111"/>
      <c r="Q318" s="111"/>
      <c r="R318" s="111"/>
      <c r="S318" s="111"/>
      <c r="T318" s="111"/>
      <c r="U318" s="111"/>
      <c r="V318" s="111"/>
      <c r="W318" s="111"/>
      <c r="X318" s="123"/>
      <c r="AI318" s="222" t="str">
        <f t="shared" si="9"/>
        <v/>
      </c>
    </row>
    <row r="319" spans="1:35" s="108" customFormat="1" ht="15.75">
      <c r="A319" s="119"/>
      <c r="B319" s="120"/>
      <c r="C319" s="111"/>
      <c r="D319" s="111"/>
      <c r="E319" s="121"/>
      <c r="F319" s="121"/>
      <c r="G319" s="113"/>
      <c r="H319" s="199" t="str">
        <f t="shared" si="8"/>
        <v/>
      </c>
      <c r="I319" s="200" t="str">
        <f>IF(H319="","",IF(AND(AI319&lt;=66),VLOOKUP(H319,'WordRead Look Up'!$A$13:$B$20,2,TRUE),IF(AND(AI319&gt;=67,AI319&lt;=72),VLOOKUP(H319,'WordRead Look Up'!$E$13:$F$20,2,TRUE),IF(AND(AI319&gt;=73,AI319&lt;=78),VLOOKUP(H319,'WordRead Look Up'!$I$13:$J$18,2,TRUE),IF(AND(AI319&gt;=79),VLOOKUP(H319,'WordRead Look Up'!$M$13:$N$18,2,TRUE),"")))))</f>
        <v/>
      </c>
      <c r="J319" s="122"/>
      <c r="K319" s="111"/>
      <c r="L319" s="111"/>
      <c r="M319" s="111"/>
      <c r="N319" s="111"/>
      <c r="O319" s="111"/>
      <c r="P319" s="111"/>
      <c r="Q319" s="111"/>
      <c r="R319" s="111"/>
      <c r="S319" s="111"/>
      <c r="T319" s="111"/>
      <c r="U319" s="111"/>
      <c r="V319" s="111"/>
      <c r="W319" s="111"/>
      <c r="X319" s="123"/>
      <c r="AI319" s="222" t="str">
        <f t="shared" si="9"/>
        <v/>
      </c>
    </row>
    <row r="320" spans="1:35" s="108" customFormat="1" ht="15.75">
      <c r="A320" s="119"/>
      <c r="B320" s="120"/>
      <c r="C320" s="111"/>
      <c r="D320" s="111"/>
      <c r="E320" s="121"/>
      <c r="F320" s="121"/>
      <c r="G320" s="113"/>
      <c r="H320" s="199" t="str">
        <f t="shared" si="8"/>
        <v/>
      </c>
      <c r="I320" s="200" t="str">
        <f>IF(H320="","",IF(AND(AI320&lt;=66),VLOOKUP(H320,'WordRead Look Up'!$A$13:$B$20,2,TRUE),IF(AND(AI320&gt;=67,AI320&lt;=72),VLOOKUP(H320,'WordRead Look Up'!$E$13:$F$20,2,TRUE),IF(AND(AI320&gt;=73,AI320&lt;=78),VLOOKUP(H320,'WordRead Look Up'!$I$13:$J$18,2,TRUE),IF(AND(AI320&gt;=79),VLOOKUP(H320,'WordRead Look Up'!$M$13:$N$18,2,TRUE),"")))))</f>
        <v/>
      </c>
      <c r="J320" s="122"/>
      <c r="K320" s="111"/>
      <c r="L320" s="111"/>
      <c r="M320" s="111"/>
      <c r="N320" s="111"/>
      <c r="O320" s="111"/>
      <c r="P320" s="111"/>
      <c r="Q320" s="111"/>
      <c r="R320" s="111"/>
      <c r="S320" s="111"/>
      <c r="T320" s="111"/>
      <c r="U320" s="111"/>
      <c r="V320" s="111"/>
      <c r="W320" s="111"/>
      <c r="X320" s="123"/>
      <c r="AI320" s="222" t="str">
        <f t="shared" si="9"/>
        <v/>
      </c>
    </row>
    <row r="321" spans="1:35" s="108" customFormat="1" ht="15.75">
      <c r="A321" s="119"/>
      <c r="B321" s="120"/>
      <c r="C321" s="111"/>
      <c r="D321" s="111"/>
      <c r="E321" s="121"/>
      <c r="F321" s="121"/>
      <c r="G321" s="113"/>
      <c r="H321" s="199" t="str">
        <f t="shared" si="8"/>
        <v/>
      </c>
      <c r="I321" s="200" t="str">
        <f>IF(H321="","",IF(AND(AI321&lt;=66),VLOOKUP(H321,'WordRead Look Up'!$A$13:$B$20,2,TRUE),IF(AND(AI321&gt;=67,AI321&lt;=72),VLOOKUP(H321,'WordRead Look Up'!$E$13:$F$20,2,TRUE),IF(AND(AI321&gt;=73,AI321&lt;=78),VLOOKUP(H321,'WordRead Look Up'!$I$13:$J$18,2,TRUE),IF(AND(AI321&gt;=79),VLOOKUP(H321,'WordRead Look Up'!$M$13:$N$18,2,TRUE),"")))))</f>
        <v/>
      </c>
      <c r="J321" s="122"/>
      <c r="K321" s="111"/>
      <c r="L321" s="111"/>
      <c r="M321" s="111"/>
      <c r="N321" s="111"/>
      <c r="O321" s="111"/>
      <c r="P321" s="111"/>
      <c r="Q321" s="111"/>
      <c r="R321" s="111"/>
      <c r="S321" s="111"/>
      <c r="T321" s="111"/>
      <c r="U321" s="111"/>
      <c r="V321" s="111"/>
      <c r="W321" s="111"/>
      <c r="X321" s="123"/>
      <c r="AI321" s="222" t="str">
        <f t="shared" si="9"/>
        <v/>
      </c>
    </row>
    <row r="322" spans="1:35" s="108" customFormat="1" ht="15.75">
      <c r="A322" s="119"/>
      <c r="B322" s="120"/>
      <c r="C322" s="111"/>
      <c r="D322" s="111"/>
      <c r="E322" s="121"/>
      <c r="F322" s="121"/>
      <c r="G322" s="113"/>
      <c r="H322" s="199" t="str">
        <f t="shared" si="8"/>
        <v/>
      </c>
      <c r="I322" s="200" t="str">
        <f>IF(H322="","",IF(AND(AI322&lt;=66),VLOOKUP(H322,'WordRead Look Up'!$A$13:$B$20,2,TRUE),IF(AND(AI322&gt;=67,AI322&lt;=72),VLOOKUP(H322,'WordRead Look Up'!$E$13:$F$20,2,TRUE),IF(AND(AI322&gt;=73,AI322&lt;=78),VLOOKUP(H322,'WordRead Look Up'!$I$13:$J$18,2,TRUE),IF(AND(AI322&gt;=79),VLOOKUP(H322,'WordRead Look Up'!$M$13:$N$18,2,TRUE),"")))))</f>
        <v/>
      </c>
      <c r="J322" s="122"/>
      <c r="K322" s="111"/>
      <c r="L322" s="111"/>
      <c r="M322" s="111"/>
      <c r="N322" s="111"/>
      <c r="O322" s="111"/>
      <c r="P322" s="111"/>
      <c r="Q322" s="111"/>
      <c r="R322" s="111"/>
      <c r="S322" s="111"/>
      <c r="T322" s="111"/>
      <c r="U322" s="111"/>
      <c r="V322" s="111"/>
      <c r="W322" s="111"/>
      <c r="X322" s="123"/>
      <c r="AI322" s="222" t="str">
        <f t="shared" si="9"/>
        <v/>
      </c>
    </row>
    <row r="323" spans="1:35" s="108" customFormat="1" ht="15.75">
      <c r="A323" s="119"/>
      <c r="B323" s="120"/>
      <c r="C323" s="111"/>
      <c r="D323" s="111"/>
      <c r="E323" s="121"/>
      <c r="F323" s="121"/>
      <c r="G323" s="113"/>
      <c r="H323" s="199" t="str">
        <f t="shared" si="8"/>
        <v/>
      </c>
      <c r="I323" s="200" t="str">
        <f>IF(H323="","",IF(AND(AI323&lt;=66),VLOOKUP(H323,'WordRead Look Up'!$A$13:$B$20,2,TRUE),IF(AND(AI323&gt;=67,AI323&lt;=72),VLOOKUP(H323,'WordRead Look Up'!$E$13:$F$20,2,TRUE),IF(AND(AI323&gt;=73,AI323&lt;=78),VLOOKUP(H323,'WordRead Look Up'!$I$13:$J$18,2,TRUE),IF(AND(AI323&gt;=79),VLOOKUP(H323,'WordRead Look Up'!$M$13:$N$18,2,TRUE),"")))))</f>
        <v/>
      </c>
      <c r="J323" s="122"/>
      <c r="K323" s="111"/>
      <c r="L323" s="111"/>
      <c r="M323" s="111"/>
      <c r="N323" s="111"/>
      <c r="O323" s="111"/>
      <c r="P323" s="111"/>
      <c r="Q323" s="111"/>
      <c r="R323" s="111"/>
      <c r="S323" s="111"/>
      <c r="T323" s="111"/>
      <c r="U323" s="111"/>
      <c r="V323" s="111"/>
      <c r="W323" s="111"/>
      <c r="X323" s="123"/>
      <c r="AI323" s="222" t="str">
        <f t="shared" si="9"/>
        <v/>
      </c>
    </row>
    <row r="324" spans="1:35" s="108" customFormat="1" ht="15.75">
      <c r="A324" s="119"/>
      <c r="B324" s="120"/>
      <c r="C324" s="111"/>
      <c r="D324" s="111"/>
      <c r="E324" s="121"/>
      <c r="F324" s="121"/>
      <c r="G324" s="113"/>
      <c r="H324" s="199" t="str">
        <f t="shared" si="8"/>
        <v/>
      </c>
      <c r="I324" s="200" t="str">
        <f>IF(H324="","",IF(AND(AI324&lt;=66),VLOOKUP(H324,'WordRead Look Up'!$A$13:$B$20,2,TRUE),IF(AND(AI324&gt;=67,AI324&lt;=72),VLOOKUP(H324,'WordRead Look Up'!$E$13:$F$20,2,TRUE),IF(AND(AI324&gt;=73,AI324&lt;=78),VLOOKUP(H324,'WordRead Look Up'!$I$13:$J$18,2,TRUE),IF(AND(AI324&gt;=79),VLOOKUP(H324,'WordRead Look Up'!$M$13:$N$18,2,TRUE),"")))))</f>
        <v/>
      </c>
      <c r="J324" s="122"/>
      <c r="K324" s="111"/>
      <c r="L324" s="111"/>
      <c r="M324" s="111"/>
      <c r="N324" s="111"/>
      <c r="O324" s="111"/>
      <c r="P324" s="111"/>
      <c r="Q324" s="111"/>
      <c r="R324" s="111"/>
      <c r="S324" s="111"/>
      <c r="T324" s="111"/>
      <c r="U324" s="111"/>
      <c r="V324" s="111"/>
      <c r="W324" s="111"/>
      <c r="X324" s="123"/>
      <c r="AI324" s="222" t="str">
        <f t="shared" si="9"/>
        <v/>
      </c>
    </row>
    <row r="325" spans="1:35" s="108" customFormat="1" ht="15.75">
      <c r="A325" s="119"/>
      <c r="B325" s="120"/>
      <c r="C325" s="111"/>
      <c r="D325" s="111"/>
      <c r="E325" s="121"/>
      <c r="F325" s="121"/>
      <c r="G325" s="113"/>
      <c r="H325" s="199" t="str">
        <f t="shared" si="8"/>
        <v/>
      </c>
      <c r="I325" s="200" t="str">
        <f>IF(H325="","",IF(AND(AI325&lt;=66),VLOOKUP(H325,'WordRead Look Up'!$A$13:$B$20,2,TRUE),IF(AND(AI325&gt;=67,AI325&lt;=72),VLOOKUP(H325,'WordRead Look Up'!$E$13:$F$20,2,TRUE),IF(AND(AI325&gt;=73,AI325&lt;=78),VLOOKUP(H325,'WordRead Look Up'!$I$13:$J$18,2,TRUE),IF(AND(AI325&gt;=79),VLOOKUP(H325,'WordRead Look Up'!$M$13:$N$18,2,TRUE),"")))))</f>
        <v/>
      </c>
      <c r="J325" s="122"/>
      <c r="K325" s="111"/>
      <c r="L325" s="111"/>
      <c r="M325" s="111"/>
      <c r="N325" s="111"/>
      <c r="O325" s="111"/>
      <c r="P325" s="111"/>
      <c r="Q325" s="111"/>
      <c r="R325" s="111"/>
      <c r="S325" s="111"/>
      <c r="T325" s="111"/>
      <c r="U325" s="111"/>
      <c r="V325" s="111"/>
      <c r="W325" s="111"/>
      <c r="X325" s="123"/>
      <c r="AI325" s="222" t="str">
        <f t="shared" si="9"/>
        <v/>
      </c>
    </row>
    <row r="326" spans="1:35" s="108" customFormat="1" ht="15.75">
      <c r="A326" s="119"/>
      <c r="B326" s="120"/>
      <c r="C326" s="111"/>
      <c r="D326" s="111"/>
      <c r="E326" s="121"/>
      <c r="F326" s="121"/>
      <c r="G326" s="113"/>
      <c r="H326" s="199" t="str">
        <f t="shared" si="8"/>
        <v/>
      </c>
      <c r="I326" s="200" t="str">
        <f>IF(H326="","",IF(AND(AI326&lt;=66),VLOOKUP(H326,'WordRead Look Up'!$A$13:$B$20,2,TRUE),IF(AND(AI326&gt;=67,AI326&lt;=72),VLOOKUP(H326,'WordRead Look Up'!$E$13:$F$20,2,TRUE),IF(AND(AI326&gt;=73,AI326&lt;=78),VLOOKUP(H326,'WordRead Look Up'!$I$13:$J$18,2,TRUE),IF(AND(AI326&gt;=79),VLOOKUP(H326,'WordRead Look Up'!$M$13:$N$18,2,TRUE),"")))))</f>
        <v/>
      </c>
      <c r="J326" s="122"/>
      <c r="K326" s="111"/>
      <c r="L326" s="111"/>
      <c r="M326" s="111"/>
      <c r="N326" s="111"/>
      <c r="O326" s="111"/>
      <c r="P326" s="111"/>
      <c r="Q326" s="111"/>
      <c r="R326" s="111"/>
      <c r="S326" s="111"/>
      <c r="T326" s="111"/>
      <c r="U326" s="111"/>
      <c r="V326" s="111"/>
      <c r="W326" s="111"/>
      <c r="X326" s="123"/>
      <c r="AI326" s="222" t="str">
        <f t="shared" si="9"/>
        <v/>
      </c>
    </row>
    <row r="327" spans="1:35" s="108" customFormat="1" ht="15.75">
      <c r="A327" s="119"/>
      <c r="B327" s="120"/>
      <c r="C327" s="111"/>
      <c r="D327" s="111"/>
      <c r="E327" s="121"/>
      <c r="F327" s="121"/>
      <c r="G327" s="113"/>
      <c r="H327" s="199" t="str">
        <f t="shared" si="8"/>
        <v/>
      </c>
      <c r="I327" s="200" t="str">
        <f>IF(H327="","",IF(AND(AI327&lt;=66),VLOOKUP(H327,'WordRead Look Up'!$A$13:$B$20,2,TRUE),IF(AND(AI327&gt;=67,AI327&lt;=72),VLOOKUP(H327,'WordRead Look Up'!$E$13:$F$20,2,TRUE),IF(AND(AI327&gt;=73,AI327&lt;=78),VLOOKUP(H327,'WordRead Look Up'!$I$13:$J$18,2,TRUE),IF(AND(AI327&gt;=79),VLOOKUP(H327,'WordRead Look Up'!$M$13:$N$18,2,TRUE),"")))))</f>
        <v/>
      </c>
      <c r="J327" s="122"/>
      <c r="K327" s="111"/>
      <c r="L327" s="111"/>
      <c r="M327" s="111"/>
      <c r="N327" s="111"/>
      <c r="O327" s="111"/>
      <c r="P327" s="111"/>
      <c r="Q327" s="111"/>
      <c r="R327" s="111"/>
      <c r="S327" s="111"/>
      <c r="T327" s="111"/>
      <c r="U327" s="111"/>
      <c r="V327" s="111"/>
      <c r="W327" s="111"/>
      <c r="X327" s="123"/>
      <c r="AI327" s="222" t="str">
        <f t="shared" si="9"/>
        <v/>
      </c>
    </row>
    <row r="328" spans="1:35" s="108" customFormat="1" ht="15.75">
      <c r="A328" s="119"/>
      <c r="B328" s="120"/>
      <c r="C328" s="111"/>
      <c r="D328" s="111"/>
      <c r="E328" s="121"/>
      <c r="F328" s="121"/>
      <c r="G328" s="113"/>
      <c r="H328" s="199" t="str">
        <f t="shared" ref="H328:H391" si="10">IF(E328="","",COUNTIF(J328:X328,"y"))</f>
        <v/>
      </c>
      <c r="I328" s="200" t="str">
        <f>IF(H328="","",IF(AND(AI328&lt;=66),VLOOKUP(H328,'WordRead Look Up'!$A$13:$B$20,2,TRUE),IF(AND(AI328&gt;=67,AI328&lt;=72),VLOOKUP(H328,'WordRead Look Up'!$E$13:$F$20,2,TRUE),IF(AND(AI328&gt;=73,AI328&lt;=78),VLOOKUP(H328,'WordRead Look Up'!$I$13:$J$18,2,TRUE),IF(AND(AI328&gt;=79),VLOOKUP(H328,'WordRead Look Up'!$M$13:$N$18,2,TRUE),"")))))</f>
        <v/>
      </c>
      <c r="J328" s="122"/>
      <c r="K328" s="111"/>
      <c r="L328" s="111"/>
      <c r="M328" s="111"/>
      <c r="N328" s="111"/>
      <c r="O328" s="111"/>
      <c r="P328" s="111"/>
      <c r="Q328" s="111"/>
      <c r="R328" s="111"/>
      <c r="S328" s="111"/>
      <c r="T328" s="111"/>
      <c r="U328" s="111"/>
      <c r="V328" s="111"/>
      <c r="W328" s="111"/>
      <c r="X328" s="123"/>
      <c r="AI328" s="222" t="str">
        <f t="shared" ref="AI328:AI391" si="11">IF(E328="","",DATEDIF(B328,A328,"m"))</f>
        <v/>
      </c>
    </row>
    <row r="329" spans="1:35" s="108" customFormat="1" ht="15.75">
      <c r="A329" s="119"/>
      <c r="B329" s="120"/>
      <c r="C329" s="111"/>
      <c r="D329" s="111"/>
      <c r="E329" s="121"/>
      <c r="F329" s="121"/>
      <c r="G329" s="113"/>
      <c r="H329" s="199" t="str">
        <f t="shared" si="10"/>
        <v/>
      </c>
      <c r="I329" s="200" t="str">
        <f>IF(H329="","",IF(AND(AI329&lt;=66),VLOOKUP(H329,'WordRead Look Up'!$A$13:$B$20,2,TRUE),IF(AND(AI329&gt;=67,AI329&lt;=72),VLOOKUP(H329,'WordRead Look Up'!$E$13:$F$20,2,TRUE),IF(AND(AI329&gt;=73,AI329&lt;=78),VLOOKUP(H329,'WordRead Look Up'!$I$13:$J$18,2,TRUE),IF(AND(AI329&gt;=79),VLOOKUP(H329,'WordRead Look Up'!$M$13:$N$18,2,TRUE),"")))))</f>
        <v/>
      </c>
      <c r="J329" s="122"/>
      <c r="K329" s="111"/>
      <c r="L329" s="111"/>
      <c r="M329" s="111"/>
      <c r="N329" s="111"/>
      <c r="O329" s="111"/>
      <c r="P329" s="111"/>
      <c r="Q329" s="111"/>
      <c r="R329" s="111"/>
      <c r="S329" s="111"/>
      <c r="T329" s="111"/>
      <c r="U329" s="111"/>
      <c r="V329" s="111"/>
      <c r="W329" s="111"/>
      <c r="X329" s="123"/>
      <c r="AI329" s="222" t="str">
        <f t="shared" si="11"/>
        <v/>
      </c>
    </row>
    <row r="330" spans="1:35" s="108" customFormat="1" ht="15.75">
      <c r="A330" s="119"/>
      <c r="B330" s="120"/>
      <c r="C330" s="111"/>
      <c r="D330" s="111"/>
      <c r="E330" s="121"/>
      <c r="F330" s="121"/>
      <c r="G330" s="113"/>
      <c r="H330" s="199" t="str">
        <f t="shared" si="10"/>
        <v/>
      </c>
      <c r="I330" s="200" t="str">
        <f>IF(H330="","",IF(AND(AI330&lt;=66),VLOOKUP(H330,'WordRead Look Up'!$A$13:$B$20,2,TRUE),IF(AND(AI330&gt;=67,AI330&lt;=72),VLOOKUP(H330,'WordRead Look Up'!$E$13:$F$20,2,TRUE),IF(AND(AI330&gt;=73,AI330&lt;=78),VLOOKUP(H330,'WordRead Look Up'!$I$13:$J$18,2,TRUE),IF(AND(AI330&gt;=79),VLOOKUP(H330,'WordRead Look Up'!$M$13:$N$18,2,TRUE),"")))))</f>
        <v/>
      </c>
      <c r="J330" s="122"/>
      <c r="K330" s="111"/>
      <c r="L330" s="111"/>
      <c r="M330" s="111"/>
      <c r="N330" s="111"/>
      <c r="O330" s="111"/>
      <c r="P330" s="111"/>
      <c r="Q330" s="111"/>
      <c r="R330" s="111"/>
      <c r="S330" s="111"/>
      <c r="T330" s="111"/>
      <c r="U330" s="111"/>
      <c r="V330" s="111"/>
      <c r="W330" s="111"/>
      <c r="X330" s="123"/>
      <c r="AI330" s="222" t="str">
        <f t="shared" si="11"/>
        <v/>
      </c>
    </row>
    <row r="331" spans="1:35" s="108" customFormat="1" ht="15.75">
      <c r="A331" s="119"/>
      <c r="B331" s="120"/>
      <c r="C331" s="111"/>
      <c r="D331" s="111"/>
      <c r="E331" s="121"/>
      <c r="F331" s="121"/>
      <c r="G331" s="113"/>
      <c r="H331" s="199" t="str">
        <f t="shared" si="10"/>
        <v/>
      </c>
      <c r="I331" s="200" t="str">
        <f>IF(H331="","",IF(AND(AI331&lt;=66),VLOOKUP(H331,'WordRead Look Up'!$A$13:$B$20,2,TRUE),IF(AND(AI331&gt;=67,AI331&lt;=72),VLOOKUP(H331,'WordRead Look Up'!$E$13:$F$20,2,TRUE),IF(AND(AI331&gt;=73,AI331&lt;=78),VLOOKUP(H331,'WordRead Look Up'!$I$13:$J$18,2,TRUE),IF(AND(AI331&gt;=79),VLOOKUP(H331,'WordRead Look Up'!$M$13:$N$18,2,TRUE),"")))))</f>
        <v/>
      </c>
      <c r="J331" s="122"/>
      <c r="K331" s="111"/>
      <c r="L331" s="111"/>
      <c r="M331" s="111"/>
      <c r="N331" s="111"/>
      <c r="O331" s="111"/>
      <c r="P331" s="111"/>
      <c r="Q331" s="111"/>
      <c r="R331" s="111"/>
      <c r="S331" s="111"/>
      <c r="T331" s="111"/>
      <c r="U331" s="111"/>
      <c r="V331" s="111"/>
      <c r="W331" s="111"/>
      <c r="X331" s="123"/>
      <c r="AI331" s="222" t="str">
        <f t="shared" si="11"/>
        <v/>
      </c>
    </row>
    <row r="332" spans="1:35" s="108" customFormat="1" ht="15.75">
      <c r="A332" s="119"/>
      <c r="B332" s="120"/>
      <c r="C332" s="111"/>
      <c r="D332" s="111"/>
      <c r="E332" s="121"/>
      <c r="F332" s="121"/>
      <c r="G332" s="113"/>
      <c r="H332" s="199" t="str">
        <f t="shared" si="10"/>
        <v/>
      </c>
      <c r="I332" s="200" t="str">
        <f>IF(H332="","",IF(AND(AI332&lt;=66),VLOOKUP(H332,'WordRead Look Up'!$A$13:$B$20,2,TRUE),IF(AND(AI332&gt;=67,AI332&lt;=72),VLOOKUP(H332,'WordRead Look Up'!$E$13:$F$20,2,TRUE),IF(AND(AI332&gt;=73,AI332&lt;=78),VLOOKUP(H332,'WordRead Look Up'!$I$13:$J$18,2,TRUE),IF(AND(AI332&gt;=79),VLOOKUP(H332,'WordRead Look Up'!$M$13:$N$18,2,TRUE),"")))))</f>
        <v/>
      </c>
      <c r="J332" s="122"/>
      <c r="K332" s="111"/>
      <c r="L332" s="111"/>
      <c r="M332" s="111"/>
      <c r="N332" s="111"/>
      <c r="O332" s="111"/>
      <c r="P332" s="111"/>
      <c r="Q332" s="111"/>
      <c r="R332" s="111"/>
      <c r="S332" s="111"/>
      <c r="T332" s="111"/>
      <c r="U332" s="111"/>
      <c r="V332" s="111"/>
      <c r="W332" s="111"/>
      <c r="X332" s="123"/>
      <c r="AI332" s="222" t="str">
        <f t="shared" si="11"/>
        <v/>
      </c>
    </row>
    <row r="333" spans="1:35" s="108" customFormat="1" ht="15.75">
      <c r="A333" s="119"/>
      <c r="B333" s="120"/>
      <c r="C333" s="111"/>
      <c r="D333" s="111"/>
      <c r="E333" s="121"/>
      <c r="F333" s="121"/>
      <c r="G333" s="113"/>
      <c r="H333" s="199" t="str">
        <f t="shared" si="10"/>
        <v/>
      </c>
      <c r="I333" s="200" t="str">
        <f>IF(H333="","",IF(AND(AI333&lt;=66),VLOOKUP(H333,'WordRead Look Up'!$A$13:$B$20,2,TRUE),IF(AND(AI333&gt;=67,AI333&lt;=72),VLOOKUP(H333,'WordRead Look Up'!$E$13:$F$20,2,TRUE),IF(AND(AI333&gt;=73,AI333&lt;=78),VLOOKUP(H333,'WordRead Look Up'!$I$13:$J$18,2,TRUE),IF(AND(AI333&gt;=79),VLOOKUP(H333,'WordRead Look Up'!$M$13:$N$18,2,TRUE),"")))))</f>
        <v/>
      </c>
      <c r="J333" s="122"/>
      <c r="K333" s="111"/>
      <c r="L333" s="111"/>
      <c r="M333" s="111"/>
      <c r="N333" s="111"/>
      <c r="O333" s="111"/>
      <c r="P333" s="111"/>
      <c r="Q333" s="111"/>
      <c r="R333" s="111"/>
      <c r="S333" s="111"/>
      <c r="T333" s="111"/>
      <c r="U333" s="111"/>
      <c r="V333" s="111"/>
      <c r="W333" s="111"/>
      <c r="X333" s="123"/>
      <c r="AI333" s="222" t="str">
        <f t="shared" si="11"/>
        <v/>
      </c>
    </row>
    <row r="334" spans="1:35" s="108" customFormat="1" ht="15.75">
      <c r="A334" s="119"/>
      <c r="B334" s="120"/>
      <c r="C334" s="111"/>
      <c r="D334" s="111"/>
      <c r="E334" s="121"/>
      <c r="F334" s="121"/>
      <c r="G334" s="113"/>
      <c r="H334" s="199" t="str">
        <f t="shared" si="10"/>
        <v/>
      </c>
      <c r="I334" s="200" t="str">
        <f>IF(H334="","",IF(AND(AI334&lt;=66),VLOOKUP(H334,'WordRead Look Up'!$A$13:$B$20,2,TRUE),IF(AND(AI334&gt;=67,AI334&lt;=72),VLOOKUP(H334,'WordRead Look Up'!$E$13:$F$20,2,TRUE),IF(AND(AI334&gt;=73,AI334&lt;=78),VLOOKUP(H334,'WordRead Look Up'!$I$13:$J$18,2,TRUE),IF(AND(AI334&gt;=79),VLOOKUP(H334,'WordRead Look Up'!$M$13:$N$18,2,TRUE),"")))))</f>
        <v/>
      </c>
      <c r="J334" s="122"/>
      <c r="K334" s="111"/>
      <c r="L334" s="111"/>
      <c r="M334" s="111"/>
      <c r="N334" s="111"/>
      <c r="O334" s="111"/>
      <c r="P334" s="111"/>
      <c r="Q334" s="111"/>
      <c r="R334" s="111"/>
      <c r="S334" s="111"/>
      <c r="T334" s="111"/>
      <c r="U334" s="111"/>
      <c r="V334" s="111"/>
      <c r="W334" s="111"/>
      <c r="X334" s="123"/>
      <c r="AI334" s="222" t="str">
        <f t="shared" si="11"/>
        <v/>
      </c>
    </row>
    <row r="335" spans="1:35" s="108" customFormat="1" ht="15.75">
      <c r="A335" s="119"/>
      <c r="B335" s="120"/>
      <c r="C335" s="111"/>
      <c r="D335" s="111"/>
      <c r="E335" s="121"/>
      <c r="F335" s="121"/>
      <c r="G335" s="113"/>
      <c r="H335" s="199" t="str">
        <f t="shared" si="10"/>
        <v/>
      </c>
      <c r="I335" s="200" t="str">
        <f>IF(H335="","",IF(AND(AI335&lt;=66),VLOOKUP(H335,'WordRead Look Up'!$A$13:$B$20,2,TRUE),IF(AND(AI335&gt;=67,AI335&lt;=72),VLOOKUP(H335,'WordRead Look Up'!$E$13:$F$20,2,TRUE),IF(AND(AI335&gt;=73,AI335&lt;=78),VLOOKUP(H335,'WordRead Look Up'!$I$13:$J$18,2,TRUE),IF(AND(AI335&gt;=79),VLOOKUP(H335,'WordRead Look Up'!$M$13:$N$18,2,TRUE),"")))))</f>
        <v/>
      </c>
      <c r="J335" s="122"/>
      <c r="K335" s="111"/>
      <c r="L335" s="111"/>
      <c r="M335" s="111"/>
      <c r="N335" s="111"/>
      <c r="O335" s="111"/>
      <c r="P335" s="111"/>
      <c r="Q335" s="111"/>
      <c r="R335" s="111"/>
      <c r="S335" s="111"/>
      <c r="T335" s="111"/>
      <c r="U335" s="111"/>
      <c r="V335" s="111"/>
      <c r="W335" s="111"/>
      <c r="X335" s="123"/>
      <c r="AI335" s="222" t="str">
        <f t="shared" si="11"/>
        <v/>
      </c>
    </row>
    <row r="336" spans="1:35" s="108" customFormat="1" ht="15.75">
      <c r="A336" s="119"/>
      <c r="B336" s="120"/>
      <c r="C336" s="111"/>
      <c r="D336" s="111"/>
      <c r="E336" s="121"/>
      <c r="F336" s="121"/>
      <c r="G336" s="113"/>
      <c r="H336" s="199" t="str">
        <f t="shared" si="10"/>
        <v/>
      </c>
      <c r="I336" s="200" t="str">
        <f>IF(H336="","",IF(AND(AI336&lt;=66),VLOOKUP(H336,'WordRead Look Up'!$A$13:$B$20,2,TRUE),IF(AND(AI336&gt;=67,AI336&lt;=72),VLOOKUP(H336,'WordRead Look Up'!$E$13:$F$20,2,TRUE),IF(AND(AI336&gt;=73,AI336&lt;=78),VLOOKUP(H336,'WordRead Look Up'!$I$13:$J$18,2,TRUE),IF(AND(AI336&gt;=79),VLOOKUP(H336,'WordRead Look Up'!$M$13:$N$18,2,TRUE),"")))))</f>
        <v/>
      </c>
      <c r="J336" s="122"/>
      <c r="K336" s="111"/>
      <c r="L336" s="111"/>
      <c r="M336" s="111"/>
      <c r="N336" s="111"/>
      <c r="O336" s="111"/>
      <c r="P336" s="111"/>
      <c r="Q336" s="111"/>
      <c r="R336" s="111"/>
      <c r="S336" s="111"/>
      <c r="T336" s="111"/>
      <c r="U336" s="111"/>
      <c r="V336" s="111"/>
      <c r="W336" s="111"/>
      <c r="X336" s="123"/>
      <c r="AI336" s="222" t="str">
        <f t="shared" si="11"/>
        <v/>
      </c>
    </row>
    <row r="337" spans="1:35" s="108" customFormat="1" ht="15.75">
      <c r="A337" s="119"/>
      <c r="B337" s="120"/>
      <c r="C337" s="111"/>
      <c r="D337" s="111"/>
      <c r="E337" s="121"/>
      <c r="F337" s="121"/>
      <c r="G337" s="113"/>
      <c r="H337" s="199" t="str">
        <f t="shared" si="10"/>
        <v/>
      </c>
      <c r="I337" s="200" t="str">
        <f>IF(H337="","",IF(AND(AI337&lt;=66),VLOOKUP(H337,'WordRead Look Up'!$A$13:$B$20,2,TRUE),IF(AND(AI337&gt;=67,AI337&lt;=72),VLOOKUP(H337,'WordRead Look Up'!$E$13:$F$20,2,TRUE),IF(AND(AI337&gt;=73,AI337&lt;=78),VLOOKUP(H337,'WordRead Look Up'!$I$13:$J$18,2,TRUE),IF(AND(AI337&gt;=79),VLOOKUP(H337,'WordRead Look Up'!$M$13:$N$18,2,TRUE),"")))))</f>
        <v/>
      </c>
      <c r="J337" s="122"/>
      <c r="K337" s="111"/>
      <c r="L337" s="111"/>
      <c r="M337" s="111"/>
      <c r="N337" s="111"/>
      <c r="O337" s="111"/>
      <c r="P337" s="111"/>
      <c r="Q337" s="111"/>
      <c r="R337" s="111"/>
      <c r="S337" s="111"/>
      <c r="T337" s="111"/>
      <c r="U337" s="111"/>
      <c r="V337" s="111"/>
      <c r="W337" s="111"/>
      <c r="X337" s="123"/>
      <c r="AI337" s="222" t="str">
        <f t="shared" si="11"/>
        <v/>
      </c>
    </row>
    <row r="338" spans="1:35" s="108" customFormat="1" ht="15.75">
      <c r="A338" s="119"/>
      <c r="B338" s="120"/>
      <c r="C338" s="111"/>
      <c r="D338" s="111"/>
      <c r="E338" s="121"/>
      <c r="F338" s="121"/>
      <c r="G338" s="113"/>
      <c r="H338" s="199" t="str">
        <f t="shared" si="10"/>
        <v/>
      </c>
      <c r="I338" s="200" t="str">
        <f>IF(H338="","",IF(AND(AI338&lt;=66),VLOOKUP(H338,'WordRead Look Up'!$A$13:$B$20,2,TRUE),IF(AND(AI338&gt;=67,AI338&lt;=72),VLOOKUP(H338,'WordRead Look Up'!$E$13:$F$20,2,TRUE),IF(AND(AI338&gt;=73,AI338&lt;=78),VLOOKUP(H338,'WordRead Look Up'!$I$13:$J$18,2,TRUE),IF(AND(AI338&gt;=79),VLOOKUP(H338,'WordRead Look Up'!$M$13:$N$18,2,TRUE),"")))))</f>
        <v/>
      </c>
      <c r="J338" s="122"/>
      <c r="K338" s="111"/>
      <c r="L338" s="111"/>
      <c r="M338" s="111"/>
      <c r="N338" s="111"/>
      <c r="O338" s="111"/>
      <c r="P338" s="111"/>
      <c r="Q338" s="111"/>
      <c r="R338" s="111"/>
      <c r="S338" s="111"/>
      <c r="T338" s="111"/>
      <c r="U338" s="111"/>
      <c r="V338" s="111"/>
      <c r="W338" s="111"/>
      <c r="X338" s="123"/>
      <c r="AI338" s="222" t="str">
        <f t="shared" si="11"/>
        <v/>
      </c>
    </row>
    <row r="339" spans="1:35" s="108" customFormat="1" ht="15.75">
      <c r="A339" s="119"/>
      <c r="B339" s="120"/>
      <c r="C339" s="111"/>
      <c r="D339" s="111"/>
      <c r="E339" s="121"/>
      <c r="F339" s="121"/>
      <c r="G339" s="113"/>
      <c r="H339" s="199" t="str">
        <f t="shared" si="10"/>
        <v/>
      </c>
      <c r="I339" s="200" t="str">
        <f>IF(H339="","",IF(AND(AI339&lt;=66),VLOOKUP(H339,'WordRead Look Up'!$A$13:$B$20,2,TRUE),IF(AND(AI339&gt;=67,AI339&lt;=72),VLOOKUP(H339,'WordRead Look Up'!$E$13:$F$20,2,TRUE),IF(AND(AI339&gt;=73,AI339&lt;=78),VLOOKUP(H339,'WordRead Look Up'!$I$13:$J$18,2,TRUE),IF(AND(AI339&gt;=79),VLOOKUP(H339,'WordRead Look Up'!$M$13:$N$18,2,TRUE),"")))))</f>
        <v/>
      </c>
      <c r="J339" s="122"/>
      <c r="K339" s="111"/>
      <c r="L339" s="111"/>
      <c r="M339" s="111"/>
      <c r="N339" s="111"/>
      <c r="O339" s="111"/>
      <c r="P339" s="111"/>
      <c r="Q339" s="111"/>
      <c r="R339" s="111"/>
      <c r="S339" s="111"/>
      <c r="T339" s="111"/>
      <c r="U339" s="111"/>
      <c r="V339" s="111"/>
      <c r="W339" s="111"/>
      <c r="X339" s="123"/>
      <c r="AI339" s="222" t="str">
        <f t="shared" si="11"/>
        <v/>
      </c>
    </row>
    <row r="340" spans="1:35" s="108" customFormat="1" ht="15.75">
      <c r="A340" s="119"/>
      <c r="B340" s="120"/>
      <c r="C340" s="111"/>
      <c r="D340" s="111"/>
      <c r="E340" s="121"/>
      <c r="F340" s="121"/>
      <c r="G340" s="113"/>
      <c r="H340" s="199" t="str">
        <f t="shared" si="10"/>
        <v/>
      </c>
      <c r="I340" s="200" t="str">
        <f>IF(H340="","",IF(AND(AI340&lt;=66),VLOOKUP(H340,'WordRead Look Up'!$A$13:$B$20,2,TRUE),IF(AND(AI340&gt;=67,AI340&lt;=72),VLOOKUP(H340,'WordRead Look Up'!$E$13:$F$20,2,TRUE),IF(AND(AI340&gt;=73,AI340&lt;=78),VLOOKUP(H340,'WordRead Look Up'!$I$13:$J$18,2,TRUE),IF(AND(AI340&gt;=79),VLOOKUP(H340,'WordRead Look Up'!$M$13:$N$18,2,TRUE),"")))))</f>
        <v/>
      </c>
      <c r="J340" s="122"/>
      <c r="K340" s="111"/>
      <c r="L340" s="111"/>
      <c r="M340" s="111"/>
      <c r="N340" s="111"/>
      <c r="O340" s="111"/>
      <c r="P340" s="111"/>
      <c r="Q340" s="111"/>
      <c r="R340" s="111"/>
      <c r="S340" s="111"/>
      <c r="T340" s="111"/>
      <c r="U340" s="111"/>
      <c r="V340" s="111"/>
      <c r="W340" s="111"/>
      <c r="X340" s="123"/>
      <c r="AI340" s="222" t="str">
        <f t="shared" si="11"/>
        <v/>
      </c>
    </row>
    <row r="341" spans="1:35" s="108" customFormat="1" ht="15.75">
      <c r="A341" s="119"/>
      <c r="B341" s="120"/>
      <c r="C341" s="111"/>
      <c r="D341" s="111"/>
      <c r="E341" s="121"/>
      <c r="F341" s="121"/>
      <c r="G341" s="113"/>
      <c r="H341" s="199" t="str">
        <f t="shared" si="10"/>
        <v/>
      </c>
      <c r="I341" s="200" t="str">
        <f>IF(H341="","",IF(AND(AI341&lt;=66),VLOOKUP(H341,'WordRead Look Up'!$A$13:$B$20,2,TRUE),IF(AND(AI341&gt;=67,AI341&lt;=72),VLOOKUP(H341,'WordRead Look Up'!$E$13:$F$20,2,TRUE),IF(AND(AI341&gt;=73,AI341&lt;=78),VLOOKUP(H341,'WordRead Look Up'!$I$13:$J$18,2,TRUE),IF(AND(AI341&gt;=79),VLOOKUP(H341,'WordRead Look Up'!$M$13:$N$18,2,TRUE),"")))))</f>
        <v/>
      </c>
      <c r="J341" s="122"/>
      <c r="K341" s="111"/>
      <c r="L341" s="111"/>
      <c r="M341" s="111"/>
      <c r="N341" s="111"/>
      <c r="O341" s="111"/>
      <c r="P341" s="111"/>
      <c r="Q341" s="111"/>
      <c r="R341" s="111"/>
      <c r="S341" s="111"/>
      <c r="T341" s="111"/>
      <c r="U341" s="111"/>
      <c r="V341" s="111"/>
      <c r="W341" s="111"/>
      <c r="X341" s="123"/>
      <c r="AI341" s="222" t="str">
        <f t="shared" si="11"/>
        <v/>
      </c>
    </row>
    <row r="342" spans="1:35" s="108" customFormat="1" ht="15.75">
      <c r="A342" s="119"/>
      <c r="B342" s="120"/>
      <c r="C342" s="111"/>
      <c r="D342" s="111"/>
      <c r="E342" s="121"/>
      <c r="F342" s="121"/>
      <c r="G342" s="113"/>
      <c r="H342" s="199" t="str">
        <f t="shared" si="10"/>
        <v/>
      </c>
      <c r="I342" s="200" t="str">
        <f>IF(H342="","",IF(AND(AI342&lt;=66),VLOOKUP(H342,'WordRead Look Up'!$A$13:$B$20,2,TRUE),IF(AND(AI342&gt;=67,AI342&lt;=72),VLOOKUP(H342,'WordRead Look Up'!$E$13:$F$20,2,TRUE),IF(AND(AI342&gt;=73,AI342&lt;=78),VLOOKUP(H342,'WordRead Look Up'!$I$13:$J$18,2,TRUE),IF(AND(AI342&gt;=79),VLOOKUP(H342,'WordRead Look Up'!$M$13:$N$18,2,TRUE),"")))))</f>
        <v/>
      </c>
      <c r="J342" s="122"/>
      <c r="K342" s="111"/>
      <c r="L342" s="111"/>
      <c r="M342" s="111"/>
      <c r="N342" s="111"/>
      <c r="O342" s="111"/>
      <c r="P342" s="111"/>
      <c r="Q342" s="111"/>
      <c r="R342" s="111"/>
      <c r="S342" s="111"/>
      <c r="T342" s="111"/>
      <c r="U342" s="111"/>
      <c r="V342" s="111"/>
      <c r="W342" s="111"/>
      <c r="X342" s="123"/>
      <c r="AI342" s="222" t="str">
        <f t="shared" si="11"/>
        <v/>
      </c>
    </row>
    <row r="343" spans="1:35" s="108" customFormat="1" ht="15.75">
      <c r="A343" s="119"/>
      <c r="B343" s="120"/>
      <c r="C343" s="111"/>
      <c r="D343" s="111"/>
      <c r="E343" s="121"/>
      <c r="F343" s="121"/>
      <c r="G343" s="113"/>
      <c r="H343" s="199" t="str">
        <f t="shared" si="10"/>
        <v/>
      </c>
      <c r="I343" s="200" t="str">
        <f>IF(H343="","",IF(AND(AI343&lt;=66),VLOOKUP(H343,'WordRead Look Up'!$A$13:$B$20,2,TRUE),IF(AND(AI343&gt;=67,AI343&lt;=72),VLOOKUP(H343,'WordRead Look Up'!$E$13:$F$20,2,TRUE),IF(AND(AI343&gt;=73,AI343&lt;=78),VLOOKUP(H343,'WordRead Look Up'!$I$13:$J$18,2,TRUE),IF(AND(AI343&gt;=79),VLOOKUP(H343,'WordRead Look Up'!$M$13:$N$18,2,TRUE),"")))))</f>
        <v/>
      </c>
      <c r="J343" s="122"/>
      <c r="K343" s="111"/>
      <c r="L343" s="111"/>
      <c r="M343" s="111"/>
      <c r="N343" s="111"/>
      <c r="O343" s="111"/>
      <c r="P343" s="111"/>
      <c r="Q343" s="111"/>
      <c r="R343" s="111"/>
      <c r="S343" s="111"/>
      <c r="T343" s="111"/>
      <c r="U343" s="111"/>
      <c r="V343" s="111"/>
      <c r="W343" s="111"/>
      <c r="X343" s="123"/>
      <c r="AI343" s="222" t="str">
        <f t="shared" si="11"/>
        <v/>
      </c>
    </row>
    <row r="344" spans="1:35" s="108" customFormat="1" ht="15.75">
      <c r="A344" s="119"/>
      <c r="B344" s="120"/>
      <c r="C344" s="111"/>
      <c r="D344" s="111"/>
      <c r="E344" s="121"/>
      <c r="F344" s="121"/>
      <c r="G344" s="113"/>
      <c r="H344" s="199" t="str">
        <f t="shared" si="10"/>
        <v/>
      </c>
      <c r="I344" s="200" t="str">
        <f>IF(H344="","",IF(AND(AI344&lt;=66),VLOOKUP(H344,'WordRead Look Up'!$A$13:$B$20,2,TRUE),IF(AND(AI344&gt;=67,AI344&lt;=72),VLOOKUP(H344,'WordRead Look Up'!$E$13:$F$20,2,TRUE),IF(AND(AI344&gt;=73,AI344&lt;=78),VLOOKUP(H344,'WordRead Look Up'!$I$13:$J$18,2,TRUE),IF(AND(AI344&gt;=79),VLOOKUP(H344,'WordRead Look Up'!$M$13:$N$18,2,TRUE),"")))))</f>
        <v/>
      </c>
      <c r="J344" s="122"/>
      <c r="K344" s="111"/>
      <c r="L344" s="111"/>
      <c r="M344" s="111"/>
      <c r="N344" s="111"/>
      <c r="O344" s="111"/>
      <c r="P344" s="111"/>
      <c r="Q344" s="111"/>
      <c r="R344" s="111"/>
      <c r="S344" s="111"/>
      <c r="T344" s="111"/>
      <c r="U344" s="111"/>
      <c r="V344" s="111"/>
      <c r="W344" s="111"/>
      <c r="X344" s="123"/>
      <c r="AI344" s="222" t="str">
        <f t="shared" si="11"/>
        <v/>
      </c>
    </row>
    <row r="345" spans="1:35" s="108" customFormat="1" ht="15.75">
      <c r="A345" s="119"/>
      <c r="B345" s="120"/>
      <c r="C345" s="111"/>
      <c r="D345" s="111"/>
      <c r="E345" s="121"/>
      <c r="F345" s="121"/>
      <c r="G345" s="113"/>
      <c r="H345" s="199" t="str">
        <f t="shared" si="10"/>
        <v/>
      </c>
      <c r="I345" s="200" t="str">
        <f>IF(H345="","",IF(AND(AI345&lt;=66),VLOOKUP(H345,'WordRead Look Up'!$A$13:$B$20,2,TRUE),IF(AND(AI345&gt;=67,AI345&lt;=72),VLOOKUP(H345,'WordRead Look Up'!$E$13:$F$20,2,TRUE),IF(AND(AI345&gt;=73,AI345&lt;=78),VLOOKUP(H345,'WordRead Look Up'!$I$13:$J$18,2,TRUE),IF(AND(AI345&gt;=79),VLOOKUP(H345,'WordRead Look Up'!$M$13:$N$18,2,TRUE),"")))))</f>
        <v/>
      </c>
      <c r="J345" s="122"/>
      <c r="K345" s="111"/>
      <c r="L345" s="111"/>
      <c r="M345" s="111"/>
      <c r="N345" s="111"/>
      <c r="O345" s="111"/>
      <c r="P345" s="111"/>
      <c r="Q345" s="111"/>
      <c r="R345" s="111"/>
      <c r="S345" s="111"/>
      <c r="T345" s="111"/>
      <c r="U345" s="111"/>
      <c r="V345" s="111"/>
      <c r="W345" s="111"/>
      <c r="X345" s="123"/>
      <c r="AI345" s="222" t="str">
        <f t="shared" si="11"/>
        <v/>
      </c>
    </row>
    <row r="346" spans="1:35" s="108" customFormat="1" ht="15.75">
      <c r="A346" s="119"/>
      <c r="B346" s="120"/>
      <c r="C346" s="111"/>
      <c r="D346" s="111"/>
      <c r="E346" s="121"/>
      <c r="F346" s="121"/>
      <c r="G346" s="113"/>
      <c r="H346" s="199" t="str">
        <f t="shared" si="10"/>
        <v/>
      </c>
      <c r="I346" s="200" t="str">
        <f>IF(H346="","",IF(AND(AI346&lt;=66),VLOOKUP(H346,'WordRead Look Up'!$A$13:$B$20,2,TRUE),IF(AND(AI346&gt;=67,AI346&lt;=72),VLOOKUP(H346,'WordRead Look Up'!$E$13:$F$20,2,TRUE),IF(AND(AI346&gt;=73,AI346&lt;=78),VLOOKUP(H346,'WordRead Look Up'!$I$13:$J$18,2,TRUE),IF(AND(AI346&gt;=79),VLOOKUP(H346,'WordRead Look Up'!$M$13:$N$18,2,TRUE),"")))))</f>
        <v/>
      </c>
      <c r="J346" s="122"/>
      <c r="K346" s="111"/>
      <c r="L346" s="111"/>
      <c r="M346" s="111"/>
      <c r="N346" s="111"/>
      <c r="O346" s="111"/>
      <c r="P346" s="111"/>
      <c r="Q346" s="111"/>
      <c r="R346" s="111"/>
      <c r="S346" s="111"/>
      <c r="T346" s="111"/>
      <c r="U346" s="111"/>
      <c r="V346" s="111"/>
      <c r="W346" s="111"/>
      <c r="X346" s="123"/>
      <c r="AI346" s="222" t="str">
        <f t="shared" si="11"/>
        <v/>
      </c>
    </row>
    <row r="347" spans="1:35" s="108" customFormat="1" ht="15.75">
      <c r="A347" s="119"/>
      <c r="B347" s="120"/>
      <c r="C347" s="111"/>
      <c r="D347" s="111"/>
      <c r="E347" s="121"/>
      <c r="F347" s="121"/>
      <c r="G347" s="113"/>
      <c r="H347" s="199" t="str">
        <f t="shared" si="10"/>
        <v/>
      </c>
      <c r="I347" s="200" t="str">
        <f>IF(H347="","",IF(AND(AI347&lt;=66),VLOOKUP(H347,'WordRead Look Up'!$A$13:$B$20,2,TRUE),IF(AND(AI347&gt;=67,AI347&lt;=72),VLOOKUP(H347,'WordRead Look Up'!$E$13:$F$20,2,TRUE),IF(AND(AI347&gt;=73,AI347&lt;=78),VLOOKUP(H347,'WordRead Look Up'!$I$13:$J$18,2,TRUE),IF(AND(AI347&gt;=79),VLOOKUP(H347,'WordRead Look Up'!$M$13:$N$18,2,TRUE),"")))))</f>
        <v/>
      </c>
      <c r="J347" s="122"/>
      <c r="K347" s="111"/>
      <c r="L347" s="111"/>
      <c r="M347" s="111"/>
      <c r="N347" s="111"/>
      <c r="O347" s="111"/>
      <c r="P347" s="111"/>
      <c r="Q347" s="111"/>
      <c r="R347" s="111"/>
      <c r="S347" s="111"/>
      <c r="T347" s="111"/>
      <c r="U347" s="111"/>
      <c r="V347" s="111"/>
      <c r="W347" s="111"/>
      <c r="X347" s="123"/>
      <c r="AI347" s="222" t="str">
        <f t="shared" si="11"/>
        <v/>
      </c>
    </row>
    <row r="348" spans="1:35" s="108" customFormat="1" ht="15.75">
      <c r="A348" s="119"/>
      <c r="B348" s="120"/>
      <c r="C348" s="111"/>
      <c r="D348" s="111"/>
      <c r="E348" s="121"/>
      <c r="F348" s="121"/>
      <c r="G348" s="113"/>
      <c r="H348" s="199" t="str">
        <f t="shared" si="10"/>
        <v/>
      </c>
      <c r="I348" s="200" t="str">
        <f>IF(H348="","",IF(AND(AI348&lt;=66),VLOOKUP(H348,'WordRead Look Up'!$A$13:$B$20,2,TRUE),IF(AND(AI348&gt;=67,AI348&lt;=72),VLOOKUP(H348,'WordRead Look Up'!$E$13:$F$20,2,TRUE),IF(AND(AI348&gt;=73,AI348&lt;=78),VLOOKUP(H348,'WordRead Look Up'!$I$13:$J$18,2,TRUE),IF(AND(AI348&gt;=79),VLOOKUP(H348,'WordRead Look Up'!$M$13:$N$18,2,TRUE),"")))))</f>
        <v/>
      </c>
      <c r="J348" s="122"/>
      <c r="K348" s="111"/>
      <c r="L348" s="111"/>
      <c r="M348" s="111"/>
      <c r="N348" s="111"/>
      <c r="O348" s="111"/>
      <c r="P348" s="111"/>
      <c r="Q348" s="111"/>
      <c r="R348" s="111"/>
      <c r="S348" s="111"/>
      <c r="T348" s="111"/>
      <c r="U348" s="111"/>
      <c r="V348" s="111"/>
      <c r="W348" s="111"/>
      <c r="X348" s="123"/>
      <c r="AI348" s="222" t="str">
        <f t="shared" si="11"/>
        <v/>
      </c>
    </row>
    <row r="349" spans="1:35" s="108" customFormat="1" ht="15.75">
      <c r="A349" s="119"/>
      <c r="B349" s="120"/>
      <c r="C349" s="111"/>
      <c r="D349" s="111"/>
      <c r="E349" s="121"/>
      <c r="F349" s="121"/>
      <c r="G349" s="113"/>
      <c r="H349" s="199" t="str">
        <f t="shared" si="10"/>
        <v/>
      </c>
      <c r="I349" s="200" t="str">
        <f>IF(H349="","",IF(AND(AI349&lt;=66),VLOOKUP(H349,'WordRead Look Up'!$A$13:$B$20,2,TRUE),IF(AND(AI349&gt;=67,AI349&lt;=72),VLOOKUP(H349,'WordRead Look Up'!$E$13:$F$20,2,TRUE),IF(AND(AI349&gt;=73,AI349&lt;=78),VLOOKUP(H349,'WordRead Look Up'!$I$13:$J$18,2,TRUE),IF(AND(AI349&gt;=79),VLOOKUP(H349,'WordRead Look Up'!$M$13:$N$18,2,TRUE),"")))))</f>
        <v/>
      </c>
      <c r="J349" s="122"/>
      <c r="K349" s="111"/>
      <c r="L349" s="111"/>
      <c r="M349" s="111"/>
      <c r="N349" s="111"/>
      <c r="O349" s="111"/>
      <c r="P349" s="111"/>
      <c r="Q349" s="111"/>
      <c r="R349" s="111"/>
      <c r="S349" s="111"/>
      <c r="T349" s="111"/>
      <c r="U349" s="111"/>
      <c r="V349" s="111"/>
      <c r="W349" s="111"/>
      <c r="X349" s="123"/>
      <c r="AI349" s="222" t="str">
        <f t="shared" si="11"/>
        <v/>
      </c>
    </row>
    <row r="350" spans="1:35" s="108" customFormat="1" ht="15.75">
      <c r="A350" s="119"/>
      <c r="B350" s="120"/>
      <c r="C350" s="111"/>
      <c r="D350" s="111"/>
      <c r="E350" s="121"/>
      <c r="F350" s="121"/>
      <c r="G350" s="113"/>
      <c r="H350" s="199" t="str">
        <f t="shared" si="10"/>
        <v/>
      </c>
      <c r="I350" s="200" t="str">
        <f>IF(H350="","",IF(AND(AI350&lt;=66),VLOOKUP(H350,'WordRead Look Up'!$A$13:$B$20,2,TRUE),IF(AND(AI350&gt;=67,AI350&lt;=72),VLOOKUP(H350,'WordRead Look Up'!$E$13:$F$20,2,TRUE),IF(AND(AI350&gt;=73,AI350&lt;=78),VLOOKUP(H350,'WordRead Look Up'!$I$13:$J$18,2,TRUE),IF(AND(AI350&gt;=79),VLOOKUP(H350,'WordRead Look Up'!$M$13:$N$18,2,TRUE),"")))))</f>
        <v/>
      </c>
      <c r="J350" s="122"/>
      <c r="K350" s="111"/>
      <c r="L350" s="111"/>
      <c r="M350" s="111"/>
      <c r="N350" s="111"/>
      <c r="O350" s="111"/>
      <c r="P350" s="111"/>
      <c r="Q350" s="111"/>
      <c r="R350" s="111"/>
      <c r="S350" s="111"/>
      <c r="T350" s="111"/>
      <c r="U350" s="111"/>
      <c r="V350" s="111"/>
      <c r="W350" s="111"/>
      <c r="X350" s="123"/>
      <c r="AI350" s="222" t="str">
        <f t="shared" si="11"/>
        <v/>
      </c>
    </row>
    <row r="351" spans="1:35" s="108" customFormat="1" ht="15.75">
      <c r="A351" s="119"/>
      <c r="B351" s="120"/>
      <c r="C351" s="111"/>
      <c r="D351" s="111"/>
      <c r="E351" s="121"/>
      <c r="F351" s="121"/>
      <c r="G351" s="113"/>
      <c r="H351" s="199" t="str">
        <f t="shared" si="10"/>
        <v/>
      </c>
      <c r="I351" s="200" t="str">
        <f>IF(H351="","",IF(AND(AI351&lt;=66),VLOOKUP(H351,'WordRead Look Up'!$A$13:$B$20,2,TRUE),IF(AND(AI351&gt;=67,AI351&lt;=72),VLOOKUP(H351,'WordRead Look Up'!$E$13:$F$20,2,TRUE),IF(AND(AI351&gt;=73,AI351&lt;=78),VLOOKUP(H351,'WordRead Look Up'!$I$13:$J$18,2,TRUE),IF(AND(AI351&gt;=79),VLOOKUP(H351,'WordRead Look Up'!$M$13:$N$18,2,TRUE),"")))))</f>
        <v/>
      </c>
      <c r="J351" s="122"/>
      <c r="K351" s="111"/>
      <c r="L351" s="111"/>
      <c r="M351" s="111"/>
      <c r="N351" s="111"/>
      <c r="O351" s="111"/>
      <c r="P351" s="111"/>
      <c r="Q351" s="111"/>
      <c r="R351" s="111"/>
      <c r="S351" s="111"/>
      <c r="T351" s="111"/>
      <c r="U351" s="111"/>
      <c r="V351" s="111"/>
      <c r="W351" s="111"/>
      <c r="X351" s="123"/>
      <c r="AI351" s="222" t="str">
        <f t="shared" si="11"/>
        <v/>
      </c>
    </row>
    <row r="352" spans="1:35" s="108" customFormat="1" ht="15.75">
      <c r="A352" s="119"/>
      <c r="B352" s="120"/>
      <c r="C352" s="111"/>
      <c r="D352" s="111"/>
      <c r="E352" s="121"/>
      <c r="F352" s="121"/>
      <c r="G352" s="113"/>
      <c r="H352" s="199" t="str">
        <f t="shared" si="10"/>
        <v/>
      </c>
      <c r="I352" s="200" t="str">
        <f>IF(H352="","",IF(AND(AI352&lt;=66),VLOOKUP(H352,'WordRead Look Up'!$A$13:$B$20,2,TRUE),IF(AND(AI352&gt;=67,AI352&lt;=72),VLOOKUP(H352,'WordRead Look Up'!$E$13:$F$20,2,TRUE),IF(AND(AI352&gt;=73,AI352&lt;=78),VLOOKUP(H352,'WordRead Look Up'!$I$13:$J$18,2,TRUE),IF(AND(AI352&gt;=79),VLOOKUP(H352,'WordRead Look Up'!$M$13:$N$18,2,TRUE),"")))))</f>
        <v/>
      </c>
      <c r="J352" s="122"/>
      <c r="K352" s="111"/>
      <c r="L352" s="111"/>
      <c r="M352" s="111"/>
      <c r="N352" s="111"/>
      <c r="O352" s="111"/>
      <c r="P352" s="111"/>
      <c r="Q352" s="111"/>
      <c r="R352" s="111"/>
      <c r="S352" s="111"/>
      <c r="T352" s="111"/>
      <c r="U352" s="111"/>
      <c r="V352" s="111"/>
      <c r="W352" s="111"/>
      <c r="X352" s="123"/>
      <c r="AI352" s="222" t="str">
        <f t="shared" si="11"/>
        <v/>
      </c>
    </row>
    <row r="353" spans="1:35" s="108" customFormat="1" ht="15.75">
      <c r="A353" s="119"/>
      <c r="B353" s="120"/>
      <c r="C353" s="111"/>
      <c r="D353" s="111"/>
      <c r="E353" s="121"/>
      <c r="F353" s="121"/>
      <c r="G353" s="113"/>
      <c r="H353" s="199" t="str">
        <f t="shared" si="10"/>
        <v/>
      </c>
      <c r="I353" s="200" t="str">
        <f>IF(H353="","",IF(AND(AI353&lt;=66),VLOOKUP(H353,'WordRead Look Up'!$A$13:$B$20,2,TRUE),IF(AND(AI353&gt;=67,AI353&lt;=72),VLOOKUP(H353,'WordRead Look Up'!$E$13:$F$20,2,TRUE),IF(AND(AI353&gt;=73,AI353&lt;=78),VLOOKUP(H353,'WordRead Look Up'!$I$13:$J$18,2,TRUE),IF(AND(AI353&gt;=79),VLOOKUP(H353,'WordRead Look Up'!$M$13:$N$18,2,TRUE),"")))))</f>
        <v/>
      </c>
      <c r="J353" s="122"/>
      <c r="K353" s="111"/>
      <c r="L353" s="111"/>
      <c r="M353" s="111"/>
      <c r="N353" s="111"/>
      <c r="O353" s="111"/>
      <c r="P353" s="111"/>
      <c r="Q353" s="111"/>
      <c r="R353" s="111"/>
      <c r="S353" s="111"/>
      <c r="T353" s="111"/>
      <c r="U353" s="111"/>
      <c r="V353" s="111"/>
      <c r="W353" s="111"/>
      <c r="X353" s="123"/>
      <c r="AI353" s="222" t="str">
        <f t="shared" si="11"/>
        <v/>
      </c>
    </row>
    <row r="354" spans="1:35" s="108" customFormat="1" ht="15.75">
      <c r="A354" s="119"/>
      <c r="B354" s="120"/>
      <c r="C354" s="111"/>
      <c r="D354" s="111"/>
      <c r="E354" s="121"/>
      <c r="F354" s="121"/>
      <c r="G354" s="113"/>
      <c r="H354" s="199" t="str">
        <f t="shared" si="10"/>
        <v/>
      </c>
      <c r="I354" s="200" t="str">
        <f>IF(H354="","",IF(AND(AI354&lt;=66),VLOOKUP(H354,'WordRead Look Up'!$A$13:$B$20,2,TRUE),IF(AND(AI354&gt;=67,AI354&lt;=72),VLOOKUP(H354,'WordRead Look Up'!$E$13:$F$20,2,TRUE),IF(AND(AI354&gt;=73,AI354&lt;=78),VLOOKUP(H354,'WordRead Look Up'!$I$13:$J$18,2,TRUE),IF(AND(AI354&gt;=79),VLOOKUP(H354,'WordRead Look Up'!$M$13:$N$18,2,TRUE),"")))))</f>
        <v/>
      </c>
      <c r="J354" s="122"/>
      <c r="K354" s="111"/>
      <c r="L354" s="111"/>
      <c r="M354" s="111"/>
      <c r="N354" s="111"/>
      <c r="O354" s="111"/>
      <c r="P354" s="111"/>
      <c r="Q354" s="111"/>
      <c r="R354" s="111"/>
      <c r="S354" s="111"/>
      <c r="T354" s="111"/>
      <c r="U354" s="111"/>
      <c r="V354" s="111"/>
      <c r="W354" s="111"/>
      <c r="X354" s="123"/>
      <c r="AI354" s="222" t="str">
        <f t="shared" si="11"/>
        <v/>
      </c>
    </row>
    <row r="355" spans="1:35" s="108" customFormat="1" ht="15.75">
      <c r="A355" s="119"/>
      <c r="B355" s="120"/>
      <c r="C355" s="111"/>
      <c r="D355" s="111"/>
      <c r="E355" s="121"/>
      <c r="F355" s="121"/>
      <c r="G355" s="113"/>
      <c r="H355" s="199" t="str">
        <f t="shared" si="10"/>
        <v/>
      </c>
      <c r="I355" s="200" t="str">
        <f>IF(H355="","",IF(AND(AI355&lt;=66),VLOOKUP(H355,'WordRead Look Up'!$A$13:$B$20,2,TRUE),IF(AND(AI355&gt;=67,AI355&lt;=72),VLOOKUP(H355,'WordRead Look Up'!$E$13:$F$20,2,TRUE),IF(AND(AI355&gt;=73,AI355&lt;=78),VLOOKUP(H355,'WordRead Look Up'!$I$13:$J$18,2,TRUE),IF(AND(AI355&gt;=79),VLOOKUP(H355,'WordRead Look Up'!$M$13:$N$18,2,TRUE),"")))))</f>
        <v/>
      </c>
      <c r="J355" s="122"/>
      <c r="K355" s="111"/>
      <c r="L355" s="111"/>
      <c r="M355" s="111"/>
      <c r="N355" s="111"/>
      <c r="O355" s="111"/>
      <c r="P355" s="111"/>
      <c r="Q355" s="111"/>
      <c r="R355" s="111"/>
      <c r="S355" s="111"/>
      <c r="T355" s="111"/>
      <c r="U355" s="111"/>
      <c r="V355" s="111"/>
      <c r="W355" s="111"/>
      <c r="X355" s="123"/>
      <c r="AI355" s="222" t="str">
        <f t="shared" si="11"/>
        <v/>
      </c>
    </row>
    <row r="356" spans="1:35" s="108" customFormat="1" ht="15.75">
      <c r="A356" s="119"/>
      <c r="B356" s="120"/>
      <c r="C356" s="111"/>
      <c r="D356" s="111"/>
      <c r="E356" s="121"/>
      <c r="F356" s="121"/>
      <c r="G356" s="113"/>
      <c r="H356" s="199" t="str">
        <f t="shared" si="10"/>
        <v/>
      </c>
      <c r="I356" s="200" t="str">
        <f>IF(H356="","",IF(AND(AI356&lt;=66),VLOOKUP(H356,'WordRead Look Up'!$A$13:$B$20,2,TRUE),IF(AND(AI356&gt;=67,AI356&lt;=72),VLOOKUP(H356,'WordRead Look Up'!$E$13:$F$20,2,TRUE),IF(AND(AI356&gt;=73,AI356&lt;=78),VLOOKUP(H356,'WordRead Look Up'!$I$13:$J$18,2,TRUE),IF(AND(AI356&gt;=79),VLOOKUP(H356,'WordRead Look Up'!$M$13:$N$18,2,TRUE),"")))))</f>
        <v/>
      </c>
      <c r="J356" s="122"/>
      <c r="K356" s="111"/>
      <c r="L356" s="111"/>
      <c r="M356" s="111"/>
      <c r="N356" s="111"/>
      <c r="O356" s="111"/>
      <c r="P356" s="111"/>
      <c r="Q356" s="111"/>
      <c r="R356" s="111"/>
      <c r="S356" s="111"/>
      <c r="T356" s="111"/>
      <c r="U356" s="111"/>
      <c r="V356" s="111"/>
      <c r="W356" s="111"/>
      <c r="X356" s="123"/>
      <c r="AI356" s="222" t="str">
        <f t="shared" si="11"/>
        <v/>
      </c>
    </row>
    <row r="357" spans="1:35" s="108" customFormat="1" ht="15.75">
      <c r="A357" s="119"/>
      <c r="B357" s="120"/>
      <c r="C357" s="111"/>
      <c r="D357" s="111"/>
      <c r="E357" s="121"/>
      <c r="F357" s="121"/>
      <c r="G357" s="113"/>
      <c r="H357" s="199" t="str">
        <f t="shared" si="10"/>
        <v/>
      </c>
      <c r="I357" s="200" t="str">
        <f>IF(H357="","",IF(AND(AI357&lt;=66),VLOOKUP(H357,'WordRead Look Up'!$A$13:$B$20,2,TRUE),IF(AND(AI357&gt;=67,AI357&lt;=72),VLOOKUP(H357,'WordRead Look Up'!$E$13:$F$20,2,TRUE),IF(AND(AI357&gt;=73,AI357&lt;=78),VLOOKUP(H357,'WordRead Look Up'!$I$13:$J$18,2,TRUE),IF(AND(AI357&gt;=79),VLOOKUP(H357,'WordRead Look Up'!$M$13:$N$18,2,TRUE),"")))))</f>
        <v/>
      </c>
      <c r="J357" s="122"/>
      <c r="K357" s="111"/>
      <c r="L357" s="111"/>
      <c r="M357" s="111"/>
      <c r="N357" s="111"/>
      <c r="O357" s="111"/>
      <c r="P357" s="111"/>
      <c r="Q357" s="111"/>
      <c r="R357" s="111"/>
      <c r="S357" s="111"/>
      <c r="T357" s="111"/>
      <c r="U357" s="111"/>
      <c r="V357" s="111"/>
      <c r="W357" s="111"/>
      <c r="X357" s="123"/>
      <c r="AI357" s="222" t="str">
        <f t="shared" si="11"/>
        <v/>
      </c>
    </row>
    <row r="358" spans="1:35" s="108" customFormat="1" ht="15.75">
      <c r="A358" s="119"/>
      <c r="B358" s="120"/>
      <c r="C358" s="111"/>
      <c r="D358" s="111"/>
      <c r="E358" s="121"/>
      <c r="F358" s="121"/>
      <c r="G358" s="113"/>
      <c r="H358" s="199" t="str">
        <f t="shared" si="10"/>
        <v/>
      </c>
      <c r="I358" s="200" t="str">
        <f>IF(H358="","",IF(AND(AI358&lt;=66),VLOOKUP(H358,'WordRead Look Up'!$A$13:$B$20,2,TRUE),IF(AND(AI358&gt;=67,AI358&lt;=72),VLOOKUP(H358,'WordRead Look Up'!$E$13:$F$20,2,TRUE),IF(AND(AI358&gt;=73,AI358&lt;=78),VLOOKUP(H358,'WordRead Look Up'!$I$13:$J$18,2,TRUE),IF(AND(AI358&gt;=79),VLOOKUP(H358,'WordRead Look Up'!$M$13:$N$18,2,TRUE),"")))))</f>
        <v/>
      </c>
      <c r="J358" s="122"/>
      <c r="K358" s="111"/>
      <c r="L358" s="111"/>
      <c r="M358" s="111"/>
      <c r="N358" s="111"/>
      <c r="O358" s="111"/>
      <c r="P358" s="111"/>
      <c r="Q358" s="111"/>
      <c r="R358" s="111"/>
      <c r="S358" s="111"/>
      <c r="T358" s="111"/>
      <c r="U358" s="111"/>
      <c r="V358" s="111"/>
      <c r="W358" s="111"/>
      <c r="X358" s="123"/>
      <c r="AI358" s="222" t="str">
        <f t="shared" si="11"/>
        <v/>
      </c>
    </row>
    <row r="359" spans="1:35" s="108" customFormat="1" ht="15.75">
      <c r="A359" s="119"/>
      <c r="B359" s="120"/>
      <c r="C359" s="111"/>
      <c r="D359" s="111"/>
      <c r="E359" s="121"/>
      <c r="F359" s="121"/>
      <c r="G359" s="113"/>
      <c r="H359" s="199" t="str">
        <f t="shared" si="10"/>
        <v/>
      </c>
      <c r="I359" s="200" t="str">
        <f>IF(H359="","",IF(AND(AI359&lt;=66),VLOOKUP(H359,'WordRead Look Up'!$A$13:$B$20,2,TRUE),IF(AND(AI359&gt;=67,AI359&lt;=72),VLOOKUP(H359,'WordRead Look Up'!$E$13:$F$20,2,TRUE),IF(AND(AI359&gt;=73,AI359&lt;=78),VLOOKUP(H359,'WordRead Look Up'!$I$13:$J$18,2,TRUE),IF(AND(AI359&gt;=79),VLOOKUP(H359,'WordRead Look Up'!$M$13:$N$18,2,TRUE),"")))))</f>
        <v/>
      </c>
      <c r="J359" s="122"/>
      <c r="K359" s="111"/>
      <c r="L359" s="111"/>
      <c r="M359" s="111"/>
      <c r="N359" s="111"/>
      <c r="O359" s="111"/>
      <c r="P359" s="111"/>
      <c r="Q359" s="111"/>
      <c r="R359" s="111"/>
      <c r="S359" s="111"/>
      <c r="T359" s="111"/>
      <c r="U359" s="111"/>
      <c r="V359" s="111"/>
      <c r="W359" s="111"/>
      <c r="X359" s="123"/>
      <c r="AI359" s="222" t="str">
        <f t="shared" si="11"/>
        <v/>
      </c>
    </row>
    <row r="360" spans="1:35" s="108" customFormat="1" ht="15.75">
      <c r="A360" s="119"/>
      <c r="B360" s="120"/>
      <c r="C360" s="111"/>
      <c r="D360" s="111"/>
      <c r="E360" s="121"/>
      <c r="F360" s="121"/>
      <c r="G360" s="113"/>
      <c r="H360" s="199" t="str">
        <f t="shared" si="10"/>
        <v/>
      </c>
      <c r="I360" s="200" t="str">
        <f>IF(H360="","",IF(AND(AI360&lt;=66),VLOOKUP(H360,'WordRead Look Up'!$A$13:$B$20,2,TRUE),IF(AND(AI360&gt;=67,AI360&lt;=72),VLOOKUP(H360,'WordRead Look Up'!$E$13:$F$20,2,TRUE),IF(AND(AI360&gt;=73,AI360&lt;=78),VLOOKUP(H360,'WordRead Look Up'!$I$13:$J$18,2,TRUE),IF(AND(AI360&gt;=79),VLOOKUP(H360,'WordRead Look Up'!$M$13:$N$18,2,TRUE),"")))))</f>
        <v/>
      </c>
      <c r="J360" s="122"/>
      <c r="K360" s="111"/>
      <c r="L360" s="111"/>
      <c r="M360" s="111"/>
      <c r="N360" s="111"/>
      <c r="O360" s="111"/>
      <c r="P360" s="111"/>
      <c r="Q360" s="111"/>
      <c r="R360" s="111"/>
      <c r="S360" s="111"/>
      <c r="T360" s="111"/>
      <c r="U360" s="111"/>
      <c r="V360" s="111"/>
      <c r="W360" s="111"/>
      <c r="X360" s="123"/>
      <c r="AI360" s="222" t="str">
        <f t="shared" si="11"/>
        <v/>
      </c>
    </row>
    <row r="361" spans="1:35" s="108" customFormat="1" ht="15.75">
      <c r="A361" s="119"/>
      <c r="B361" s="120"/>
      <c r="C361" s="111"/>
      <c r="D361" s="111"/>
      <c r="E361" s="121"/>
      <c r="F361" s="121"/>
      <c r="G361" s="113"/>
      <c r="H361" s="199" t="str">
        <f t="shared" si="10"/>
        <v/>
      </c>
      <c r="I361" s="200" t="str">
        <f>IF(H361="","",IF(AND(AI361&lt;=66),VLOOKUP(H361,'WordRead Look Up'!$A$13:$B$20,2,TRUE),IF(AND(AI361&gt;=67,AI361&lt;=72),VLOOKUP(H361,'WordRead Look Up'!$E$13:$F$20,2,TRUE),IF(AND(AI361&gt;=73,AI361&lt;=78),VLOOKUP(H361,'WordRead Look Up'!$I$13:$J$18,2,TRUE),IF(AND(AI361&gt;=79),VLOOKUP(H361,'WordRead Look Up'!$M$13:$N$18,2,TRUE),"")))))</f>
        <v/>
      </c>
      <c r="J361" s="122"/>
      <c r="K361" s="111"/>
      <c r="L361" s="111"/>
      <c r="M361" s="111"/>
      <c r="N361" s="111"/>
      <c r="O361" s="111"/>
      <c r="P361" s="111"/>
      <c r="Q361" s="111"/>
      <c r="R361" s="111"/>
      <c r="S361" s="111"/>
      <c r="T361" s="111"/>
      <c r="U361" s="111"/>
      <c r="V361" s="111"/>
      <c r="W361" s="111"/>
      <c r="X361" s="123"/>
      <c r="AI361" s="222" t="str">
        <f t="shared" si="11"/>
        <v/>
      </c>
    </row>
    <row r="362" spans="1:35" s="108" customFormat="1" ht="15.75">
      <c r="A362" s="119"/>
      <c r="B362" s="120"/>
      <c r="C362" s="111"/>
      <c r="D362" s="111"/>
      <c r="E362" s="121"/>
      <c r="F362" s="121"/>
      <c r="G362" s="113"/>
      <c r="H362" s="199" t="str">
        <f t="shared" si="10"/>
        <v/>
      </c>
      <c r="I362" s="200" t="str">
        <f>IF(H362="","",IF(AND(AI362&lt;=66),VLOOKUP(H362,'WordRead Look Up'!$A$13:$B$20,2,TRUE),IF(AND(AI362&gt;=67,AI362&lt;=72),VLOOKUP(H362,'WordRead Look Up'!$E$13:$F$20,2,TRUE),IF(AND(AI362&gt;=73,AI362&lt;=78),VLOOKUP(H362,'WordRead Look Up'!$I$13:$J$18,2,TRUE),IF(AND(AI362&gt;=79),VLOOKUP(H362,'WordRead Look Up'!$M$13:$N$18,2,TRUE),"")))))</f>
        <v/>
      </c>
      <c r="J362" s="122"/>
      <c r="K362" s="111"/>
      <c r="L362" s="111"/>
      <c r="M362" s="111"/>
      <c r="N362" s="111"/>
      <c r="O362" s="111"/>
      <c r="P362" s="111"/>
      <c r="Q362" s="111"/>
      <c r="R362" s="111"/>
      <c r="S362" s="111"/>
      <c r="T362" s="111"/>
      <c r="U362" s="111"/>
      <c r="V362" s="111"/>
      <c r="W362" s="111"/>
      <c r="X362" s="123"/>
      <c r="AI362" s="222" t="str">
        <f t="shared" si="11"/>
        <v/>
      </c>
    </row>
    <row r="363" spans="1:35" s="108" customFormat="1" ht="15.75">
      <c r="A363" s="119"/>
      <c r="B363" s="120"/>
      <c r="C363" s="111"/>
      <c r="D363" s="111"/>
      <c r="E363" s="121"/>
      <c r="F363" s="121"/>
      <c r="G363" s="113"/>
      <c r="H363" s="199" t="str">
        <f t="shared" si="10"/>
        <v/>
      </c>
      <c r="I363" s="200" t="str">
        <f>IF(H363="","",IF(AND(AI363&lt;=66),VLOOKUP(H363,'WordRead Look Up'!$A$13:$B$20,2,TRUE),IF(AND(AI363&gt;=67,AI363&lt;=72),VLOOKUP(H363,'WordRead Look Up'!$E$13:$F$20,2,TRUE),IF(AND(AI363&gt;=73,AI363&lt;=78),VLOOKUP(H363,'WordRead Look Up'!$I$13:$J$18,2,TRUE),IF(AND(AI363&gt;=79),VLOOKUP(H363,'WordRead Look Up'!$M$13:$N$18,2,TRUE),"")))))</f>
        <v/>
      </c>
      <c r="J363" s="122"/>
      <c r="K363" s="111"/>
      <c r="L363" s="111"/>
      <c r="M363" s="111"/>
      <c r="N363" s="111"/>
      <c r="O363" s="111"/>
      <c r="P363" s="111"/>
      <c r="Q363" s="111"/>
      <c r="R363" s="111"/>
      <c r="S363" s="111"/>
      <c r="T363" s="111"/>
      <c r="U363" s="111"/>
      <c r="V363" s="111"/>
      <c r="W363" s="111"/>
      <c r="X363" s="123"/>
      <c r="AI363" s="222" t="str">
        <f t="shared" si="11"/>
        <v/>
      </c>
    </row>
    <row r="364" spans="1:35" s="108" customFormat="1" ht="15.75">
      <c r="A364" s="119"/>
      <c r="B364" s="120"/>
      <c r="C364" s="111"/>
      <c r="D364" s="111"/>
      <c r="E364" s="121"/>
      <c r="F364" s="121"/>
      <c r="G364" s="113"/>
      <c r="H364" s="199" t="str">
        <f t="shared" si="10"/>
        <v/>
      </c>
      <c r="I364" s="200" t="str">
        <f>IF(H364="","",IF(AND(AI364&lt;=66),VLOOKUP(H364,'WordRead Look Up'!$A$13:$B$20,2,TRUE),IF(AND(AI364&gt;=67,AI364&lt;=72),VLOOKUP(H364,'WordRead Look Up'!$E$13:$F$20,2,TRUE),IF(AND(AI364&gt;=73,AI364&lt;=78),VLOOKUP(H364,'WordRead Look Up'!$I$13:$J$18,2,TRUE),IF(AND(AI364&gt;=79),VLOOKUP(H364,'WordRead Look Up'!$M$13:$N$18,2,TRUE),"")))))</f>
        <v/>
      </c>
      <c r="J364" s="122"/>
      <c r="K364" s="111"/>
      <c r="L364" s="111"/>
      <c r="M364" s="111"/>
      <c r="N364" s="111"/>
      <c r="O364" s="111"/>
      <c r="P364" s="111"/>
      <c r="Q364" s="111"/>
      <c r="R364" s="111"/>
      <c r="S364" s="111"/>
      <c r="T364" s="111"/>
      <c r="U364" s="111"/>
      <c r="V364" s="111"/>
      <c r="W364" s="111"/>
      <c r="X364" s="123"/>
      <c r="AI364" s="222" t="str">
        <f t="shared" si="11"/>
        <v/>
      </c>
    </row>
    <row r="365" spans="1:35" s="108" customFormat="1" ht="15.75">
      <c r="A365" s="119"/>
      <c r="B365" s="120"/>
      <c r="C365" s="111"/>
      <c r="D365" s="111"/>
      <c r="E365" s="121"/>
      <c r="F365" s="121"/>
      <c r="G365" s="113"/>
      <c r="H365" s="199" t="str">
        <f t="shared" si="10"/>
        <v/>
      </c>
      <c r="I365" s="200" t="str">
        <f>IF(H365="","",IF(AND(AI365&lt;=66),VLOOKUP(H365,'WordRead Look Up'!$A$13:$B$20,2,TRUE),IF(AND(AI365&gt;=67,AI365&lt;=72),VLOOKUP(H365,'WordRead Look Up'!$E$13:$F$20,2,TRUE),IF(AND(AI365&gt;=73,AI365&lt;=78),VLOOKUP(H365,'WordRead Look Up'!$I$13:$J$18,2,TRUE),IF(AND(AI365&gt;=79),VLOOKUP(H365,'WordRead Look Up'!$M$13:$N$18,2,TRUE),"")))))</f>
        <v/>
      </c>
      <c r="J365" s="122"/>
      <c r="K365" s="111"/>
      <c r="L365" s="111"/>
      <c r="M365" s="111"/>
      <c r="N365" s="111"/>
      <c r="O365" s="111"/>
      <c r="P365" s="111"/>
      <c r="Q365" s="111"/>
      <c r="R365" s="111"/>
      <c r="S365" s="111"/>
      <c r="T365" s="111"/>
      <c r="U365" s="111"/>
      <c r="V365" s="111"/>
      <c r="W365" s="111"/>
      <c r="X365" s="123"/>
      <c r="AI365" s="222" t="str">
        <f t="shared" si="11"/>
        <v/>
      </c>
    </row>
    <row r="366" spans="1:35" s="108" customFormat="1" ht="15.75">
      <c r="A366" s="119"/>
      <c r="B366" s="120"/>
      <c r="C366" s="111"/>
      <c r="D366" s="111"/>
      <c r="E366" s="121"/>
      <c r="F366" s="121"/>
      <c r="G366" s="113"/>
      <c r="H366" s="199" t="str">
        <f t="shared" si="10"/>
        <v/>
      </c>
      <c r="I366" s="200" t="str">
        <f>IF(H366="","",IF(AND(AI366&lt;=66),VLOOKUP(H366,'WordRead Look Up'!$A$13:$B$20,2,TRUE),IF(AND(AI366&gt;=67,AI366&lt;=72),VLOOKUP(H366,'WordRead Look Up'!$E$13:$F$20,2,TRUE),IF(AND(AI366&gt;=73,AI366&lt;=78),VLOOKUP(H366,'WordRead Look Up'!$I$13:$J$18,2,TRUE),IF(AND(AI366&gt;=79),VLOOKUP(H366,'WordRead Look Up'!$M$13:$N$18,2,TRUE),"")))))</f>
        <v/>
      </c>
      <c r="J366" s="122"/>
      <c r="K366" s="111"/>
      <c r="L366" s="111"/>
      <c r="M366" s="111"/>
      <c r="N366" s="111"/>
      <c r="O366" s="111"/>
      <c r="P366" s="111"/>
      <c r="Q366" s="111"/>
      <c r="R366" s="111"/>
      <c r="S366" s="111"/>
      <c r="T366" s="111"/>
      <c r="U366" s="111"/>
      <c r="V366" s="111"/>
      <c r="W366" s="111"/>
      <c r="X366" s="123"/>
      <c r="AI366" s="222" t="str">
        <f t="shared" si="11"/>
        <v/>
      </c>
    </row>
    <row r="367" spans="1:35" s="108" customFormat="1" ht="15.75">
      <c r="A367" s="119"/>
      <c r="B367" s="120"/>
      <c r="C367" s="111"/>
      <c r="D367" s="111"/>
      <c r="E367" s="121"/>
      <c r="F367" s="121"/>
      <c r="G367" s="113"/>
      <c r="H367" s="199" t="str">
        <f t="shared" si="10"/>
        <v/>
      </c>
      <c r="I367" s="200" t="str">
        <f>IF(H367="","",IF(AND(AI367&lt;=66),VLOOKUP(H367,'WordRead Look Up'!$A$13:$B$20,2,TRUE),IF(AND(AI367&gt;=67,AI367&lt;=72),VLOOKUP(H367,'WordRead Look Up'!$E$13:$F$20,2,TRUE),IF(AND(AI367&gt;=73,AI367&lt;=78),VLOOKUP(H367,'WordRead Look Up'!$I$13:$J$18,2,TRUE),IF(AND(AI367&gt;=79),VLOOKUP(H367,'WordRead Look Up'!$M$13:$N$18,2,TRUE),"")))))</f>
        <v/>
      </c>
      <c r="J367" s="122"/>
      <c r="K367" s="111"/>
      <c r="L367" s="111"/>
      <c r="M367" s="111"/>
      <c r="N367" s="111"/>
      <c r="O367" s="111"/>
      <c r="P367" s="111"/>
      <c r="Q367" s="111"/>
      <c r="R367" s="111"/>
      <c r="S367" s="111"/>
      <c r="T367" s="111"/>
      <c r="U367" s="111"/>
      <c r="V367" s="111"/>
      <c r="W367" s="111"/>
      <c r="X367" s="123"/>
      <c r="AI367" s="222" t="str">
        <f t="shared" si="11"/>
        <v/>
      </c>
    </row>
    <row r="368" spans="1:35" s="108" customFormat="1" ht="15.75">
      <c r="A368" s="119"/>
      <c r="B368" s="120"/>
      <c r="C368" s="111"/>
      <c r="D368" s="111"/>
      <c r="E368" s="121"/>
      <c r="F368" s="121"/>
      <c r="G368" s="113"/>
      <c r="H368" s="199" t="str">
        <f t="shared" si="10"/>
        <v/>
      </c>
      <c r="I368" s="200" t="str">
        <f>IF(H368="","",IF(AND(AI368&lt;=66),VLOOKUP(H368,'WordRead Look Up'!$A$13:$B$20,2,TRUE),IF(AND(AI368&gt;=67,AI368&lt;=72),VLOOKUP(H368,'WordRead Look Up'!$E$13:$F$20,2,TRUE),IF(AND(AI368&gt;=73,AI368&lt;=78),VLOOKUP(H368,'WordRead Look Up'!$I$13:$J$18,2,TRUE),IF(AND(AI368&gt;=79),VLOOKUP(H368,'WordRead Look Up'!$M$13:$N$18,2,TRUE),"")))))</f>
        <v/>
      </c>
      <c r="J368" s="122"/>
      <c r="K368" s="111"/>
      <c r="L368" s="111"/>
      <c r="M368" s="111"/>
      <c r="N368" s="111"/>
      <c r="O368" s="111"/>
      <c r="P368" s="111"/>
      <c r="Q368" s="111"/>
      <c r="R368" s="111"/>
      <c r="S368" s="111"/>
      <c r="T368" s="111"/>
      <c r="U368" s="111"/>
      <c r="V368" s="111"/>
      <c r="W368" s="111"/>
      <c r="X368" s="123"/>
      <c r="AI368" s="222" t="str">
        <f t="shared" si="11"/>
        <v/>
      </c>
    </row>
    <row r="369" spans="1:35" s="108" customFormat="1" ht="15.75">
      <c r="A369" s="119"/>
      <c r="B369" s="120"/>
      <c r="C369" s="111"/>
      <c r="D369" s="111"/>
      <c r="E369" s="121"/>
      <c r="F369" s="121"/>
      <c r="G369" s="113"/>
      <c r="H369" s="199" t="str">
        <f t="shared" si="10"/>
        <v/>
      </c>
      <c r="I369" s="200" t="str">
        <f>IF(H369="","",IF(AND(AI369&lt;=66),VLOOKUP(H369,'WordRead Look Up'!$A$13:$B$20,2,TRUE),IF(AND(AI369&gt;=67,AI369&lt;=72),VLOOKUP(H369,'WordRead Look Up'!$E$13:$F$20,2,TRUE),IF(AND(AI369&gt;=73,AI369&lt;=78),VLOOKUP(H369,'WordRead Look Up'!$I$13:$J$18,2,TRUE),IF(AND(AI369&gt;=79),VLOOKUP(H369,'WordRead Look Up'!$M$13:$N$18,2,TRUE),"")))))</f>
        <v/>
      </c>
      <c r="J369" s="122"/>
      <c r="K369" s="111"/>
      <c r="L369" s="111"/>
      <c r="M369" s="111"/>
      <c r="N369" s="111"/>
      <c r="O369" s="111"/>
      <c r="P369" s="111"/>
      <c r="Q369" s="111"/>
      <c r="R369" s="111"/>
      <c r="S369" s="111"/>
      <c r="T369" s="111"/>
      <c r="U369" s="111"/>
      <c r="V369" s="111"/>
      <c r="W369" s="111"/>
      <c r="X369" s="123"/>
      <c r="AI369" s="222" t="str">
        <f t="shared" si="11"/>
        <v/>
      </c>
    </row>
    <row r="370" spans="1:35" s="108" customFormat="1" ht="15.75">
      <c r="A370" s="119"/>
      <c r="B370" s="120"/>
      <c r="C370" s="111"/>
      <c r="D370" s="111"/>
      <c r="E370" s="121"/>
      <c r="F370" s="121"/>
      <c r="G370" s="113"/>
      <c r="H370" s="199" t="str">
        <f t="shared" si="10"/>
        <v/>
      </c>
      <c r="I370" s="200" t="str">
        <f>IF(H370="","",IF(AND(AI370&lt;=66),VLOOKUP(H370,'WordRead Look Up'!$A$13:$B$20,2,TRUE),IF(AND(AI370&gt;=67,AI370&lt;=72),VLOOKUP(H370,'WordRead Look Up'!$E$13:$F$20,2,TRUE),IF(AND(AI370&gt;=73,AI370&lt;=78),VLOOKUP(H370,'WordRead Look Up'!$I$13:$J$18,2,TRUE),IF(AND(AI370&gt;=79),VLOOKUP(H370,'WordRead Look Up'!$M$13:$N$18,2,TRUE),"")))))</f>
        <v/>
      </c>
      <c r="J370" s="122"/>
      <c r="K370" s="111"/>
      <c r="L370" s="111"/>
      <c r="M370" s="111"/>
      <c r="N370" s="111"/>
      <c r="O370" s="111"/>
      <c r="P370" s="111"/>
      <c r="Q370" s="111"/>
      <c r="R370" s="111"/>
      <c r="S370" s="111"/>
      <c r="T370" s="111"/>
      <c r="U370" s="111"/>
      <c r="V370" s="111"/>
      <c r="W370" s="111"/>
      <c r="X370" s="123"/>
      <c r="AI370" s="222" t="str">
        <f t="shared" si="11"/>
        <v/>
      </c>
    </row>
    <row r="371" spans="1:35" s="108" customFormat="1" ht="15.75">
      <c r="A371" s="119"/>
      <c r="B371" s="120"/>
      <c r="C371" s="111"/>
      <c r="D371" s="111"/>
      <c r="E371" s="121"/>
      <c r="F371" s="121"/>
      <c r="G371" s="113"/>
      <c r="H371" s="199" t="str">
        <f t="shared" si="10"/>
        <v/>
      </c>
      <c r="I371" s="200" t="str">
        <f>IF(H371="","",IF(AND(AI371&lt;=66),VLOOKUP(H371,'WordRead Look Up'!$A$13:$B$20,2,TRUE),IF(AND(AI371&gt;=67,AI371&lt;=72),VLOOKUP(H371,'WordRead Look Up'!$E$13:$F$20,2,TRUE),IF(AND(AI371&gt;=73,AI371&lt;=78),VLOOKUP(H371,'WordRead Look Up'!$I$13:$J$18,2,TRUE),IF(AND(AI371&gt;=79),VLOOKUP(H371,'WordRead Look Up'!$M$13:$N$18,2,TRUE),"")))))</f>
        <v/>
      </c>
      <c r="J371" s="122"/>
      <c r="K371" s="111"/>
      <c r="L371" s="111"/>
      <c r="M371" s="111"/>
      <c r="N371" s="111"/>
      <c r="O371" s="111"/>
      <c r="P371" s="111"/>
      <c r="Q371" s="111"/>
      <c r="R371" s="111"/>
      <c r="S371" s="111"/>
      <c r="T371" s="111"/>
      <c r="U371" s="111"/>
      <c r="V371" s="111"/>
      <c r="W371" s="111"/>
      <c r="X371" s="123"/>
      <c r="AI371" s="222" t="str">
        <f t="shared" si="11"/>
        <v/>
      </c>
    </row>
    <row r="372" spans="1:35" s="108" customFormat="1" ht="15.75">
      <c r="A372" s="119"/>
      <c r="B372" s="120"/>
      <c r="C372" s="111"/>
      <c r="D372" s="111"/>
      <c r="E372" s="121"/>
      <c r="F372" s="121"/>
      <c r="G372" s="113"/>
      <c r="H372" s="199" t="str">
        <f t="shared" si="10"/>
        <v/>
      </c>
      <c r="I372" s="200" t="str">
        <f>IF(H372="","",IF(AND(AI372&lt;=66),VLOOKUP(H372,'WordRead Look Up'!$A$13:$B$20,2,TRUE),IF(AND(AI372&gt;=67,AI372&lt;=72),VLOOKUP(H372,'WordRead Look Up'!$E$13:$F$20,2,TRUE),IF(AND(AI372&gt;=73,AI372&lt;=78),VLOOKUP(H372,'WordRead Look Up'!$I$13:$J$18,2,TRUE),IF(AND(AI372&gt;=79),VLOOKUP(H372,'WordRead Look Up'!$M$13:$N$18,2,TRUE),"")))))</f>
        <v/>
      </c>
      <c r="J372" s="122"/>
      <c r="K372" s="111"/>
      <c r="L372" s="111"/>
      <c r="M372" s="111"/>
      <c r="N372" s="111"/>
      <c r="O372" s="111"/>
      <c r="P372" s="111"/>
      <c r="Q372" s="111"/>
      <c r="R372" s="111"/>
      <c r="S372" s="111"/>
      <c r="T372" s="111"/>
      <c r="U372" s="111"/>
      <c r="V372" s="111"/>
      <c r="W372" s="111"/>
      <c r="X372" s="123"/>
      <c r="AI372" s="222" t="str">
        <f t="shared" si="11"/>
        <v/>
      </c>
    </row>
    <row r="373" spans="1:35" s="108" customFormat="1" ht="15.75">
      <c r="A373" s="119"/>
      <c r="B373" s="120"/>
      <c r="C373" s="111"/>
      <c r="D373" s="111"/>
      <c r="E373" s="121"/>
      <c r="F373" s="121"/>
      <c r="G373" s="113"/>
      <c r="H373" s="199" t="str">
        <f t="shared" si="10"/>
        <v/>
      </c>
      <c r="I373" s="200" t="str">
        <f>IF(H373="","",IF(AND(AI373&lt;=66),VLOOKUP(H373,'WordRead Look Up'!$A$13:$B$20,2,TRUE),IF(AND(AI373&gt;=67,AI373&lt;=72),VLOOKUP(H373,'WordRead Look Up'!$E$13:$F$20,2,TRUE),IF(AND(AI373&gt;=73,AI373&lt;=78),VLOOKUP(H373,'WordRead Look Up'!$I$13:$J$18,2,TRUE),IF(AND(AI373&gt;=79),VLOOKUP(H373,'WordRead Look Up'!$M$13:$N$18,2,TRUE),"")))))</f>
        <v/>
      </c>
      <c r="J373" s="122"/>
      <c r="K373" s="111"/>
      <c r="L373" s="111"/>
      <c r="M373" s="111"/>
      <c r="N373" s="111"/>
      <c r="O373" s="111"/>
      <c r="P373" s="111"/>
      <c r="Q373" s="111"/>
      <c r="R373" s="111"/>
      <c r="S373" s="111"/>
      <c r="T373" s="111"/>
      <c r="U373" s="111"/>
      <c r="V373" s="111"/>
      <c r="W373" s="111"/>
      <c r="X373" s="123"/>
      <c r="AI373" s="222" t="str">
        <f t="shared" si="11"/>
        <v/>
      </c>
    </row>
    <row r="374" spans="1:35" s="108" customFormat="1" ht="15.75">
      <c r="A374" s="119"/>
      <c r="B374" s="120"/>
      <c r="C374" s="111"/>
      <c r="D374" s="111"/>
      <c r="E374" s="121"/>
      <c r="F374" s="121"/>
      <c r="G374" s="113"/>
      <c r="H374" s="199" t="str">
        <f t="shared" si="10"/>
        <v/>
      </c>
      <c r="I374" s="200" t="str">
        <f>IF(H374="","",IF(AND(AI374&lt;=66),VLOOKUP(H374,'WordRead Look Up'!$A$13:$B$20,2,TRUE),IF(AND(AI374&gt;=67,AI374&lt;=72),VLOOKUP(H374,'WordRead Look Up'!$E$13:$F$20,2,TRUE),IF(AND(AI374&gt;=73,AI374&lt;=78),VLOOKUP(H374,'WordRead Look Up'!$I$13:$J$18,2,TRUE),IF(AND(AI374&gt;=79),VLOOKUP(H374,'WordRead Look Up'!$M$13:$N$18,2,TRUE),"")))))</f>
        <v/>
      </c>
      <c r="J374" s="122"/>
      <c r="K374" s="111"/>
      <c r="L374" s="111"/>
      <c r="M374" s="111"/>
      <c r="N374" s="111"/>
      <c r="O374" s="111"/>
      <c r="P374" s="111"/>
      <c r="Q374" s="111"/>
      <c r="R374" s="111"/>
      <c r="S374" s="111"/>
      <c r="T374" s="111"/>
      <c r="U374" s="111"/>
      <c r="V374" s="111"/>
      <c r="W374" s="111"/>
      <c r="X374" s="123"/>
      <c r="AI374" s="222" t="str">
        <f t="shared" si="11"/>
        <v/>
      </c>
    </row>
    <row r="375" spans="1:35" s="108" customFormat="1" ht="15.75">
      <c r="A375" s="119"/>
      <c r="B375" s="120"/>
      <c r="C375" s="111"/>
      <c r="D375" s="111"/>
      <c r="E375" s="121"/>
      <c r="F375" s="121"/>
      <c r="G375" s="113"/>
      <c r="H375" s="199" t="str">
        <f t="shared" si="10"/>
        <v/>
      </c>
      <c r="I375" s="200" t="str">
        <f>IF(H375="","",IF(AND(AI375&lt;=66),VLOOKUP(H375,'WordRead Look Up'!$A$13:$B$20,2,TRUE),IF(AND(AI375&gt;=67,AI375&lt;=72),VLOOKUP(H375,'WordRead Look Up'!$E$13:$F$20,2,TRUE),IF(AND(AI375&gt;=73,AI375&lt;=78),VLOOKUP(H375,'WordRead Look Up'!$I$13:$J$18,2,TRUE),IF(AND(AI375&gt;=79),VLOOKUP(H375,'WordRead Look Up'!$M$13:$N$18,2,TRUE),"")))))</f>
        <v/>
      </c>
      <c r="J375" s="122"/>
      <c r="K375" s="111"/>
      <c r="L375" s="111"/>
      <c r="M375" s="111"/>
      <c r="N375" s="111"/>
      <c r="O375" s="111"/>
      <c r="P375" s="111"/>
      <c r="Q375" s="111"/>
      <c r="R375" s="111"/>
      <c r="S375" s="111"/>
      <c r="T375" s="111"/>
      <c r="U375" s="111"/>
      <c r="V375" s="111"/>
      <c r="W375" s="111"/>
      <c r="X375" s="123"/>
      <c r="AI375" s="222" t="str">
        <f t="shared" si="11"/>
        <v/>
      </c>
    </row>
    <row r="376" spans="1:35" s="108" customFormat="1" ht="15.75">
      <c r="A376" s="119"/>
      <c r="B376" s="120"/>
      <c r="C376" s="111"/>
      <c r="D376" s="111"/>
      <c r="E376" s="121"/>
      <c r="F376" s="121"/>
      <c r="G376" s="113"/>
      <c r="H376" s="199" t="str">
        <f t="shared" si="10"/>
        <v/>
      </c>
      <c r="I376" s="200" t="str">
        <f>IF(H376="","",IF(AND(AI376&lt;=66),VLOOKUP(H376,'WordRead Look Up'!$A$13:$B$20,2,TRUE),IF(AND(AI376&gt;=67,AI376&lt;=72),VLOOKUP(H376,'WordRead Look Up'!$E$13:$F$20,2,TRUE),IF(AND(AI376&gt;=73,AI376&lt;=78),VLOOKUP(H376,'WordRead Look Up'!$I$13:$J$18,2,TRUE),IF(AND(AI376&gt;=79),VLOOKUP(H376,'WordRead Look Up'!$M$13:$N$18,2,TRUE),"")))))</f>
        <v/>
      </c>
      <c r="J376" s="122"/>
      <c r="K376" s="111"/>
      <c r="L376" s="111"/>
      <c r="M376" s="111"/>
      <c r="N376" s="111"/>
      <c r="O376" s="111"/>
      <c r="P376" s="111"/>
      <c r="Q376" s="111"/>
      <c r="R376" s="111"/>
      <c r="S376" s="111"/>
      <c r="T376" s="111"/>
      <c r="U376" s="111"/>
      <c r="V376" s="111"/>
      <c r="W376" s="111"/>
      <c r="X376" s="123"/>
      <c r="AI376" s="222" t="str">
        <f t="shared" si="11"/>
        <v/>
      </c>
    </row>
    <row r="377" spans="1:35" s="108" customFormat="1" ht="15.75">
      <c r="A377" s="119"/>
      <c r="B377" s="120"/>
      <c r="C377" s="111"/>
      <c r="D377" s="111"/>
      <c r="E377" s="121"/>
      <c r="F377" s="121"/>
      <c r="G377" s="113"/>
      <c r="H377" s="199" t="str">
        <f t="shared" si="10"/>
        <v/>
      </c>
      <c r="I377" s="200" t="str">
        <f>IF(H377="","",IF(AND(AI377&lt;=66),VLOOKUP(H377,'WordRead Look Up'!$A$13:$B$20,2,TRUE),IF(AND(AI377&gt;=67,AI377&lt;=72),VLOOKUP(H377,'WordRead Look Up'!$E$13:$F$20,2,TRUE),IF(AND(AI377&gt;=73,AI377&lt;=78),VLOOKUP(H377,'WordRead Look Up'!$I$13:$J$18,2,TRUE),IF(AND(AI377&gt;=79),VLOOKUP(H377,'WordRead Look Up'!$M$13:$N$18,2,TRUE),"")))))</f>
        <v/>
      </c>
      <c r="J377" s="122"/>
      <c r="K377" s="111"/>
      <c r="L377" s="111"/>
      <c r="M377" s="111"/>
      <c r="N377" s="111"/>
      <c r="O377" s="111"/>
      <c r="P377" s="111"/>
      <c r="Q377" s="111"/>
      <c r="R377" s="111"/>
      <c r="S377" s="111"/>
      <c r="T377" s="111"/>
      <c r="U377" s="111"/>
      <c r="V377" s="111"/>
      <c r="W377" s="111"/>
      <c r="X377" s="123"/>
      <c r="AI377" s="222" t="str">
        <f t="shared" si="11"/>
        <v/>
      </c>
    </row>
    <row r="378" spans="1:35" s="108" customFormat="1" ht="15.75">
      <c r="A378" s="119"/>
      <c r="B378" s="120"/>
      <c r="C378" s="111"/>
      <c r="D378" s="111"/>
      <c r="E378" s="121"/>
      <c r="F378" s="121"/>
      <c r="G378" s="113"/>
      <c r="H378" s="199" t="str">
        <f t="shared" si="10"/>
        <v/>
      </c>
      <c r="I378" s="200" t="str">
        <f>IF(H378="","",IF(AND(AI378&lt;=66),VLOOKUP(H378,'WordRead Look Up'!$A$13:$B$20,2,TRUE),IF(AND(AI378&gt;=67,AI378&lt;=72),VLOOKUP(H378,'WordRead Look Up'!$E$13:$F$20,2,TRUE),IF(AND(AI378&gt;=73,AI378&lt;=78),VLOOKUP(H378,'WordRead Look Up'!$I$13:$J$18,2,TRUE),IF(AND(AI378&gt;=79),VLOOKUP(H378,'WordRead Look Up'!$M$13:$N$18,2,TRUE),"")))))</f>
        <v/>
      </c>
      <c r="J378" s="122"/>
      <c r="K378" s="111"/>
      <c r="L378" s="111"/>
      <c r="M378" s="111"/>
      <c r="N378" s="111"/>
      <c r="O378" s="111"/>
      <c r="P378" s="111"/>
      <c r="Q378" s="111"/>
      <c r="R378" s="111"/>
      <c r="S378" s="111"/>
      <c r="T378" s="111"/>
      <c r="U378" s="111"/>
      <c r="V378" s="111"/>
      <c r="W378" s="111"/>
      <c r="X378" s="123"/>
      <c r="AI378" s="222" t="str">
        <f t="shared" si="11"/>
        <v/>
      </c>
    </row>
    <row r="379" spans="1:35" s="108" customFormat="1" ht="15.75">
      <c r="A379" s="119"/>
      <c r="B379" s="120"/>
      <c r="C379" s="111"/>
      <c r="D379" s="111"/>
      <c r="E379" s="121"/>
      <c r="F379" s="121"/>
      <c r="G379" s="113"/>
      <c r="H379" s="199" t="str">
        <f t="shared" si="10"/>
        <v/>
      </c>
      <c r="I379" s="200" t="str">
        <f>IF(H379="","",IF(AND(AI379&lt;=66),VLOOKUP(H379,'WordRead Look Up'!$A$13:$B$20,2,TRUE),IF(AND(AI379&gt;=67,AI379&lt;=72),VLOOKUP(H379,'WordRead Look Up'!$E$13:$F$20,2,TRUE),IF(AND(AI379&gt;=73,AI379&lt;=78),VLOOKUP(H379,'WordRead Look Up'!$I$13:$J$18,2,TRUE),IF(AND(AI379&gt;=79),VLOOKUP(H379,'WordRead Look Up'!$M$13:$N$18,2,TRUE),"")))))</f>
        <v/>
      </c>
      <c r="J379" s="122"/>
      <c r="K379" s="111"/>
      <c r="L379" s="111"/>
      <c r="M379" s="111"/>
      <c r="N379" s="111"/>
      <c r="O379" s="111"/>
      <c r="P379" s="111"/>
      <c r="Q379" s="111"/>
      <c r="R379" s="111"/>
      <c r="S379" s="111"/>
      <c r="T379" s="111"/>
      <c r="U379" s="111"/>
      <c r="V379" s="111"/>
      <c r="W379" s="111"/>
      <c r="X379" s="123"/>
      <c r="AI379" s="222" t="str">
        <f t="shared" si="11"/>
        <v/>
      </c>
    </row>
    <row r="380" spans="1:35" s="108" customFormat="1" ht="15.75">
      <c r="A380" s="119"/>
      <c r="B380" s="120"/>
      <c r="C380" s="111"/>
      <c r="D380" s="111"/>
      <c r="E380" s="121"/>
      <c r="F380" s="121"/>
      <c r="G380" s="113"/>
      <c r="H380" s="199" t="str">
        <f t="shared" si="10"/>
        <v/>
      </c>
      <c r="I380" s="200" t="str">
        <f>IF(H380="","",IF(AND(AI380&lt;=66),VLOOKUP(H380,'WordRead Look Up'!$A$13:$B$20,2,TRUE),IF(AND(AI380&gt;=67,AI380&lt;=72),VLOOKUP(H380,'WordRead Look Up'!$E$13:$F$20,2,TRUE),IF(AND(AI380&gt;=73,AI380&lt;=78),VLOOKUP(H380,'WordRead Look Up'!$I$13:$J$18,2,TRUE),IF(AND(AI380&gt;=79),VLOOKUP(H380,'WordRead Look Up'!$M$13:$N$18,2,TRUE),"")))))</f>
        <v/>
      </c>
      <c r="J380" s="122"/>
      <c r="K380" s="111"/>
      <c r="L380" s="111"/>
      <c r="M380" s="111"/>
      <c r="N380" s="111"/>
      <c r="O380" s="111"/>
      <c r="P380" s="111"/>
      <c r="Q380" s="111"/>
      <c r="R380" s="111"/>
      <c r="S380" s="111"/>
      <c r="T380" s="111"/>
      <c r="U380" s="111"/>
      <c r="V380" s="111"/>
      <c r="W380" s="111"/>
      <c r="X380" s="123"/>
      <c r="AI380" s="222" t="str">
        <f t="shared" si="11"/>
        <v/>
      </c>
    </row>
    <row r="381" spans="1:35" s="108" customFormat="1" ht="15.75">
      <c r="A381" s="119"/>
      <c r="B381" s="120"/>
      <c r="C381" s="111"/>
      <c r="D381" s="111"/>
      <c r="E381" s="121"/>
      <c r="F381" s="121"/>
      <c r="G381" s="113"/>
      <c r="H381" s="199" t="str">
        <f t="shared" si="10"/>
        <v/>
      </c>
      <c r="I381" s="200" t="str">
        <f>IF(H381="","",IF(AND(AI381&lt;=66),VLOOKUP(H381,'WordRead Look Up'!$A$13:$B$20,2,TRUE),IF(AND(AI381&gt;=67,AI381&lt;=72),VLOOKUP(H381,'WordRead Look Up'!$E$13:$F$20,2,TRUE),IF(AND(AI381&gt;=73,AI381&lt;=78),VLOOKUP(H381,'WordRead Look Up'!$I$13:$J$18,2,TRUE),IF(AND(AI381&gt;=79),VLOOKUP(H381,'WordRead Look Up'!$M$13:$N$18,2,TRUE),"")))))</f>
        <v/>
      </c>
      <c r="J381" s="122"/>
      <c r="K381" s="111"/>
      <c r="L381" s="111"/>
      <c r="M381" s="111"/>
      <c r="N381" s="111"/>
      <c r="O381" s="111"/>
      <c r="P381" s="111"/>
      <c r="Q381" s="111"/>
      <c r="R381" s="111"/>
      <c r="S381" s="111"/>
      <c r="T381" s="111"/>
      <c r="U381" s="111"/>
      <c r="V381" s="111"/>
      <c r="W381" s="111"/>
      <c r="X381" s="123"/>
      <c r="AI381" s="222" t="str">
        <f t="shared" si="11"/>
        <v/>
      </c>
    </row>
    <row r="382" spans="1:35" s="108" customFormat="1" ht="15.75">
      <c r="A382" s="119"/>
      <c r="B382" s="120"/>
      <c r="C382" s="111"/>
      <c r="D382" s="111"/>
      <c r="E382" s="121"/>
      <c r="F382" s="121"/>
      <c r="G382" s="113"/>
      <c r="H382" s="199" t="str">
        <f t="shared" si="10"/>
        <v/>
      </c>
      <c r="I382" s="200" t="str">
        <f>IF(H382="","",IF(AND(AI382&lt;=66),VLOOKUP(H382,'WordRead Look Up'!$A$13:$B$20,2,TRUE),IF(AND(AI382&gt;=67,AI382&lt;=72),VLOOKUP(H382,'WordRead Look Up'!$E$13:$F$20,2,TRUE),IF(AND(AI382&gt;=73,AI382&lt;=78),VLOOKUP(H382,'WordRead Look Up'!$I$13:$J$18,2,TRUE),IF(AND(AI382&gt;=79),VLOOKUP(H382,'WordRead Look Up'!$M$13:$N$18,2,TRUE),"")))))</f>
        <v/>
      </c>
      <c r="J382" s="122"/>
      <c r="K382" s="111"/>
      <c r="L382" s="111"/>
      <c r="M382" s="111"/>
      <c r="N382" s="111"/>
      <c r="O382" s="111"/>
      <c r="P382" s="111"/>
      <c r="Q382" s="111"/>
      <c r="R382" s="111"/>
      <c r="S382" s="111"/>
      <c r="T382" s="111"/>
      <c r="U382" s="111"/>
      <c r="V382" s="111"/>
      <c r="W382" s="111"/>
      <c r="X382" s="123"/>
      <c r="AI382" s="222" t="str">
        <f t="shared" si="11"/>
        <v/>
      </c>
    </row>
    <row r="383" spans="1:35" s="108" customFormat="1" ht="15.75">
      <c r="A383" s="119"/>
      <c r="B383" s="120"/>
      <c r="C383" s="111"/>
      <c r="D383" s="111"/>
      <c r="E383" s="121"/>
      <c r="F383" s="121"/>
      <c r="G383" s="113"/>
      <c r="H383" s="199" t="str">
        <f t="shared" si="10"/>
        <v/>
      </c>
      <c r="I383" s="200" t="str">
        <f>IF(H383="","",IF(AND(AI383&lt;=66),VLOOKUP(H383,'WordRead Look Up'!$A$13:$B$20,2,TRUE),IF(AND(AI383&gt;=67,AI383&lt;=72),VLOOKUP(H383,'WordRead Look Up'!$E$13:$F$20,2,TRUE),IF(AND(AI383&gt;=73,AI383&lt;=78),VLOOKUP(H383,'WordRead Look Up'!$I$13:$J$18,2,TRUE),IF(AND(AI383&gt;=79),VLOOKUP(H383,'WordRead Look Up'!$M$13:$N$18,2,TRUE),"")))))</f>
        <v/>
      </c>
      <c r="J383" s="122"/>
      <c r="K383" s="111"/>
      <c r="L383" s="111"/>
      <c r="M383" s="111"/>
      <c r="N383" s="111"/>
      <c r="O383" s="111"/>
      <c r="P383" s="111"/>
      <c r="Q383" s="111"/>
      <c r="R383" s="111"/>
      <c r="S383" s="111"/>
      <c r="T383" s="111"/>
      <c r="U383" s="111"/>
      <c r="V383" s="111"/>
      <c r="W383" s="111"/>
      <c r="X383" s="123"/>
      <c r="AI383" s="222" t="str">
        <f t="shared" si="11"/>
        <v/>
      </c>
    </row>
    <row r="384" spans="1:35" s="108" customFormat="1" ht="15.75">
      <c r="A384" s="119"/>
      <c r="B384" s="120"/>
      <c r="C384" s="111"/>
      <c r="D384" s="111"/>
      <c r="E384" s="121"/>
      <c r="F384" s="121"/>
      <c r="G384" s="113"/>
      <c r="H384" s="199" t="str">
        <f t="shared" si="10"/>
        <v/>
      </c>
      <c r="I384" s="200" t="str">
        <f>IF(H384="","",IF(AND(AI384&lt;=66),VLOOKUP(H384,'WordRead Look Up'!$A$13:$B$20,2,TRUE),IF(AND(AI384&gt;=67,AI384&lt;=72),VLOOKUP(H384,'WordRead Look Up'!$E$13:$F$20,2,TRUE),IF(AND(AI384&gt;=73,AI384&lt;=78),VLOOKUP(H384,'WordRead Look Up'!$I$13:$J$18,2,TRUE),IF(AND(AI384&gt;=79),VLOOKUP(H384,'WordRead Look Up'!$M$13:$N$18,2,TRUE),"")))))</f>
        <v/>
      </c>
      <c r="J384" s="122"/>
      <c r="K384" s="111"/>
      <c r="L384" s="111"/>
      <c r="M384" s="111"/>
      <c r="N384" s="111"/>
      <c r="O384" s="111"/>
      <c r="P384" s="111"/>
      <c r="Q384" s="111"/>
      <c r="R384" s="111"/>
      <c r="S384" s="111"/>
      <c r="T384" s="111"/>
      <c r="U384" s="111"/>
      <c r="V384" s="111"/>
      <c r="W384" s="111"/>
      <c r="X384" s="123"/>
      <c r="AI384" s="222" t="str">
        <f t="shared" si="11"/>
        <v/>
      </c>
    </row>
    <row r="385" spans="1:35" s="108" customFormat="1" ht="15.75">
      <c r="A385" s="119"/>
      <c r="B385" s="120"/>
      <c r="C385" s="111"/>
      <c r="D385" s="111"/>
      <c r="E385" s="121"/>
      <c r="F385" s="121"/>
      <c r="G385" s="113"/>
      <c r="H385" s="199" t="str">
        <f t="shared" si="10"/>
        <v/>
      </c>
      <c r="I385" s="200" t="str">
        <f>IF(H385="","",IF(AND(AI385&lt;=66),VLOOKUP(H385,'WordRead Look Up'!$A$13:$B$20,2,TRUE),IF(AND(AI385&gt;=67,AI385&lt;=72),VLOOKUP(H385,'WordRead Look Up'!$E$13:$F$20,2,TRUE),IF(AND(AI385&gt;=73,AI385&lt;=78),VLOOKUP(H385,'WordRead Look Up'!$I$13:$J$18,2,TRUE),IF(AND(AI385&gt;=79),VLOOKUP(H385,'WordRead Look Up'!$M$13:$N$18,2,TRUE),"")))))</f>
        <v/>
      </c>
      <c r="J385" s="122"/>
      <c r="K385" s="111"/>
      <c r="L385" s="111"/>
      <c r="M385" s="111"/>
      <c r="N385" s="111"/>
      <c r="O385" s="111"/>
      <c r="P385" s="111"/>
      <c r="Q385" s="111"/>
      <c r="R385" s="111"/>
      <c r="S385" s="111"/>
      <c r="T385" s="111"/>
      <c r="U385" s="111"/>
      <c r="V385" s="111"/>
      <c r="W385" s="111"/>
      <c r="X385" s="123"/>
      <c r="AI385" s="222" t="str">
        <f t="shared" si="11"/>
        <v/>
      </c>
    </row>
    <row r="386" spans="1:35" s="108" customFormat="1" ht="15.75">
      <c r="A386" s="119"/>
      <c r="B386" s="120"/>
      <c r="C386" s="111"/>
      <c r="D386" s="111"/>
      <c r="E386" s="121"/>
      <c r="F386" s="121"/>
      <c r="G386" s="113"/>
      <c r="H386" s="199" t="str">
        <f t="shared" si="10"/>
        <v/>
      </c>
      <c r="I386" s="200" t="str">
        <f>IF(H386="","",IF(AND(AI386&lt;=66),VLOOKUP(H386,'WordRead Look Up'!$A$13:$B$20,2,TRUE),IF(AND(AI386&gt;=67,AI386&lt;=72),VLOOKUP(H386,'WordRead Look Up'!$E$13:$F$20,2,TRUE),IF(AND(AI386&gt;=73,AI386&lt;=78),VLOOKUP(H386,'WordRead Look Up'!$I$13:$J$18,2,TRUE),IF(AND(AI386&gt;=79),VLOOKUP(H386,'WordRead Look Up'!$M$13:$N$18,2,TRUE),"")))))</f>
        <v/>
      </c>
      <c r="J386" s="122"/>
      <c r="K386" s="111"/>
      <c r="L386" s="111"/>
      <c r="M386" s="111"/>
      <c r="N386" s="111"/>
      <c r="O386" s="111"/>
      <c r="P386" s="111"/>
      <c r="Q386" s="111"/>
      <c r="R386" s="111"/>
      <c r="S386" s="111"/>
      <c r="T386" s="111"/>
      <c r="U386" s="111"/>
      <c r="V386" s="111"/>
      <c r="W386" s="111"/>
      <c r="X386" s="123"/>
      <c r="AI386" s="222" t="str">
        <f t="shared" si="11"/>
        <v/>
      </c>
    </row>
    <row r="387" spans="1:35" s="108" customFormat="1" ht="15.75">
      <c r="A387" s="119"/>
      <c r="B387" s="120"/>
      <c r="C387" s="111"/>
      <c r="D387" s="111"/>
      <c r="E387" s="121"/>
      <c r="F387" s="121"/>
      <c r="G387" s="113"/>
      <c r="H387" s="199" t="str">
        <f t="shared" si="10"/>
        <v/>
      </c>
      <c r="I387" s="200" t="str">
        <f>IF(H387="","",IF(AND(AI387&lt;=66),VLOOKUP(H387,'WordRead Look Up'!$A$13:$B$20,2,TRUE),IF(AND(AI387&gt;=67,AI387&lt;=72),VLOOKUP(H387,'WordRead Look Up'!$E$13:$F$20,2,TRUE),IF(AND(AI387&gt;=73,AI387&lt;=78),VLOOKUP(H387,'WordRead Look Up'!$I$13:$J$18,2,TRUE),IF(AND(AI387&gt;=79),VLOOKUP(H387,'WordRead Look Up'!$M$13:$N$18,2,TRUE),"")))))</f>
        <v/>
      </c>
      <c r="J387" s="122"/>
      <c r="K387" s="111"/>
      <c r="L387" s="111"/>
      <c r="M387" s="111"/>
      <c r="N387" s="111"/>
      <c r="O387" s="111"/>
      <c r="P387" s="111"/>
      <c r="Q387" s="111"/>
      <c r="R387" s="111"/>
      <c r="S387" s="111"/>
      <c r="T387" s="111"/>
      <c r="U387" s="111"/>
      <c r="V387" s="111"/>
      <c r="W387" s="111"/>
      <c r="X387" s="123"/>
      <c r="AI387" s="222" t="str">
        <f t="shared" si="11"/>
        <v/>
      </c>
    </row>
    <row r="388" spans="1:35" s="108" customFormat="1" ht="15.75">
      <c r="A388" s="119"/>
      <c r="B388" s="120"/>
      <c r="C388" s="111"/>
      <c r="D388" s="111"/>
      <c r="E388" s="121"/>
      <c r="F388" s="121"/>
      <c r="G388" s="113"/>
      <c r="H388" s="199" t="str">
        <f t="shared" si="10"/>
        <v/>
      </c>
      <c r="I388" s="200" t="str">
        <f>IF(H388="","",IF(AND(AI388&lt;=66),VLOOKUP(H388,'WordRead Look Up'!$A$13:$B$20,2,TRUE),IF(AND(AI388&gt;=67,AI388&lt;=72),VLOOKUP(H388,'WordRead Look Up'!$E$13:$F$20,2,TRUE),IF(AND(AI388&gt;=73,AI388&lt;=78),VLOOKUP(H388,'WordRead Look Up'!$I$13:$J$18,2,TRUE),IF(AND(AI388&gt;=79),VLOOKUP(H388,'WordRead Look Up'!$M$13:$N$18,2,TRUE),"")))))</f>
        <v/>
      </c>
      <c r="J388" s="122"/>
      <c r="K388" s="111"/>
      <c r="L388" s="111"/>
      <c r="M388" s="111"/>
      <c r="N388" s="111"/>
      <c r="O388" s="111"/>
      <c r="P388" s="111"/>
      <c r="Q388" s="111"/>
      <c r="R388" s="111"/>
      <c r="S388" s="111"/>
      <c r="T388" s="111"/>
      <c r="U388" s="111"/>
      <c r="V388" s="111"/>
      <c r="W388" s="111"/>
      <c r="X388" s="123"/>
      <c r="AI388" s="222" t="str">
        <f t="shared" si="11"/>
        <v/>
      </c>
    </row>
    <row r="389" spans="1:35" s="108" customFormat="1" ht="15.75">
      <c r="A389" s="119"/>
      <c r="B389" s="120"/>
      <c r="C389" s="111"/>
      <c r="D389" s="111"/>
      <c r="E389" s="121"/>
      <c r="F389" s="121"/>
      <c r="G389" s="113"/>
      <c r="H389" s="199" t="str">
        <f t="shared" si="10"/>
        <v/>
      </c>
      <c r="I389" s="200" t="str">
        <f>IF(H389="","",IF(AND(AI389&lt;=66),VLOOKUP(H389,'WordRead Look Up'!$A$13:$B$20,2,TRUE),IF(AND(AI389&gt;=67,AI389&lt;=72),VLOOKUP(H389,'WordRead Look Up'!$E$13:$F$20,2,TRUE),IF(AND(AI389&gt;=73,AI389&lt;=78),VLOOKUP(H389,'WordRead Look Up'!$I$13:$J$18,2,TRUE),IF(AND(AI389&gt;=79),VLOOKUP(H389,'WordRead Look Up'!$M$13:$N$18,2,TRUE),"")))))</f>
        <v/>
      </c>
      <c r="J389" s="122"/>
      <c r="K389" s="111"/>
      <c r="L389" s="111"/>
      <c r="M389" s="111"/>
      <c r="N389" s="111"/>
      <c r="O389" s="111"/>
      <c r="P389" s="111"/>
      <c r="Q389" s="111"/>
      <c r="R389" s="111"/>
      <c r="S389" s="111"/>
      <c r="T389" s="111"/>
      <c r="U389" s="111"/>
      <c r="V389" s="111"/>
      <c r="W389" s="111"/>
      <c r="X389" s="123"/>
      <c r="AI389" s="222" t="str">
        <f t="shared" si="11"/>
        <v/>
      </c>
    </row>
    <row r="390" spans="1:35" s="108" customFormat="1" ht="15.75">
      <c r="A390" s="119"/>
      <c r="B390" s="120"/>
      <c r="C390" s="111"/>
      <c r="D390" s="111"/>
      <c r="E390" s="121"/>
      <c r="F390" s="121"/>
      <c r="G390" s="113"/>
      <c r="H390" s="199" t="str">
        <f t="shared" si="10"/>
        <v/>
      </c>
      <c r="I390" s="200" t="str">
        <f>IF(H390="","",IF(AND(AI390&lt;=66),VLOOKUP(H390,'WordRead Look Up'!$A$13:$B$20,2,TRUE),IF(AND(AI390&gt;=67,AI390&lt;=72),VLOOKUP(H390,'WordRead Look Up'!$E$13:$F$20,2,TRUE),IF(AND(AI390&gt;=73,AI390&lt;=78),VLOOKUP(H390,'WordRead Look Up'!$I$13:$J$18,2,TRUE),IF(AND(AI390&gt;=79),VLOOKUP(H390,'WordRead Look Up'!$M$13:$N$18,2,TRUE),"")))))</f>
        <v/>
      </c>
      <c r="J390" s="122"/>
      <c r="K390" s="111"/>
      <c r="L390" s="111"/>
      <c r="M390" s="111"/>
      <c r="N390" s="111"/>
      <c r="O390" s="111"/>
      <c r="P390" s="111"/>
      <c r="Q390" s="111"/>
      <c r="R390" s="111"/>
      <c r="S390" s="111"/>
      <c r="T390" s="111"/>
      <c r="U390" s="111"/>
      <c r="V390" s="111"/>
      <c r="W390" s="111"/>
      <c r="X390" s="123"/>
      <c r="AI390" s="222" t="str">
        <f t="shared" si="11"/>
        <v/>
      </c>
    </row>
    <row r="391" spans="1:35" s="108" customFormat="1" ht="15.75">
      <c r="A391" s="119"/>
      <c r="B391" s="120"/>
      <c r="C391" s="111"/>
      <c r="D391" s="111"/>
      <c r="E391" s="121"/>
      <c r="F391" s="121"/>
      <c r="G391" s="113"/>
      <c r="H391" s="199" t="str">
        <f t="shared" si="10"/>
        <v/>
      </c>
      <c r="I391" s="200" t="str">
        <f>IF(H391="","",IF(AND(AI391&lt;=66),VLOOKUP(H391,'WordRead Look Up'!$A$13:$B$20,2,TRUE),IF(AND(AI391&gt;=67,AI391&lt;=72),VLOOKUP(H391,'WordRead Look Up'!$E$13:$F$20,2,TRUE),IF(AND(AI391&gt;=73,AI391&lt;=78),VLOOKUP(H391,'WordRead Look Up'!$I$13:$J$18,2,TRUE),IF(AND(AI391&gt;=79),VLOOKUP(H391,'WordRead Look Up'!$M$13:$N$18,2,TRUE),"")))))</f>
        <v/>
      </c>
      <c r="J391" s="122"/>
      <c r="K391" s="111"/>
      <c r="L391" s="111"/>
      <c r="M391" s="111"/>
      <c r="N391" s="111"/>
      <c r="O391" s="111"/>
      <c r="P391" s="111"/>
      <c r="Q391" s="111"/>
      <c r="R391" s="111"/>
      <c r="S391" s="111"/>
      <c r="T391" s="111"/>
      <c r="U391" s="111"/>
      <c r="V391" s="111"/>
      <c r="W391" s="111"/>
      <c r="X391" s="123"/>
      <c r="AI391" s="222" t="str">
        <f t="shared" si="11"/>
        <v/>
      </c>
    </row>
    <row r="392" spans="1:35" s="108" customFormat="1" ht="15.75">
      <c r="A392" s="119"/>
      <c r="B392" s="120"/>
      <c r="C392" s="111"/>
      <c r="D392" s="111"/>
      <c r="E392" s="121"/>
      <c r="F392" s="121"/>
      <c r="G392" s="113"/>
      <c r="H392" s="199" t="str">
        <f t="shared" ref="H392:H455" si="12">IF(E392="","",COUNTIF(J392:X392,"y"))</f>
        <v/>
      </c>
      <c r="I392" s="200" t="str">
        <f>IF(H392="","",IF(AND(AI392&lt;=66),VLOOKUP(H392,'WordRead Look Up'!$A$13:$B$20,2,TRUE),IF(AND(AI392&gt;=67,AI392&lt;=72),VLOOKUP(H392,'WordRead Look Up'!$E$13:$F$20,2,TRUE),IF(AND(AI392&gt;=73,AI392&lt;=78),VLOOKUP(H392,'WordRead Look Up'!$I$13:$J$18,2,TRUE),IF(AND(AI392&gt;=79),VLOOKUP(H392,'WordRead Look Up'!$M$13:$N$18,2,TRUE),"")))))</f>
        <v/>
      </c>
      <c r="J392" s="122"/>
      <c r="K392" s="111"/>
      <c r="L392" s="111"/>
      <c r="M392" s="111"/>
      <c r="N392" s="111"/>
      <c r="O392" s="111"/>
      <c r="P392" s="111"/>
      <c r="Q392" s="111"/>
      <c r="R392" s="111"/>
      <c r="S392" s="111"/>
      <c r="T392" s="111"/>
      <c r="U392" s="111"/>
      <c r="V392" s="111"/>
      <c r="W392" s="111"/>
      <c r="X392" s="123"/>
      <c r="AI392" s="222" t="str">
        <f t="shared" ref="AI392:AI455" si="13">IF(E392="","",DATEDIF(B392,A392,"m"))</f>
        <v/>
      </c>
    </row>
    <row r="393" spans="1:35" s="108" customFormat="1" ht="15.75">
      <c r="A393" s="119"/>
      <c r="B393" s="120"/>
      <c r="C393" s="111"/>
      <c r="D393" s="111"/>
      <c r="E393" s="121"/>
      <c r="F393" s="121"/>
      <c r="G393" s="113"/>
      <c r="H393" s="199" t="str">
        <f t="shared" si="12"/>
        <v/>
      </c>
      <c r="I393" s="200" t="str">
        <f>IF(H393="","",IF(AND(AI393&lt;=66),VLOOKUP(H393,'WordRead Look Up'!$A$13:$B$20,2,TRUE),IF(AND(AI393&gt;=67,AI393&lt;=72),VLOOKUP(H393,'WordRead Look Up'!$E$13:$F$20,2,TRUE),IF(AND(AI393&gt;=73,AI393&lt;=78),VLOOKUP(H393,'WordRead Look Up'!$I$13:$J$18,2,TRUE),IF(AND(AI393&gt;=79),VLOOKUP(H393,'WordRead Look Up'!$M$13:$N$18,2,TRUE),"")))))</f>
        <v/>
      </c>
      <c r="J393" s="122"/>
      <c r="K393" s="111"/>
      <c r="L393" s="111"/>
      <c r="M393" s="111"/>
      <c r="N393" s="111"/>
      <c r="O393" s="111"/>
      <c r="P393" s="111"/>
      <c r="Q393" s="111"/>
      <c r="R393" s="111"/>
      <c r="S393" s="111"/>
      <c r="T393" s="111"/>
      <c r="U393" s="111"/>
      <c r="V393" s="111"/>
      <c r="W393" s="111"/>
      <c r="X393" s="123"/>
      <c r="AI393" s="222" t="str">
        <f t="shared" si="13"/>
        <v/>
      </c>
    </row>
    <row r="394" spans="1:35" s="108" customFormat="1" ht="15.75">
      <c r="A394" s="119"/>
      <c r="B394" s="120"/>
      <c r="C394" s="111"/>
      <c r="D394" s="111"/>
      <c r="E394" s="121"/>
      <c r="F394" s="121"/>
      <c r="G394" s="113"/>
      <c r="H394" s="199" t="str">
        <f t="shared" si="12"/>
        <v/>
      </c>
      <c r="I394" s="200" t="str">
        <f>IF(H394="","",IF(AND(AI394&lt;=66),VLOOKUP(H394,'WordRead Look Up'!$A$13:$B$20,2,TRUE),IF(AND(AI394&gt;=67,AI394&lt;=72),VLOOKUP(H394,'WordRead Look Up'!$E$13:$F$20,2,TRUE),IF(AND(AI394&gt;=73,AI394&lt;=78),VLOOKUP(H394,'WordRead Look Up'!$I$13:$J$18,2,TRUE),IF(AND(AI394&gt;=79),VLOOKUP(H394,'WordRead Look Up'!$M$13:$N$18,2,TRUE),"")))))</f>
        <v/>
      </c>
      <c r="J394" s="122"/>
      <c r="K394" s="111"/>
      <c r="L394" s="111"/>
      <c r="M394" s="111"/>
      <c r="N394" s="111"/>
      <c r="O394" s="111"/>
      <c r="P394" s="111"/>
      <c r="Q394" s="111"/>
      <c r="R394" s="111"/>
      <c r="S394" s="111"/>
      <c r="T394" s="111"/>
      <c r="U394" s="111"/>
      <c r="V394" s="111"/>
      <c r="W394" s="111"/>
      <c r="X394" s="123"/>
      <c r="AI394" s="222" t="str">
        <f t="shared" si="13"/>
        <v/>
      </c>
    </row>
    <row r="395" spans="1:35" s="108" customFormat="1" ht="15.75">
      <c r="A395" s="119"/>
      <c r="B395" s="120"/>
      <c r="C395" s="111"/>
      <c r="D395" s="111"/>
      <c r="E395" s="121"/>
      <c r="F395" s="121"/>
      <c r="G395" s="113"/>
      <c r="H395" s="199" t="str">
        <f t="shared" si="12"/>
        <v/>
      </c>
      <c r="I395" s="200" t="str">
        <f>IF(H395="","",IF(AND(AI395&lt;=66),VLOOKUP(H395,'WordRead Look Up'!$A$13:$B$20,2,TRUE),IF(AND(AI395&gt;=67,AI395&lt;=72),VLOOKUP(H395,'WordRead Look Up'!$E$13:$F$20,2,TRUE),IF(AND(AI395&gt;=73,AI395&lt;=78),VLOOKUP(H395,'WordRead Look Up'!$I$13:$J$18,2,TRUE),IF(AND(AI395&gt;=79),VLOOKUP(H395,'WordRead Look Up'!$M$13:$N$18,2,TRUE),"")))))</f>
        <v/>
      </c>
      <c r="J395" s="122"/>
      <c r="K395" s="111"/>
      <c r="L395" s="111"/>
      <c r="M395" s="111"/>
      <c r="N395" s="111"/>
      <c r="O395" s="111"/>
      <c r="P395" s="111"/>
      <c r="Q395" s="111"/>
      <c r="R395" s="111"/>
      <c r="S395" s="111"/>
      <c r="T395" s="111"/>
      <c r="U395" s="111"/>
      <c r="V395" s="111"/>
      <c r="W395" s="111"/>
      <c r="X395" s="123"/>
      <c r="AI395" s="222" t="str">
        <f t="shared" si="13"/>
        <v/>
      </c>
    </row>
    <row r="396" spans="1:35" s="108" customFormat="1" ht="15.75">
      <c r="A396" s="119"/>
      <c r="B396" s="120"/>
      <c r="C396" s="111"/>
      <c r="D396" s="111"/>
      <c r="E396" s="121"/>
      <c r="F396" s="121"/>
      <c r="G396" s="113"/>
      <c r="H396" s="199" t="str">
        <f t="shared" si="12"/>
        <v/>
      </c>
      <c r="I396" s="200" t="str">
        <f>IF(H396="","",IF(AND(AI396&lt;=66),VLOOKUP(H396,'WordRead Look Up'!$A$13:$B$20,2,TRUE),IF(AND(AI396&gt;=67,AI396&lt;=72),VLOOKUP(H396,'WordRead Look Up'!$E$13:$F$20,2,TRUE),IF(AND(AI396&gt;=73,AI396&lt;=78),VLOOKUP(H396,'WordRead Look Up'!$I$13:$J$18,2,TRUE),IF(AND(AI396&gt;=79),VLOOKUP(H396,'WordRead Look Up'!$M$13:$N$18,2,TRUE),"")))))</f>
        <v/>
      </c>
      <c r="J396" s="122"/>
      <c r="K396" s="111"/>
      <c r="L396" s="111"/>
      <c r="M396" s="111"/>
      <c r="N396" s="111"/>
      <c r="O396" s="111"/>
      <c r="P396" s="111"/>
      <c r="Q396" s="111"/>
      <c r="R396" s="111"/>
      <c r="S396" s="111"/>
      <c r="T396" s="111"/>
      <c r="U396" s="111"/>
      <c r="V396" s="111"/>
      <c r="W396" s="111"/>
      <c r="X396" s="123"/>
      <c r="AI396" s="222" t="str">
        <f t="shared" si="13"/>
        <v/>
      </c>
    </row>
    <row r="397" spans="1:35" s="108" customFormat="1" ht="15.75">
      <c r="A397" s="119"/>
      <c r="B397" s="120"/>
      <c r="C397" s="111"/>
      <c r="D397" s="111"/>
      <c r="E397" s="121"/>
      <c r="F397" s="121"/>
      <c r="G397" s="113"/>
      <c r="H397" s="199" t="str">
        <f t="shared" si="12"/>
        <v/>
      </c>
      <c r="I397" s="200" t="str">
        <f>IF(H397="","",IF(AND(AI397&lt;=66),VLOOKUP(H397,'WordRead Look Up'!$A$13:$B$20,2,TRUE),IF(AND(AI397&gt;=67,AI397&lt;=72),VLOOKUP(H397,'WordRead Look Up'!$E$13:$F$20,2,TRUE),IF(AND(AI397&gt;=73,AI397&lt;=78),VLOOKUP(H397,'WordRead Look Up'!$I$13:$J$18,2,TRUE),IF(AND(AI397&gt;=79),VLOOKUP(H397,'WordRead Look Up'!$M$13:$N$18,2,TRUE),"")))))</f>
        <v/>
      </c>
      <c r="J397" s="122"/>
      <c r="K397" s="111"/>
      <c r="L397" s="111"/>
      <c r="M397" s="111"/>
      <c r="N397" s="111"/>
      <c r="O397" s="111"/>
      <c r="P397" s="111"/>
      <c r="Q397" s="111"/>
      <c r="R397" s="111"/>
      <c r="S397" s="111"/>
      <c r="T397" s="111"/>
      <c r="U397" s="111"/>
      <c r="V397" s="111"/>
      <c r="W397" s="111"/>
      <c r="X397" s="123"/>
      <c r="AI397" s="222" t="str">
        <f t="shared" si="13"/>
        <v/>
      </c>
    </row>
    <row r="398" spans="1:35" s="108" customFormat="1" ht="15.75">
      <c r="A398" s="119"/>
      <c r="B398" s="120"/>
      <c r="C398" s="111"/>
      <c r="D398" s="111"/>
      <c r="E398" s="121"/>
      <c r="F398" s="121"/>
      <c r="G398" s="113"/>
      <c r="H398" s="199" t="str">
        <f t="shared" si="12"/>
        <v/>
      </c>
      <c r="I398" s="200" t="str">
        <f>IF(H398="","",IF(AND(AI398&lt;=66),VLOOKUP(H398,'WordRead Look Up'!$A$13:$B$20,2,TRUE),IF(AND(AI398&gt;=67,AI398&lt;=72),VLOOKUP(H398,'WordRead Look Up'!$E$13:$F$20,2,TRUE),IF(AND(AI398&gt;=73,AI398&lt;=78),VLOOKUP(H398,'WordRead Look Up'!$I$13:$J$18,2,TRUE),IF(AND(AI398&gt;=79),VLOOKUP(H398,'WordRead Look Up'!$M$13:$N$18,2,TRUE),"")))))</f>
        <v/>
      </c>
      <c r="J398" s="122"/>
      <c r="K398" s="111"/>
      <c r="L398" s="111"/>
      <c r="M398" s="111"/>
      <c r="N398" s="111"/>
      <c r="O398" s="111"/>
      <c r="P398" s="111"/>
      <c r="Q398" s="111"/>
      <c r="R398" s="111"/>
      <c r="S398" s="111"/>
      <c r="T398" s="111"/>
      <c r="U398" s="111"/>
      <c r="V398" s="111"/>
      <c r="W398" s="111"/>
      <c r="X398" s="123"/>
      <c r="AI398" s="222" t="str">
        <f t="shared" si="13"/>
        <v/>
      </c>
    </row>
    <row r="399" spans="1:35" s="108" customFormat="1" ht="15.75">
      <c r="A399" s="119"/>
      <c r="B399" s="120"/>
      <c r="C399" s="111"/>
      <c r="D399" s="111"/>
      <c r="E399" s="121"/>
      <c r="F399" s="121"/>
      <c r="G399" s="113"/>
      <c r="H399" s="199" t="str">
        <f t="shared" si="12"/>
        <v/>
      </c>
      <c r="I399" s="200" t="str">
        <f>IF(H399="","",IF(AND(AI399&lt;=66),VLOOKUP(H399,'WordRead Look Up'!$A$13:$B$20,2,TRUE),IF(AND(AI399&gt;=67,AI399&lt;=72),VLOOKUP(H399,'WordRead Look Up'!$E$13:$F$20,2,TRUE),IF(AND(AI399&gt;=73,AI399&lt;=78),VLOOKUP(H399,'WordRead Look Up'!$I$13:$J$18,2,TRUE),IF(AND(AI399&gt;=79),VLOOKUP(H399,'WordRead Look Up'!$M$13:$N$18,2,TRUE),"")))))</f>
        <v/>
      </c>
      <c r="J399" s="122"/>
      <c r="K399" s="111"/>
      <c r="L399" s="111"/>
      <c r="M399" s="111"/>
      <c r="N399" s="111"/>
      <c r="O399" s="111"/>
      <c r="P399" s="111"/>
      <c r="Q399" s="111"/>
      <c r="R399" s="111"/>
      <c r="S399" s="111"/>
      <c r="T399" s="111"/>
      <c r="U399" s="111"/>
      <c r="V399" s="111"/>
      <c r="W399" s="111"/>
      <c r="X399" s="123"/>
      <c r="AI399" s="222" t="str">
        <f t="shared" si="13"/>
        <v/>
      </c>
    </row>
    <row r="400" spans="1:35" s="108" customFormat="1" ht="15.75">
      <c r="A400" s="119"/>
      <c r="B400" s="120"/>
      <c r="C400" s="111"/>
      <c r="D400" s="111"/>
      <c r="E400" s="121"/>
      <c r="F400" s="121"/>
      <c r="G400" s="113"/>
      <c r="H400" s="199" t="str">
        <f t="shared" si="12"/>
        <v/>
      </c>
      <c r="I400" s="200" t="str">
        <f>IF(H400="","",IF(AND(AI400&lt;=66),VLOOKUP(H400,'WordRead Look Up'!$A$13:$B$20,2,TRUE),IF(AND(AI400&gt;=67,AI400&lt;=72),VLOOKUP(H400,'WordRead Look Up'!$E$13:$F$20,2,TRUE),IF(AND(AI400&gt;=73,AI400&lt;=78),VLOOKUP(H400,'WordRead Look Up'!$I$13:$J$18,2,TRUE),IF(AND(AI400&gt;=79),VLOOKUP(H400,'WordRead Look Up'!$M$13:$N$18,2,TRUE),"")))))</f>
        <v/>
      </c>
      <c r="J400" s="122"/>
      <c r="K400" s="111"/>
      <c r="L400" s="111"/>
      <c r="M400" s="111"/>
      <c r="N400" s="111"/>
      <c r="O400" s="111"/>
      <c r="P400" s="111"/>
      <c r="Q400" s="111"/>
      <c r="R400" s="111"/>
      <c r="S400" s="111"/>
      <c r="T400" s="111"/>
      <c r="U400" s="111"/>
      <c r="V400" s="111"/>
      <c r="W400" s="111"/>
      <c r="X400" s="123"/>
      <c r="AI400" s="222" t="str">
        <f t="shared" si="13"/>
        <v/>
      </c>
    </row>
    <row r="401" spans="1:35" s="108" customFormat="1" ht="15.75">
      <c r="A401" s="119"/>
      <c r="B401" s="120"/>
      <c r="C401" s="111"/>
      <c r="D401" s="111"/>
      <c r="E401" s="121"/>
      <c r="F401" s="121"/>
      <c r="G401" s="113"/>
      <c r="H401" s="199" t="str">
        <f t="shared" si="12"/>
        <v/>
      </c>
      <c r="I401" s="200" t="str">
        <f>IF(H401="","",IF(AND(AI401&lt;=66),VLOOKUP(H401,'WordRead Look Up'!$A$13:$B$20,2,TRUE),IF(AND(AI401&gt;=67,AI401&lt;=72),VLOOKUP(H401,'WordRead Look Up'!$E$13:$F$20,2,TRUE),IF(AND(AI401&gt;=73,AI401&lt;=78),VLOOKUP(H401,'WordRead Look Up'!$I$13:$J$18,2,TRUE),IF(AND(AI401&gt;=79),VLOOKUP(H401,'WordRead Look Up'!$M$13:$N$18,2,TRUE),"")))))</f>
        <v/>
      </c>
      <c r="J401" s="122"/>
      <c r="K401" s="111"/>
      <c r="L401" s="111"/>
      <c r="M401" s="111"/>
      <c r="N401" s="111"/>
      <c r="O401" s="111"/>
      <c r="P401" s="111"/>
      <c r="Q401" s="111"/>
      <c r="R401" s="111"/>
      <c r="S401" s="111"/>
      <c r="T401" s="111"/>
      <c r="U401" s="111"/>
      <c r="V401" s="111"/>
      <c r="W401" s="111"/>
      <c r="X401" s="123"/>
      <c r="AI401" s="222" t="str">
        <f t="shared" si="13"/>
        <v/>
      </c>
    </row>
    <row r="402" spans="1:35" s="108" customFormat="1" ht="15.75">
      <c r="A402" s="119"/>
      <c r="B402" s="120"/>
      <c r="C402" s="111"/>
      <c r="D402" s="111"/>
      <c r="E402" s="121"/>
      <c r="F402" s="121"/>
      <c r="G402" s="113"/>
      <c r="H402" s="199" t="str">
        <f t="shared" si="12"/>
        <v/>
      </c>
      <c r="I402" s="200" t="str">
        <f>IF(H402="","",IF(AND(AI402&lt;=66),VLOOKUP(H402,'WordRead Look Up'!$A$13:$B$20,2,TRUE),IF(AND(AI402&gt;=67,AI402&lt;=72),VLOOKUP(H402,'WordRead Look Up'!$E$13:$F$20,2,TRUE),IF(AND(AI402&gt;=73,AI402&lt;=78),VLOOKUP(H402,'WordRead Look Up'!$I$13:$J$18,2,TRUE),IF(AND(AI402&gt;=79),VLOOKUP(H402,'WordRead Look Up'!$M$13:$N$18,2,TRUE),"")))))</f>
        <v/>
      </c>
      <c r="J402" s="122"/>
      <c r="K402" s="111"/>
      <c r="L402" s="111"/>
      <c r="M402" s="111"/>
      <c r="N402" s="111"/>
      <c r="O402" s="111"/>
      <c r="P402" s="111"/>
      <c r="Q402" s="111"/>
      <c r="R402" s="111"/>
      <c r="S402" s="111"/>
      <c r="T402" s="111"/>
      <c r="U402" s="111"/>
      <c r="V402" s="111"/>
      <c r="W402" s="111"/>
      <c r="X402" s="123"/>
      <c r="AI402" s="222" t="str">
        <f t="shared" si="13"/>
        <v/>
      </c>
    </row>
    <row r="403" spans="1:35" s="108" customFormat="1" ht="15.75">
      <c r="A403" s="119"/>
      <c r="B403" s="120"/>
      <c r="C403" s="111"/>
      <c r="D403" s="111"/>
      <c r="E403" s="121"/>
      <c r="F403" s="121"/>
      <c r="G403" s="113"/>
      <c r="H403" s="199" t="str">
        <f t="shared" si="12"/>
        <v/>
      </c>
      <c r="I403" s="200" t="str">
        <f>IF(H403="","",IF(AND(AI403&lt;=66),VLOOKUP(H403,'WordRead Look Up'!$A$13:$B$20,2,TRUE),IF(AND(AI403&gt;=67,AI403&lt;=72),VLOOKUP(H403,'WordRead Look Up'!$E$13:$F$20,2,TRUE),IF(AND(AI403&gt;=73,AI403&lt;=78),VLOOKUP(H403,'WordRead Look Up'!$I$13:$J$18,2,TRUE),IF(AND(AI403&gt;=79),VLOOKUP(H403,'WordRead Look Up'!$M$13:$N$18,2,TRUE),"")))))</f>
        <v/>
      </c>
      <c r="J403" s="122"/>
      <c r="K403" s="111"/>
      <c r="L403" s="111"/>
      <c r="M403" s="111"/>
      <c r="N403" s="111"/>
      <c r="O403" s="111"/>
      <c r="P403" s="111"/>
      <c r="Q403" s="111"/>
      <c r="R403" s="111"/>
      <c r="S403" s="111"/>
      <c r="T403" s="111"/>
      <c r="U403" s="111"/>
      <c r="V403" s="111"/>
      <c r="W403" s="111"/>
      <c r="X403" s="123"/>
      <c r="AI403" s="222" t="str">
        <f t="shared" si="13"/>
        <v/>
      </c>
    </row>
    <row r="404" spans="1:35" s="108" customFormat="1" ht="15.75">
      <c r="A404" s="119"/>
      <c r="B404" s="120"/>
      <c r="C404" s="111"/>
      <c r="D404" s="111"/>
      <c r="E404" s="121"/>
      <c r="F404" s="121"/>
      <c r="G404" s="113"/>
      <c r="H404" s="199" t="str">
        <f t="shared" si="12"/>
        <v/>
      </c>
      <c r="I404" s="200" t="str">
        <f>IF(H404="","",IF(AND(AI404&lt;=66),VLOOKUP(H404,'WordRead Look Up'!$A$13:$B$20,2,TRUE),IF(AND(AI404&gt;=67,AI404&lt;=72),VLOOKUP(H404,'WordRead Look Up'!$E$13:$F$20,2,TRUE),IF(AND(AI404&gt;=73,AI404&lt;=78),VLOOKUP(H404,'WordRead Look Up'!$I$13:$J$18,2,TRUE),IF(AND(AI404&gt;=79),VLOOKUP(H404,'WordRead Look Up'!$M$13:$N$18,2,TRUE),"")))))</f>
        <v/>
      </c>
      <c r="J404" s="122"/>
      <c r="K404" s="111"/>
      <c r="L404" s="111"/>
      <c r="M404" s="111"/>
      <c r="N404" s="111"/>
      <c r="O404" s="111"/>
      <c r="P404" s="111"/>
      <c r="Q404" s="111"/>
      <c r="R404" s="111"/>
      <c r="S404" s="111"/>
      <c r="T404" s="111"/>
      <c r="U404" s="111"/>
      <c r="V404" s="111"/>
      <c r="W404" s="111"/>
      <c r="X404" s="123"/>
      <c r="AI404" s="222" t="str">
        <f t="shared" si="13"/>
        <v/>
      </c>
    </row>
    <row r="405" spans="1:35" s="108" customFormat="1" ht="15.75">
      <c r="A405" s="119"/>
      <c r="B405" s="120"/>
      <c r="C405" s="111"/>
      <c r="D405" s="111"/>
      <c r="E405" s="121"/>
      <c r="F405" s="121"/>
      <c r="G405" s="113"/>
      <c r="H405" s="199" t="str">
        <f t="shared" si="12"/>
        <v/>
      </c>
      <c r="I405" s="200" t="str">
        <f>IF(H405="","",IF(AND(AI405&lt;=66),VLOOKUP(H405,'WordRead Look Up'!$A$13:$B$20,2,TRUE),IF(AND(AI405&gt;=67,AI405&lt;=72),VLOOKUP(H405,'WordRead Look Up'!$E$13:$F$20,2,TRUE),IF(AND(AI405&gt;=73,AI405&lt;=78),VLOOKUP(H405,'WordRead Look Up'!$I$13:$J$18,2,TRUE),IF(AND(AI405&gt;=79),VLOOKUP(H405,'WordRead Look Up'!$M$13:$N$18,2,TRUE),"")))))</f>
        <v/>
      </c>
      <c r="J405" s="122"/>
      <c r="K405" s="111"/>
      <c r="L405" s="111"/>
      <c r="M405" s="111"/>
      <c r="N405" s="111"/>
      <c r="O405" s="111"/>
      <c r="P405" s="111"/>
      <c r="Q405" s="111"/>
      <c r="R405" s="111"/>
      <c r="S405" s="111"/>
      <c r="T405" s="111"/>
      <c r="U405" s="111"/>
      <c r="V405" s="111"/>
      <c r="W405" s="111"/>
      <c r="X405" s="123"/>
      <c r="AI405" s="222" t="str">
        <f t="shared" si="13"/>
        <v/>
      </c>
    </row>
    <row r="406" spans="1:35" s="108" customFormat="1" ht="15.75">
      <c r="A406" s="119"/>
      <c r="B406" s="120"/>
      <c r="C406" s="111"/>
      <c r="D406" s="111"/>
      <c r="E406" s="121"/>
      <c r="F406" s="121"/>
      <c r="G406" s="113"/>
      <c r="H406" s="199" t="str">
        <f t="shared" si="12"/>
        <v/>
      </c>
      <c r="I406" s="200" t="str">
        <f>IF(H406="","",IF(AND(AI406&lt;=66),VLOOKUP(H406,'WordRead Look Up'!$A$13:$B$20,2,TRUE),IF(AND(AI406&gt;=67,AI406&lt;=72),VLOOKUP(H406,'WordRead Look Up'!$E$13:$F$20,2,TRUE),IF(AND(AI406&gt;=73,AI406&lt;=78),VLOOKUP(H406,'WordRead Look Up'!$I$13:$J$18,2,TRUE),IF(AND(AI406&gt;=79),VLOOKUP(H406,'WordRead Look Up'!$M$13:$N$18,2,TRUE),"")))))</f>
        <v/>
      </c>
      <c r="J406" s="122"/>
      <c r="K406" s="111"/>
      <c r="L406" s="111"/>
      <c r="M406" s="111"/>
      <c r="N406" s="111"/>
      <c r="O406" s="111"/>
      <c r="P406" s="111"/>
      <c r="Q406" s="111"/>
      <c r="R406" s="111"/>
      <c r="S406" s="111"/>
      <c r="T406" s="111"/>
      <c r="U406" s="111"/>
      <c r="V406" s="111"/>
      <c r="W406" s="111"/>
      <c r="X406" s="123"/>
      <c r="AI406" s="222" t="str">
        <f t="shared" si="13"/>
        <v/>
      </c>
    </row>
    <row r="407" spans="1:35" s="108" customFormat="1" ht="15.75">
      <c r="A407" s="119"/>
      <c r="B407" s="120"/>
      <c r="C407" s="111"/>
      <c r="D407" s="111"/>
      <c r="E407" s="121"/>
      <c r="F407" s="121"/>
      <c r="G407" s="113"/>
      <c r="H407" s="199" t="str">
        <f t="shared" si="12"/>
        <v/>
      </c>
      <c r="I407" s="200" t="str">
        <f>IF(H407="","",IF(AND(AI407&lt;=66),VLOOKUP(H407,'WordRead Look Up'!$A$13:$B$20,2,TRUE),IF(AND(AI407&gt;=67,AI407&lt;=72),VLOOKUP(H407,'WordRead Look Up'!$E$13:$F$20,2,TRUE),IF(AND(AI407&gt;=73,AI407&lt;=78),VLOOKUP(H407,'WordRead Look Up'!$I$13:$J$18,2,TRUE),IF(AND(AI407&gt;=79),VLOOKUP(H407,'WordRead Look Up'!$M$13:$N$18,2,TRUE),"")))))</f>
        <v/>
      </c>
      <c r="J407" s="122"/>
      <c r="K407" s="111"/>
      <c r="L407" s="111"/>
      <c r="M407" s="111"/>
      <c r="N407" s="111"/>
      <c r="O407" s="111"/>
      <c r="P407" s="111"/>
      <c r="Q407" s="111"/>
      <c r="R407" s="111"/>
      <c r="S407" s="111"/>
      <c r="T407" s="111"/>
      <c r="U407" s="111"/>
      <c r="V407" s="111"/>
      <c r="W407" s="111"/>
      <c r="X407" s="123"/>
      <c r="AI407" s="222" t="str">
        <f t="shared" si="13"/>
        <v/>
      </c>
    </row>
    <row r="408" spans="1:35" s="108" customFormat="1" ht="15.75">
      <c r="A408" s="119"/>
      <c r="B408" s="120"/>
      <c r="C408" s="111"/>
      <c r="D408" s="111"/>
      <c r="E408" s="121"/>
      <c r="F408" s="121"/>
      <c r="G408" s="113"/>
      <c r="H408" s="199" t="str">
        <f t="shared" si="12"/>
        <v/>
      </c>
      <c r="I408" s="200" t="str">
        <f>IF(H408="","",IF(AND(AI408&lt;=66),VLOOKUP(H408,'WordRead Look Up'!$A$13:$B$20,2,TRUE),IF(AND(AI408&gt;=67,AI408&lt;=72),VLOOKUP(H408,'WordRead Look Up'!$E$13:$F$20,2,TRUE),IF(AND(AI408&gt;=73,AI408&lt;=78),VLOOKUP(H408,'WordRead Look Up'!$I$13:$J$18,2,TRUE),IF(AND(AI408&gt;=79),VLOOKUP(H408,'WordRead Look Up'!$M$13:$N$18,2,TRUE),"")))))</f>
        <v/>
      </c>
      <c r="J408" s="122"/>
      <c r="K408" s="111"/>
      <c r="L408" s="111"/>
      <c r="M408" s="111"/>
      <c r="N408" s="111"/>
      <c r="O408" s="111"/>
      <c r="P408" s="111"/>
      <c r="Q408" s="111"/>
      <c r="R408" s="111"/>
      <c r="S408" s="111"/>
      <c r="T408" s="111"/>
      <c r="U408" s="111"/>
      <c r="V408" s="111"/>
      <c r="W408" s="111"/>
      <c r="X408" s="123"/>
      <c r="AI408" s="222" t="str">
        <f t="shared" si="13"/>
        <v/>
      </c>
    </row>
    <row r="409" spans="1:35" s="108" customFormat="1" ht="15.75">
      <c r="A409" s="119"/>
      <c r="B409" s="120"/>
      <c r="C409" s="111"/>
      <c r="D409" s="111"/>
      <c r="E409" s="121"/>
      <c r="F409" s="121"/>
      <c r="G409" s="113"/>
      <c r="H409" s="199" t="str">
        <f t="shared" si="12"/>
        <v/>
      </c>
      <c r="I409" s="200" t="str">
        <f>IF(H409="","",IF(AND(AI409&lt;=66),VLOOKUP(H409,'WordRead Look Up'!$A$13:$B$20,2,TRUE),IF(AND(AI409&gt;=67,AI409&lt;=72),VLOOKUP(H409,'WordRead Look Up'!$E$13:$F$20,2,TRUE),IF(AND(AI409&gt;=73,AI409&lt;=78),VLOOKUP(H409,'WordRead Look Up'!$I$13:$J$18,2,TRUE),IF(AND(AI409&gt;=79),VLOOKUP(H409,'WordRead Look Up'!$M$13:$N$18,2,TRUE),"")))))</f>
        <v/>
      </c>
      <c r="J409" s="122"/>
      <c r="K409" s="111"/>
      <c r="L409" s="111"/>
      <c r="M409" s="111"/>
      <c r="N409" s="111"/>
      <c r="O409" s="111"/>
      <c r="P409" s="111"/>
      <c r="Q409" s="111"/>
      <c r="R409" s="111"/>
      <c r="S409" s="111"/>
      <c r="T409" s="111"/>
      <c r="U409" s="111"/>
      <c r="V409" s="111"/>
      <c r="W409" s="111"/>
      <c r="X409" s="123"/>
      <c r="AI409" s="222" t="str">
        <f t="shared" si="13"/>
        <v/>
      </c>
    </row>
    <row r="410" spans="1:35" s="108" customFormat="1" ht="15.75">
      <c r="A410" s="119"/>
      <c r="B410" s="120"/>
      <c r="C410" s="111"/>
      <c r="D410" s="111"/>
      <c r="E410" s="121"/>
      <c r="F410" s="121"/>
      <c r="G410" s="113"/>
      <c r="H410" s="199" t="str">
        <f t="shared" si="12"/>
        <v/>
      </c>
      <c r="I410" s="200" t="str">
        <f>IF(H410="","",IF(AND(AI410&lt;=66),VLOOKUP(H410,'WordRead Look Up'!$A$13:$B$20,2,TRUE),IF(AND(AI410&gt;=67,AI410&lt;=72),VLOOKUP(H410,'WordRead Look Up'!$E$13:$F$20,2,TRUE),IF(AND(AI410&gt;=73,AI410&lt;=78),VLOOKUP(H410,'WordRead Look Up'!$I$13:$J$18,2,TRUE),IF(AND(AI410&gt;=79),VLOOKUP(H410,'WordRead Look Up'!$M$13:$N$18,2,TRUE),"")))))</f>
        <v/>
      </c>
      <c r="J410" s="122"/>
      <c r="K410" s="111"/>
      <c r="L410" s="111"/>
      <c r="M410" s="111"/>
      <c r="N410" s="111"/>
      <c r="O410" s="111"/>
      <c r="P410" s="111"/>
      <c r="Q410" s="111"/>
      <c r="R410" s="111"/>
      <c r="S410" s="111"/>
      <c r="T410" s="111"/>
      <c r="U410" s="111"/>
      <c r="V410" s="111"/>
      <c r="W410" s="111"/>
      <c r="X410" s="123"/>
      <c r="AI410" s="222" t="str">
        <f t="shared" si="13"/>
        <v/>
      </c>
    </row>
    <row r="411" spans="1:35" s="108" customFormat="1" ht="15.75">
      <c r="A411" s="119"/>
      <c r="B411" s="120"/>
      <c r="C411" s="111"/>
      <c r="D411" s="111"/>
      <c r="E411" s="121"/>
      <c r="F411" s="121"/>
      <c r="G411" s="113"/>
      <c r="H411" s="199" t="str">
        <f t="shared" si="12"/>
        <v/>
      </c>
      <c r="I411" s="200" t="str">
        <f>IF(H411="","",IF(AND(AI411&lt;=66),VLOOKUP(H411,'WordRead Look Up'!$A$13:$B$20,2,TRUE),IF(AND(AI411&gt;=67,AI411&lt;=72),VLOOKUP(H411,'WordRead Look Up'!$E$13:$F$20,2,TRUE),IF(AND(AI411&gt;=73,AI411&lt;=78),VLOOKUP(H411,'WordRead Look Up'!$I$13:$J$18,2,TRUE),IF(AND(AI411&gt;=79),VLOOKUP(H411,'WordRead Look Up'!$M$13:$N$18,2,TRUE),"")))))</f>
        <v/>
      </c>
      <c r="J411" s="122"/>
      <c r="K411" s="111"/>
      <c r="L411" s="111"/>
      <c r="M411" s="111"/>
      <c r="N411" s="111"/>
      <c r="O411" s="111"/>
      <c r="P411" s="111"/>
      <c r="Q411" s="111"/>
      <c r="R411" s="111"/>
      <c r="S411" s="111"/>
      <c r="T411" s="111"/>
      <c r="U411" s="111"/>
      <c r="V411" s="111"/>
      <c r="W411" s="111"/>
      <c r="X411" s="123"/>
      <c r="AI411" s="222" t="str">
        <f t="shared" si="13"/>
        <v/>
      </c>
    </row>
    <row r="412" spans="1:35" s="108" customFormat="1" ht="15.75">
      <c r="A412" s="119"/>
      <c r="B412" s="120"/>
      <c r="C412" s="111"/>
      <c r="D412" s="111"/>
      <c r="E412" s="121"/>
      <c r="F412" s="121"/>
      <c r="G412" s="113"/>
      <c r="H412" s="199" t="str">
        <f t="shared" si="12"/>
        <v/>
      </c>
      <c r="I412" s="200" t="str">
        <f>IF(H412="","",IF(AND(AI412&lt;=66),VLOOKUP(H412,'WordRead Look Up'!$A$13:$B$20,2,TRUE),IF(AND(AI412&gt;=67,AI412&lt;=72),VLOOKUP(H412,'WordRead Look Up'!$E$13:$F$20,2,TRUE),IF(AND(AI412&gt;=73,AI412&lt;=78),VLOOKUP(H412,'WordRead Look Up'!$I$13:$J$18,2,TRUE),IF(AND(AI412&gt;=79),VLOOKUP(H412,'WordRead Look Up'!$M$13:$N$18,2,TRUE),"")))))</f>
        <v/>
      </c>
      <c r="J412" s="122"/>
      <c r="K412" s="111"/>
      <c r="L412" s="111"/>
      <c r="M412" s="111"/>
      <c r="N412" s="111"/>
      <c r="O412" s="111"/>
      <c r="P412" s="111"/>
      <c r="Q412" s="111"/>
      <c r="R412" s="111"/>
      <c r="S412" s="111"/>
      <c r="T412" s="111"/>
      <c r="U412" s="111"/>
      <c r="V412" s="111"/>
      <c r="W412" s="111"/>
      <c r="X412" s="123"/>
      <c r="AI412" s="222" t="str">
        <f t="shared" si="13"/>
        <v/>
      </c>
    </row>
    <row r="413" spans="1:35" s="108" customFormat="1" ht="15.75">
      <c r="A413" s="119"/>
      <c r="B413" s="120"/>
      <c r="C413" s="111"/>
      <c r="D413" s="111"/>
      <c r="E413" s="121"/>
      <c r="F413" s="121"/>
      <c r="G413" s="113"/>
      <c r="H413" s="199" t="str">
        <f t="shared" si="12"/>
        <v/>
      </c>
      <c r="I413" s="200" t="str">
        <f>IF(H413="","",IF(AND(AI413&lt;=66),VLOOKUP(H413,'WordRead Look Up'!$A$13:$B$20,2,TRUE),IF(AND(AI413&gt;=67,AI413&lt;=72),VLOOKUP(H413,'WordRead Look Up'!$E$13:$F$20,2,TRUE),IF(AND(AI413&gt;=73,AI413&lt;=78),VLOOKUP(H413,'WordRead Look Up'!$I$13:$J$18,2,TRUE),IF(AND(AI413&gt;=79),VLOOKUP(H413,'WordRead Look Up'!$M$13:$N$18,2,TRUE),"")))))</f>
        <v/>
      </c>
      <c r="J413" s="122"/>
      <c r="K413" s="111"/>
      <c r="L413" s="111"/>
      <c r="M413" s="111"/>
      <c r="N413" s="111"/>
      <c r="O413" s="111"/>
      <c r="P413" s="111"/>
      <c r="Q413" s="111"/>
      <c r="R413" s="111"/>
      <c r="S413" s="111"/>
      <c r="T413" s="111"/>
      <c r="U413" s="111"/>
      <c r="V413" s="111"/>
      <c r="W413" s="111"/>
      <c r="X413" s="123"/>
      <c r="AI413" s="222" t="str">
        <f t="shared" si="13"/>
        <v/>
      </c>
    </row>
    <row r="414" spans="1:35" s="108" customFormat="1" ht="15.75">
      <c r="A414" s="119"/>
      <c r="B414" s="120"/>
      <c r="C414" s="111"/>
      <c r="D414" s="111"/>
      <c r="E414" s="121"/>
      <c r="F414" s="121"/>
      <c r="G414" s="113"/>
      <c r="H414" s="199" t="str">
        <f t="shared" si="12"/>
        <v/>
      </c>
      <c r="I414" s="200" t="str">
        <f>IF(H414="","",IF(AND(AI414&lt;=66),VLOOKUP(H414,'WordRead Look Up'!$A$13:$B$20,2,TRUE),IF(AND(AI414&gt;=67,AI414&lt;=72),VLOOKUP(H414,'WordRead Look Up'!$E$13:$F$20,2,TRUE),IF(AND(AI414&gt;=73,AI414&lt;=78),VLOOKUP(H414,'WordRead Look Up'!$I$13:$J$18,2,TRUE),IF(AND(AI414&gt;=79),VLOOKUP(H414,'WordRead Look Up'!$M$13:$N$18,2,TRUE),"")))))</f>
        <v/>
      </c>
      <c r="J414" s="122"/>
      <c r="K414" s="111"/>
      <c r="L414" s="111"/>
      <c r="M414" s="111"/>
      <c r="N414" s="111"/>
      <c r="O414" s="111"/>
      <c r="P414" s="111"/>
      <c r="Q414" s="111"/>
      <c r="R414" s="111"/>
      <c r="S414" s="111"/>
      <c r="T414" s="111"/>
      <c r="U414" s="111"/>
      <c r="V414" s="111"/>
      <c r="W414" s="111"/>
      <c r="X414" s="123"/>
      <c r="AI414" s="222" t="str">
        <f t="shared" si="13"/>
        <v/>
      </c>
    </row>
    <row r="415" spans="1:35" s="108" customFormat="1" ht="15.75">
      <c r="A415" s="119"/>
      <c r="B415" s="120"/>
      <c r="C415" s="111"/>
      <c r="D415" s="111"/>
      <c r="E415" s="121"/>
      <c r="F415" s="121"/>
      <c r="G415" s="113"/>
      <c r="H415" s="199" t="str">
        <f t="shared" si="12"/>
        <v/>
      </c>
      <c r="I415" s="200" t="str">
        <f>IF(H415="","",IF(AND(AI415&lt;=66),VLOOKUP(H415,'WordRead Look Up'!$A$13:$B$20,2,TRUE),IF(AND(AI415&gt;=67,AI415&lt;=72),VLOOKUP(H415,'WordRead Look Up'!$E$13:$F$20,2,TRUE),IF(AND(AI415&gt;=73,AI415&lt;=78),VLOOKUP(H415,'WordRead Look Up'!$I$13:$J$18,2,TRUE),IF(AND(AI415&gt;=79),VLOOKUP(H415,'WordRead Look Up'!$M$13:$N$18,2,TRUE),"")))))</f>
        <v/>
      </c>
      <c r="J415" s="122"/>
      <c r="K415" s="111"/>
      <c r="L415" s="111"/>
      <c r="M415" s="111"/>
      <c r="N415" s="111"/>
      <c r="O415" s="111"/>
      <c r="P415" s="111"/>
      <c r="Q415" s="111"/>
      <c r="R415" s="111"/>
      <c r="S415" s="111"/>
      <c r="T415" s="111"/>
      <c r="U415" s="111"/>
      <c r="V415" s="111"/>
      <c r="W415" s="111"/>
      <c r="X415" s="123"/>
      <c r="AI415" s="222" t="str">
        <f t="shared" si="13"/>
        <v/>
      </c>
    </row>
    <row r="416" spans="1:35" s="108" customFormat="1" ht="15.75">
      <c r="A416" s="119"/>
      <c r="B416" s="120"/>
      <c r="C416" s="111"/>
      <c r="D416" s="111"/>
      <c r="E416" s="121"/>
      <c r="F416" s="121"/>
      <c r="G416" s="113"/>
      <c r="H416" s="199" t="str">
        <f t="shared" si="12"/>
        <v/>
      </c>
      <c r="I416" s="200" t="str">
        <f>IF(H416="","",IF(AND(AI416&lt;=66),VLOOKUP(H416,'WordRead Look Up'!$A$13:$B$20,2,TRUE),IF(AND(AI416&gt;=67,AI416&lt;=72),VLOOKUP(H416,'WordRead Look Up'!$E$13:$F$20,2,TRUE),IF(AND(AI416&gt;=73,AI416&lt;=78),VLOOKUP(H416,'WordRead Look Up'!$I$13:$J$18,2,TRUE),IF(AND(AI416&gt;=79),VLOOKUP(H416,'WordRead Look Up'!$M$13:$N$18,2,TRUE),"")))))</f>
        <v/>
      </c>
      <c r="J416" s="122"/>
      <c r="K416" s="111"/>
      <c r="L416" s="111"/>
      <c r="M416" s="111"/>
      <c r="N416" s="111"/>
      <c r="O416" s="111"/>
      <c r="P416" s="111"/>
      <c r="Q416" s="111"/>
      <c r="R416" s="111"/>
      <c r="S416" s="111"/>
      <c r="T416" s="111"/>
      <c r="U416" s="111"/>
      <c r="V416" s="111"/>
      <c r="W416" s="111"/>
      <c r="X416" s="123"/>
      <c r="AI416" s="222" t="str">
        <f t="shared" si="13"/>
        <v/>
      </c>
    </row>
    <row r="417" spans="1:35" s="108" customFormat="1" ht="15.75">
      <c r="A417" s="119"/>
      <c r="B417" s="120"/>
      <c r="C417" s="111"/>
      <c r="D417" s="111"/>
      <c r="E417" s="121"/>
      <c r="F417" s="121"/>
      <c r="G417" s="113"/>
      <c r="H417" s="199" t="str">
        <f t="shared" si="12"/>
        <v/>
      </c>
      <c r="I417" s="200" t="str">
        <f>IF(H417="","",IF(AND(AI417&lt;=66),VLOOKUP(H417,'WordRead Look Up'!$A$13:$B$20,2,TRUE),IF(AND(AI417&gt;=67,AI417&lt;=72),VLOOKUP(H417,'WordRead Look Up'!$E$13:$F$20,2,TRUE),IF(AND(AI417&gt;=73,AI417&lt;=78),VLOOKUP(H417,'WordRead Look Up'!$I$13:$J$18,2,TRUE),IF(AND(AI417&gt;=79),VLOOKUP(H417,'WordRead Look Up'!$M$13:$N$18,2,TRUE),"")))))</f>
        <v/>
      </c>
      <c r="J417" s="122"/>
      <c r="K417" s="111"/>
      <c r="L417" s="111"/>
      <c r="M417" s="111"/>
      <c r="N417" s="111"/>
      <c r="O417" s="111"/>
      <c r="P417" s="111"/>
      <c r="Q417" s="111"/>
      <c r="R417" s="111"/>
      <c r="S417" s="111"/>
      <c r="T417" s="111"/>
      <c r="U417" s="111"/>
      <c r="V417" s="111"/>
      <c r="W417" s="111"/>
      <c r="X417" s="123"/>
      <c r="AI417" s="222" t="str">
        <f t="shared" si="13"/>
        <v/>
      </c>
    </row>
    <row r="418" spans="1:35" s="108" customFormat="1" ht="15.75">
      <c r="A418" s="119"/>
      <c r="B418" s="120"/>
      <c r="C418" s="111"/>
      <c r="D418" s="111"/>
      <c r="E418" s="121"/>
      <c r="F418" s="121"/>
      <c r="G418" s="113"/>
      <c r="H418" s="199" t="str">
        <f t="shared" si="12"/>
        <v/>
      </c>
      <c r="I418" s="200" t="str">
        <f>IF(H418="","",IF(AND(AI418&lt;=66),VLOOKUP(H418,'WordRead Look Up'!$A$13:$B$20,2,TRUE),IF(AND(AI418&gt;=67,AI418&lt;=72),VLOOKUP(H418,'WordRead Look Up'!$E$13:$F$20,2,TRUE),IF(AND(AI418&gt;=73,AI418&lt;=78),VLOOKUP(H418,'WordRead Look Up'!$I$13:$J$18,2,TRUE),IF(AND(AI418&gt;=79),VLOOKUP(H418,'WordRead Look Up'!$M$13:$N$18,2,TRUE),"")))))</f>
        <v/>
      </c>
      <c r="J418" s="122"/>
      <c r="K418" s="111"/>
      <c r="L418" s="111"/>
      <c r="M418" s="111"/>
      <c r="N418" s="111"/>
      <c r="O418" s="111"/>
      <c r="P418" s="111"/>
      <c r="Q418" s="111"/>
      <c r="R418" s="111"/>
      <c r="S418" s="111"/>
      <c r="T418" s="111"/>
      <c r="U418" s="111"/>
      <c r="V418" s="111"/>
      <c r="W418" s="111"/>
      <c r="X418" s="123"/>
      <c r="AI418" s="222" t="str">
        <f t="shared" si="13"/>
        <v/>
      </c>
    </row>
    <row r="419" spans="1:35" s="108" customFormat="1" ht="15.75">
      <c r="A419" s="119"/>
      <c r="B419" s="120"/>
      <c r="C419" s="111"/>
      <c r="D419" s="111"/>
      <c r="E419" s="121"/>
      <c r="F419" s="121"/>
      <c r="G419" s="113"/>
      <c r="H419" s="199" t="str">
        <f t="shared" si="12"/>
        <v/>
      </c>
      <c r="I419" s="200" t="str">
        <f>IF(H419="","",IF(AND(AI419&lt;=66),VLOOKUP(H419,'WordRead Look Up'!$A$13:$B$20,2,TRUE),IF(AND(AI419&gt;=67,AI419&lt;=72),VLOOKUP(H419,'WordRead Look Up'!$E$13:$F$20,2,TRUE),IF(AND(AI419&gt;=73,AI419&lt;=78),VLOOKUP(H419,'WordRead Look Up'!$I$13:$J$18,2,TRUE),IF(AND(AI419&gt;=79),VLOOKUP(H419,'WordRead Look Up'!$M$13:$N$18,2,TRUE),"")))))</f>
        <v/>
      </c>
      <c r="J419" s="122"/>
      <c r="K419" s="111"/>
      <c r="L419" s="111"/>
      <c r="M419" s="111"/>
      <c r="N419" s="111"/>
      <c r="O419" s="111"/>
      <c r="P419" s="111"/>
      <c r="Q419" s="111"/>
      <c r="R419" s="111"/>
      <c r="S419" s="111"/>
      <c r="T419" s="111"/>
      <c r="U419" s="111"/>
      <c r="V419" s="111"/>
      <c r="W419" s="111"/>
      <c r="X419" s="123"/>
      <c r="AI419" s="222" t="str">
        <f t="shared" si="13"/>
        <v/>
      </c>
    </row>
    <row r="420" spans="1:35" s="108" customFormat="1" ht="15.75">
      <c r="A420" s="119"/>
      <c r="B420" s="120"/>
      <c r="C420" s="111"/>
      <c r="D420" s="111"/>
      <c r="E420" s="121"/>
      <c r="F420" s="121"/>
      <c r="G420" s="113"/>
      <c r="H420" s="199" t="str">
        <f t="shared" si="12"/>
        <v/>
      </c>
      <c r="I420" s="200" t="str">
        <f>IF(H420="","",IF(AND(AI420&lt;=66),VLOOKUP(H420,'WordRead Look Up'!$A$13:$B$20,2,TRUE),IF(AND(AI420&gt;=67,AI420&lt;=72),VLOOKUP(H420,'WordRead Look Up'!$E$13:$F$20,2,TRUE),IF(AND(AI420&gt;=73,AI420&lt;=78),VLOOKUP(H420,'WordRead Look Up'!$I$13:$J$18,2,TRUE),IF(AND(AI420&gt;=79),VLOOKUP(H420,'WordRead Look Up'!$M$13:$N$18,2,TRUE),"")))))</f>
        <v/>
      </c>
      <c r="J420" s="122"/>
      <c r="K420" s="111"/>
      <c r="L420" s="111"/>
      <c r="M420" s="111"/>
      <c r="N420" s="111"/>
      <c r="O420" s="111"/>
      <c r="P420" s="111"/>
      <c r="Q420" s="111"/>
      <c r="R420" s="111"/>
      <c r="S420" s="111"/>
      <c r="T420" s="111"/>
      <c r="U420" s="111"/>
      <c r="V420" s="111"/>
      <c r="W420" s="111"/>
      <c r="X420" s="123"/>
      <c r="AI420" s="222" t="str">
        <f t="shared" si="13"/>
        <v/>
      </c>
    </row>
    <row r="421" spans="1:35" s="108" customFormat="1" ht="15.75">
      <c r="A421" s="119"/>
      <c r="B421" s="120"/>
      <c r="C421" s="111"/>
      <c r="D421" s="111"/>
      <c r="E421" s="121"/>
      <c r="F421" s="121"/>
      <c r="G421" s="113"/>
      <c r="H421" s="199" t="str">
        <f t="shared" si="12"/>
        <v/>
      </c>
      <c r="I421" s="200" t="str">
        <f>IF(H421="","",IF(AND(AI421&lt;=66),VLOOKUP(H421,'WordRead Look Up'!$A$13:$B$20,2,TRUE),IF(AND(AI421&gt;=67,AI421&lt;=72),VLOOKUP(H421,'WordRead Look Up'!$E$13:$F$20,2,TRUE),IF(AND(AI421&gt;=73,AI421&lt;=78),VLOOKUP(H421,'WordRead Look Up'!$I$13:$J$18,2,TRUE),IF(AND(AI421&gt;=79),VLOOKUP(H421,'WordRead Look Up'!$M$13:$N$18,2,TRUE),"")))))</f>
        <v/>
      </c>
      <c r="J421" s="122"/>
      <c r="K421" s="111"/>
      <c r="L421" s="111"/>
      <c r="M421" s="111"/>
      <c r="N421" s="111"/>
      <c r="O421" s="111"/>
      <c r="P421" s="111"/>
      <c r="Q421" s="111"/>
      <c r="R421" s="111"/>
      <c r="S421" s="111"/>
      <c r="T421" s="111"/>
      <c r="U421" s="111"/>
      <c r="V421" s="111"/>
      <c r="W421" s="111"/>
      <c r="X421" s="123"/>
      <c r="AI421" s="222" t="str">
        <f t="shared" si="13"/>
        <v/>
      </c>
    </row>
    <row r="422" spans="1:35" s="108" customFormat="1" ht="15.75">
      <c r="A422" s="119"/>
      <c r="B422" s="120"/>
      <c r="C422" s="111"/>
      <c r="D422" s="111"/>
      <c r="E422" s="121"/>
      <c r="F422" s="121"/>
      <c r="G422" s="113"/>
      <c r="H422" s="199" t="str">
        <f t="shared" si="12"/>
        <v/>
      </c>
      <c r="I422" s="200" t="str">
        <f>IF(H422="","",IF(AND(AI422&lt;=66),VLOOKUP(H422,'WordRead Look Up'!$A$13:$B$20,2,TRUE),IF(AND(AI422&gt;=67,AI422&lt;=72),VLOOKUP(H422,'WordRead Look Up'!$E$13:$F$20,2,TRUE),IF(AND(AI422&gt;=73,AI422&lt;=78),VLOOKUP(H422,'WordRead Look Up'!$I$13:$J$18,2,TRUE),IF(AND(AI422&gt;=79),VLOOKUP(H422,'WordRead Look Up'!$M$13:$N$18,2,TRUE),"")))))</f>
        <v/>
      </c>
      <c r="J422" s="122"/>
      <c r="K422" s="111"/>
      <c r="L422" s="111"/>
      <c r="M422" s="111"/>
      <c r="N422" s="111"/>
      <c r="O422" s="111"/>
      <c r="P422" s="111"/>
      <c r="Q422" s="111"/>
      <c r="R422" s="111"/>
      <c r="S422" s="111"/>
      <c r="T422" s="111"/>
      <c r="U422" s="111"/>
      <c r="V422" s="111"/>
      <c r="W422" s="111"/>
      <c r="X422" s="123"/>
      <c r="AI422" s="222" t="str">
        <f t="shared" si="13"/>
        <v/>
      </c>
    </row>
    <row r="423" spans="1:35" s="108" customFormat="1" ht="15.75">
      <c r="A423" s="119"/>
      <c r="B423" s="120"/>
      <c r="C423" s="111"/>
      <c r="D423" s="111"/>
      <c r="E423" s="121"/>
      <c r="F423" s="121"/>
      <c r="G423" s="113"/>
      <c r="H423" s="199" t="str">
        <f t="shared" si="12"/>
        <v/>
      </c>
      <c r="I423" s="200" t="str">
        <f>IF(H423="","",IF(AND(AI423&lt;=66),VLOOKUP(H423,'WordRead Look Up'!$A$13:$B$20,2,TRUE),IF(AND(AI423&gt;=67,AI423&lt;=72),VLOOKUP(H423,'WordRead Look Up'!$E$13:$F$20,2,TRUE),IF(AND(AI423&gt;=73,AI423&lt;=78),VLOOKUP(H423,'WordRead Look Up'!$I$13:$J$18,2,TRUE),IF(AND(AI423&gt;=79),VLOOKUP(H423,'WordRead Look Up'!$M$13:$N$18,2,TRUE),"")))))</f>
        <v/>
      </c>
      <c r="J423" s="122"/>
      <c r="K423" s="111"/>
      <c r="L423" s="111"/>
      <c r="M423" s="111"/>
      <c r="N423" s="111"/>
      <c r="O423" s="111"/>
      <c r="P423" s="111"/>
      <c r="Q423" s="111"/>
      <c r="R423" s="111"/>
      <c r="S423" s="111"/>
      <c r="T423" s="111"/>
      <c r="U423" s="111"/>
      <c r="V423" s="111"/>
      <c r="W423" s="111"/>
      <c r="X423" s="123"/>
      <c r="AI423" s="222" t="str">
        <f t="shared" si="13"/>
        <v/>
      </c>
    </row>
    <row r="424" spans="1:35" s="108" customFormat="1" ht="15.75">
      <c r="A424" s="119"/>
      <c r="B424" s="120"/>
      <c r="C424" s="111"/>
      <c r="D424" s="111"/>
      <c r="E424" s="121"/>
      <c r="F424" s="121"/>
      <c r="G424" s="113"/>
      <c r="H424" s="199" t="str">
        <f t="shared" si="12"/>
        <v/>
      </c>
      <c r="I424" s="200" t="str">
        <f>IF(H424="","",IF(AND(AI424&lt;=66),VLOOKUP(H424,'WordRead Look Up'!$A$13:$B$20,2,TRUE),IF(AND(AI424&gt;=67,AI424&lt;=72),VLOOKUP(H424,'WordRead Look Up'!$E$13:$F$20,2,TRUE),IF(AND(AI424&gt;=73,AI424&lt;=78),VLOOKUP(H424,'WordRead Look Up'!$I$13:$J$18,2,TRUE),IF(AND(AI424&gt;=79),VLOOKUP(H424,'WordRead Look Up'!$M$13:$N$18,2,TRUE),"")))))</f>
        <v/>
      </c>
      <c r="J424" s="122"/>
      <c r="K424" s="111"/>
      <c r="L424" s="111"/>
      <c r="M424" s="111"/>
      <c r="N424" s="111"/>
      <c r="O424" s="111"/>
      <c r="P424" s="111"/>
      <c r="Q424" s="111"/>
      <c r="R424" s="111"/>
      <c r="S424" s="111"/>
      <c r="T424" s="111"/>
      <c r="U424" s="111"/>
      <c r="V424" s="111"/>
      <c r="W424" s="111"/>
      <c r="X424" s="123"/>
      <c r="AI424" s="222" t="str">
        <f t="shared" si="13"/>
        <v/>
      </c>
    </row>
    <row r="425" spans="1:35" s="108" customFormat="1" ht="15.75">
      <c r="A425" s="119"/>
      <c r="B425" s="120"/>
      <c r="C425" s="111"/>
      <c r="D425" s="111"/>
      <c r="E425" s="121"/>
      <c r="F425" s="121"/>
      <c r="G425" s="113"/>
      <c r="H425" s="199" t="str">
        <f t="shared" si="12"/>
        <v/>
      </c>
      <c r="I425" s="200" t="str">
        <f>IF(H425="","",IF(AND(AI425&lt;=66),VLOOKUP(H425,'WordRead Look Up'!$A$13:$B$20,2,TRUE),IF(AND(AI425&gt;=67,AI425&lt;=72),VLOOKUP(H425,'WordRead Look Up'!$E$13:$F$20,2,TRUE),IF(AND(AI425&gt;=73,AI425&lt;=78),VLOOKUP(H425,'WordRead Look Up'!$I$13:$J$18,2,TRUE),IF(AND(AI425&gt;=79),VLOOKUP(H425,'WordRead Look Up'!$M$13:$N$18,2,TRUE),"")))))</f>
        <v/>
      </c>
      <c r="J425" s="122"/>
      <c r="K425" s="111"/>
      <c r="L425" s="111"/>
      <c r="M425" s="111"/>
      <c r="N425" s="111"/>
      <c r="O425" s="111"/>
      <c r="P425" s="111"/>
      <c r="Q425" s="111"/>
      <c r="R425" s="111"/>
      <c r="S425" s="111"/>
      <c r="T425" s="111"/>
      <c r="U425" s="111"/>
      <c r="V425" s="111"/>
      <c r="W425" s="111"/>
      <c r="X425" s="123"/>
      <c r="AI425" s="222" t="str">
        <f t="shared" si="13"/>
        <v/>
      </c>
    </row>
    <row r="426" spans="1:35" s="108" customFormat="1" ht="15.75">
      <c r="A426" s="119"/>
      <c r="B426" s="120"/>
      <c r="C426" s="111"/>
      <c r="D426" s="111"/>
      <c r="E426" s="121"/>
      <c r="F426" s="121"/>
      <c r="G426" s="113"/>
      <c r="H426" s="199" t="str">
        <f t="shared" si="12"/>
        <v/>
      </c>
      <c r="I426" s="200" t="str">
        <f>IF(H426="","",IF(AND(AI426&lt;=66),VLOOKUP(H426,'WordRead Look Up'!$A$13:$B$20,2,TRUE),IF(AND(AI426&gt;=67,AI426&lt;=72),VLOOKUP(H426,'WordRead Look Up'!$E$13:$F$20,2,TRUE),IF(AND(AI426&gt;=73,AI426&lt;=78),VLOOKUP(H426,'WordRead Look Up'!$I$13:$J$18,2,TRUE),IF(AND(AI426&gt;=79),VLOOKUP(H426,'WordRead Look Up'!$M$13:$N$18,2,TRUE),"")))))</f>
        <v/>
      </c>
      <c r="J426" s="122"/>
      <c r="K426" s="111"/>
      <c r="L426" s="111"/>
      <c r="M426" s="111"/>
      <c r="N426" s="111"/>
      <c r="O426" s="111"/>
      <c r="P426" s="111"/>
      <c r="Q426" s="111"/>
      <c r="R426" s="111"/>
      <c r="S426" s="111"/>
      <c r="T426" s="111"/>
      <c r="U426" s="111"/>
      <c r="V426" s="111"/>
      <c r="W426" s="111"/>
      <c r="X426" s="123"/>
      <c r="AI426" s="222" t="str">
        <f t="shared" si="13"/>
        <v/>
      </c>
    </row>
    <row r="427" spans="1:35" s="108" customFormat="1" ht="15.75">
      <c r="A427" s="119"/>
      <c r="B427" s="120"/>
      <c r="C427" s="111"/>
      <c r="D427" s="111"/>
      <c r="E427" s="121"/>
      <c r="F427" s="121"/>
      <c r="G427" s="113"/>
      <c r="H427" s="199" t="str">
        <f t="shared" si="12"/>
        <v/>
      </c>
      <c r="I427" s="200" t="str">
        <f>IF(H427="","",IF(AND(AI427&lt;=66),VLOOKUP(H427,'WordRead Look Up'!$A$13:$B$20,2,TRUE),IF(AND(AI427&gt;=67,AI427&lt;=72),VLOOKUP(H427,'WordRead Look Up'!$E$13:$F$20,2,TRUE),IF(AND(AI427&gt;=73,AI427&lt;=78),VLOOKUP(H427,'WordRead Look Up'!$I$13:$J$18,2,TRUE),IF(AND(AI427&gt;=79),VLOOKUP(H427,'WordRead Look Up'!$M$13:$N$18,2,TRUE),"")))))</f>
        <v/>
      </c>
      <c r="J427" s="122"/>
      <c r="K427" s="111"/>
      <c r="L427" s="111"/>
      <c r="M427" s="111"/>
      <c r="N427" s="111"/>
      <c r="O427" s="111"/>
      <c r="P427" s="111"/>
      <c r="Q427" s="111"/>
      <c r="R427" s="111"/>
      <c r="S427" s="111"/>
      <c r="T427" s="111"/>
      <c r="U427" s="111"/>
      <c r="V427" s="111"/>
      <c r="W427" s="111"/>
      <c r="X427" s="123"/>
      <c r="AI427" s="222" t="str">
        <f t="shared" si="13"/>
        <v/>
      </c>
    </row>
    <row r="428" spans="1:35" s="108" customFormat="1" ht="15.75">
      <c r="A428" s="119"/>
      <c r="B428" s="120"/>
      <c r="C428" s="111"/>
      <c r="D428" s="111"/>
      <c r="E428" s="121"/>
      <c r="F428" s="121"/>
      <c r="G428" s="113"/>
      <c r="H428" s="199" t="str">
        <f t="shared" si="12"/>
        <v/>
      </c>
      <c r="I428" s="200" t="str">
        <f>IF(H428="","",IF(AND(AI428&lt;=66),VLOOKUP(H428,'WordRead Look Up'!$A$13:$B$20,2,TRUE),IF(AND(AI428&gt;=67,AI428&lt;=72),VLOOKUP(H428,'WordRead Look Up'!$E$13:$F$20,2,TRUE),IF(AND(AI428&gt;=73,AI428&lt;=78),VLOOKUP(H428,'WordRead Look Up'!$I$13:$J$18,2,TRUE),IF(AND(AI428&gt;=79),VLOOKUP(H428,'WordRead Look Up'!$M$13:$N$18,2,TRUE),"")))))</f>
        <v/>
      </c>
      <c r="J428" s="122"/>
      <c r="K428" s="111"/>
      <c r="L428" s="111"/>
      <c r="M428" s="111"/>
      <c r="N428" s="111"/>
      <c r="O428" s="111"/>
      <c r="P428" s="111"/>
      <c r="Q428" s="111"/>
      <c r="R428" s="111"/>
      <c r="S428" s="111"/>
      <c r="T428" s="111"/>
      <c r="U428" s="111"/>
      <c r="V428" s="111"/>
      <c r="W428" s="111"/>
      <c r="X428" s="123"/>
      <c r="AI428" s="222" t="str">
        <f t="shared" si="13"/>
        <v/>
      </c>
    </row>
    <row r="429" spans="1:35" s="108" customFormat="1" ht="15.75">
      <c r="A429" s="119"/>
      <c r="B429" s="120"/>
      <c r="C429" s="111"/>
      <c r="D429" s="111"/>
      <c r="E429" s="121"/>
      <c r="F429" s="121"/>
      <c r="G429" s="113"/>
      <c r="H429" s="199" t="str">
        <f t="shared" si="12"/>
        <v/>
      </c>
      <c r="I429" s="200" t="str">
        <f>IF(H429="","",IF(AND(AI429&lt;=66),VLOOKUP(H429,'WordRead Look Up'!$A$13:$B$20,2,TRUE),IF(AND(AI429&gt;=67,AI429&lt;=72),VLOOKUP(H429,'WordRead Look Up'!$E$13:$F$20,2,TRUE),IF(AND(AI429&gt;=73,AI429&lt;=78),VLOOKUP(H429,'WordRead Look Up'!$I$13:$J$18,2,TRUE),IF(AND(AI429&gt;=79),VLOOKUP(H429,'WordRead Look Up'!$M$13:$N$18,2,TRUE),"")))))</f>
        <v/>
      </c>
      <c r="J429" s="122"/>
      <c r="K429" s="111"/>
      <c r="L429" s="111"/>
      <c r="M429" s="111"/>
      <c r="N429" s="111"/>
      <c r="O429" s="111"/>
      <c r="P429" s="111"/>
      <c r="Q429" s="111"/>
      <c r="R429" s="111"/>
      <c r="S429" s="111"/>
      <c r="T429" s="111"/>
      <c r="U429" s="111"/>
      <c r="V429" s="111"/>
      <c r="W429" s="111"/>
      <c r="X429" s="123"/>
      <c r="AI429" s="222" t="str">
        <f t="shared" si="13"/>
        <v/>
      </c>
    </row>
    <row r="430" spans="1:35" s="108" customFormat="1" ht="15.75">
      <c r="A430" s="119"/>
      <c r="B430" s="120"/>
      <c r="C430" s="111"/>
      <c r="D430" s="111"/>
      <c r="E430" s="121"/>
      <c r="F430" s="121"/>
      <c r="G430" s="113"/>
      <c r="H430" s="199" t="str">
        <f t="shared" si="12"/>
        <v/>
      </c>
      <c r="I430" s="200" t="str">
        <f>IF(H430="","",IF(AND(AI430&lt;=66),VLOOKUP(H430,'WordRead Look Up'!$A$13:$B$20,2,TRUE),IF(AND(AI430&gt;=67,AI430&lt;=72),VLOOKUP(H430,'WordRead Look Up'!$E$13:$F$20,2,TRUE),IF(AND(AI430&gt;=73,AI430&lt;=78),VLOOKUP(H430,'WordRead Look Up'!$I$13:$J$18,2,TRUE),IF(AND(AI430&gt;=79),VLOOKUP(H430,'WordRead Look Up'!$M$13:$N$18,2,TRUE),"")))))</f>
        <v/>
      </c>
      <c r="J430" s="122"/>
      <c r="K430" s="111"/>
      <c r="L430" s="111"/>
      <c r="M430" s="111"/>
      <c r="N430" s="111"/>
      <c r="O430" s="111"/>
      <c r="P430" s="111"/>
      <c r="Q430" s="111"/>
      <c r="R430" s="111"/>
      <c r="S430" s="111"/>
      <c r="T430" s="111"/>
      <c r="U430" s="111"/>
      <c r="V430" s="111"/>
      <c r="W430" s="111"/>
      <c r="X430" s="123"/>
      <c r="AI430" s="222" t="str">
        <f t="shared" si="13"/>
        <v/>
      </c>
    </row>
    <row r="431" spans="1:35" s="108" customFormat="1" ht="15.75">
      <c r="A431" s="119"/>
      <c r="B431" s="120"/>
      <c r="C431" s="111"/>
      <c r="D431" s="111"/>
      <c r="E431" s="121"/>
      <c r="F431" s="121"/>
      <c r="G431" s="113"/>
      <c r="H431" s="199" t="str">
        <f t="shared" si="12"/>
        <v/>
      </c>
      <c r="I431" s="200" t="str">
        <f>IF(H431="","",IF(AND(AI431&lt;=66),VLOOKUP(H431,'WordRead Look Up'!$A$13:$B$20,2,TRUE),IF(AND(AI431&gt;=67,AI431&lt;=72),VLOOKUP(H431,'WordRead Look Up'!$E$13:$F$20,2,TRUE),IF(AND(AI431&gt;=73,AI431&lt;=78),VLOOKUP(H431,'WordRead Look Up'!$I$13:$J$18,2,TRUE),IF(AND(AI431&gt;=79),VLOOKUP(H431,'WordRead Look Up'!$M$13:$N$18,2,TRUE),"")))))</f>
        <v/>
      </c>
      <c r="J431" s="122"/>
      <c r="K431" s="111"/>
      <c r="L431" s="111"/>
      <c r="M431" s="111"/>
      <c r="N431" s="111"/>
      <c r="O431" s="111"/>
      <c r="P431" s="111"/>
      <c r="Q431" s="111"/>
      <c r="R431" s="111"/>
      <c r="S431" s="111"/>
      <c r="T431" s="111"/>
      <c r="U431" s="111"/>
      <c r="V431" s="111"/>
      <c r="W431" s="111"/>
      <c r="X431" s="123"/>
      <c r="AI431" s="222" t="str">
        <f t="shared" si="13"/>
        <v/>
      </c>
    </row>
    <row r="432" spans="1:35" s="108" customFormat="1" ht="15.75">
      <c r="A432" s="119"/>
      <c r="B432" s="120"/>
      <c r="C432" s="111"/>
      <c r="D432" s="111"/>
      <c r="E432" s="121"/>
      <c r="F432" s="121"/>
      <c r="G432" s="113"/>
      <c r="H432" s="199" t="str">
        <f t="shared" si="12"/>
        <v/>
      </c>
      <c r="I432" s="200" t="str">
        <f>IF(H432="","",IF(AND(AI432&lt;=66),VLOOKUP(H432,'WordRead Look Up'!$A$13:$B$20,2,TRUE),IF(AND(AI432&gt;=67,AI432&lt;=72),VLOOKUP(H432,'WordRead Look Up'!$E$13:$F$20,2,TRUE),IF(AND(AI432&gt;=73,AI432&lt;=78),VLOOKUP(H432,'WordRead Look Up'!$I$13:$J$18,2,TRUE),IF(AND(AI432&gt;=79),VLOOKUP(H432,'WordRead Look Up'!$M$13:$N$18,2,TRUE),"")))))</f>
        <v/>
      </c>
      <c r="J432" s="122"/>
      <c r="K432" s="111"/>
      <c r="L432" s="111"/>
      <c r="M432" s="111"/>
      <c r="N432" s="111"/>
      <c r="O432" s="111"/>
      <c r="P432" s="111"/>
      <c r="Q432" s="111"/>
      <c r="R432" s="111"/>
      <c r="S432" s="111"/>
      <c r="T432" s="111"/>
      <c r="U432" s="111"/>
      <c r="V432" s="111"/>
      <c r="W432" s="111"/>
      <c r="X432" s="123"/>
      <c r="AI432" s="222" t="str">
        <f t="shared" si="13"/>
        <v/>
      </c>
    </row>
    <row r="433" spans="1:35" s="108" customFormat="1" ht="15.75">
      <c r="A433" s="119"/>
      <c r="B433" s="120"/>
      <c r="C433" s="111"/>
      <c r="D433" s="111"/>
      <c r="E433" s="121"/>
      <c r="F433" s="121"/>
      <c r="G433" s="113"/>
      <c r="H433" s="199" t="str">
        <f t="shared" si="12"/>
        <v/>
      </c>
      <c r="I433" s="200" t="str">
        <f>IF(H433="","",IF(AND(AI433&lt;=66),VLOOKUP(H433,'WordRead Look Up'!$A$13:$B$20,2,TRUE),IF(AND(AI433&gt;=67,AI433&lt;=72),VLOOKUP(H433,'WordRead Look Up'!$E$13:$F$20,2,TRUE),IF(AND(AI433&gt;=73,AI433&lt;=78),VLOOKUP(H433,'WordRead Look Up'!$I$13:$J$18,2,TRUE),IF(AND(AI433&gt;=79),VLOOKUP(H433,'WordRead Look Up'!$M$13:$N$18,2,TRUE),"")))))</f>
        <v/>
      </c>
      <c r="J433" s="122"/>
      <c r="K433" s="111"/>
      <c r="L433" s="111"/>
      <c r="M433" s="111"/>
      <c r="N433" s="111"/>
      <c r="O433" s="111"/>
      <c r="P433" s="111"/>
      <c r="Q433" s="111"/>
      <c r="R433" s="111"/>
      <c r="S433" s="111"/>
      <c r="T433" s="111"/>
      <c r="U433" s="111"/>
      <c r="V433" s="111"/>
      <c r="W433" s="111"/>
      <c r="X433" s="123"/>
      <c r="AI433" s="222" t="str">
        <f t="shared" si="13"/>
        <v/>
      </c>
    </row>
    <row r="434" spans="1:35" s="108" customFormat="1" ht="15.75">
      <c r="A434" s="119"/>
      <c r="B434" s="120"/>
      <c r="C434" s="111"/>
      <c r="D434" s="111"/>
      <c r="E434" s="121"/>
      <c r="F434" s="121"/>
      <c r="G434" s="113"/>
      <c r="H434" s="199" t="str">
        <f t="shared" si="12"/>
        <v/>
      </c>
      <c r="I434" s="200" t="str">
        <f>IF(H434="","",IF(AND(AI434&lt;=66),VLOOKUP(H434,'WordRead Look Up'!$A$13:$B$20,2,TRUE),IF(AND(AI434&gt;=67,AI434&lt;=72),VLOOKUP(H434,'WordRead Look Up'!$E$13:$F$20,2,TRUE),IF(AND(AI434&gt;=73,AI434&lt;=78),VLOOKUP(H434,'WordRead Look Up'!$I$13:$J$18,2,TRUE),IF(AND(AI434&gt;=79),VLOOKUP(H434,'WordRead Look Up'!$M$13:$N$18,2,TRUE),"")))))</f>
        <v/>
      </c>
      <c r="J434" s="122"/>
      <c r="K434" s="111"/>
      <c r="L434" s="111"/>
      <c r="M434" s="111"/>
      <c r="N434" s="111"/>
      <c r="O434" s="111"/>
      <c r="P434" s="111"/>
      <c r="Q434" s="111"/>
      <c r="R434" s="111"/>
      <c r="S434" s="111"/>
      <c r="T434" s="111"/>
      <c r="U434" s="111"/>
      <c r="V434" s="111"/>
      <c r="W434" s="111"/>
      <c r="X434" s="123"/>
      <c r="AI434" s="222" t="str">
        <f t="shared" si="13"/>
        <v/>
      </c>
    </row>
    <row r="435" spans="1:35" s="108" customFormat="1" ht="15.75">
      <c r="A435" s="119"/>
      <c r="B435" s="120"/>
      <c r="C435" s="111"/>
      <c r="D435" s="111"/>
      <c r="E435" s="121"/>
      <c r="F435" s="121"/>
      <c r="G435" s="113"/>
      <c r="H435" s="199" t="str">
        <f t="shared" si="12"/>
        <v/>
      </c>
      <c r="I435" s="200" t="str">
        <f>IF(H435="","",IF(AND(AI435&lt;=66),VLOOKUP(H435,'WordRead Look Up'!$A$13:$B$20,2,TRUE),IF(AND(AI435&gt;=67,AI435&lt;=72),VLOOKUP(H435,'WordRead Look Up'!$E$13:$F$20,2,TRUE),IF(AND(AI435&gt;=73,AI435&lt;=78),VLOOKUP(H435,'WordRead Look Up'!$I$13:$J$18,2,TRUE),IF(AND(AI435&gt;=79),VLOOKUP(H435,'WordRead Look Up'!$M$13:$N$18,2,TRUE),"")))))</f>
        <v/>
      </c>
      <c r="J435" s="122"/>
      <c r="K435" s="111"/>
      <c r="L435" s="111"/>
      <c r="M435" s="111"/>
      <c r="N435" s="111"/>
      <c r="O435" s="111"/>
      <c r="P435" s="111"/>
      <c r="Q435" s="111"/>
      <c r="R435" s="111"/>
      <c r="S435" s="111"/>
      <c r="T435" s="111"/>
      <c r="U435" s="111"/>
      <c r="V435" s="111"/>
      <c r="W435" s="111"/>
      <c r="X435" s="123"/>
      <c r="AI435" s="222" t="str">
        <f t="shared" si="13"/>
        <v/>
      </c>
    </row>
    <row r="436" spans="1:35" s="108" customFormat="1" ht="15.75">
      <c r="A436" s="119"/>
      <c r="B436" s="120"/>
      <c r="C436" s="111"/>
      <c r="D436" s="111"/>
      <c r="E436" s="121"/>
      <c r="F436" s="121"/>
      <c r="G436" s="113"/>
      <c r="H436" s="199" t="str">
        <f t="shared" si="12"/>
        <v/>
      </c>
      <c r="I436" s="200" t="str">
        <f>IF(H436="","",IF(AND(AI436&lt;=66),VLOOKUP(H436,'WordRead Look Up'!$A$13:$B$20,2,TRUE),IF(AND(AI436&gt;=67,AI436&lt;=72),VLOOKUP(H436,'WordRead Look Up'!$E$13:$F$20,2,TRUE),IF(AND(AI436&gt;=73,AI436&lt;=78),VLOOKUP(H436,'WordRead Look Up'!$I$13:$J$18,2,TRUE),IF(AND(AI436&gt;=79),VLOOKUP(H436,'WordRead Look Up'!$M$13:$N$18,2,TRUE),"")))))</f>
        <v/>
      </c>
      <c r="J436" s="122"/>
      <c r="K436" s="111"/>
      <c r="L436" s="111"/>
      <c r="M436" s="111"/>
      <c r="N436" s="111"/>
      <c r="O436" s="111"/>
      <c r="P436" s="111"/>
      <c r="Q436" s="111"/>
      <c r="R436" s="111"/>
      <c r="S436" s="111"/>
      <c r="T436" s="111"/>
      <c r="U436" s="111"/>
      <c r="V436" s="111"/>
      <c r="W436" s="111"/>
      <c r="X436" s="123"/>
      <c r="AI436" s="222" t="str">
        <f t="shared" si="13"/>
        <v/>
      </c>
    </row>
    <row r="437" spans="1:35" s="108" customFormat="1" ht="15.75">
      <c r="A437" s="119"/>
      <c r="B437" s="120"/>
      <c r="C437" s="111"/>
      <c r="D437" s="111"/>
      <c r="E437" s="121"/>
      <c r="F437" s="121"/>
      <c r="G437" s="113"/>
      <c r="H437" s="199" t="str">
        <f t="shared" si="12"/>
        <v/>
      </c>
      <c r="I437" s="200" t="str">
        <f>IF(H437="","",IF(AND(AI437&lt;=66),VLOOKUP(H437,'WordRead Look Up'!$A$13:$B$20,2,TRUE),IF(AND(AI437&gt;=67,AI437&lt;=72),VLOOKUP(H437,'WordRead Look Up'!$E$13:$F$20,2,TRUE),IF(AND(AI437&gt;=73,AI437&lt;=78),VLOOKUP(H437,'WordRead Look Up'!$I$13:$J$18,2,TRUE),IF(AND(AI437&gt;=79),VLOOKUP(H437,'WordRead Look Up'!$M$13:$N$18,2,TRUE),"")))))</f>
        <v/>
      </c>
      <c r="J437" s="122"/>
      <c r="K437" s="111"/>
      <c r="L437" s="111"/>
      <c r="M437" s="111"/>
      <c r="N437" s="111"/>
      <c r="O437" s="111"/>
      <c r="P437" s="111"/>
      <c r="Q437" s="111"/>
      <c r="R437" s="111"/>
      <c r="S437" s="111"/>
      <c r="T437" s="111"/>
      <c r="U437" s="111"/>
      <c r="V437" s="111"/>
      <c r="W437" s="111"/>
      <c r="X437" s="123"/>
      <c r="AI437" s="222" t="str">
        <f t="shared" si="13"/>
        <v/>
      </c>
    </row>
    <row r="438" spans="1:35" s="108" customFormat="1" ht="15.75">
      <c r="A438" s="119"/>
      <c r="B438" s="120"/>
      <c r="C438" s="111"/>
      <c r="D438" s="111"/>
      <c r="E438" s="121"/>
      <c r="F438" s="121"/>
      <c r="G438" s="113"/>
      <c r="H438" s="199" t="str">
        <f t="shared" si="12"/>
        <v/>
      </c>
      <c r="I438" s="200" t="str">
        <f>IF(H438="","",IF(AND(AI438&lt;=66),VLOOKUP(H438,'WordRead Look Up'!$A$13:$B$20,2,TRUE),IF(AND(AI438&gt;=67,AI438&lt;=72),VLOOKUP(H438,'WordRead Look Up'!$E$13:$F$20,2,TRUE),IF(AND(AI438&gt;=73,AI438&lt;=78),VLOOKUP(H438,'WordRead Look Up'!$I$13:$J$18,2,TRUE),IF(AND(AI438&gt;=79),VLOOKUP(H438,'WordRead Look Up'!$M$13:$N$18,2,TRUE),"")))))</f>
        <v/>
      </c>
      <c r="J438" s="122"/>
      <c r="K438" s="111"/>
      <c r="L438" s="111"/>
      <c r="M438" s="111"/>
      <c r="N438" s="111"/>
      <c r="O438" s="111"/>
      <c r="P438" s="111"/>
      <c r="Q438" s="111"/>
      <c r="R438" s="111"/>
      <c r="S438" s="111"/>
      <c r="T438" s="111"/>
      <c r="U438" s="111"/>
      <c r="V438" s="111"/>
      <c r="W438" s="111"/>
      <c r="X438" s="123"/>
      <c r="AI438" s="222" t="str">
        <f t="shared" si="13"/>
        <v/>
      </c>
    </row>
    <row r="439" spans="1:35" s="108" customFormat="1" ht="15.75">
      <c r="A439" s="119"/>
      <c r="B439" s="120"/>
      <c r="C439" s="111"/>
      <c r="D439" s="111"/>
      <c r="E439" s="121"/>
      <c r="F439" s="121"/>
      <c r="G439" s="113"/>
      <c r="H439" s="199" t="str">
        <f t="shared" si="12"/>
        <v/>
      </c>
      <c r="I439" s="200" t="str">
        <f>IF(H439="","",IF(AND(AI439&lt;=66),VLOOKUP(H439,'WordRead Look Up'!$A$13:$B$20,2,TRUE),IF(AND(AI439&gt;=67,AI439&lt;=72),VLOOKUP(H439,'WordRead Look Up'!$E$13:$F$20,2,TRUE),IF(AND(AI439&gt;=73,AI439&lt;=78),VLOOKUP(H439,'WordRead Look Up'!$I$13:$J$18,2,TRUE),IF(AND(AI439&gt;=79),VLOOKUP(H439,'WordRead Look Up'!$M$13:$N$18,2,TRUE),"")))))</f>
        <v/>
      </c>
      <c r="J439" s="122"/>
      <c r="K439" s="111"/>
      <c r="L439" s="111"/>
      <c r="M439" s="111"/>
      <c r="N439" s="111"/>
      <c r="O439" s="111"/>
      <c r="P439" s="111"/>
      <c r="Q439" s="111"/>
      <c r="R439" s="111"/>
      <c r="S439" s="111"/>
      <c r="T439" s="111"/>
      <c r="U439" s="111"/>
      <c r="V439" s="111"/>
      <c r="W439" s="111"/>
      <c r="X439" s="123"/>
      <c r="AI439" s="222" t="str">
        <f t="shared" si="13"/>
        <v/>
      </c>
    </row>
    <row r="440" spans="1:35" s="108" customFormat="1" ht="15.75">
      <c r="A440" s="119"/>
      <c r="B440" s="120"/>
      <c r="C440" s="111"/>
      <c r="D440" s="111"/>
      <c r="E440" s="121"/>
      <c r="F440" s="121"/>
      <c r="G440" s="113"/>
      <c r="H440" s="199" t="str">
        <f t="shared" si="12"/>
        <v/>
      </c>
      <c r="I440" s="200" t="str">
        <f>IF(H440="","",IF(AND(AI440&lt;=66),VLOOKUP(H440,'WordRead Look Up'!$A$13:$B$20,2,TRUE),IF(AND(AI440&gt;=67,AI440&lt;=72),VLOOKUP(H440,'WordRead Look Up'!$E$13:$F$20,2,TRUE),IF(AND(AI440&gt;=73,AI440&lt;=78),VLOOKUP(H440,'WordRead Look Up'!$I$13:$J$18,2,TRUE),IF(AND(AI440&gt;=79),VLOOKUP(H440,'WordRead Look Up'!$M$13:$N$18,2,TRUE),"")))))</f>
        <v/>
      </c>
      <c r="J440" s="122"/>
      <c r="K440" s="111"/>
      <c r="L440" s="111"/>
      <c r="M440" s="111"/>
      <c r="N440" s="111"/>
      <c r="O440" s="111"/>
      <c r="P440" s="111"/>
      <c r="Q440" s="111"/>
      <c r="R440" s="111"/>
      <c r="S440" s="111"/>
      <c r="T440" s="111"/>
      <c r="U440" s="111"/>
      <c r="V440" s="111"/>
      <c r="W440" s="111"/>
      <c r="X440" s="123"/>
      <c r="AI440" s="222" t="str">
        <f t="shared" si="13"/>
        <v/>
      </c>
    </row>
    <row r="441" spans="1:35" s="108" customFormat="1" ht="15.75">
      <c r="A441" s="119"/>
      <c r="B441" s="120"/>
      <c r="C441" s="111"/>
      <c r="D441" s="111"/>
      <c r="E441" s="121"/>
      <c r="F441" s="121"/>
      <c r="G441" s="113"/>
      <c r="H441" s="199" t="str">
        <f t="shared" si="12"/>
        <v/>
      </c>
      <c r="I441" s="200" t="str">
        <f>IF(H441="","",IF(AND(AI441&lt;=66),VLOOKUP(H441,'WordRead Look Up'!$A$13:$B$20,2,TRUE),IF(AND(AI441&gt;=67,AI441&lt;=72),VLOOKUP(H441,'WordRead Look Up'!$E$13:$F$20,2,TRUE),IF(AND(AI441&gt;=73,AI441&lt;=78),VLOOKUP(H441,'WordRead Look Up'!$I$13:$J$18,2,TRUE),IF(AND(AI441&gt;=79),VLOOKUP(H441,'WordRead Look Up'!$M$13:$N$18,2,TRUE),"")))))</f>
        <v/>
      </c>
      <c r="J441" s="122"/>
      <c r="K441" s="111"/>
      <c r="L441" s="111"/>
      <c r="M441" s="111"/>
      <c r="N441" s="111"/>
      <c r="O441" s="111"/>
      <c r="P441" s="111"/>
      <c r="Q441" s="111"/>
      <c r="R441" s="111"/>
      <c r="S441" s="111"/>
      <c r="T441" s="111"/>
      <c r="U441" s="111"/>
      <c r="V441" s="111"/>
      <c r="W441" s="111"/>
      <c r="X441" s="123"/>
      <c r="AI441" s="222" t="str">
        <f t="shared" si="13"/>
        <v/>
      </c>
    </row>
    <row r="442" spans="1:35" s="108" customFormat="1" ht="15.75">
      <c r="A442" s="119"/>
      <c r="B442" s="120"/>
      <c r="C442" s="111"/>
      <c r="D442" s="111"/>
      <c r="E442" s="121"/>
      <c r="F442" s="121"/>
      <c r="G442" s="113"/>
      <c r="H442" s="199" t="str">
        <f t="shared" si="12"/>
        <v/>
      </c>
      <c r="I442" s="200" t="str">
        <f>IF(H442="","",IF(AND(AI442&lt;=66),VLOOKUP(H442,'WordRead Look Up'!$A$13:$B$20,2,TRUE),IF(AND(AI442&gt;=67,AI442&lt;=72),VLOOKUP(H442,'WordRead Look Up'!$E$13:$F$20,2,TRUE),IF(AND(AI442&gt;=73,AI442&lt;=78),VLOOKUP(H442,'WordRead Look Up'!$I$13:$J$18,2,TRUE),IF(AND(AI442&gt;=79),VLOOKUP(H442,'WordRead Look Up'!$M$13:$N$18,2,TRUE),"")))))</f>
        <v/>
      </c>
      <c r="J442" s="122"/>
      <c r="K442" s="111"/>
      <c r="L442" s="111"/>
      <c r="M442" s="111"/>
      <c r="N442" s="111"/>
      <c r="O442" s="111"/>
      <c r="P442" s="111"/>
      <c r="Q442" s="111"/>
      <c r="R442" s="111"/>
      <c r="S442" s="111"/>
      <c r="T442" s="111"/>
      <c r="U442" s="111"/>
      <c r="V442" s="111"/>
      <c r="W442" s="111"/>
      <c r="X442" s="123"/>
      <c r="AI442" s="222" t="str">
        <f t="shared" si="13"/>
        <v/>
      </c>
    </row>
    <row r="443" spans="1:35" s="108" customFormat="1" ht="15.75">
      <c r="A443" s="119"/>
      <c r="B443" s="120"/>
      <c r="C443" s="111"/>
      <c r="D443" s="111"/>
      <c r="E443" s="121"/>
      <c r="F443" s="121"/>
      <c r="G443" s="113"/>
      <c r="H443" s="199" t="str">
        <f t="shared" si="12"/>
        <v/>
      </c>
      <c r="I443" s="200" t="str">
        <f>IF(H443="","",IF(AND(AI443&lt;=66),VLOOKUP(H443,'WordRead Look Up'!$A$13:$B$20,2,TRUE),IF(AND(AI443&gt;=67,AI443&lt;=72),VLOOKUP(H443,'WordRead Look Up'!$E$13:$F$20,2,TRUE),IF(AND(AI443&gt;=73,AI443&lt;=78),VLOOKUP(H443,'WordRead Look Up'!$I$13:$J$18,2,TRUE),IF(AND(AI443&gt;=79),VLOOKUP(H443,'WordRead Look Up'!$M$13:$N$18,2,TRUE),"")))))</f>
        <v/>
      </c>
      <c r="J443" s="122"/>
      <c r="K443" s="111"/>
      <c r="L443" s="111"/>
      <c r="M443" s="111"/>
      <c r="N443" s="111"/>
      <c r="O443" s="111"/>
      <c r="P443" s="111"/>
      <c r="Q443" s="111"/>
      <c r="R443" s="111"/>
      <c r="S443" s="111"/>
      <c r="T443" s="111"/>
      <c r="U443" s="111"/>
      <c r="V443" s="111"/>
      <c r="W443" s="111"/>
      <c r="X443" s="123"/>
      <c r="AI443" s="222" t="str">
        <f t="shared" si="13"/>
        <v/>
      </c>
    </row>
    <row r="444" spans="1:35" s="108" customFormat="1" ht="15.75">
      <c r="A444" s="119"/>
      <c r="B444" s="120"/>
      <c r="C444" s="111"/>
      <c r="D444" s="111"/>
      <c r="E444" s="121"/>
      <c r="F444" s="121"/>
      <c r="G444" s="113"/>
      <c r="H444" s="199" t="str">
        <f t="shared" si="12"/>
        <v/>
      </c>
      <c r="I444" s="200" t="str">
        <f>IF(H444="","",IF(AND(AI444&lt;=66),VLOOKUP(H444,'WordRead Look Up'!$A$13:$B$20,2,TRUE),IF(AND(AI444&gt;=67,AI444&lt;=72),VLOOKUP(H444,'WordRead Look Up'!$E$13:$F$20,2,TRUE),IF(AND(AI444&gt;=73,AI444&lt;=78),VLOOKUP(H444,'WordRead Look Up'!$I$13:$J$18,2,TRUE),IF(AND(AI444&gt;=79),VLOOKUP(H444,'WordRead Look Up'!$M$13:$N$18,2,TRUE),"")))))</f>
        <v/>
      </c>
      <c r="J444" s="122"/>
      <c r="K444" s="111"/>
      <c r="L444" s="111"/>
      <c r="M444" s="111"/>
      <c r="N444" s="111"/>
      <c r="O444" s="111"/>
      <c r="P444" s="111"/>
      <c r="Q444" s="111"/>
      <c r="R444" s="111"/>
      <c r="S444" s="111"/>
      <c r="T444" s="111"/>
      <c r="U444" s="111"/>
      <c r="V444" s="111"/>
      <c r="W444" s="111"/>
      <c r="X444" s="123"/>
      <c r="AI444" s="222" t="str">
        <f t="shared" si="13"/>
        <v/>
      </c>
    </row>
    <row r="445" spans="1:35" s="108" customFormat="1" ht="15.75">
      <c r="A445" s="119"/>
      <c r="B445" s="120"/>
      <c r="C445" s="111"/>
      <c r="D445" s="111"/>
      <c r="E445" s="121"/>
      <c r="F445" s="121"/>
      <c r="G445" s="113"/>
      <c r="H445" s="199" t="str">
        <f t="shared" si="12"/>
        <v/>
      </c>
      <c r="I445" s="200" t="str">
        <f>IF(H445="","",IF(AND(AI445&lt;=66),VLOOKUP(H445,'WordRead Look Up'!$A$13:$B$20,2,TRUE),IF(AND(AI445&gt;=67,AI445&lt;=72),VLOOKUP(H445,'WordRead Look Up'!$E$13:$F$20,2,TRUE),IF(AND(AI445&gt;=73,AI445&lt;=78),VLOOKUP(H445,'WordRead Look Up'!$I$13:$J$18,2,TRUE),IF(AND(AI445&gt;=79),VLOOKUP(H445,'WordRead Look Up'!$M$13:$N$18,2,TRUE),"")))))</f>
        <v/>
      </c>
      <c r="J445" s="122"/>
      <c r="K445" s="111"/>
      <c r="L445" s="111"/>
      <c r="M445" s="111"/>
      <c r="N445" s="111"/>
      <c r="O445" s="111"/>
      <c r="P445" s="111"/>
      <c r="Q445" s="111"/>
      <c r="R445" s="111"/>
      <c r="S445" s="111"/>
      <c r="T445" s="111"/>
      <c r="U445" s="111"/>
      <c r="V445" s="111"/>
      <c r="W445" s="111"/>
      <c r="X445" s="123"/>
      <c r="AI445" s="222" t="str">
        <f t="shared" si="13"/>
        <v/>
      </c>
    </row>
    <row r="446" spans="1:35" s="108" customFormat="1" ht="15.75">
      <c r="A446" s="119"/>
      <c r="B446" s="120"/>
      <c r="C446" s="111"/>
      <c r="D446" s="111"/>
      <c r="E446" s="121"/>
      <c r="F446" s="121"/>
      <c r="G446" s="113"/>
      <c r="H446" s="199" t="str">
        <f t="shared" si="12"/>
        <v/>
      </c>
      <c r="I446" s="200" t="str">
        <f>IF(H446="","",IF(AND(AI446&lt;=66),VLOOKUP(H446,'WordRead Look Up'!$A$13:$B$20,2,TRUE),IF(AND(AI446&gt;=67,AI446&lt;=72),VLOOKUP(H446,'WordRead Look Up'!$E$13:$F$20,2,TRUE),IF(AND(AI446&gt;=73,AI446&lt;=78),VLOOKUP(H446,'WordRead Look Up'!$I$13:$J$18,2,TRUE),IF(AND(AI446&gt;=79),VLOOKUP(H446,'WordRead Look Up'!$M$13:$N$18,2,TRUE),"")))))</f>
        <v/>
      </c>
      <c r="J446" s="122"/>
      <c r="K446" s="111"/>
      <c r="L446" s="111"/>
      <c r="M446" s="111"/>
      <c r="N446" s="111"/>
      <c r="O446" s="111"/>
      <c r="P446" s="111"/>
      <c r="Q446" s="111"/>
      <c r="R446" s="111"/>
      <c r="S446" s="111"/>
      <c r="T446" s="111"/>
      <c r="U446" s="111"/>
      <c r="V446" s="111"/>
      <c r="W446" s="111"/>
      <c r="X446" s="123"/>
      <c r="AI446" s="222" t="str">
        <f t="shared" si="13"/>
        <v/>
      </c>
    </row>
    <row r="447" spans="1:35" s="108" customFormat="1" ht="15.75">
      <c r="A447" s="119"/>
      <c r="B447" s="120"/>
      <c r="C447" s="111"/>
      <c r="D447" s="111"/>
      <c r="E447" s="121"/>
      <c r="F447" s="121"/>
      <c r="G447" s="113"/>
      <c r="H447" s="199" t="str">
        <f t="shared" si="12"/>
        <v/>
      </c>
      <c r="I447" s="200" t="str">
        <f>IF(H447="","",IF(AND(AI447&lt;=66),VLOOKUP(H447,'WordRead Look Up'!$A$13:$B$20,2,TRUE),IF(AND(AI447&gt;=67,AI447&lt;=72),VLOOKUP(H447,'WordRead Look Up'!$E$13:$F$20,2,TRUE),IF(AND(AI447&gt;=73,AI447&lt;=78),VLOOKUP(H447,'WordRead Look Up'!$I$13:$J$18,2,TRUE),IF(AND(AI447&gt;=79),VLOOKUP(H447,'WordRead Look Up'!$M$13:$N$18,2,TRUE),"")))))</f>
        <v/>
      </c>
      <c r="J447" s="122"/>
      <c r="K447" s="111"/>
      <c r="L447" s="111"/>
      <c r="M447" s="111"/>
      <c r="N447" s="111"/>
      <c r="O447" s="111"/>
      <c r="P447" s="111"/>
      <c r="Q447" s="111"/>
      <c r="R447" s="111"/>
      <c r="S447" s="111"/>
      <c r="T447" s="111"/>
      <c r="U447" s="111"/>
      <c r="V447" s="111"/>
      <c r="W447" s="111"/>
      <c r="X447" s="123"/>
      <c r="AI447" s="222" t="str">
        <f t="shared" si="13"/>
        <v/>
      </c>
    </row>
    <row r="448" spans="1:35" s="108" customFormat="1" ht="15.75">
      <c r="A448" s="119"/>
      <c r="B448" s="120"/>
      <c r="C448" s="111"/>
      <c r="D448" s="111"/>
      <c r="E448" s="121"/>
      <c r="F448" s="121"/>
      <c r="G448" s="113"/>
      <c r="H448" s="199" t="str">
        <f t="shared" si="12"/>
        <v/>
      </c>
      <c r="I448" s="200" t="str">
        <f>IF(H448="","",IF(AND(AI448&lt;=66),VLOOKUP(H448,'WordRead Look Up'!$A$13:$B$20,2,TRUE),IF(AND(AI448&gt;=67,AI448&lt;=72),VLOOKUP(H448,'WordRead Look Up'!$E$13:$F$20,2,TRUE),IF(AND(AI448&gt;=73,AI448&lt;=78),VLOOKUP(H448,'WordRead Look Up'!$I$13:$J$18,2,TRUE),IF(AND(AI448&gt;=79),VLOOKUP(H448,'WordRead Look Up'!$M$13:$N$18,2,TRUE),"")))))</f>
        <v/>
      </c>
      <c r="J448" s="122"/>
      <c r="K448" s="111"/>
      <c r="L448" s="111"/>
      <c r="M448" s="111"/>
      <c r="N448" s="111"/>
      <c r="O448" s="111"/>
      <c r="P448" s="111"/>
      <c r="Q448" s="111"/>
      <c r="R448" s="111"/>
      <c r="S448" s="111"/>
      <c r="T448" s="111"/>
      <c r="U448" s="111"/>
      <c r="V448" s="111"/>
      <c r="W448" s="111"/>
      <c r="X448" s="123"/>
      <c r="AI448" s="222" t="str">
        <f t="shared" si="13"/>
        <v/>
      </c>
    </row>
    <row r="449" spans="1:35" s="108" customFormat="1" ht="15.75">
      <c r="A449" s="119"/>
      <c r="B449" s="120"/>
      <c r="C449" s="111"/>
      <c r="D449" s="111"/>
      <c r="E449" s="121"/>
      <c r="F449" s="121"/>
      <c r="G449" s="113"/>
      <c r="H449" s="199" t="str">
        <f t="shared" si="12"/>
        <v/>
      </c>
      <c r="I449" s="200" t="str">
        <f>IF(H449="","",IF(AND(AI449&lt;=66),VLOOKUP(H449,'WordRead Look Up'!$A$13:$B$20,2,TRUE),IF(AND(AI449&gt;=67,AI449&lt;=72),VLOOKUP(H449,'WordRead Look Up'!$E$13:$F$20,2,TRUE),IF(AND(AI449&gt;=73,AI449&lt;=78),VLOOKUP(H449,'WordRead Look Up'!$I$13:$J$18,2,TRUE),IF(AND(AI449&gt;=79),VLOOKUP(H449,'WordRead Look Up'!$M$13:$N$18,2,TRUE),"")))))</f>
        <v/>
      </c>
      <c r="J449" s="122"/>
      <c r="K449" s="111"/>
      <c r="L449" s="111"/>
      <c r="M449" s="111"/>
      <c r="N449" s="111"/>
      <c r="O449" s="111"/>
      <c r="P449" s="111"/>
      <c r="Q449" s="111"/>
      <c r="R449" s="111"/>
      <c r="S449" s="111"/>
      <c r="T449" s="111"/>
      <c r="U449" s="111"/>
      <c r="V449" s="111"/>
      <c r="W449" s="111"/>
      <c r="X449" s="123"/>
      <c r="AI449" s="222" t="str">
        <f t="shared" si="13"/>
        <v/>
      </c>
    </row>
    <row r="450" spans="1:35" s="108" customFormat="1" ht="15.75">
      <c r="A450" s="119"/>
      <c r="B450" s="120"/>
      <c r="C450" s="111"/>
      <c r="D450" s="111"/>
      <c r="E450" s="121"/>
      <c r="F450" s="121"/>
      <c r="G450" s="113"/>
      <c r="H450" s="199" t="str">
        <f t="shared" si="12"/>
        <v/>
      </c>
      <c r="I450" s="200" t="str">
        <f>IF(H450="","",IF(AND(AI450&lt;=66),VLOOKUP(H450,'WordRead Look Up'!$A$13:$B$20,2,TRUE),IF(AND(AI450&gt;=67,AI450&lt;=72),VLOOKUP(H450,'WordRead Look Up'!$E$13:$F$20,2,TRUE),IF(AND(AI450&gt;=73,AI450&lt;=78),VLOOKUP(H450,'WordRead Look Up'!$I$13:$J$18,2,TRUE),IF(AND(AI450&gt;=79),VLOOKUP(H450,'WordRead Look Up'!$M$13:$N$18,2,TRUE),"")))))</f>
        <v/>
      </c>
      <c r="J450" s="122"/>
      <c r="K450" s="111"/>
      <c r="L450" s="111"/>
      <c r="M450" s="111"/>
      <c r="N450" s="111"/>
      <c r="O450" s="111"/>
      <c r="P450" s="111"/>
      <c r="Q450" s="111"/>
      <c r="R450" s="111"/>
      <c r="S450" s="111"/>
      <c r="T450" s="111"/>
      <c r="U450" s="111"/>
      <c r="V450" s="111"/>
      <c r="W450" s="111"/>
      <c r="X450" s="123"/>
      <c r="AI450" s="222" t="str">
        <f t="shared" si="13"/>
        <v/>
      </c>
    </row>
    <row r="451" spans="1:35" s="108" customFormat="1" ht="15.75">
      <c r="A451" s="119"/>
      <c r="B451" s="120"/>
      <c r="C451" s="111"/>
      <c r="D451" s="111"/>
      <c r="E451" s="121"/>
      <c r="F451" s="121"/>
      <c r="G451" s="113"/>
      <c r="H451" s="199" t="str">
        <f t="shared" si="12"/>
        <v/>
      </c>
      <c r="I451" s="200" t="str">
        <f>IF(H451="","",IF(AND(AI451&lt;=66),VLOOKUP(H451,'WordRead Look Up'!$A$13:$B$20,2,TRUE),IF(AND(AI451&gt;=67,AI451&lt;=72),VLOOKUP(H451,'WordRead Look Up'!$E$13:$F$20,2,TRUE),IF(AND(AI451&gt;=73,AI451&lt;=78),VLOOKUP(H451,'WordRead Look Up'!$I$13:$J$18,2,TRUE),IF(AND(AI451&gt;=79),VLOOKUP(H451,'WordRead Look Up'!$M$13:$N$18,2,TRUE),"")))))</f>
        <v/>
      </c>
      <c r="J451" s="122"/>
      <c r="K451" s="111"/>
      <c r="L451" s="111"/>
      <c r="M451" s="111"/>
      <c r="N451" s="111"/>
      <c r="O451" s="111"/>
      <c r="P451" s="111"/>
      <c r="Q451" s="111"/>
      <c r="R451" s="111"/>
      <c r="S451" s="111"/>
      <c r="T451" s="111"/>
      <c r="U451" s="111"/>
      <c r="V451" s="111"/>
      <c r="W451" s="111"/>
      <c r="X451" s="123"/>
      <c r="AI451" s="222" t="str">
        <f t="shared" si="13"/>
        <v/>
      </c>
    </row>
    <row r="452" spans="1:35" s="108" customFormat="1" ht="15.75">
      <c r="A452" s="119"/>
      <c r="B452" s="120"/>
      <c r="C452" s="111"/>
      <c r="D452" s="111"/>
      <c r="E452" s="121"/>
      <c r="F452" s="121"/>
      <c r="G452" s="113"/>
      <c r="H452" s="199" t="str">
        <f t="shared" si="12"/>
        <v/>
      </c>
      <c r="I452" s="200" t="str">
        <f>IF(H452="","",IF(AND(AI452&lt;=66),VLOOKUP(H452,'WordRead Look Up'!$A$13:$B$20,2,TRUE),IF(AND(AI452&gt;=67,AI452&lt;=72),VLOOKUP(H452,'WordRead Look Up'!$E$13:$F$20,2,TRUE),IF(AND(AI452&gt;=73,AI452&lt;=78),VLOOKUP(H452,'WordRead Look Up'!$I$13:$J$18,2,TRUE),IF(AND(AI452&gt;=79),VLOOKUP(H452,'WordRead Look Up'!$M$13:$N$18,2,TRUE),"")))))</f>
        <v/>
      </c>
      <c r="J452" s="122"/>
      <c r="K452" s="111"/>
      <c r="L452" s="111"/>
      <c r="M452" s="111"/>
      <c r="N452" s="111"/>
      <c r="O452" s="111"/>
      <c r="P452" s="111"/>
      <c r="Q452" s="111"/>
      <c r="R452" s="111"/>
      <c r="S452" s="111"/>
      <c r="T452" s="111"/>
      <c r="U452" s="111"/>
      <c r="V452" s="111"/>
      <c r="W452" s="111"/>
      <c r="X452" s="123"/>
      <c r="AI452" s="222" t="str">
        <f t="shared" si="13"/>
        <v/>
      </c>
    </row>
    <row r="453" spans="1:35" s="108" customFormat="1" ht="15.75">
      <c r="A453" s="119"/>
      <c r="B453" s="120"/>
      <c r="C453" s="111"/>
      <c r="D453" s="111"/>
      <c r="E453" s="121"/>
      <c r="F453" s="121"/>
      <c r="G453" s="113"/>
      <c r="H453" s="199" t="str">
        <f t="shared" si="12"/>
        <v/>
      </c>
      <c r="I453" s="200" t="str">
        <f>IF(H453="","",IF(AND(AI453&lt;=66),VLOOKUP(H453,'WordRead Look Up'!$A$13:$B$20,2,TRUE),IF(AND(AI453&gt;=67,AI453&lt;=72),VLOOKUP(H453,'WordRead Look Up'!$E$13:$F$20,2,TRUE),IF(AND(AI453&gt;=73,AI453&lt;=78),VLOOKUP(H453,'WordRead Look Up'!$I$13:$J$18,2,TRUE),IF(AND(AI453&gt;=79),VLOOKUP(H453,'WordRead Look Up'!$M$13:$N$18,2,TRUE),"")))))</f>
        <v/>
      </c>
      <c r="J453" s="122"/>
      <c r="K453" s="111"/>
      <c r="L453" s="111"/>
      <c r="M453" s="111"/>
      <c r="N453" s="111"/>
      <c r="O453" s="111"/>
      <c r="P453" s="111"/>
      <c r="Q453" s="111"/>
      <c r="R453" s="111"/>
      <c r="S453" s="111"/>
      <c r="T453" s="111"/>
      <c r="U453" s="111"/>
      <c r="V453" s="111"/>
      <c r="W453" s="111"/>
      <c r="X453" s="123"/>
      <c r="AI453" s="222" t="str">
        <f t="shared" si="13"/>
        <v/>
      </c>
    </row>
    <row r="454" spans="1:35" s="108" customFormat="1" ht="15.75">
      <c r="A454" s="119"/>
      <c r="B454" s="120"/>
      <c r="C454" s="111"/>
      <c r="D454" s="111"/>
      <c r="E454" s="121"/>
      <c r="F454" s="121"/>
      <c r="G454" s="113"/>
      <c r="H454" s="199" t="str">
        <f t="shared" si="12"/>
        <v/>
      </c>
      <c r="I454" s="200" t="str">
        <f>IF(H454="","",IF(AND(AI454&lt;=66),VLOOKUP(H454,'WordRead Look Up'!$A$13:$B$20,2,TRUE),IF(AND(AI454&gt;=67,AI454&lt;=72),VLOOKUP(H454,'WordRead Look Up'!$E$13:$F$20,2,TRUE),IF(AND(AI454&gt;=73,AI454&lt;=78),VLOOKUP(H454,'WordRead Look Up'!$I$13:$J$18,2,TRUE),IF(AND(AI454&gt;=79),VLOOKUP(H454,'WordRead Look Up'!$M$13:$N$18,2,TRUE),"")))))</f>
        <v/>
      </c>
      <c r="J454" s="122"/>
      <c r="K454" s="111"/>
      <c r="L454" s="111"/>
      <c r="M454" s="111"/>
      <c r="N454" s="111"/>
      <c r="O454" s="111"/>
      <c r="P454" s="111"/>
      <c r="Q454" s="111"/>
      <c r="R454" s="111"/>
      <c r="S454" s="111"/>
      <c r="T454" s="111"/>
      <c r="U454" s="111"/>
      <c r="V454" s="111"/>
      <c r="W454" s="111"/>
      <c r="X454" s="123"/>
      <c r="AI454" s="222" t="str">
        <f t="shared" si="13"/>
        <v/>
      </c>
    </row>
    <row r="455" spans="1:35" s="108" customFormat="1" ht="15.75">
      <c r="A455" s="119"/>
      <c r="B455" s="120"/>
      <c r="C455" s="111"/>
      <c r="D455" s="111"/>
      <c r="E455" s="121"/>
      <c r="F455" s="121"/>
      <c r="G455" s="113"/>
      <c r="H455" s="199" t="str">
        <f t="shared" si="12"/>
        <v/>
      </c>
      <c r="I455" s="200" t="str">
        <f>IF(H455="","",IF(AND(AI455&lt;=66),VLOOKUP(H455,'WordRead Look Up'!$A$13:$B$20,2,TRUE),IF(AND(AI455&gt;=67,AI455&lt;=72),VLOOKUP(H455,'WordRead Look Up'!$E$13:$F$20,2,TRUE),IF(AND(AI455&gt;=73,AI455&lt;=78),VLOOKUP(H455,'WordRead Look Up'!$I$13:$J$18,2,TRUE),IF(AND(AI455&gt;=79),VLOOKUP(H455,'WordRead Look Up'!$M$13:$N$18,2,TRUE),"")))))</f>
        <v/>
      </c>
      <c r="J455" s="122"/>
      <c r="K455" s="111"/>
      <c r="L455" s="111"/>
      <c r="M455" s="111"/>
      <c r="N455" s="111"/>
      <c r="O455" s="111"/>
      <c r="P455" s="111"/>
      <c r="Q455" s="111"/>
      <c r="R455" s="111"/>
      <c r="S455" s="111"/>
      <c r="T455" s="111"/>
      <c r="U455" s="111"/>
      <c r="V455" s="111"/>
      <c r="W455" s="111"/>
      <c r="X455" s="123"/>
      <c r="AI455" s="222" t="str">
        <f t="shared" si="13"/>
        <v/>
      </c>
    </row>
    <row r="456" spans="1:35" s="108" customFormat="1" ht="15.75">
      <c r="A456" s="119"/>
      <c r="B456" s="120"/>
      <c r="C456" s="111"/>
      <c r="D456" s="111"/>
      <c r="E456" s="121"/>
      <c r="F456" s="121"/>
      <c r="G456" s="113"/>
      <c r="H456" s="199" t="str">
        <f t="shared" ref="H456:H499" si="14">IF(E456="","",COUNTIF(J456:X456,"y"))</f>
        <v/>
      </c>
      <c r="I456" s="200" t="str">
        <f>IF(H456="","",IF(AND(AI456&lt;=66),VLOOKUP(H456,'WordRead Look Up'!$A$13:$B$20,2,TRUE),IF(AND(AI456&gt;=67,AI456&lt;=72),VLOOKUP(H456,'WordRead Look Up'!$E$13:$F$20,2,TRUE),IF(AND(AI456&gt;=73,AI456&lt;=78),VLOOKUP(H456,'WordRead Look Up'!$I$13:$J$18,2,TRUE),IF(AND(AI456&gt;=79),VLOOKUP(H456,'WordRead Look Up'!$M$13:$N$18,2,TRUE),"")))))</f>
        <v/>
      </c>
      <c r="J456" s="122"/>
      <c r="K456" s="111"/>
      <c r="L456" s="111"/>
      <c r="M456" s="111"/>
      <c r="N456" s="111"/>
      <c r="O456" s="111"/>
      <c r="P456" s="111"/>
      <c r="Q456" s="111"/>
      <c r="R456" s="111"/>
      <c r="S456" s="111"/>
      <c r="T456" s="111"/>
      <c r="U456" s="111"/>
      <c r="V456" s="111"/>
      <c r="W456" s="111"/>
      <c r="X456" s="123"/>
      <c r="AI456" s="222" t="str">
        <f t="shared" ref="AI456:AI499" si="15">IF(E456="","",DATEDIF(B456,A456,"m"))</f>
        <v/>
      </c>
    </row>
    <row r="457" spans="1:35" s="108" customFormat="1" ht="15.75">
      <c r="A457" s="119"/>
      <c r="B457" s="120"/>
      <c r="C457" s="111"/>
      <c r="D457" s="111"/>
      <c r="E457" s="121"/>
      <c r="F457" s="121"/>
      <c r="G457" s="113"/>
      <c r="H457" s="199" t="str">
        <f t="shared" si="14"/>
        <v/>
      </c>
      <c r="I457" s="200" t="str">
        <f>IF(H457="","",IF(AND(AI457&lt;=66),VLOOKUP(H457,'WordRead Look Up'!$A$13:$B$20,2,TRUE),IF(AND(AI457&gt;=67,AI457&lt;=72),VLOOKUP(H457,'WordRead Look Up'!$E$13:$F$20,2,TRUE),IF(AND(AI457&gt;=73,AI457&lt;=78),VLOOKUP(H457,'WordRead Look Up'!$I$13:$J$18,2,TRUE),IF(AND(AI457&gt;=79),VLOOKUP(H457,'WordRead Look Up'!$M$13:$N$18,2,TRUE),"")))))</f>
        <v/>
      </c>
      <c r="J457" s="122"/>
      <c r="K457" s="111"/>
      <c r="L457" s="111"/>
      <c r="M457" s="111"/>
      <c r="N457" s="111"/>
      <c r="O457" s="111"/>
      <c r="P457" s="111"/>
      <c r="Q457" s="111"/>
      <c r="R457" s="111"/>
      <c r="S457" s="111"/>
      <c r="T457" s="111"/>
      <c r="U457" s="111"/>
      <c r="V457" s="111"/>
      <c r="W457" s="111"/>
      <c r="X457" s="123"/>
      <c r="AI457" s="222" t="str">
        <f t="shared" si="15"/>
        <v/>
      </c>
    </row>
    <row r="458" spans="1:35" s="108" customFormat="1" ht="15.75">
      <c r="A458" s="119"/>
      <c r="B458" s="120"/>
      <c r="C458" s="111"/>
      <c r="D458" s="111"/>
      <c r="E458" s="121"/>
      <c r="F458" s="121"/>
      <c r="G458" s="113"/>
      <c r="H458" s="199" t="str">
        <f t="shared" si="14"/>
        <v/>
      </c>
      <c r="I458" s="200" t="str">
        <f>IF(H458="","",IF(AND(AI458&lt;=66),VLOOKUP(H458,'WordRead Look Up'!$A$13:$B$20,2,TRUE),IF(AND(AI458&gt;=67,AI458&lt;=72),VLOOKUP(H458,'WordRead Look Up'!$E$13:$F$20,2,TRUE),IF(AND(AI458&gt;=73,AI458&lt;=78),VLOOKUP(H458,'WordRead Look Up'!$I$13:$J$18,2,TRUE),IF(AND(AI458&gt;=79),VLOOKUP(H458,'WordRead Look Up'!$M$13:$N$18,2,TRUE),"")))))</f>
        <v/>
      </c>
      <c r="J458" s="122"/>
      <c r="K458" s="111"/>
      <c r="L458" s="111"/>
      <c r="M458" s="111"/>
      <c r="N458" s="111"/>
      <c r="O458" s="111"/>
      <c r="P458" s="111"/>
      <c r="Q458" s="111"/>
      <c r="R458" s="111"/>
      <c r="S458" s="111"/>
      <c r="T458" s="111"/>
      <c r="U458" s="111"/>
      <c r="V458" s="111"/>
      <c r="W458" s="111"/>
      <c r="X458" s="123"/>
      <c r="AI458" s="222" t="str">
        <f t="shared" si="15"/>
        <v/>
      </c>
    </row>
    <row r="459" spans="1:35" s="108" customFormat="1" ht="15.75">
      <c r="A459" s="119"/>
      <c r="B459" s="120"/>
      <c r="C459" s="111"/>
      <c r="D459" s="111"/>
      <c r="E459" s="121"/>
      <c r="F459" s="121"/>
      <c r="G459" s="113"/>
      <c r="H459" s="199" t="str">
        <f t="shared" si="14"/>
        <v/>
      </c>
      <c r="I459" s="200" t="str">
        <f>IF(H459="","",IF(AND(AI459&lt;=66),VLOOKUP(H459,'WordRead Look Up'!$A$13:$B$20,2,TRUE),IF(AND(AI459&gt;=67,AI459&lt;=72),VLOOKUP(H459,'WordRead Look Up'!$E$13:$F$20,2,TRUE),IF(AND(AI459&gt;=73,AI459&lt;=78),VLOOKUP(H459,'WordRead Look Up'!$I$13:$J$18,2,TRUE),IF(AND(AI459&gt;=79),VLOOKUP(H459,'WordRead Look Up'!$M$13:$N$18,2,TRUE),"")))))</f>
        <v/>
      </c>
      <c r="J459" s="122"/>
      <c r="K459" s="111"/>
      <c r="L459" s="111"/>
      <c r="M459" s="111"/>
      <c r="N459" s="111"/>
      <c r="O459" s="111"/>
      <c r="P459" s="111"/>
      <c r="Q459" s="111"/>
      <c r="R459" s="111"/>
      <c r="S459" s="111"/>
      <c r="T459" s="111"/>
      <c r="U459" s="111"/>
      <c r="V459" s="111"/>
      <c r="W459" s="111"/>
      <c r="X459" s="123"/>
      <c r="AI459" s="222" t="str">
        <f t="shared" si="15"/>
        <v/>
      </c>
    </row>
    <row r="460" spans="1:35" s="108" customFormat="1" ht="15.75">
      <c r="A460" s="119"/>
      <c r="B460" s="120"/>
      <c r="C460" s="111"/>
      <c r="D460" s="111"/>
      <c r="E460" s="121"/>
      <c r="F460" s="121"/>
      <c r="G460" s="113"/>
      <c r="H460" s="199" t="str">
        <f t="shared" si="14"/>
        <v/>
      </c>
      <c r="I460" s="200" t="str">
        <f>IF(H460="","",IF(AND(AI460&lt;=66),VLOOKUP(H460,'WordRead Look Up'!$A$13:$B$20,2,TRUE),IF(AND(AI460&gt;=67,AI460&lt;=72),VLOOKUP(H460,'WordRead Look Up'!$E$13:$F$20,2,TRUE),IF(AND(AI460&gt;=73,AI460&lt;=78),VLOOKUP(H460,'WordRead Look Up'!$I$13:$J$18,2,TRUE),IF(AND(AI460&gt;=79),VLOOKUP(H460,'WordRead Look Up'!$M$13:$N$18,2,TRUE),"")))))</f>
        <v/>
      </c>
      <c r="J460" s="122"/>
      <c r="K460" s="111"/>
      <c r="L460" s="111"/>
      <c r="M460" s="111"/>
      <c r="N460" s="111"/>
      <c r="O460" s="111"/>
      <c r="P460" s="111"/>
      <c r="Q460" s="111"/>
      <c r="R460" s="111"/>
      <c r="S460" s="111"/>
      <c r="T460" s="111"/>
      <c r="U460" s="111"/>
      <c r="V460" s="111"/>
      <c r="W460" s="111"/>
      <c r="X460" s="123"/>
      <c r="AI460" s="222" t="str">
        <f t="shared" si="15"/>
        <v/>
      </c>
    </row>
    <row r="461" spans="1:35" s="108" customFormat="1" ht="15.75">
      <c r="A461" s="119"/>
      <c r="B461" s="120"/>
      <c r="C461" s="111"/>
      <c r="D461" s="111"/>
      <c r="E461" s="121"/>
      <c r="F461" s="121"/>
      <c r="G461" s="113"/>
      <c r="H461" s="199" t="str">
        <f t="shared" si="14"/>
        <v/>
      </c>
      <c r="I461" s="200" t="str">
        <f>IF(H461="","",IF(AND(AI461&lt;=66),VLOOKUP(H461,'WordRead Look Up'!$A$13:$B$20,2,TRUE),IF(AND(AI461&gt;=67,AI461&lt;=72),VLOOKUP(H461,'WordRead Look Up'!$E$13:$F$20,2,TRUE),IF(AND(AI461&gt;=73,AI461&lt;=78),VLOOKUP(H461,'WordRead Look Up'!$I$13:$J$18,2,TRUE),IF(AND(AI461&gt;=79),VLOOKUP(H461,'WordRead Look Up'!$M$13:$N$18,2,TRUE),"")))))</f>
        <v/>
      </c>
      <c r="J461" s="122"/>
      <c r="K461" s="111"/>
      <c r="L461" s="111"/>
      <c r="M461" s="111"/>
      <c r="N461" s="111"/>
      <c r="O461" s="111"/>
      <c r="P461" s="111"/>
      <c r="Q461" s="111"/>
      <c r="R461" s="111"/>
      <c r="S461" s="111"/>
      <c r="T461" s="111"/>
      <c r="U461" s="111"/>
      <c r="V461" s="111"/>
      <c r="W461" s="111"/>
      <c r="X461" s="123"/>
      <c r="AI461" s="222" t="str">
        <f t="shared" si="15"/>
        <v/>
      </c>
    </row>
    <row r="462" spans="1:35" s="108" customFormat="1" ht="15.75">
      <c r="A462" s="119"/>
      <c r="B462" s="120"/>
      <c r="C462" s="111"/>
      <c r="D462" s="111"/>
      <c r="E462" s="121"/>
      <c r="F462" s="121"/>
      <c r="G462" s="113"/>
      <c r="H462" s="199" t="str">
        <f t="shared" si="14"/>
        <v/>
      </c>
      <c r="I462" s="200" t="str">
        <f>IF(H462="","",IF(AND(AI462&lt;=66),VLOOKUP(H462,'WordRead Look Up'!$A$13:$B$20,2,TRUE),IF(AND(AI462&gt;=67,AI462&lt;=72),VLOOKUP(H462,'WordRead Look Up'!$E$13:$F$20,2,TRUE),IF(AND(AI462&gt;=73,AI462&lt;=78),VLOOKUP(H462,'WordRead Look Up'!$I$13:$J$18,2,TRUE),IF(AND(AI462&gt;=79),VLOOKUP(H462,'WordRead Look Up'!$M$13:$N$18,2,TRUE),"")))))</f>
        <v/>
      </c>
      <c r="J462" s="122"/>
      <c r="K462" s="111"/>
      <c r="L462" s="111"/>
      <c r="M462" s="111"/>
      <c r="N462" s="111"/>
      <c r="O462" s="111"/>
      <c r="P462" s="111"/>
      <c r="Q462" s="111"/>
      <c r="R462" s="111"/>
      <c r="S462" s="111"/>
      <c r="T462" s="111"/>
      <c r="U462" s="111"/>
      <c r="V462" s="111"/>
      <c r="W462" s="111"/>
      <c r="X462" s="123"/>
      <c r="AI462" s="222" t="str">
        <f t="shared" si="15"/>
        <v/>
      </c>
    </row>
    <row r="463" spans="1:35" s="108" customFormat="1" ht="15.75">
      <c r="A463" s="119"/>
      <c r="B463" s="120"/>
      <c r="C463" s="111"/>
      <c r="D463" s="111"/>
      <c r="E463" s="121"/>
      <c r="F463" s="121"/>
      <c r="G463" s="113"/>
      <c r="H463" s="199" t="str">
        <f t="shared" si="14"/>
        <v/>
      </c>
      <c r="I463" s="200" t="str">
        <f>IF(H463="","",IF(AND(AI463&lt;=66),VLOOKUP(H463,'WordRead Look Up'!$A$13:$B$20,2,TRUE),IF(AND(AI463&gt;=67,AI463&lt;=72),VLOOKUP(H463,'WordRead Look Up'!$E$13:$F$20,2,TRUE),IF(AND(AI463&gt;=73,AI463&lt;=78),VLOOKUP(H463,'WordRead Look Up'!$I$13:$J$18,2,TRUE),IF(AND(AI463&gt;=79),VLOOKUP(H463,'WordRead Look Up'!$M$13:$N$18,2,TRUE),"")))))</f>
        <v/>
      </c>
      <c r="J463" s="122"/>
      <c r="K463" s="111"/>
      <c r="L463" s="111"/>
      <c r="M463" s="111"/>
      <c r="N463" s="111"/>
      <c r="O463" s="111"/>
      <c r="P463" s="111"/>
      <c r="Q463" s="111"/>
      <c r="R463" s="111"/>
      <c r="S463" s="111"/>
      <c r="T463" s="111"/>
      <c r="U463" s="111"/>
      <c r="V463" s="111"/>
      <c r="W463" s="111"/>
      <c r="X463" s="123"/>
      <c r="AI463" s="222" t="str">
        <f t="shared" si="15"/>
        <v/>
      </c>
    </row>
    <row r="464" spans="1:35" s="108" customFormat="1" ht="15.75">
      <c r="A464" s="119"/>
      <c r="B464" s="120"/>
      <c r="C464" s="111"/>
      <c r="D464" s="111"/>
      <c r="E464" s="121"/>
      <c r="F464" s="121"/>
      <c r="G464" s="113"/>
      <c r="H464" s="199" t="str">
        <f t="shared" si="14"/>
        <v/>
      </c>
      <c r="I464" s="200" t="str">
        <f>IF(H464="","",IF(AND(AI464&lt;=66),VLOOKUP(H464,'WordRead Look Up'!$A$13:$B$20,2,TRUE),IF(AND(AI464&gt;=67,AI464&lt;=72),VLOOKUP(H464,'WordRead Look Up'!$E$13:$F$20,2,TRUE),IF(AND(AI464&gt;=73,AI464&lt;=78),VLOOKUP(H464,'WordRead Look Up'!$I$13:$J$18,2,TRUE),IF(AND(AI464&gt;=79),VLOOKUP(H464,'WordRead Look Up'!$M$13:$N$18,2,TRUE),"")))))</f>
        <v/>
      </c>
      <c r="J464" s="122"/>
      <c r="K464" s="111"/>
      <c r="L464" s="111"/>
      <c r="M464" s="111"/>
      <c r="N464" s="111"/>
      <c r="O464" s="111"/>
      <c r="P464" s="111"/>
      <c r="Q464" s="111"/>
      <c r="R464" s="111"/>
      <c r="S464" s="111"/>
      <c r="T464" s="111"/>
      <c r="U464" s="111"/>
      <c r="V464" s="111"/>
      <c r="W464" s="111"/>
      <c r="X464" s="123"/>
      <c r="AI464" s="222" t="str">
        <f t="shared" si="15"/>
        <v/>
      </c>
    </row>
    <row r="465" spans="1:35" s="108" customFormat="1" ht="15.75">
      <c r="A465" s="119"/>
      <c r="B465" s="120"/>
      <c r="C465" s="111"/>
      <c r="D465" s="111"/>
      <c r="E465" s="121"/>
      <c r="F465" s="121"/>
      <c r="G465" s="113"/>
      <c r="H465" s="199" t="str">
        <f t="shared" si="14"/>
        <v/>
      </c>
      <c r="I465" s="200" t="str">
        <f>IF(H465="","",IF(AND(AI465&lt;=66),VLOOKUP(H465,'WordRead Look Up'!$A$13:$B$20,2,TRUE),IF(AND(AI465&gt;=67,AI465&lt;=72),VLOOKUP(H465,'WordRead Look Up'!$E$13:$F$20,2,TRUE),IF(AND(AI465&gt;=73,AI465&lt;=78),VLOOKUP(H465,'WordRead Look Up'!$I$13:$J$18,2,TRUE),IF(AND(AI465&gt;=79),VLOOKUP(H465,'WordRead Look Up'!$M$13:$N$18,2,TRUE),"")))))</f>
        <v/>
      </c>
      <c r="J465" s="122"/>
      <c r="K465" s="111"/>
      <c r="L465" s="111"/>
      <c r="M465" s="111"/>
      <c r="N465" s="111"/>
      <c r="O465" s="111"/>
      <c r="P465" s="111"/>
      <c r="Q465" s="111"/>
      <c r="R465" s="111"/>
      <c r="S465" s="111"/>
      <c r="T465" s="111"/>
      <c r="U465" s="111"/>
      <c r="V465" s="111"/>
      <c r="W465" s="111"/>
      <c r="X465" s="123"/>
      <c r="AI465" s="222" t="str">
        <f t="shared" si="15"/>
        <v/>
      </c>
    </row>
    <row r="466" spans="1:35" s="108" customFormat="1" ht="15.75">
      <c r="A466" s="119"/>
      <c r="B466" s="120"/>
      <c r="C466" s="111"/>
      <c r="D466" s="111"/>
      <c r="E466" s="121"/>
      <c r="F466" s="121"/>
      <c r="G466" s="113"/>
      <c r="H466" s="199" t="str">
        <f t="shared" si="14"/>
        <v/>
      </c>
      <c r="I466" s="200" t="str">
        <f>IF(H466="","",IF(AND(AI466&lt;=66),VLOOKUP(H466,'WordRead Look Up'!$A$13:$B$20,2,TRUE),IF(AND(AI466&gt;=67,AI466&lt;=72),VLOOKUP(H466,'WordRead Look Up'!$E$13:$F$20,2,TRUE),IF(AND(AI466&gt;=73,AI466&lt;=78),VLOOKUP(H466,'WordRead Look Up'!$I$13:$J$18,2,TRUE),IF(AND(AI466&gt;=79),VLOOKUP(H466,'WordRead Look Up'!$M$13:$N$18,2,TRUE),"")))))</f>
        <v/>
      </c>
      <c r="J466" s="122"/>
      <c r="K466" s="111"/>
      <c r="L466" s="111"/>
      <c r="M466" s="111"/>
      <c r="N466" s="111"/>
      <c r="O466" s="111"/>
      <c r="P466" s="111"/>
      <c r="Q466" s="111"/>
      <c r="R466" s="111"/>
      <c r="S466" s="111"/>
      <c r="T466" s="111"/>
      <c r="U466" s="111"/>
      <c r="V466" s="111"/>
      <c r="W466" s="111"/>
      <c r="X466" s="123"/>
      <c r="AI466" s="222" t="str">
        <f t="shared" si="15"/>
        <v/>
      </c>
    </row>
    <row r="467" spans="1:35" s="108" customFormat="1" ht="15.75">
      <c r="A467" s="119"/>
      <c r="B467" s="120"/>
      <c r="C467" s="111"/>
      <c r="D467" s="111"/>
      <c r="E467" s="121"/>
      <c r="F467" s="121"/>
      <c r="G467" s="113"/>
      <c r="H467" s="199" t="str">
        <f t="shared" si="14"/>
        <v/>
      </c>
      <c r="I467" s="200" t="str">
        <f>IF(H467="","",IF(AND(AI467&lt;=66),VLOOKUP(H467,'WordRead Look Up'!$A$13:$B$20,2,TRUE),IF(AND(AI467&gt;=67,AI467&lt;=72),VLOOKUP(H467,'WordRead Look Up'!$E$13:$F$20,2,TRUE),IF(AND(AI467&gt;=73,AI467&lt;=78),VLOOKUP(H467,'WordRead Look Up'!$I$13:$J$18,2,TRUE),IF(AND(AI467&gt;=79),VLOOKUP(H467,'WordRead Look Up'!$M$13:$N$18,2,TRUE),"")))))</f>
        <v/>
      </c>
      <c r="J467" s="122"/>
      <c r="K467" s="111"/>
      <c r="L467" s="111"/>
      <c r="M467" s="111"/>
      <c r="N467" s="111"/>
      <c r="O467" s="111"/>
      <c r="P467" s="111"/>
      <c r="Q467" s="111"/>
      <c r="R467" s="111"/>
      <c r="S467" s="111"/>
      <c r="T467" s="111"/>
      <c r="U467" s="111"/>
      <c r="V467" s="111"/>
      <c r="W467" s="111"/>
      <c r="X467" s="123"/>
      <c r="AI467" s="222" t="str">
        <f t="shared" si="15"/>
        <v/>
      </c>
    </row>
    <row r="468" spans="1:35" s="108" customFormat="1" ht="15.75">
      <c r="A468" s="119"/>
      <c r="B468" s="120"/>
      <c r="C468" s="111"/>
      <c r="D468" s="111"/>
      <c r="E468" s="121"/>
      <c r="F468" s="121"/>
      <c r="G468" s="113"/>
      <c r="H468" s="199" t="str">
        <f t="shared" si="14"/>
        <v/>
      </c>
      <c r="I468" s="200" t="str">
        <f>IF(H468="","",IF(AND(AI468&lt;=66),VLOOKUP(H468,'WordRead Look Up'!$A$13:$B$20,2,TRUE),IF(AND(AI468&gt;=67,AI468&lt;=72),VLOOKUP(H468,'WordRead Look Up'!$E$13:$F$20,2,TRUE),IF(AND(AI468&gt;=73,AI468&lt;=78),VLOOKUP(H468,'WordRead Look Up'!$I$13:$J$18,2,TRUE),IF(AND(AI468&gt;=79),VLOOKUP(H468,'WordRead Look Up'!$M$13:$N$18,2,TRUE),"")))))</f>
        <v/>
      </c>
      <c r="J468" s="122"/>
      <c r="K468" s="111"/>
      <c r="L468" s="111"/>
      <c r="M468" s="111"/>
      <c r="N468" s="111"/>
      <c r="O468" s="111"/>
      <c r="P468" s="111"/>
      <c r="Q468" s="111"/>
      <c r="R468" s="111"/>
      <c r="S468" s="111"/>
      <c r="T468" s="111"/>
      <c r="U468" s="111"/>
      <c r="V468" s="111"/>
      <c r="W468" s="111"/>
      <c r="X468" s="123"/>
      <c r="AI468" s="222" t="str">
        <f t="shared" si="15"/>
        <v/>
      </c>
    </row>
    <row r="469" spans="1:35" s="108" customFormat="1" ht="15.75">
      <c r="A469" s="119"/>
      <c r="B469" s="120"/>
      <c r="C469" s="111"/>
      <c r="D469" s="111"/>
      <c r="E469" s="121"/>
      <c r="F469" s="121"/>
      <c r="G469" s="113"/>
      <c r="H469" s="199" t="str">
        <f t="shared" si="14"/>
        <v/>
      </c>
      <c r="I469" s="200" t="str">
        <f>IF(H469="","",IF(AND(AI469&lt;=66),VLOOKUP(H469,'WordRead Look Up'!$A$13:$B$20,2,TRUE),IF(AND(AI469&gt;=67,AI469&lt;=72),VLOOKUP(H469,'WordRead Look Up'!$E$13:$F$20,2,TRUE),IF(AND(AI469&gt;=73,AI469&lt;=78),VLOOKUP(H469,'WordRead Look Up'!$I$13:$J$18,2,TRUE),IF(AND(AI469&gt;=79),VLOOKUP(H469,'WordRead Look Up'!$M$13:$N$18,2,TRUE),"")))))</f>
        <v/>
      </c>
      <c r="J469" s="122"/>
      <c r="K469" s="111"/>
      <c r="L469" s="111"/>
      <c r="M469" s="111"/>
      <c r="N469" s="111"/>
      <c r="O469" s="111"/>
      <c r="P469" s="111"/>
      <c r="Q469" s="111"/>
      <c r="R469" s="111"/>
      <c r="S469" s="111"/>
      <c r="T469" s="111"/>
      <c r="U469" s="111"/>
      <c r="V469" s="111"/>
      <c r="W469" s="111"/>
      <c r="X469" s="123"/>
      <c r="AI469" s="222" t="str">
        <f t="shared" si="15"/>
        <v/>
      </c>
    </row>
    <row r="470" spans="1:35" s="108" customFormat="1" ht="15.75">
      <c r="A470" s="119"/>
      <c r="B470" s="120"/>
      <c r="C470" s="111"/>
      <c r="D470" s="111"/>
      <c r="E470" s="121"/>
      <c r="F470" s="121"/>
      <c r="G470" s="113"/>
      <c r="H470" s="199" t="str">
        <f t="shared" si="14"/>
        <v/>
      </c>
      <c r="I470" s="200" t="str">
        <f>IF(H470="","",IF(AND(AI470&lt;=66),VLOOKUP(H470,'WordRead Look Up'!$A$13:$B$20,2,TRUE),IF(AND(AI470&gt;=67,AI470&lt;=72),VLOOKUP(H470,'WordRead Look Up'!$E$13:$F$20,2,TRUE),IF(AND(AI470&gt;=73,AI470&lt;=78),VLOOKUP(H470,'WordRead Look Up'!$I$13:$J$18,2,TRUE),IF(AND(AI470&gt;=79),VLOOKUP(H470,'WordRead Look Up'!$M$13:$N$18,2,TRUE),"")))))</f>
        <v/>
      </c>
      <c r="J470" s="122"/>
      <c r="K470" s="111"/>
      <c r="L470" s="111"/>
      <c r="M470" s="111"/>
      <c r="N470" s="111"/>
      <c r="O470" s="111"/>
      <c r="P470" s="111"/>
      <c r="Q470" s="111"/>
      <c r="R470" s="111"/>
      <c r="S470" s="111"/>
      <c r="T470" s="111"/>
      <c r="U470" s="111"/>
      <c r="V470" s="111"/>
      <c r="W470" s="111"/>
      <c r="X470" s="123"/>
      <c r="AI470" s="222" t="str">
        <f t="shared" si="15"/>
        <v/>
      </c>
    </row>
    <row r="471" spans="1:35" s="108" customFormat="1" ht="15.75">
      <c r="A471" s="119"/>
      <c r="B471" s="120"/>
      <c r="C471" s="111"/>
      <c r="D471" s="111"/>
      <c r="E471" s="121"/>
      <c r="F471" s="121"/>
      <c r="G471" s="113"/>
      <c r="H471" s="199" t="str">
        <f t="shared" si="14"/>
        <v/>
      </c>
      <c r="I471" s="200" t="str">
        <f>IF(H471="","",IF(AND(AI471&lt;=66),VLOOKUP(H471,'WordRead Look Up'!$A$13:$B$20,2,TRUE),IF(AND(AI471&gt;=67,AI471&lt;=72),VLOOKUP(H471,'WordRead Look Up'!$E$13:$F$20,2,TRUE),IF(AND(AI471&gt;=73,AI471&lt;=78),VLOOKUP(H471,'WordRead Look Up'!$I$13:$J$18,2,TRUE),IF(AND(AI471&gt;=79),VLOOKUP(H471,'WordRead Look Up'!$M$13:$N$18,2,TRUE),"")))))</f>
        <v/>
      </c>
      <c r="J471" s="122"/>
      <c r="K471" s="111"/>
      <c r="L471" s="111"/>
      <c r="M471" s="111"/>
      <c r="N471" s="111"/>
      <c r="O471" s="111"/>
      <c r="P471" s="111"/>
      <c r="Q471" s="111"/>
      <c r="R471" s="111"/>
      <c r="S471" s="111"/>
      <c r="T471" s="111"/>
      <c r="U471" s="111"/>
      <c r="V471" s="111"/>
      <c r="W471" s="111"/>
      <c r="X471" s="123"/>
      <c r="AI471" s="222" t="str">
        <f t="shared" si="15"/>
        <v/>
      </c>
    </row>
    <row r="472" spans="1:35" s="108" customFormat="1" ht="15.75">
      <c r="A472" s="119"/>
      <c r="B472" s="120"/>
      <c r="C472" s="111"/>
      <c r="D472" s="111"/>
      <c r="E472" s="121"/>
      <c r="F472" s="121"/>
      <c r="G472" s="113"/>
      <c r="H472" s="199" t="str">
        <f t="shared" si="14"/>
        <v/>
      </c>
      <c r="I472" s="200" t="str">
        <f>IF(H472="","",IF(AND(AI472&lt;=66),VLOOKUP(H472,'WordRead Look Up'!$A$13:$B$20,2,TRUE),IF(AND(AI472&gt;=67,AI472&lt;=72),VLOOKUP(H472,'WordRead Look Up'!$E$13:$F$20,2,TRUE),IF(AND(AI472&gt;=73,AI472&lt;=78),VLOOKUP(H472,'WordRead Look Up'!$I$13:$J$18,2,TRUE),IF(AND(AI472&gt;=79),VLOOKUP(H472,'WordRead Look Up'!$M$13:$N$18,2,TRUE),"")))))</f>
        <v/>
      </c>
      <c r="J472" s="122"/>
      <c r="K472" s="111"/>
      <c r="L472" s="111"/>
      <c r="M472" s="111"/>
      <c r="N472" s="111"/>
      <c r="O472" s="111"/>
      <c r="P472" s="111"/>
      <c r="Q472" s="111"/>
      <c r="R472" s="111"/>
      <c r="S472" s="111"/>
      <c r="T472" s="111"/>
      <c r="U472" s="111"/>
      <c r="V472" s="111"/>
      <c r="W472" s="111"/>
      <c r="X472" s="123"/>
      <c r="AI472" s="222" t="str">
        <f t="shared" si="15"/>
        <v/>
      </c>
    </row>
    <row r="473" spans="1:35" s="108" customFormat="1" ht="15.75">
      <c r="A473" s="119"/>
      <c r="B473" s="120"/>
      <c r="C473" s="111"/>
      <c r="D473" s="111"/>
      <c r="E473" s="121"/>
      <c r="F473" s="121"/>
      <c r="G473" s="113"/>
      <c r="H473" s="199" t="str">
        <f t="shared" si="14"/>
        <v/>
      </c>
      <c r="I473" s="200" t="str">
        <f>IF(H473="","",IF(AND(AI473&lt;=66),VLOOKUP(H473,'WordRead Look Up'!$A$13:$B$20,2,TRUE),IF(AND(AI473&gt;=67,AI473&lt;=72),VLOOKUP(H473,'WordRead Look Up'!$E$13:$F$20,2,TRUE),IF(AND(AI473&gt;=73,AI473&lt;=78),VLOOKUP(H473,'WordRead Look Up'!$I$13:$J$18,2,TRUE),IF(AND(AI473&gt;=79),VLOOKUP(H473,'WordRead Look Up'!$M$13:$N$18,2,TRUE),"")))))</f>
        <v/>
      </c>
      <c r="J473" s="122"/>
      <c r="K473" s="111"/>
      <c r="L473" s="111"/>
      <c r="M473" s="111"/>
      <c r="N473" s="111"/>
      <c r="O473" s="111"/>
      <c r="P473" s="111"/>
      <c r="Q473" s="111"/>
      <c r="R473" s="111"/>
      <c r="S473" s="111"/>
      <c r="T473" s="111"/>
      <c r="U473" s="111"/>
      <c r="V473" s="111"/>
      <c r="W473" s="111"/>
      <c r="X473" s="123"/>
      <c r="AI473" s="222" t="str">
        <f t="shared" si="15"/>
        <v/>
      </c>
    </row>
    <row r="474" spans="1:35" s="108" customFormat="1" ht="15.75">
      <c r="A474" s="119"/>
      <c r="B474" s="120"/>
      <c r="C474" s="111"/>
      <c r="D474" s="111"/>
      <c r="E474" s="121"/>
      <c r="F474" s="121"/>
      <c r="G474" s="113"/>
      <c r="H474" s="199" t="str">
        <f t="shared" si="14"/>
        <v/>
      </c>
      <c r="I474" s="200" t="str">
        <f>IF(H474="","",IF(AND(AI474&lt;=66),VLOOKUP(H474,'WordRead Look Up'!$A$13:$B$20,2,TRUE),IF(AND(AI474&gt;=67,AI474&lt;=72),VLOOKUP(H474,'WordRead Look Up'!$E$13:$F$20,2,TRUE),IF(AND(AI474&gt;=73,AI474&lt;=78),VLOOKUP(H474,'WordRead Look Up'!$I$13:$J$18,2,TRUE),IF(AND(AI474&gt;=79),VLOOKUP(H474,'WordRead Look Up'!$M$13:$N$18,2,TRUE),"")))))</f>
        <v/>
      </c>
      <c r="J474" s="122"/>
      <c r="K474" s="111"/>
      <c r="L474" s="111"/>
      <c r="M474" s="111"/>
      <c r="N474" s="111"/>
      <c r="O474" s="111"/>
      <c r="P474" s="111"/>
      <c r="Q474" s="111"/>
      <c r="R474" s="111"/>
      <c r="S474" s="111"/>
      <c r="T474" s="111"/>
      <c r="U474" s="111"/>
      <c r="V474" s="111"/>
      <c r="W474" s="111"/>
      <c r="X474" s="123"/>
      <c r="AI474" s="222" t="str">
        <f t="shared" si="15"/>
        <v/>
      </c>
    </row>
    <row r="475" spans="1:35" s="108" customFormat="1" ht="15.75">
      <c r="A475" s="119"/>
      <c r="B475" s="120"/>
      <c r="C475" s="111"/>
      <c r="D475" s="111"/>
      <c r="E475" s="121"/>
      <c r="F475" s="121"/>
      <c r="G475" s="113"/>
      <c r="H475" s="199" t="str">
        <f t="shared" si="14"/>
        <v/>
      </c>
      <c r="I475" s="200" t="str">
        <f>IF(H475="","",IF(AND(AI475&lt;=66),VLOOKUP(H475,'WordRead Look Up'!$A$13:$B$20,2,TRUE),IF(AND(AI475&gt;=67,AI475&lt;=72),VLOOKUP(H475,'WordRead Look Up'!$E$13:$F$20,2,TRUE),IF(AND(AI475&gt;=73,AI475&lt;=78),VLOOKUP(H475,'WordRead Look Up'!$I$13:$J$18,2,TRUE),IF(AND(AI475&gt;=79),VLOOKUP(H475,'WordRead Look Up'!$M$13:$N$18,2,TRUE),"")))))</f>
        <v/>
      </c>
      <c r="J475" s="122"/>
      <c r="K475" s="111"/>
      <c r="L475" s="111"/>
      <c r="M475" s="111"/>
      <c r="N475" s="111"/>
      <c r="O475" s="111"/>
      <c r="P475" s="111"/>
      <c r="Q475" s="111"/>
      <c r="R475" s="111"/>
      <c r="S475" s="111"/>
      <c r="T475" s="111"/>
      <c r="U475" s="111"/>
      <c r="V475" s="111"/>
      <c r="W475" s="111"/>
      <c r="X475" s="123"/>
      <c r="AI475" s="222" t="str">
        <f t="shared" si="15"/>
        <v/>
      </c>
    </row>
    <row r="476" spans="1:35" s="108" customFormat="1" ht="15.75">
      <c r="A476" s="119"/>
      <c r="B476" s="120"/>
      <c r="C476" s="111"/>
      <c r="D476" s="111"/>
      <c r="E476" s="121"/>
      <c r="F476" s="121"/>
      <c r="G476" s="113"/>
      <c r="H476" s="199" t="str">
        <f t="shared" si="14"/>
        <v/>
      </c>
      <c r="I476" s="200" t="str">
        <f>IF(H476="","",IF(AND(AI476&lt;=66),VLOOKUP(H476,'WordRead Look Up'!$A$13:$B$20,2,TRUE),IF(AND(AI476&gt;=67,AI476&lt;=72),VLOOKUP(H476,'WordRead Look Up'!$E$13:$F$20,2,TRUE),IF(AND(AI476&gt;=73,AI476&lt;=78),VLOOKUP(H476,'WordRead Look Up'!$I$13:$J$18,2,TRUE),IF(AND(AI476&gt;=79),VLOOKUP(H476,'WordRead Look Up'!$M$13:$N$18,2,TRUE),"")))))</f>
        <v/>
      </c>
      <c r="J476" s="122"/>
      <c r="K476" s="111"/>
      <c r="L476" s="111"/>
      <c r="M476" s="111"/>
      <c r="N476" s="111"/>
      <c r="O476" s="111"/>
      <c r="P476" s="111"/>
      <c r="Q476" s="111"/>
      <c r="R476" s="111"/>
      <c r="S476" s="111"/>
      <c r="T476" s="111"/>
      <c r="U476" s="111"/>
      <c r="V476" s="111"/>
      <c r="W476" s="111"/>
      <c r="X476" s="123"/>
      <c r="AI476" s="222" t="str">
        <f t="shared" si="15"/>
        <v/>
      </c>
    </row>
    <row r="477" spans="1:35" s="108" customFormat="1" ht="15.75">
      <c r="A477" s="119"/>
      <c r="B477" s="120"/>
      <c r="C477" s="111"/>
      <c r="D477" s="111"/>
      <c r="E477" s="121"/>
      <c r="F477" s="121"/>
      <c r="G477" s="113"/>
      <c r="H477" s="199" t="str">
        <f t="shared" si="14"/>
        <v/>
      </c>
      <c r="I477" s="200" t="str">
        <f>IF(H477="","",IF(AND(AI477&lt;=66),VLOOKUP(H477,'WordRead Look Up'!$A$13:$B$20,2,TRUE),IF(AND(AI477&gt;=67,AI477&lt;=72),VLOOKUP(H477,'WordRead Look Up'!$E$13:$F$20,2,TRUE),IF(AND(AI477&gt;=73,AI477&lt;=78),VLOOKUP(H477,'WordRead Look Up'!$I$13:$J$18,2,TRUE),IF(AND(AI477&gt;=79),VLOOKUP(H477,'WordRead Look Up'!$M$13:$N$18,2,TRUE),"")))))</f>
        <v/>
      </c>
      <c r="J477" s="122"/>
      <c r="K477" s="111"/>
      <c r="L477" s="111"/>
      <c r="M477" s="111"/>
      <c r="N477" s="111"/>
      <c r="O477" s="111"/>
      <c r="P477" s="111"/>
      <c r="Q477" s="111"/>
      <c r="R477" s="111"/>
      <c r="S477" s="111"/>
      <c r="T477" s="111"/>
      <c r="U477" s="111"/>
      <c r="V477" s="111"/>
      <c r="W477" s="111"/>
      <c r="X477" s="123"/>
      <c r="AI477" s="222" t="str">
        <f t="shared" si="15"/>
        <v/>
      </c>
    </row>
    <row r="478" spans="1:35" s="108" customFormat="1" ht="15.75">
      <c r="A478" s="119"/>
      <c r="B478" s="120"/>
      <c r="C478" s="111"/>
      <c r="D478" s="111"/>
      <c r="E478" s="121"/>
      <c r="F478" s="121"/>
      <c r="G478" s="113"/>
      <c r="H478" s="199" t="str">
        <f t="shared" si="14"/>
        <v/>
      </c>
      <c r="I478" s="200" t="str">
        <f>IF(H478="","",IF(AND(AI478&lt;=66),VLOOKUP(H478,'WordRead Look Up'!$A$13:$B$20,2,TRUE),IF(AND(AI478&gt;=67,AI478&lt;=72),VLOOKUP(H478,'WordRead Look Up'!$E$13:$F$20,2,TRUE),IF(AND(AI478&gt;=73,AI478&lt;=78),VLOOKUP(H478,'WordRead Look Up'!$I$13:$J$18,2,TRUE),IF(AND(AI478&gt;=79),VLOOKUP(H478,'WordRead Look Up'!$M$13:$N$18,2,TRUE),"")))))</f>
        <v/>
      </c>
      <c r="J478" s="122"/>
      <c r="K478" s="111"/>
      <c r="L478" s="111"/>
      <c r="M478" s="111"/>
      <c r="N478" s="111"/>
      <c r="O478" s="111"/>
      <c r="P478" s="111"/>
      <c r="Q478" s="111"/>
      <c r="R478" s="111"/>
      <c r="S478" s="111"/>
      <c r="T478" s="111"/>
      <c r="U478" s="111"/>
      <c r="V478" s="111"/>
      <c r="W478" s="111"/>
      <c r="X478" s="123"/>
      <c r="AI478" s="222" t="str">
        <f t="shared" si="15"/>
        <v/>
      </c>
    </row>
    <row r="479" spans="1:35" s="108" customFormat="1" ht="15.75">
      <c r="A479" s="119"/>
      <c r="B479" s="120"/>
      <c r="C479" s="111"/>
      <c r="D479" s="111"/>
      <c r="E479" s="121"/>
      <c r="F479" s="121"/>
      <c r="G479" s="113"/>
      <c r="H479" s="199" t="str">
        <f t="shared" si="14"/>
        <v/>
      </c>
      <c r="I479" s="200" t="str">
        <f>IF(H479="","",IF(AND(AI479&lt;=66),VLOOKUP(H479,'WordRead Look Up'!$A$13:$B$20,2,TRUE),IF(AND(AI479&gt;=67,AI479&lt;=72),VLOOKUP(H479,'WordRead Look Up'!$E$13:$F$20,2,TRUE),IF(AND(AI479&gt;=73,AI479&lt;=78),VLOOKUP(H479,'WordRead Look Up'!$I$13:$J$18,2,TRUE),IF(AND(AI479&gt;=79),VLOOKUP(H479,'WordRead Look Up'!$M$13:$N$18,2,TRUE),"")))))</f>
        <v/>
      </c>
      <c r="J479" s="122"/>
      <c r="K479" s="111"/>
      <c r="L479" s="111"/>
      <c r="M479" s="111"/>
      <c r="N479" s="111"/>
      <c r="O479" s="111"/>
      <c r="P479" s="111"/>
      <c r="Q479" s="111"/>
      <c r="R479" s="111"/>
      <c r="S479" s="111"/>
      <c r="T479" s="111"/>
      <c r="U479" s="111"/>
      <c r="V479" s="111"/>
      <c r="W479" s="111"/>
      <c r="X479" s="123"/>
      <c r="AI479" s="222" t="str">
        <f t="shared" si="15"/>
        <v/>
      </c>
    </row>
    <row r="480" spans="1:35" s="108" customFormat="1" ht="15.75">
      <c r="A480" s="119"/>
      <c r="B480" s="120"/>
      <c r="C480" s="111"/>
      <c r="D480" s="111"/>
      <c r="E480" s="121"/>
      <c r="F480" s="121"/>
      <c r="G480" s="113"/>
      <c r="H480" s="199" t="str">
        <f t="shared" si="14"/>
        <v/>
      </c>
      <c r="I480" s="200" t="str">
        <f>IF(H480="","",IF(AND(AI480&lt;=66),VLOOKUP(H480,'WordRead Look Up'!$A$13:$B$20,2,TRUE),IF(AND(AI480&gt;=67,AI480&lt;=72),VLOOKUP(H480,'WordRead Look Up'!$E$13:$F$20,2,TRUE),IF(AND(AI480&gt;=73,AI480&lt;=78),VLOOKUP(H480,'WordRead Look Up'!$I$13:$J$18,2,TRUE),IF(AND(AI480&gt;=79),VLOOKUP(H480,'WordRead Look Up'!$M$13:$N$18,2,TRUE),"")))))</f>
        <v/>
      </c>
      <c r="J480" s="122"/>
      <c r="K480" s="111"/>
      <c r="L480" s="111"/>
      <c r="M480" s="111"/>
      <c r="N480" s="111"/>
      <c r="O480" s="111"/>
      <c r="P480" s="111"/>
      <c r="Q480" s="111"/>
      <c r="R480" s="111"/>
      <c r="S480" s="111"/>
      <c r="T480" s="111"/>
      <c r="U480" s="111"/>
      <c r="V480" s="111"/>
      <c r="W480" s="111"/>
      <c r="X480" s="123"/>
      <c r="AI480" s="222" t="str">
        <f t="shared" si="15"/>
        <v/>
      </c>
    </row>
    <row r="481" spans="1:35" s="108" customFormat="1" ht="15.75">
      <c r="A481" s="119"/>
      <c r="B481" s="120"/>
      <c r="C481" s="111"/>
      <c r="D481" s="111"/>
      <c r="E481" s="121"/>
      <c r="F481" s="121"/>
      <c r="G481" s="113"/>
      <c r="H481" s="199" t="str">
        <f t="shared" si="14"/>
        <v/>
      </c>
      <c r="I481" s="200" t="str">
        <f>IF(H481="","",IF(AND(AI481&lt;=66),VLOOKUP(H481,'WordRead Look Up'!$A$13:$B$20,2,TRUE),IF(AND(AI481&gt;=67,AI481&lt;=72),VLOOKUP(H481,'WordRead Look Up'!$E$13:$F$20,2,TRUE),IF(AND(AI481&gt;=73,AI481&lt;=78),VLOOKUP(H481,'WordRead Look Up'!$I$13:$J$18,2,TRUE),IF(AND(AI481&gt;=79),VLOOKUP(H481,'WordRead Look Up'!$M$13:$N$18,2,TRUE),"")))))</f>
        <v/>
      </c>
      <c r="J481" s="122"/>
      <c r="K481" s="111"/>
      <c r="L481" s="111"/>
      <c r="M481" s="111"/>
      <c r="N481" s="111"/>
      <c r="O481" s="111"/>
      <c r="P481" s="111"/>
      <c r="Q481" s="111"/>
      <c r="R481" s="111"/>
      <c r="S481" s="111"/>
      <c r="T481" s="111"/>
      <c r="U481" s="111"/>
      <c r="V481" s="111"/>
      <c r="W481" s="111"/>
      <c r="X481" s="123"/>
      <c r="AI481" s="222" t="str">
        <f t="shared" si="15"/>
        <v/>
      </c>
    </row>
    <row r="482" spans="1:35" s="108" customFormat="1" ht="15.75">
      <c r="A482" s="119"/>
      <c r="B482" s="120"/>
      <c r="C482" s="111"/>
      <c r="D482" s="111"/>
      <c r="E482" s="121"/>
      <c r="F482" s="121"/>
      <c r="G482" s="113"/>
      <c r="H482" s="199" t="str">
        <f t="shared" si="14"/>
        <v/>
      </c>
      <c r="I482" s="200" t="str">
        <f>IF(H482="","",IF(AND(AI482&lt;=66),VLOOKUP(H482,'WordRead Look Up'!$A$13:$B$20,2,TRUE),IF(AND(AI482&gt;=67,AI482&lt;=72),VLOOKUP(H482,'WordRead Look Up'!$E$13:$F$20,2,TRUE),IF(AND(AI482&gt;=73,AI482&lt;=78),VLOOKUP(H482,'WordRead Look Up'!$I$13:$J$18,2,TRUE),IF(AND(AI482&gt;=79),VLOOKUP(H482,'WordRead Look Up'!$M$13:$N$18,2,TRUE),"")))))</f>
        <v/>
      </c>
      <c r="J482" s="122"/>
      <c r="K482" s="111"/>
      <c r="L482" s="111"/>
      <c r="M482" s="111"/>
      <c r="N482" s="111"/>
      <c r="O482" s="111"/>
      <c r="P482" s="111"/>
      <c r="Q482" s="111"/>
      <c r="R482" s="111"/>
      <c r="S482" s="111"/>
      <c r="T482" s="111"/>
      <c r="U482" s="111"/>
      <c r="V482" s="111"/>
      <c r="W482" s="111"/>
      <c r="X482" s="123"/>
      <c r="AI482" s="222" t="str">
        <f t="shared" si="15"/>
        <v/>
      </c>
    </row>
    <row r="483" spans="1:35" s="108" customFormat="1" ht="15.75">
      <c r="A483" s="119"/>
      <c r="B483" s="120"/>
      <c r="C483" s="111"/>
      <c r="D483" s="111"/>
      <c r="E483" s="121"/>
      <c r="F483" s="121"/>
      <c r="G483" s="113"/>
      <c r="H483" s="199" t="str">
        <f t="shared" si="14"/>
        <v/>
      </c>
      <c r="I483" s="200" t="str">
        <f>IF(H483="","",IF(AND(AI483&lt;=66),VLOOKUP(H483,'WordRead Look Up'!$A$13:$B$20,2,TRUE),IF(AND(AI483&gt;=67,AI483&lt;=72),VLOOKUP(H483,'WordRead Look Up'!$E$13:$F$20,2,TRUE),IF(AND(AI483&gt;=73,AI483&lt;=78),VLOOKUP(H483,'WordRead Look Up'!$I$13:$J$18,2,TRUE),IF(AND(AI483&gt;=79),VLOOKUP(H483,'WordRead Look Up'!$M$13:$N$18,2,TRUE),"")))))</f>
        <v/>
      </c>
      <c r="J483" s="122"/>
      <c r="K483" s="111"/>
      <c r="L483" s="111"/>
      <c r="M483" s="111"/>
      <c r="N483" s="111"/>
      <c r="O483" s="111"/>
      <c r="P483" s="111"/>
      <c r="Q483" s="111"/>
      <c r="R483" s="111"/>
      <c r="S483" s="111"/>
      <c r="T483" s="111"/>
      <c r="U483" s="111"/>
      <c r="V483" s="111"/>
      <c r="W483" s="111"/>
      <c r="X483" s="123"/>
      <c r="AI483" s="222" t="str">
        <f t="shared" si="15"/>
        <v/>
      </c>
    </row>
    <row r="484" spans="1:35" s="108" customFormat="1" ht="15.75">
      <c r="A484" s="119"/>
      <c r="B484" s="120"/>
      <c r="C484" s="111"/>
      <c r="D484" s="111"/>
      <c r="E484" s="121"/>
      <c r="F484" s="121"/>
      <c r="G484" s="113"/>
      <c r="H484" s="199" t="str">
        <f t="shared" si="14"/>
        <v/>
      </c>
      <c r="I484" s="200" t="str">
        <f>IF(H484="","",IF(AND(AI484&lt;=66),VLOOKUP(H484,'WordRead Look Up'!$A$13:$B$20,2,TRUE),IF(AND(AI484&gt;=67,AI484&lt;=72),VLOOKUP(H484,'WordRead Look Up'!$E$13:$F$20,2,TRUE),IF(AND(AI484&gt;=73,AI484&lt;=78),VLOOKUP(H484,'WordRead Look Up'!$I$13:$J$18,2,TRUE),IF(AND(AI484&gt;=79),VLOOKUP(H484,'WordRead Look Up'!$M$13:$N$18,2,TRUE),"")))))</f>
        <v/>
      </c>
      <c r="J484" s="122"/>
      <c r="K484" s="111"/>
      <c r="L484" s="111"/>
      <c r="M484" s="111"/>
      <c r="N484" s="111"/>
      <c r="O484" s="111"/>
      <c r="P484" s="111"/>
      <c r="Q484" s="111"/>
      <c r="R484" s="111"/>
      <c r="S484" s="111"/>
      <c r="T484" s="111"/>
      <c r="U484" s="111"/>
      <c r="V484" s="111"/>
      <c r="W484" s="111"/>
      <c r="X484" s="123"/>
      <c r="AI484" s="222" t="str">
        <f t="shared" si="15"/>
        <v/>
      </c>
    </row>
    <row r="485" spans="1:35" s="108" customFormat="1" ht="15.75">
      <c r="A485" s="119"/>
      <c r="B485" s="120"/>
      <c r="C485" s="111"/>
      <c r="D485" s="111"/>
      <c r="E485" s="121"/>
      <c r="F485" s="121"/>
      <c r="G485" s="113"/>
      <c r="H485" s="199" t="str">
        <f t="shared" si="14"/>
        <v/>
      </c>
      <c r="I485" s="200" t="str">
        <f>IF(H485="","",IF(AND(AI485&lt;=66),VLOOKUP(H485,'WordRead Look Up'!$A$13:$B$20,2,TRUE),IF(AND(AI485&gt;=67,AI485&lt;=72),VLOOKUP(H485,'WordRead Look Up'!$E$13:$F$20,2,TRUE),IF(AND(AI485&gt;=73,AI485&lt;=78),VLOOKUP(H485,'WordRead Look Up'!$I$13:$J$18,2,TRUE),IF(AND(AI485&gt;=79),VLOOKUP(H485,'WordRead Look Up'!$M$13:$N$18,2,TRUE),"")))))</f>
        <v/>
      </c>
      <c r="J485" s="122"/>
      <c r="K485" s="111"/>
      <c r="L485" s="111"/>
      <c r="M485" s="111"/>
      <c r="N485" s="111"/>
      <c r="O485" s="111"/>
      <c r="P485" s="111"/>
      <c r="Q485" s="111"/>
      <c r="R485" s="111"/>
      <c r="S485" s="111"/>
      <c r="T485" s="111"/>
      <c r="U485" s="111"/>
      <c r="V485" s="111"/>
      <c r="W485" s="111"/>
      <c r="X485" s="123"/>
      <c r="AI485" s="222" t="str">
        <f t="shared" si="15"/>
        <v/>
      </c>
    </row>
    <row r="486" spans="1:35" s="108" customFormat="1" ht="15.75">
      <c r="A486" s="119"/>
      <c r="B486" s="120"/>
      <c r="C486" s="111"/>
      <c r="D486" s="111"/>
      <c r="E486" s="121"/>
      <c r="F486" s="121"/>
      <c r="G486" s="113"/>
      <c r="H486" s="199" t="str">
        <f t="shared" si="14"/>
        <v/>
      </c>
      <c r="I486" s="200" t="str">
        <f>IF(H486="","",IF(AND(AI486&lt;=66),VLOOKUP(H486,'WordRead Look Up'!$A$13:$B$20,2,TRUE),IF(AND(AI486&gt;=67,AI486&lt;=72),VLOOKUP(H486,'WordRead Look Up'!$E$13:$F$20,2,TRUE),IF(AND(AI486&gt;=73,AI486&lt;=78),VLOOKUP(H486,'WordRead Look Up'!$I$13:$J$18,2,TRUE),IF(AND(AI486&gt;=79),VLOOKUP(H486,'WordRead Look Up'!$M$13:$N$18,2,TRUE),"")))))</f>
        <v/>
      </c>
      <c r="J486" s="122"/>
      <c r="K486" s="111"/>
      <c r="L486" s="111"/>
      <c r="M486" s="111"/>
      <c r="N486" s="111"/>
      <c r="O486" s="111"/>
      <c r="P486" s="111"/>
      <c r="Q486" s="111"/>
      <c r="R486" s="111"/>
      <c r="S486" s="111"/>
      <c r="T486" s="111"/>
      <c r="U486" s="111"/>
      <c r="V486" s="111"/>
      <c r="W486" s="111"/>
      <c r="X486" s="123"/>
      <c r="AI486" s="222" t="str">
        <f t="shared" si="15"/>
        <v/>
      </c>
    </row>
    <row r="487" spans="1:35" s="108" customFormat="1" ht="15.75">
      <c r="A487" s="119"/>
      <c r="B487" s="120"/>
      <c r="C487" s="111"/>
      <c r="D487" s="111"/>
      <c r="E487" s="121"/>
      <c r="F487" s="121"/>
      <c r="G487" s="113"/>
      <c r="H487" s="199" t="str">
        <f t="shared" si="14"/>
        <v/>
      </c>
      <c r="I487" s="200" t="str">
        <f>IF(H487="","",IF(AND(AI487&lt;=66),VLOOKUP(H487,'WordRead Look Up'!$A$13:$B$20,2,TRUE),IF(AND(AI487&gt;=67,AI487&lt;=72),VLOOKUP(H487,'WordRead Look Up'!$E$13:$F$20,2,TRUE),IF(AND(AI487&gt;=73,AI487&lt;=78),VLOOKUP(H487,'WordRead Look Up'!$I$13:$J$18,2,TRUE),IF(AND(AI487&gt;=79),VLOOKUP(H487,'WordRead Look Up'!$M$13:$N$18,2,TRUE),"")))))</f>
        <v/>
      </c>
      <c r="J487" s="122"/>
      <c r="K487" s="111"/>
      <c r="L487" s="111"/>
      <c r="M487" s="111"/>
      <c r="N487" s="111"/>
      <c r="O487" s="111"/>
      <c r="P487" s="111"/>
      <c r="Q487" s="111"/>
      <c r="R487" s="111"/>
      <c r="S487" s="111"/>
      <c r="T487" s="111"/>
      <c r="U487" s="111"/>
      <c r="V487" s="111"/>
      <c r="W487" s="111"/>
      <c r="X487" s="123"/>
      <c r="AI487" s="222" t="str">
        <f t="shared" si="15"/>
        <v/>
      </c>
    </row>
    <row r="488" spans="1:35" s="108" customFormat="1" ht="15.75">
      <c r="A488" s="119"/>
      <c r="B488" s="120"/>
      <c r="C488" s="111"/>
      <c r="D488" s="111"/>
      <c r="E488" s="121"/>
      <c r="F488" s="121"/>
      <c r="G488" s="113"/>
      <c r="H488" s="199" t="str">
        <f t="shared" si="14"/>
        <v/>
      </c>
      <c r="I488" s="200" t="str">
        <f>IF(H488="","",IF(AND(AI488&lt;=66),VLOOKUP(H488,'WordRead Look Up'!$A$13:$B$20,2,TRUE),IF(AND(AI488&gt;=67,AI488&lt;=72),VLOOKUP(H488,'WordRead Look Up'!$E$13:$F$20,2,TRUE),IF(AND(AI488&gt;=73,AI488&lt;=78),VLOOKUP(H488,'WordRead Look Up'!$I$13:$J$18,2,TRUE),IF(AND(AI488&gt;=79),VLOOKUP(H488,'WordRead Look Up'!$M$13:$N$18,2,TRUE),"")))))</f>
        <v/>
      </c>
      <c r="J488" s="122"/>
      <c r="K488" s="111"/>
      <c r="L488" s="111"/>
      <c r="M488" s="111"/>
      <c r="N488" s="111"/>
      <c r="O488" s="111"/>
      <c r="P488" s="111"/>
      <c r="Q488" s="111"/>
      <c r="R488" s="111"/>
      <c r="S488" s="111"/>
      <c r="T488" s="111"/>
      <c r="U488" s="111"/>
      <c r="V488" s="111"/>
      <c r="W488" s="111"/>
      <c r="X488" s="123"/>
      <c r="AI488" s="222" t="str">
        <f t="shared" si="15"/>
        <v/>
      </c>
    </row>
    <row r="489" spans="1:35" s="108" customFormat="1" ht="15.75">
      <c r="A489" s="119"/>
      <c r="B489" s="120"/>
      <c r="C489" s="111"/>
      <c r="D489" s="111"/>
      <c r="E489" s="121"/>
      <c r="F489" s="121"/>
      <c r="G489" s="113"/>
      <c r="H489" s="199" t="str">
        <f t="shared" si="14"/>
        <v/>
      </c>
      <c r="I489" s="200" t="str">
        <f>IF(H489="","",IF(AND(AI489&lt;=66),VLOOKUP(H489,'WordRead Look Up'!$A$13:$B$20,2,TRUE),IF(AND(AI489&gt;=67,AI489&lt;=72),VLOOKUP(H489,'WordRead Look Up'!$E$13:$F$20,2,TRUE),IF(AND(AI489&gt;=73,AI489&lt;=78),VLOOKUP(H489,'WordRead Look Up'!$I$13:$J$18,2,TRUE),IF(AND(AI489&gt;=79),VLOOKUP(H489,'WordRead Look Up'!$M$13:$N$18,2,TRUE),"")))))</f>
        <v/>
      </c>
      <c r="J489" s="122"/>
      <c r="K489" s="111"/>
      <c r="L489" s="111"/>
      <c r="M489" s="111"/>
      <c r="N489" s="111"/>
      <c r="O489" s="111"/>
      <c r="P489" s="111"/>
      <c r="Q489" s="111"/>
      <c r="R489" s="111"/>
      <c r="S489" s="111"/>
      <c r="T489" s="111"/>
      <c r="U489" s="111"/>
      <c r="V489" s="111"/>
      <c r="W489" s="111"/>
      <c r="X489" s="123"/>
      <c r="AI489" s="222" t="str">
        <f t="shared" si="15"/>
        <v/>
      </c>
    </row>
    <row r="490" spans="1:35" s="108" customFormat="1" ht="15.75">
      <c r="A490" s="119"/>
      <c r="B490" s="120"/>
      <c r="C490" s="111"/>
      <c r="D490" s="111"/>
      <c r="E490" s="121"/>
      <c r="F490" s="121"/>
      <c r="G490" s="113"/>
      <c r="H490" s="199" t="str">
        <f t="shared" si="14"/>
        <v/>
      </c>
      <c r="I490" s="200" t="str">
        <f>IF(H490="","",IF(AND(AI490&lt;=66),VLOOKUP(H490,'WordRead Look Up'!$A$13:$B$20,2,TRUE),IF(AND(AI490&gt;=67,AI490&lt;=72),VLOOKUP(H490,'WordRead Look Up'!$E$13:$F$20,2,TRUE),IF(AND(AI490&gt;=73,AI490&lt;=78),VLOOKUP(H490,'WordRead Look Up'!$I$13:$J$18,2,TRUE),IF(AND(AI490&gt;=79),VLOOKUP(H490,'WordRead Look Up'!$M$13:$N$18,2,TRUE),"")))))</f>
        <v/>
      </c>
      <c r="J490" s="122"/>
      <c r="K490" s="111"/>
      <c r="L490" s="111"/>
      <c r="M490" s="111"/>
      <c r="N490" s="111"/>
      <c r="O490" s="111"/>
      <c r="P490" s="111"/>
      <c r="Q490" s="111"/>
      <c r="R490" s="111"/>
      <c r="S490" s="111"/>
      <c r="T490" s="111"/>
      <c r="U490" s="111"/>
      <c r="V490" s="111"/>
      <c r="W490" s="111"/>
      <c r="X490" s="123"/>
      <c r="AI490" s="222" t="str">
        <f t="shared" si="15"/>
        <v/>
      </c>
    </row>
    <row r="491" spans="1:35" s="108" customFormat="1" ht="15.75">
      <c r="A491" s="119"/>
      <c r="B491" s="120"/>
      <c r="C491" s="111"/>
      <c r="D491" s="111"/>
      <c r="E491" s="121"/>
      <c r="F491" s="121"/>
      <c r="G491" s="113"/>
      <c r="H491" s="199" t="str">
        <f t="shared" si="14"/>
        <v/>
      </c>
      <c r="I491" s="200" t="str">
        <f>IF(H491="","",IF(AND(AI491&lt;=66),VLOOKUP(H491,'WordRead Look Up'!$A$13:$B$20,2,TRUE),IF(AND(AI491&gt;=67,AI491&lt;=72),VLOOKUP(H491,'WordRead Look Up'!$E$13:$F$20,2,TRUE),IF(AND(AI491&gt;=73,AI491&lt;=78),VLOOKUP(H491,'WordRead Look Up'!$I$13:$J$18,2,TRUE),IF(AND(AI491&gt;=79),VLOOKUP(H491,'WordRead Look Up'!$M$13:$N$18,2,TRUE),"")))))</f>
        <v/>
      </c>
      <c r="J491" s="122"/>
      <c r="K491" s="111"/>
      <c r="L491" s="111"/>
      <c r="M491" s="111"/>
      <c r="N491" s="111"/>
      <c r="O491" s="111"/>
      <c r="P491" s="111"/>
      <c r="Q491" s="111"/>
      <c r="R491" s="111"/>
      <c r="S491" s="111"/>
      <c r="T491" s="111"/>
      <c r="U491" s="111"/>
      <c r="V491" s="111"/>
      <c r="W491" s="111"/>
      <c r="X491" s="123"/>
      <c r="AI491" s="222" t="str">
        <f t="shared" si="15"/>
        <v/>
      </c>
    </row>
    <row r="492" spans="1:35" s="108" customFormat="1" ht="15.75">
      <c r="A492" s="119"/>
      <c r="B492" s="120"/>
      <c r="C492" s="111"/>
      <c r="D492" s="111"/>
      <c r="E492" s="121"/>
      <c r="F492" s="121"/>
      <c r="G492" s="113"/>
      <c r="H492" s="199" t="str">
        <f t="shared" si="14"/>
        <v/>
      </c>
      <c r="I492" s="200" t="str">
        <f>IF(H492="","",IF(AND(AI492&lt;=66),VLOOKUP(H492,'WordRead Look Up'!$A$13:$B$20,2,TRUE),IF(AND(AI492&gt;=67,AI492&lt;=72),VLOOKUP(H492,'WordRead Look Up'!$E$13:$F$20,2,TRUE),IF(AND(AI492&gt;=73,AI492&lt;=78),VLOOKUP(H492,'WordRead Look Up'!$I$13:$J$18,2,TRUE),IF(AND(AI492&gt;=79),VLOOKUP(H492,'WordRead Look Up'!$M$13:$N$18,2,TRUE),"")))))</f>
        <v/>
      </c>
      <c r="J492" s="122"/>
      <c r="K492" s="111"/>
      <c r="L492" s="111"/>
      <c r="M492" s="111"/>
      <c r="N492" s="111"/>
      <c r="O492" s="111"/>
      <c r="P492" s="111"/>
      <c r="Q492" s="111"/>
      <c r="R492" s="111"/>
      <c r="S492" s="111"/>
      <c r="T492" s="111"/>
      <c r="U492" s="111"/>
      <c r="V492" s="111"/>
      <c r="W492" s="111"/>
      <c r="X492" s="123"/>
      <c r="AI492" s="222" t="str">
        <f t="shared" si="15"/>
        <v/>
      </c>
    </row>
    <row r="493" spans="1:35" s="108" customFormat="1" ht="15.75">
      <c r="A493" s="119"/>
      <c r="B493" s="120"/>
      <c r="C493" s="111"/>
      <c r="D493" s="111"/>
      <c r="E493" s="121"/>
      <c r="F493" s="121"/>
      <c r="G493" s="113"/>
      <c r="H493" s="199" t="str">
        <f t="shared" si="14"/>
        <v/>
      </c>
      <c r="I493" s="200" t="str">
        <f>IF(H493="","",IF(AND(AI493&lt;=66),VLOOKUP(H493,'WordRead Look Up'!$A$13:$B$20,2,TRUE),IF(AND(AI493&gt;=67,AI493&lt;=72),VLOOKUP(H493,'WordRead Look Up'!$E$13:$F$20,2,TRUE),IF(AND(AI493&gt;=73,AI493&lt;=78),VLOOKUP(H493,'WordRead Look Up'!$I$13:$J$18,2,TRUE),IF(AND(AI493&gt;=79),VLOOKUP(H493,'WordRead Look Up'!$M$13:$N$18,2,TRUE),"")))))</f>
        <v/>
      </c>
      <c r="J493" s="122"/>
      <c r="K493" s="111"/>
      <c r="L493" s="111"/>
      <c r="M493" s="111"/>
      <c r="N493" s="111"/>
      <c r="O493" s="111"/>
      <c r="P493" s="111"/>
      <c r="Q493" s="111"/>
      <c r="R493" s="111"/>
      <c r="S493" s="111"/>
      <c r="T493" s="111"/>
      <c r="U493" s="111"/>
      <c r="V493" s="111"/>
      <c r="W493" s="111"/>
      <c r="X493" s="123"/>
      <c r="AI493" s="222" t="str">
        <f t="shared" si="15"/>
        <v/>
      </c>
    </row>
    <row r="494" spans="1:35" s="108" customFormat="1" ht="15.75">
      <c r="A494" s="119"/>
      <c r="B494" s="120"/>
      <c r="C494" s="111"/>
      <c r="D494" s="111"/>
      <c r="E494" s="121"/>
      <c r="F494" s="121"/>
      <c r="G494" s="113"/>
      <c r="H494" s="199" t="str">
        <f t="shared" si="14"/>
        <v/>
      </c>
      <c r="I494" s="200" t="str">
        <f>IF(H494="","",IF(AND(AI494&lt;=66),VLOOKUP(H494,'WordRead Look Up'!$A$13:$B$20,2,TRUE),IF(AND(AI494&gt;=67,AI494&lt;=72),VLOOKUP(H494,'WordRead Look Up'!$E$13:$F$20,2,TRUE),IF(AND(AI494&gt;=73,AI494&lt;=78),VLOOKUP(H494,'WordRead Look Up'!$I$13:$J$18,2,TRUE),IF(AND(AI494&gt;=79),VLOOKUP(H494,'WordRead Look Up'!$M$13:$N$18,2,TRUE),"")))))</f>
        <v/>
      </c>
      <c r="J494" s="122"/>
      <c r="K494" s="111"/>
      <c r="L494" s="111"/>
      <c r="M494" s="111"/>
      <c r="N494" s="111"/>
      <c r="O494" s="111"/>
      <c r="P494" s="111"/>
      <c r="Q494" s="111"/>
      <c r="R494" s="111"/>
      <c r="S494" s="111"/>
      <c r="T494" s="111"/>
      <c r="U494" s="111"/>
      <c r="V494" s="111"/>
      <c r="W494" s="111"/>
      <c r="X494" s="123"/>
      <c r="AI494" s="222" t="str">
        <f t="shared" si="15"/>
        <v/>
      </c>
    </row>
    <row r="495" spans="1:35" s="108" customFormat="1" ht="15.75">
      <c r="A495" s="119"/>
      <c r="B495" s="120"/>
      <c r="C495" s="111"/>
      <c r="D495" s="111"/>
      <c r="E495" s="121"/>
      <c r="F495" s="121"/>
      <c r="G495" s="113"/>
      <c r="H495" s="199" t="str">
        <f t="shared" si="14"/>
        <v/>
      </c>
      <c r="I495" s="200" t="str">
        <f>IF(H495="","",IF(AND(AI495&lt;=66),VLOOKUP(H495,'WordRead Look Up'!$A$13:$B$20,2,TRUE),IF(AND(AI495&gt;=67,AI495&lt;=72),VLOOKUP(H495,'WordRead Look Up'!$E$13:$F$20,2,TRUE),IF(AND(AI495&gt;=73,AI495&lt;=78),VLOOKUP(H495,'WordRead Look Up'!$I$13:$J$18,2,TRUE),IF(AND(AI495&gt;=79),VLOOKUP(H495,'WordRead Look Up'!$M$13:$N$18,2,TRUE),"")))))</f>
        <v/>
      </c>
      <c r="J495" s="122"/>
      <c r="K495" s="111"/>
      <c r="L495" s="111"/>
      <c r="M495" s="111"/>
      <c r="N495" s="111"/>
      <c r="O495" s="111"/>
      <c r="P495" s="111"/>
      <c r="Q495" s="111"/>
      <c r="R495" s="111"/>
      <c r="S495" s="111"/>
      <c r="T495" s="111"/>
      <c r="U495" s="111"/>
      <c r="V495" s="111"/>
      <c r="W495" s="111"/>
      <c r="X495" s="123"/>
      <c r="AI495" s="222" t="str">
        <f t="shared" si="15"/>
        <v/>
      </c>
    </row>
    <row r="496" spans="1:35" s="108" customFormat="1" ht="15.75">
      <c r="A496" s="119"/>
      <c r="B496" s="120"/>
      <c r="C496" s="111"/>
      <c r="D496" s="111"/>
      <c r="E496" s="121"/>
      <c r="F496" s="121"/>
      <c r="G496" s="113"/>
      <c r="H496" s="199" t="str">
        <f t="shared" si="14"/>
        <v/>
      </c>
      <c r="I496" s="200" t="str">
        <f>IF(H496="","",IF(AND(AI496&lt;=66),VLOOKUP(H496,'WordRead Look Up'!$A$13:$B$20,2,TRUE),IF(AND(AI496&gt;=67,AI496&lt;=72),VLOOKUP(H496,'WordRead Look Up'!$E$13:$F$20,2,TRUE),IF(AND(AI496&gt;=73,AI496&lt;=78),VLOOKUP(H496,'WordRead Look Up'!$I$13:$J$18,2,TRUE),IF(AND(AI496&gt;=79),VLOOKUP(H496,'WordRead Look Up'!$M$13:$N$18,2,TRUE),"")))))</f>
        <v/>
      </c>
      <c r="J496" s="122"/>
      <c r="K496" s="111"/>
      <c r="L496" s="111"/>
      <c r="M496" s="111"/>
      <c r="N496" s="111"/>
      <c r="O496" s="111"/>
      <c r="P496" s="111"/>
      <c r="Q496" s="111"/>
      <c r="R496" s="111"/>
      <c r="S496" s="111"/>
      <c r="T496" s="111"/>
      <c r="U496" s="111"/>
      <c r="V496" s="111"/>
      <c r="W496" s="111"/>
      <c r="X496" s="123"/>
      <c r="AI496" s="222" t="str">
        <f t="shared" si="15"/>
        <v/>
      </c>
    </row>
    <row r="497" spans="1:35" s="108" customFormat="1" ht="15.75">
      <c r="A497" s="119"/>
      <c r="B497" s="120"/>
      <c r="C497" s="111"/>
      <c r="D497" s="111"/>
      <c r="E497" s="121"/>
      <c r="F497" s="121"/>
      <c r="G497" s="113"/>
      <c r="H497" s="243" t="str">
        <f t="shared" si="14"/>
        <v/>
      </c>
      <c r="I497" s="200" t="str">
        <f>IF(H497="","",IF(AND(AI497&lt;=66),VLOOKUP(H497,'WordRead Look Up'!$A$13:$B$20,2,TRUE),IF(AND(AI497&gt;=67,AI497&lt;=72),VLOOKUP(H497,'WordRead Look Up'!$E$13:$F$20,2,TRUE),IF(AND(AI497&gt;=73,AI497&lt;=78),VLOOKUP(H497,'WordRead Look Up'!$I$13:$J$18,2,TRUE),IF(AND(AI497&gt;=79),VLOOKUP(H497,'WordRead Look Up'!$M$13:$N$18,2,TRUE),"")))))</f>
        <v/>
      </c>
      <c r="J497" s="122"/>
      <c r="K497" s="111"/>
      <c r="L497" s="111"/>
      <c r="M497" s="111"/>
      <c r="N497" s="111"/>
      <c r="O497" s="111"/>
      <c r="P497" s="111"/>
      <c r="Q497" s="111"/>
      <c r="R497" s="111"/>
      <c r="S497" s="111"/>
      <c r="T497" s="111"/>
      <c r="U497" s="111"/>
      <c r="V497" s="111"/>
      <c r="W497" s="111"/>
      <c r="X497" s="123"/>
      <c r="Z497" s="99"/>
      <c r="AI497" s="222" t="str">
        <f t="shared" si="15"/>
        <v/>
      </c>
    </row>
    <row r="498" spans="1:35" s="108" customFormat="1" ht="15.75">
      <c r="A498" s="260"/>
      <c r="B498" s="261"/>
      <c r="C498" s="262"/>
      <c r="D498" s="262"/>
      <c r="E498" s="263"/>
      <c r="F498" s="263"/>
      <c r="G498" s="296"/>
      <c r="H498" s="265" t="str">
        <f t="shared" si="14"/>
        <v/>
      </c>
      <c r="I498" s="200" t="str">
        <f>IF(H498="","",IF(AND(AI498&lt;=66),VLOOKUP(H498,'WordRead Look Up'!$A$13:$B$20,2,TRUE),IF(AND(AI498&gt;=67,AI498&lt;=72),VLOOKUP(H498,'WordRead Look Up'!$E$13:$F$20,2,TRUE),IF(AND(AI498&gt;=73,AI498&lt;=78),VLOOKUP(H498,'WordRead Look Up'!$I$13:$J$18,2,TRUE),IF(AND(AI498&gt;=79),VLOOKUP(H498,'WordRead Look Up'!$M$13:$N$18,2,TRUE),"")))))</f>
        <v/>
      </c>
      <c r="J498" s="266"/>
      <c r="K498" s="262"/>
      <c r="L498" s="262"/>
      <c r="M498" s="262"/>
      <c r="N498" s="262"/>
      <c r="O498" s="262"/>
      <c r="P498" s="262"/>
      <c r="Q498" s="262"/>
      <c r="R498" s="262"/>
      <c r="S498" s="262"/>
      <c r="T498" s="262"/>
      <c r="U498" s="262"/>
      <c r="V498" s="262"/>
      <c r="W498" s="262"/>
      <c r="X498" s="267"/>
      <c r="AI498" s="222" t="str">
        <f t="shared" si="15"/>
        <v/>
      </c>
    </row>
    <row r="499" spans="1:35" s="108" customFormat="1" ht="15.75">
      <c r="A499" s="110"/>
      <c r="B499" s="110"/>
      <c r="C499" s="111"/>
      <c r="D499" s="111"/>
      <c r="E499" s="121"/>
      <c r="F499" s="121"/>
      <c r="G499" s="113"/>
      <c r="H499" s="144" t="str">
        <f t="shared" si="14"/>
        <v/>
      </c>
      <c r="I499" s="200" t="str">
        <f>IF(H499="","",IF(AND(AI499&lt;=66),VLOOKUP(H499,'WordRead Look Up'!$A$13:$B$20,2,TRUE),IF(AND(AI499&gt;=67,AI499&lt;=72),VLOOKUP(H499,'WordRead Look Up'!$E$13:$F$20,2,TRUE),IF(AND(AI499&gt;=73,AI499&lt;=78),VLOOKUP(H499,'WordRead Look Up'!$I$13:$J$18,2,TRUE),IF(AND(AI499&gt;=79),VLOOKUP(H499,'WordRead Look Up'!$M$13:$N$18,2,TRUE),"")))))</f>
        <v/>
      </c>
      <c r="J499" s="122"/>
      <c r="K499" s="111"/>
      <c r="L499" s="111"/>
      <c r="M499" s="111"/>
      <c r="N499" s="111"/>
      <c r="O499" s="111"/>
      <c r="P499" s="111"/>
      <c r="Q499" s="111"/>
      <c r="R499" s="111"/>
      <c r="S499" s="111"/>
      <c r="T499" s="111"/>
      <c r="U499" s="111"/>
      <c r="V499" s="111"/>
      <c r="W499" s="111"/>
      <c r="X499" s="123"/>
      <c r="AI499" s="222" t="str">
        <f t="shared" si="15"/>
        <v/>
      </c>
    </row>
    <row r="500" spans="1:35" ht="16.5" thickBot="1">
      <c r="A500" s="294"/>
      <c r="B500" s="294"/>
      <c r="C500" s="126"/>
      <c r="D500" s="126"/>
      <c r="E500" s="127"/>
      <c r="F500" s="127"/>
      <c r="G500" s="128"/>
      <c r="H500" s="145" t="str">
        <f t="shared" ref="H500" si="16">IF(E500="","",COUNTIF(J500:X500,"y"))</f>
        <v/>
      </c>
      <c r="I500" s="200" t="str">
        <f>IF(H500="","",IF(AND(AI500&lt;=66),VLOOKUP(H500,'WordRead Look Up'!$A$13:$B$20,2,TRUE),IF(AND(AI500&gt;=67,AI500&lt;=72),VLOOKUP(H500,'WordRead Look Up'!$E$13:$F$20,2,TRUE),IF(AND(AI500&gt;=73,AI500&lt;=78),VLOOKUP(H500,'WordRead Look Up'!$I$13:$J$18,2,TRUE),IF(AND(AI500&gt;=79),VLOOKUP(H500,'WordRead Look Up'!$M$13:$N$18,2,TRUE),"")))))</f>
        <v/>
      </c>
      <c r="J500" s="198"/>
      <c r="K500" s="126"/>
      <c r="L500" s="126"/>
      <c r="M500" s="126"/>
      <c r="N500" s="126"/>
      <c r="O500" s="126"/>
      <c r="P500" s="126"/>
      <c r="Q500" s="126"/>
      <c r="R500" s="126"/>
      <c r="S500" s="126"/>
      <c r="T500" s="126"/>
      <c r="U500" s="126"/>
      <c r="V500" s="126"/>
      <c r="W500" s="126"/>
      <c r="X500" s="242"/>
      <c r="Y500" s="108"/>
      <c r="Z500" s="108"/>
      <c r="AA500" s="108"/>
      <c r="AB500" s="108"/>
      <c r="AC500" s="108"/>
      <c r="AD500" s="108"/>
      <c r="AE500" s="108"/>
      <c r="AF500" s="108"/>
      <c r="AG500" s="108"/>
      <c r="AH500" s="108"/>
      <c r="AI500" s="222" t="str">
        <f t="shared" ref="AI500" si="17">IF(E500="","",DATEDIF(B500,A500,"m"))</f>
        <v/>
      </c>
    </row>
  </sheetData>
  <mergeCells count="20">
    <mergeCell ref="H5:I5"/>
    <mergeCell ref="F1:H1"/>
    <mergeCell ref="J1:X1"/>
    <mergeCell ref="J3:X3"/>
    <mergeCell ref="H4:I4"/>
    <mergeCell ref="J5:J6"/>
    <mergeCell ref="K5:K6"/>
    <mergeCell ref="R5:R6"/>
    <mergeCell ref="X5:X6"/>
    <mergeCell ref="S5:S6"/>
    <mergeCell ref="T5:T6"/>
    <mergeCell ref="L5:L6"/>
    <mergeCell ref="M5:M6"/>
    <mergeCell ref="N5:N6"/>
    <mergeCell ref="O5:O6"/>
    <mergeCell ref="P5:P6"/>
    <mergeCell ref="Q5:Q6"/>
    <mergeCell ref="U5:U6"/>
    <mergeCell ref="V5:V6"/>
    <mergeCell ref="W5:W6"/>
  </mergeCells>
  <conditionalFormatting sqref="J8:X500">
    <cfRule type="cellIs" dxfId="3" priority="2" operator="equal">
      <formula>"y"</formula>
    </cfRule>
    <cfRule type="cellIs" dxfId="2" priority="3" stopIfTrue="1" operator="equal">
      <formula>"n"</formula>
    </cfRule>
  </conditionalFormatting>
  <pageMargins left="0.7" right="0.7" top="0.75" bottom="0.75" header="0.3" footer="0.3"/>
  <pageSetup paperSize="9" orientation="portrait" horizontalDpi="0" verticalDpi="0" r:id="rId1"/>
  <ignoredErrors>
    <ignoredError sqref="H8:H50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I500"/>
  <sheetViews>
    <sheetView zoomScale="80" zoomScaleNormal="80" workbookViewId="0">
      <selection activeCell="A8" sqref="A8:G18"/>
    </sheetView>
  </sheetViews>
  <sheetFormatPr defaultRowHeight="15"/>
  <cols>
    <col min="1" max="2" width="15.85546875" style="129" customWidth="1"/>
    <col min="3" max="3" width="10.7109375" style="130" customWidth="1"/>
    <col min="4" max="4" width="6.85546875" style="130" customWidth="1"/>
    <col min="5" max="6" width="13.85546875" style="131" customWidth="1"/>
    <col min="7" max="7" width="11.28515625" style="132" bestFit="1" customWidth="1"/>
    <col min="8" max="8" width="9.85546875" style="133" customWidth="1"/>
    <col min="9" max="9" width="13.7109375" style="133" customWidth="1"/>
    <col min="10" max="24" width="6.85546875" style="130" customWidth="1"/>
    <col min="25" max="25" width="5.7109375" style="135" customWidth="1"/>
    <col min="26" max="26" width="8.5703125" style="135" customWidth="1"/>
    <col min="27" max="32" width="9.140625" style="135"/>
    <col min="33" max="33" width="12.85546875" style="135" customWidth="1"/>
    <col min="34" max="34" width="8.28515625" style="135" customWidth="1"/>
    <col min="35" max="35" width="11.42578125" style="136" bestFit="1" customWidth="1"/>
    <col min="36" max="16384" width="9.140625" style="135"/>
  </cols>
  <sheetData>
    <row r="1" spans="1:35" s="45" customFormat="1" ht="27.6" customHeight="1" thickBot="1">
      <c r="A1" s="42"/>
      <c r="B1" s="42"/>
      <c r="C1" s="42"/>
      <c r="D1" s="42"/>
      <c r="E1" s="42"/>
      <c r="F1" s="347" t="s">
        <v>183</v>
      </c>
      <c r="G1" s="348"/>
      <c r="H1" s="348"/>
      <c r="I1" s="43"/>
      <c r="J1" s="349"/>
      <c r="K1" s="349"/>
      <c r="L1" s="349"/>
      <c r="M1" s="349"/>
      <c r="N1" s="349"/>
      <c r="O1" s="349"/>
      <c r="P1" s="349"/>
      <c r="Q1" s="349"/>
      <c r="R1" s="349"/>
      <c r="S1" s="349"/>
      <c r="T1" s="349"/>
      <c r="U1" s="349"/>
      <c r="V1" s="349"/>
      <c r="W1" s="349"/>
      <c r="X1" s="349"/>
      <c r="Y1" s="44"/>
      <c r="AI1" s="46"/>
    </row>
    <row r="2" spans="1:35" s="53" customFormat="1" ht="18" customHeight="1" thickBot="1">
      <c r="A2" s="47"/>
      <c r="B2" s="47"/>
      <c r="C2" s="48"/>
      <c r="D2" s="48"/>
      <c r="E2" s="49"/>
      <c r="F2" s="50"/>
      <c r="G2" s="50"/>
      <c r="H2" s="51"/>
      <c r="I2" s="51"/>
      <c r="J2" s="52"/>
      <c r="K2" s="52"/>
      <c r="L2" s="52"/>
      <c r="M2" s="52"/>
      <c r="N2" s="52"/>
      <c r="O2" s="52"/>
      <c r="P2" s="52"/>
      <c r="Q2" s="52"/>
      <c r="R2" s="52"/>
      <c r="S2" s="52"/>
      <c r="T2" s="52"/>
      <c r="U2" s="52"/>
      <c r="V2" s="52"/>
      <c r="W2" s="52"/>
      <c r="X2" s="52"/>
      <c r="AI2" s="54"/>
    </row>
    <row r="3" spans="1:35" s="58" customFormat="1" ht="98.25" customHeight="1" thickBot="1">
      <c r="A3" s="55"/>
      <c r="B3" s="55"/>
      <c r="C3" s="55"/>
      <c r="D3" s="56"/>
      <c r="E3" s="57"/>
      <c r="G3" s="59"/>
      <c r="H3" s="60"/>
      <c r="I3" s="61"/>
      <c r="J3" s="350" t="s">
        <v>192</v>
      </c>
      <c r="K3" s="350"/>
      <c r="L3" s="350"/>
      <c r="M3" s="350"/>
      <c r="N3" s="350"/>
      <c r="O3" s="350"/>
      <c r="P3" s="350"/>
      <c r="Q3" s="350"/>
      <c r="R3" s="350"/>
      <c r="S3" s="350"/>
      <c r="T3" s="350"/>
      <c r="U3" s="350"/>
      <c r="V3" s="350"/>
      <c r="W3" s="350"/>
      <c r="X3" s="351"/>
      <c r="AI3" s="62"/>
    </row>
    <row r="4" spans="1:35" s="67" customFormat="1" ht="23.25" customHeight="1" thickBot="1">
      <c r="A4" s="63"/>
      <c r="B4" s="63"/>
      <c r="C4" s="64"/>
      <c r="D4" s="64"/>
      <c r="E4" s="65"/>
      <c r="F4" s="149"/>
      <c r="G4" s="224"/>
      <c r="H4" s="387" t="s">
        <v>102</v>
      </c>
      <c r="I4" s="388"/>
      <c r="J4" s="151">
        <v>1</v>
      </c>
      <c r="K4" s="152">
        <v>2</v>
      </c>
      <c r="L4" s="152">
        <v>3</v>
      </c>
      <c r="M4" s="152">
        <v>4</v>
      </c>
      <c r="N4" s="153">
        <v>5</v>
      </c>
      <c r="O4" s="153">
        <v>6</v>
      </c>
      <c r="P4" s="153">
        <v>7</v>
      </c>
      <c r="Q4" s="153">
        <v>8</v>
      </c>
      <c r="R4" s="153">
        <v>9</v>
      </c>
      <c r="S4" s="153">
        <v>10</v>
      </c>
      <c r="T4" s="153">
        <v>11</v>
      </c>
      <c r="U4" s="153">
        <v>12</v>
      </c>
      <c r="V4" s="153">
        <v>13</v>
      </c>
      <c r="W4" s="153">
        <v>14</v>
      </c>
      <c r="X4" s="225">
        <v>15</v>
      </c>
      <c r="AI4" s="68"/>
    </row>
    <row r="5" spans="1:35" s="53" customFormat="1" ht="102" customHeight="1" thickBot="1">
      <c r="A5" s="204"/>
      <c r="B5" s="204"/>
      <c r="C5" s="205"/>
      <c r="D5" s="205"/>
      <c r="E5" s="254"/>
      <c r="F5" s="226"/>
      <c r="G5" s="227"/>
      <c r="H5" s="393" t="s">
        <v>169</v>
      </c>
      <c r="I5" s="403"/>
      <c r="J5" s="389" t="s">
        <v>168</v>
      </c>
      <c r="K5" s="383" t="s">
        <v>167</v>
      </c>
      <c r="L5" s="383" t="s">
        <v>166</v>
      </c>
      <c r="M5" s="383" t="s">
        <v>64</v>
      </c>
      <c r="N5" s="383" t="s">
        <v>165</v>
      </c>
      <c r="O5" s="383" t="s">
        <v>164</v>
      </c>
      <c r="P5" s="383" t="s">
        <v>163</v>
      </c>
      <c r="Q5" s="383" t="s">
        <v>162</v>
      </c>
      <c r="R5" s="383" t="s">
        <v>161</v>
      </c>
      <c r="S5" s="383" t="s">
        <v>160</v>
      </c>
      <c r="T5" s="383" t="s">
        <v>159</v>
      </c>
      <c r="U5" s="383" t="s">
        <v>158</v>
      </c>
      <c r="V5" s="383" t="s">
        <v>157</v>
      </c>
      <c r="W5" s="383" t="s">
        <v>156</v>
      </c>
      <c r="X5" s="391" t="s">
        <v>155</v>
      </c>
    </row>
    <row r="6" spans="1:35" s="53" customFormat="1" ht="21.75" customHeight="1" thickBot="1">
      <c r="A6" s="247" t="s">
        <v>15</v>
      </c>
      <c r="B6" s="255" t="s">
        <v>15</v>
      </c>
      <c r="C6" s="230" t="s">
        <v>15</v>
      </c>
      <c r="D6" s="250"/>
      <c r="E6" s="250" t="s">
        <v>15</v>
      </c>
      <c r="F6" s="251" t="s">
        <v>15</v>
      </c>
      <c r="G6" s="251" t="s">
        <v>15</v>
      </c>
      <c r="H6" s="233"/>
      <c r="I6" s="252"/>
      <c r="J6" s="390"/>
      <c r="K6" s="384"/>
      <c r="L6" s="384"/>
      <c r="M6" s="384"/>
      <c r="N6" s="384"/>
      <c r="O6" s="384"/>
      <c r="P6" s="384"/>
      <c r="Q6" s="384"/>
      <c r="R6" s="384"/>
      <c r="S6" s="384"/>
      <c r="T6" s="384"/>
      <c r="U6" s="384"/>
      <c r="V6" s="384"/>
      <c r="W6" s="384"/>
      <c r="X6" s="392"/>
      <c r="Y6" s="253"/>
    </row>
    <row r="7" spans="1:35" s="99" customFormat="1" ht="30.75" thickBot="1">
      <c r="A7" s="162" t="s">
        <v>14</v>
      </c>
      <c r="B7" s="163" t="s">
        <v>13</v>
      </c>
      <c r="C7" s="164" t="s">
        <v>12</v>
      </c>
      <c r="D7" s="164" t="s">
        <v>11</v>
      </c>
      <c r="E7" s="165" t="s">
        <v>10</v>
      </c>
      <c r="F7" s="235" t="s">
        <v>9</v>
      </c>
      <c r="G7" s="236" t="s">
        <v>8</v>
      </c>
      <c r="H7" s="237" t="s">
        <v>6</v>
      </c>
      <c r="I7" s="238" t="s">
        <v>5</v>
      </c>
      <c r="J7" s="169" t="s">
        <v>4</v>
      </c>
      <c r="K7" s="170" t="s">
        <v>4</v>
      </c>
      <c r="L7" s="170" t="s">
        <v>4</v>
      </c>
      <c r="M7" s="170" t="s">
        <v>4</v>
      </c>
      <c r="N7" s="170" t="s">
        <v>4</v>
      </c>
      <c r="O7" s="170" t="s">
        <v>4</v>
      </c>
      <c r="P7" s="170" t="s">
        <v>4</v>
      </c>
      <c r="Q7" s="170" t="s">
        <v>4</v>
      </c>
      <c r="R7" s="170" t="s">
        <v>4</v>
      </c>
      <c r="S7" s="170" t="s">
        <v>4</v>
      </c>
      <c r="T7" s="170" t="s">
        <v>4</v>
      </c>
      <c r="U7" s="170" t="s">
        <v>4</v>
      </c>
      <c r="V7" s="170" t="s">
        <v>4</v>
      </c>
      <c r="W7" s="170" t="s">
        <v>4</v>
      </c>
      <c r="X7" s="172" t="s">
        <v>4</v>
      </c>
      <c r="Y7" s="174">
        <f>COUNTIF(J7:X7,"y")</f>
        <v>15</v>
      </c>
      <c r="Z7" s="175" t="s">
        <v>3</v>
      </c>
      <c r="AA7" s="176"/>
      <c r="AI7" s="177" t="s">
        <v>2</v>
      </c>
    </row>
    <row r="8" spans="1:35" s="108" customFormat="1" ht="15.75">
      <c r="A8" s="178">
        <v>45950</v>
      </c>
      <c r="B8" s="178">
        <v>40959</v>
      </c>
      <c r="C8" s="179">
        <v>3</v>
      </c>
      <c r="D8" s="179"/>
      <c r="E8" s="180" t="s">
        <v>206</v>
      </c>
      <c r="F8" s="180" t="s">
        <v>207</v>
      </c>
      <c r="G8" s="181" t="s">
        <v>195</v>
      </c>
      <c r="H8" s="199">
        <f t="shared" ref="H8:H71" si="0">IF(E8="","",COUNTIF(J8:X8,"y"))</f>
        <v>0</v>
      </c>
      <c r="I8" s="200">
        <f>IF(H8="","",IF(AND(AI8&lt;=66),VLOOKUP(H8,'WordRead Look Up'!$A$13:$B$20,2,TRUE),IF(AND(AI8&gt;=67,AI8&lt;=72),VLOOKUP(H8,'WordRead Look Up'!$E$13:$F$20,2,TRUE),IF(AND(AI8&gt;=73,AI8&lt;=78),VLOOKUP(H8,'WordRead Look Up'!$I$13:$J$18,2,TRUE),IF(AND(AI8&gt;=79),VLOOKUP(H8,'WordRead Look Up'!$M$13:$N$18,2,TRUE),"")))))</f>
        <v>1</v>
      </c>
      <c r="J8" s="182"/>
      <c r="K8" s="182"/>
      <c r="L8" s="182"/>
      <c r="M8" s="182"/>
      <c r="N8" s="182"/>
      <c r="O8" s="182"/>
      <c r="P8" s="182"/>
      <c r="Q8" s="182"/>
      <c r="R8" s="182"/>
      <c r="S8" s="182"/>
      <c r="T8" s="182"/>
      <c r="U8" s="182"/>
      <c r="V8" s="182"/>
      <c r="W8" s="182"/>
      <c r="X8" s="239"/>
      <c r="AG8" s="185"/>
      <c r="AH8" s="185"/>
      <c r="AI8" s="222">
        <f t="shared" ref="AI8:AI71" si="1">IF(E8="","",DATEDIF(B8,A8,"m"))</f>
        <v>164</v>
      </c>
    </row>
    <row r="9" spans="1:35" s="108" customFormat="1" ht="15.75">
      <c r="A9" s="178">
        <v>45950</v>
      </c>
      <c r="B9" s="178">
        <v>40960</v>
      </c>
      <c r="C9" s="186">
        <v>3</v>
      </c>
      <c r="D9" s="179"/>
      <c r="E9" s="187" t="s">
        <v>208</v>
      </c>
      <c r="F9" s="187" t="s">
        <v>209</v>
      </c>
      <c r="G9" s="188" t="s">
        <v>196</v>
      </c>
      <c r="H9" s="199">
        <f t="shared" si="0"/>
        <v>0</v>
      </c>
      <c r="I9" s="200">
        <f>IF(H9="","",IF(AND(AI9&lt;=66),VLOOKUP(H9,'WordRead Look Up'!$A$13:$B$20,2,TRUE),IF(AND(AI9&gt;=67,AI9&lt;=72),VLOOKUP(H9,'WordRead Look Up'!$E$13:$F$20,2,TRUE),IF(AND(AI9&gt;=73,AI9&lt;=78),VLOOKUP(H9,'WordRead Look Up'!$I$13:$J$18,2,TRUE),IF(AND(AI9&gt;=79),VLOOKUP(H9,'WordRead Look Up'!$M$13:$N$18,2,TRUE),"")))))</f>
        <v>1</v>
      </c>
      <c r="J9" s="182"/>
      <c r="K9" s="182"/>
      <c r="L9" s="182"/>
      <c r="M9" s="182"/>
      <c r="N9" s="182"/>
      <c r="O9" s="182"/>
      <c r="P9" s="182"/>
      <c r="Q9" s="182"/>
      <c r="R9" s="182"/>
      <c r="S9" s="182"/>
      <c r="T9" s="182"/>
      <c r="U9" s="182"/>
      <c r="V9" s="182"/>
      <c r="W9" s="182"/>
      <c r="X9" s="239"/>
      <c r="AG9" s="185"/>
      <c r="AH9" s="185"/>
      <c r="AI9" s="222">
        <f t="shared" si="1"/>
        <v>163</v>
      </c>
    </row>
    <row r="10" spans="1:35" s="108" customFormat="1" ht="15.75">
      <c r="A10" s="178">
        <v>45950</v>
      </c>
      <c r="B10" s="178">
        <v>40961</v>
      </c>
      <c r="C10" s="186">
        <v>3</v>
      </c>
      <c r="D10" s="179"/>
      <c r="E10" s="187" t="s">
        <v>210</v>
      </c>
      <c r="F10" s="187" t="s">
        <v>211</v>
      </c>
      <c r="G10" s="188" t="s">
        <v>197</v>
      </c>
      <c r="H10" s="199">
        <f t="shared" si="0"/>
        <v>0</v>
      </c>
      <c r="I10" s="200">
        <f>IF(H10="","",IF(AND(AI10&lt;=66),VLOOKUP(H10,'WordRead Look Up'!$A$13:$B$20,2,TRUE),IF(AND(AI10&gt;=67,AI10&lt;=72),VLOOKUP(H10,'WordRead Look Up'!$E$13:$F$20,2,TRUE),IF(AND(AI10&gt;=73,AI10&lt;=78),VLOOKUP(H10,'WordRead Look Up'!$I$13:$J$18,2,TRUE),IF(AND(AI10&gt;=79),VLOOKUP(H10,'WordRead Look Up'!$M$13:$N$18,2,TRUE),"")))))</f>
        <v>1</v>
      </c>
      <c r="J10" s="182"/>
      <c r="K10" s="182"/>
      <c r="L10" s="182"/>
      <c r="M10" s="182"/>
      <c r="N10" s="182"/>
      <c r="O10" s="182"/>
      <c r="P10" s="182"/>
      <c r="Q10" s="182"/>
      <c r="R10" s="182"/>
      <c r="S10" s="182"/>
      <c r="T10" s="182"/>
      <c r="U10" s="182"/>
      <c r="V10" s="182"/>
      <c r="W10" s="182"/>
      <c r="X10" s="239"/>
      <c r="AA10" s="99"/>
      <c r="AG10" s="185"/>
      <c r="AH10" s="185"/>
      <c r="AI10" s="222">
        <f t="shared" si="1"/>
        <v>163</v>
      </c>
    </row>
    <row r="11" spans="1:35" s="108" customFormat="1" ht="15.75">
      <c r="A11" s="178">
        <v>45950</v>
      </c>
      <c r="B11" s="178">
        <v>40962</v>
      </c>
      <c r="C11" s="186">
        <v>3</v>
      </c>
      <c r="D11" s="179"/>
      <c r="E11" s="187" t="s">
        <v>212</v>
      </c>
      <c r="F11" s="187" t="s">
        <v>213</v>
      </c>
      <c r="G11" s="188" t="s">
        <v>198</v>
      </c>
      <c r="H11" s="199">
        <f t="shared" si="0"/>
        <v>0</v>
      </c>
      <c r="I11" s="200">
        <f>IF(H11="","",IF(AND(AI11&lt;=66),VLOOKUP(H11,'WordRead Look Up'!$A$13:$B$20,2,TRUE),IF(AND(AI11&gt;=67,AI11&lt;=72),VLOOKUP(H11,'WordRead Look Up'!$E$13:$F$20,2,TRUE),IF(AND(AI11&gt;=73,AI11&lt;=78),VLOOKUP(H11,'WordRead Look Up'!$I$13:$J$18,2,TRUE),IF(AND(AI11&gt;=79),VLOOKUP(H11,'WordRead Look Up'!$M$13:$N$18,2,TRUE),"")))))</f>
        <v>1</v>
      </c>
      <c r="J11" s="182"/>
      <c r="K11" s="182"/>
      <c r="L11" s="182"/>
      <c r="M11" s="182"/>
      <c r="N11" s="182"/>
      <c r="O11" s="182"/>
      <c r="P11" s="182"/>
      <c r="Q11" s="182"/>
      <c r="R11" s="182"/>
      <c r="S11" s="182"/>
      <c r="T11" s="182"/>
      <c r="U11" s="182"/>
      <c r="V11" s="182"/>
      <c r="W11" s="182"/>
      <c r="X11" s="239"/>
      <c r="AG11" s="185"/>
      <c r="AH11" s="185"/>
      <c r="AI11" s="222">
        <f t="shared" si="1"/>
        <v>163</v>
      </c>
    </row>
    <row r="12" spans="1:35" s="108" customFormat="1" ht="15.75">
      <c r="A12" s="178">
        <v>45950</v>
      </c>
      <c r="B12" s="189">
        <v>40970</v>
      </c>
      <c r="C12" s="186">
        <v>3</v>
      </c>
      <c r="D12" s="179"/>
      <c r="E12" s="187" t="s">
        <v>214</v>
      </c>
      <c r="F12" s="187" t="s">
        <v>215</v>
      </c>
      <c r="G12" s="188" t="s">
        <v>199</v>
      </c>
      <c r="H12" s="199">
        <f t="shared" si="0"/>
        <v>0</v>
      </c>
      <c r="I12" s="200">
        <f>IF(H12="","",IF(AND(AI12&lt;=66),VLOOKUP(H12,'WordRead Look Up'!$A$13:$B$20,2,TRUE),IF(AND(AI12&gt;=67,AI12&lt;=72),VLOOKUP(H12,'WordRead Look Up'!$E$13:$F$20,2,TRUE),IF(AND(AI12&gt;=73,AI12&lt;=78),VLOOKUP(H12,'WordRead Look Up'!$I$13:$J$18,2,TRUE),IF(AND(AI12&gt;=79),VLOOKUP(H12,'WordRead Look Up'!$M$13:$N$18,2,TRUE),"")))))</f>
        <v>1</v>
      </c>
      <c r="J12" s="182"/>
      <c r="K12" s="182"/>
      <c r="L12" s="182"/>
      <c r="M12" s="182"/>
      <c r="N12" s="182"/>
      <c r="O12" s="182"/>
      <c r="P12" s="182"/>
      <c r="Q12" s="182"/>
      <c r="R12" s="182"/>
      <c r="S12" s="182"/>
      <c r="T12" s="182"/>
      <c r="U12" s="182"/>
      <c r="V12" s="182"/>
      <c r="W12" s="182"/>
      <c r="X12" s="239"/>
      <c r="AG12" s="185"/>
      <c r="AH12" s="185"/>
      <c r="AI12" s="222">
        <f t="shared" si="1"/>
        <v>163</v>
      </c>
    </row>
    <row r="13" spans="1:35" s="108" customFormat="1" ht="15.75">
      <c r="A13" s="178">
        <v>45950</v>
      </c>
      <c r="B13" s="189">
        <v>40963</v>
      </c>
      <c r="C13" s="186">
        <v>3</v>
      </c>
      <c r="D13" s="179"/>
      <c r="E13" s="187" t="s">
        <v>216</v>
      </c>
      <c r="F13" s="187" t="s">
        <v>217</v>
      </c>
      <c r="G13" s="188" t="s">
        <v>200</v>
      </c>
      <c r="H13" s="199">
        <f t="shared" si="0"/>
        <v>0</v>
      </c>
      <c r="I13" s="200">
        <f>IF(H13="","",IF(AND(AI13&lt;=66),VLOOKUP(H13,'WordRead Look Up'!$A$13:$B$20,2,TRUE),IF(AND(AI13&gt;=67,AI13&lt;=72),VLOOKUP(H13,'WordRead Look Up'!$E$13:$F$20,2,TRUE),IF(AND(AI13&gt;=73,AI13&lt;=78),VLOOKUP(H13,'WordRead Look Up'!$I$13:$J$18,2,TRUE),IF(AND(AI13&gt;=79),VLOOKUP(H13,'WordRead Look Up'!$M$13:$N$18,2,TRUE),"")))))</f>
        <v>1</v>
      </c>
      <c r="J13" s="182"/>
      <c r="K13" s="182"/>
      <c r="L13" s="182"/>
      <c r="M13" s="182"/>
      <c r="N13" s="182"/>
      <c r="O13" s="182"/>
      <c r="P13" s="182"/>
      <c r="Q13" s="182"/>
      <c r="R13" s="182"/>
      <c r="S13" s="182"/>
      <c r="T13" s="182"/>
      <c r="U13" s="182"/>
      <c r="V13" s="182"/>
      <c r="W13" s="182"/>
      <c r="X13" s="239"/>
      <c r="AG13" s="185"/>
      <c r="AH13" s="185"/>
      <c r="AI13" s="222">
        <f t="shared" si="1"/>
        <v>163</v>
      </c>
    </row>
    <row r="14" spans="1:35" s="108" customFormat="1" ht="15.75">
      <c r="A14" s="178">
        <v>45950</v>
      </c>
      <c r="B14" s="189">
        <v>40964</v>
      </c>
      <c r="C14" s="186">
        <v>3</v>
      </c>
      <c r="D14" s="179"/>
      <c r="E14" s="187" t="s">
        <v>218</v>
      </c>
      <c r="F14" s="187" t="s">
        <v>219</v>
      </c>
      <c r="G14" s="188" t="s">
        <v>201</v>
      </c>
      <c r="H14" s="199">
        <f t="shared" si="0"/>
        <v>0</v>
      </c>
      <c r="I14" s="200">
        <f>IF(H14="","",IF(AND(AI14&lt;=66),VLOOKUP(H14,'WordRead Look Up'!$A$13:$B$20,2,TRUE),IF(AND(AI14&gt;=67,AI14&lt;=72),VLOOKUP(H14,'WordRead Look Up'!$E$13:$F$20,2,TRUE),IF(AND(AI14&gt;=73,AI14&lt;=78),VLOOKUP(H14,'WordRead Look Up'!$I$13:$J$18,2,TRUE),IF(AND(AI14&gt;=79),VLOOKUP(H14,'WordRead Look Up'!$M$13:$N$18,2,TRUE),"")))))</f>
        <v>1</v>
      </c>
      <c r="J14" s="182"/>
      <c r="K14" s="182"/>
      <c r="L14" s="182"/>
      <c r="M14" s="182"/>
      <c r="N14" s="182"/>
      <c r="O14" s="182"/>
      <c r="P14" s="182"/>
      <c r="Q14" s="182"/>
      <c r="R14" s="182"/>
      <c r="S14" s="182"/>
      <c r="T14" s="182"/>
      <c r="U14" s="182"/>
      <c r="V14" s="182"/>
      <c r="W14" s="182"/>
      <c r="X14" s="239"/>
      <c r="AG14" s="185"/>
      <c r="AH14" s="185"/>
      <c r="AI14" s="222">
        <f t="shared" si="1"/>
        <v>163</v>
      </c>
    </row>
    <row r="15" spans="1:35" s="108" customFormat="1" ht="15.75">
      <c r="A15" s="178">
        <v>45950</v>
      </c>
      <c r="B15" s="189">
        <v>40965</v>
      </c>
      <c r="C15" s="186">
        <v>3</v>
      </c>
      <c r="D15" s="186"/>
      <c r="E15" s="187" t="s">
        <v>220</v>
      </c>
      <c r="F15" s="187" t="s">
        <v>221</v>
      </c>
      <c r="G15" s="188" t="s">
        <v>202</v>
      </c>
      <c r="H15" s="199">
        <f t="shared" si="0"/>
        <v>0</v>
      </c>
      <c r="I15" s="200">
        <f>IF(H15="","",IF(AND(AI15&lt;=66),VLOOKUP(H15,'WordRead Look Up'!$A$13:$B$20,2,TRUE),IF(AND(AI15&gt;=67,AI15&lt;=72),VLOOKUP(H15,'WordRead Look Up'!$E$13:$F$20,2,TRUE),IF(AND(AI15&gt;=73,AI15&lt;=78),VLOOKUP(H15,'WordRead Look Up'!$I$13:$J$18,2,TRUE),IF(AND(AI15&gt;=79),VLOOKUP(H15,'WordRead Look Up'!$M$13:$N$18,2,TRUE),"")))))</f>
        <v>1</v>
      </c>
      <c r="J15" s="182"/>
      <c r="K15" s="182"/>
      <c r="L15" s="182"/>
      <c r="M15" s="182"/>
      <c r="N15" s="182"/>
      <c r="O15" s="182"/>
      <c r="P15" s="182"/>
      <c r="Q15" s="182"/>
      <c r="R15" s="182"/>
      <c r="S15" s="182"/>
      <c r="T15" s="182"/>
      <c r="U15" s="182"/>
      <c r="V15" s="182"/>
      <c r="W15" s="182"/>
      <c r="X15" s="239"/>
      <c r="AG15" s="185"/>
      <c r="AH15" s="185"/>
      <c r="AI15" s="222">
        <f t="shared" si="1"/>
        <v>163</v>
      </c>
    </row>
    <row r="16" spans="1:35" s="108" customFormat="1" ht="15.75">
      <c r="A16" s="178">
        <v>45950</v>
      </c>
      <c r="B16" s="189">
        <v>40966</v>
      </c>
      <c r="C16" s="186">
        <v>3</v>
      </c>
      <c r="D16" s="186"/>
      <c r="E16" s="187" t="s">
        <v>222</v>
      </c>
      <c r="F16" s="187" t="s">
        <v>223</v>
      </c>
      <c r="G16" s="188" t="s">
        <v>203</v>
      </c>
      <c r="H16" s="199">
        <f t="shared" si="0"/>
        <v>0</v>
      </c>
      <c r="I16" s="200">
        <f>IF(H16="","",IF(AND(AI16&lt;=66),VLOOKUP(H16,'WordRead Look Up'!$A$13:$B$20,2,TRUE),IF(AND(AI16&gt;=67,AI16&lt;=72),VLOOKUP(H16,'WordRead Look Up'!$E$13:$F$20,2,TRUE),IF(AND(AI16&gt;=73,AI16&lt;=78),VLOOKUP(H16,'WordRead Look Up'!$I$13:$J$18,2,TRUE),IF(AND(AI16&gt;=79),VLOOKUP(H16,'WordRead Look Up'!$M$13:$N$18,2,TRUE),"")))))</f>
        <v>1</v>
      </c>
      <c r="J16" s="182"/>
      <c r="K16" s="182"/>
      <c r="L16" s="182"/>
      <c r="M16" s="182"/>
      <c r="N16" s="182"/>
      <c r="O16" s="182"/>
      <c r="P16" s="182"/>
      <c r="Q16" s="182"/>
      <c r="R16" s="182"/>
      <c r="S16" s="182"/>
      <c r="T16" s="182"/>
      <c r="U16" s="182"/>
      <c r="V16" s="182"/>
      <c r="W16" s="182"/>
      <c r="X16" s="239"/>
      <c r="AG16" s="185"/>
      <c r="AH16" s="185"/>
      <c r="AI16" s="222">
        <f t="shared" si="1"/>
        <v>163</v>
      </c>
    </row>
    <row r="17" spans="1:35" s="108" customFormat="1" ht="15.75">
      <c r="A17" s="178">
        <v>45950</v>
      </c>
      <c r="B17" s="189">
        <v>40967</v>
      </c>
      <c r="C17" s="186">
        <v>3</v>
      </c>
      <c r="D17" s="186"/>
      <c r="E17" s="187" t="s">
        <v>224</v>
      </c>
      <c r="F17" s="187" t="s">
        <v>225</v>
      </c>
      <c r="G17" s="188" t="s">
        <v>204</v>
      </c>
      <c r="H17" s="199">
        <f t="shared" si="0"/>
        <v>0</v>
      </c>
      <c r="I17" s="200">
        <f>IF(H17="","",IF(AND(AI17&lt;=66),VLOOKUP(H17,'WordRead Look Up'!$A$13:$B$20,2,TRUE),IF(AND(AI17&gt;=67,AI17&lt;=72),VLOOKUP(H17,'WordRead Look Up'!$E$13:$F$20,2,TRUE),IF(AND(AI17&gt;=73,AI17&lt;=78),VLOOKUP(H17,'WordRead Look Up'!$I$13:$J$18,2,TRUE),IF(AND(AI17&gt;=79),VLOOKUP(H17,'WordRead Look Up'!$M$13:$N$18,2,TRUE),"")))))</f>
        <v>1</v>
      </c>
      <c r="J17" s="182"/>
      <c r="K17" s="182"/>
      <c r="L17" s="182"/>
      <c r="M17" s="182"/>
      <c r="N17" s="182"/>
      <c r="O17" s="182"/>
      <c r="P17" s="182"/>
      <c r="Q17" s="182"/>
      <c r="R17" s="182"/>
      <c r="S17" s="182"/>
      <c r="T17" s="182"/>
      <c r="U17" s="182"/>
      <c r="V17" s="182"/>
      <c r="W17" s="182"/>
      <c r="X17" s="239"/>
      <c r="AG17" s="185"/>
      <c r="AH17" s="185"/>
      <c r="AI17" s="222">
        <f t="shared" si="1"/>
        <v>163</v>
      </c>
    </row>
    <row r="18" spans="1:35" s="108" customFormat="1" ht="15.75">
      <c r="A18" s="178">
        <v>45950</v>
      </c>
      <c r="B18" s="189">
        <v>40968</v>
      </c>
      <c r="C18" s="186">
        <v>3</v>
      </c>
      <c r="D18" s="186"/>
      <c r="E18" s="187" t="s">
        <v>226</v>
      </c>
      <c r="F18" s="187" t="s">
        <v>227</v>
      </c>
      <c r="G18" s="188" t="s">
        <v>205</v>
      </c>
      <c r="H18" s="199">
        <f t="shared" si="0"/>
        <v>0</v>
      </c>
      <c r="I18" s="200">
        <f>IF(H18="","",IF(AND(AI18&lt;=66),VLOOKUP(H18,'WordRead Look Up'!$A$13:$B$20,2,TRUE),IF(AND(AI18&gt;=67,AI18&lt;=72),VLOOKUP(H18,'WordRead Look Up'!$E$13:$F$20,2,TRUE),IF(AND(AI18&gt;=73,AI18&lt;=78),VLOOKUP(H18,'WordRead Look Up'!$I$13:$J$18,2,TRUE),IF(AND(AI18&gt;=79),VLOOKUP(H18,'WordRead Look Up'!$M$13:$N$18,2,TRUE),"")))))</f>
        <v>1</v>
      </c>
      <c r="J18" s="182"/>
      <c r="K18" s="182"/>
      <c r="L18" s="182"/>
      <c r="M18" s="182"/>
      <c r="N18" s="182"/>
      <c r="O18" s="182"/>
      <c r="P18" s="182"/>
      <c r="Q18" s="182"/>
      <c r="R18" s="182"/>
      <c r="S18" s="182"/>
      <c r="T18" s="182"/>
      <c r="U18" s="182"/>
      <c r="V18" s="182"/>
      <c r="W18" s="182"/>
      <c r="X18" s="239"/>
      <c r="AG18" s="185"/>
      <c r="AH18" s="185"/>
      <c r="AI18" s="222">
        <f t="shared" si="1"/>
        <v>163</v>
      </c>
    </row>
    <row r="19" spans="1:35" s="108" customFormat="1" ht="15.75">
      <c r="A19" s="178"/>
      <c r="B19" s="189"/>
      <c r="C19" s="186"/>
      <c r="D19" s="186"/>
      <c r="E19" s="187"/>
      <c r="F19" s="187"/>
      <c r="G19" s="188"/>
      <c r="H19" s="199" t="str">
        <f t="shared" si="0"/>
        <v/>
      </c>
      <c r="I19" s="200" t="str">
        <f>IF(H19="","",IF(AND(AI19&lt;=66),VLOOKUP(H19,'WordRead Look Up'!$A$13:$B$20,2,TRUE),IF(AND(AI19&gt;=67,AI19&lt;=72),VLOOKUP(H19,'WordRead Look Up'!$E$13:$F$20,2,TRUE),IF(AND(AI19&gt;=73,AI19&lt;=78),VLOOKUP(H19,'WordRead Look Up'!$I$13:$J$18,2,TRUE),IF(AND(AI19&gt;=79),VLOOKUP(H19,'WordRead Look Up'!$M$13:$N$18,2,TRUE),"")))))</f>
        <v/>
      </c>
      <c r="J19" s="182"/>
      <c r="K19" s="182"/>
      <c r="L19" s="182"/>
      <c r="M19" s="182"/>
      <c r="N19" s="182"/>
      <c r="O19" s="182"/>
      <c r="P19" s="182"/>
      <c r="Q19" s="182"/>
      <c r="R19" s="182"/>
      <c r="S19" s="182"/>
      <c r="T19" s="182"/>
      <c r="U19" s="182"/>
      <c r="V19" s="182"/>
      <c r="W19" s="182"/>
      <c r="X19" s="239"/>
      <c r="AG19" s="185"/>
      <c r="AH19" s="185"/>
      <c r="AI19" s="222" t="str">
        <f t="shared" si="1"/>
        <v/>
      </c>
    </row>
    <row r="20" spans="1:35" s="108" customFormat="1" ht="15.75">
      <c r="A20" s="178"/>
      <c r="B20" s="178"/>
      <c r="C20" s="186"/>
      <c r="D20" s="179"/>
      <c r="E20" s="187"/>
      <c r="F20" s="187"/>
      <c r="G20" s="188"/>
      <c r="H20" s="199" t="str">
        <f t="shared" si="0"/>
        <v/>
      </c>
      <c r="I20" s="200" t="str">
        <f>IF(H20="","",IF(AND(AI20&lt;=66),VLOOKUP(H20,'WordRead Look Up'!$A$13:$B$20,2,TRUE),IF(AND(AI20&gt;=67,AI20&lt;=72),VLOOKUP(H20,'WordRead Look Up'!$E$13:$F$20,2,TRUE),IF(AND(AI20&gt;=73,AI20&lt;=78),VLOOKUP(H20,'WordRead Look Up'!$I$13:$J$18,2,TRUE),IF(AND(AI20&gt;=79),VLOOKUP(H20,'WordRead Look Up'!$M$13:$N$18,2,TRUE),"")))))</f>
        <v/>
      </c>
      <c r="J20" s="182"/>
      <c r="K20" s="182"/>
      <c r="L20" s="182"/>
      <c r="M20" s="182"/>
      <c r="N20" s="182"/>
      <c r="O20" s="182"/>
      <c r="P20" s="182"/>
      <c r="Q20" s="182"/>
      <c r="R20" s="182"/>
      <c r="S20" s="182"/>
      <c r="T20" s="182"/>
      <c r="U20" s="182"/>
      <c r="V20" s="182"/>
      <c r="W20" s="182"/>
      <c r="X20" s="239"/>
      <c r="AG20" s="185"/>
      <c r="AH20" s="185"/>
      <c r="AI20" s="222" t="str">
        <f t="shared" si="1"/>
        <v/>
      </c>
    </row>
    <row r="21" spans="1:35" s="108" customFormat="1" ht="15.75">
      <c r="A21" s="178"/>
      <c r="B21" s="178"/>
      <c r="C21" s="186"/>
      <c r="D21" s="179"/>
      <c r="E21" s="187"/>
      <c r="F21" s="187"/>
      <c r="G21" s="188"/>
      <c r="H21" s="199" t="str">
        <f t="shared" si="0"/>
        <v/>
      </c>
      <c r="I21" s="200" t="str">
        <f>IF(H21="","",IF(AND(AI21&lt;=66),VLOOKUP(H21,'WordRead Look Up'!$A$13:$B$20,2,TRUE),IF(AND(AI21&gt;=67,AI21&lt;=72),VLOOKUP(H21,'WordRead Look Up'!$E$13:$F$20,2,TRUE),IF(AND(AI21&gt;=73,AI21&lt;=78),VLOOKUP(H21,'WordRead Look Up'!$I$13:$J$18,2,TRUE),IF(AND(AI21&gt;=79),VLOOKUP(H21,'WordRead Look Up'!$M$13:$N$18,2,TRUE),"")))))</f>
        <v/>
      </c>
      <c r="J21" s="182"/>
      <c r="K21" s="182"/>
      <c r="L21" s="182"/>
      <c r="M21" s="182"/>
      <c r="N21" s="182"/>
      <c r="O21" s="182"/>
      <c r="P21" s="182"/>
      <c r="Q21" s="182"/>
      <c r="R21" s="182"/>
      <c r="S21" s="182"/>
      <c r="T21" s="182"/>
      <c r="U21" s="182"/>
      <c r="V21" s="182"/>
      <c r="W21" s="182"/>
      <c r="X21" s="239"/>
      <c r="AG21" s="185"/>
      <c r="AH21" s="185"/>
      <c r="AI21" s="222" t="str">
        <f t="shared" si="1"/>
        <v/>
      </c>
    </row>
    <row r="22" spans="1:35" s="108" customFormat="1" ht="15.75">
      <c r="A22" s="178"/>
      <c r="B22" s="178"/>
      <c r="C22" s="186"/>
      <c r="D22" s="179"/>
      <c r="E22" s="187"/>
      <c r="F22" s="187"/>
      <c r="G22" s="188"/>
      <c r="H22" s="199" t="str">
        <f t="shared" si="0"/>
        <v/>
      </c>
      <c r="I22" s="200" t="str">
        <f>IF(H22="","",IF(AND(AI22&lt;=66),VLOOKUP(H22,'WordRead Look Up'!$A$13:$B$20,2,TRUE),IF(AND(AI22&gt;=67,AI22&lt;=72),VLOOKUP(H22,'WordRead Look Up'!$E$13:$F$20,2,TRUE),IF(AND(AI22&gt;=73,AI22&lt;=78),VLOOKUP(H22,'WordRead Look Up'!$I$13:$J$18,2,TRUE),IF(AND(AI22&gt;=79),VLOOKUP(H22,'WordRead Look Up'!$M$13:$N$18,2,TRUE),"")))))</f>
        <v/>
      </c>
      <c r="J22" s="182"/>
      <c r="K22" s="182"/>
      <c r="L22" s="182"/>
      <c r="M22" s="182"/>
      <c r="N22" s="182"/>
      <c r="O22" s="182"/>
      <c r="P22" s="182"/>
      <c r="Q22" s="182"/>
      <c r="R22" s="182"/>
      <c r="S22" s="182"/>
      <c r="T22" s="182"/>
      <c r="U22" s="182"/>
      <c r="V22" s="182"/>
      <c r="W22" s="182"/>
      <c r="X22" s="239"/>
      <c r="AG22" s="185"/>
      <c r="AH22" s="185"/>
      <c r="AI22" s="222" t="str">
        <f t="shared" si="1"/>
        <v/>
      </c>
    </row>
    <row r="23" spans="1:35" s="108" customFormat="1" ht="15.75">
      <c r="A23" s="178"/>
      <c r="B23" s="189"/>
      <c r="C23" s="186"/>
      <c r="D23" s="179"/>
      <c r="E23" s="187"/>
      <c r="F23" s="187"/>
      <c r="G23" s="188"/>
      <c r="H23" s="199" t="str">
        <f t="shared" si="0"/>
        <v/>
      </c>
      <c r="I23" s="200" t="str">
        <f>IF(H23="","",IF(AND(AI23&lt;=66),VLOOKUP(H23,'WordRead Look Up'!$A$13:$B$20,2,TRUE),IF(AND(AI23&gt;=67,AI23&lt;=72),VLOOKUP(H23,'WordRead Look Up'!$E$13:$F$20,2,TRUE),IF(AND(AI23&gt;=73,AI23&lt;=78),VLOOKUP(H23,'WordRead Look Up'!$I$13:$J$18,2,TRUE),IF(AND(AI23&gt;=79),VLOOKUP(H23,'WordRead Look Up'!$M$13:$N$18,2,TRUE),"")))))</f>
        <v/>
      </c>
      <c r="J23" s="182"/>
      <c r="K23" s="182"/>
      <c r="L23" s="182"/>
      <c r="M23" s="182"/>
      <c r="N23" s="182"/>
      <c r="O23" s="182"/>
      <c r="P23" s="182"/>
      <c r="Q23" s="182"/>
      <c r="R23" s="182"/>
      <c r="S23" s="182"/>
      <c r="T23" s="182"/>
      <c r="U23" s="182"/>
      <c r="V23" s="182"/>
      <c r="W23" s="182"/>
      <c r="X23" s="239"/>
      <c r="AG23" s="185"/>
      <c r="AH23" s="185"/>
      <c r="AI23" s="222" t="str">
        <f t="shared" si="1"/>
        <v/>
      </c>
    </row>
    <row r="24" spans="1:35" s="108" customFormat="1" ht="15.75">
      <c r="A24" s="178"/>
      <c r="B24" s="189"/>
      <c r="C24" s="186"/>
      <c r="D24" s="179"/>
      <c r="E24" s="187"/>
      <c r="F24" s="187"/>
      <c r="G24" s="188"/>
      <c r="H24" s="199" t="str">
        <f t="shared" si="0"/>
        <v/>
      </c>
      <c r="I24" s="200" t="str">
        <f>IF(H24="","",IF(AND(AI24&lt;=66),VLOOKUP(H24,'WordRead Look Up'!$A$13:$B$20,2,TRUE),IF(AND(AI24&gt;=67,AI24&lt;=72),VLOOKUP(H24,'WordRead Look Up'!$E$13:$F$20,2,TRUE),IF(AND(AI24&gt;=73,AI24&lt;=78),VLOOKUP(H24,'WordRead Look Up'!$I$13:$J$18,2,TRUE),IF(AND(AI24&gt;=79),VLOOKUP(H24,'WordRead Look Up'!$M$13:$N$18,2,TRUE),"")))))</f>
        <v/>
      </c>
      <c r="J24" s="182"/>
      <c r="K24" s="182"/>
      <c r="L24" s="182"/>
      <c r="M24" s="182"/>
      <c r="N24" s="182"/>
      <c r="O24" s="182"/>
      <c r="P24" s="182"/>
      <c r="Q24" s="182"/>
      <c r="R24" s="182"/>
      <c r="S24" s="182"/>
      <c r="T24" s="182"/>
      <c r="U24" s="182"/>
      <c r="V24" s="182"/>
      <c r="W24" s="182"/>
      <c r="X24" s="239"/>
      <c r="AG24" s="185"/>
      <c r="AH24" s="185"/>
      <c r="AI24" s="222" t="str">
        <f t="shared" si="1"/>
        <v/>
      </c>
    </row>
    <row r="25" spans="1:35" s="108" customFormat="1" ht="15.75">
      <c r="A25" s="178"/>
      <c r="B25" s="189"/>
      <c r="C25" s="186"/>
      <c r="D25" s="179"/>
      <c r="E25" s="187"/>
      <c r="F25" s="187"/>
      <c r="G25" s="188"/>
      <c r="H25" s="199" t="str">
        <f t="shared" si="0"/>
        <v/>
      </c>
      <c r="I25" s="200" t="str">
        <f>IF(H25="","",IF(AND(AI25&lt;=66),VLOOKUP(H25,'WordRead Look Up'!$A$13:$B$20,2,TRUE),IF(AND(AI25&gt;=67,AI25&lt;=72),VLOOKUP(H25,'WordRead Look Up'!$E$13:$F$20,2,TRUE),IF(AND(AI25&gt;=73,AI25&lt;=78),VLOOKUP(H25,'WordRead Look Up'!$I$13:$J$18,2,TRUE),IF(AND(AI25&gt;=79),VLOOKUP(H25,'WordRead Look Up'!$M$13:$N$18,2,TRUE),"")))))</f>
        <v/>
      </c>
      <c r="J25" s="182"/>
      <c r="K25" s="182"/>
      <c r="L25" s="182"/>
      <c r="M25" s="182"/>
      <c r="N25" s="182"/>
      <c r="O25" s="182"/>
      <c r="P25" s="182"/>
      <c r="Q25" s="182"/>
      <c r="R25" s="182"/>
      <c r="S25" s="182"/>
      <c r="T25" s="182"/>
      <c r="U25" s="182"/>
      <c r="V25" s="182"/>
      <c r="W25" s="182"/>
      <c r="X25" s="239"/>
      <c r="AG25" s="185"/>
      <c r="AH25" s="185"/>
      <c r="AI25" s="222" t="str">
        <f t="shared" si="1"/>
        <v/>
      </c>
    </row>
    <row r="26" spans="1:35" s="108" customFormat="1" ht="15.75">
      <c r="A26" s="178"/>
      <c r="B26" s="189"/>
      <c r="C26" s="186"/>
      <c r="D26" s="186"/>
      <c r="E26" s="187"/>
      <c r="F26" s="187"/>
      <c r="G26" s="188"/>
      <c r="H26" s="199" t="str">
        <f t="shared" si="0"/>
        <v/>
      </c>
      <c r="I26" s="200" t="str">
        <f>IF(H26="","",IF(AND(AI26&lt;=66),VLOOKUP(H26,'WordRead Look Up'!$A$13:$B$20,2,TRUE),IF(AND(AI26&gt;=67,AI26&lt;=72),VLOOKUP(H26,'WordRead Look Up'!$E$13:$F$20,2,TRUE),IF(AND(AI26&gt;=73,AI26&lt;=78),VLOOKUP(H26,'WordRead Look Up'!$I$13:$J$18,2,TRUE),IF(AND(AI26&gt;=79),VLOOKUP(H26,'WordRead Look Up'!$M$13:$N$18,2,TRUE),"")))))</f>
        <v/>
      </c>
      <c r="J26" s="182"/>
      <c r="K26" s="182"/>
      <c r="L26" s="182"/>
      <c r="M26" s="182"/>
      <c r="N26" s="182"/>
      <c r="O26" s="182"/>
      <c r="P26" s="182"/>
      <c r="Q26" s="182"/>
      <c r="R26" s="182"/>
      <c r="S26" s="182"/>
      <c r="T26" s="182"/>
      <c r="U26" s="182"/>
      <c r="V26" s="182"/>
      <c r="W26" s="182"/>
      <c r="X26" s="239"/>
      <c r="AG26" s="185"/>
      <c r="AH26" s="185"/>
      <c r="AI26" s="222" t="str">
        <f t="shared" si="1"/>
        <v/>
      </c>
    </row>
    <row r="27" spans="1:35" s="108" customFormat="1" ht="15.75">
      <c r="A27" s="178"/>
      <c r="B27" s="189"/>
      <c r="C27" s="186"/>
      <c r="D27" s="186"/>
      <c r="E27" s="187"/>
      <c r="F27" s="187"/>
      <c r="G27" s="188"/>
      <c r="H27" s="199" t="str">
        <f t="shared" si="0"/>
        <v/>
      </c>
      <c r="I27" s="200" t="str">
        <f>IF(H27="","",IF(AND(AI27&lt;=66),VLOOKUP(H27,'WordRead Look Up'!$A$13:$B$20,2,TRUE),IF(AND(AI27&gt;=67,AI27&lt;=72),VLOOKUP(H27,'WordRead Look Up'!$E$13:$F$20,2,TRUE),IF(AND(AI27&gt;=73,AI27&lt;=78),VLOOKUP(H27,'WordRead Look Up'!$I$13:$J$18,2,TRUE),IF(AND(AI27&gt;=79),VLOOKUP(H27,'WordRead Look Up'!$M$13:$N$18,2,TRUE),"")))))</f>
        <v/>
      </c>
      <c r="J27" s="182"/>
      <c r="K27" s="182"/>
      <c r="L27" s="182"/>
      <c r="M27" s="182"/>
      <c r="N27" s="182"/>
      <c r="O27" s="182"/>
      <c r="P27" s="182"/>
      <c r="Q27" s="182"/>
      <c r="R27" s="182"/>
      <c r="S27" s="182"/>
      <c r="T27" s="182"/>
      <c r="U27" s="182"/>
      <c r="V27" s="182"/>
      <c r="W27" s="182"/>
      <c r="X27" s="239"/>
      <c r="AG27" s="185"/>
      <c r="AH27" s="185"/>
      <c r="AI27" s="222" t="str">
        <f t="shared" si="1"/>
        <v/>
      </c>
    </row>
    <row r="28" spans="1:35" s="108" customFormat="1" ht="15.75">
      <c r="A28" s="178"/>
      <c r="B28" s="189"/>
      <c r="C28" s="186"/>
      <c r="D28" s="186"/>
      <c r="E28" s="187"/>
      <c r="F28" s="187"/>
      <c r="G28" s="188"/>
      <c r="H28" s="199" t="str">
        <f t="shared" si="0"/>
        <v/>
      </c>
      <c r="I28" s="200" t="str">
        <f>IF(H28="","",IF(AND(AI28&lt;=66),VLOOKUP(H28,'WordRead Look Up'!$A$13:$B$20,2,TRUE),IF(AND(AI28&gt;=67,AI28&lt;=72),VLOOKUP(H28,'WordRead Look Up'!$E$13:$F$20,2,TRUE),IF(AND(AI28&gt;=73,AI28&lt;=78),VLOOKUP(H28,'WordRead Look Up'!$I$13:$J$18,2,TRUE),IF(AND(AI28&gt;=79),VLOOKUP(H28,'WordRead Look Up'!$M$13:$N$18,2,TRUE),"")))))</f>
        <v/>
      </c>
      <c r="J28" s="182"/>
      <c r="K28" s="182"/>
      <c r="L28" s="182"/>
      <c r="M28" s="182"/>
      <c r="N28" s="182"/>
      <c r="O28" s="182"/>
      <c r="P28" s="182"/>
      <c r="Q28" s="182"/>
      <c r="R28" s="182"/>
      <c r="S28" s="182"/>
      <c r="T28" s="182"/>
      <c r="U28" s="182"/>
      <c r="V28" s="182"/>
      <c r="W28" s="182"/>
      <c r="X28" s="239"/>
      <c r="AG28" s="185"/>
      <c r="AH28" s="185"/>
      <c r="AI28" s="222" t="str">
        <f t="shared" si="1"/>
        <v/>
      </c>
    </row>
    <row r="29" spans="1:35" s="108" customFormat="1" ht="15.75">
      <c r="A29" s="178"/>
      <c r="B29" s="189"/>
      <c r="C29" s="186"/>
      <c r="D29" s="186"/>
      <c r="E29" s="187"/>
      <c r="F29" s="187"/>
      <c r="G29" s="188"/>
      <c r="H29" s="199" t="str">
        <f t="shared" si="0"/>
        <v/>
      </c>
      <c r="I29" s="200" t="str">
        <f>IF(H29="","",IF(AND(AI29&lt;=66),VLOOKUP(H29,'WordRead Look Up'!$A$13:$B$20,2,TRUE),IF(AND(AI29&gt;=67,AI29&lt;=72),VLOOKUP(H29,'WordRead Look Up'!$E$13:$F$20,2,TRUE),IF(AND(AI29&gt;=73,AI29&lt;=78),VLOOKUP(H29,'WordRead Look Up'!$I$13:$J$18,2,TRUE),IF(AND(AI29&gt;=79),VLOOKUP(H29,'WordRead Look Up'!$M$13:$N$18,2,TRUE),"")))))</f>
        <v/>
      </c>
      <c r="J29" s="182"/>
      <c r="K29" s="182"/>
      <c r="L29" s="182"/>
      <c r="M29" s="182"/>
      <c r="N29" s="182"/>
      <c r="O29" s="182"/>
      <c r="P29" s="182"/>
      <c r="Q29" s="182"/>
      <c r="R29" s="182"/>
      <c r="S29" s="182"/>
      <c r="T29" s="182"/>
      <c r="U29" s="182"/>
      <c r="V29" s="182"/>
      <c r="W29" s="182"/>
      <c r="X29" s="239"/>
      <c r="AG29" s="185"/>
      <c r="AH29" s="185"/>
      <c r="AI29" s="222" t="str">
        <f t="shared" si="1"/>
        <v/>
      </c>
    </row>
    <row r="30" spans="1:35" s="108" customFormat="1" ht="15.75">
      <c r="A30" s="178"/>
      <c r="B30" s="178"/>
      <c r="C30" s="186"/>
      <c r="D30" s="179"/>
      <c r="E30" s="187"/>
      <c r="F30" s="187"/>
      <c r="G30" s="188"/>
      <c r="H30" s="199" t="str">
        <f t="shared" si="0"/>
        <v/>
      </c>
      <c r="I30" s="200" t="str">
        <f>IF(H30="","",IF(AND(AI30&lt;=66),VLOOKUP(H30,'WordRead Look Up'!$A$13:$B$20,2,TRUE),IF(AND(AI30&gt;=67,AI30&lt;=72),VLOOKUP(H30,'WordRead Look Up'!$E$13:$F$20,2,TRUE),IF(AND(AI30&gt;=73,AI30&lt;=78),VLOOKUP(H30,'WordRead Look Up'!$I$13:$J$18,2,TRUE),IF(AND(AI30&gt;=79),VLOOKUP(H30,'WordRead Look Up'!$M$13:$N$18,2,TRUE),"")))))</f>
        <v/>
      </c>
      <c r="J30" s="190"/>
      <c r="K30" s="186"/>
      <c r="L30" s="186"/>
      <c r="M30" s="186"/>
      <c r="N30" s="186"/>
      <c r="O30" s="186"/>
      <c r="P30" s="186"/>
      <c r="Q30" s="186"/>
      <c r="R30" s="186"/>
      <c r="S30" s="186"/>
      <c r="T30" s="186"/>
      <c r="U30" s="186"/>
      <c r="V30" s="186"/>
      <c r="W30" s="186"/>
      <c r="X30" s="240"/>
      <c r="AG30" s="185"/>
      <c r="AH30" s="185"/>
      <c r="AI30" s="222" t="str">
        <f t="shared" si="1"/>
        <v/>
      </c>
    </row>
    <row r="31" spans="1:35" s="108" customFormat="1" ht="15.75">
      <c r="A31" s="178"/>
      <c r="B31" s="178"/>
      <c r="C31" s="186"/>
      <c r="D31" s="179"/>
      <c r="E31" s="187"/>
      <c r="F31" s="187"/>
      <c r="G31" s="188"/>
      <c r="H31" s="199" t="str">
        <f t="shared" si="0"/>
        <v/>
      </c>
      <c r="I31" s="200" t="str">
        <f>IF(H31="","",IF(AND(AI31&lt;=66),VLOOKUP(H31,'WordRead Look Up'!$A$13:$B$20,2,TRUE),IF(AND(AI31&gt;=67,AI31&lt;=72),VLOOKUP(H31,'WordRead Look Up'!$E$13:$F$20,2,TRUE),IF(AND(AI31&gt;=73,AI31&lt;=78),VLOOKUP(H31,'WordRead Look Up'!$I$13:$J$18,2,TRUE),IF(AND(AI31&gt;=79),VLOOKUP(H31,'WordRead Look Up'!$M$13:$N$18,2,TRUE),"")))))</f>
        <v/>
      </c>
      <c r="J31" s="190"/>
      <c r="K31" s="186"/>
      <c r="L31" s="186"/>
      <c r="M31" s="186"/>
      <c r="N31" s="186"/>
      <c r="O31" s="186"/>
      <c r="P31" s="186"/>
      <c r="Q31" s="186"/>
      <c r="R31" s="186"/>
      <c r="S31" s="186"/>
      <c r="T31" s="186"/>
      <c r="U31" s="186"/>
      <c r="V31" s="186"/>
      <c r="W31" s="186"/>
      <c r="X31" s="240"/>
      <c r="AG31" s="185"/>
      <c r="AH31" s="185"/>
      <c r="AI31" s="222" t="str">
        <f t="shared" si="1"/>
        <v/>
      </c>
    </row>
    <row r="32" spans="1:35" s="108" customFormat="1" ht="15.75">
      <c r="A32" s="178"/>
      <c r="B32" s="189"/>
      <c r="C32" s="186"/>
      <c r="D32" s="179"/>
      <c r="E32" s="187"/>
      <c r="F32" s="187"/>
      <c r="G32" s="188"/>
      <c r="H32" s="199" t="str">
        <f t="shared" si="0"/>
        <v/>
      </c>
      <c r="I32" s="200" t="str">
        <f>IF(H32="","",IF(AND(AI32&lt;=66),VLOOKUP(H32,'WordRead Look Up'!$A$13:$B$20,2,TRUE),IF(AND(AI32&gt;=67,AI32&lt;=72),VLOOKUP(H32,'WordRead Look Up'!$E$13:$F$20,2,TRUE),IF(AND(AI32&gt;=73,AI32&lt;=78),VLOOKUP(H32,'WordRead Look Up'!$I$13:$J$18,2,TRUE),IF(AND(AI32&gt;=79),VLOOKUP(H32,'WordRead Look Up'!$M$13:$N$18,2,TRUE),"")))))</f>
        <v/>
      </c>
      <c r="J32" s="190"/>
      <c r="K32" s="186"/>
      <c r="L32" s="186"/>
      <c r="M32" s="186"/>
      <c r="N32" s="186"/>
      <c r="O32" s="186"/>
      <c r="P32" s="186"/>
      <c r="Q32" s="186"/>
      <c r="R32" s="186"/>
      <c r="S32" s="186"/>
      <c r="T32" s="186"/>
      <c r="U32" s="186"/>
      <c r="V32" s="186"/>
      <c r="W32" s="186"/>
      <c r="X32" s="240"/>
      <c r="AG32" s="185"/>
      <c r="AH32" s="185"/>
      <c r="AI32" s="222" t="str">
        <f t="shared" si="1"/>
        <v/>
      </c>
    </row>
    <row r="33" spans="1:35" s="108" customFormat="1" ht="15.75">
      <c r="A33" s="178"/>
      <c r="B33" s="189"/>
      <c r="C33" s="186"/>
      <c r="D33" s="179"/>
      <c r="E33" s="187"/>
      <c r="F33" s="187"/>
      <c r="G33" s="188"/>
      <c r="H33" s="199" t="str">
        <f t="shared" si="0"/>
        <v/>
      </c>
      <c r="I33" s="200" t="str">
        <f>IF(H33="","",IF(AND(AI33&lt;=66),VLOOKUP(H33,'WordRead Look Up'!$A$13:$B$20,2,TRUE),IF(AND(AI33&gt;=67,AI33&lt;=72),VLOOKUP(H33,'WordRead Look Up'!$E$13:$F$20,2,TRUE),IF(AND(AI33&gt;=73,AI33&lt;=78),VLOOKUP(H33,'WordRead Look Up'!$I$13:$J$18,2,TRUE),IF(AND(AI33&gt;=79),VLOOKUP(H33,'WordRead Look Up'!$M$13:$N$18,2,TRUE),"")))))</f>
        <v/>
      </c>
      <c r="J33" s="190"/>
      <c r="K33" s="186"/>
      <c r="L33" s="186"/>
      <c r="M33" s="186"/>
      <c r="N33" s="186"/>
      <c r="O33" s="186"/>
      <c r="P33" s="186"/>
      <c r="Q33" s="186"/>
      <c r="R33" s="186"/>
      <c r="S33" s="186"/>
      <c r="T33" s="186"/>
      <c r="U33" s="186"/>
      <c r="V33" s="186"/>
      <c r="W33" s="186"/>
      <c r="X33" s="240"/>
      <c r="AG33" s="185"/>
      <c r="AH33" s="185"/>
      <c r="AI33" s="222" t="str">
        <f t="shared" si="1"/>
        <v/>
      </c>
    </row>
    <row r="34" spans="1:35" s="108" customFormat="1" ht="15.75">
      <c r="A34" s="178"/>
      <c r="B34" s="189"/>
      <c r="C34" s="186"/>
      <c r="D34" s="179"/>
      <c r="E34" s="187"/>
      <c r="F34" s="187"/>
      <c r="G34" s="188"/>
      <c r="H34" s="199" t="str">
        <f t="shared" si="0"/>
        <v/>
      </c>
      <c r="I34" s="200" t="str">
        <f>IF(H34="","",IF(AND(AI34&lt;=66),VLOOKUP(H34,'WordRead Look Up'!$A$13:$B$20,2,TRUE),IF(AND(AI34&gt;=67,AI34&lt;=72),VLOOKUP(H34,'WordRead Look Up'!$E$13:$F$20,2,TRUE),IF(AND(AI34&gt;=73,AI34&lt;=78),VLOOKUP(H34,'WordRead Look Up'!$I$13:$J$18,2,TRUE),IF(AND(AI34&gt;=79),VLOOKUP(H34,'WordRead Look Up'!$M$13:$N$18,2,TRUE),"")))))</f>
        <v/>
      </c>
      <c r="J34" s="190"/>
      <c r="K34" s="186"/>
      <c r="L34" s="186"/>
      <c r="M34" s="186"/>
      <c r="N34" s="186"/>
      <c r="O34" s="186"/>
      <c r="P34" s="186"/>
      <c r="Q34" s="186"/>
      <c r="R34" s="186"/>
      <c r="S34" s="186"/>
      <c r="T34" s="186"/>
      <c r="U34" s="186"/>
      <c r="V34" s="186"/>
      <c r="W34" s="186"/>
      <c r="X34" s="240"/>
      <c r="AG34" s="185"/>
      <c r="AH34" s="185"/>
      <c r="AI34" s="222" t="str">
        <f t="shared" si="1"/>
        <v/>
      </c>
    </row>
    <row r="35" spans="1:35" s="108" customFormat="1" ht="15.75">
      <c r="A35" s="178"/>
      <c r="B35" s="189"/>
      <c r="C35" s="186"/>
      <c r="D35" s="186"/>
      <c r="E35" s="187"/>
      <c r="F35" s="187"/>
      <c r="G35" s="188"/>
      <c r="H35" s="199" t="str">
        <f t="shared" si="0"/>
        <v/>
      </c>
      <c r="I35" s="200" t="str">
        <f>IF(H35="","",IF(AND(AI35&lt;=66),VLOOKUP(H35,'WordRead Look Up'!$A$13:$B$20,2,TRUE),IF(AND(AI35&gt;=67,AI35&lt;=72),VLOOKUP(H35,'WordRead Look Up'!$E$13:$F$20,2,TRUE),IF(AND(AI35&gt;=73,AI35&lt;=78),VLOOKUP(H35,'WordRead Look Up'!$I$13:$J$18,2,TRUE),IF(AND(AI35&gt;=79),VLOOKUP(H35,'WordRead Look Up'!$M$13:$N$18,2,TRUE),"")))))</f>
        <v/>
      </c>
      <c r="J35" s="190"/>
      <c r="K35" s="186"/>
      <c r="L35" s="186"/>
      <c r="M35" s="186"/>
      <c r="N35" s="186"/>
      <c r="O35" s="186"/>
      <c r="P35" s="186"/>
      <c r="Q35" s="186"/>
      <c r="R35" s="186"/>
      <c r="S35" s="186"/>
      <c r="T35" s="186"/>
      <c r="U35" s="186"/>
      <c r="V35" s="186"/>
      <c r="W35" s="186"/>
      <c r="X35" s="240"/>
      <c r="AG35" s="185"/>
      <c r="AH35" s="185"/>
      <c r="AI35" s="222" t="str">
        <f t="shared" si="1"/>
        <v/>
      </c>
    </row>
    <row r="36" spans="1:35" s="108" customFormat="1" ht="15.75">
      <c r="A36" s="178"/>
      <c r="B36" s="189"/>
      <c r="C36" s="186"/>
      <c r="D36" s="186"/>
      <c r="E36" s="187"/>
      <c r="F36" s="187"/>
      <c r="G36" s="188"/>
      <c r="H36" s="199" t="str">
        <f t="shared" si="0"/>
        <v/>
      </c>
      <c r="I36" s="200" t="str">
        <f>IF(H36="","",IF(AND(AI36&lt;=66),VLOOKUP(H36,'WordRead Look Up'!$A$13:$B$20,2,TRUE),IF(AND(AI36&gt;=67,AI36&lt;=72),VLOOKUP(H36,'WordRead Look Up'!$E$13:$F$20,2,TRUE),IF(AND(AI36&gt;=73,AI36&lt;=78),VLOOKUP(H36,'WordRead Look Up'!$I$13:$J$18,2,TRUE),IF(AND(AI36&gt;=79),VLOOKUP(H36,'WordRead Look Up'!$M$13:$N$18,2,TRUE),"")))))</f>
        <v/>
      </c>
      <c r="J36" s="190"/>
      <c r="K36" s="186"/>
      <c r="L36" s="186"/>
      <c r="M36" s="186"/>
      <c r="N36" s="186"/>
      <c r="O36" s="186"/>
      <c r="P36" s="186"/>
      <c r="Q36" s="186"/>
      <c r="R36" s="186"/>
      <c r="S36" s="186"/>
      <c r="T36" s="186"/>
      <c r="U36" s="186"/>
      <c r="V36" s="186"/>
      <c r="W36" s="186"/>
      <c r="X36" s="240"/>
      <c r="AG36" s="185"/>
      <c r="AH36" s="185"/>
      <c r="AI36" s="222" t="str">
        <f t="shared" si="1"/>
        <v/>
      </c>
    </row>
    <row r="37" spans="1:35" s="108" customFormat="1" ht="15.75">
      <c r="A37" s="178"/>
      <c r="B37" s="189"/>
      <c r="C37" s="186"/>
      <c r="D37" s="186"/>
      <c r="E37" s="187"/>
      <c r="F37" s="187"/>
      <c r="G37" s="188"/>
      <c r="H37" s="199" t="str">
        <f t="shared" si="0"/>
        <v/>
      </c>
      <c r="I37" s="200" t="str">
        <f>IF(H37="","",IF(AND(AI37&lt;=66),VLOOKUP(H37,'WordRead Look Up'!$A$13:$B$20,2,TRUE),IF(AND(AI37&gt;=67,AI37&lt;=72),VLOOKUP(H37,'WordRead Look Up'!$E$13:$F$20,2,TRUE),IF(AND(AI37&gt;=73,AI37&lt;=78),VLOOKUP(H37,'WordRead Look Up'!$I$13:$J$18,2,TRUE),IF(AND(AI37&gt;=79),VLOOKUP(H37,'WordRead Look Up'!$M$13:$N$18,2,TRUE),"")))))</f>
        <v/>
      </c>
      <c r="J37" s="190"/>
      <c r="K37" s="186"/>
      <c r="L37" s="186"/>
      <c r="M37" s="186"/>
      <c r="N37" s="186"/>
      <c r="O37" s="186"/>
      <c r="P37" s="186"/>
      <c r="Q37" s="186"/>
      <c r="R37" s="186"/>
      <c r="S37" s="186"/>
      <c r="T37" s="186"/>
      <c r="U37" s="186"/>
      <c r="V37" s="186"/>
      <c r="W37" s="186"/>
      <c r="X37" s="240"/>
      <c r="AG37" s="185"/>
      <c r="AH37" s="185"/>
      <c r="AI37" s="222" t="str">
        <f t="shared" si="1"/>
        <v/>
      </c>
    </row>
    <row r="38" spans="1:35" s="108" customFormat="1" ht="15.75">
      <c r="A38" s="178"/>
      <c r="B38" s="189"/>
      <c r="C38" s="186"/>
      <c r="D38" s="186"/>
      <c r="E38" s="187"/>
      <c r="F38" s="187"/>
      <c r="G38" s="188"/>
      <c r="H38" s="199" t="str">
        <f t="shared" si="0"/>
        <v/>
      </c>
      <c r="I38" s="200" t="str">
        <f>IF(H38="","",IF(AND(AI38&lt;=66),VLOOKUP(H38,'WordRead Look Up'!$A$13:$B$20,2,TRUE),IF(AND(AI38&gt;=67,AI38&lt;=72),VLOOKUP(H38,'WordRead Look Up'!$E$13:$F$20,2,TRUE),IF(AND(AI38&gt;=73,AI38&lt;=78),VLOOKUP(H38,'WordRead Look Up'!$I$13:$J$18,2,TRUE),IF(AND(AI38&gt;=79),VLOOKUP(H38,'WordRead Look Up'!$M$13:$N$18,2,TRUE),"")))))</f>
        <v/>
      </c>
      <c r="J38" s="190"/>
      <c r="K38" s="186"/>
      <c r="L38" s="186"/>
      <c r="M38" s="186"/>
      <c r="N38" s="186"/>
      <c r="O38" s="186"/>
      <c r="P38" s="186"/>
      <c r="Q38" s="186"/>
      <c r="R38" s="186"/>
      <c r="S38" s="186"/>
      <c r="T38" s="186"/>
      <c r="U38" s="186"/>
      <c r="V38" s="186"/>
      <c r="W38" s="186"/>
      <c r="X38" s="240"/>
      <c r="AG38" s="185"/>
      <c r="AH38" s="185"/>
      <c r="AI38" s="222" t="str">
        <f t="shared" si="1"/>
        <v/>
      </c>
    </row>
    <row r="39" spans="1:35" s="108" customFormat="1" ht="15.75">
      <c r="A39" s="101"/>
      <c r="B39" s="110"/>
      <c r="C39" s="111"/>
      <c r="D39" s="111"/>
      <c r="E39" s="112"/>
      <c r="F39" s="112"/>
      <c r="G39" s="113"/>
      <c r="H39" s="199" t="str">
        <f t="shared" si="0"/>
        <v/>
      </c>
      <c r="I39" s="200" t="str">
        <f>IF(H39="","",IF(AND(AI39&lt;=66),VLOOKUP(H39,'WordRead Look Up'!$A$13:$B$20,2,TRUE),IF(AND(AI39&gt;=67,AI39&lt;=72),VLOOKUP(H39,'WordRead Look Up'!$E$13:$F$20,2,TRUE),IF(AND(AI39&gt;=73,AI39&lt;=78),VLOOKUP(H39,'WordRead Look Up'!$I$13:$J$18,2,TRUE),IF(AND(AI39&gt;=79),VLOOKUP(H39,'WordRead Look Up'!$M$13:$N$18,2,TRUE),"")))))</f>
        <v/>
      </c>
      <c r="J39" s="190"/>
      <c r="K39" s="186"/>
      <c r="L39" s="186"/>
      <c r="M39" s="186"/>
      <c r="N39" s="186"/>
      <c r="O39" s="186"/>
      <c r="P39" s="186"/>
      <c r="Q39" s="186"/>
      <c r="R39" s="186"/>
      <c r="S39" s="186"/>
      <c r="T39" s="186"/>
      <c r="U39" s="186"/>
      <c r="V39" s="186"/>
      <c r="W39" s="186"/>
      <c r="X39" s="240"/>
      <c r="AG39" s="185"/>
      <c r="AH39" s="185"/>
      <c r="AI39" s="222" t="str">
        <f t="shared" si="1"/>
        <v/>
      </c>
    </row>
    <row r="40" spans="1:35" s="108" customFormat="1" ht="15.75">
      <c r="A40" s="119"/>
      <c r="B40" s="120"/>
      <c r="C40" s="111"/>
      <c r="D40" s="111"/>
      <c r="E40" s="121"/>
      <c r="F40" s="121"/>
      <c r="G40" s="113"/>
      <c r="H40" s="199" t="str">
        <f t="shared" si="0"/>
        <v/>
      </c>
      <c r="I40" s="200" t="str">
        <f>IF(H40="","",IF(AND(AI40&lt;=66),VLOOKUP(H40,'WordRead Look Up'!$A$13:$B$20,2,TRUE),IF(AND(AI40&gt;=67,AI40&lt;=72),VLOOKUP(H40,'WordRead Look Up'!$E$13:$F$20,2,TRUE),IF(AND(AI40&gt;=73,AI40&lt;=78),VLOOKUP(H40,'WordRead Look Up'!$I$13:$J$18,2,TRUE),IF(AND(AI40&gt;=79),VLOOKUP(H40,'WordRead Look Up'!$M$13:$N$18,2,TRUE),"")))))</f>
        <v/>
      </c>
      <c r="J40" s="190"/>
      <c r="K40" s="186"/>
      <c r="L40" s="186"/>
      <c r="M40" s="186"/>
      <c r="N40" s="186"/>
      <c r="O40" s="186"/>
      <c r="P40" s="186"/>
      <c r="Q40" s="186"/>
      <c r="R40" s="186"/>
      <c r="S40" s="186"/>
      <c r="T40" s="186"/>
      <c r="U40" s="186"/>
      <c r="V40" s="186"/>
      <c r="W40" s="186"/>
      <c r="X40" s="240"/>
      <c r="AG40" s="185"/>
      <c r="AH40" s="185"/>
      <c r="AI40" s="222" t="str">
        <f t="shared" si="1"/>
        <v/>
      </c>
    </row>
    <row r="41" spans="1:35" s="108" customFormat="1" ht="15.75">
      <c r="A41" s="119"/>
      <c r="B41" s="120"/>
      <c r="C41" s="111"/>
      <c r="D41" s="111"/>
      <c r="E41" s="121"/>
      <c r="F41" s="121"/>
      <c r="G41" s="113"/>
      <c r="H41" s="199" t="str">
        <f t="shared" si="0"/>
        <v/>
      </c>
      <c r="I41" s="200" t="str">
        <f>IF(H41="","",IF(AND(AI41&lt;=66),VLOOKUP(H41,'WordRead Look Up'!$A$13:$B$20,2,TRUE),IF(AND(AI41&gt;=67,AI41&lt;=72),VLOOKUP(H41,'WordRead Look Up'!$E$13:$F$20,2,TRUE),IF(AND(AI41&gt;=73,AI41&lt;=78),VLOOKUP(H41,'WordRead Look Up'!$I$13:$J$18,2,TRUE),IF(AND(AI41&gt;=79),VLOOKUP(H41,'WordRead Look Up'!$M$13:$N$18,2,TRUE),"")))))</f>
        <v/>
      </c>
      <c r="J41" s="190"/>
      <c r="K41" s="186"/>
      <c r="L41" s="186"/>
      <c r="M41" s="186"/>
      <c r="N41" s="186"/>
      <c r="O41" s="186"/>
      <c r="P41" s="186"/>
      <c r="Q41" s="186"/>
      <c r="R41" s="186"/>
      <c r="S41" s="186"/>
      <c r="T41" s="186"/>
      <c r="U41" s="186"/>
      <c r="V41" s="186"/>
      <c r="W41" s="186"/>
      <c r="X41" s="240"/>
      <c r="AG41" s="185"/>
      <c r="AH41" s="185"/>
      <c r="AI41" s="222" t="str">
        <f t="shared" si="1"/>
        <v/>
      </c>
    </row>
    <row r="42" spans="1:35" s="108" customFormat="1" ht="15.75">
      <c r="A42" s="119"/>
      <c r="B42" s="120"/>
      <c r="C42" s="111"/>
      <c r="D42" s="111"/>
      <c r="E42" s="121"/>
      <c r="F42" s="121"/>
      <c r="G42" s="113"/>
      <c r="H42" s="199" t="str">
        <f t="shared" si="0"/>
        <v/>
      </c>
      <c r="I42" s="200" t="str">
        <f>IF(H42="","",IF(AND(AI42&lt;=66),VLOOKUP(H42,'WordRead Look Up'!$A$13:$B$20,2,TRUE),IF(AND(AI42&gt;=67,AI42&lt;=72),VLOOKUP(H42,'WordRead Look Up'!$E$13:$F$20,2,TRUE),IF(AND(AI42&gt;=73,AI42&lt;=78),VLOOKUP(H42,'WordRead Look Up'!$I$13:$J$18,2,TRUE),IF(AND(AI42&gt;=79),VLOOKUP(H42,'WordRead Look Up'!$M$13:$N$18,2,TRUE),"")))))</f>
        <v/>
      </c>
      <c r="J42" s="190"/>
      <c r="K42" s="186"/>
      <c r="L42" s="186"/>
      <c r="M42" s="186"/>
      <c r="N42" s="186"/>
      <c r="O42" s="186"/>
      <c r="P42" s="186"/>
      <c r="Q42" s="186"/>
      <c r="R42" s="186"/>
      <c r="S42" s="186"/>
      <c r="T42" s="186"/>
      <c r="U42" s="186"/>
      <c r="V42" s="186"/>
      <c r="W42" s="186"/>
      <c r="X42" s="240"/>
      <c r="AG42" s="185"/>
      <c r="AH42" s="185"/>
      <c r="AI42" s="222" t="str">
        <f t="shared" si="1"/>
        <v/>
      </c>
    </row>
    <row r="43" spans="1:35" s="108" customFormat="1" ht="15.75">
      <c r="A43" s="119"/>
      <c r="B43" s="120"/>
      <c r="C43" s="111"/>
      <c r="D43" s="111"/>
      <c r="E43" s="121"/>
      <c r="F43" s="121"/>
      <c r="G43" s="113"/>
      <c r="H43" s="199" t="str">
        <f t="shared" si="0"/>
        <v/>
      </c>
      <c r="I43" s="200" t="str">
        <f>IF(H43="","",IF(AND(AI43&lt;=66),VLOOKUP(H43,'WordRead Look Up'!$A$13:$B$20,2,TRUE),IF(AND(AI43&gt;=67,AI43&lt;=72),VLOOKUP(H43,'WordRead Look Up'!$E$13:$F$20,2,TRUE),IF(AND(AI43&gt;=73,AI43&lt;=78),VLOOKUP(H43,'WordRead Look Up'!$I$13:$J$18,2,TRUE),IF(AND(AI43&gt;=79),VLOOKUP(H43,'WordRead Look Up'!$M$13:$N$18,2,TRUE),"")))))</f>
        <v/>
      </c>
      <c r="J43" s="190"/>
      <c r="K43" s="186"/>
      <c r="L43" s="186"/>
      <c r="M43" s="186"/>
      <c r="N43" s="186"/>
      <c r="O43" s="186"/>
      <c r="P43" s="186"/>
      <c r="Q43" s="186"/>
      <c r="R43" s="186"/>
      <c r="S43" s="186"/>
      <c r="T43" s="186"/>
      <c r="U43" s="186"/>
      <c r="V43" s="186"/>
      <c r="W43" s="186"/>
      <c r="X43" s="240"/>
      <c r="AG43" s="185"/>
      <c r="AH43" s="185"/>
      <c r="AI43" s="222" t="str">
        <f t="shared" si="1"/>
        <v/>
      </c>
    </row>
    <row r="44" spans="1:35" s="108" customFormat="1" ht="15.75">
      <c r="A44" s="119"/>
      <c r="B44" s="120"/>
      <c r="C44" s="111"/>
      <c r="D44" s="111"/>
      <c r="E44" s="121"/>
      <c r="F44" s="121"/>
      <c r="G44" s="113"/>
      <c r="H44" s="199" t="str">
        <f t="shared" si="0"/>
        <v/>
      </c>
      <c r="I44" s="200" t="str">
        <f>IF(H44="","",IF(AND(AI44&lt;=66),VLOOKUP(H44,'WordRead Look Up'!$A$13:$B$20,2,TRUE),IF(AND(AI44&gt;=67,AI44&lt;=72),VLOOKUP(H44,'WordRead Look Up'!$E$13:$F$20,2,TRUE),IF(AND(AI44&gt;=73,AI44&lt;=78),VLOOKUP(H44,'WordRead Look Up'!$I$13:$J$18,2,TRUE),IF(AND(AI44&gt;=79),VLOOKUP(H44,'WordRead Look Up'!$M$13:$N$18,2,TRUE),"")))))</f>
        <v/>
      </c>
      <c r="J44" s="190"/>
      <c r="K44" s="186"/>
      <c r="L44" s="186"/>
      <c r="M44" s="186"/>
      <c r="N44" s="186"/>
      <c r="O44" s="186"/>
      <c r="P44" s="186"/>
      <c r="Q44" s="186"/>
      <c r="R44" s="186"/>
      <c r="S44" s="186"/>
      <c r="T44" s="186"/>
      <c r="U44" s="186"/>
      <c r="V44" s="186"/>
      <c r="W44" s="186"/>
      <c r="X44" s="240"/>
      <c r="AG44" s="185"/>
      <c r="AH44" s="185"/>
      <c r="AI44" s="222" t="str">
        <f t="shared" si="1"/>
        <v/>
      </c>
    </row>
    <row r="45" spans="1:35" s="108" customFormat="1" ht="15.75">
      <c r="A45" s="119"/>
      <c r="B45" s="120"/>
      <c r="C45" s="111"/>
      <c r="D45" s="111"/>
      <c r="E45" s="121"/>
      <c r="F45" s="121"/>
      <c r="G45" s="113"/>
      <c r="H45" s="199" t="str">
        <f t="shared" si="0"/>
        <v/>
      </c>
      <c r="I45" s="200" t="str">
        <f>IF(H45="","",IF(AND(AI45&lt;=66),VLOOKUP(H45,'WordRead Look Up'!$A$13:$B$20,2,TRUE),IF(AND(AI45&gt;=67,AI45&lt;=72),VLOOKUP(H45,'WordRead Look Up'!$E$13:$F$20,2,TRUE),IF(AND(AI45&gt;=73,AI45&lt;=78),VLOOKUP(H45,'WordRead Look Up'!$I$13:$J$18,2,TRUE),IF(AND(AI45&gt;=79),VLOOKUP(H45,'WordRead Look Up'!$M$13:$N$18,2,TRUE),"")))))</f>
        <v/>
      </c>
      <c r="J45" s="122"/>
      <c r="K45" s="111"/>
      <c r="L45" s="111"/>
      <c r="M45" s="111"/>
      <c r="N45" s="111"/>
      <c r="O45" s="111"/>
      <c r="P45" s="111"/>
      <c r="Q45" s="111"/>
      <c r="R45" s="111"/>
      <c r="S45" s="111"/>
      <c r="T45" s="111"/>
      <c r="U45" s="111"/>
      <c r="V45" s="111"/>
      <c r="W45" s="111"/>
      <c r="X45" s="123"/>
      <c r="AG45" s="185"/>
      <c r="AH45" s="185"/>
      <c r="AI45" s="222" t="str">
        <f t="shared" si="1"/>
        <v/>
      </c>
    </row>
    <row r="46" spans="1:35" s="108" customFormat="1" ht="15.75">
      <c r="A46" s="119"/>
      <c r="B46" s="120"/>
      <c r="C46" s="111"/>
      <c r="D46" s="111"/>
      <c r="E46" s="121"/>
      <c r="F46" s="121"/>
      <c r="G46" s="113"/>
      <c r="H46" s="199" t="str">
        <f t="shared" si="0"/>
        <v/>
      </c>
      <c r="I46" s="200" t="str">
        <f>IF(H46="","",IF(AND(AI46&lt;=66),VLOOKUP(H46,'WordRead Look Up'!$A$13:$B$20,2,TRUE),IF(AND(AI46&gt;=67,AI46&lt;=72),VLOOKUP(H46,'WordRead Look Up'!$E$13:$F$20,2,TRUE),IF(AND(AI46&gt;=73,AI46&lt;=78),VLOOKUP(H46,'WordRead Look Up'!$I$13:$J$18,2,TRUE),IF(AND(AI46&gt;=79),VLOOKUP(H46,'WordRead Look Up'!$M$13:$N$18,2,TRUE),"")))))</f>
        <v/>
      </c>
      <c r="J46" s="122"/>
      <c r="K46" s="111"/>
      <c r="L46" s="111"/>
      <c r="M46" s="111"/>
      <c r="N46" s="111"/>
      <c r="O46" s="111"/>
      <c r="P46" s="111"/>
      <c r="Q46" s="111"/>
      <c r="R46" s="111"/>
      <c r="S46" s="111"/>
      <c r="T46" s="111"/>
      <c r="U46" s="111"/>
      <c r="V46" s="111"/>
      <c r="W46" s="111"/>
      <c r="X46" s="123"/>
      <c r="AG46" s="185"/>
      <c r="AH46" s="185"/>
      <c r="AI46" s="222" t="str">
        <f t="shared" si="1"/>
        <v/>
      </c>
    </row>
    <row r="47" spans="1:35" s="108" customFormat="1" ht="15.75">
      <c r="A47" s="119"/>
      <c r="B47" s="120"/>
      <c r="C47" s="111"/>
      <c r="D47" s="111"/>
      <c r="E47" s="121"/>
      <c r="F47" s="121"/>
      <c r="G47" s="113"/>
      <c r="H47" s="199" t="str">
        <f t="shared" si="0"/>
        <v/>
      </c>
      <c r="I47" s="200" t="str">
        <f>IF(H47="","",IF(AND(AI47&lt;=66),VLOOKUP(H47,'WordRead Look Up'!$A$13:$B$20,2,TRUE),IF(AND(AI47&gt;=67,AI47&lt;=72),VLOOKUP(H47,'WordRead Look Up'!$E$13:$F$20,2,TRUE),IF(AND(AI47&gt;=73,AI47&lt;=78),VLOOKUP(H47,'WordRead Look Up'!$I$13:$J$18,2,TRUE),IF(AND(AI47&gt;=79),VLOOKUP(H47,'WordRead Look Up'!$M$13:$N$18,2,TRUE),"")))))</f>
        <v/>
      </c>
      <c r="J47" s="122"/>
      <c r="K47" s="111"/>
      <c r="L47" s="111"/>
      <c r="M47" s="111"/>
      <c r="N47" s="111"/>
      <c r="O47" s="111"/>
      <c r="P47" s="111"/>
      <c r="Q47" s="111"/>
      <c r="R47" s="111"/>
      <c r="S47" s="111"/>
      <c r="T47" s="111"/>
      <c r="U47" s="111"/>
      <c r="V47" s="111"/>
      <c r="W47" s="111"/>
      <c r="X47" s="123"/>
      <c r="AG47" s="185"/>
      <c r="AH47" s="185"/>
      <c r="AI47" s="222" t="str">
        <f t="shared" si="1"/>
        <v/>
      </c>
    </row>
    <row r="48" spans="1:35" s="108" customFormat="1" ht="15.75">
      <c r="A48" s="119"/>
      <c r="B48" s="120"/>
      <c r="C48" s="111"/>
      <c r="D48" s="111"/>
      <c r="E48" s="121"/>
      <c r="F48" s="121"/>
      <c r="G48" s="113"/>
      <c r="H48" s="199" t="str">
        <f t="shared" si="0"/>
        <v/>
      </c>
      <c r="I48" s="200" t="str">
        <f>IF(H48="","",IF(AND(AI48&lt;=66),VLOOKUP(H48,'WordRead Look Up'!$A$13:$B$20,2,TRUE),IF(AND(AI48&gt;=67,AI48&lt;=72),VLOOKUP(H48,'WordRead Look Up'!$E$13:$F$20,2,TRUE),IF(AND(AI48&gt;=73,AI48&lt;=78),VLOOKUP(H48,'WordRead Look Up'!$I$13:$J$18,2,TRUE),IF(AND(AI48&gt;=79),VLOOKUP(H48,'WordRead Look Up'!$M$13:$N$18,2,TRUE),"")))))</f>
        <v/>
      </c>
      <c r="J48" s="122"/>
      <c r="K48" s="111"/>
      <c r="L48" s="111"/>
      <c r="M48" s="111"/>
      <c r="N48" s="111"/>
      <c r="O48" s="111"/>
      <c r="P48" s="111"/>
      <c r="Q48" s="111"/>
      <c r="R48" s="111"/>
      <c r="S48" s="111"/>
      <c r="T48" s="111"/>
      <c r="U48" s="111"/>
      <c r="V48" s="111"/>
      <c r="W48" s="111"/>
      <c r="X48" s="123"/>
      <c r="AG48" s="185"/>
      <c r="AH48" s="185"/>
      <c r="AI48" s="222" t="str">
        <f t="shared" si="1"/>
        <v/>
      </c>
    </row>
    <row r="49" spans="1:35" s="108" customFormat="1" ht="15.75">
      <c r="A49" s="119"/>
      <c r="B49" s="120"/>
      <c r="C49" s="111"/>
      <c r="D49" s="111"/>
      <c r="E49" s="121"/>
      <c r="F49" s="121"/>
      <c r="G49" s="113"/>
      <c r="H49" s="199" t="str">
        <f t="shared" si="0"/>
        <v/>
      </c>
      <c r="I49" s="200" t="str">
        <f>IF(H49="","",IF(AND(AI49&lt;=66),VLOOKUP(H49,'WordRead Look Up'!$A$13:$B$20,2,TRUE),IF(AND(AI49&gt;=67,AI49&lt;=72),VLOOKUP(H49,'WordRead Look Up'!$E$13:$F$20,2,TRUE),IF(AND(AI49&gt;=73,AI49&lt;=78),VLOOKUP(H49,'WordRead Look Up'!$I$13:$J$18,2,TRUE),IF(AND(AI49&gt;=79),VLOOKUP(H49,'WordRead Look Up'!$M$13:$N$18,2,TRUE),"")))))</f>
        <v/>
      </c>
      <c r="J49" s="122"/>
      <c r="K49" s="111"/>
      <c r="L49" s="111"/>
      <c r="M49" s="111"/>
      <c r="N49" s="111"/>
      <c r="O49" s="111"/>
      <c r="P49" s="111"/>
      <c r="Q49" s="111"/>
      <c r="R49" s="111"/>
      <c r="S49" s="111"/>
      <c r="T49" s="111"/>
      <c r="U49" s="111"/>
      <c r="V49" s="111"/>
      <c r="W49" s="111"/>
      <c r="X49" s="123"/>
      <c r="AG49" s="185"/>
      <c r="AH49" s="185"/>
      <c r="AI49" s="222" t="str">
        <f t="shared" si="1"/>
        <v/>
      </c>
    </row>
    <row r="50" spans="1:35" s="108" customFormat="1" ht="15.75">
      <c r="A50" s="119"/>
      <c r="B50" s="120"/>
      <c r="C50" s="111"/>
      <c r="D50" s="111"/>
      <c r="E50" s="121"/>
      <c r="F50" s="121"/>
      <c r="G50" s="113"/>
      <c r="H50" s="199" t="str">
        <f t="shared" si="0"/>
        <v/>
      </c>
      <c r="I50" s="200" t="str">
        <f>IF(H50="","",IF(AND(AI50&lt;=66),VLOOKUP(H50,'WordRead Look Up'!$A$13:$B$20,2,TRUE),IF(AND(AI50&gt;=67,AI50&lt;=72),VLOOKUP(H50,'WordRead Look Up'!$E$13:$F$20,2,TRUE),IF(AND(AI50&gt;=73,AI50&lt;=78),VLOOKUP(H50,'WordRead Look Up'!$I$13:$J$18,2,TRUE),IF(AND(AI50&gt;=79),VLOOKUP(H50,'WordRead Look Up'!$M$13:$N$18,2,TRUE),"")))))</f>
        <v/>
      </c>
      <c r="J50" s="122"/>
      <c r="K50" s="111"/>
      <c r="L50" s="111"/>
      <c r="M50" s="111"/>
      <c r="N50" s="111"/>
      <c r="O50" s="111"/>
      <c r="P50" s="111"/>
      <c r="Q50" s="111"/>
      <c r="R50" s="111"/>
      <c r="S50" s="111"/>
      <c r="T50" s="111"/>
      <c r="U50" s="111"/>
      <c r="V50" s="111"/>
      <c r="W50" s="111"/>
      <c r="X50" s="123"/>
      <c r="AG50" s="185"/>
      <c r="AH50" s="185"/>
      <c r="AI50" s="222" t="str">
        <f t="shared" si="1"/>
        <v/>
      </c>
    </row>
    <row r="51" spans="1:35" s="108" customFormat="1" ht="15.75">
      <c r="A51" s="119"/>
      <c r="B51" s="120"/>
      <c r="C51" s="111"/>
      <c r="D51" s="111"/>
      <c r="E51" s="121"/>
      <c r="F51" s="121"/>
      <c r="G51" s="113"/>
      <c r="H51" s="199" t="str">
        <f t="shared" si="0"/>
        <v/>
      </c>
      <c r="I51" s="200" t="str">
        <f>IF(H51="","",IF(AND(AI51&lt;=66),VLOOKUP(H51,'WordRead Look Up'!$A$13:$B$20,2,TRUE),IF(AND(AI51&gt;=67,AI51&lt;=72),VLOOKUP(H51,'WordRead Look Up'!$E$13:$F$20,2,TRUE),IF(AND(AI51&gt;=73,AI51&lt;=78),VLOOKUP(H51,'WordRead Look Up'!$I$13:$J$18,2,TRUE),IF(AND(AI51&gt;=79),VLOOKUP(H51,'WordRead Look Up'!$M$13:$N$18,2,TRUE),"")))))</f>
        <v/>
      </c>
      <c r="J51" s="122"/>
      <c r="K51" s="111"/>
      <c r="L51" s="111"/>
      <c r="M51" s="111"/>
      <c r="N51" s="111"/>
      <c r="O51" s="111"/>
      <c r="P51" s="111"/>
      <c r="Q51" s="111"/>
      <c r="R51" s="111"/>
      <c r="S51" s="111"/>
      <c r="T51" s="111"/>
      <c r="U51" s="111"/>
      <c r="V51" s="111"/>
      <c r="W51" s="111"/>
      <c r="X51" s="123"/>
      <c r="AG51" s="185"/>
      <c r="AH51" s="185"/>
      <c r="AI51" s="222" t="str">
        <f t="shared" si="1"/>
        <v/>
      </c>
    </row>
    <row r="52" spans="1:35" s="108" customFormat="1" ht="15.75">
      <c r="A52" s="119"/>
      <c r="B52" s="120"/>
      <c r="C52" s="111"/>
      <c r="D52" s="111"/>
      <c r="E52" s="121"/>
      <c r="F52" s="121"/>
      <c r="G52" s="113"/>
      <c r="H52" s="199" t="str">
        <f t="shared" si="0"/>
        <v/>
      </c>
      <c r="I52" s="200" t="str">
        <f>IF(H52="","",IF(AND(AI52&lt;=66),VLOOKUP(H52,'WordRead Look Up'!$A$13:$B$20,2,TRUE),IF(AND(AI52&gt;=67,AI52&lt;=72),VLOOKUP(H52,'WordRead Look Up'!$E$13:$F$20,2,TRUE),IF(AND(AI52&gt;=73,AI52&lt;=78),VLOOKUP(H52,'WordRead Look Up'!$I$13:$J$18,2,TRUE),IF(AND(AI52&gt;=79),VLOOKUP(H52,'WordRead Look Up'!$M$13:$N$18,2,TRUE),"")))))</f>
        <v/>
      </c>
      <c r="J52" s="122"/>
      <c r="K52" s="111"/>
      <c r="L52" s="111"/>
      <c r="M52" s="111"/>
      <c r="N52" s="111"/>
      <c r="O52" s="111"/>
      <c r="P52" s="111"/>
      <c r="Q52" s="111"/>
      <c r="R52" s="111"/>
      <c r="S52" s="111"/>
      <c r="T52" s="111"/>
      <c r="U52" s="111"/>
      <c r="V52" s="111"/>
      <c r="W52" s="111"/>
      <c r="X52" s="123"/>
      <c r="AG52" s="185"/>
      <c r="AH52" s="185"/>
      <c r="AI52" s="222" t="str">
        <f t="shared" si="1"/>
        <v/>
      </c>
    </row>
    <row r="53" spans="1:35" s="108" customFormat="1" ht="15.75">
      <c r="A53" s="119"/>
      <c r="B53" s="120"/>
      <c r="C53" s="111"/>
      <c r="D53" s="111"/>
      <c r="E53" s="121"/>
      <c r="F53" s="121"/>
      <c r="G53" s="113"/>
      <c r="H53" s="199" t="str">
        <f t="shared" si="0"/>
        <v/>
      </c>
      <c r="I53" s="200" t="str">
        <f>IF(H53="","",IF(AND(AI53&lt;=66),VLOOKUP(H53,'WordRead Look Up'!$A$13:$B$20,2,TRUE),IF(AND(AI53&gt;=67,AI53&lt;=72),VLOOKUP(H53,'WordRead Look Up'!$E$13:$F$20,2,TRUE),IF(AND(AI53&gt;=73,AI53&lt;=78),VLOOKUP(H53,'WordRead Look Up'!$I$13:$J$18,2,TRUE),IF(AND(AI53&gt;=79),VLOOKUP(H53,'WordRead Look Up'!$M$13:$N$18,2,TRUE),"")))))</f>
        <v/>
      </c>
      <c r="J53" s="122"/>
      <c r="K53" s="111"/>
      <c r="L53" s="111"/>
      <c r="M53" s="111"/>
      <c r="N53" s="111"/>
      <c r="O53" s="111"/>
      <c r="P53" s="111"/>
      <c r="Q53" s="111"/>
      <c r="R53" s="111"/>
      <c r="S53" s="111"/>
      <c r="T53" s="111"/>
      <c r="U53" s="111"/>
      <c r="V53" s="111"/>
      <c r="W53" s="111"/>
      <c r="X53" s="123"/>
      <c r="AG53" s="185"/>
      <c r="AH53" s="185"/>
      <c r="AI53" s="222" t="str">
        <f t="shared" si="1"/>
        <v/>
      </c>
    </row>
    <row r="54" spans="1:35" s="108" customFormat="1" ht="15.75">
      <c r="A54" s="119"/>
      <c r="B54" s="120"/>
      <c r="C54" s="111"/>
      <c r="D54" s="111"/>
      <c r="E54" s="121"/>
      <c r="F54" s="121"/>
      <c r="G54" s="113"/>
      <c r="H54" s="199" t="str">
        <f t="shared" si="0"/>
        <v/>
      </c>
      <c r="I54" s="200" t="str">
        <f>IF(H54="","",IF(AND(AI54&lt;=66),VLOOKUP(H54,'WordRead Look Up'!$A$13:$B$20,2,TRUE),IF(AND(AI54&gt;=67,AI54&lt;=72),VLOOKUP(H54,'WordRead Look Up'!$E$13:$F$20,2,TRUE),IF(AND(AI54&gt;=73,AI54&lt;=78),VLOOKUP(H54,'WordRead Look Up'!$I$13:$J$18,2,TRUE),IF(AND(AI54&gt;=79),VLOOKUP(H54,'WordRead Look Up'!$M$13:$N$18,2,TRUE),"")))))</f>
        <v/>
      </c>
      <c r="J54" s="122"/>
      <c r="K54" s="111"/>
      <c r="L54" s="111"/>
      <c r="M54" s="111"/>
      <c r="N54" s="111"/>
      <c r="O54" s="111"/>
      <c r="P54" s="111"/>
      <c r="Q54" s="111"/>
      <c r="R54" s="111"/>
      <c r="S54" s="111"/>
      <c r="T54" s="111"/>
      <c r="U54" s="111"/>
      <c r="V54" s="111"/>
      <c r="W54" s="111"/>
      <c r="X54" s="123"/>
      <c r="AG54" s="185"/>
      <c r="AH54" s="185"/>
      <c r="AI54" s="222" t="str">
        <f t="shared" si="1"/>
        <v/>
      </c>
    </row>
    <row r="55" spans="1:35" s="108" customFormat="1" ht="15.75">
      <c r="A55" s="119"/>
      <c r="B55" s="120"/>
      <c r="C55" s="111"/>
      <c r="D55" s="111"/>
      <c r="E55" s="121"/>
      <c r="F55" s="121"/>
      <c r="G55" s="113"/>
      <c r="H55" s="199" t="str">
        <f t="shared" si="0"/>
        <v/>
      </c>
      <c r="I55" s="200" t="str">
        <f>IF(H55="","",IF(AND(AI55&lt;=66),VLOOKUP(H55,'WordRead Look Up'!$A$13:$B$20,2,TRUE),IF(AND(AI55&gt;=67,AI55&lt;=72),VLOOKUP(H55,'WordRead Look Up'!$E$13:$F$20,2,TRUE),IF(AND(AI55&gt;=73,AI55&lt;=78),VLOOKUP(H55,'WordRead Look Up'!$I$13:$J$18,2,TRUE),IF(AND(AI55&gt;=79),VLOOKUP(H55,'WordRead Look Up'!$M$13:$N$18,2,TRUE),"")))))</f>
        <v/>
      </c>
      <c r="J55" s="122"/>
      <c r="K55" s="111"/>
      <c r="L55" s="111"/>
      <c r="M55" s="111"/>
      <c r="N55" s="111"/>
      <c r="O55" s="111"/>
      <c r="P55" s="111"/>
      <c r="Q55" s="111"/>
      <c r="R55" s="111"/>
      <c r="S55" s="111"/>
      <c r="T55" s="111"/>
      <c r="U55" s="111"/>
      <c r="V55" s="111"/>
      <c r="W55" s="111"/>
      <c r="X55" s="123"/>
      <c r="AG55" s="185"/>
      <c r="AH55" s="185"/>
      <c r="AI55" s="222" t="str">
        <f t="shared" si="1"/>
        <v/>
      </c>
    </row>
    <row r="56" spans="1:35" s="108" customFormat="1" ht="15.75">
      <c r="A56" s="119"/>
      <c r="B56" s="120"/>
      <c r="C56" s="111"/>
      <c r="D56" s="111"/>
      <c r="E56" s="121"/>
      <c r="F56" s="121"/>
      <c r="G56" s="113"/>
      <c r="H56" s="199" t="str">
        <f t="shared" si="0"/>
        <v/>
      </c>
      <c r="I56" s="200" t="str">
        <f>IF(H56="","",IF(AND(AI56&lt;=66),VLOOKUP(H56,'WordRead Look Up'!$A$13:$B$20,2,TRUE),IF(AND(AI56&gt;=67,AI56&lt;=72),VLOOKUP(H56,'WordRead Look Up'!$E$13:$F$20,2,TRUE),IF(AND(AI56&gt;=73,AI56&lt;=78),VLOOKUP(H56,'WordRead Look Up'!$I$13:$J$18,2,TRUE),IF(AND(AI56&gt;=79),VLOOKUP(H56,'WordRead Look Up'!$M$13:$N$18,2,TRUE),"")))))</f>
        <v/>
      </c>
      <c r="J56" s="122"/>
      <c r="K56" s="111"/>
      <c r="L56" s="111"/>
      <c r="M56" s="111"/>
      <c r="N56" s="111"/>
      <c r="O56" s="111"/>
      <c r="P56" s="111"/>
      <c r="Q56" s="111"/>
      <c r="R56" s="111"/>
      <c r="S56" s="111"/>
      <c r="T56" s="111"/>
      <c r="U56" s="111"/>
      <c r="V56" s="111"/>
      <c r="W56" s="111"/>
      <c r="X56" s="123"/>
      <c r="AG56" s="185"/>
      <c r="AH56" s="185"/>
      <c r="AI56" s="222" t="str">
        <f t="shared" si="1"/>
        <v/>
      </c>
    </row>
    <row r="57" spans="1:35" s="108" customFormat="1" ht="15.75">
      <c r="A57" s="119"/>
      <c r="B57" s="120"/>
      <c r="C57" s="111"/>
      <c r="D57" s="111"/>
      <c r="E57" s="121"/>
      <c r="F57" s="121"/>
      <c r="G57" s="113"/>
      <c r="H57" s="199" t="str">
        <f t="shared" si="0"/>
        <v/>
      </c>
      <c r="I57" s="200" t="str">
        <f>IF(H57="","",IF(AND(AI57&lt;=66),VLOOKUP(H57,'WordRead Look Up'!$A$13:$B$20,2,TRUE),IF(AND(AI57&gt;=67,AI57&lt;=72),VLOOKUP(H57,'WordRead Look Up'!$E$13:$F$20,2,TRUE),IF(AND(AI57&gt;=73,AI57&lt;=78),VLOOKUP(H57,'WordRead Look Up'!$I$13:$J$18,2,TRUE),IF(AND(AI57&gt;=79),VLOOKUP(H57,'WordRead Look Up'!$M$13:$N$18,2,TRUE),"")))))</f>
        <v/>
      </c>
      <c r="J57" s="122"/>
      <c r="K57" s="111"/>
      <c r="L57" s="111"/>
      <c r="M57" s="111"/>
      <c r="N57" s="111"/>
      <c r="O57" s="111"/>
      <c r="P57" s="111"/>
      <c r="Q57" s="111"/>
      <c r="R57" s="111"/>
      <c r="S57" s="111"/>
      <c r="T57" s="111"/>
      <c r="U57" s="111"/>
      <c r="V57" s="111"/>
      <c r="W57" s="111"/>
      <c r="X57" s="123"/>
      <c r="AG57" s="185"/>
      <c r="AH57" s="185"/>
      <c r="AI57" s="222" t="str">
        <f t="shared" si="1"/>
        <v/>
      </c>
    </row>
    <row r="58" spans="1:35" s="108" customFormat="1" ht="15.75">
      <c r="A58" s="119"/>
      <c r="B58" s="120"/>
      <c r="C58" s="111"/>
      <c r="D58" s="111"/>
      <c r="E58" s="121"/>
      <c r="F58" s="121"/>
      <c r="G58" s="113"/>
      <c r="H58" s="199" t="str">
        <f t="shared" si="0"/>
        <v/>
      </c>
      <c r="I58" s="200" t="str">
        <f>IF(H58="","",IF(AND(AI58&lt;=66),VLOOKUP(H58,'WordRead Look Up'!$A$13:$B$20,2,TRUE),IF(AND(AI58&gt;=67,AI58&lt;=72),VLOOKUP(H58,'WordRead Look Up'!$E$13:$F$20,2,TRUE),IF(AND(AI58&gt;=73,AI58&lt;=78),VLOOKUP(H58,'WordRead Look Up'!$I$13:$J$18,2,TRUE),IF(AND(AI58&gt;=79),VLOOKUP(H58,'WordRead Look Up'!$M$13:$N$18,2,TRUE),"")))))</f>
        <v/>
      </c>
      <c r="J58" s="122"/>
      <c r="K58" s="111"/>
      <c r="L58" s="111"/>
      <c r="M58" s="111"/>
      <c r="N58" s="111"/>
      <c r="O58" s="111"/>
      <c r="P58" s="111"/>
      <c r="Q58" s="111"/>
      <c r="R58" s="111"/>
      <c r="S58" s="111"/>
      <c r="T58" s="111"/>
      <c r="U58" s="111"/>
      <c r="V58" s="111"/>
      <c r="W58" s="111"/>
      <c r="X58" s="123"/>
      <c r="AG58" s="185"/>
      <c r="AH58" s="185"/>
      <c r="AI58" s="222" t="str">
        <f t="shared" si="1"/>
        <v/>
      </c>
    </row>
    <row r="59" spans="1:35" s="108" customFormat="1" ht="15.75">
      <c r="A59" s="119"/>
      <c r="B59" s="120"/>
      <c r="C59" s="111"/>
      <c r="D59" s="111"/>
      <c r="E59" s="121"/>
      <c r="F59" s="121"/>
      <c r="G59" s="113"/>
      <c r="H59" s="199" t="str">
        <f t="shared" si="0"/>
        <v/>
      </c>
      <c r="I59" s="200" t="str">
        <f>IF(H59="","",IF(AND(AI59&lt;=66),VLOOKUP(H59,'WordRead Look Up'!$A$13:$B$20,2,TRUE),IF(AND(AI59&gt;=67,AI59&lt;=72),VLOOKUP(H59,'WordRead Look Up'!$E$13:$F$20,2,TRUE),IF(AND(AI59&gt;=73,AI59&lt;=78),VLOOKUP(H59,'WordRead Look Up'!$I$13:$J$18,2,TRUE),IF(AND(AI59&gt;=79),VLOOKUP(H59,'WordRead Look Up'!$M$13:$N$18,2,TRUE),"")))))</f>
        <v/>
      </c>
      <c r="J59" s="122"/>
      <c r="K59" s="111"/>
      <c r="L59" s="111"/>
      <c r="M59" s="111"/>
      <c r="N59" s="111"/>
      <c r="O59" s="111"/>
      <c r="P59" s="111"/>
      <c r="Q59" s="111"/>
      <c r="R59" s="111"/>
      <c r="S59" s="111"/>
      <c r="T59" s="111"/>
      <c r="U59" s="111"/>
      <c r="V59" s="111"/>
      <c r="W59" s="111"/>
      <c r="X59" s="123"/>
      <c r="AG59" s="185"/>
      <c r="AH59" s="185"/>
      <c r="AI59" s="222" t="str">
        <f t="shared" si="1"/>
        <v/>
      </c>
    </row>
    <row r="60" spans="1:35" s="108" customFormat="1" ht="15.75">
      <c r="A60" s="119"/>
      <c r="B60" s="120"/>
      <c r="C60" s="111"/>
      <c r="D60" s="111"/>
      <c r="E60" s="121"/>
      <c r="F60" s="121"/>
      <c r="G60" s="113"/>
      <c r="H60" s="199" t="str">
        <f t="shared" si="0"/>
        <v/>
      </c>
      <c r="I60" s="200" t="str">
        <f>IF(H60="","",IF(AND(AI60&lt;=66),VLOOKUP(H60,'WordRead Look Up'!$A$13:$B$20,2,TRUE),IF(AND(AI60&gt;=67,AI60&lt;=72),VLOOKUP(H60,'WordRead Look Up'!$E$13:$F$20,2,TRUE),IF(AND(AI60&gt;=73,AI60&lt;=78),VLOOKUP(H60,'WordRead Look Up'!$I$13:$J$18,2,TRUE),IF(AND(AI60&gt;=79),VLOOKUP(H60,'WordRead Look Up'!$M$13:$N$18,2,TRUE),"")))))</f>
        <v/>
      </c>
      <c r="J60" s="122"/>
      <c r="K60" s="111"/>
      <c r="L60" s="111"/>
      <c r="M60" s="111"/>
      <c r="N60" s="111"/>
      <c r="O60" s="111"/>
      <c r="P60" s="111"/>
      <c r="Q60" s="111"/>
      <c r="R60" s="111"/>
      <c r="S60" s="111"/>
      <c r="T60" s="111"/>
      <c r="U60" s="111"/>
      <c r="V60" s="111"/>
      <c r="W60" s="111"/>
      <c r="X60" s="123"/>
      <c r="AG60" s="185"/>
      <c r="AH60" s="185"/>
      <c r="AI60" s="222" t="str">
        <f t="shared" si="1"/>
        <v/>
      </c>
    </row>
    <row r="61" spans="1:35" s="108" customFormat="1" ht="15.75">
      <c r="A61" s="119"/>
      <c r="B61" s="120"/>
      <c r="C61" s="111"/>
      <c r="D61" s="111"/>
      <c r="E61" s="121"/>
      <c r="F61" s="121"/>
      <c r="G61" s="113"/>
      <c r="H61" s="199" t="str">
        <f t="shared" si="0"/>
        <v/>
      </c>
      <c r="I61" s="200" t="str">
        <f>IF(H61="","",IF(AND(AI61&lt;=66),VLOOKUP(H61,'WordRead Look Up'!$A$13:$B$20,2,TRUE),IF(AND(AI61&gt;=67,AI61&lt;=72),VLOOKUP(H61,'WordRead Look Up'!$E$13:$F$20,2,TRUE),IF(AND(AI61&gt;=73,AI61&lt;=78),VLOOKUP(H61,'WordRead Look Up'!$I$13:$J$18,2,TRUE),IF(AND(AI61&gt;=79),VLOOKUP(H61,'WordRead Look Up'!$M$13:$N$18,2,TRUE),"")))))</f>
        <v/>
      </c>
      <c r="J61" s="122"/>
      <c r="K61" s="111"/>
      <c r="L61" s="111"/>
      <c r="M61" s="111"/>
      <c r="N61" s="111"/>
      <c r="O61" s="111"/>
      <c r="P61" s="111"/>
      <c r="Q61" s="111"/>
      <c r="R61" s="111"/>
      <c r="S61" s="111"/>
      <c r="T61" s="111"/>
      <c r="U61" s="111"/>
      <c r="V61" s="111"/>
      <c r="W61" s="111"/>
      <c r="X61" s="123"/>
      <c r="AG61" s="185"/>
      <c r="AH61" s="185"/>
      <c r="AI61" s="222" t="str">
        <f t="shared" si="1"/>
        <v/>
      </c>
    </row>
    <row r="62" spans="1:35" s="108" customFormat="1" ht="15.75">
      <c r="A62" s="119"/>
      <c r="B62" s="120"/>
      <c r="C62" s="111"/>
      <c r="D62" s="111"/>
      <c r="E62" s="121"/>
      <c r="F62" s="121"/>
      <c r="G62" s="113"/>
      <c r="H62" s="199" t="str">
        <f t="shared" si="0"/>
        <v/>
      </c>
      <c r="I62" s="200" t="str">
        <f>IF(H62="","",IF(AND(AI62&lt;=66),VLOOKUP(H62,'WordRead Look Up'!$A$13:$B$20,2,TRUE),IF(AND(AI62&gt;=67,AI62&lt;=72),VLOOKUP(H62,'WordRead Look Up'!$E$13:$F$20,2,TRUE),IF(AND(AI62&gt;=73,AI62&lt;=78),VLOOKUP(H62,'WordRead Look Up'!$I$13:$J$18,2,TRUE),IF(AND(AI62&gt;=79),VLOOKUP(H62,'WordRead Look Up'!$M$13:$N$18,2,TRUE),"")))))</f>
        <v/>
      </c>
      <c r="J62" s="122"/>
      <c r="K62" s="111"/>
      <c r="L62" s="111"/>
      <c r="M62" s="111"/>
      <c r="N62" s="111"/>
      <c r="O62" s="111"/>
      <c r="P62" s="111"/>
      <c r="Q62" s="111"/>
      <c r="R62" s="111"/>
      <c r="S62" s="111"/>
      <c r="T62" s="111"/>
      <c r="U62" s="111"/>
      <c r="V62" s="111"/>
      <c r="W62" s="111"/>
      <c r="X62" s="123"/>
      <c r="AG62" s="185"/>
      <c r="AH62" s="185"/>
      <c r="AI62" s="222" t="str">
        <f t="shared" si="1"/>
        <v/>
      </c>
    </row>
    <row r="63" spans="1:35" s="108" customFormat="1" ht="15.75">
      <c r="A63" s="119"/>
      <c r="B63" s="120"/>
      <c r="C63" s="111"/>
      <c r="D63" s="111"/>
      <c r="E63" s="121"/>
      <c r="F63" s="121"/>
      <c r="G63" s="113"/>
      <c r="H63" s="199" t="str">
        <f t="shared" si="0"/>
        <v/>
      </c>
      <c r="I63" s="200" t="str">
        <f>IF(H63="","",IF(AND(AI63&lt;=66),VLOOKUP(H63,'WordRead Look Up'!$A$13:$B$20,2,TRUE),IF(AND(AI63&gt;=67,AI63&lt;=72),VLOOKUP(H63,'WordRead Look Up'!$E$13:$F$20,2,TRUE),IF(AND(AI63&gt;=73,AI63&lt;=78),VLOOKUP(H63,'WordRead Look Up'!$I$13:$J$18,2,TRUE),IF(AND(AI63&gt;=79),VLOOKUP(H63,'WordRead Look Up'!$M$13:$N$18,2,TRUE),"")))))</f>
        <v/>
      </c>
      <c r="J63" s="122"/>
      <c r="K63" s="111"/>
      <c r="L63" s="111"/>
      <c r="M63" s="111"/>
      <c r="N63" s="111"/>
      <c r="O63" s="111"/>
      <c r="P63" s="111"/>
      <c r="Q63" s="111"/>
      <c r="R63" s="111"/>
      <c r="S63" s="111"/>
      <c r="T63" s="111"/>
      <c r="U63" s="111"/>
      <c r="V63" s="111"/>
      <c r="W63" s="111"/>
      <c r="X63" s="123"/>
      <c r="AG63" s="185"/>
      <c r="AH63" s="185"/>
      <c r="AI63" s="222" t="str">
        <f t="shared" si="1"/>
        <v/>
      </c>
    </row>
    <row r="64" spans="1:35" s="108" customFormat="1" ht="15.75">
      <c r="A64" s="119"/>
      <c r="B64" s="120"/>
      <c r="C64" s="111"/>
      <c r="D64" s="111"/>
      <c r="E64" s="121"/>
      <c r="F64" s="121"/>
      <c r="G64" s="113"/>
      <c r="H64" s="199" t="str">
        <f t="shared" si="0"/>
        <v/>
      </c>
      <c r="I64" s="200" t="str">
        <f>IF(H64="","",IF(AND(AI64&lt;=66),VLOOKUP(H64,'WordRead Look Up'!$A$13:$B$20,2,TRUE),IF(AND(AI64&gt;=67,AI64&lt;=72),VLOOKUP(H64,'WordRead Look Up'!$E$13:$F$20,2,TRUE),IF(AND(AI64&gt;=73,AI64&lt;=78),VLOOKUP(H64,'WordRead Look Up'!$I$13:$J$18,2,TRUE),IF(AND(AI64&gt;=79),VLOOKUP(H64,'WordRead Look Up'!$M$13:$N$18,2,TRUE),"")))))</f>
        <v/>
      </c>
      <c r="J64" s="122"/>
      <c r="K64" s="111"/>
      <c r="L64" s="111"/>
      <c r="M64" s="111"/>
      <c r="N64" s="111"/>
      <c r="O64" s="111"/>
      <c r="P64" s="111"/>
      <c r="Q64" s="111"/>
      <c r="R64" s="111"/>
      <c r="S64" s="111"/>
      <c r="T64" s="111"/>
      <c r="U64" s="111"/>
      <c r="V64" s="111"/>
      <c r="W64" s="111"/>
      <c r="X64" s="123"/>
      <c r="AG64" s="185"/>
      <c r="AH64" s="185"/>
      <c r="AI64" s="222" t="str">
        <f t="shared" si="1"/>
        <v/>
      </c>
    </row>
    <row r="65" spans="1:35" s="108" customFormat="1" ht="15.75">
      <c r="A65" s="119"/>
      <c r="B65" s="120"/>
      <c r="C65" s="111"/>
      <c r="D65" s="111"/>
      <c r="E65" s="121"/>
      <c r="F65" s="121"/>
      <c r="G65" s="113"/>
      <c r="H65" s="199" t="str">
        <f t="shared" si="0"/>
        <v/>
      </c>
      <c r="I65" s="200" t="str">
        <f>IF(H65="","",IF(AND(AI65&lt;=66),VLOOKUP(H65,'WordRead Look Up'!$A$13:$B$20,2,TRUE),IF(AND(AI65&gt;=67,AI65&lt;=72),VLOOKUP(H65,'WordRead Look Up'!$E$13:$F$20,2,TRUE),IF(AND(AI65&gt;=73,AI65&lt;=78),VLOOKUP(H65,'WordRead Look Up'!$I$13:$J$18,2,TRUE),IF(AND(AI65&gt;=79),VLOOKUP(H65,'WordRead Look Up'!$M$13:$N$18,2,TRUE),"")))))</f>
        <v/>
      </c>
      <c r="J65" s="122"/>
      <c r="K65" s="111"/>
      <c r="L65" s="111"/>
      <c r="M65" s="111"/>
      <c r="N65" s="111"/>
      <c r="O65" s="111"/>
      <c r="P65" s="111"/>
      <c r="Q65" s="111"/>
      <c r="R65" s="111"/>
      <c r="S65" s="111"/>
      <c r="T65" s="111"/>
      <c r="U65" s="111"/>
      <c r="V65" s="111"/>
      <c r="W65" s="111"/>
      <c r="X65" s="123"/>
      <c r="AG65" s="185"/>
      <c r="AH65" s="185"/>
      <c r="AI65" s="222" t="str">
        <f t="shared" si="1"/>
        <v/>
      </c>
    </row>
    <row r="66" spans="1:35" s="108" customFormat="1" ht="15.75">
      <c r="A66" s="119"/>
      <c r="B66" s="120"/>
      <c r="C66" s="111"/>
      <c r="D66" s="111"/>
      <c r="E66" s="121"/>
      <c r="F66" s="121"/>
      <c r="G66" s="113"/>
      <c r="H66" s="199" t="str">
        <f t="shared" si="0"/>
        <v/>
      </c>
      <c r="I66" s="200" t="str">
        <f>IF(H66="","",IF(AND(AI66&lt;=66),VLOOKUP(H66,'WordRead Look Up'!$A$13:$B$20,2,TRUE),IF(AND(AI66&gt;=67,AI66&lt;=72),VLOOKUP(H66,'WordRead Look Up'!$E$13:$F$20,2,TRUE),IF(AND(AI66&gt;=73,AI66&lt;=78),VLOOKUP(H66,'WordRead Look Up'!$I$13:$J$18,2,TRUE),IF(AND(AI66&gt;=79),VLOOKUP(H66,'WordRead Look Up'!$M$13:$N$18,2,TRUE),"")))))</f>
        <v/>
      </c>
      <c r="J66" s="122"/>
      <c r="K66" s="111"/>
      <c r="L66" s="111"/>
      <c r="M66" s="111"/>
      <c r="N66" s="111"/>
      <c r="O66" s="111"/>
      <c r="P66" s="111"/>
      <c r="Q66" s="111"/>
      <c r="R66" s="111"/>
      <c r="S66" s="111"/>
      <c r="T66" s="111"/>
      <c r="U66" s="111"/>
      <c r="V66" s="111"/>
      <c r="W66" s="111"/>
      <c r="X66" s="123"/>
      <c r="AG66" s="185"/>
      <c r="AH66" s="185"/>
      <c r="AI66" s="222" t="str">
        <f t="shared" si="1"/>
        <v/>
      </c>
    </row>
    <row r="67" spans="1:35" s="108" customFormat="1" ht="15.75">
      <c r="A67" s="119"/>
      <c r="B67" s="120"/>
      <c r="C67" s="111"/>
      <c r="D67" s="111"/>
      <c r="E67" s="121"/>
      <c r="F67" s="121"/>
      <c r="G67" s="113"/>
      <c r="H67" s="199" t="str">
        <f t="shared" si="0"/>
        <v/>
      </c>
      <c r="I67" s="200" t="str">
        <f>IF(H67="","",IF(AND(AI67&lt;=66),VLOOKUP(H67,'WordRead Look Up'!$A$13:$B$20,2,TRUE),IF(AND(AI67&gt;=67,AI67&lt;=72),VLOOKUP(H67,'WordRead Look Up'!$E$13:$F$20,2,TRUE),IF(AND(AI67&gt;=73,AI67&lt;=78),VLOOKUP(H67,'WordRead Look Up'!$I$13:$J$18,2,TRUE),IF(AND(AI67&gt;=79),VLOOKUP(H67,'WordRead Look Up'!$M$13:$N$18,2,TRUE),"")))))</f>
        <v/>
      </c>
      <c r="J67" s="122"/>
      <c r="K67" s="111"/>
      <c r="L67" s="111"/>
      <c r="M67" s="111"/>
      <c r="N67" s="111"/>
      <c r="O67" s="111"/>
      <c r="P67" s="111"/>
      <c r="Q67" s="111"/>
      <c r="R67" s="111"/>
      <c r="S67" s="111"/>
      <c r="T67" s="111"/>
      <c r="U67" s="111"/>
      <c r="V67" s="111"/>
      <c r="W67" s="111"/>
      <c r="X67" s="123"/>
      <c r="AG67" s="185"/>
      <c r="AH67" s="185"/>
      <c r="AI67" s="222" t="str">
        <f t="shared" si="1"/>
        <v/>
      </c>
    </row>
    <row r="68" spans="1:35" s="108" customFormat="1" ht="15.75">
      <c r="A68" s="119"/>
      <c r="B68" s="120"/>
      <c r="C68" s="111"/>
      <c r="D68" s="111"/>
      <c r="E68" s="121"/>
      <c r="F68" s="121"/>
      <c r="G68" s="113"/>
      <c r="H68" s="199" t="str">
        <f t="shared" si="0"/>
        <v/>
      </c>
      <c r="I68" s="200" t="str">
        <f>IF(H68="","",IF(AND(AI68&lt;=66),VLOOKUP(H68,'WordRead Look Up'!$A$13:$B$20,2,TRUE),IF(AND(AI68&gt;=67,AI68&lt;=72),VLOOKUP(H68,'WordRead Look Up'!$E$13:$F$20,2,TRUE),IF(AND(AI68&gt;=73,AI68&lt;=78),VLOOKUP(H68,'WordRead Look Up'!$I$13:$J$18,2,TRUE),IF(AND(AI68&gt;=79),VLOOKUP(H68,'WordRead Look Up'!$M$13:$N$18,2,TRUE),"")))))</f>
        <v/>
      </c>
      <c r="J68" s="122"/>
      <c r="K68" s="111"/>
      <c r="L68" s="111"/>
      <c r="M68" s="111"/>
      <c r="N68" s="111"/>
      <c r="O68" s="111"/>
      <c r="P68" s="111"/>
      <c r="Q68" s="111"/>
      <c r="R68" s="111"/>
      <c r="S68" s="111"/>
      <c r="T68" s="111"/>
      <c r="U68" s="111"/>
      <c r="V68" s="111"/>
      <c r="W68" s="111"/>
      <c r="X68" s="123"/>
      <c r="AG68" s="185"/>
      <c r="AH68" s="185"/>
      <c r="AI68" s="222" t="str">
        <f t="shared" si="1"/>
        <v/>
      </c>
    </row>
    <row r="69" spans="1:35" s="108" customFormat="1" ht="15.75">
      <c r="A69" s="119"/>
      <c r="B69" s="120"/>
      <c r="C69" s="111"/>
      <c r="D69" s="111"/>
      <c r="E69" s="121"/>
      <c r="F69" s="121"/>
      <c r="G69" s="113"/>
      <c r="H69" s="199" t="str">
        <f t="shared" si="0"/>
        <v/>
      </c>
      <c r="I69" s="200" t="str">
        <f>IF(H69="","",IF(AND(AI69&lt;=66),VLOOKUP(H69,'WordRead Look Up'!$A$13:$B$20,2,TRUE),IF(AND(AI69&gt;=67,AI69&lt;=72),VLOOKUP(H69,'WordRead Look Up'!$E$13:$F$20,2,TRUE),IF(AND(AI69&gt;=73,AI69&lt;=78),VLOOKUP(H69,'WordRead Look Up'!$I$13:$J$18,2,TRUE),IF(AND(AI69&gt;=79),VLOOKUP(H69,'WordRead Look Up'!$M$13:$N$18,2,TRUE),"")))))</f>
        <v/>
      </c>
      <c r="J69" s="122"/>
      <c r="K69" s="111"/>
      <c r="L69" s="111"/>
      <c r="M69" s="111"/>
      <c r="N69" s="111"/>
      <c r="O69" s="111"/>
      <c r="P69" s="111"/>
      <c r="Q69" s="111"/>
      <c r="R69" s="111"/>
      <c r="S69" s="111"/>
      <c r="T69" s="111"/>
      <c r="U69" s="111"/>
      <c r="V69" s="111"/>
      <c r="W69" s="111"/>
      <c r="X69" s="123"/>
      <c r="AG69" s="185"/>
      <c r="AH69" s="185"/>
      <c r="AI69" s="222" t="str">
        <f t="shared" si="1"/>
        <v/>
      </c>
    </row>
    <row r="70" spans="1:35" s="108" customFormat="1" ht="15.75">
      <c r="A70" s="119"/>
      <c r="B70" s="120"/>
      <c r="C70" s="111"/>
      <c r="D70" s="111"/>
      <c r="E70" s="121"/>
      <c r="F70" s="121"/>
      <c r="G70" s="113"/>
      <c r="H70" s="199" t="str">
        <f t="shared" si="0"/>
        <v/>
      </c>
      <c r="I70" s="200" t="str">
        <f>IF(H70="","",IF(AND(AI70&lt;=66),VLOOKUP(H70,'WordRead Look Up'!$A$13:$B$20,2,TRUE),IF(AND(AI70&gt;=67,AI70&lt;=72),VLOOKUP(H70,'WordRead Look Up'!$E$13:$F$20,2,TRUE),IF(AND(AI70&gt;=73,AI70&lt;=78),VLOOKUP(H70,'WordRead Look Up'!$I$13:$J$18,2,TRUE),IF(AND(AI70&gt;=79),VLOOKUP(H70,'WordRead Look Up'!$M$13:$N$18,2,TRUE),"")))))</f>
        <v/>
      </c>
      <c r="J70" s="122"/>
      <c r="K70" s="111"/>
      <c r="L70" s="111"/>
      <c r="M70" s="111"/>
      <c r="N70" s="111"/>
      <c r="O70" s="111"/>
      <c r="P70" s="111"/>
      <c r="Q70" s="111"/>
      <c r="R70" s="111"/>
      <c r="S70" s="111"/>
      <c r="T70" s="111"/>
      <c r="U70" s="111"/>
      <c r="V70" s="111"/>
      <c r="W70" s="111"/>
      <c r="X70" s="123"/>
      <c r="AG70" s="185"/>
      <c r="AH70" s="185"/>
      <c r="AI70" s="222" t="str">
        <f t="shared" si="1"/>
        <v/>
      </c>
    </row>
    <row r="71" spans="1:35" s="108" customFormat="1" ht="15.75">
      <c r="A71" s="119"/>
      <c r="B71" s="120"/>
      <c r="C71" s="111"/>
      <c r="D71" s="111"/>
      <c r="E71" s="121"/>
      <c r="F71" s="121"/>
      <c r="G71" s="113"/>
      <c r="H71" s="199" t="str">
        <f t="shared" si="0"/>
        <v/>
      </c>
      <c r="I71" s="200" t="str">
        <f>IF(H71="","",IF(AND(AI71&lt;=66),VLOOKUP(H71,'WordRead Look Up'!$A$13:$B$20,2,TRUE),IF(AND(AI71&gt;=67,AI71&lt;=72),VLOOKUP(H71,'WordRead Look Up'!$E$13:$F$20,2,TRUE),IF(AND(AI71&gt;=73,AI71&lt;=78),VLOOKUP(H71,'WordRead Look Up'!$I$13:$J$18,2,TRUE),IF(AND(AI71&gt;=79),VLOOKUP(H71,'WordRead Look Up'!$M$13:$N$18,2,TRUE),"")))))</f>
        <v/>
      </c>
      <c r="J71" s="122"/>
      <c r="K71" s="111"/>
      <c r="L71" s="111"/>
      <c r="M71" s="111"/>
      <c r="N71" s="111"/>
      <c r="O71" s="111"/>
      <c r="P71" s="111"/>
      <c r="Q71" s="111"/>
      <c r="R71" s="111"/>
      <c r="S71" s="111"/>
      <c r="T71" s="111"/>
      <c r="U71" s="111"/>
      <c r="V71" s="111"/>
      <c r="W71" s="111"/>
      <c r="X71" s="123"/>
      <c r="AG71" s="185"/>
      <c r="AH71" s="185"/>
      <c r="AI71" s="222" t="str">
        <f t="shared" si="1"/>
        <v/>
      </c>
    </row>
    <row r="72" spans="1:35" s="108" customFormat="1" ht="15.75">
      <c r="A72" s="119"/>
      <c r="B72" s="120"/>
      <c r="C72" s="111"/>
      <c r="D72" s="111"/>
      <c r="E72" s="121"/>
      <c r="F72" s="121"/>
      <c r="G72" s="113"/>
      <c r="H72" s="199" t="str">
        <f t="shared" ref="H72:H135" si="2">IF(E72="","",COUNTIF(J72:X72,"y"))</f>
        <v/>
      </c>
      <c r="I72" s="200" t="str">
        <f>IF(H72="","",IF(AND(AI72&lt;=66),VLOOKUP(H72,'WordRead Look Up'!$A$13:$B$20,2,TRUE),IF(AND(AI72&gt;=67,AI72&lt;=72),VLOOKUP(H72,'WordRead Look Up'!$E$13:$F$20,2,TRUE),IF(AND(AI72&gt;=73,AI72&lt;=78),VLOOKUP(H72,'WordRead Look Up'!$I$13:$J$18,2,TRUE),IF(AND(AI72&gt;=79),VLOOKUP(H72,'WordRead Look Up'!$M$13:$N$18,2,TRUE),"")))))</f>
        <v/>
      </c>
      <c r="J72" s="122"/>
      <c r="K72" s="111"/>
      <c r="L72" s="111"/>
      <c r="M72" s="111"/>
      <c r="N72" s="111"/>
      <c r="O72" s="111"/>
      <c r="P72" s="111"/>
      <c r="Q72" s="111"/>
      <c r="R72" s="111"/>
      <c r="S72" s="111"/>
      <c r="T72" s="111"/>
      <c r="U72" s="111"/>
      <c r="V72" s="111"/>
      <c r="W72" s="111"/>
      <c r="X72" s="123"/>
      <c r="AG72" s="185"/>
      <c r="AH72" s="185"/>
      <c r="AI72" s="222" t="str">
        <f t="shared" ref="AI72:AI135" si="3">IF(E72="","",DATEDIF(B72,A72,"m"))</f>
        <v/>
      </c>
    </row>
    <row r="73" spans="1:35" s="108" customFormat="1" ht="15.75">
      <c r="A73" s="119"/>
      <c r="B73" s="120"/>
      <c r="C73" s="111"/>
      <c r="D73" s="111"/>
      <c r="E73" s="121"/>
      <c r="F73" s="121"/>
      <c r="G73" s="113"/>
      <c r="H73" s="199" t="str">
        <f t="shared" si="2"/>
        <v/>
      </c>
      <c r="I73" s="200" t="str">
        <f>IF(H73="","",IF(AND(AI73&lt;=66),VLOOKUP(H73,'WordRead Look Up'!$A$13:$B$20,2,TRUE),IF(AND(AI73&gt;=67,AI73&lt;=72),VLOOKUP(H73,'WordRead Look Up'!$E$13:$F$20,2,TRUE),IF(AND(AI73&gt;=73,AI73&lt;=78),VLOOKUP(H73,'WordRead Look Up'!$I$13:$J$18,2,TRUE),IF(AND(AI73&gt;=79),VLOOKUP(H73,'WordRead Look Up'!$M$13:$N$18,2,TRUE),"")))))</f>
        <v/>
      </c>
      <c r="J73" s="122"/>
      <c r="K73" s="111"/>
      <c r="L73" s="111"/>
      <c r="M73" s="111"/>
      <c r="N73" s="111"/>
      <c r="O73" s="111"/>
      <c r="P73" s="111"/>
      <c r="Q73" s="111"/>
      <c r="R73" s="111"/>
      <c r="S73" s="111"/>
      <c r="T73" s="111"/>
      <c r="U73" s="111"/>
      <c r="V73" s="111"/>
      <c r="W73" s="111"/>
      <c r="X73" s="123"/>
      <c r="AG73" s="185"/>
      <c r="AH73" s="185"/>
      <c r="AI73" s="222" t="str">
        <f t="shared" si="3"/>
        <v/>
      </c>
    </row>
    <row r="74" spans="1:35" s="108" customFormat="1" ht="15.75">
      <c r="A74" s="119"/>
      <c r="B74" s="120"/>
      <c r="C74" s="111"/>
      <c r="D74" s="111"/>
      <c r="E74" s="121"/>
      <c r="F74" s="121"/>
      <c r="G74" s="113"/>
      <c r="H74" s="199" t="str">
        <f t="shared" si="2"/>
        <v/>
      </c>
      <c r="I74" s="200" t="str">
        <f>IF(H74="","",IF(AND(AI74&lt;=66),VLOOKUP(H74,'WordRead Look Up'!$A$13:$B$20,2,TRUE),IF(AND(AI74&gt;=67,AI74&lt;=72),VLOOKUP(H74,'WordRead Look Up'!$E$13:$F$20,2,TRUE),IF(AND(AI74&gt;=73,AI74&lt;=78),VLOOKUP(H74,'WordRead Look Up'!$I$13:$J$18,2,TRUE),IF(AND(AI74&gt;=79),VLOOKUP(H74,'WordRead Look Up'!$M$13:$N$18,2,TRUE),"")))))</f>
        <v/>
      </c>
      <c r="J74" s="122"/>
      <c r="K74" s="111"/>
      <c r="L74" s="111"/>
      <c r="M74" s="111"/>
      <c r="N74" s="111"/>
      <c r="O74" s="111"/>
      <c r="P74" s="111"/>
      <c r="Q74" s="111"/>
      <c r="R74" s="111"/>
      <c r="S74" s="111"/>
      <c r="T74" s="111"/>
      <c r="U74" s="111"/>
      <c r="V74" s="111"/>
      <c r="W74" s="111"/>
      <c r="X74" s="123"/>
      <c r="AG74" s="185"/>
      <c r="AH74" s="185"/>
      <c r="AI74" s="222" t="str">
        <f t="shared" si="3"/>
        <v/>
      </c>
    </row>
    <row r="75" spans="1:35" s="108" customFormat="1" ht="15.75">
      <c r="A75" s="119"/>
      <c r="B75" s="120"/>
      <c r="C75" s="111"/>
      <c r="D75" s="111"/>
      <c r="E75" s="121"/>
      <c r="F75" s="121"/>
      <c r="G75" s="113"/>
      <c r="H75" s="199" t="str">
        <f t="shared" si="2"/>
        <v/>
      </c>
      <c r="I75" s="200" t="str">
        <f>IF(H75="","",IF(AND(AI75&lt;=66),VLOOKUP(H75,'WordRead Look Up'!$A$13:$B$20,2,TRUE),IF(AND(AI75&gt;=67,AI75&lt;=72),VLOOKUP(H75,'WordRead Look Up'!$E$13:$F$20,2,TRUE),IF(AND(AI75&gt;=73,AI75&lt;=78),VLOOKUP(H75,'WordRead Look Up'!$I$13:$J$18,2,TRUE),IF(AND(AI75&gt;=79),VLOOKUP(H75,'WordRead Look Up'!$M$13:$N$18,2,TRUE),"")))))</f>
        <v/>
      </c>
      <c r="J75" s="122"/>
      <c r="K75" s="111"/>
      <c r="L75" s="111"/>
      <c r="M75" s="111"/>
      <c r="N75" s="111"/>
      <c r="O75" s="111"/>
      <c r="P75" s="111"/>
      <c r="Q75" s="111"/>
      <c r="R75" s="111"/>
      <c r="S75" s="111"/>
      <c r="T75" s="111"/>
      <c r="U75" s="111"/>
      <c r="V75" s="111"/>
      <c r="W75" s="111"/>
      <c r="X75" s="123"/>
      <c r="AG75" s="185"/>
      <c r="AH75" s="185"/>
      <c r="AI75" s="222" t="str">
        <f t="shared" si="3"/>
        <v/>
      </c>
    </row>
    <row r="76" spans="1:35" s="108" customFormat="1" ht="15.75">
      <c r="A76" s="119"/>
      <c r="B76" s="120"/>
      <c r="C76" s="111"/>
      <c r="D76" s="111"/>
      <c r="E76" s="121"/>
      <c r="F76" s="121"/>
      <c r="G76" s="113"/>
      <c r="H76" s="199" t="str">
        <f t="shared" si="2"/>
        <v/>
      </c>
      <c r="I76" s="200" t="str">
        <f>IF(H76="","",IF(AND(AI76&lt;=66),VLOOKUP(H76,'WordRead Look Up'!$A$13:$B$20,2,TRUE),IF(AND(AI76&gt;=67,AI76&lt;=72),VLOOKUP(H76,'WordRead Look Up'!$E$13:$F$20,2,TRUE),IF(AND(AI76&gt;=73,AI76&lt;=78),VLOOKUP(H76,'WordRead Look Up'!$I$13:$J$18,2,TRUE),IF(AND(AI76&gt;=79),VLOOKUP(H76,'WordRead Look Up'!$M$13:$N$18,2,TRUE),"")))))</f>
        <v/>
      </c>
      <c r="J76" s="122"/>
      <c r="K76" s="111"/>
      <c r="L76" s="111"/>
      <c r="M76" s="111"/>
      <c r="N76" s="111"/>
      <c r="O76" s="111"/>
      <c r="P76" s="111"/>
      <c r="Q76" s="111"/>
      <c r="R76" s="111"/>
      <c r="S76" s="111"/>
      <c r="T76" s="111"/>
      <c r="U76" s="111"/>
      <c r="V76" s="111"/>
      <c r="W76" s="111"/>
      <c r="X76" s="123"/>
      <c r="AG76" s="185"/>
      <c r="AH76" s="185"/>
      <c r="AI76" s="222" t="str">
        <f t="shared" si="3"/>
        <v/>
      </c>
    </row>
    <row r="77" spans="1:35" s="108" customFormat="1" ht="15.75">
      <c r="A77" s="119"/>
      <c r="B77" s="120"/>
      <c r="C77" s="111"/>
      <c r="D77" s="111"/>
      <c r="E77" s="121"/>
      <c r="F77" s="121"/>
      <c r="G77" s="113"/>
      <c r="H77" s="199" t="str">
        <f t="shared" si="2"/>
        <v/>
      </c>
      <c r="I77" s="200" t="str">
        <f>IF(H77="","",IF(AND(AI77&lt;=66),VLOOKUP(H77,'WordRead Look Up'!$A$13:$B$20,2,TRUE),IF(AND(AI77&gt;=67,AI77&lt;=72),VLOOKUP(H77,'WordRead Look Up'!$E$13:$F$20,2,TRUE),IF(AND(AI77&gt;=73,AI77&lt;=78),VLOOKUP(H77,'WordRead Look Up'!$I$13:$J$18,2,TRUE),IF(AND(AI77&gt;=79),VLOOKUP(H77,'WordRead Look Up'!$M$13:$N$18,2,TRUE),"")))))</f>
        <v/>
      </c>
      <c r="J77" s="122"/>
      <c r="K77" s="111"/>
      <c r="L77" s="111"/>
      <c r="M77" s="111"/>
      <c r="N77" s="111"/>
      <c r="O77" s="111"/>
      <c r="P77" s="111"/>
      <c r="Q77" s="111"/>
      <c r="R77" s="111"/>
      <c r="S77" s="111"/>
      <c r="T77" s="111"/>
      <c r="U77" s="111"/>
      <c r="V77" s="111"/>
      <c r="W77" s="111"/>
      <c r="X77" s="123"/>
      <c r="AG77" s="185"/>
      <c r="AH77" s="185"/>
      <c r="AI77" s="222" t="str">
        <f t="shared" si="3"/>
        <v/>
      </c>
    </row>
    <row r="78" spans="1:35" s="108" customFormat="1" ht="15.75">
      <c r="A78" s="119"/>
      <c r="B78" s="120"/>
      <c r="C78" s="111"/>
      <c r="D78" s="111"/>
      <c r="E78" s="121"/>
      <c r="F78" s="121"/>
      <c r="G78" s="113"/>
      <c r="H78" s="199" t="str">
        <f t="shared" si="2"/>
        <v/>
      </c>
      <c r="I78" s="200" t="str">
        <f>IF(H78="","",IF(AND(AI78&lt;=66),VLOOKUP(H78,'WordRead Look Up'!$A$13:$B$20,2,TRUE),IF(AND(AI78&gt;=67,AI78&lt;=72),VLOOKUP(H78,'WordRead Look Up'!$E$13:$F$20,2,TRUE),IF(AND(AI78&gt;=73,AI78&lt;=78),VLOOKUP(H78,'WordRead Look Up'!$I$13:$J$18,2,TRUE),IF(AND(AI78&gt;=79),VLOOKUP(H78,'WordRead Look Up'!$M$13:$N$18,2,TRUE),"")))))</f>
        <v/>
      </c>
      <c r="J78" s="122"/>
      <c r="K78" s="111"/>
      <c r="L78" s="111"/>
      <c r="M78" s="111"/>
      <c r="N78" s="111"/>
      <c r="O78" s="111"/>
      <c r="P78" s="111"/>
      <c r="Q78" s="111"/>
      <c r="R78" s="111"/>
      <c r="S78" s="111"/>
      <c r="T78" s="111"/>
      <c r="U78" s="111"/>
      <c r="V78" s="111"/>
      <c r="W78" s="111"/>
      <c r="X78" s="123"/>
      <c r="AG78" s="185"/>
      <c r="AH78" s="185"/>
      <c r="AI78" s="222" t="str">
        <f t="shared" si="3"/>
        <v/>
      </c>
    </row>
    <row r="79" spans="1:35" s="108" customFormat="1" ht="15.75">
      <c r="A79" s="119"/>
      <c r="B79" s="120"/>
      <c r="C79" s="111"/>
      <c r="D79" s="111"/>
      <c r="E79" s="121"/>
      <c r="F79" s="121"/>
      <c r="G79" s="113"/>
      <c r="H79" s="199" t="str">
        <f t="shared" si="2"/>
        <v/>
      </c>
      <c r="I79" s="200" t="str">
        <f>IF(H79="","",IF(AND(AI79&lt;=66),VLOOKUP(H79,'WordRead Look Up'!$A$13:$B$20,2,TRUE),IF(AND(AI79&gt;=67,AI79&lt;=72),VLOOKUP(H79,'WordRead Look Up'!$E$13:$F$20,2,TRUE),IF(AND(AI79&gt;=73,AI79&lt;=78),VLOOKUP(H79,'WordRead Look Up'!$I$13:$J$18,2,TRUE),IF(AND(AI79&gt;=79),VLOOKUP(H79,'WordRead Look Up'!$M$13:$N$18,2,TRUE),"")))))</f>
        <v/>
      </c>
      <c r="J79" s="122"/>
      <c r="K79" s="111"/>
      <c r="L79" s="111"/>
      <c r="M79" s="111"/>
      <c r="N79" s="111"/>
      <c r="O79" s="111"/>
      <c r="P79" s="111"/>
      <c r="Q79" s="111"/>
      <c r="R79" s="111"/>
      <c r="S79" s="111"/>
      <c r="T79" s="111"/>
      <c r="U79" s="111"/>
      <c r="V79" s="111"/>
      <c r="W79" s="111"/>
      <c r="X79" s="123"/>
      <c r="AG79" s="185"/>
      <c r="AH79" s="185"/>
      <c r="AI79" s="222" t="str">
        <f t="shared" si="3"/>
        <v/>
      </c>
    </row>
    <row r="80" spans="1:35" s="108" customFormat="1" ht="15.75">
      <c r="A80" s="119"/>
      <c r="B80" s="120"/>
      <c r="C80" s="111"/>
      <c r="D80" s="111"/>
      <c r="E80" s="121"/>
      <c r="F80" s="121"/>
      <c r="G80" s="113"/>
      <c r="H80" s="199" t="str">
        <f t="shared" si="2"/>
        <v/>
      </c>
      <c r="I80" s="200" t="str">
        <f>IF(H80="","",IF(AND(AI80&lt;=66),VLOOKUP(H80,'WordRead Look Up'!$A$13:$B$20,2,TRUE),IF(AND(AI80&gt;=67,AI80&lt;=72),VLOOKUP(H80,'WordRead Look Up'!$E$13:$F$20,2,TRUE),IF(AND(AI80&gt;=73,AI80&lt;=78),VLOOKUP(H80,'WordRead Look Up'!$I$13:$J$18,2,TRUE),IF(AND(AI80&gt;=79),VLOOKUP(H80,'WordRead Look Up'!$M$13:$N$18,2,TRUE),"")))))</f>
        <v/>
      </c>
      <c r="J80" s="122"/>
      <c r="K80" s="111"/>
      <c r="L80" s="111"/>
      <c r="M80" s="111"/>
      <c r="N80" s="111"/>
      <c r="O80" s="111"/>
      <c r="P80" s="111"/>
      <c r="Q80" s="111"/>
      <c r="R80" s="111"/>
      <c r="S80" s="111"/>
      <c r="T80" s="111"/>
      <c r="U80" s="111"/>
      <c r="V80" s="111"/>
      <c r="W80" s="111"/>
      <c r="X80" s="123"/>
      <c r="AG80" s="185"/>
      <c r="AH80" s="185"/>
      <c r="AI80" s="222" t="str">
        <f t="shared" si="3"/>
        <v/>
      </c>
    </row>
    <row r="81" spans="1:35" s="108" customFormat="1" ht="15.75">
      <c r="A81" s="119"/>
      <c r="B81" s="120"/>
      <c r="C81" s="111"/>
      <c r="D81" s="111"/>
      <c r="E81" s="121"/>
      <c r="F81" s="121"/>
      <c r="G81" s="113"/>
      <c r="H81" s="199" t="str">
        <f t="shared" si="2"/>
        <v/>
      </c>
      <c r="I81" s="200" t="str">
        <f>IF(H81="","",IF(AND(AI81&lt;=66),VLOOKUP(H81,'WordRead Look Up'!$A$13:$B$20,2,TRUE),IF(AND(AI81&gt;=67,AI81&lt;=72),VLOOKUP(H81,'WordRead Look Up'!$E$13:$F$20,2,TRUE),IF(AND(AI81&gt;=73,AI81&lt;=78),VLOOKUP(H81,'WordRead Look Up'!$I$13:$J$18,2,TRUE),IF(AND(AI81&gt;=79),VLOOKUP(H81,'WordRead Look Up'!$M$13:$N$18,2,TRUE),"")))))</f>
        <v/>
      </c>
      <c r="J81" s="122"/>
      <c r="K81" s="111"/>
      <c r="L81" s="111"/>
      <c r="M81" s="111"/>
      <c r="N81" s="111"/>
      <c r="O81" s="111"/>
      <c r="P81" s="111"/>
      <c r="Q81" s="111"/>
      <c r="R81" s="111"/>
      <c r="S81" s="111"/>
      <c r="T81" s="111"/>
      <c r="U81" s="111"/>
      <c r="V81" s="111"/>
      <c r="W81" s="111"/>
      <c r="X81" s="123"/>
      <c r="AG81" s="185"/>
      <c r="AH81" s="185"/>
      <c r="AI81" s="222" t="str">
        <f t="shared" si="3"/>
        <v/>
      </c>
    </row>
    <row r="82" spans="1:35" s="108" customFormat="1" ht="15.75">
      <c r="A82" s="119"/>
      <c r="B82" s="120"/>
      <c r="C82" s="111"/>
      <c r="D82" s="111"/>
      <c r="E82" s="121"/>
      <c r="F82" s="121"/>
      <c r="G82" s="113"/>
      <c r="H82" s="199" t="str">
        <f t="shared" si="2"/>
        <v/>
      </c>
      <c r="I82" s="200" t="str">
        <f>IF(H82="","",IF(AND(AI82&lt;=66),VLOOKUP(H82,'WordRead Look Up'!$A$13:$B$20,2,TRUE),IF(AND(AI82&gt;=67,AI82&lt;=72),VLOOKUP(H82,'WordRead Look Up'!$E$13:$F$20,2,TRUE),IF(AND(AI82&gt;=73,AI82&lt;=78),VLOOKUP(H82,'WordRead Look Up'!$I$13:$J$18,2,TRUE),IF(AND(AI82&gt;=79),VLOOKUP(H82,'WordRead Look Up'!$M$13:$N$18,2,TRUE),"")))))</f>
        <v/>
      </c>
      <c r="J82" s="122"/>
      <c r="K82" s="111"/>
      <c r="L82" s="111"/>
      <c r="M82" s="111"/>
      <c r="N82" s="111"/>
      <c r="O82" s="111"/>
      <c r="P82" s="111"/>
      <c r="Q82" s="111"/>
      <c r="R82" s="111"/>
      <c r="S82" s="111"/>
      <c r="T82" s="111"/>
      <c r="U82" s="111"/>
      <c r="V82" s="111"/>
      <c r="W82" s="111"/>
      <c r="X82" s="123"/>
      <c r="AG82" s="185"/>
      <c r="AH82" s="185"/>
      <c r="AI82" s="222" t="str">
        <f t="shared" si="3"/>
        <v/>
      </c>
    </row>
    <row r="83" spans="1:35" s="108" customFormat="1" ht="15.75">
      <c r="A83" s="119"/>
      <c r="B83" s="120"/>
      <c r="C83" s="111"/>
      <c r="D83" s="111"/>
      <c r="E83" s="121"/>
      <c r="F83" s="121"/>
      <c r="G83" s="113"/>
      <c r="H83" s="199" t="str">
        <f t="shared" si="2"/>
        <v/>
      </c>
      <c r="I83" s="200" t="str">
        <f>IF(H83="","",IF(AND(AI83&lt;=66),VLOOKUP(H83,'WordRead Look Up'!$A$13:$B$20,2,TRUE),IF(AND(AI83&gt;=67,AI83&lt;=72),VLOOKUP(H83,'WordRead Look Up'!$E$13:$F$20,2,TRUE),IF(AND(AI83&gt;=73,AI83&lt;=78),VLOOKUP(H83,'WordRead Look Up'!$I$13:$J$18,2,TRUE),IF(AND(AI83&gt;=79),VLOOKUP(H83,'WordRead Look Up'!$M$13:$N$18,2,TRUE),"")))))</f>
        <v/>
      </c>
      <c r="J83" s="122"/>
      <c r="K83" s="111"/>
      <c r="L83" s="111"/>
      <c r="M83" s="111"/>
      <c r="N83" s="111"/>
      <c r="O83" s="111"/>
      <c r="P83" s="111"/>
      <c r="Q83" s="111"/>
      <c r="R83" s="111"/>
      <c r="S83" s="111"/>
      <c r="T83" s="111"/>
      <c r="U83" s="111"/>
      <c r="V83" s="111"/>
      <c r="W83" s="111"/>
      <c r="X83" s="123"/>
      <c r="AG83" s="185"/>
      <c r="AH83" s="185"/>
      <c r="AI83" s="222" t="str">
        <f t="shared" si="3"/>
        <v/>
      </c>
    </row>
    <row r="84" spans="1:35" s="108" customFormat="1" ht="15.75">
      <c r="A84" s="119"/>
      <c r="B84" s="120"/>
      <c r="C84" s="111"/>
      <c r="D84" s="111"/>
      <c r="E84" s="121"/>
      <c r="F84" s="121"/>
      <c r="G84" s="113"/>
      <c r="H84" s="199" t="str">
        <f t="shared" si="2"/>
        <v/>
      </c>
      <c r="I84" s="200" t="str">
        <f>IF(H84="","",IF(AND(AI84&lt;=66),VLOOKUP(H84,'WordRead Look Up'!$A$13:$B$20,2,TRUE),IF(AND(AI84&gt;=67,AI84&lt;=72),VLOOKUP(H84,'WordRead Look Up'!$E$13:$F$20,2,TRUE),IF(AND(AI84&gt;=73,AI84&lt;=78),VLOOKUP(H84,'WordRead Look Up'!$I$13:$J$18,2,TRUE),IF(AND(AI84&gt;=79),VLOOKUP(H84,'WordRead Look Up'!$M$13:$N$18,2,TRUE),"")))))</f>
        <v/>
      </c>
      <c r="J84" s="122"/>
      <c r="K84" s="111"/>
      <c r="L84" s="111"/>
      <c r="M84" s="111"/>
      <c r="N84" s="111"/>
      <c r="O84" s="111"/>
      <c r="P84" s="111"/>
      <c r="Q84" s="111"/>
      <c r="R84" s="111"/>
      <c r="S84" s="111"/>
      <c r="T84" s="111"/>
      <c r="U84" s="111"/>
      <c r="V84" s="111"/>
      <c r="W84" s="111"/>
      <c r="X84" s="123"/>
      <c r="AG84" s="185"/>
      <c r="AH84" s="185"/>
      <c r="AI84" s="222" t="str">
        <f t="shared" si="3"/>
        <v/>
      </c>
    </row>
    <row r="85" spans="1:35" s="108" customFormat="1" ht="15.75">
      <c r="A85" s="119"/>
      <c r="B85" s="120"/>
      <c r="C85" s="111"/>
      <c r="D85" s="111"/>
      <c r="E85" s="121"/>
      <c r="F85" s="121"/>
      <c r="G85" s="113"/>
      <c r="H85" s="199" t="str">
        <f t="shared" si="2"/>
        <v/>
      </c>
      <c r="I85" s="200" t="str">
        <f>IF(H85="","",IF(AND(AI85&lt;=66),VLOOKUP(H85,'WordRead Look Up'!$A$13:$B$20,2,TRUE),IF(AND(AI85&gt;=67,AI85&lt;=72),VLOOKUP(H85,'WordRead Look Up'!$E$13:$F$20,2,TRUE),IF(AND(AI85&gt;=73,AI85&lt;=78),VLOOKUP(H85,'WordRead Look Up'!$I$13:$J$18,2,TRUE),IF(AND(AI85&gt;=79),VLOOKUP(H85,'WordRead Look Up'!$M$13:$N$18,2,TRUE),"")))))</f>
        <v/>
      </c>
      <c r="J85" s="122"/>
      <c r="K85" s="111"/>
      <c r="L85" s="111"/>
      <c r="M85" s="111"/>
      <c r="N85" s="111"/>
      <c r="O85" s="111"/>
      <c r="P85" s="111"/>
      <c r="Q85" s="111"/>
      <c r="R85" s="111"/>
      <c r="S85" s="111"/>
      <c r="T85" s="111"/>
      <c r="U85" s="111"/>
      <c r="V85" s="111"/>
      <c r="W85" s="111"/>
      <c r="X85" s="123"/>
      <c r="AG85" s="185"/>
      <c r="AH85" s="185"/>
      <c r="AI85" s="222" t="str">
        <f t="shared" si="3"/>
        <v/>
      </c>
    </row>
    <row r="86" spans="1:35" s="108" customFormat="1" ht="15.75">
      <c r="A86" s="119"/>
      <c r="B86" s="120"/>
      <c r="C86" s="111"/>
      <c r="D86" s="111"/>
      <c r="E86" s="121"/>
      <c r="F86" s="121"/>
      <c r="G86" s="113"/>
      <c r="H86" s="199" t="str">
        <f t="shared" si="2"/>
        <v/>
      </c>
      <c r="I86" s="200" t="str">
        <f>IF(H86="","",IF(AND(AI86&lt;=66),VLOOKUP(H86,'WordRead Look Up'!$A$13:$B$20,2,TRUE),IF(AND(AI86&gt;=67,AI86&lt;=72),VLOOKUP(H86,'WordRead Look Up'!$E$13:$F$20,2,TRUE),IF(AND(AI86&gt;=73,AI86&lt;=78),VLOOKUP(H86,'WordRead Look Up'!$I$13:$J$18,2,TRUE),IF(AND(AI86&gt;=79),VLOOKUP(H86,'WordRead Look Up'!$M$13:$N$18,2,TRUE),"")))))</f>
        <v/>
      </c>
      <c r="J86" s="122"/>
      <c r="K86" s="111"/>
      <c r="L86" s="111"/>
      <c r="M86" s="111"/>
      <c r="N86" s="111"/>
      <c r="O86" s="111"/>
      <c r="P86" s="111"/>
      <c r="Q86" s="111"/>
      <c r="R86" s="111"/>
      <c r="S86" s="111"/>
      <c r="T86" s="111"/>
      <c r="U86" s="111"/>
      <c r="V86" s="111"/>
      <c r="W86" s="111"/>
      <c r="X86" s="123"/>
      <c r="AG86" s="185"/>
      <c r="AH86" s="185"/>
      <c r="AI86" s="222" t="str">
        <f t="shared" si="3"/>
        <v/>
      </c>
    </row>
    <row r="87" spans="1:35" s="108" customFormat="1" ht="15.75">
      <c r="A87" s="119"/>
      <c r="B87" s="120"/>
      <c r="C87" s="111"/>
      <c r="D87" s="111"/>
      <c r="E87" s="121"/>
      <c r="F87" s="121"/>
      <c r="G87" s="113"/>
      <c r="H87" s="199" t="str">
        <f t="shared" si="2"/>
        <v/>
      </c>
      <c r="I87" s="200" t="str">
        <f>IF(H87="","",IF(AND(AI87&lt;=66),VLOOKUP(H87,'WordRead Look Up'!$A$13:$B$20,2,TRUE),IF(AND(AI87&gt;=67,AI87&lt;=72),VLOOKUP(H87,'WordRead Look Up'!$E$13:$F$20,2,TRUE),IF(AND(AI87&gt;=73,AI87&lt;=78),VLOOKUP(H87,'WordRead Look Up'!$I$13:$J$18,2,TRUE),IF(AND(AI87&gt;=79),VLOOKUP(H87,'WordRead Look Up'!$M$13:$N$18,2,TRUE),"")))))</f>
        <v/>
      </c>
      <c r="J87" s="122"/>
      <c r="K87" s="111"/>
      <c r="L87" s="111"/>
      <c r="M87" s="111"/>
      <c r="N87" s="111"/>
      <c r="O87" s="111"/>
      <c r="P87" s="111"/>
      <c r="Q87" s="111"/>
      <c r="R87" s="111"/>
      <c r="S87" s="111"/>
      <c r="T87" s="111"/>
      <c r="U87" s="111"/>
      <c r="V87" s="111"/>
      <c r="W87" s="111"/>
      <c r="X87" s="123"/>
      <c r="AG87" s="185"/>
      <c r="AH87" s="185"/>
      <c r="AI87" s="222" t="str">
        <f t="shared" si="3"/>
        <v/>
      </c>
    </row>
    <row r="88" spans="1:35" s="108" customFormat="1" ht="15.75">
      <c r="A88" s="119"/>
      <c r="B88" s="120"/>
      <c r="C88" s="111"/>
      <c r="D88" s="111"/>
      <c r="E88" s="121"/>
      <c r="F88" s="121"/>
      <c r="G88" s="113"/>
      <c r="H88" s="199" t="str">
        <f t="shared" si="2"/>
        <v/>
      </c>
      <c r="I88" s="200" t="str">
        <f>IF(H88="","",IF(AND(AI88&lt;=66),VLOOKUP(H88,'WordRead Look Up'!$A$13:$B$20,2,TRUE),IF(AND(AI88&gt;=67,AI88&lt;=72),VLOOKUP(H88,'WordRead Look Up'!$E$13:$F$20,2,TRUE),IF(AND(AI88&gt;=73,AI88&lt;=78),VLOOKUP(H88,'WordRead Look Up'!$I$13:$J$18,2,TRUE),IF(AND(AI88&gt;=79),VLOOKUP(H88,'WordRead Look Up'!$M$13:$N$18,2,TRUE),"")))))</f>
        <v/>
      </c>
      <c r="J88" s="122"/>
      <c r="K88" s="111"/>
      <c r="L88" s="111"/>
      <c r="M88" s="111"/>
      <c r="N88" s="111"/>
      <c r="O88" s="111"/>
      <c r="P88" s="111"/>
      <c r="Q88" s="111"/>
      <c r="R88" s="111"/>
      <c r="S88" s="111"/>
      <c r="T88" s="111"/>
      <c r="U88" s="111"/>
      <c r="V88" s="111"/>
      <c r="W88" s="111"/>
      <c r="X88" s="123"/>
      <c r="AG88" s="185"/>
      <c r="AH88" s="185"/>
      <c r="AI88" s="222" t="str">
        <f t="shared" si="3"/>
        <v/>
      </c>
    </row>
    <row r="89" spans="1:35" s="108" customFormat="1" ht="15.75">
      <c r="A89" s="119"/>
      <c r="B89" s="120"/>
      <c r="C89" s="111"/>
      <c r="D89" s="111"/>
      <c r="E89" s="121"/>
      <c r="F89" s="121"/>
      <c r="G89" s="113"/>
      <c r="H89" s="199" t="str">
        <f t="shared" si="2"/>
        <v/>
      </c>
      <c r="I89" s="200" t="str">
        <f>IF(H89="","",IF(AND(AI89&lt;=66),VLOOKUP(H89,'WordRead Look Up'!$A$13:$B$20,2,TRUE),IF(AND(AI89&gt;=67,AI89&lt;=72),VLOOKUP(H89,'WordRead Look Up'!$E$13:$F$20,2,TRUE),IF(AND(AI89&gt;=73,AI89&lt;=78),VLOOKUP(H89,'WordRead Look Up'!$I$13:$J$18,2,TRUE),IF(AND(AI89&gt;=79),VLOOKUP(H89,'WordRead Look Up'!$M$13:$N$18,2,TRUE),"")))))</f>
        <v/>
      </c>
      <c r="J89" s="122"/>
      <c r="K89" s="111"/>
      <c r="L89" s="111"/>
      <c r="M89" s="111"/>
      <c r="N89" s="111"/>
      <c r="O89" s="111"/>
      <c r="P89" s="111"/>
      <c r="Q89" s="111"/>
      <c r="R89" s="111"/>
      <c r="S89" s="111"/>
      <c r="T89" s="111"/>
      <c r="U89" s="111"/>
      <c r="V89" s="111"/>
      <c r="W89" s="111"/>
      <c r="X89" s="123"/>
      <c r="AG89" s="185"/>
      <c r="AH89" s="185"/>
      <c r="AI89" s="222" t="str">
        <f t="shared" si="3"/>
        <v/>
      </c>
    </row>
    <row r="90" spans="1:35" s="108" customFormat="1" ht="15.75">
      <c r="A90" s="119"/>
      <c r="B90" s="120"/>
      <c r="C90" s="111"/>
      <c r="D90" s="111"/>
      <c r="E90" s="121"/>
      <c r="F90" s="121"/>
      <c r="G90" s="113"/>
      <c r="H90" s="199" t="str">
        <f t="shared" si="2"/>
        <v/>
      </c>
      <c r="I90" s="200" t="str">
        <f>IF(H90="","",IF(AND(AI90&lt;=66),VLOOKUP(H90,'WordRead Look Up'!$A$13:$B$20,2,TRUE),IF(AND(AI90&gt;=67,AI90&lt;=72),VLOOKUP(H90,'WordRead Look Up'!$E$13:$F$20,2,TRUE),IF(AND(AI90&gt;=73,AI90&lt;=78),VLOOKUP(H90,'WordRead Look Up'!$I$13:$J$18,2,TRUE),IF(AND(AI90&gt;=79),VLOOKUP(H90,'WordRead Look Up'!$M$13:$N$18,2,TRUE),"")))))</f>
        <v/>
      </c>
      <c r="J90" s="122"/>
      <c r="K90" s="111"/>
      <c r="L90" s="111"/>
      <c r="M90" s="111"/>
      <c r="N90" s="111"/>
      <c r="O90" s="111"/>
      <c r="P90" s="111"/>
      <c r="Q90" s="111"/>
      <c r="R90" s="111"/>
      <c r="S90" s="111"/>
      <c r="T90" s="111"/>
      <c r="U90" s="111"/>
      <c r="V90" s="111"/>
      <c r="W90" s="111"/>
      <c r="X90" s="123"/>
      <c r="AG90" s="185"/>
      <c r="AH90" s="185"/>
      <c r="AI90" s="222" t="str">
        <f t="shared" si="3"/>
        <v/>
      </c>
    </row>
    <row r="91" spans="1:35" s="108" customFormat="1" ht="15.75">
      <c r="A91" s="119"/>
      <c r="B91" s="120"/>
      <c r="C91" s="111"/>
      <c r="D91" s="111"/>
      <c r="E91" s="121"/>
      <c r="F91" s="121"/>
      <c r="G91" s="113"/>
      <c r="H91" s="199" t="str">
        <f t="shared" si="2"/>
        <v/>
      </c>
      <c r="I91" s="200" t="str">
        <f>IF(H91="","",IF(AND(AI91&lt;=66),VLOOKUP(H91,'WordRead Look Up'!$A$13:$B$20,2,TRUE),IF(AND(AI91&gt;=67,AI91&lt;=72),VLOOKUP(H91,'WordRead Look Up'!$E$13:$F$20,2,TRUE),IF(AND(AI91&gt;=73,AI91&lt;=78),VLOOKUP(H91,'WordRead Look Up'!$I$13:$J$18,2,TRUE),IF(AND(AI91&gt;=79),VLOOKUP(H91,'WordRead Look Up'!$M$13:$N$18,2,TRUE),"")))))</f>
        <v/>
      </c>
      <c r="J91" s="122"/>
      <c r="K91" s="111"/>
      <c r="L91" s="111"/>
      <c r="M91" s="111"/>
      <c r="N91" s="111"/>
      <c r="O91" s="111"/>
      <c r="P91" s="111"/>
      <c r="Q91" s="111"/>
      <c r="R91" s="111"/>
      <c r="S91" s="111"/>
      <c r="T91" s="111"/>
      <c r="U91" s="111"/>
      <c r="V91" s="111"/>
      <c r="W91" s="111"/>
      <c r="X91" s="123"/>
      <c r="AG91" s="185"/>
      <c r="AH91" s="185"/>
      <c r="AI91" s="222" t="str">
        <f t="shared" si="3"/>
        <v/>
      </c>
    </row>
    <row r="92" spans="1:35" s="108" customFormat="1" ht="15.75">
      <c r="A92" s="119"/>
      <c r="B92" s="120"/>
      <c r="C92" s="111"/>
      <c r="D92" s="111"/>
      <c r="E92" s="121"/>
      <c r="F92" s="121"/>
      <c r="G92" s="113"/>
      <c r="H92" s="199" t="str">
        <f t="shared" si="2"/>
        <v/>
      </c>
      <c r="I92" s="200" t="str">
        <f>IF(H92="","",IF(AND(AI92&lt;=66),VLOOKUP(H92,'WordRead Look Up'!$A$13:$B$20,2,TRUE),IF(AND(AI92&gt;=67,AI92&lt;=72),VLOOKUP(H92,'WordRead Look Up'!$E$13:$F$20,2,TRUE),IF(AND(AI92&gt;=73,AI92&lt;=78),VLOOKUP(H92,'WordRead Look Up'!$I$13:$J$18,2,TRUE),IF(AND(AI92&gt;=79),VLOOKUP(H92,'WordRead Look Up'!$M$13:$N$18,2,TRUE),"")))))</f>
        <v/>
      </c>
      <c r="J92" s="122"/>
      <c r="K92" s="111"/>
      <c r="L92" s="111"/>
      <c r="M92" s="111"/>
      <c r="N92" s="111"/>
      <c r="O92" s="111"/>
      <c r="P92" s="111"/>
      <c r="Q92" s="111"/>
      <c r="R92" s="111"/>
      <c r="S92" s="111"/>
      <c r="T92" s="111"/>
      <c r="U92" s="111"/>
      <c r="V92" s="111"/>
      <c r="W92" s="111"/>
      <c r="X92" s="123"/>
      <c r="AG92" s="185"/>
      <c r="AH92" s="185"/>
      <c r="AI92" s="222" t="str">
        <f t="shared" si="3"/>
        <v/>
      </c>
    </row>
    <row r="93" spans="1:35" s="108" customFormat="1" ht="15.75">
      <c r="A93" s="119"/>
      <c r="B93" s="120"/>
      <c r="C93" s="111"/>
      <c r="D93" s="111"/>
      <c r="E93" s="121"/>
      <c r="F93" s="121"/>
      <c r="G93" s="113"/>
      <c r="H93" s="199" t="str">
        <f t="shared" si="2"/>
        <v/>
      </c>
      <c r="I93" s="200" t="str">
        <f>IF(H93="","",IF(AND(AI93&lt;=66),VLOOKUP(H93,'WordRead Look Up'!$A$13:$B$20,2,TRUE),IF(AND(AI93&gt;=67,AI93&lt;=72),VLOOKUP(H93,'WordRead Look Up'!$E$13:$F$20,2,TRUE),IF(AND(AI93&gt;=73,AI93&lt;=78),VLOOKUP(H93,'WordRead Look Up'!$I$13:$J$18,2,TRUE),IF(AND(AI93&gt;=79),VLOOKUP(H93,'WordRead Look Up'!$M$13:$N$18,2,TRUE),"")))))</f>
        <v/>
      </c>
      <c r="J93" s="122"/>
      <c r="K93" s="111"/>
      <c r="L93" s="111"/>
      <c r="M93" s="111"/>
      <c r="N93" s="111"/>
      <c r="O93" s="111"/>
      <c r="P93" s="111"/>
      <c r="Q93" s="111"/>
      <c r="R93" s="111"/>
      <c r="S93" s="111"/>
      <c r="T93" s="111"/>
      <c r="U93" s="111"/>
      <c r="V93" s="111"/>
      <c r="W93" s="111"/>
      <c r="X93" s="123"/>
      <c r="AG93" s="185"/>
      <c r="AH93" s="185"/>
      <c r="AI93" s="222" t="str">
        <f t="shared" si="3"/>
        <v/>
      </c>
    </row>
    <row r="94" spans="1:35" s="108" customFormat="1" ht="15.75">
      <c r="A94" s="119"/>
      <c r="B94" s="120"/>
      <c r="C94" s="111"/>
      <c r="D94" s="111"/>
      <c r="E94" s="121"/>
      <c r="F94" s="121"/>
      <c r="G94" s="113"/>
      <c r="H94" s="199" t="str">
        <f t="shared" si="2"/>
        <v/>
      </c>
      <c r="I94" s="200" t="str">
        <f>IF(H94="","",IF(AND(AI94&lt;=66),VLOOKUP(H94,'WordRead Look Up'!$A$13:$B$20,2,TRUE),IF(AND(AI94&gt;=67,AI94&lt;=72),VLOOKUP(H94,'WordRead Look Up'!$E$13:$F$20,2,TRUE),IF(AND(AI94&gt;=73,AI94&lt;=78),VLOOKUP(H94,'WordRead Look Up'!$I$13:$J$18,2,TRUE),IF(AND(AI94&gt;=79),VLOOKUP(H94,'WordRead Look Up'!$M$13:$N$18,2,TRUE),"")))))</f>
        <v/>
      </c>
      <c r="J94" s="122"/>
      <c r="K94" s="111"/>
      <c r="L94" s="111"/>
      <c r="M94" s="111"/>
      <c r="N94" s="111"/>
      <c r="O94" s="111"/>
      <c r="P94" s="111"/>
      <c r="Q94" s="111"/>
      <c r="R94" s="111"/>
      <c r="S94" s="111"/>
      <c r="T94" s="111"/>
      <c r="U94" s="111"/>
      <c r="V94" s="111"/>
      <c r="W94" s="111"/>
      <c r="X94" s="123"/>
      <c r="AG94" s="185"/>
      <c r="AH94" s="185"/>
      <c r="AI94" s="222" t="str">
        <f t="shared" si="3"/>
        <v/>
      </c>
    </row>
    <row r="95" spans="1:35" s="108" customFormat="1" ht="15.75">
      <c r="A95" s="119"/>
      <c r="B95" s="120"/>
      <c r="C95" s="111"/>
      <c r="D95" s="111"/>
      <c r="E95" s="121"/>
      <c r="F95" s="121"/>
      <c r="G95" s="113"/>
      <c r="H95" s="199" t="str">
        <f t="shared" si="2"/>
        <v/>
      </c>
      <c r="I95" s="200" t="str">
        <f>IF(H95="","",IF(AND(AI95&lt;=66),VLOOKUP(H95,'WordRead Look Up'!$A$13:$B$20,2,TRUE),IF(AND(AI95&gt;=67,AI95&lt;=72),VLOOKUP(H95,'WordRead Look Up'!$E$13:$F$20,2,TRUE),IF(AND(AI95&gt;=73,AI95&lt;=78),VLOOKUP(H95,'WordRead Look Up'!$I$13:$J$18,2,TRUE),IF(AND(AI95&gt;=79),VLOOKUP(H95,'WordRead Look Up'!$M$13:$N$18,2,TRUE),"")))))</f>
        <v/>
      </c>
      <c r="J95" s="122"/>
      <c r="K95" s="111"/>
      <c r="L95" s="111"/>
      <c r="M95" s="111"/>
      <c r="N95" s="111"/>
      <c r="O95" s="111"/>
      <c r="P95" s="111"/>
      <c r="Q95" s="111"/>
      <c r="R95" s="111"/>
      <c r="S95" s="111"/>
      <c r="T95" s="111"/>
      <c r="U95" s="111"/>
      <c r="V95" s="111"/>
      <c r="W95" s="111"/>
      <c r="X95" s="123"/>
      <c r="AG95" s="185"/>
      <c r="AH95" s="185"/>
      <c r="AI95" s="222" t="str">
        <f t="shared" si="3"/>
        <v/>
      </c>
    </row>
    <row r="96" spans="1:35" s="108" customFormat="1" ht="15.75">
      <c r="A96" s="119"/>
      <c r="B96" s="120"/>
      <c r="C96" s="111"/>
      <c r="D96" s="111"/>
      <c r="E96" s="121"/>
      <c r="F96" s="121"/>
      <c r="G96" s="113"/>
      <c r="H96" s="199" t="str">
        <f t="shared" si="2"/>
        <v/>
      </c>
      <c r="I96" s="200" t="str">
        <f>IF(H96="","",IF(AND(AI96&lt;=66),VLOOKUP(H96,'WordRead Look Up'!$A$13:$B$20,2,TRUE),IF(AND(AI96&gt;=67,AI96&lt;=72),VLOOKUP(H96,'WordRead Look Up'!$E$13:$F$20,2,TRUE),IF(AND(AI96&gt;=73,AI96&lt;=78),VLOOKUP(H96,'WordRead Look Up'!$I$13:$J$18,2,TRUE),IF(AND(AI96&gt;=79),VLOOKUP(H96,'WordRead Look Up'!$M$13:$N$18,2,TRUE),"")))))</f>
        <v/>
      </c>
      <c r="J96" s="122"/>
      <c r="K96" s="111"/>
      <c r="L96" s="111"/>
      <c r="M96" s="111"/>
      <c r="N96" s="111"/>
      <c r="O96" s="111"/>
      <c r="P96" s="111"/>
      <c r="Q96" s="111"/>
      <c r="R96" s="111"/>
      <c r="S96" s="111"/>
      <c r="T96" s="111"/>
      <c r="U96" s="111"/>
      <c r="V96" s="111"/>
      <c r="W96" s="111"/>
      <c r="X96" s="123"/>
      <c r="AG96" s="185"/>
      <c r="AH96" s="185"/>
      <c r="AI96" s="222" t="str">
        <f t="shared" si="3"/>
        <v/>
      </c>
    </row>
    <row r="97" spans="1:35" s="108" customFormat="1" ht="15.75">
      <c r="A97" s="119"/>
      <c r="B97" s="120"/>
      <c r="C97" s="111"/>
      <c r="D97" s="111"/>
      <c r="E97" s="121"/>
      <c r="F97" s="121"/>
      <c r="G97" s="113"/>
      <c r="H97" s="199" t="str">
        <f t="shared" si="2"/>
        <v/>
      </c>
      <c r="I97" s="200" t="str">
        <f>IF(H97="","",IF(AND(AI97&lt;=66),VLOOKUP(H97,'WordRead Look Up'!$A$13:$B$20,2,TRUE),IF(AND(AI97&gt;=67,AI97&lt;=72),VLOOKUP(H97,'WordRead Look Up'!$E$13:$F$20,2,TRUE),IF(AND(AI97&gt;=73,AI97&lt;=78),VLOOKUP(H97,'WordRead Look Up'!$I$13:$J$18,2,TRUE),IF(AND(AI97&gt;=79),VLOOKUP(H97,'WordRead Look Up'!$M$13:$N$18,2,TRUE),"")))))</f>
        <v/>
      </c>
      <c r="J97" s="122"/>
      <c r="K97" s="111"/>
      <c r="L97" s="111"/>
      <c r="M97" s="111"/>
      <c r="N97" s="111"/>
      <c r="O97" s="111"/>
      <c r="P97" s="111"/>
      <c r="Q97" s="111"/>
      <c r="R97" s="111"/>
      <c r="S97" s="111"/>
      <c r="T97" s="111"/>
      <c r="U97" s="111"/>
      <c r="V97" s="111"/>
      <c r="W97" s="111"/>
      <c r="X97" s="123"/>
      <c r="AG97" s="185"/>
      <c r="AH97" s="185"/>
      <c r="AI97" s="222" t="str">
        <f t="shared" si="3"/>
        <v/>
      </c>
    </row>
    <row r="98" spans="1:35" s="108" customFormat="1" ht="15.75">
      <c r="A98" s="119"/>
      <c r="B98" s="120"/>
      <c r="C98" s="111"/>
      <c r="D98" s="111"/>
      <c r="E98" s="121"/>
      <c r="F98" s="121"/>
      <c r="G98" s="113"/>
      <c r="H98" s="199" t="str">
        <f t="shared" si="2"/>
        <v/>
      </c>
      <c r="I98" s="200" t="str">
        <f>IF(H98="","",IF(AND(AI98&lt;=66),VLOOKUP(H98,'WordRead Look Up'!$A$13:$B$20,2,TRUE),IF(AND(AI98&gt;=67,AI98&lt;=72),VLOOKUP(H98,'WordRead Look Up'!$E$13:$F$20,2,TRUE),IF(AND(AI98&gt;=73,AI98&lt;=78),VLOOKUP(H98,'WordRead Look Up'!$I$13:$J$18,2,TRUE),IF(AND(AI98&gt;=79),VLOOKUP(H98,'WordRead Look Up'!$M$13:$N$18,2,TRUE),"")))))</f>
        <v/>
      </c>
      <c r="J98" s="122"/>
      <c r="K98" s="111"/>
      <c r="L98" s="111"/>
      <c r="M98" s="111"/>
      <c r="N98" s="111"/>
      <c r="O98" s="111"/>
      <c r="P98" s="111"/>
      <c r="Q98" s="111"/>
      <c r="R98" s="111"/>
      <c r="S98" s="111"/>
      <c r="T98" s="111"/>
      <c r="U98" s="111"/>
      <c r="V98" s="111"/>
      <c r="W98" s="111"/>
      <c r="X98" s="123"/>
      <c r="AG98" s="185"/>
      <c r="AH98" s="185"/>
      <c r="AI98" s="222" t="str">
        <f t="shared" si="3"/>
        <v/>
      </c>
    </row>
    <row r="99" spans="1:35" s="108" customFormat="1" ht="15.75">
      <c r="A99" s="119"/>
      <c r="B99" s="120"/>
      <c r="C99" s="111"/>
      <c r="D99" s="111"/>
      <c r="E99" s="121"/>
      <c r="F99" s="121"/>
      <c r="G99" s="113"/>
      <c r="H99" s="199" t="str">
        <f t="shared" si="2"/>
        <v/>
      </c>
      <c r="I99" s="200" t="str">
        <f>IF(H99="","",IF(AND(AI99&lt;=66),VLOOKUP(H99,'WordRead Look Up'!$A$13:$B$20,2,TRUE),IF(AND(AI99&gt;=67,AI99&lt;=72),VLOOKUP(H99,'WordRead Look Up'!$E$13:$F$20,2,TRUE),IF(AND(AI99&gt;=73,AI99&lt;=78),VLOOKUP(H99,'WordRead Look Up'!$I$13:$J$18,2,TRUE),IF(AND(AI99&gt;=79),VLOOKUP(H99,'WordRead Look Up'!$M$13:$N$18,2,TRUE),"")))))</f>
        <v/>
      </c>
      <c r="J99" s="122"/>
      <c r="K99" s="111"/>
      <c r="L99" s="111"/>
      <c r="M99" s="111"/>
      <c r="N99" s="111"/>
      <c r="O99" s="111"/>
      <c r="P99" s="111"/>
      <c r="Q99" s="111"/>
      <c r="R99" s="111"/>
      <c r="S99" s="111"/>
      <c r="T99" s="111"/>
      <c r="U99" s="111"/>
      <c r="V99" s="111"/>
      <c r="W99" s="111"/>
      <c r="X99" s="123"/>
      <c r="AG99" s="185"/>
      <c r="AH99" s="185"/>
      <c r="AI99" s="222" t="str">
        <f t="shared" si="3"/>
        <v/>
      </c>
    </row>
    <row r="100" spans="1:35" s="108" customFormat="1" ht="15.75">
      <c r="A100" s="119"/>
      <c r="B100" s="120"/>
      <c r="C100" s="111"/>
      <c r="D100" s="111"/>
      <c r="E100" s="121"/>
      <c r="F100" s="121"/>
      <c r="G100" s="113"/>
      <c r="H100" s="199" t="str">
        <f t="shared" si="2"/>
        <v/>
      </c>
      <c r="I100" s="200" t="str">
        <f>IF(H100="","",IF(AND(AI100&lt;=66),VLOOKUP(H100,'WordRead Look Up'!$A$13:$B$20,2,TRUE),IF(AND(AI100&gt;=67,AI100&lt;=72),VLOOKUP(H100,'WordRead Look Up'!$E$13:$F$20,2,TRUE),IF(AND(AI100&gt;=73,AI100&lt;=78),VLOOKUP(H100,'WordRead Look Up'!$I$13:$J$18,2,TRUE),IF(AND(AI100&gt;=79),VLOOKUP(H100,'WordRead Look Up'!$M$13:$N$18,2,TRUE),"")))))</f>
        <v/>
      </c>
      <c r="J100" s="122"/>
      <c r="K100" s="111"/>
      <c r="L100" s="111"/>
      <c r="M100" s="111"/>
      <c r="N100" s="111"/>
      <c r="O100" s="111"/>
      <c r="P100" s="111"/>
      <c r="Q100" s="111"/>
      <c r="R100" s="111"/>
      <c r="S100" s="111"/>
      <c r="T100" s="111"/>
      <c r="U100" s="111"/>
      <c r="V100" s="111"/>
      <c r="W100" s="111"/>
      <c r="X100" s="123"/>
      <c r="AG100" s="185"/>
      <c r="AH100" s="185"/>
      <c r="AI100" s="222" t="str">
        <f t="shared" si="3"/>
        <v/>
      </c>
    </row>
    <row r="101" spans="1:35" s="108" customFormat="1" ht="15.75">
      <c r="A101" s="119"/>
      <c r="B101" s="120"/>
      <c r="C101" s="111"/>
      <c r="D101" s="111"/>
      <c r="E101" s="121"/>
      <c r="F101" s="121"/>
      <c r="G101" s="113"/>
      <c r="H101" s="199" t="str">
        <f t="shared" si="2"/>
        <v/>
      </c>
      <c r="I101" s="200" t="str">
        <f>IF(H101="","",IF(AND(AI101&lt;=66),VLOOKUP(H101,'WordRead Look Up'!$A$13:$B$20,2,TRUE),IF(AND(AI101&gt;=67,AI101&lt;=72),VLOOKUP(H101,'WordRead Look Up'!$E$13:$F$20,2,TRUE),IF(AND(AI101&gt;=73,AI101&lt;=78),VLOOKUP(H101,'WordRead Look Up'!$I$13:$J$18,2,TRUE),IF(AND(AI101&gt;=79),VLOOKUP(H101,'WordRead Look Up'!$M$13:$N$18,2,TRUE),"")))))</f>
        <v/>
      </c>
      <c r="J101" s="122"/>
      <c r="K101" s="111"/>
      <c r="L101" s="111"/>
      <c r="M101" s="111"/>
      <c r="N101" s="111"/>
      <c r="O101" s="111"/>
      <c r="P101" s="111"/>
      <c r="Q101" s="111"/>
      <c r="R101" s="111"/>
      <c r="S101" s="111"/>
      <c r="T101" s="111"/>
      <c r="U101" s="111"/>
      <c r="V101" s="111"/>
      <c r="W101" s="111"/>
      <c r="X101" s="123"/>
      <c r="AG101" s="185"/>
      <c r="AH101" s="185"/>
      <c r="AI101" s="222" t="str">
        <f t="shared" si="3"/>
        <v/>
      </c>
    </row>
    <row r="102" spans="1:35" s="108" customFormat="1" ht="15.75">
      <c r="A102" s="119"/>
      <c r="B102" s="120"/>
      <c r="C102" s="111"/>
      <c r="D102" s="111"/>
      <c r="E102" s="121"/>
      <c r="F102" s="121"/>
      <c r="G102" s="113"/>
      <c r="H102" s="199" t="str">
        <f t="shared" si="2"/>
        <v/>
      </c>
      <c r="I102" s="200" t="str">
        <f>IF(H102="","",IF(AND(AI102&lt;=66),VLOOKUP(H102,'WordRead Look Up'!$A$13:$B$20,2,TRUE),IF(AND(AI102&gt;=67,AI102&lt;=72),VLOOKUP(H102,'WordRead Look Up'!$E$13:$F$20,2,TRUE),IF(AND(AI102&gt;=73,AI102&lt;=78),VLOOKUP(H102,'WordRead Look Up'!$I$13:$J$18,2,TRUE),IF(AND(AI102&gt;=79),VLOOKUP(H102,'WordRead Look Up'!$M$13:$N$18,2,TRUE),"")))))</f>
        <v/>
      </c>
      <c r="J102" s="122"/>
      <c r="K102" s="111"/>
      <c r="L102" s="111"/>
      <c r="M102" s="111"/>
      <c r="N102" s="111"/>
      <c r="O102" s="111"/>
      <c r="P102" s="111"/>
      <c r="Q102" s="111"/>
      <c r="R102" s="111"/>
      <c r="S102" s="111"/>
      <c r="T102" s="111"/>
      <c r="U102" s="111"/>
      <c r="V102" s="111"/>
      <c r="W102" s="111"/>
      <c r="X102" s="123"/>
      <c r="AG102" s="185"/>
      <c r="AH102" s="185"/>
      <c r="AI102" s="222" t="str">
        <f t="shared" si="3"/>
        <v/>
      </c>
    </row>
    <row r="103" spans="1:35" s="108" customFormat="1" ht="15.75">
      <c r="A103" s="119"/>
      <c r="B103" s="120"/>
      <c r="C103" s="111"/>
      <c r="D103" s="111"/>
      <c r="E103" s="121"/>
      <c r="F103" s="121"/>
      <c r="G103" s="113"/>
      <c r="H103" s="199" t="str">
        <f t="shared" si="2"/>
        <v/>
      </c>
      <c r="I103" s="200" t="str">
        <f>IF(H103="","",IF(AND(AI103&lt;=66),VLOOKUP(H103,'WordRead Look Up'!$A$13:$B$20,2,TRUE),IF(AND(AI103&gt;=67,AI103&lt;=72),VLOOKUP(H103,'WordRead Look Up'!$E$13:$F$20,2,TRUE),IF(AND(AI103&gt;=73,AI103&lt;=78),VLOOKUP(H103,'WordRead Look Up'!$I$13:$J$18,2,TRUE),IF(AND(AI103&gt;=79),VLOOKUP(H103,'WordRead Look Up'!$M$13:$N$18,2,TRUE),"")))))</f>
        <v/>
      </c>
      <c r="J103" s="122"/>
      <c r="K103" s="111"/>
      <c r="L103" s="111"/>
      <c r="M103" s="111"/>
      <c r="N103" s="111"/>
      <c r="O103" s="111"/>
      <c r="P103" s="111"/>
      <c r="Q103" s="111"/>
      <c r="R103" s="111"/>
      <c r="S103" s="111"/>
      <c r="T103" s="111"/>
      <c r="U103" s="111"/>
      <c r="V103" s="111"/>
      <c r="W103" s="111"/>
      <c r="X103" s="123"/>
      <c r="AG103" s="185"/>
      <c r="AH103" s="185"/>
      <c r="AI103" s="222" t="str">
        <f t="shared" si="3"/>
        <v/>
      </c>
    </row>
    <row r="104" spans="1:35" s="108" customFormat="1" ht="15.75">
      <c r="A104" s="119"/>
      <c r="B104" s="120"/>
      <c r="C104" s="111"/>
      <c r="D104" s="111"/>
      <c r="E104" s="121"/>
      <c r="F104" s="121"/>
      <c r="G104" s="113"/>
      <c r="H104" s="199" t="str">
        <f t="shared" si="2"/>
        <v/>
      </c>
      <c r="I104" s="200" t="str">
        <f>IF(H104="","",IF(AND(AI104&lt;=66),VLOOKUP(H104,'WordRead Look Up'!$A$13:$B$20,2,TRUE),IF(AND(AI104&gt;=67,AI104&lt;=72),VLOOKUP(H104,'WordRead Look Up'!$E$13:$F$20,2,TRUE),IF(AND(AI104&gt;=73,AI104&lt;=78),VLOOKUP(H104,'WordRead Look Up'!$I$13:$J$18,2,TRUE),IF(AND(AI104&gt;=79),VLOOKUP(H104,'WordRead Look Up'!$M$13:$N$18,2,TRUE),"")))))</f>
        <v/>
      </c>
      <c r="J104" s="122"/>
      <c r="K104" s="111"/>
      <c r="L104" s="111"/>
      <c r="M104" s="111"/>
      <c r="N104" s="111"/>
      <c r="O104" s="111"/>
      <c r="P104" s="111"/>
      <c r="Q104" s="111"/>
      <c r="R104" s="111"/>
      <c r="S104" s="111"/>
      <c r="T104" s="111"/>
      <c r="U104" s="111"/>
      <c r="V104" s="111"/>
      <c r="W104" s="111"/>
      <c r="X104" s="123"/>
      <c r="AG104" s="185"/>
      <c r="AH104" s="185"/>
      <c r="AI104" s="222" t="str">
        <f t="shared" si="3"/>
        <v/>
      </c>
    </row>
    <row r="105" spans="1:35" s="108" customFormat="1" ht="15.75">
      <c r="A105" s="119"/>
      <c r="B105" s="120"/>
      <c r="C105" s="111"/>
      <c r="D105" s="111"/>
      <c r="E105" s="121"/>
      <c r="F105" s="121"/>
      <c r="G105" s="113"/>
      <c r="H105" s="199" t="str">
        <f t="shared" si="2"/>
        <v/>
      </c>
      <c r="I105" s="200" t="str">
        <f>IF(H105="","",IF(AND(AI105&lt;=66),VLOOKUP(H105,'WordRead Look Up'!$A$13:$B$20,2,TRUE),IF(AND(AI105&gt;=67,AI105&lt;=72),VLOOKUP(H105,'WordRead Look Up'!$E$13:$F$20,2,TRUE),IF(AND(AI105&gt;=73,AI105&lt;=78),VLOOKUP(H105,'WordRead Look Up'!$I$13:$J$18,2,TRUE),IF(AND(AI105&gt;=79),VLOOKUP(H105,'WordRead Look Up'!$M$13:$N$18,2,TRUE),"")))))</f>
        <v/>
      </c>
      <c r="J105" s="122"/>
      <c r="K105" s="111"/>
      <c r="L105" s="111"/>
      <c r="M105" s="111"/>
      <c r="N105" s="111"/>
      <c r="O105" s="111"/>
      <c r="P105" s="111"/>
      <c r="Q105" s="111"/>
      <c r="R105" s="111"/>
      <c r="S105" s="111"/>
      <c r="T105" s="111"/>
      <c r="U105" s="111"/>
      <c r="V105" s="111"/>
      <c r="W105" s="111"/>
      <c r="X105" s="123"/>
      <c r="AG105" s="185"/>
      <c r="AH105" s="185"/>
      <c r="AI105" s="222" t="str">
        <f t="shared" si="3"/>
        <v/>
      </c>
    </row>
    <row r="106" spans="1:35" s="108" customFormat="1" ht="15.75">
      <c r="A106" s="119"/>
      <c r="B106" s="120"/>
      <c r="C106" s="111"/>
      <c r="D106" s="111"/>
      <c r="E106" s="121"/>
      <c r="F106" s="121"/>
      <c r="G106" s="113"/>
      <c r="H106" s="199" t="str">
        <f t="shared" si="2"/>
        <v/>
      </c>
      <c r="I106" s="200" t="str">
        <f>IF(H106="","",IF(AND(AI106&lt;=66),VLOOKUP(H106,'WordRead Look Up'!$A$13:$B$20,2,TRUE),IF(AND(AI106&gt;=67,AI106&lt;=72),VLOOKUP(H106,'WordRead Look Up'!$E$13:$F$20,2,TRUE),IF(AND(AI106&gt;=73,AI106&lt;=78),VLOOKUP(H106,'WordRead Look Up'!$I$13:$J$18,2,TRUE),IF(AND(AI106&gt;=79),VLOOKUP(H106,'WordRead Look Up'!$M$13:$N$18,2,TRUE),"")))))</f>
        <v/>
      </c>
      <c r="J106" s="122"/>
      <c r="K106" s="111"/>
      <c r="L106" s="111"/>
      <c r="M106" s="111"/>
      <c r="N106" s="111"/>
      <c r="O106" s="111"/>
      <c r="P106" s="111"/>
      <c r="Q106" s="111"/>
      <c r="R106" s="111"/>
      <c r="S106" s="111"/>
      <c r="T106" s="111"/>
      <c r="U106" s="111"/>
      <c r="V106" s="111"/>
      <c r="W106" s="111"/>
      <c r="X106" s="123"/>
      <c r="AG106" s="185"/>
      <c r="AH106" s="185"/>
      <c r="AI106" s="222" t="str">
        <f t="shared" si="3"/>
        <v/>
      </c>
    </row>
    <row r="107" spans="1:35" s="108" customFormat="1" ht="15.75">
      <c r="A107" s="119"/>
      <c r="B107" s="120"/>
      <c r="C107" s="111"/>
      <c r="D107" s="111"/>
      <c r="E107" s="121"/>
      <c r="F107" s="121"/>
      <c r="G107" s="113"/>
      <c r="H107" s="199" t="str">
        <f t="shared" si="2"/>
        <v/>
      </c>
      <c r="I107" s="200" t="str">
        <f>IF(H107="","",IF(AND(AI107&lt;=66),VLOOKUP(H107,'WordRead Look Up'!$A$13:$B$20,2,TRUE),IF(AND(AI107&gt;=67,AI107&lt;=72),VLOOKUP(H107,'WordRead Look Up'!$E$13:$F$20,2,TRUE),IF(AND(AI107&gt;=73,AI107&lt;=78),VLOOKUP(H107,'WordRead Look Up'!$I$13:$J$18,2,TRUE),IF(AND(AI107&gt;=79),VLOOKUP(H107,'WordRead Look Up'!$M$13:$N$18,2,TRUE),"")))))</f>
        <v/>
      </c>
      <c r="J107" s="122"/>
      <c r="K107" s="111"/>
      <c r="L107" s="111"/>
      <c r="M107" s="111"/>
      <c r="N107" s="111"/>
      <c r="O107" s="111"/>
      <c r="P107" s="111"/>
      <c r="Q107" s="111"/>
      <c r="R107" s="111"/>
      <c r="S107" s="111"/>
      <c r="T107" s="111"/>
      <c r="U107" s="111"/>
      <c r="V107" s="111"/>
      <c r="W107" s="111"/>
      <c r="X107" s="123"/>
      <c r="AG107" s="185"/>
      <c r="AH107" s="185"/>
      <c r="AI107" s="222" t="str">
        <f t="shared" si="3"/>
        <v/>
      </c>
    </row>
    <row r="108" spans="1:35" s="108" customFormat="1" ht="15.75">
      <c r="A108" s="119"/>
      <c r="B108" s="120"/>
      <c r="C108" s="111"/>
      <c r="D108" s="111"/>
      <c r="E108" s="121"/>
      <c r="F108" s="121"/>
      <c r="G108" s="113"/>
      <c r="H108" s="199" t="str">
        <f t="shared" si="2"/>
        <v/>
      </c>
      <c r="I108" s="200" t="str">
        <f>IF(H108="","",IF(AND(AI108&lt;=66),VLOOKUP(H108,'WordRead Look Up'!$A$13:$B$20,2,TRUE),IF(AND(AI108&gt;=67,AI108&lt;=72),VLOOKUP(H108,'WordRead Look Up'!$E$13:$F$20,2,TRUE),IF(AND(AI108&gt;=73,AI108&lt;=78),VLOOKUP(H108,'WordRead Look Up'!$I$13:$J$18,2,TRUE),IF(AND(AI108&gt;=79),VLOOKUP(H108,'WordRead Look Up'!$M$13:$N$18,2,TRUE),"")))))</f>
        <v/>
      </c>
      <c r="J108" s="122"/>
      <c r="K108" s="111"/>
      <c r="L108" s="111"/>
      <c r="M108" s="111"/>
      <c r="N108" s="111"/>
      <c r="O108" s="111"/>
      <c r="P108" s="111"/>
      <c r="Q108" s="111"/>
      <c r="R108" s="111"/>
      <c r="S108" s="111"/>
      <c r="T108" s="111"/>
      <c r="U108" s="111"/>
      <c r="V108" s="111"/>
      <c r="W108" s="111"/>
      <c r="X108" s="123"/>
      <c r="AG108" s="185"/>
      <c r="AH108" s="185"/>
      <c r="AI108" s="222" t="str">
        <f t="shared" si="3"/>
        <v/>
      </c>
    </row>
    <row r="109" spans="1:35" s="108" customFormat="1" ht="15.75">
      <c r="A109" s="119"/>
      <c r="B109" s="120"/>
      <c r="C109" s="111"/>
      <c r="D109" s="111"/>
      <c r="E109" s="121"/>
      <c r="F109" s="121"/>
      <c r="G109" s="113"/>
      <c r="H109" s="199" t="str">
        <f t="shared" si="2"/>
        <v/>
      </c>
      <c r="I109" s="200" t="str">
        <f>IF(H109="","",IF(AND(AI109&lt;=66),VLOOKUP(H109,'WordRead Look Up'!$A$13:$B$20,2,TRUE),IF(AND(AI109&gt;=67,AI109&lt;=72),VLOOKUP(H109,'WordRead Look Up'!$E$13:$F$20,2,TRUE),IF(AND(AI109&gt;=73,AI109&lt;=78),VLOOKUP(H109,'WordRead Look Up'!$I$13:$J$18,2,TRUE),IF(AND(AI109&gt;=79),VLOOKUP(H109,'WordRead Look Up'!$M$13:$N$18,2,TRUE),"")))))</f>
        <v/>
      </c>
      <c r="J109" s="122"/>
      <c r="K109" s="111"/>
      <c r="L109" s="111"/>
      <c r="M109" s="111"/>
      <c r="N109" s="111"/>
      <c r="O109" s="111"/>
      <c r="P109" s="111"/>
      <c r="Q109" s="111"/>
      <c r="R109" s="111"/>
      <c r="S109" s="111"/>
      <c r="T109" s="111"/>
      <c r="U109" s="111"/>
      <c r="V109" s="111"/>
      <c r="W109" s="111"/>
      <c r="X109" s="123"/>
      <c r="AG109" s="185"/>
      <c r="AH109" s="185"/>
      <c r="AI109" s="222" t="str">
        <f t="shared" si="3"/>
        <v/>
      </c>
    </row>
    <row r="110" spans="1:35" s="108" customFormat="1" ht="15.75">
      <c r="A110" s="119"/>
      <c r="B110" s="120"/>
      <c r="C110" s="111"/>
      <c r="D110" s="111"/>
      <c r="E110" s="121"/>
      <c r="F110" s="121"/>
      <c r="G110" s="113"/>
      <c r="H110" s="199" t="str">
        <f t="shared" si="2"/>
        <v/>
      </c>
      <c r="I110" s="200" t="str">
        <f>IF(H110="","",IF(AND(AI110&lt;=66),VLOOKUP(H110,'WordRead Look Up'!$A$13:$B$20,2,TRUE),IF(AND(AI110&gt;=67,AI110&lt;=72),VLOOKUP(H110,'WordRead Look Up'!$E$13:$F$20,2,TRUE),IF(AND(AI110&gt;=73,AI110&lt;=78),VLOOKUP(H110,'WordRead Look Up'!$I$13:$J$18,2,TRUE),IF(AND(AI110&gt;=79),VLOOKUP(H110,'WordRead Look Up'!$M$13:$N$18,2,TRUE),"")))))</f>
        <v/>
      </c>
      <c r="J110" s="122"/>
      <c r="K110" s="111"/>
      <c r="L110" s="111"/>
      <c r="M110" s="111"/>
      <c r="N110" s="111"/>
      <c r="O110" s="111"/>
      <c r="P110" s="111"/>
      <c r="Q110" s="111"/>
      <c r="R110" s="111"/>
      <c r="S110" s="111"/>
      <c r="T110" s="111"/>
      <c r="U110" s="111"/>
      <c r="V110" s="111"/>
      <c r="W110" s="111"/>
      <c r="X110" s="123"/>
      <c r="AG110" s="185"/>
      <c r="AH110" s="185"/>
      <c r="AI110" s="222" t="str">
        <f t="shared" si="3"/>
        <v/>
      </c>
    </row>
    <row r="111" spans="1:35" s="108" customFormat="1" ht="15.75">
      <c r="A111" s="119"/>
      <c r="B111" s="120"/>
      <c r="C111" s="111"/>
      <c r="D111" s="111"/>
      <c r="E111" s="121"/>
      <c r="F111" s="121"/>
      <c r="G111" s="113"/>
      <c r="H111" s="199" t="str">
        <f t="shared" si="2"/>
        <v/>
      </c>
      <c r="I111" s="200" t="str">
        <f>IF(H111="","",IF(AND(AI111&lt;=66),VLOOKUP(H111,'WordRead Look Up'!$A$13:$B$20,2,TRUE),IF(AND(AI111&gt;=67,AI111&lt;=72),VLOOKUP(H111,'WordRead Look Up'!$E$13:$F$20,2,TRUE),IF(AND(AI111&gt;=73,AI111&lt;=78),VLOOKUP(H111,'WordRead Look Up'!$I$13:$J$18,2,TRUE),IF(AND(AI111&gt;=79),VLOOKUP(H111,'WordRead Look Up'!$M$13:$N$18,2,TRUE),"")))))</f>
        <v/>
      </c>
      <c r="J111" s="122"/>
      <c r="K111" s="111"/>
      <c r="L111" s="111"/>
      <c r="M111" s="111"/>
      <c r="N111" s="111"/>
      <c r="O111" s="111"/>
      <c r="P111" s="111"/>
      <c r="Q111" s="111"/>
      <c r="R111" s="111"/>
      <c r="S111" s="111"/>
      <c r="T111" s="111"/>
      <c r="U111" s="111"/>
      <c r="V111" s="111"/>
      <c r="W111" s="111"/>
      <c r="X111" s="123"/>
      <c r="AG111" s="185"/>
      <c r="AH111" s="185"/>
      <c r="AI111" s="222" t="str">
        <f t="shared" si="3"/>
        <v/>
      </c>
    </row>
    <row r="112" spans="1:35" s="108" customFormat="1" ht="15.75">
      <c r="A112" s="119"/>
      <c r="B112" s="120"/>
      <c r="C112" s="111"/>
      <c r="D112" s="111"/>
      <c r="E112" s="121"/>
      <c r="F112" s="121"/>
      <c r="G112" s="113"/>
      <c r="H112" s="199" t="str">
        <f t="shared" si="2"/>
        <v/>
      </c>
      <c r="I112" s="200" t="str">
        <f>IF(H112="","",IF(AND(AI112&lt;=66),VLOOKUP(H112,'WordRead Look Up'!$A$13:$B$20,2,TRUE),IF(AND(AI112&gt;=67,AI112&lt;=72),VLOOKUP(H112,'WordRead Look Up'!$E$13:$F$20,2,TRUE),IF(AND(AI112&gt;=73,AI112&lt;=78),VLOOKUP(H112,'WordRead Look Up'!$I$13:$J$18,2,TRUE),IF(AND(AI112&gt;=79),VLOOKUP(H112,'WordRead Look Up'!$M$13:$N$18,2,TRUE),"")))))</f>
        <v/>
      </c>
      <c r="J112" s="122"/>
      <c r="K112" s="111"/>
      <c r="L112" s="111"/>
      <c r="M112" s="111"/>
      <c r="N112" s="111"/>
      <c r="O112" s="111"/>
      <c r="P112" s="111"/>
      <c r="Q112" s="111"/>
      <c r="R112" s="111"/>
      <c r="S112" s="111"/>
      <c r="T112" s="111"/>
      <c r="U112" s="111"/>
      <c r="V112" s="111"/>
      <c r="W112" s="111"/>
      <c r="X112" s="123"/>
      <c r="AG112" s="185"/>
      <c r="AH112" s="185"/>
      <c r="AI112" s="222" t="str">
        <f t="shared" si="3"/>
        <v/>
      </c>
    </row>
    <row r="113" spans="1:35" s="108" customFormat="1" ht="15.75">
      <c r="A113" s="119"/>
      <c r="B113" s="120"/>
      <c r="C113" s="111"/>
      <c r="D113" s="111"/>
      <c r="E113" s="121"/>
      <c r="F113" s="121"/>
      <c r="G113" s="113"/>
      <c r="H113" s="199" t="str">
        <f t="shared" si="2"/>
        <v/>
      </c>
      <c r="I113" s="200" t="str">
        <f>IF(H113="","",IF(AND(AI113&lt;=66),VLOOKUP(H113,'WordRead Look Up'!$A$13:$B$20,2,TRUE),IF(AND(AI113&gt;=67,AI113&lt;=72),VLOOKUP(H113,'WordRead Look Up'!$E$13:$F$20,2,TRUE),IF(AND(AI113&gt;=73,AI113&lt;=78),VLOOKUP(H113,'WordRead Look Up'!$I$13:$J$18,2,TRUE),IF(AND(AI113&gt;=79),VLOOKUP(H113,'WordRead Look Up'!$M$13:$N$18,2,TRUE),"")))))</f>
        <v/>
      </c>
      <c r="J113" s="122"/>
      <c r="K113" s="111"/>
      <c r="L113" s="111"/>
      <c r="M113" s="111"/>
      <c r="N113" s="111"/>
      <c r="O113" s="111"/>
      <c r="P113" s="111"/>
      <c r="Q113" s="111"/>
      <c r="R113" s="111"/>
      <c r="S113" s="111"/>
      <c r="T113" s="111"/>
      <c r="U113" s="111"/>
      <c r="V113" s="111"/>
      <c r="W113" s="111"/>
      <c r="X113" s="123"/>
      <c r="AG113" s="185"/>
      <c r="AH113" s="185"/>
      <c r="AI113" s="222" t="str">
        <f t="shared" si="3"/>
        <v/>
      </c>
    </row>
    <row r="114" spans="1:35" s="108" customFormat="1" ht="15.75">
      <c r="A114" s="119"/>
      <c r="B114" s="120"/>
      <c r="C114" s="111"/>
      <c r="D114" s="111"/>
      <c r="E114" s="121"/>
      <c r="F114" s="121"/>
      <c r="G114" s="113"/>
      <c r="H114" s="199" t="str">
        <f t="shared" si="2"/>
        <v/>
      </c>
      <c r="I114" s="200" t="str">
        <f>IF(H114="","",IF(AND(AI114&lt;=66),VLOOKUP(H114,'WordRead Look Up'!$A$13:$B$20,2,TRUE),IF(AND(AI114&gt;=67,AI114&lt;=72),VLOOKUP(H114,'WordRead Look Up'!$E$13:$F$20,2,TRUE),IF(AND(AI114&gt;=73,AI114&lt;=78),VLOOKUP(H114,'WordRead Look Up'!$I$13:$J$18,2,TRUE),IF(AND(AI114&gt;=79),VLOOKUP(H114,'WordRead Look Up'!$M$13:$N$18,2,TRUE),"")))))</f>
        <v/>
      </c>
      <c r="J114" s="122"/>
      <c r="K114" s="111"/>
      <c r="L114" s="111"/>
      <c r="M114" s="111"/>
      <c r="N114" s="111"/>
      <c r="O114" s="111"/>
      <c r="P114" s="111"/>
      <c r="Q114" s="111"/>
      <c r="R114" s="111"/>
      <c r="S114" s="111"/>
      <c r="T114" s="111"/>
      <c r="U114" s="111"/>
      <c r="V114" s="111"/>
      <c r="W114" s="111"/>
      <c r="X114" s="123"/>
      <c r="AG114" s="185"/>
      <c r="AH114" s="185"/>
      <c r="AI114" s="222" t="str">
        <f t="shared" si="3"/>
        <v/>
      </c>
    </row>
    <row r="115" spans="1:35" s="108" customFormat="1" ht="15.75">
      <c r="A115" s="119"/>
      <c r="B115" s="120"/>
      <c r="C115" s="111"/>
      <c r="D115" s="111"/>
      <c r="E115" s="121"/>
      <c r="F115" s="121"/>
      <c r="G115" s="113"/>
      <c r="H115" s="199" t="str">
        <f t="shared" si="2"/>
        <v/>
      </c>
      <c r="I115" s="200" t="str">
        <f>IF(H115="","",IF(AND(AI115&lt;=66),VLOOKUP(H115,'WordRead Look Up'!$A$13:$B$20,2,TRUE),IF(AND(AI115&gt;=67,AI115&lt;=72),VLOOKUP(H115,'WordRead Look Up'!$E$13:$F$20,2,TRUE),IF(AND(AI115&gt;=73,AI115&lt;=78),VLOOKUP(H115,'WordRead Look Up'!$I$13:$J$18,2,TRUE),IF(AND(AI115&gt;=79),VLOOKUP(H115,'WordRead Look Up'!$M$13:$N$18,2,TRUE),"")))))</f>
        <v/>
      </c>
      <c r="J115" s="122"/>
      <c r="K115" s="111"/>
      <c r="L115" s="111"/>
      <c r="M115" s="111"/>
      <c r="N115" s="111"/>
      <c r="O115" s="111"/>
      <c r="P115" s="111"/>
      <c r="Q115" s="111"/>
      <c r="R115" s="111"/>
      <c r="S115" s="111"/>
      <c r="T115" s="111"/>
      <c r="U115" s="111"/>
      <c r="V115" s="111"/>
      <c r="W115" s="111"/>
      <c r="X115" s="123"/>
      <c r="AG115" s="185"/>
      <c r="AH115" s="185"/>
      <c r="AI115" s="222" t="str">
        <f t="shared" si="3"/>
        <v/>
      </c>
    </row>
    <row r="116" spans="1:35" s="108" customFormat="1" ht="15.75">
      <c r="A116" s="119"/>
      <c r="B116" s="120"/>
      <c r="C116" s="111"/>
      <c r="D116" s="111"/>
      <c r="E116" s="121"/>
      <c r="F116" s="121"/>
      <c r="G116" s="113"/>
      <c r="H116" s="199" t="str">
        <f t="shared" si="2"/>
        <v/>
      </c>
      <c r="I116" s="200" t="str">
        <f>IF(H116="","",IF(AND(AI116&lt;=66),VLOOKUP(H116,'WordRead Look Up'!$A$13:$B$20,2,TRUE),IF(AND(AI116&gt;=67,AI116&lt;=72),VLOOKUP(H116,'WordRead Look Up'!$E$13:$F$20,2,TRUE),IF(AND(AI116&gt;=73,AI116&lt;=78),VLOOKUP(H116,'WordRead Look Up'!$I$13:$J$18,2,TRUE),IF(AND(AI116&gt;=79),VLOOKUP(H116,'WordRead Look Up'!$M$13:$N$18,2,TRUE),"")))))</f>
        <v/>
      </c>
      <c r="J116" s="122"/>
      <c r="K116" s="111"/>
      <c r="L116" s="111"/>
      <c r="M116" s="111"/>
      <c r="N116" s="111"/>
      <c r="O116" s="111"/>
      <c r="P116" s="111"/>
      <c r="Q116" s="111"/>
      <c r="R116" s="111"/>
      <c r="S116" s="111"/>
      <c r="T116" s="111"/>
      <c r="U116" s="111"/>
      <c r="V116" s="111"/>
      <c r="W116" s="111"/>
      <c r="X116" s="123"/>
      <c r="AG116" s="185"/>
      <c r="AH116" s="185"/>
      <c r="AI116" s="222" t="str">
        <f t="shared" si="3"/>
        <v/>
      </c>
    </row>
    <row r="117" spans="1:35" s="108" customFormat="1" ht="15.75">
      <c r="A117" s="119"/>
      <c r="B117" s="120"/>
      <c r="C117" s="111"/>
      <c r="D117" s="111"/>
      <c r="E117" s="121"/>
      <c r="F117" s="121"/>
      <c r="G117" s="113"/>
      <c r="H117" s="199" t="str">
        <f t="shared" si="2"/>
        <v/>
      </c>
      <c r="I117" s="200" t="str">
        <f>IF(H117="","",IF(AND(AI117&lt;=66),VLOOKUP(H117,'WordRead Look Up'!$A$13:$B$20,2,TRUE),IF(AND(AI117&gt;=67,AI117&lt;=72),VLOOKUP(H117,'WordRead Look Up'!$E$13:$F$20,2,TRUE),IF(AND(AI117&gt;=73,AI117&lt;=78),VLOOKUP(H117,'WordRead Look Up'!$I$13:$J$18,2,TRUE),IF(AND(AI117&gt;=79),VLOOKUP(H117,'WordRead Look Up'!$M$13:$N$18,2,TRUE),"")))))</f>
        <v/>
      </c>
      <c r="J117" s="122"/>
      <c r="K117" s="111"/>
      <c r="L117" s="111"/>
      <c r="M117" s="111"/>
      <c r="N117" s="111"/>
      <c r="O117" s="111"/>
      <c r="P117" s="111"/>
      <c r="Q117" s="111"/>
      <c r="R117" s="111"/>
      <c r="S117" s="111"/>
      <c r="T117" s="111"/>
      <c r="U117" s="111"/>
      <c r="V117" s="111"/>
      <c r="W117" s="111"/>
      <c r="X117" s="123"/>
      <c r="AG117" s="185"/>
      <c r="AH117" s="185"/>
      <c r="AI117" s="222" t="str">
        <f t="shared" si="3"/>
        <v/>
      </c>
    </row>
    <row r="118" spans="1:35" s="108" customFormat="1" ht="15.75">
      <c r="A118" s="119"/>
      <c r="B118" s="120"/>
      <c r="C118" s="111"/>
      <c r="D118" s="111"/>
      <c r="E118" s="121"/>
      <c r="F118" s="121"/>
      <c r="G118" s="113"/>
      <c r="H118" s="199" t="str">
        <f t="shared" si="2"/>
        <v/>
      </c>
      <c r="I118" s="200" t="str">
        <f>IF(H118="","",IF(AND(AI118&lt;=66),VLOOKUP(H118,'WordRead Look Up'!$A$13:$B$20,2,TRUE),IF(AND(AI118&gt;=67,AI118&lt;=72),VLOOKUP(H118,'WordRead Look Up'!$E$13:$F$20,2,TRUE),IF(AND(AI118&gt;=73,AI118&lt;=78),VLOOKUP(H118,'WordRead Look Up'!$I$13:$J$18,2,TRUE),IF(AND(AI118&gt;=79),VLOOKUP(H118,'WordRead Look Up'!$M$13:$N$18,2,TRUE),"")))))</f>
        <v/>
      </c>
      <c r="J118" s="122"/>
      <c r="K118" s="111"/>
      <c r="L118" s="111"/>
      <c r="M118" s="111"/>
      <c r="N118" s="111"/>
      <c r="O118" s="111"/>
      <c r="P118" s="111"/>
      <c r="Q118" s="111"/>
      <c r="R118" s="111"/>
      <c r="S118" s="111"/>
      <c r="T118" s="111"/>
      <c r="U118" s="111"/>
      <c r="V118" s="111"/>
      <c r="W118" s="111"/>
      <c r="X118" s="123"/>
      <c r="AG118" s="185"/>
      <c r="AH118" s="185"/>
      <c r="AI118" s="222" t="str">
        <f t="shared" si="3"/>
        <v/>
      </c>
    </row>
    <row r="119" spans="1:35" s="108" customFormat="1" ht="15.75">
      <c r="A119" s="119"/>
      <c r="B119" s="120"/>
      <c r="C119" s="111"/>
      <c r="D119" s="111"/>
      <c r="E119" s="121"/>
      <c r="F119" s="121"/>
      <c r="G119" s="113"/>
      <c r="H119" s="199" t="str">
        <f t="shared" si="2"/>
        <v/>
      </c>
      <c r="I119" s="200" t="str">
        <f>IF(H119="","",IF(AND(AI119&lt;=66),VLOOKUP(H119,'WordRead Look Up'!$A$13:$B$20,2,TRUE),IF(AND(AI119&gt;=67,AI119&lt;=72),VLOOKUP(H119,'WordRead Look Up'!$E$13:$F$20,2,TRUE),IF(AND(AI119&gt;=73,AI119&lt;=78),VLOOKUP(H119,'WordRead Look Up'!$I$13:$J$18,2,TRUE),IF(AND(AI119&gt;=79),VLOOKUP(H119,'WordRead Look Up'!$M$13:$N$18,2,TRUE),"")))))</f>
        <v/>
      </c>
      <c r="J119" s="122"/>
      <c r="K119" s="111"/>
      <c r="L119" s="111"/>
      <c r="M119" s="111"/>
      <c r="N119" s="111"/>
      <c r="O119" s="111"/>
      <c r="P119" s="111"/>
      <c r="Q119" s="111"/>
      <c r="R119" s="111"/>
      <c r="S119" s="111"/>
      <c r="T119" s="111"/>
      <c r="U119" s="111"/>
      <c r="V119" s="111"/>
      <c r="W119" s="111"/>
      <c r="X119" s="123"/>
      <c r="AG119" s="185"/>
      <c r="AH119" s="185"/>
      <c r="AI119" s="222" t="str">
        <f t="shared" si="3"/>
        <v/>
      </c>
    </row>
    <row r="120" spans="1:35" s="108" customFormat="1" ht="15.75">
      <c r="A120" s="119"/>
      <c r="B120" s="120"/>
      <c r="C120" s="111"/>
      <c r="D120" s="111"/>
      <c r="E120" s="121"/>
      <c r="F120" s="121"/>
      <c r="G120" s="113"/>
      <c r="H120" s="199" t="str">
        <f t="shared" si="2"/>
        <v/>
      </c>
      <c r="I120" s="200" t="str">
        <f>IF(H120="","",IF(AND(AI120&lt;=66),VLOOKUP(H120,'WordRead Look Up'!$A$13:$B$20,2,TRUE),IF(AND(AI120&gt;=67,AI120&lt;=72),VLOOKUP(H120,'WordRead Look Up'!$E$13:$F$20,2,TRUE),IF(AND(AI120&gt;=73,AI120&lt;=78),VLOOKUP(H120,'WordRead Look Up'!$I$13:$J$18,2,TRUE),IF(AND(AI120&gt;=79),VLOOKUP(H120,'WordRead Look Up'!$M$13:$N$18,2,TRUE),"")))))</f>
        <v/>
      </c>
      <c r="J120" s="122"/>
      <c r="K120" s="111"/>
      <c r="L120" s="111"/>
      <c r="M120" s="111"/>
      <c r="N120" s="111"/>
      <c r="O120" s="111"/>
      <c r="P120" s="111"/>
      <c r="Q120" s="111"/>
      <c r="R120" s="111"/>
      <c r="S120" s="111"/>
      <c r="T120" s="111"/>
      <c r="U120" s="111"/>
      <c r="V120" s="111"/>
      <c r="W120" s="111"/>
      <c r="X120" s="123"/>
      <c r="AG120" s="185"/>
      <c r="AH120" s="185"/>
      <c r="AI120" s="222" t="str">
        <f t="shared" si="3"/>
        <v/>
      </c>
    </row>
    <row r="121" spans="1:35" s="108" customFormat="1" ht="15.75">
      <c r="A121" s="119"/>
      <c r="B121" s="120"/>
      <c r="C121" s="111"/>
      <c r="D121" s="111"/>
      <c r="E121" s="121"/>
      <c r="F121" s="121"/>
      <c r="G121" s="113"/>
      <c r="H121" s="199" t="str">
        <f t="shared" si="2"/>
        <v/>
      </c>
      <c r="I121" s="200" t="str">
        <f>IF(H121="","",IF(AND(AI121&lt;=66),VLOOKUP(H121,'WordRead Look Up'!$A$13:$B$20,2,TRUE),IF(AND(AI121&gt;=67,AI121&lt;=72),VLOOKUP(H121,'WordRead Look Up'!$E$13:$F$20,2,TRUE),IF(AND(AI121&gt;=73,AI121&lt;=78),VLOOKUP(H121,'WordRead Look Up'!$I$13:$J$18,2,TRUE),IF(AND(AI121&gt;=79),VLOOKUP(H121,'WordRead Look Up'!$M$13:$N$18,2,TRUE),"")))))</f>
        <v/>
      </c>
      <c r="J121" s="122"/>
      <c r="K121" s="111"/>
      <c r="L121" s="111"/>
      <c r="M121" s="111"/>
      <c r="N121" s="111"/>
      <c r="O121" s="111"/>
      <c r="P121" s="111"/>
      <c r="Q121" s="111"/>
      <c r="R121" s="111"/>
      <c r="S121" s="111"/>
      <c r="T121" s="111"/>
      <c r="U121" s="111"/>
      <c r="V121" s="111"/>
      <c r="W121" s="111"/>
      <c r="X121" s="123"/>
      <c r="AG121" s="185"/>
      <c r="AH121" s="185"/>
      <c r="AI121" s="222" t="str">
        <f t="shared" si="3"/>
        <v/>
      </c>
    </row>
    <row r="122" spans="1:35" s="108" customFormat="1" ht="15.75">
      <c r="A122" s="119"/>
      <c r="B122" s="120"/>
      <c r="C122" s="111"/>
      <c r="D122" s="111"/>
      <c r="E122" s="121"/>
      <c r="F122" s="121"/>
      <c r="G122" s="113"/>
      <c r="H122" s="199" t="str">
        <f t="shared" si="2"/>
        <v/>
      </c>
      <c r="I122" s="200" t="str">
        <f>IF(H122="","",IF(AND(AI122&lt;=66),VLOOKUP(H122,'WordRead Look Up'!$A$13:$B$20,2,TRUE),IF(AND(AI122&gt;=67,AI122&lt;=72),VLOOKUP(H122,'WordRead Look Up'!$E$13:$F$20,2,TRUE),IF(AND(AI122&gt;=73,AI122&lt;=78),VLOOKUP(H122,'WordRead Look Up'!$I$13:$J$18,2,TRUE),IF(AND(AI122&gt;=79),VLOOKUP(H122,'WordRead Look Up'!$M$13:$N$18,2,TRUE),"")))))</f>
        <v/>
      </c>
      <c r="J122" s="122"/>
      <c r="K122" s="111"/>
      <c r="L122" s="111"/>
      <c r="M122" s="111"/>
      <c r="N122" s="111"/>
      <c r="O122" s="111"/>
      <c r="P122" s="111"/>
      <c r="Q122" s="111"/>
      <c r="R122" s="111"/>
      <c r="S122" s="111"/>
      <c r="T122" s="111"/>
      <c r="U122" s="111"/>
      <c r="V122" s="111"/>
      <c r="W122" s="111"/>
      <c r="X122" s="123"/>
      <c r="AG122" s="185"/>
      <c r="AH122" s="185"/>
      <c r="AI122" s="222" t="str">
        <f t="shared" si="3"/>
        <v/>
      </c>
    </row>
    <row r="123" spans="1:35" s="108" customFormat="1" ht="15.75">
      <c r="A123" s="119"/>
      <c r="B123" s="120"/>
      <c r="C123" s="111"/>
      <c r="D123" s="111"/>
      <c r="E123" s="121"/>
      <c r="F123" s="121"/>
      <c r="G123" s="113"/>
      <c r="H123" s="199" t="str">
        <f t="shared" si="2"/>
        <v/>
      </c>
      <c r="I123" s="200" t="str">
        <f>IF(H123="","",IF(AND(AI123&lt;=66),VLOOKUP(H123,'WordRead Look Up'!$A$13:$B$20,2,TRUE),IF(AND(AI123&gt;=67,AI123&lt;=72),VLOOKUP(H123,'WordRead Look Up'!$E$13:$F$20,2,TRUE),IF(AND(AI123&gt;=73,AI123&lt;=78),VLOOKUP(H123,'WordRead Look Up'!$I$13:$J$18,2,TRUE),IF(AND(AI123&gt;=79),VLOOKUP(H123,'WordRead Look Up'!$M$13:$N$18,2,TRUE),"")))))</f>
        <v/>
      </c>
      <c r="J123" s="122"/>
      <c r="K123" s="111"/>
      <c r="L123" s="111"/>
      <c r="M123" s="111"/>
      <c r="N123" s="111"/>
      <c r="O123" s="111"/>
      <c r="P123" s="111"/>
      <c r="Q123" s="111"/>
      <c r="R123" s="111"/>
      <c r="S123" s="111"/>
      <c r="T123" s="111"/>
      <c r="U123" s="111"/>
      <c r="V123" s="111"/>
      <c r="W123" s="111"/>
      <c r="X123" s="123"/>
      <c r="AG123" s="185"/>
      <c r="AH123" s="185"/>
      <c r="AI123" s="222" t="str">
        <f t="shared" si="3"/>
        <v/>
      </c>
    </row>
    <row r="124" spans="1:35" s="108" customFormat="1" ht="15.75">
      <c r="A124" s="119"/>
      <c r="B124" s="120"/>
      <c r="C124" s="111"/>
      <c r="D124" s="111"/>
      <c r="E124" s="121"/>
      <c r="F124" s="121"/>
      <c r="G124" s="113"/>
      <c r="H124" s="199" t="str">
        <f t="shared" si="2"/>
        <v/>
      </c>
      <c r="I124" s="200" t="str">
        <f>IF(H124="","",IF(AND(AI124&lt;=66),VLOOKUP(H124,'WordRead Look Up'!$A$13:$B$20,2,TRUE),IF(AND(AI124&gt;=67,AI124&lt;=72),VLOOKUP(H124,'WordRead Look Up'!$E$13:$F$20,2,TRUE),IF(AND(AI124&gt;=73,AI124&lt;=78),VLOOKUP(H124,'WordRead Look Up'!$I$13:$J$18,2,TRUE),IF(AND(AI124&gt;=79),VLOOKUP(H124,'WordRead Look Up'!$M$13:$N$18,2,TRUE),"")))))</f>
        <v/>
      </c>
      <c r="J124" s="122"/>
      <c r="K124" s="111"/>
      <c r="L124" s="111"/>
      <c r="M124" s="111"/>
      <c r="N124" s="111"/>
      <c r="O124" s="111"/>
      <c r="P124" s="111"/>
      <c r="Q124" s="111"/>
      <c r="R124" s="111"/>
      <c r="S124" s="111"/>
      <c r="T124" s="111"/>
      <c r="U124" s="111"/>
      <c r="V124" s="111"/>
      <c r="W124" s="111"/>
      <c r="X124" s="123"/>
      <c r="AG124" s="185"/>
      <c r="AH124" s="185"/>
      <c r="AI124" s="222" t="str">
        <f t="shared" si="3"/>
        <v/>
      </c>
    </row>
    <row r="125" spans="1:35" s="108" customFormat="1" ht="15.75">
      <c r="A125" s="119"/>
      <c r="B125" s="120"/>
      <c r="C125" s="111"/>
      <c r="D125" s="111"/>
      <c r="E125" s="121"/>
      <c r="F125" s="121"/>
      <c r="G125" s="113"/>
      <c r="H125" s="199" t="str">
        <f t="shared" si="2"/>
        <v/>
      </c>
      <c r="I125" s="200" t="str">
        <f>IF(H125="","",IF(AND(AI125&lt;=66),VLOOKUP(H125,'WordRead Look Up'!$A$13:$B$20,2,TRUE),IF(AND(AI125&gt;=67,AI125&lt;=72),VLOOKUP(H125,'WordRead Look Up'!$E$13:$F$20,2,TRUE),IF(AND(AI125&gt;=73,AI125&lt;=78),VLOOKUP(H125,'WordRead Look Up'!$I$13:$J$18,2,TRUE),IF(AND(AI125&gt;=79),VLOOKUP(H125,'WordRead Look Up'!$M$13:$N$18,2,TRUE),"")))))</f>
        <v/>
      </c>
      <c r="J125" s="122"/>
      <c r="K125" s="111"/>
      <c r="L125" s="111"/>
      <c r="M125" s="111"/>
      <c r="N125" s="111"/>
      <c r="O125" s="111"/>
      <c r="P125" s="111"/>
      <c r="Q125" s="111"/>
      <c r="R125" s="111"/>
      <c r="S125" s="111"/>
      <c r="T125" s="111"/>
      <c r="U125" s="111"/>
      <c r="V125" s="111"/>
      <c r="W125" s="111"/>
      <c r="X125" s="123"/>
      <c r="AG125" s="185"/>
      <c r="AH125" s="185"/>
      <c r="AI125" s="222" t="str">
        <f t="shared" si="3"/>
        <v/>
      </c>
    </row>
    <row r="126" spans="1:35" s="108" customFormat="1" ht="15.75">
      <c r="A126" s="119"/>
      <c r="B126" s="120"/>
      <c r="C126" s="111"/>
      <c r="D126" s="111"/>
      <c r="E126" s="121"/>
      <c r="F126" s="121"/>
      <c r="G126" s="113"/>
      <c r="H126" s="199" t="str">
        <f t="shared" si="2"/>
        <v/>
      </c>
      <c r="I126" s="200" t="str">
        <f>IF(H126="","",IF(AND(AI126&lt;=66),VLOOKUP(H126,'WordRead Look Up'!$A$13:$B$20,2,TRUE),IF(AND(AI126&gt;=67,AI126&lt;=72),VLOOKUP(H126,'WordRead Look Up'!$E$13:$F$20,2,TRUE),IF(AND(AI126&gt;=73,AI126&lt;=78),VLOOKUP(H126,'WordRead Look Up'!$I$13:$J$18,2,TRUE),IF(AND(AI126&gt;=79),VLOOKUP(H126,'WordRead Look Up'!$M$13:$N$18,2,TRUE),"")))))</f>
        <v/>
      </c>
      <c r="J126" s="122"/>
      <c r="K126" s="111"/>
      <c r="L126" s="111"/>
      <c r="M126" s="111"/>
      <c r="N126" s="111"/>
      <c r="O126" s="111"/>
      <c r="P126" s="111"/>
      <c r="Q126" s="111"/>
      <c r="R126" s="111"/>
      <c r="S126" s="111"/>
      <c r="T126" s="111"/>
      <c r="U126" s="111"/>
      <c r="V126" s="111"/>
      <c r="W126" s="111"/>
      <c r="X126" s="123"/>
      <c r="AG126" s="185"/>
      <c r="AH126" s="185"/>
      <c r="AI126" s="222" t="str">
        <f t="shared" si="3"/>
        <v/>
      </c>
    </row>
    <row r="127" spans="1:35" s="108" customFormat="1" ht="15.75">
      <c r="A127" s="119"/>
      <c r="B127" s="120"/>
      <c r="C127" s="111"/>
      <c r="D127" s="111"/>
      <c r="E127" s="121"/>
      <c r="F127" s="121"/>
      <c r="G127" s="113"/>
      <c r="H127" s="199" t="str">
        <f t="shared" si="2"/>
        <v/>
      </c>
      <c r="I127" s="200" t="str">
        <f>IF(H127="","",IF(AND(AI127&lt;=66),VLOOKUP(H127,'WordRead Look Up'!$A$13:$B$20,2,TRUE),IF(AND(AI127&gt;=67,AI127&lt;=72),VLOOKUP(H127,'WordRead Look Up'!$E$13:$F$20,2,TRUE),IF(AND(AI127&gt;=73,AI127&lt;=78),VLOOKUP(H127,'WordRead Look Up'!$I$13:$J$18,2,TRUE),IF(AND(AI127&gt;=79),VLOOKUP(H127,'WordRead Look Up'!$M$13:$N$18,2,TRUE),"")))))</f>
        <v/>
      </c>
      <c r="J127" s="122"/>
      <c r="K127" s="111"/>
      <c r="L127" s="111"/>
      <c r="M127" s="111"/>
      <c r="N127" s="111"/>
      <c r="O127" s="111"/>
      <c r="P127" s="111"/>
      <c r="Q127" s="111"/>
      <c r="R127" s="111"/>
      <c r="S127" s="111"/>
      <c r="T127" s="111"/>
      <c r="U127" s="111"/>
      <c r="V127" s="111"/>
      <c r="W127" s="111"/>
      <c r="X127" s="123"/>
      <c r="AG127" s="185"/>
      <c r="AH127" s="185"/>
      <c r="AI127" s="222" t="str">
        <f t="shared" si="3"/>
        <v/>
      </c>
    </row>
    <row r="128" spans="1:35" s="108" customFormat="1" ht="15.75">
      <c r="A128" s="119"/>
      <c r="B128" s="120"/>
      <c r="C128" s="111"/>
      <c r="D128" s="111"/>
      <c r="E128" s="121"/>
      <c r="F128" s="121"/>
      <c r="G128" s="113"/>
      <c r="H128" s="199" t="str">
        <f t="shared" si="2"/>
        <v/>
      </c>
      <c r="I128" s="200" t="str">
        <f>IF(H128="","",IF(AND(AI128&lt;=66),VLOOKUP(H128,'WordRead Look Up'!$A$13:$B$20,2,TRUE),IF(AND(AI128&gt;=67,AI128&lt;=72),VLOOKUP(H128,'WordRead Look Up'!$E$13:$F$20,2,TRUE),IF(AND(AI128&gt;=73,AI128&lt;=78),VLOOKUP(H128,'WordRead Look Up'!$I$13:$J$18,2,TRUE),IF(AND(AI128&gt;=79),VLOOKUP(H128,'WordRead Look Up'!$M$13:$N$18,2,TRUE),"")))))</f>
        <v/>
      </c>
      <c r="J128" s="122"/>
      <c r="K128" s="111"/>
      <c r="L128" s="111"/>
      <c r="M128" s="111"/>
      <c r="N128" s="111"/>
      <c r="O128" s="111"/>
      <c r="P128" s="111"/>
      <c r="Q128" s="111"/>
      <c r="R128" s="111"/>
      <c r="S128" s="111"/>
      <c r="T128" s="111"/>
      <c r="U128" s="111"/>
      <c r="V128" s="111"/>
      <c r="W128" s="111"/>
      <c r="X128" s="123"/>
      <c r="AG128" s="185"/>
      <c r="AH128" s="185"/>
      <c r="AI128" s="222" t="str">
        <f t="shared" si="3"/>
        <v/>
      </c>
    </row>
    <row r="129" spans="1:35" s="108" customFormat="1" ht="15.75">
      <c r="A129" s="119"/>
      <c r="B129" s="120"/>
      <c r="C129" s="111"/>
      <c r="D129" s="111"/>
      <c r="E129" s="121"/>
      <c r="F129" s="121"/>
      <c r="G129" s="113"/>
      <c r="H129" s="199" t="str">
        <f t="shared" si="2"/>
        <v/>
      </c>
      <c r="I129" s="200" t="str">
        <f>IF(H129="","",IF(AND(AI129&lt;=66),VLOOKUP(H129,'WordRead Look Up'!$A$13:$B$20,2,TRUE),IF(AND(AI129&gt;=67,AI129&lt;=72),VLOOKUP(H129,'WordRead Look Up'!$E$13:$F$20,2,TRUE),IF(AND(AI129&gt;=73,AI129&lt;=78),VLOOKUP(H129,'WordRead Look Up'!$I$13:$J$18,2,TRUE),IF(AND(AI129&gt;=79),VLOOKUP(H129,'WordRead Look Up'!$M$13:$N$18,2,TRUE),"")))))</f>
        <v/>
      </c>
      <c r="J129" s="122"/>
      <c r="K129" s="111"/>
      <c r="L129" s="111"/>
      <c r="M129" s="111"/>
      <c r="N129" s="111"/>
      <c r="O129" s="111"/>
      <c r="P129" s="111"/>
      <c r="Q129" s="111"/>
      <c r="R129" s="111"/>
      <c r="S129" s="111"/>
      <c r="T129" s="111"/>
      <c r="U129" s="111"/>
      <c r="V129" s="111"/>
      <c r="W129" s="111"/>
      <c r="X129" s="123"/>
      <c r="AG129" s="185"/>
      <c r="AH129" s="185"/>
      <c r="AI129" s="222" t="str">
        <f t="shared" si="3"/>
        <v/>
      </c>
    </row>
    <row r="130" spans="1:35" s="108" customFormat="1" ht="15.75">
      <c r="A130" s="119"/>
      <c r="B130" s="120"/>
      <c r="C130" s="111"/>
      <c r="D130" s="111"/>
      <c r="E130" s="121"/>
      <c r="F130" s="121"/>
      <c r="G130" s="113"/>
      <c r="H130" s="199" t="str">
        <f t="shared" si="2"/>
        <v/>
      </c>
      <c r="I130" s="200" t="str">
        <f>IF(H130="","",IF(AND(AI130&lt;=66),VLOOKUP(H130,'WordRead Look Up'!$A$13:$B$20,2,TRUE),IF(AND(AI130&gt;=67,AI130&lt;=72),VLOOKUP(H130,'WordRead Look Up'!$E$13:$F$20,2,TRUE),IF(AND(AI130&gt;=73,AI130&lt;=78),VLOOKUP(H130,'WordRead Look Up'!$I$13:$J$18,2,TRUE),IF(AND(AI130&gt;=79),VLOOKUP(H130,'WordRead Look Up'!$M$13:$N$18,2,TRUE),"")))))</f>
        <v/>
      </c>
      <c r="J130" s="122"/>
      <c r="K130" s="111"/>
      <c r="L130" s="111"/>
      <c r="M130" s="111"/>
      <c r="N130" s="111"/>
      <c r="O130" s="111"/>
      <c r="P130" s="111"/>
      <c r="Q130" s="111"/>
      <c r="R130" s="111"/>
      <c r="S130" s="111"/>
      <c r="T130" s="111"/>
      <c r="U130" s="111"/>
      <c r="V130" s="111"/>
      <c r="W130" s="111"/>
      <c r="X130" s="123"/>
      <c r="AG130" s="185"/>
      <c r="AH130" s="185"/>
      <c r="AI130" s="222" t="str">
        <f t="shared" si="3"/>
        <v/>
      </c>
    </row>
    <row r="131" spans="1:35" s="108" customFormat="1" ht="15.75">
      <c r="A131" s="119"/>
      <c r="B131" s="120"/>
      <c r="C131" s="111"/>
      <c r="D131" s="111"/>
      <c r="E131" s="121"/>
      <c r="F131" s="121"/>
      <c r="G131" s="113"/>
      <c r="H131" s="199" t="str">
        <f t="shared" si="2"/>
        <v/>
      </c>
      <c r="I131" s="200" t="str">
        <f>IF(H131="","",IF(AND(AI131&lt;=66),VLOOKUP(H131,'WordRead Look Up'!$A$13:$B$20,2,TRUE),IF(AND(AI131&gt;=67,AI131&lt;=72),VLOOKUP(H131,'WordRead Look Up'!$E$13:$F$20,2,TRUE),IF(AND(AI131&gt;=73,AI131&lt;=78),VLOOKUP(H131,'WordRead Look Up'!$I$13:$J$18,2,TRUE),IF(AND(AI131&gt;=79),VLOOKUP(H131,'WordRead Look Up'!$M$13:$N$18,2,TRUE),"")))))</f>
        <v/>
      </c>
      <c r="J131" s="122"/>
      <c r="K131" s="111"/>
      <c r="L131" s="111"/>
      <c r="M131" s="111"/>
      <c r="N131" s="111"/>
      <c r="O131" s="111"/>
      <c r="P131" s="111"/>
      <c r="Q131" s="111"/>
      <c r="R131" s="111"/>
      <c r="S131" s="111"/>
      <c r="T131" s="111"/>
      <c r="U131" s="111"/>
      <c r="V131" s="111"/>
      <c r="W131" s="111"/>
      <c r="X131" s="123"/>
      <c r="AG131" s="185"/>
      <c r="AH131" s="185"/>
      <c r="AI131" s="222" t="str">
        <f t="shared" si="3"/>
        <v/>
      </c>
    </row>
    <row r="132" spans="1:35" s="108" customFormat="1" ht="15.75">
      <c r="A132" s="119"/>
      <c r="B132" s="120"/>
      <c r="C132" s="111"/>
      <c r="D132" s="111"/>
      <c r="E132" s="121"/>
      <c r="F132" s="121"/>
      <c r="G132" s="113"/>
      <c r="H132" s="199" t="str">
        <f t="shared" si="2"/>
        <v/>
      </c>
      <c r="I132" s="200" t="str">
        <f>IF(H132="","",IF(AND(AI132&lt;=66),VLOOKUP(H132,'WordRead Look Up'!$A$13:$B$20,2,TRUE),IF(AND(AI132&gt;=67,AI132&lt;=72),VLOOKUP(H132,'WordRead Look Up'!$E$13:$F$20,2,TRUE),IF(AND(AI132&gt;=73,AI132&lt;=78),VLOOKUP(H132,'WordRead Look Up'!$I$13:$J$18,2,TRUE),IF(AND(AI132&gt;=79),VLOOKUP(H132,'WordRead Look Up'!$M$13:$N$18,2,TRUE),"")))))</f>
        <v/>
      </c>
      <c r="J132" s="122"/>
      <c r="K132" s="111"/>
      <c r="L132" s="111"/>
      <c r="M132" s="111"/>
      <c r="N132" s="111"/>
      <c r="O132" s="111"/>
      <c r="P132" s="111"/>
      <c r="Q132" s="111"/>
      <c r="R132" s="111"/>
      <c r="S132" s="111"/>
      <c r="T132" s="111"/>
      <c r="U132" s="111"/>
      <c r="V132" s="111"/>
      <c r="W132" s="111"/>
      <c r="X132" s="123"/>
      <c r="AG132" s="185"/>
      <c r="AH132" s="185"/>
      <c r="AI132" s="222" t="str">
        <f t="shared" si="3"/>
        <v/>
      </c>
    </row>
    <row r="133" spans="1:35" s="108" customFormat="1" ht="15.75">
      <c r="A133" s="119"/>
      <c r="B133" s="120"/>
      <c r="C133" s="111"/>
      <c r="D133" s="111"/>
      <c r="E133" s="121"/>
      <c r="F133" s="121"/>
      <c r="G133" s="113"/>
      <c r="H133" s="199" t="str">
        <f t="shared" si="2"/>
        <v/>
      </c>
      <c r="I133" s="200" t="str">
        <f>IF(H133="","",IF(AND(AI133&lt;=66),VLOOKUP(H133,'WordRead Look Up'!$A$13:$B$20,2,TRUE),IF(AND(AI133&gt;=67,AI133&lt;=72),VLOOKUP(H133,'WordRead Look Up'!$E$13:$F$20,2,TRUE),IF(AND(AI133&gt;=73,AI133&lt;=78),VLOOKUP(H133,'WordRead Look Up'!$I$13:$J$18,2,TRUE),IF(AND(AI133&gt;=79),VLOOKUP(H133,'WordRead Look Up'!$M$13:$N$18,2,TRUE),"")))))</f>
        <v/>
      </c>
      <c r="J133" s="122"/>
      <c r="K133" s="111"/>
      <c r="L133" s="111"/>
      <c r="M133" s="111"/>
      <c r="N133" s="111"/>
      <c r="O133" s="111"/>
      <c r="P133" s="111"/>
      <c r="Q133" s="111"/>
      <c r="R133" s="111"/>
      <c r="S133" s="111"/>
      <c r="T133" s="111"/>
      <c r="U133" s="111"/>
      <c r="V133" s="111"/>
      <c r="W133" s="111"/>
      <c r="X133" s="123"/>
      <c r="AG133" s="185"/>
      <c r="AH133" s="185"/>
      <c r="AI133" s="222" t="str">
        <f t="shared" si="3"/>
        <v/>
      </c>
    </row>
    <row r="134" spans="1:35" s="108" customFormat="1" ht="15.75">
      <c r="A134" s="119"/>
      <c r="B134" s="120"/>
      <c r="C134" s="111"/>
      <c r="D134" s="111"/>
      <c r="E134" s="121"/>
      <c r="F134" s="121"/>
      <c r="G134" s="113"/>
      <c r="H134" s="199" t="str">
        <f t="shared" si="2"/>
        <v/>
      </c>
      <c r="I134" s="200" t="str">
        <f>IF(H134="","",IF(AND(AI134&lt;=66),VLOOKUP(H134,'WordRead Look Up'!$A$13:$B$20,2,TRUE),IF(AND(AI134&gt;=67,AI134&lt;=72),VLOOKUP(H134,'WordRead Look Up'!$E$13:$F$20,2,TRUE),IF(AND(AI134&gt;=73,AI134&lt;=78),VLOOKUP(H134,'WordRead Look Up'!$I$13:$J$18,2,TRUE),IF(AND(AI134&gt;=79),VLOOKUP(H134,'WordRead Look Up'!$M$13:$N$18,2,TRUE),"")))))</f>
        <v/>
      </c>
      <c r="J134" s="122"/>
      <c r="K134" s="111"/>
      <c r="L134" s="111"/>
      <c r="M134" s="111"/>
      <c r="N134" s="111"/>
      <c r="O134" s="111"/>
      <c r="P134" s="111"/>
      <c r="Q134" s="111"/>
      <c r="R134" s="111"/>
      <c r="S134" s="111"/>
      <c r="T134" s="111"/>
      <c r="U134" s="111"/>
      <c r="V134" s="111"/>
      <c r="W134" s="111"/>
      <c r="X134" s="123"/>
      <c r="AG134" s="185"/>
      <c r="AH134" s="185"/>
      <c r="AI134" s="222" t="str">
        <f t="shared" si="3"/>
        <v/>
      </c>
    </row>
    <row r="135" spans="1:35" s="108" customFormat="1" ht="15.75">
      <c r="A135" s="119"/>
      <c r="B135" s="120"/>
      <c r="C135" s="111"/>
      <c r="D135" s="111"/>
      <c r="E135" s="121"/>
      <c r="F135" s="121"/>
      <c r="G135" s="113"/>
      <c r="H135" s="199" t="str">
        <f t="shared" si="2"/>
        <v/>
      </c>
      <c r="I135" s="200" t="str">
        <f>IF(H135="","",IF(AND(AI135&lt;=66),VLOOKUP(H135,'WordRead Look Up'!$A$13:$B$20,2,TRUE),IF(AND(AI135&gt;=67,AI135&lt;=72),VLOOKUP(H135,'WordRead Look Up'!$E$13:$F$20,2,TRUE),IF(AND(AI135&gt;=73,AI135&lt;=78),VLOOKUP(H135,'WordRead Look Up'!$I$13:$J$18,2,TRUE),IF(AND(AI135&gt;=79),VLOOKUP(H135,'WordRead Look Up'!$M$13:$N$18,2,TRUE),"")))))</f>
        <v/>
      </c>
      <c r="J135" s="122"/>
      <c r="K135" s="111"/>
      <c r="L135" s="111"/>
      <c r="M135" s="111"/>
      <c r="N135" s="111"/>
      <c r="O135" s="111"/>
      <c r="P135" s="111"/>
      <c r="Q135" s="111"/>
      <c r="R135" s="111"/>
      <c r="S135" s="111"/>
      <c r="T135" s="111"/>
      <c r="U135" s="111"/>
      <c r="V135" s="111"/>
      <c r="W135" s="111"/>
      <c r="X135" s="123"/>
      <c r="AG135" s="185"/>
      <c r="AH135" s="185"/>
      <c r="AI135" s="222" t="str">
        <f t="shared" si="3"/>
        <v/>
      </c>
    </row>
    <row r="136" spans="1:35" s="108" customFormat="1" ht="15.75">
      <c r="A136" s="119"/>
      <c r="B136" s="120"/>
      <c r="C136" s="111"/>
      <c r="D136" s="111"/>
      <c r="E136" s="121"/>
      <c r="F136" s="121"/>
      <c r="G136" s="113"/>
      <c r="H136" s="199" t="str">
        <f t="shared" ref="H136:H199" si="4">IF(E136="","",COUNTIF(J136:X136,"y"))</f>
        <v/>
      </c>
      <c r="I136" s="200" t="str">
        <f>IF(H136="","",IF(AND(AI136&lt;=66),VLOOKUP(H136,'WordRead Look Up'!$A$13:$B$20,2,TRUE),IF(AND(AI136&gt;=67,AI136&lt;=72),VLOOKUP(H136,'WordRead Look Up'!$E$13:$F$20,2,TRUE),IF(AND(AI136&gt;=73,AI136&lt;=78),VLOOKUP(H136,'WordRead Look Up'!$I$13:$J$18,2,TRUE),IF(AND(AI136&gt;=79),VLOOKUP(H136,'WordRead Look Up'!$M$13:$N$18,2,TRUE),"")))))</f>
        <v/>
      </c>
      <c r="J136" s="122"/>
      <c r="K136" s="111"/>
      <c r="L136" s="111"/>
      <c r="M136" s="111"/>
      <c r="N136" s="111"/>
      <c r="O136" s="111"/>
      <c r="P136" s="111"/>
      <c r="Q136" s="111"/>
      <c r="R136" s="111"/>
      <c r="S136" s="111"/>
      <c r="T136" s="111"/>
      <c r="U136" s="111"/>
      <c r="V136" s="111"/>
      <c r="W136" s="111"/>
      <c r="X136" s="123"/>
      <c r="AG136" s="185"/>
      <c r="AH136" s="185"/>
      <c r="AI136" s="222" t="str">
        <f t="shared" ref="AI136:AI199" si="5">IF(E136="","",DATEDIF(B136,A136,"m"))</f>
        <v/>
      </c>
    </row>
    <row r="137" spans="1:35" s="108" customFormat="1" ht="15.75">
      <c r="A137" s="119"/>
      <c r="B137" s="120"/>
      <c r="C137" s="111"/>
      <c r="D137" s="111"/>
      <c r="E137" s="121"/>
      <c r="F137" s="121"/>
      <c r="G137" s="113"/>
      <c r="H137" s="199" t="str">
        <f t="shared" si="4"/>
        <v/>
      </c>
      <c r="I137" s="200" t="str">
        <f>IF(H137="","",IF(AND(AI137&lt;=66),VLOOKUP(H137,'WordRead Look Up'!$A$13:$B$20,2,TRUE),IF(AND(AI137&gt;=67,AI137&lt;=72),VLOOKUP(H137,'WordRead Look Up'!$E$13:$F$20,2,TRUE),IF(AND(AI137&gt;=73,AI137&lt;=78),VLOOKUP(H137,'WordRead Look Up'!$I$13:$J$18,2,TRUE),IF(AND(AI137&gt;=79),VLOOKUP(H137,'WordRead Look Up'!$M$13:$N$18,2,TRUE),"")))))</f>
        <v/>
      </c>
      <c r="J137" s="122"/>
      <c r="K137" s="111"/>
      <c r="L137" s="111"/>
      <c r="M137" s="111"/>
      <c r="N137" s="111"/>
      <c r="O137" s="111"/>
      <c r="P137" s="111"/>
      <c r="Q137" s="111"/>
      <c r="R137" s="111"/>
      <c r="S137" s="111"/>
      <c r="T137" s="111"/>
      <c r="U137" s="111"/>
      <c r="V137" s="111"/>
      <c r="W137" s="111"/>
      <c r="X137" s="123"/>
      <c r="AG137" s="185"/>
      <c r="AH137" s="185"/>
      <c r="AI137" s="222" t="str">
        <f t="shared" si="5"/>
        <v/>
      </c>
    </row>
    <row r="138" spans="1:35" s="108" customFormat="1" ht="15.75">
      <c r="A138" s="119"/>
      <c r="B138" s="120"/>
      <c r="C138" s="111"/>
      <c r="D138" s="111"/>
      <c r="E138" s="121"/>
      <c r="F138" s="121"/>
      <c r="G138" s="113"/>
      <c r="H138" s="199" t="str">
        <f t="shared" si="4"/>
        <v/>
      </c>
      <c r="I138" s="200" t="str">
        <f>IF(H138="","",IF(AND(AI138&lt;=66),VLOOKUP(H138,'WordRead Look Up'!$A$13:$B$20,2,TRUE),IF(AND(AI138&gt;=67,AI138&lt;=72),VLOOKUP(H138,'WordRead Look Up'!$E$13:$F$20,2,TRUE),IF(AND(AI138&gt;=73,AI138&lt;=78),VLOOKUP(H138,'WordRead Look Up'!$I$13:$J$18,2,TRUE),IF(AND(AI138&gt;=79),VLOOKUP(H138,'WordRead Look Up'!$M$13:$N$18,2,TRUE),"")))))</f>
        <v/>
      </c>
      <c r="J138" s="122"/>
      <c r="K138" s="111"/>
      <c r="L138" s="111"/>
      <c r="M138" s="111"/>
      <c r="N138" s="111"/>
      <c r="O138" s="111"/>
      <c r="P138" s="111"/>
      <c r="Q138" s="111"/>
      <c r="R138" s="111"/>
      <c r="S138" s="111"/>
      <c r="T138" s="111"/>
      <c r="U138" s="111"/>
      <c r="V138" s="111"/>
      <c r="W138" s="111"/>
      <c r="X138" s="123"/>
      <c r="AG138" s="185"/>
      <c r="AH138" s="185"/>
      <c r="AI138" s="222" t="str">
        <f t="shared" si="5"/>
        <v/>
      </c>
    </row>
    <row r="139" spans="1:35" s="108" customFormat="1" ht="15.75">
      <c r="A139" s="119"/>
      <c r="B139" s="120"/>
      <c r="C139" s="111"/>
      <c r="D139" s="111"/>
      <c r="E139" s="121"/>
      <c r="F139" s="121"/>
      <c r="G139" s="113"/>
      <c r="H139" s="199" t="str">
        <f t="shared" si="4"/>
        <v/>
      </c>
      <c r="I139" s="200" t="str">
        <f>IF(H139="","",IF(AND(AI139&lt;=66),VLOOKUP(H139,'WordRead Look Up'!$A$13:$B$20,2,TRUE),IF(AND(AI139&gt;=67,AI139&lt;=72),VLOOKUP(H139,'WordRead Look Up'!$E$13:$F$20,2,TRUE),IF(AND(AI139&gt;=73,AI139&lt;=78),VLOOKUP(H139,'WordRead Look Up'!$I$13:$J$18,2,TRUE),IF(AND(AI139&gt;=79),VLOOKUP(H139,'WordRead Look Up'!$M$13:$N$18,2,TRUE),"")))))</f>
        <v/>
      </c>
      <c r="J139" s="122"/>
      <c r="K139" s="111"/>
      <c r="L139" s="111"/>
      <c r="M139" s="111"/>
      <c r="N139" s="111"/>
      <c r="O139" s="111"/>
      <c r="P139" s="111"/>
      <c r="Q139" s="111"/>
      <c r="R139" s="111"/>
      <c r="S139" s="111"/>
      <c r="T139" s="111"/>
      <c r="U139" s="111"/>
      <c r="V139" s="111"/>
      <c r="W139" s="111"/>
      <c r="X139" s="123"/>
      <c r="AG139" s="185"/>
      <c r="AH139" s="185"/>
      <c r="AI139" s="222" t="str">
        <f t="shared" si="5"/>
        <v/>
      </c>
    </row>
    <row r="140" spans="1:35" s="108" customFormat="1" ht="15.75">
      <c r="A140" s="119"/>
      <c r="B140" s="120"/>
      <c r="C140" s="111"/>
      <c r="D140" s="111"/>
      <c r="E140" s="121"/>
      <c r="F140" s="121"/>
      <c r="G140" s="113"/>
      <c r="H140" s="199" t="str">
        <f t="shared" si="4"/>
        <v/>
      </c>
      <c r="I140" s="200" t="str">
        <f>IF(H140="","",IF(AND(AI140&lt;=66),VLOOKUP(H140,'WordRead Look Up'!$A$13:$B$20,2,TRUE),IF(AND(AI140&gt;=67,AI140&lt;=72),VLOOKUP(H140,'WordRead Look Up'!$E$13:$F$20,2,TRUE),IF(AND(AI140&gt;=73,AI140&lt;=78),VLOOKUP(H140,'WordRead Look Up'!$I$13:$J$18,2,TRUE),IF(AND(AI140&gt;=79),VLOOKUP(H140,'WordRead Look Up'!$M$13:$N$18,2,TRUE),"")))))</f>
        <v/>
      </c>
      <c r="J140" s="122"/>
      <c r="K140" s="111"/>
      <c r="L140" s="111"/>
      <c r="M140" s="111"/>
      <c r="N140" s="111"/>
      <c r="O140" s="111"/>
      <c r="P140" s="111"/>
      <c r="Q140" s="111"/>
      <c r="R140" s="111"/>
      <c r="S140" s="111"/>
      <c r="T140" s="111"/>
      <c r="U140" s="111"/>
      <c r="V140" s="111"/>
      <c r="W140" s="111"/>
      <c r="X140" s="123"/>
      <c r="AG140" s="185"/>
      <c r="AH140" s="185"/>
      <c r="AI140" s="222" t="str">
        <f t="shared" si="5"/>
        <v/>
      </c>
    </row>
    <row r="141" spans="1:35" s="108" customFormat="1" ht="15.75">
      <c r="A141" s="119"/>
      <c r="B141" s="120"/>
      <c r="C141" s="111"/>
      <c r="D141" s="111"/>
      <c r="E141" s="121"/>
      <c r="F141" s="121"/>
      <c r="G141" s="113"/>
      <c r="H141" s="199" t="str">
        <f t="shared" si="4"/>
        <v/>
      </c>
      <c r="I141" s="200" t="str">
        <f>IF(H141="","",IF(AND(AI141&lt;=66),VLOOKUP(H141,'WordRead Look Up'!$A$13:$B$20,2,TRUE),IF(AND(AI141&gt;=67,AI141&lt;=72),VLOOKUP(H141,'WordRead Look Up'!$E$13:$F$20,2,TRUE),IF(AND(AI141&gt;=73,AI141&lt;=78),VLOOKUP(H141,'WordRead Look Up'!$I$13:$J$18,2,TRUE),IF(AND(AI141&gt;=79),VLOOKUP(H141,'WordRead Look Up'!$M$13:$N$18,2,TRUE),"")))))</f>
        <v/>
      </c>
      <c r="J141" s="122"/>
      <c r="K141" s="111"/>
      <c r="L141" s="111"/>
      <c r="M141" s="111"/>
      <c r="N141" s="111"/>
      <c r="O141" s="111"/>
      <c r="P141" s="111"/>
      <c r="Q141" s="111"/>
      <c r="R141" s="111"/>
      <c r="S141" s="111"/>
      <c r="T141" s="111"/>
      <c r="U141" s="111"/>
      <c r="V141" s="111"/>
      <c r="W141" s="111"/>
      <c r="X141" s="123"/>
      <c r="AG141" s="185"/>
      <c r="AH141" s="185"/>
      <c r="AI141" s="222" t="str">
        <f t="shared" si="5"/>
        <v/>
      </c>
    </row>
    <row r="142" spans="1:35" s="108" customFormat="1" ht="15.75">
      <c r="A142" s="119"/>
      <c r="B142" s="120"/>
      <c r="C142" s="111"/>
      <c r="D142" s="111"/>
      <c r="E142" s="121"/>
      <c r="F142" s="121"/>
      <c r="G142" s="113"/>
      <c r="H142" s="199" t="str">
        <f t="shared" si="4"/>
        <v/>
      </c>
      <c r="I142" s="200" t="str">
        <f>IF(H142="","",IF(AND(AI142&lt;=66),VLOOKUP(H142,'WordRead Look Up'!$A$13:$B$20,2,TRUE),IF(AND(AI142&gt;=67,AI142&lt;=72),VLOOKUP(H142,'WordRead Look Up'!$E$13:$F$20,2,TRUE),IF(AND(AI142&gt;=73,AI142&lt;=78),VLOOKUP(H142,'WordRead Look Up'!$I$13:$J$18,2,TRUE),IF(AND(AI142&gt;=79),VLOOKUP(H142,'WordRead Look Up'!$M$13:$N$18,2,TRUE),"")))))</f>
        <v/>
      </c>
      <c r="J142" s="122"/>
      <c r="K142" s="111"/>
      <c r="L142" s="111"/>
      <c r="M142" s="111"/>
      <c r="N142" s="111"/>
      <c r="O142" s="111"/>
      <c r="P142" s="111"/>
      <c r="Q142" s="111"/>
      <c r="R142" s="111"/>
      <c r="S142" s="111"/>
      <c r="T142" s="111"/>
      <c r="U142" s="111"/>
      <c r="V142" s="111"/>
      <c r="W142" s="111"/>
      <c r="X142" s="123"/>
      <c r="AG142" s="185"/>
      <c r="AH142" s="185"/>
      <c r="AI142" s="222" t="str">
        <f t="shared" si="5"/>
        <v/>
      </c>
    </row>
    <row r="143" spans="1:35" s="108" customFormat="1" ht="15.75">
      <c r="A143" s="119"/>
      <c r="B143" s="120"/>
      <c r="C143" s="111"/>
      <c r="D143" s="111"/>
      <c r="E143" s="121"/>
      <c r="F143" s="121"/>
      <c r="G143" s="113"/>
      <c r="H143" s="199" t="str">
        <f t="shared" si="4"/>
        <v/>
      </c>
      <c r="I143" s="200" t="str">
        <f>IF(H143="","",IF(AND(AI143&lt;=66),VLOOKUP(H143,'WordRead Look Up'!$A$13:$B$20,2,TRUE),IF(AND(AI143&gt;=67,AI143&lt;=72),VLOOKUP(H143,'WordRead Look Up'!$E$13:$F$20,2,TRUE),IF(AND(AI143&gt;=73,AI143&lt;=78),VLOOKUP(H143,'WordRead Look Up'!$I$13:$J$18,2,TRUE),IF(AND(AI143&gt;=79),VLOOKUP(H143,'WordRead Look Up'!$M$13:$N$18,2,TRUE),"")))))</f>
        <v/>
      </c>
      <c r="J143" s="122"/>
      <c r="K143" s="111"/>
      <c r="L143" s="111"/>
      <c r="M143" s="111"/>
      <c r="N143" s="111"/>
      <c r="O143" s="111"/>
      <c r="P143" s="111"/>
      <c r="Q143" s="111"/>
      <c r="R143" s="111"/>
      <c r="S143" s="111"/>
      <c r="T143" s="111"/>
      <c r="U143" s="111"/>
      <c r="V143" s="111"/>
      <c r="W143" s="111"/>
      <c r="X143" s="123"/>
      <c r="AG143" s="185"/>
      <c r="AH143" s="185"/>
      <c r="AI143" s="222" t="str">
        <f t="shared" si="5"/>
        <v/>
      </c>
    </row>
    <row r="144" spans="1:35" s="108" customFormat="1" ht="15.75">
      <c r="A144" s="119"/>
      <c r="B144" s="120"/>
      <c r="C144" s="111"/>
      <c r="D144" s="111"/>
      <c r="E144" s="121"/>
      <c r="F144" s="121"/>
      <c r="G144" s="113"/>
      <c r="H144" s="199" t="str">
        <f t="shared" si="4"/>
        <v/>
      </c>
      <c r="I144" s="200" t="str">
        <f>IF(H144="","",IF(AND(AI144&lt;=66),VLOOKUP(H144,'WordRead Look Up'!$A$13:$B$20,2,TRUE),IF(AND(AI144&gt;=67,AI144&lt;=72),VLOOKUP(H144,'WordRead Look Up'!$E$13:$F$20,2,TRUE),IF(AND(AI144&gt;=73,AI144&lt;=78),VLOOKUP(H144,'WordRead Look Up'!$I$13:$J$18,2,TRUE),IF(AND(AI144&gt;=79),VLOOKUP(H144,'WordRead Look Up'!$M$13:$N$18,2,TRUE),"")))))</f>
        <v/>
      </c>
      <c r="J144" s="122"/>
      <c r="K144" s="111"/>
      <c r="L144" s="111"/>
      <c r="M144" s="111"/>
      <c r="N144" s="111"/>
      <c r="O144" s="111"/>
      <c r="P144" s="111"/>
      <c r="Q144" s="111"/>
      <c r="R144" s="111"/>
      <c r="S144" s="111"/>
      <c r="T144" s="111"/>
      <c r="U144" s="111"/>
      <c r="V144" s="111"/>
      <c r="W144" s="111"/>
      <c r="X144" s="123"/>
      <c r="AG144" s="185"/>
      <c r="AH144" s="185"/>
      <c r="AI144" s="222" t="str">
        <f t="shared" si="5"/>
        <v/>
      </c>
    </row>
    <row r="145" spans="1:35" s="108" customFormat="1" ht="15.75">
      <c r="A145" s="119"/>
      <c r="B145" s="120"/>
      <c r="C145" s="111"/>
      <c r="D145" s="111"/>
      <c r="E145" s="121"/>
      <c r="F145" s="121"/>
      <c r="G145" s="113"/>
      <c r="H145" s="199" t="str">
        <f t="shared" si="4"/>
        <v/>
      </c>
      <c r="I145" s="200" t="str">
        <f>IF(H145="","",IF(AND(AI145&lt;=66),VLOOKUP(H145,'WordRead Look Up'!$A$13:$B$20,2,TRUE),IF(AND(AI145&gt;=67,AI145&lt;=72),VLOOKUP(H145,'WordRead Look Up'!$E$13:$F$20,2,TRUE),IF(AND(AI145&gt;=73,AI145&lt;=78),VLOOKUP(H145,'WordRead Look Up'!$I$13:$J$18,2,TRUE),IF(AND(AI145&gt;=79),VLOOKUP(H145,'WordRead Look Up'!$M$13:$N$18,2,TRUE),"")))))</f>
        <v/>
      </c>
      <c r="J145" s="122"/>
      <c r="K145" s="111"/>
      <c r="L145" s="111"/>
      <c r="M145" s="111"/>
      <c r="N145" s="111"/>
      <c r="O145" s="111"/>
      <c r="P145" s="111"/>
      <c r="Q145" s="111"/>
      <c r="R145" s="111"/>
      <c r="S145" s="111"/>
      <c r="T145" s="111"/>
      <c r="U145" s="111"/>
      <c r="V145" s="111"/>
      <c r="W145" s="111"/>
      <c r="X145" s="123"/>
      <c r="AG145" s="185"/>
      <c r="AH145" s="185"/>
      <c r="AI145" s="222" t="str">
        <f t="shared" si="5"/>
        <v/>
      </c>
    </row>
    <row r="146" spans="1:35" s="108" customFormat="1" ht="15.75">
      <c r="A146" s="119"/>
      <c r="B146" s="120"/>
      <c r="C146" s="111"/>
      <c r="D146" s="111"/>
      <c r="E146" s="121"/>
      <c r="F146" s="121"/>
      <c r="G146" s="113"/>
      <c r="H146" s="199" t="str">
        <f t="shared" si="4"/>
        <v/>
      </c>
      <c r="I146" s="200" t="str">
        <f>IF(H146="","",IF(AND(AI146&lt;=66),VLOOKUP(H146,'WordRead Look Up'!$A$13:$B$20,2,TRUE),IF(AND(AI146&gt;=67,AI146&lt;=72),VLOOKUP(H146,'WordRead Look Up'!$E$13:$F$20,2,TRUE),IF(AND(AI146&gt;=73,AI146&lt;=78),VLOOKUP(H146,'WordRead Look Up'!$I$13:$J$18,2,TRUE),IF(AND(AI146&gt;=79),VLOOKUP(H146,'WordRead Look Up'!$M$13:$N$18,2,TRUE),"")))))</f>
        <v/>
      </c>
      <c r="J146" s="122"/>
      <c r="K146" s="111"/>
      <c r="L146" s="111"/>
      <c r="M146" s="111"/>
      <c r="N146" s="111"/>
      <c r="O146" s="111"/>
      <c r="P146" s="111"/>
      <c r="Q146" s="111"/>
      <c r="R146" s="111"/>
      <c r="S146" s="111"/>
      <c r="T146" s="111"/>
      <c r="U146" s="111"/>
      <c r="V146" s="111"/>
      <c r="W146" s="111"/>
      <c r="X146" s="123"/>
      <c r="AG146" s="185"/>
      <c r="AH146" s="185"/>
      <c r="AI146" s="222" t="str">
        <f t="shared" si="5"/>
        <v/>
      </c>
    </row>
    <row r="147" spans="1:35" s="108" customFormat="1" ht="15.75">
      <c r="A147" s="119"/>
      <c r="B147" s="120"/>
      <c r="C147" s="111"/>
      <c r="D147" s="111"/>
      <c r="E147" s="121"/>
      <c r="F147" s="121"/>
      <c r="G147" s="113"/>
      <c r="H147" s="199" t="str">
        <f t="shared" si="4"/>
        <v/>
      </c>
      <c r="I147" s="200" t="str">
        <f>IF(H147="","",IF(AND(AI147&lt;=66),VLOOKUP(H147,'WordRead Look Up'!$A$13:$B$20,2,TRUE),IF(AND(AI147&gt;=67,AI147&lt;=72),VLOOKUP(H147,'WordRead Look Up'!$E$13:$F$20,2,TRUE),IF(AND(AI147&gt;=73,AI147&lt;=78),VLOOKUP(H147,'WordRead Look Up'!$I$13:$J$18,2,TRUE),IF(AND(AI147&gt;=79),VLOOKUP(H147,'WordRead Look Up'!$M$13:$N$18,2,TRUE),"")))))</f>
        <v/>
      </c>
      <c r="J147" s="122"/>
      <c r="K147" s="111"/>
      <c r="L147" s="111"/>
      <c r="M147" s="111"/>
      <c r="N147" s="111"/>
      <c r="O147" s="111"/>
      <c r="P147" s="111"/>
      <c r="Q147" s="111"/>
      <c r="R147" s="111"/>
      <c r="S147" s="111"/>
      <c r="T147" s="111"/>
      <c r="U147" s="111"/>
      <c r="V147" s="111"/>
      <c r="W147" s="111"/>
      <c r="X147" s="123"/>
      <c r="AG147" s="185"/>
      <c r="AH147" s="185"/>
      <c r="AI147" s="222" t="str">
        <f t="shared" si="5"/>
        <v/>
      </c>
    </row>
    <row r="148" spans="1:35" s="108" customFormat="1" ht="15.75">
      <c r="A148" s="119"/>
      <c r="B148" s="120"/>
      <c r="C148" s="111"/>
      <c r="D148" s="111"/>
      <c r="E148" s="121"/>
      <c r="F148" s="121"/>
      <c r="G148" s="113"/>
      <c r="H148" s="199" t="str">
        <f t="shared" si="4"/>
        <v/>
      </c>
      <c r="I148" s="200" t="str">
        <f>IF(H148="","",IF(AND(AI148&lt;=66),VLOOKUP(H148,'WordRead Look Up'!$A$13:$B$20,2,TRUE),IF(AND(AI148&gt;=67,AI148&lt;=72),VLOOKUP(H148,'WordRead Look Up'!$E$13:$F$20,2,TRUE),IF(AND(AI148&gt;=73,AI148&lt;=78),VLOOKUP(H148,'WordRead Look Up'!$I$13:$J$18,2,TRUE),IF(AND(AI148&gt;=79),VLOOKUP(H148,'WordRead Look Up'!$M$13:$N$18,2,TRUE),"")))))</f>
        <v/>
      </c>
      <c r="J148" s="122"/>
      <c r="K148" s="111"/>
      <c r="L148" s="111"/>
      <c r="M148" s="111"/>
      <c r="N148" s="111"/>
      <c r="O148" s="111"/>
      <c r="P148" s="111"/>
      <c r="Q148" s="111"/>
      <c r="R148" s="111"/>
      <c r="S148" s="111"/>
      <c r="T148" s="111"/>
      <c r="U148" s="111"/>
      <c r="V148" s="111"/>
      <c r="W148" s="111"/>
      <c r="X148" s="123"/>
      <c r="AG148" s="185"/>
      <c r="AH148" s="185"/>
      <c r="AI148" s="222" t="str">
        <f t="shared" si="5"/>
        <v/>
      </c>
    </row>
    <row r="149" spans="1:35" s="108" customFormat="1" ht="15.75">
      <c r="A149" s="119"/>
      <c r="B149" s="120"/>
      <c r="C149" s="111"/>
      <c r="D149" s="111"/>
      <c r="E149" s="121"/>
      <c r="F149" s="121"/>
      <c r="G149" s="113"/>
      <c r="H149" s="199" t="str">
        <f t="shared" si="4"/>
        <v/>
      </c>
      <c r="I149" s="200" t="str">
        <f>IF(H149="","",IF(AND(AI149&lt;=66),VLOOKUP(H149,'WordRead Look Up'!$A$13:$B$20,2,TRUE),IF(AND(AI149&gt;=67,AI149&lt;=72),VLOOKUP(H149,'WordRead Look Up'!$E$13:$F$20,2,TRUE),IF(AND(AI149&gt;=73,AI149&lt;=78),VLOOKUP(H149,'WordRead Look Up'!$I$13:$J$18,2,TRUE),IF(AND(AI149&gt;=79),VLOOKUP(H149,'WordRead Look Up'!$M$13:$N$18,2,TRUE),"")))))</f>
        <v/>
      </c>
      <c r="J149" s="122"/>
      <c r="K149" s="111"/>
      <c r="L149" s="111"/>
      <c r="M149" s="111"/>
      <c r="N149" s="111"/>
      <c r="O149" s="111"/>
      <c r="P149" s="111"/>
      <c r="Q149" s="111"/>
      <c r="R149" s="111"/>
      <c r="S149" s="111"/>
      <c r="T149" s="111"/>
      <c r="U149" s="111"/>
      <c r="V149" s="111"/>
      <c r="W149" s="111"/>
      <c r="X149" s="123"/>
      <c r="AG149" s="185"/>
      <c r="AH149" s="185"/>
      <c r="AI149" s="222" t="str">
        <f t="shared" si="5"/>
        <v/>
      </c>
    </row>
    <row r="150" spans="1:35" s="108" customFormat="1" ht="15.75">
      <c r="A150" s="119"/>
      <c r="B150" s="120"/>
      <c r="C150" s="111"/>
      <c r="D150" s="111"/>
      <c r="E150" s="121"/>
      <c r="F150" s="121"/>
      <c r="G150" s="113"/>
      <c r="H150" s="199" t="str">
        <f t="shared" si="4"/>
        <v/>
      </c>
      <c r="I150" s="200" t="str">
        <f>IF(H150="","",IF(AND(AI150&lt;=66),VLOOKUP(H150,'WordRead Look Up'!$A$13:$B$20,2,TRUE),IF(AND(AI150&gt;=67,AI150&lt;=72),VLOOKUP(H150,'WordRead Look Up'!$E$13:$F$20,2,TRUE),IF(AND(AI150&gt;=73,AI150&lt;=78),VLOOKUP(H150,'WordRead Look Up'!$I$13:$J$18,2,TRUE),IF(AND(AI150&gt;=79),VLOOKUP(H150,'WordRead Look Up'!$M$13:$N$18,2,TRUE),"")))))</f>
        <v/>
      </c>
      <c r="J150" s="122"/>
      <c r="K150" s="111"/>
      <c r="L150" s="111"/>
      <c r="M150" s="111"/>
      <c r="N150" s="111"/>
      <c r="O150" s="111"/>
      <c r="P150" s="111"/>
      <c r="Q150" s="111"/>
      <c r="R150" s="111"/>
      <c r="S150" s="111"/>
      <c r="T150" s="111"/>
      <c r="U150" s="111"/>
      <c r="V150" s="111"/>
      <c r="W150" s="111"/>
      <c r="X150" s="123"/>
      <c r="AG150" s="185"/>
      <c r="AH150" s="185"/>
      <c r="AI150" s="222" t="str">
        <f t="shared" si="5"/>
        <v/>
      </c>
    </row>
    <row r="151" spans="1:35" s="108" customFormat="1" ht="15.75">
      <c r="A151" s="119"/>
      <c r="B151" s="120"/>
      <c r="C151" s="111"/>
      <c r="D151" s="111"/>
      <c r="E151" s="121"/>
      <c r="F151" s="121"/>
      <c r="G151" s="113"/>
      <c r="H151" s="199" t="str">
        <f t="shared" si="4"/>
        <v/>
      </c>
      <c r="I151" s="200" t="str">
        <f>IF(H151="","",IF(AND(AI151&lt;=66),VLOOKUP(H151,'WordRead Look Up'!$A$13:$B$20,2,TRUE),IF(AND(AI151&gt;=67,AI151&lt;=72),VLOOKUP(H151,'WordRead Look Up'!$E$13:$F$20,2,TRUE),IF(AND(AI151&gt;=73,AI151&lt;=78),VLOOKUP(H151,'WordRead Look Up'!$I$13:$J$18,2,TRUE),IF(AND(AI151&gt;=79),VLOOKUP(H151,'WordRead Look Up'!$M$13:$N$18,2,TRUE),"")))))</f>
        <v/>
      </c>
      <c r="J151" s="122"/>
      <c r="K151" s="111"/>
      <c r="L151" s="111"/>
      <c r="M151" s="111"/>
      <c r="N151" s="111"/>
      <c r="O151" s="111"/>
      <c r="P151" s="111"/>
      <c r="Q151" s="111"/>
      <c r="R151" s="111"/>
      <c r="S151" s="111"/>
      <c r="T151" s="111"/>
      <c r="U151" s="111"/>
      <c r="V151" s="111"/>
      <c r="W151" s="111"/>
      <c r="X151" s="123"/>
      <c r="AG151" s="185"/>
      <c r="AH151" s="185"/>
      <c r="AI151" s="222" t="str">
        <f t="shared" si="5"/>
        <v/>
      </c>
    </row>
    <row r="152" spans="1:35" s="108" customFormat="1" ht="15.75">
      <c r="A152" s="119"/>
      <c r="B152" s="120"/>
      <c r="C152" s="111"/>
      <c r="D152" s="111"/>
      <c r="E152" s="121"/>
      <c r="F152" s="121"/>
      <c r="G152" s="113"/>
      <c r="H152" s="199" t="str">
        <f t="shared" si="4"/>
        <v/>
      </c>
      <c r="I152" s="200" t="str">
        <f>IF(H152="","",IF(AND(AI152&lt;=66),VLOOKUP(H152,'WordRead Look Up'!$A$13:$B$20,2,TRUE),IF(AND(AI152&gt;=67,AI152&lt;=72),VLOOKUP(H152,'WordRead Look Up'!$E$13:$F$20,2,TRUE),IF(AND(AI152&gt;=73,AI152&lt;=78),VLOOKUP(H152,'WordRead Look Up'!$I$13:$J$18,2,TRUE),IF(AND(AI152&gt;=79),VLOOKUP(H152,'WordRead Look Up'!$M$13:$N$18,2,TRUE),"")))))</f>
        <v/>
      </c>
      <c r="J152" s="122"/>
      <c r="K152" s="111"/>
      <c r="L152" s="111"/>
      <c r="M152" s="111"/>
      <c r="N152" s="111"/>
      <c r="O152" s="111"/>
      <c r="P152" s="111"/>
      <c r="Q152" s="111"/>
      <c r="R152" s="111"/>
      <c r="S152" s="111"/>
      <c r="T152" s="111"/>
      <c r="U152" s="111"/>
      <c r="V152" s="111"/>
      <c r="W152" s="111"/>
      <c r="X152" s="123"/>
      <c r="AG152" s="185"/>
      <c r="AH152" s="185"/>
      <c r="AI152" s="222" t="str">
        <f t="shared" si="5"/>
        <v/>
      </c>
    </row>
    <row r="153" spans="1:35" s="108" customFormat="1" ht="15.75">
      <c r="A153" s="119"/>
      <c r="B153" s="120"/>
      <c r="C153" s="111"/>
      <c r="D153" s="111"/>
      <c r="E153" s="121"/>
      <c r="F153" s="121"/>
      <c r="G153" s="113"/>
      <c r="H153" s="199" t="str">
        <f t="shared" si="4"/>
        <v/>
      </c>
      <c r="I153" s="200" t="str">
        <f>IF(H153="","",IF(AND(AI153&lt;=66),VLOOKUP(H153,'WordRead Look Up'!$A$13:$B$20,2,TRUE),IF(AND(AI153&gt;=67,AI153&lt;=72),VLOOKUP(H153,'WordRead Look Up'!$E$13:$F$20,2,TRUE),IF(AND(AI153&gt;=73,AI153&lt;=78),VLOOKUP(H153,'WordRead Look Up'!$I$13:$J$18,2,TRUE),IF(AND(AI153&gt;=79),VLOOKUP(H153,'WordRead Look Up'!$M$13:$N$18,2,TRUE),"")))))</f>
        <v/>
      </c>
      <c r="J153" s="122"/>
      <c r="K153" s="111"/>
      <c r="L153" s="111"/>
      <c r="M153" s="111"/>
      <c r="N153" s="111"/>
      <c r="O153" s="111"/>
      <c r="P153" s="111"/>
      <c r="Q153" s="111"/>
      <c r="R153" s="111"/>
      <c r="S153" s="111"/>
      <c r="T153" s="111"/>
      <c r="U153" s="111"/>
      <c r="V153" s="111"/>
      <c r="W153" s="111"/>
      <c r="X153" s="123"/>
      <c r="AG153" s="185"/>
      <c r="AH153" s="185"/>
      <c r="AI153" s="222" t="str">
        <f t="shared" si="5"/>
        <v/>
      </c>
    </row>
    <row r="154" spans="1:35" s="108" customFormat="1" ht="15.75">
      <c r="A154" s="119"/>
      <c r="B154" s="120"/>
      <c r="C154" s="111"/>
      <c r="D154" s="111"/>
      <c r="E154" s="121"/>
      <c r="F154" s="121"/>
      <c r="G154" s="113"/>
      <c r="H154" s="199" t="str">
        <f t="shared" si="4"/>
        <v/>
      </c>
      <c r="I154" s="200" t="str">
        <f>IF(H154="","",IF(AND(AI154&lt;=66),VLOOKUP(H154,'WordRead Look Up'!$A$13:$B$20,2,TRUE),IF(AND(AI154&gt;=67,AI154&lt;=72),VLOOKUP(H154,'WordRead Look Up'!$E$13:$F$20,2,TRUE),IF(AND(AI154&gt;=73,AI154&lt;=78),VLOOKUP(H154,'WordRead Look Up'!$I$13:$J$18,2,TRUE),IF(AND(AI154&gt;=79),VLOOKUP(H154,'WordRead Look Up'!$M$13:$N$18,2,TRUE),"")))))</f>
        <v/>
      </c>
      <c r="J154" s="122"/>
      <c r="K154" s="111"/>
      <c r="L154" s="111"/>
      <c r="M154" s="111"/>
      <c r="N154" s="111"/>
      <c r="O154" s="111"/>
      <c r="P154" s="111"/>
      <c r="Q154" s="111"/>
      <c r="R154" s="111"/>
      <c r="S154" s="111"/>
      <c r="T154" s="111"/>
      <c r="U154" s="111"/>
      <c r="V154" s="111"/>
      <c r="W154" s="111"/>
      <c r="X154" s="123"/>
      <c r="AG154" s="185"/>
      <c r="AH154" s="185"/>
      <c r="AI154" s="222" t="str">
        <f t="shared" si="5"/>
        <v/>
      </c>
    </row>
    <row r="155" spans="1:35" s="108" customFormat="1" ht="15.75">
      <c r="A155" s="119"/>
      <c r="B155" s="120"/>
      <c r="C155" s="111"/>
      <c r="D155" s="111"/>
      <c r="E155" s="121"/>
      <c r="F155" s="121"/>
      <c r="G155" s="113"/>
      <c r="H155" s="199" t="str">
        <f t="shared" si="4"/>
        <v/>
      </c>
      <c r="I155" s="200" t="str">
        <f>IF(H155="","",IF(AND(AI155&lt;=66),VLOOKUP(H155,'WordRead Look Up'!$A$13:$B$20,2,TRUE),IF(AND(AI155&gt;=67,AI155&lt;=72),VLOOKUP(H155,'WordRead Look Up'!$E$13:$F$20,2,TRUE),IF(AND(AI155&gt;=73,AI155&lt;=78),VLOOKUP(H155,'WordRead Look Up'!$I$13:$J$18,2,TRUE),IF(AND(AI155&gt;=79),VLOOKUP(H155,'WordRead Look Up'!$M$13:$N$18,2,TRUE),"")))))</f>
        <v/>
      </c>
      <c r="J155" s="122"/>
      <c r="K155" s="111"/>
      <c r="L155" s="111"/>
      <c r="M155" s="111"/>
      <c r="N155" s="111"/>
      <c r="O155" s="111"/>
      <c r="P155" s="111"/>
      <c r="Q155" s="111"/>
      <c r="R155" s="111"/>
      <c r="S155" s="111"/>
      <c r="T155" s="111"/>
      <c r="U155" s="111"/>
      <c r="V155" s="111"/>
      <c r="W155" s="111"/>
      <c r="X155" s="123"/>
      <c r="AG155" s="185"/>
      <c r="AH155" s="185"/>
      <c r="AI155" s="222" t="str">
        <f t="shared" si="5"/>
        <v/>
      </c>
    </row>
    <row r="156" spans="1:35" s="108" customFormat="1" ht="15.75">
      <c r="A156" s="119"/>
      <c r="B156" s="120"/>
      <c r="C156" s="111"/>
      <c r="D156" s="111"/>
      <c r="E156" s="121"/>
      <c r="F156" s="121"/>
      <c r="G156" s="113"/>
      <c r="H156" s="199" t="str">
        <f t="shared" si="4"/>
        <v/>
      </c>
      <c r="I156" s="200" t="str">
        <f>IF(H156="","",IF(AND(AI156&lt;=66),VLOOKUP(H156,'WordRead Look Up'!$A$13:$B$20,2,TRUE),IF(AND(AI156&gt;=67,AI156&lt;=72),VLOOKUP(H156,'WordRead Look Up'!$E$13:$F$20,2,TRUE),IF(AND(AI156&gt;=73,AI156&lt;=78),VLOOKUP(H156,'WordRead Look Up'!$I$13:$J$18,2,TRUE),IF(AND(AI156&gt;=79),VLOOKUP(H156,'WordRead Look Up'!$M$13:$N$18,2,TRUE),"")))))</f>
        <v/>
      </c>
      <c r="J156" s="122"/>
      <c r="K156" s="111"/>
      <c r="L156" s="111"/>
      <c r="M156" s="111"/>
      <c r="N156" s="111"/>
      <c r="O156" s="111"/>
      <c r="P156" s="111"/>
      <c r="Q156" s="111"/>
      <c r="R156" s="111"/>
      <c r="S156" s="111"/>
      <c r="T156" s="111"/>
      <c r="U156" s="111"/>
      <c r="V156" s="111"/>
      <c r="W156" s="111"/>
      <c r="X156" s="123"/>
      <c r="AG156" s="185"/>
      <c r="AH156" s="185"/>
      <c r="AI156" s="222" t="str">
        <f t="shared" si="5"/>
        <v/>
      </c>
    </row>
    <row r="157" spans="1:35" s="108" customFormat="1" ht="15.75">
      <c r="A157" s="119"/>
      <c r="B157" s="120"/>
      <c r="C157" s="111"/>
      <c r="D157" s="111"/>
      <c r="E157" s="121"/>
      <c r="F157" s="121"/>
      <c r="G157" s="113"/>
      <c r="H157" s="199" t="str">
        <f t="shared" si="4"/>
        <v/>
      </c>
      <c r="I157" s="200" t="str">
        <f>IF(H157="","",IF(AND(AI157&lt;=66),VLOOKUP(H157,'WordRead Look Up'!$A$13:$B$20,2,TRUE),IF(AND(AI157&gt;=67,AI157&lt;=72),VLOOKUP(H157,'WordRead Look Up'!$E$13:$F$20,2,TRUE),IF(AND(AI157&gt;=73,AI157&lt;=78),VLOOKUP(H157,'WordRead Look Up'!$I$13:$J$18,2,TRUE),IF(AND(AI157&gt;=79),VLOOKUP(H157,'WordRead Look Up'!$M$13:$N$18,2,TRUE),"")))))</f>
        <v/>
      </c>
      <c r="J157" s="122"/>
      <c r="K157" s="111"/>
      <c r="L157" s="111"/>
      <c r="M157" s="111"/>
      <c r="N157" s="111"/>
      <c r="O157" s="111"/>
      <c r="P157" s="111"/>
      <c r="Q157" s="111"/>
      <c r="R157" s="111"/>
      <c r="S157" s="111"/>
      <c r="T157" s="111"/>
      <c r="U157" s="111"/>
      <c r="V157" s="111"/>
      <c r="W157" s="111"/>
      <c r="X157" s="123"/>
      <c r="AG157" s="185"/>
      <c r="AH157" s="185"/>
      <c r="AI157" s="222" t="str">
        <f t="shared" si="5"/>
        <v/>
      </c>
    </row>
    <row r="158" spans="1:35" s="108" customFormat="1" ht="15.75">
      <c r="A158" s="119"/>
      <c r="B158" s="120"/>
      <c r="C158" s="111"/>
      <c r="D158" s="111"/>
      <c r="E158" s="121"/>
      <c r="F158" s="121"/>
      <c r="G158" s="113"/>
      <c r="H158" s="199" t="str">
        <f t="shared" si="4"/>
        <v/>
      </c>
      <c r="I158" s="200" t="str">
        <f>IF(H158="","",IF(AND(AI158&lt;=66),VLOOKUP(H158,'WordRead Look Up'!$A$13:$B$20,2,TRUE),IF(AND(AI158&gt;=67,AI158&lt;=72),VLOOKUP(H158,'WordRead Look Up'!$E$13:$F$20,2,TRUE),IF(AND(AI158&gt;=73,AI158&lt;=78),VLOOKUP(H158,'WordRead Look Up'!$I$13:$J$18,2,TRUE),IF(AND(AI158&gt;=79),VLOOKUP(H158,'WordRead Look Up'!$M$13:$N$18,2,TRUE),"")))))</f>
        <v/>
      </c>
      <c r="J158" s="122"/>
      <c r="K158" s="111"/>
      <c r="L158" s="111"/>
      <c r="M158" s="111"/>
      <c r="N158" s="111"/>
      <c r="O158" s="111"/>
      <c r="P158" s="111"/>
      <c r="Q158" s="111"/>
      <c r="R158" s="111"/>
      <c r="S158" s="111"/>
      <c r="T158" s="111"/>
      <c r="U158" s="111"/>
      <c r="V158" s="111"/>
      <c r="W158" s="111"/>
      <c r="X158" s="123"/>
      <c r="AG158" s="185"/>
      <c r="AH158" s="185"/>
      <c r="AI158" s="222" t="str">
        <f t="shared" si="5"/>
        <v/>
      </c>
    </row>
    <row r="159" spans="1:35" s="108" customFormat="1" ht="15.75">
      <c r="A159" s="119"/>
      <c r="B159" s="120"/>
      <c r="C159" s="111"/>
      <c r="D159" s="111"/>
      <c r="E159" s="121"/>
      <c r="F159" s="121"/>
      <c r="G159" s="113"/>
      <c r="H159" s="199" t="str">
        <f t="shared" si="4"/>
        <v/>
      </c>
      <c r="I159" s="200" t="str">
        <f>IF(H159="","",IF(AND(AI159&lt;=66),VLOOKUP(H159,'WordRead Look Up'!$A$13:$B$20,2,TRUE),IF(AND(AI159&gt;=67,AI159&lt;=72),VLOOKUP(H159,'WordRead Look Up'!$E$13:$F$20,2,TRUE),IF(AND(AI159&gt;=73,AI159&lt;=78),VLOOKUP(H159,'WordRead Look Up'!$I$13:$J$18,2,TRUE),IF(AND(AI159&gt;=79),VLOOKUP(H159,'WordRead Look Up'!$M$13:$N$18,2,TRUE),"")))))</f>
        <v/>
      </c>
      <c r="J159" s="122"/>
      <c r="K159" s="111"/>
      <c r="L159" s="111"/>
      <c r="M159" s="111"/>
      <c r="N159" s="111"/>
      <c r="O159" s="111"/>
      <c r="P159" s="111"/>
      <c r="Q159" s="111"/>
      <c r="R159" s="111"/>
      <c r="S159" s="111"/>
      <c r="T159" s="111"/>
      <c r="U159" s="111"/>
      <c r="V159" s="111"/>
      <c r="W159" s="111"/>
      <c r="X159" s="123"/>
      <c r="AG159" s="185"/>
      <c r="AH159" s="185"/>
      <c r="AI159" s="222" t="str">
        <f t="shared" si="5"/>
        <v/>
      </c>
    </row>
    <row r="160" spans="1:35" s="108" customFormat="1" ht="15.75">
      <c r="A160" s="119"/>
      <c r="B160" s="120"/>
      <c r="C160" s="111"/>
      <c r="D160" s="111"/>
      <c r="E160" s="121"/>
      <c r="F160" s="121"/>
      <c r="G160" s="113"/>
      <c r="H160" s="199" t="str">
        <f t="shared" si="4"/>
        <v/>
      </c>
      <c r="I160" s="200" t="str">
        <f>IF(H160="","",IF(AND(AI160&lt;=66),VLOOKUP(H160,'WordRead Look Up'!$A$13:$B$20,2,TRUE),IF(AND(AI160&gt;=67,AI160&lt;=72),VLOOKUP(H160,'WordRead Look Up'!$E$13:$F$20,2,TRUE),IF(AND(AI160&gt;=73,AI160&lt;=78),VLOOKUP(H160,'WordRead Look Up'!$I$13:$J$18,2,TRUE),IF(AND(AI160&gt;=79),VLOOKUP(H160,'WordRead Look Up'!$M$13:$N$18,2,TRUE),"")))))</f>
        <v/>
      </c>
      <c r="J160" s="122"/>
      <c r="K160" s="111"/>
      <c r="L160" s="111"/>
      <c r="M160" s="111"/>
      <c r="N160" s="111"/>
      <c r="O160" s="111"/>
      <c r="P160" s="111"/>
      <c r="Q160" s="111"/>
      <c r="R160" s="111"/>
      <c r="S160" s="111"/>
      <c r="T160" s="111"/>
      <c r="U160" s="111"/>
      <c r="V160" s="111"/>
      <c r="W160" s="111"/>
      <c r="X160" s="123"/>
      <c r="AG160" s="185"/>
      <c r="AH160" s="185"/>
      <c r="AI160" s="222" t="str">
        <f t="shared" si="5"/>
        <v/>
      </c>
    </row>
    <row r="161" spans="1:35" s="108" customFormat="1" ht="15.75">
      <c r="A161" s="119"/>
      <c r="B161" s="120"/>
      <c r="C161" s="111"/>
      <c r="D161" s="111"/>
      <c r="E161" s="121"/>
      <c r="F161" s="121"/>
      <c r="G161" s="113"/>
      <c r="H161" s="199" t="str">
        <f t="shared" si="4"/>
        <v/>
      </c>
      <c r="I161" s="200" t="str">
        <f>IF(H161="","",IF(AND(AI161&lt;=66),VLOOKUP(H161,'WordRead Look Up'!$A$13:$B$20,2,TRUE),IF(AND(AI161&gt;=67,AI161&lt;=72),VLOOKUP(H161,'WordRead Look Up'!$E$13:$F$20,2,TRUE),IF(AND(AI161&gt;=73,AI161&lt;=78),VLOOKUP(H161,'WordRead Look Up'!$I$13:$J$18,2,TRUE),IF(AND(AI161&gt;=79),VLOOKUP(H161,'WordRead Look Up'!$M$13:$N$18,2,TRUE),"")))))</f>
        <v/>
      </c>
      <c r="J161" s="122"/>
      <c r="K161" s="111"/>
      <c r="L161" s="111"/>
      <c r="M161" s="111"/>
      <c r="N161" s="111"/>
      <c r="O161" s="111"/>
      <c r="P161" s="111"/>
      <c r="Q161" s="111"/>
      <c r="R161" s="111"/>
      <c r="S161" s="111"/>
      <c r="T161" s="111"/>
      <c r="U161" s="111"/>
      <c r="V161" s="111"/>
      <c r="W161" s="111"/>
      <c r="X161" s="123"/>
      <c r="AG161" s="185"/>
      <c r="AH161" s="185"/>
      <c r="AI161" s="222" t="str">
        <f t="shared" si="5"/>
        <v/>
      </c>
    </row>
    <row r="162" spans="1:35" s="108" customFormat="1" ht="15.75">
      <c r="A162" s="119"/>
      <c r="B162" s="120"/>
      <c r="C162" s="111"/>
      <c r="D162" s="111"/>
      <c r="E162" s="121"/>
      <c r="F162" s="121"/>
      <c r="G162" s="113"/>
      <c r="H162" s="199" t="str">
        <f t="shared" si="4"/>
        <v/>
      </c>
      <c r="I162" s="200" t="str">
        <f>IF(H162="","",IF(AND(AI162&lt;=66),VLOOKUP(H162,'WordRead Look Up'!$A$13:$B$20,2,TRUE),IF(AND(AI162&gt;=67,AI162&lt;=72),VLOOKUP(H162,'WordRead Look Up'!$E$13:$F$20,2,TRUE),IF(AND(AI162&gt;=73,AI162&lt;=78),VLOOKUP(H162,'WordRead Look Up'!$I$13:$J$18,2,TRUE),IF(AND(AI162&gt;=79),VLOOKUP(H162,'WordRead Look Up'!$M$13:$N$18,2,TRUE),"")))))</f>
        <v/>
      </c>
      <c r="J162" s="122"/>
      <c r="K162" s="111"/>
      <c r="L162" s="111"/>
      <c r="M162" s="111"/>
      <c r="N162" s="111"/>
      <c r="O162" s="111"/>
      <c r="P162" s="111"/>
      <c r="Q162" s="111"/>
      <c r="R162" s="111"/>
      <c r="S162" s="111"/>
      <c r="T162" s="111"/>
      <c r="U162" s="111"/>
      <c r="V162" s="111"/>
      <c r="W162" s="111"/>
      <c r="X162" s="123"/>
      <c r="AG162" s="185"/>
      <c r="AH162" s="185"/>
      <c r="AI162" s="222" t="str">
        <f t="shared" si="5"/>
        <v/>
      </c>
    </row>
    <row r="163" spans="1:35" s="108" customFormat="1" ht="15.75">
      <c r="A163" s="119"/>
      <c r="B163" s="120"/>
      <c r="C163" s="111"/>
      <c r="D163" s="111"/>
      <c r="E163" s="121"/>
      <c r="F163" s="121"/>
      <c r="G163" s="113"/>
      <c r="H163" s="199" t="str">
        <f t="shared" si="4"/>
        <v/>
      </c>
      <c r="I163" s="200" t="str">
        <f>IF(H163="","",IF(AND(AI163&lt;=66),VLOOKUP(H163,'WordRead Look Up'!$A$13:$B$20,2,TRUE),IF(AND(AI163&gt;=67,AI163&lt;=72),VLOOKUP(H163,'WordRead Look Up'!$E$13:$F$20,2,TRUE),IF(AND(AI163&gt;=73,AI163&lt;=78),VLOOKUP(H163,'WordRead Look Up'!$I$13:$J$18,2,TRUE),IF(AND(AI163&gt;=79),VLOOKUP(H163,'WordRead Look Up'!$M$13:$N$18,2,TRUE),"")))))</f>
        <v/>
      </c>
      <c r="J163" s="122"/>
      <c r="K163" s="111"/>
      <c r="L163" s="111"/>
      <c r="M163" s="111"/>
      <c r="N163" s="111"/>
      <c r="O163" s="111"/>
      <c r="P163" s="111"/>
      <c r="Q163" s="111"/>
      <c r="R163" s="111"/>
      <c r="S163" s="111"/>
      <c r="T163" s="111"/>
      <c r="U163" s="111"/>
      <c r="V163" s="111"/>
      <c r="W163" s="111"/>
      <c r="X163" s="123"/>
      <c r="AG163" s="185"/>
      <c r="AH163" s="185"/>
      <c r="AI163" s="222" t="str">
        <f t="shared" si="5"/>
        <v/>
      </c>
    </row>
    <row r="164" spans="1:35" s="108" customFormat="1" ht="15.75">
      <c r="A164" s="119"/>
      <c r="B164" s="120"/>
      <c r="C164" s="111"/>
      <c r="D164" s="111"/>
      <c r="E164" s="121"/>
      <c r="F164" s="121"/>
      <c r="G164" s="113"/>
      <c r="H164" s="199" t="str">
        <f t="shared" si="4"/>
        <v/>
      </c>
      <c r="I164" s="200" t="str">
        <f>IF(H164="","",IF(AND(AI164&lt;=66),VLOOKUP(H164,'WordRead Look Up'!$A$13:$B$20,2,TRUE),IF(AND(AI164&gt;=67,AI164&lt;=72),VLOOKUP(H164,'WordRead Look Up'!$E$13:$F$20,2,TRUE),IF(AND(AI164&gt;=73,AI164&lt;=78),VLOOKUP(H164,'WordRead Look Up'!$I$13:$J$18,2,TRUE),IF(AND(AI164&gt;=79),VLOOKUP(H164,'WordRead Look Up'!$M$13:$N$18,2,TRUE),"")))))</f>
        <v/>
      </c>
      <c r="J164" s="122"/>
      <c r="K164" s="111"/>
      <c r="L164" s="111"/>
      <c r="M164" s="111"/>
      <c r="N164" s="111"/>
      <c r="O164" s="111"/>
      <c r="P164" s="111"/>
      <c r="Q164" s="111"/>
      <c r="R164" s="111"/>
      <c r="S164" s="111"/>
      <c r="T164" s="111"/>
      <c r="U164" s="111"/>
      <c r="V164" s="111"/>
      <c r="W164" s="111"/>
      <c r="X164" s="123"/>
      <c r="AG164" s="185"/>
      <c r="AH164" s="185"/>
      <c r="AI164" s="222" t="str">
        <f t="shared" si="5"/>
        <v/>
      </c>
    </row>
    <row r="165" spans="1:35" s="108" customFormat="1" ht="15.75">
      <c r="A165" s="119"/>
      <c r="B165" s="120"/>
      <c r="C165" s="111"/>
      <c r="D165" s="111"/>
      <c r="E165" s="121"/>
      <c r="F165" s="121"/>
      <c r="G165" s="113"/>
      <c r="H165" s="199" t="str">
        <f t="shared" si="4"/>
        <v/>
      </c>
      <c r="I165" s="200" t="str">
        <f>IF(H165="","",IF(AND(AI165&lt;=66),VLOOKUP(H165,'WordRead Look Up'!$A$13:$B$20,2,TRUE),IF(AND(AI165&gt;=67,AI165&lt;=72),VLOOKUP(H165,'WordRead Look Up'!$E$13:$F$20,2,TRUE),IF(AND(AI165&gt;=73,AI165&lt;=78),VLOOKUP(H165,'WordRead Look Up'!$I$13:$J$18,2,TRUE),IF(AND(AI165&gt;=79),VLOOKUP(H165,'WordRead Look Up'!$M$13:$N$18,2,TRUE),"")))))</f>
        <v/>
      </c>
      <c r="J165" s="122"/>
      <c r="K165" s="111"/>
      <c r="L165" s="111"/>
      <c r="M165" s="111"/>
      <c r="N165" s="111"/>
      <c r="O165" s="111"/>
      <c r="P165" s="111"/>
      <c r="Q165" s="111"/>
      <c r="R165" s="111"/>
      <c r="S165" s="111"/>
      <c r="T165" s="111"/>
      <c r="U165" s="111"/>
      <c r="V165" s="111"/>
      <c r="W165" s="111"/>
      <c r="X165" s="123"/>
      <c r="AG165" s="185"/>
      <c r="AH165" s="185"/>
      <c r="AI165" s="222" t="str">
        <f t="shared" si="5"/>
        <v/>
      </c>
    </row>
    <row r="166" spans="1:35" s="108" customFormat="1" ht="15.75">
      <c r="A166" s="119"/>
      <c r="B166" s="120"/>
      <c r="C166" s="111"/>
      <c r="D166" s="111"/>
      <c r="E166" s="121"/>
      <c r="F166" s="121"/>
      <c r="G166" s="113"/>
      <c r="H166" s="199" t="str">
        <f t="shared" si="4"/>
        <v/>
      </c>
      <c r="I166" s="200" t="str">
        <f>IF(H166="","",IF(AND(AI166&lt;=66),VLOOKUP(H166,'WordRead Look Up'!$A$13:$B$20,2,TRUE),IF(AND(AI166&gt;=67,AI166&lt;=72),VLOOKUP(H166,'WordRead Look Up'!$E$13:$F$20,2,TRUE),IF(AND(AI166&gt;=73,AI166&lt;=78),VLOOKUP(H166,'WordRead Look Up'!$I$13:$J$18,2,TRUE),IF(AND(AI166&gt;=79),VLOOKUP(H166,'WordRead Look Up'!$M$13:$N$18,2,TRUE),"")))))</f>
        <v/>
      </c>
      <c r="J166" s="122"/>
      <c r="K166" s="111"/>
      <c r="L166" s="111"/>
      <c r="M166" s="111"/>
      <c r="N166" s="111"/>
      <c r="O166" s="111"/>
      <c r="P166" s="111"/>
      <c r="Q166" s="111"/>
      <c r="R166" s="111"/>
      <c r="S166" s="111"/>
      <c r="T166" s="111"/>
      <c r="U166" s="111"/>
      <c r="V166" s="111"/>
      <c r="W166" s="111"/>
      <c r="X166" s="123"/>
      <c r="AG166" s="185"/>
      <c r="AH166" s="185"/>
      <c r="AI166" s="222" t="str">
        <f t="shared" si="5"/>
        <v/>
      </c>
    </row>
    <row r="167" spans="1:35" s="108" customFormat="1" ht="15.75">
      <c r="A167" s="119"/>
      <c r="B167" s="120"/>
      <c r="C167" s="111"/>
      <c r="D167" s="111"/>
      <c r="E167" s="121"/>
      <c r="F167" s="121"/>
      <c r="G167" s="113"/>
      <c r="H167" s="199" t="str">
        <f t="shared" si="4"/>
        <v/>
      </c>
      <c r="I167" s="200" t="str">
        <f>IF(H167="","",IF(AND(AI167&lt;=66),VLOOKUP(H167,'WordRead Look Up'!$A$13:$B$20,2,TRUE),IF(AND(AI167&gt;=67,AI167&lt;=72),VLOOKUP(H167,'WordRead Look Up'!$E$13:$F$20,2,TRUE),IF(AND(AI167&gt;=73,AI167&lt;=78),VLOOKUP(H167,'WordRead Look Up'!$I$13:$J$18,2,TRUE),IF(AND(AI167&gt;=79),VLOOKUP(H167,'WordRead Look Up'!$M$13:$N$18,2,TRUE),"")))))</f>
        <v/>
      </c>
      <c r="J167" s="122"/>
      <c r="K167" s="111"/>
      <c r="L167" s="111"/>
      <c r="M167" s="111"/>
      <c r="N167" s="111"/>
      <c r="O167" s="111"/>
      <c r="P167" s="111"/>
      <c r="Q167" s="111"/>
      <c r="R167" s="111"/>
      <c r="S167" s="111"/>
      <c r="T167" s="111"/>
      <c r="U167" s="111"/>
      <c r="V167" s="111"/>
      <c r="W167" s="111"/>
      <c r="X167" s="123"/>
      <c r="AG167" s="185"/>
      <c r="AH167" s="185"/>
      <c r="AI167" s="222" t="str">
        <f t="shared" si="5"/>
        <v/>
      </c>
    </row>
    <row r="168" spans="1:35" s="108" customFormat="1" ht="15.75">
      <c r="A168" s="119"/>
      <c r="B168" s="120"/>
      <c r="C168" s="111"/>
      <c r="D168" s="111"/>
      <c r="E168" s="121"/>
      <c r="F168" s="121"/>
      <c r="G168" s="113"/>
      <c r="H168" s="199" t="str">
        <f t="shared" si="4"/>
        <v/>
      </c>
      <c r="I168" s="200" t="str">
        <f>IF(H168="","",IF(AND(AI168&lt;=66),VLOOKUP(H168,'WordRead Look Up'!$A$13:$B$20,2,TRUE),IF(AND(AI168&gt;=67,AI168&lt;=72),VLOOKUP(H168,'WordRead Look Up'!$E$13:$F$20,2,TRUE),IF(AND(AI168&gt;=73,AI168&lt;=78),VLOOKUP(H168,'WordRead Look Up'!$I$13:$J$18,2,TRUE),IF(AND(AI168&gt;=79),VLOOKUP(H168,'WordRead Look Up'!$M$13:$N$18,2,TRUE),"")))))</f>
        <v/>
      </c>
      <c r="J168" s="122"/>
      <c r="K168" s="111"/>
      <c r="L168" s="111"/>
      <c r="M168" s="111"/>
      <c r="N168" s="111"/>
      <c r="O168" s="111"/>
      <c r="P168" s="111"/>
      <c r="Q168" s="111"/>
      <c r="R168" s="111"/>
      <c r="S168" s="111"/>
      <c r="T168" s="111"/>
      <c r="U168" s="111"/>
      <c r="V168" s="111"/>
      <c r="W168" s="111"/>
      <c r="X168" s="123"/>
      <c r="AG168" s="185"/>
      <c r="AH168" s="185"/>
      <c r="AI168" s="222" t="str">
        <f t="shared" si="5"/>
        <v/>
      </c>
    </row>
    <row r="169" spans="1:35" s="108" customFormat="1" ht="15.75">
      <c r="A169" s="119"/>
      <c r="B169" s="120"/>
      <c r="C169" s="111"/>
      <c r="D169" s="111"/>
      <c r="E169" s="121"/>
      <c r="F169" s="121"/>
      <c r="G169" s="113"/>
      <c r="H169" s="199" t="str">
        <f t="shared" si="4"/>
        <v/>
      </c>
      <c r="I169" s="200" t="str">
        <f>IF(H169="","",IF(AND(AI169&lt;=66),VLOOKUP(H169,'WordRead Look Up'!$A$13:$B$20,2,TRUE),IF(AND(AI169&gt;=67,AI169&lt;=72),VLOOKUP(H169,'WordRead Look Up'!$E$13:$F$20,2,TRUE),IF(AND(AI169&gt;=73,AI169&lt;=78),VLOOKUP(H169,'WordRead Look Up'!$I$13:$J$18,2,TRUE),IF(AND(AI169&gt;=79),VLOOKUP(H169,'WordRead Look Up'!$M$13:$N$18,2,TRUE),"")))))</f>
        <v/>
      </c>
      <c r="J169" s="122"/>
      <c r="K169" s="111"/>
      <c r="L169" s="111"/>
      <c r="M169" s="111"/>
      <c r="N169" s="111"/>
      <c r="O169" s="111"/>
      <c r="P169" s="111"/>
      <c r="Q169" s="111"/>
      <c r="R169" s="111"/>
      <c r="S169" s="111"/>
      <c r="T169" s="111"/>
      <c r="U169" s="111"/>
      <c r="V169" s="111"/>
      <c r="W169" s="111"/>
      <c r="X169" s="123"/>
      <c r="AG169" s="185"/>
      <c r="AH169" s="185"/>
      <c r="AI169" s="222" t="str">
        <f t="shared" si="5"/>
        <v/>
      </c>
    </row>
    <row r="170" spans="1:35" s="108" customFormat="1" ht="15.75">
      <c r="A170" s="119"/>
      <c r="B170" s="120"/>
      <c r="C170" s="111"/>
      <c r="D170" s="111"/>
      <c r="E170" s="121"/>
      <c r="F170" s="121"/>
      <c r="G170" s="113"/>
      <c r="H170" s="199" t="str">
        <f t="shared" si="4"/>
        <v/>
      </c>
      <c r="I170" s="200" t="str">
        <f>IF(H170="","",IF(AND(AI170&lt;=66),VLOOKUP(H170,'WordRead Look Up'!$A$13:$B$20,2,TRUE),IF(AND(AI170&gt;=67,AI170&lt;=72),VLOOKUP(H170,'WordRead Look Up'!$E$13:$F$20,2,TRUE),IF(AND(AI170&gt;=73,AI170&lt;=78),VLOOKUP(H170,'WordRead Look Up'!$I$13:$J$18,2,TRUE),IF(AND(AI170&gt;=79),VLOOKUP(H170,'WordRead Look Up'!$M$13:$N$18,2,TRUE),"")))))</f>
        <v/>
      </c>
      <c r="J170" s="122"/>
      <c r="K170" s="111"/>
      <c r="L170" s="111"/>
      <c r="M170" s="111"/>
      <c r="N170" s="111"/>
      <c r="O170" s="111"/>
      <c r="P170" s="111"/>
      <c r="Q170" s="111"/>
      <c r="R170" s="111"/>
      <c r="S170" s="111"/>
      <c r="T170" s="111"/>
      <c r="U170" s="111"/>
      <c r="V170" s="111"/>
      <c r="W170" s="111"/>
      <c r="X170" s="123"/>
      <c r="AG170" s="185"/>
      <c r="AH170" s="185"/>
      <c r="AI170" s="222" t="str">
        <f t="shared" si="5"/>
        <v/>
      </c>
    </row>
    <row r="171" spans="1:35" s="108" customFormat="1" ht="15.75">
      <c r="A171" s="119"/>
      <c r="B171" s="120"/>
      <c r="C171" s="111"/>
      <c r="D171" s="111"/>
      <c r="E171" s="121"/>
      <c r="F171" s="121"/>
      <c r="G171" s="113"/>
      <c r="H171" s="199" t="str">
        <f t="shared" si="4"/>
        <v/>
      </c>
      <c r="I171" s="200" t="str">
        <f>IF(H171="","",IF(AND(AI171&lt;=66),VLOOKUP(H171,'WordRead Look Up'!$A$13:$B$20,2,TRUE),IF(AND(AI171&gt;=67,AI171&lt;=72),VLOOKUP(H171,'WordRead Look Up'!$E$13:$F$20,2,TRUE),IF(AND(AI171&gt;=73,AI171&lt;=78),VLOOKUP(H171,'WordRead Look Up'!$I$13:$J$18,2,TRUE),IF(AND(AI171&gt;=79),VLOOKUP(H171,'WordRead Look Up'!$M$13:$N$18,2,TRUE),"")))))</f>
        <v/>
      </c>
      <c r="J171" s="122"/>
      <c r="K171" s="111"/>
      <c r="L171" s="111"/>
      <c r="M171" s="111"/>
      <c r="N171" s="111"/>
      <c r="O171" s="111"/>
      <c r="P171" s="111"/>
      <c r="Q171" s="111"/>
      <c r="R171" s="111"/>
      <c r="S171" s="111"/>
      <c r="T171" s="111"/>
      <c r="U171" s="111"/>
      <c r="V171" s="111"/>
      <c r="W171" s="111"/>
      <c r="X171" s="123"/>
      <c r="AG171" s="185"/>
      <c r="AH171" s="185"/>
      <c r="AI171" s="222" t="str">
        <f t="shared" si="5"/>
        <v/>
      </c>
    </row>
    <row r="172" spans="1:35" s="108" customFormat="1" ht="15.75">
      <c r="A172" s="119"/>
      <c r="B172" s="120"/>
      <c r="C172" s="111"/>
      <c r="D172" s="111"/>
      <c r="E172" s="121"/>
      <c r="F172" s="121"/>
      <c r="G172" s="113"/>
      <c r="H172" s="199" t="str">
        <f t="shared" si="4"/>
        <v/>
      </c>
      <c r="I172" s="200" t="str">
        <f>IF(H172="","",IF(AND(AI172&lt;=66),VLOOKUP(H172,'WordRead Look Up'!$A$13:$B$20,2,TRUE),IF(AND(AI172&gt;=67,AI172&lt;=72),VLOOKUP(H172,'WordRead Look Up'!$E$13:$F$20,2,TRUE),IF(AND(AI172&gt;=73,AI172&lt;=78),VLOOKUP(H172,'WordRead Look Up'!$I$13:$J$18,2,TRUE),IF(AND(AI172&gt;=79),VLOOKUP(H172,'WordRead Look Up'!$M$13:$N$18,2,TRUE),"")))))</f>
        <v/>
      </c>
      <c r="J172" s="122"/>
      <c r="K172" s="111"/>
      <c r="L172" s="111"/>
      <c r="M172" s="111"/>
      <c r="N172" s="111"/>
      <c r="O172" s="111"/>
      <c r="P172" s="111"/>
      <c r="Q172" s="111"/>
      <c r="R172" s="111"/>
      <c r="S172" s="111"/>
      <c r="T172" s="111"/>
      <c r="U172" s="111"/>
      <c r="V172" s="111"/>
      <c r="W172" s="111"/>
      <c r="X172" s="123"/>
      <c r="AG172" s="185"/>
      <c r="AH172" s="185"/>
      <c r="AI172" s="222" t="str">
        <f t="shared" si="5"/>
        <v/>
      </c>
    </row>
    <row r="173" spans="1:35" s="108" customFormat="1" ht="15.75">
      <c r="A173" s="119"/>
      <c r="B173" s="120"/>
      <c r="C173" s="111"/>
      <c r="D173" s="111"/>
      <c r="E173" s="121"/>
      <c r="F173" s="121"/>
      <c r="G173" s="113"/>
      <c r="H173" s="199" t="str">
        <f t="shared" si="4"/>
        <v/>
      </c>
      <c r="I173" s="200" t="str">
        <f>IF(H173="","",IF(AND(AI173&lt;=66),VLOOKUP(H173,'WordRead Look Up'!$A$13:$B$20,2,TRUE),IF(AND(AI173&gt;=67,AI173&lt;=72),VLOOKUP(H173,'WordRead Look Up'!$E$13:$F$20,2,TRUE),IF(AND(AI173&gt;=73,AI173&lt;=78),VLOOKUP(H173,'WordRead Look Up'!$I$13:$J$18,2,TRUE),IF(AND(AI173&gt;=79),VLOOKUP(H173,'WordRead Look Up'!$M$13:$N$18,2,TRUE),"")))))</f>
        <v/>
      </c>
      <c r="J173" s="122"/>
      <c r="K173" s="111"/>
      <c r="L173" s="111"/>
      <c r="M173" s="111"/>
      <c r="N173" s="111"/>
      <c r="O173" s="111"/>
      <c r="P173" s="111"/>
      <c r="Q173" s="111"/>
      <c r="R173" s="111"/>
      <c r="S173" s="111"/>
      <c r="T173" s="111"/>
      <c r="U173" s="111"/>
      <c r="V173" s="111"/>
      <c r="W173" s="111"/>
      <c r="X173" s="123"/>
      <c r="AG173" s="185"/>
      <c r="AH173" s="185"/>
      <c r="AI173" s="222" t="str">
        <f t="shared" si="5"/>
        <v/>
      </c>
    </row>
    <row r="174" spans="1:35" s="108" customFormat="1" ht="15.75">
      <c r="A174" s="119"/>
      <c r="B174" s="120"/>
      <c r="C174" s="111"/>
      <c r="D174" s="111"/>
      <c r="E174" s="121"/>
      <c r="F174" s="121"/>
      <c r="G174" s="113"/>
      <c r="H174" s="199" t="str">
        <f t="shared" si="4"/>
        <v/>
      </c>
      <c r="I174" s="200" t="str">
        <f>IF(H174="","",IF(AND(AI174&lt;=66),VLOOKUP(H174,'WordRead Look Up'!$A$13:$B$20,2,TRUE),IF(AND(AI174&gt;=67,AI174&lt;=72),VLOOKUP(H174,'WordRead Look Up'!$E$13:$F$20,2,TRUE),IF(AND(AI174&gt;=73,AI174&lt;=78),VLOOKUP(H174,'WordRead Look Up'!$I$13:$J$18,2,TRUE),IF(AND(AI174&gt;=79),VLOOKUP(H174,'WordRead Look Up'!$M$13:$N$18,2,TRUE),"")))))</f>
        <v/>
      </c>
      <c r="J174" s="122"/>
      <c r="K174" s="111"/>
      <c r="L174" s="111"/>
      <c r="M174" s="111"/>
      <c r="N174" s="111"/>
      <c r="O174" s="111"/>
      <c r="P174" s="111"/>
      <c r="Q174" s="111"/>
      <c r="R174" s="111"/>
      <c r="S174" s="111"/>
      <c r="T174" s="111"/>
      <c r="U174" s="111"/>
      <c r="V174" s="111"/>
      <c r="W174" s="111"/>
      <c r="X174" s="123"/>
      <c r="AG174" s="185"/>
      <c r="AH174" s="185"/>
      <c r="AI174" s="222" t="str">
        <f t="shared" si="5"/>
        <v/>
      </c>
    </row>
    <row r="175" spans="1:35" s="108" customFormat="1" ht="15.75">
      <c r="A175" s="119"/>
      <c r="B175" s="120"/>
      <c r="C175" s="111"/>
      <c r="D175" s="111"/>
      <c r="E175" s="121"/>
      <c r="F175" s="121"/>
      <c r="G175" s="113"/>
      <c r="H175" s="199" t="str">
        <f t="shared" si="4"/>
        <v/>
      </c>
      <c r="I175" s="200" t="str">
        <f>IF(H175="","",IF(AND(AI175&lt;=66),VLOOKUP(H175,'WordRead Look Up'!$A$13:$B$20,2,TRUE),IF(AND(AI175&gt;=67,AI175&lt;=72),VLOOKUP(H175,'WordRead Look Up'!$E$13:$F$20,2,TRUE),IF(AND(AI175&gt;=73,AI175&lt;=78),VLOOKUP(H175,'WordRead Look Up'!$I$13:$J$18,2,TRUE),IF(AND(AI175&gt;=79),VLOOKUP(H175,'WordRead Look Up'!$M$13:$N$18,2,TRUE),"")))))</f>
        <v/>
      </c>
      <c r="J175" s="122"/>
      <c r="K175" s="111"/>
      <c r="L175" s="111"/>
      <c r="M175" s="111"/>
      <c r="N175" s="111"/>
      <c r="O175" s="111"/>
      <c r="P175" s="111"/>
      <c r="Q175" s="111"/>
      <c r="R175" s="111"/>
      <c r="S175" s="111"/>
      <c r="T175" s="111"/>
      <c r="U175" s="111"/>
      <c r="V175" s="111"/>
      <c r="W175" s="111"/>
      <c r="X175" s="123"/>
      <c r="AG175" s="185"/>
      <c r="AH175" s="185"/>
      <c r="AI175" s="222" t="str">
        <f t="shared" si="5"/>
        <v/>
      </c>
    </row>
    <row r="176" spans="1:35" s="108" customFormat="1" ht="15.75">
      <c r="A176" s="119"/>
      <c r="B176" s="120"/>
      <c r="C176" s="111"/>
      <c r="D176" s="111"/>
      <c r="E176" s="121"/>
      <c r="F176" s="121"/>
      <c r="G176" s="113"/>
      <c r="H176" s="199" t="str">
        <f t="shared" si="4"/>
        <v/>
      </c>
      <c r="I176" s="200" t="str">
        <f>IF(H176="","",IF(AND(AI176&lt;=66),VLOOKUP(H176,'WordRead Look Up'!$A$13:$B$20,2,TRUE),IF(AND(AI176&gt;=67,AI176&lt;=72),VLOOKUP(H176,'WordRead Look Up'!$E$13:$F$20,2,TRUE),IF(AND(AI176&gt;=73,AI176&lt;=78),VLOOKUP(H176,'WordRead Look Up'!$I$13:$J$18,2,TRUE),IF(AND(AI176&gt;=79),VLOOKUP(H176,'WordRead Look Up'!$M$13:$N$18,2,TRUE),"")))))</f>
        <v/>
      </c>
      <c r="J176" s="122"/>
      <c r="K176" s="111"/>
      <c r="L176" s="111"/>
      <c r="M176" s="111"/>
      <c r="N176" s="111"/>
      <c r="O176" s="111"/>
      <c r="P176" s="111"/>
      <c r="Q176" s="111"/>
      <c r="R176" s="111"/>
      <c r="S176" s="111"/>
      <c r="T176" s="111"/>
      <c r="U176" s="111"/>
      <c r="V176" s="111"/>
      <c r="W176" s="111"/>
      <c r="X176" s="123"/>
      <c r="AG176" s="185"/>
      <c r="AH176" s="185"/>
      <c r="AI176" s="222" t="str">
        <f t="shared" si="5"/>
        <v/>
      </c>
    </row>
    <row r="177" spans="1:35" s="108" customFormat="1" ht="15.75">
      <c r="A177" s="119"/>
      <c r="B177" s="120"/>
      <c r="C177" s="111"/>
      <c r="D177" s="111"/>
      <c r="E177" s="121"/>
      <c r="F177" s="121"/>
      <c r="G177" s="113"/>
      <c r="H177" s="199" t="str">
        <f t="shared" si="4"/>
        <v/>
      </c>
      <c r="I177" s="200" t="str">
        <f>IF(H177="","",IF(AND(AI177&lt;=66),VLOOKUP(H177,'WordRead Look Up'!$A$13:$B$20,2,TRUE),IF(AND(AI177&gt;=67,AI177&lt;=72),VLOOKUP(H177,'WordRead Look Up'!$E$13:$F$20,2,TRUE),IF(AND(AI177&gt;=73,AI177&lt;=78),VLOOKUP(H177,'WordRead Look Up'!$I$13:$J$18,2,TRUE),IF(AND(AI177&gt;=79),VLOOKUP(H177,'WordRead Look Up'!$M$13:$N$18,2,TRUE),"")))))</f>
        <v/>
      </c>
      <c r="J177" s="122"/>
      <c r="K177" s="111"/>
      <c r="L177" s="111"/>
      <c r="M177" s="111"/>
      <c r="N177" s="111"/>
      <c r="O177" s="111"/>
      <c r="P177" s="111"/>
      <c r="Q177" s="111"/>
      <c r="R177" s="111"/>
      <c r="S177" s="111"/>
      <c r="T177" s="111"/>
      <c r="U177" s="111"/>
      <c r="V177" s="111"/>
      <c r="W177" s="111"/>
      <c r="X177" s="123"/>
      <c r="AG177" s="185"/>
      <c r="AH177" s="185"/>
      <c r="AI177" s="222" t="str">
        <f t="shared" si="5"/>
        <v/>
      </c>
    </row>
    <row r="178" spans="1:35" s="108" customFormat="1" ht="15.75">
      <c r="A178" s="119"/>
      <c r="B178" s="120"/>
      <c r="C178" s="111"/>
      <c r="D178" s="111"/>
      <c r="E178" s="121"/>
      <c r="F178" s="121"/>
      <c r="G178" s="113"/>
      <c r="H178" s="199" t="str">
        <f t="shared" si="4"/>
        <v/>
      </c>
      <c r="I178" s="200" t="str">
        <f>IF(H178="","",IF(AND(AI178&lt;=66),VLOOKUP(H178,'WordRead Look Up'!$A$13:$B$20,2,TRUE),IF(AND(AI178&gt;=67,AI178&lt;=72),VLOOKUP(H178,'WordRead Look Up'!$E$13:$F$20,2,TRUE),IF(AND(AI178&gt;=73,AI178&lt;=78),VLOOKUP(H178,'WordRead Look Up'!$I$13:$J$18,2,TRUE),IF(AND(AI178&gt;=79),VLOOKUP(H178,'WordRead Look Up'!$M$13:$N$18,2,TRUE),"")))))</f>
        <v/>
      </c>
      <c r="J178" s="122"/>
      <c r="K178" s="111"/>
      <c r="L178" s="111"/>
      <c r="M178" s="111"/>
      <c r="N178" s="111"/>
      <c r="O178" s="111"/>
      <c r="P178" s="111"/>
      <c r="Q178" s="111"/>
      <c r="R178" s="111"/>
      <c r="S178" s="111"/>
      <c r="T178" s="111"/>
      <c r="U178" s="111"/>
      <c r="V178" s="111"/>
      <c r="W178" s="111"/>
      <c r="X178" s="123"/>
      <c r="AG178" s="185"/>
      <c r="AH178" s="185"/>
      <c r="AI178" s="222" t="str">
        <f t="shared" si="5"/>
        <v/>
      </c>
    </row>
    <row r="179" spans="1:35" s="108" customFormat="1" ht="15.75">
      <c r="A179" s="119"/>
      <c r="B179" s="120"/>
      <c r="C179" s="111"/>
      <c r="D179" s="111"/>
      <c r="E179" s="121"/>
      <c r="F179" s="121"/>
      <c r="G179" s="113"/>
      <c r="H179" s="199" t="str">
        <f t="shared" si="4"/>
        <v/>
      </c>
      <c r="I179" s="200" t="str">
        <f>IF(H179="","",IF(AND(AI179&lt;=66),VLOOKUP(H179,'WordRead Look Up'!$A$13:$B$20,2,TRUE),IF(AND(AI179&gt;=67,AI179&lt;=72),VLOOKUP(H179,'WordRead Look Up'!$E$13:$F$20,2,TRUE),IF(AND(AI179&gt;=73,AI179&lt;=78),VLOOKUP(H179,'WordRead Look Up'!$I$13:$J$18,2,TRUE),IF(AND(AI179&gt;=79),VLOOKUP(H179,'WordRead Look Up'!$M$13:$N$18,2,TRUE),"")))))</f>
        <v/>
      </c>
      <c r="J179" s="122"/>
      <c r="K179" s="111"/>
      <c r="L179" s="111"/>
      <c r="M179" s="111"/>
      <c r="N179" s="111"/>
      <c r="O179" s="111"/>
      <c r="P179" s="111"/>
      <c r="Q179" s="111"/>
      <c r="R179" s="111"/>
      <c r="S179" s="111"/>
      <c r="T179" s="111"/>
      <c r="U179" s="111"/>
      <c r="V179" s="111"/>
      <c r="W179" s="111"/>
      <c r="X179" s="123"/>
      <c r="AG179" s="185"/>
      <c r="AH179" s="185"/>
      <c r="AI179" s="222" t="str">
        <f t="shared" si="5"/>
        <v/>
      </c>
    </row>
    <row r="180" spans="1:35" s="108" customFormat="1" ht="15.75">
      <c r="A180" s="119"/>
      <c r="B180" s="120"/>
      <c r="C180" s="111"/>
      <c r="D180" s="111"/>
      <c r="E180" s="121"/>
      <c r="F180" s="121"/>
      <c r="G180" s="113"/>
      <c r="H180" s="199" t="str">
        <f t="shared" si="4"/>
        <v/>
      </c>
      <c r="I180" s="200" t="str">
        <f>IF(H180="","",IF(AND(AI180&lt;=66),VLOOKUP(H180,'WordRead Look Up'!$A$13:$B$20,2,TRUE),IF(AND(AI180&gt;=67,AI180&lt;=72),VLOOKUP(H180,'WordRead Look Up'!$E$13:$F$20,2,TRUE),IF(AND(AI180&gt;=73,AI180&lt;=78),VLOOKUP(H180,'WordRead Look Up'!$I$13:$J$18,2,TRUE),IF(AND(AI180&gt;=79),VLOOKUP(H180,'WordRead Look Up'!$M$13:$N$18,2,TRUE),"")))))</f>
        <v/>
      </c>
      <c r="J180" s="122"/>
      <c r="K180" s="111"/>
      <c r="L180" s="111"/>
      <c r="M180" s="111"/>
      <c r="N180" s="111"/>
      <c r="O180" s="111"/>
      <c r="P180" s="111"/>
      <c r="Q180" s="111"/>
      <c r="R180" s="111"/>
      <c r="S180" s="111"/>
      <c r="T180" s="111"/>
      <c r="U180" s="111"/>
      <c r="V180" s="111"/>
      <c r="W180" s="111"/>
      <c r="X180" s="123"/>
      <c r="AG180" s="185"/>
      <c r="AH180" s="185"/>
      <c r="AI180" s="222" t="str">
        <f t="shared" si="5"/>
        <v/>
      </c>
    </row>
    <row r="181" spans="1:35" s="108" customFormat="1" ht="15.75">
      <c r="A181" s="119"/>
      <c r="B181" s="120"/>
      <c r="C181" s="111"/>
      <c r="D181" s="111"/>
      <c r="E181" s="121"/>
      <c r="F181" s="121"/>
      <c r="G181" s="113"/>
      <c r="H181" s="199" t="str">
        <f t="shared" si="4"/>
        <v/>
      </c>
      <c r="I181" s="200" t="str">
        <f>IF(H181="","",IF(AND(AI181&lt;=66),VLOOKUP(H181,'WordRead Look Up'!$A$13:$B$20,2,TRUE),IF(AND(AI181&gt;=67,AI181&lt;=72),VLOOKUP(H181,'WordRead Look Up'!$E$13:$F$20,2,TRUE),IF(AND(AI181&gt;=73,AI181&lt;=78),VLOOKUP(H181,'WordRead Look Up'!$I$13:$J$18,2,TRUE),IF(AND(AI181&gt;=79),VLOOKUP(H181,'WordRead Look Up'!$M$13:$N$18,2,TRUE),"")))))</f>
        <v/>
      </c>
      <c r="J181" s="122"/>
      <c r="K181" s="111"/>
      <c r="L181" s="111"/>
      <c r="M181" s="111"/>
      <c r="N181" s="111"/>
      <c r="O181" s="111"/>
      <c r="P181" s="111"/>
      <c r="Q181" s="111"/>
      <c r="R181" s="111"/>
      <c r="S181" s="111"/>
      <c r="T181" s="111"/>
      <c r="U181" s="111"/>
      <c r="V181" s="111"/>
      <c r="W181" s="111"/>
      <c r="X181" s="123"/>
      <c r="AG181" s="185"/>
      <c r="AH181" s="185"/>
      <c r="AI181" s="222" t="str">
        <f t="shared" si="5"/>
        <v/>
      </c>
    </row>
    <row r="182" spans="1:35" s="108" customFormat="1" ht="15.75">
      <c r="A182" s="119"/>
      <c r="B182" s="120"/>
      <c r="C182" s="111"/>
      <c r="D182" s="111"/>
      <c r="E182" s="121"/>
      <c r="F182" s="121"/>
      <c r="G182" s="113"/>
      <c r="H182" s="199" t="str">
        <f t="shared" si="4"/>
        <v/>
      </c>
      <c r="I182" s="200" t="str">
        <f>IF(H182="","",IF(AND(AI182&lt;=66),VLOOKUP(H182,'WordRead Look Up'!$A$13:$B$20,2,TRUE),IF(AND(AI182&gt;=67,AI182&lt;=72),VLOOKUP(H182,'WordRead Look Up'!$E$13:$F$20,2,TRUE),IF(AND(AI182&gt;=73,AI182&lt;=78),VLOOKUP(H182,'WordRead Look Up'!$I$13:$J$18,2,TRUE),IF(AND(AI182&gt;=79),VLOOKUP(H182,'WordRead Look Up'!$M$13:$N$18,2,TRUE),"")))))</f>
        <v/>
      </c>
      <c r="J182" s="122"/>
      <c r="K182" s="111"/>
      <c r="L182" s="111"/>
      <c r="M182" s="111"/>
      <c r="N182" s="111"/>
      <c r="O182" s="111"/>
      <c r="P182" s="111"/>
      <c r="Q182" s="111"/>
      <c r="R182" s="111"/>
      <c r="S182" s="111"/>
      <c r="T182" s="111"/>
      <c r="U182" s="111"/>
      <c r="V182" s="111"/>
      <c r="W182" s="111"/>
      <c r="X182" s="123"/>
      <c r="AG182" s="185"/>
      <c r="AH182" s="185"/>
      <c r="AI182" s="222" t="str">
        <f t="shared" si="5"/>
        <v/>
      </c>
    </row>
    <row r="183" spans="1:35" s="108" customFormat="1" ht="15.75">
      <c r="A183" s="119"/>
      <c r="B183" s="120"/>
      <c r="C183" s="111"/>
      <c r="D183" s="111"/>
      <c r="E183" s="121"/>
      <c r="F183" s="121"/>
      <c r="G183" s="113"/>
      <c r="H183" s="199" t="str">
        <f t="shared" si="4"/>
        <v/>
      </c>
      <c r="I183" s="200" t="str">
        <f>IF(H183="","",IF(AND(AI183&lt;=66),VLOOKUP(H183,'WordRead Look Up'!$A$13:$B$20,2,TRUE),IF(AND(AI183&gt;=67,AI183&lt;=72),VLOOKUP(H183,'WordRead Look Up'!$E$13:$F$20,2,TRUE),IF(AND(AI183&gt;=73,AI183&lt;=78),VLOOKUP(H183,'WordRead Look Up'!$I$13:$J$18,2,TRUE),IF(AND(AI183&gt;=79),VLOOKUP(H183,'WordRead Look Up'!$M$13:$N$18,2,TRUE),"")))))</f>
        <v/>
      </c>
      <c r="J183" s="122"/>
      <c r="K183" s="111"/>
      <c r="L183" s="111"/>
      <c r="M183" s="111"/>
      <c r="N183" s="111"/>
      <c r="O183" s="111"/>
      <c r="P183" s="111"/>
      <c r="Q183" s="111"/>
      <c r="R183" s="111"/>
      <c r="S183" s="111"/>
      <c r="T183" s="111"/>
      <c r="U183" s="111"/>
      <c r="V183" s="111"/>
      <c r="W183" s="111"/>
      <c r="X183" s="123"/>
      <c r="AG183" s="185"/>
      <c r="AH183" s="185"/>
      <c r="AI183" s="222" t="str">
        <f t="shared" si="5"/>
        <v/>
      </c>
    </row>
    <row r="184" spans="1:35" s="108" customFormat="1" ht="15.75">
      <c r="A184" s="119"/>
      <c r="B184" s="120"/>
      <c r="C184" s="111"/>
      <c r="D184" s="111"/>
      <c r="E184" s="121"/>
      <c r="F184" s="121"/>
      <c r="G184" s="113"/>
      <c r="H184" s="199" t="str">
        <f t="shared" si="4"/>
        <v/>
      </c>
      <c r="I184" s="200" t="str">
        <f>IF(H184="","",IF(AND(AI184&lt;=66),VLOOKUP(H184,'WordRead Look Up'!$A$13:$B$20,2,TRUE),IF(AND(AI184&gt;=67,AI184&lt;=72),VLOOKUP(H184,'WordRead Look Up'!$E$13:$F$20,2,TRUE),IF(AND(AI184&gt;=73,AI184&lt;=78),VLOOKUP(H184,'WordRead Look Up'!$I$13:$J$18,2,TRUE),IF(AND(AI184&gt;=79),VLOOKUP(H184,'WordRead Look Up'!$M$13:$N$18,2,TRUE),"")))))</f>
        <v/>
      </c>
      <c r="J184" s="122"/>
      <c r="K184" s="111"/>
      <c r="L184" s="111"/>
      <c r="M184" s="111"/>
      <c r="N184" s="111"/>
      <c r="O184" s="111"/>
      <c r="P184" s="111"/>
      <c r="Q184" s="111"/>
      <c r="R184" s="111"/>
      <c r="S184" s="111"/>
      <c r="T184" s="111"/>
      <c r="U184" s="111"/>
      <c r="V184" s="111"/>
      <c r="W184" s="111"/>
      <c r="X184" s="123"/>
      <c r="AG184" s="185"/>
      <c r="AH184" s="185"/>
      <c r="AI184" s="222" t="str">
        <f t="shared" si="5"/>
        <v/>
      </c>
    </row>
    <row r="185" spans="1:35" s="108" customFormat="1" ht="15.75">
      <c r="A185" s="119"/>
      <c r="B185" s="120"/>
      <c r="C185" s="111"/>
      <c r="D185" s="111"/>
      <c r="E185" s="121"/>
      <c r="F185" s="121"/>
      <c r="G185" s="113"/>
      <c r="H185" s="199" t="str">
        <f t="shared" si="4"/>
        <v/>
      </c>
      <c r="I185" s="200" t="str">
        <f>IF(H185="","",IF(AND(AI185&lt;=66),VLOOKUP(H185,'WordRead Look Up'!$A$13:$B$20,2,TRUE),IF(AND(AI185&gt;=67,AI185&lt;=72),VLOOKUP(H185,'WordRead Look Up'!$E$13:$F$20,2,TRUE),IF(AND(AI185&gt;=73,AI185&lt;=78),VLOOKUP(H185,'WordRead Look Up'!$I$13:$J$18,2,TRUE),IF(AND(AI185&gt;=79),VLOOKUP(H185,'WordRead Look Up'!$M$13:$N$18,2,TRUE),"")))))</f>
        <v/>
      </c>
      <c r="J185" s="122"/>
      <c r="K185" s="111"/>
      <c r="L185" s="111"/>
      <c r="M185" s="111"/>
      <c r="N185" s="111"/>
      <c r="O185" s="111"/>
      <c r="P185" s="111"/>
      <c r="Q185" s="111"/>
      <c r="R185" s="111"/>
      <c r="S185" s="111"/>
      <c r="T185" s="111"/>
      <c r="U185" s="111"/>
      <c r="V185" s="111"/>
      <c r="W185" s="111"/>
      <c r="X185" s="123"/>
      <c r="AG185" s="185"/>
      <c r="AH185" s="185"/>
      <c r="AI185" s="222" t="str">
        <f t="shared" si="5"/>
        <v/>
      </c>
    </row>
    <row r="186" spans="1:35" s="108" customFormat="1" ht="15.75">
      <c r="A186" s="119"/>
      <c r="B186" s="120"/>
      <c r="C186" s="111"/>
      <c r="D186" s="111"/>
      <c r="E186" s="121"/>
      <c r="F186" s="121"/>
      <c r="G186" s="113"/>
      <c r="H186" s="199" t="str">
        <f t="shared" si="4"/>
        <v/>
      </c>
      <c r="I186" s="200" t="str">
        <f>IF(H186="","",IF(AND(AI186&lt;=66),VLOOKUP(H186,'WordRead Look Up'!$A$13:$B$20,2,TRUE),IF(AND(AI186&gt;=67,AI186&lt;=72),VLOOKUP(H186,'WordRead Look Up'!$E$13:$F$20,2,TRUE),IF(AND(AI186&gt;=73,AI186&lt;=78),VLOOKUP(H186,'WordRead Look Up'!$I$13:$J$18,2,TRUE),IF(AND(AI186&gt;=79),VLOOKUP(H186,'WordRead Look Up'!$M$13:$N$18,2,TRUE),"")))))</f>
        <v/>
      </c>
      <c r="J186" s="122"/>
      <c r="K186" s="111"/>
      <c r="L186" s="111"/>
      <c r="M186" s="111"/>
      <c r="N186" s="111"/>
      <c r="O186" s="111"/>
      <c r="P186" s="111"/>
      <c r="Q186" s="111"/>
      <c r="R186" s="111"/>
      <c r="S186" s="111"/>
      <c r="T186" s="111"/>
      <c r="U186" s="111"/>
      <c r="V186" s="111"/>
      <c r="W186" s="111"/>
      <c r="X186" s="123"/>
      <c r="AG186" s="185"/>
      <c r="AH186" s="185"/>
      <c r="AI186" s="222" t="str">
        <f t="shared" si="5"/>
        <v/>
      </c>
    </row>
    <row r="187" spans="1:35" s="108" customFormat="1" ht="15.75">
      <c r="A187" s="119"/>
      <c r="B187" s="120"/>
      <c r="C187" s="111"/>
      <c r="D187" s="111"/>
      <c r="E187" s="121"/>
      <c r="F187" s="121"/>
      <c r="G187" s="113"/>
      <c r="H187" s="199" t="str">
        <f t="shared" si="4"/>
        <v/>
      </c>
      <c r="I187" s="200" t="str">
        <f>IF(H187="","",IF(AND(AI187&lt;=66),VLOOKUP(H187,'WordRead Look Up'!$A$13:$B$20,2,TRUE),IF(AND(AI187&gt;=67,AI187&lt;=72),VLOOKUP(H187,'WordRead Look Up'!$E$13:$F$20,2,TRUE),IF(AND(AI187&gt;=73,AI187&lt;=78),VLOOKUP(H187,'WordRead Look Up'!$I$13:$J$18,2,TRUE),IF(AND(AI187&gt;=79),VLOOKUP(H187,'WordRead Look Up'!$M$13:$N$18,2,TRUE),"")))))</f>
        <v/>
      </c>
      <c r="J187" s="122"/>
      <c r="K187" s="111"/>
      <c r="L187" s="111"/>
      <c r="M187" s="111"/>
      <c r="N187" s="111"/>
      <c r="O187" s="111"/>
      <c r="P187" s="111"/>
      <c r="Q187" s="111"/>
      <c r="R187" s="111"/>
      <c r="S187" s="111"/>
      <c r="T187" s="111"/>
      <c r="U187" s="111"/>
      <c r="V187" s="111"/>
      <c r="W187" s="111"/>
      <c r="X187" s="123"/>
      <c r="AG187" s="185"/>
      <c r="AH187" s="185"/>
      <c r="AI187" s="222" t="str">
        <f t="shared" si="5"/>
        <v/>
      </c>
    </row>
    <row r="188" spans="1:35" s="108" customFormat="1" ht="15.75">
      <c r="A188" s="119"/>
      <c r="B188" s="120"/>
      <c r="C188" s="111"/>
      <c r="D188" s="111"/>
      <c r="E188" s="121"/>
      <c r="F188" s="121"/>
      <c r="G188" s="113"/>
      <c r="H188" s="199" t="str">
        <f t="shared" si="4"/>
        <v/>
      </c>
      <c r="I188" s="200" t="str">
        <f>IF(H188="","",IF(AND(AI188&lt;=66),VLOOKUP(H188,'WordRead Look Up'!$A$13:$B$20,2,TRUE),IF(AND(AI188&gt;=67,AI188&lt;=72),VLOOKUP(H188,'WordRead Look Up'!$E$13:$F$20,2,TRUE),IF(AND(AI188&gt;=73,AI188&lt;=78),VLOOKUP(H188,'WordRead Look Up'!$I$13:$J$18,2,TRUE),IF(AND(AI188&gt;=79),VLOOKUP(H188,'WordRead Look Up'!$M$13:$N$18,2,TRUE),"")))))</f>
        <v/>
      </c>
      <c r="J188" s="122"/>
      <c r="K188" s="111"/>
      <c r="L188" s="111"/>
      <c r="M188" s="111"/>
      <c r="N188" s="111"/>
      <c r="O188" s="111"/>
      <c r="P188" s="111"/>
      <c r="Q188" s="111"/>
      <c r="R188" s="111"/>
      <c r="S188" s="111"/>
      <c r="T188" s="111"/>
      <c r="U188" s="111"/>
      <c r="V188" s="111"/>
      <c r="W188" s="111"/>
      <c r="X188" s="123"/>
      <c r="AG188" s="185"/>
      <c r="AH188" s="185"/>
      <c r="AI188" s="222" t="str">
        <f t="shared" si="5"/>
        <v/>
      </c>
    </row>
    <row r="189" spans="1:35" s="108" customFormat="1" ht="15.75">
      <c r="A189" s="119"/>
      <c r="B189" s="120"/>
      <c r="C189" s="111"/>
      <c r="D189" s="111"/>
      <c r="E189" s="121"/>
      <c r="F189" s="121"/>
      <c r="G189" s="113"/>
      <c r="H189" s="199" t="str">
        <f t="shared" si="4"/>
        <v/>
      </c>
      <c r="I189" s="200" t="str">
        <f>IF(H189="","",IF(AND(AI189&lt;=66),VLOOKUP(H189,'WordRead Look Up'!$A$13:$B$20,2,TRUE),IF(AND(AI189&gt;=67,AI189&lt;=72),VLOOKUP(H189,'WordRead Look Up'!$E$13:$F$20,2,TRUE),IF(AND(AI189&gt;=73,AI189&lt;=78),VLOOKUP(H189,'WordRead Look Up'!$I$13:$J$18,2,TRUE),IF(AND(AI189&gt;=79),VLOOKUP(H189,'WordRead Look Up'!$M$13:$N$18,2,TRUE),"")))))</f>
        <v/>
      </c>
      <c r="J189" s="122"/>
      <c r="K189" s="111"/>
      <c r="L189" s="111"/>
      <c r="M189" s="111"/>
      <c r="N189" s="111"/>
      <c r="O189" s="111"/>
      <c r="P189" s="111"/>
      <c r="Q189" s="111"/>
      <c r="R189" s="111"/>
      <c r="S189" s="111"/>
      <c r="T189" s="111"/>
      <c r="U189" s="111"/>
      <c r="V189" s="111"/>
      <c r="W189" s="111"/>
      <c r="X189" s="123"/>
      <c r="AG189" s="185"/>
      <c r="AH189" s="185"/>
      <c r="AI189" s="222" t="str">
        <f t="shared" si="5"/>
        <v/>
      </c>
    </row>
    <row r="190" spans="1:35" s="108" customFormat="1" ht="15.75">
      <c r="A190" s="119"/>
      <c r="B190" s="120"/>
      <c r="C190" s="111"/>
      <c r="D190" s="111"/>
      <c r="E190" s="121"/>
      <c r="F190" s="121"/>
      <c r="G190" s="113"/>
      <c r="H190" s="199" t="str">
        <f t="shared" si="4"/>
        <v/>
      </c>
      <c r="I190" s="200" t="str">
        <f>IF(H190="","",IF(AND(AI190&lt;=66),VLOOKUP(H190,'WordRead Look Up'!$A$13:$B$20,2,TRUE),IF(AND(AI190&gt;=67,AI190&lt;=72),VLOOKUP(H190,'WordRead Look Up'!$E$13:$F$20,2,TRUE),IF(AND(AI190&gt;=73,AI190&lt;=78),VLOOKUP(H190,'WordRead Look Up'!$I$13:$J$18,2,TRUE),IF(AND(AI190&gt;=79),VLOOKUP(H190,'WordRead Look Up'!$M$13:$N$18,2,TRUE),"")))))</f>
        <v/>
      </c>
      <c r="J190" s="122"/>
      <c r="K190" s="111"/>
      <c r="L190" s="111"/>
      <c r="M190" s="111"/>
      <c r="N190" s="111"/>
      <c r="O190" s="111"/>
      <c r="P190" s="111"/>
      <c r="Q190" s="111"/>
      <c r="R190" s="111"/>
      <c r="S190" s="111"/>
      <c r="T190" s="111"/>
      <c r="U190" s="111"/>
      <c r="V190" s="111"/>
      <c r="W190" s="111"/>
      <c r="X190" s="123"/>
      <c r="AG190" s="185"/>
      <c r="AH190" s="185"/>
      <c r="AI190" s="222" t="str">
        <f t="shared" si="5"/>
        <v/>
      </c>
    </row>
    <row r="191" spans="1:35" s="108" customFormat="1" ht="15.75">
      <c r="A191" s="119"/>
      <c r="B191" s="120"/>
      <c r="C191" s="111"/>
      <c r="D191" s="111"/>
      <c r="E191" s="121"/>
      <c r="F191" s="121"/>
      <c r="G191" s="113"/>
      <c r="H191" s="199" t="str">
        <f t="shared" si="4"/>
        <v/>
      </c>
      <c r="I191" s="200" t="str">
        <f>IF(H191="","",IF(AND(AI191&lt;=66),VLOOKUP(H191,'WordRead Look Up'!$A$13:$B$20,2,TRUE),IF(AND(AI191&gt;=67,AI191&lt;=72),VLOOKUP(H191,'WordRead Look Up'!$E$13:$F$20,2,TRUE),IF(AND(AI191&gt;=73,AI191&lt;=78),VLOOKUP(H191,'WordRead Look Up'!$I$13:$J$18,2,TRUE),IF(AND(AI191&gt;=79),VLOOKUP(H191,'WordRead Look Up'!$M$13:$N$18,2,TRUE),"")))))</f>
        <v/>
      </c>
      <c r="J191" s="122"/>
      <c r="K191" s="111"/>
      <c r="L191" s="111"/>
      <c r="M191" s="111"/>
      <c r="N191" s="111"/>
      <c r="O191" s="111"/>
      <c r="P191" s="111"/>
      <c r="Q191" s="111"/>
      <c r="R191" s="111"/>
      <c r="S191" s="111"/>
      <c r="T191" s="111"/>
      <c r="U191" s="111"/>
      <c r="V191" s="111"/>
      <c r="W191" s="111"/>
      <c r="X191" s="123"/>
      <c r="AG191" s="185"/>
      <c r="AH191" s="185"/>
      <c r="AI191" s="222" t="str">
        <f t="shared" si="5"/>
        <v/>
      </c>
    </row>
    <row r="192" spans="1:35" s="108" customFormat="1" ht="15.75">
      <c r="A192" s="119"/>
      <c r="B192" s="120"/>
      <c r="C192" s="111"/>
      <c r="D192" s="111"/>
      <c r="E192" s="121"/>
      <c r="F192" s="121"/>
      <c r="G192" s="113"/>
      <c r="H192" s="199" t="str">
        <f t="shared" si="4"/>
        <v/>
      </c>
      <c r="I192" s="200" t="str">
        <f>IF(H192="","",IF(AND(AI192&lt;=66),VLOOKUP(H192,'WordRead Look Up'!$A$13:$B$20,2,TRUE),IF(AND(AI192&gt;=67,AI192&lt;=72),VLOOKUP(H192,'WordRead Look Up'!$E$13:$F$20,2,TRUE),IF(AND(AI192&gt;=73,AI192&lt;=78),VLOOKUP(H192,'WordRead Look Up'!$I$13:$J$18,2,TRUE),IF(AND(AI192&gt;=79),VLOOKUP(H192,'WordRead Look Up'!$M$13:$N$18,2,TRUE),"")))))</f>
        <v/>
      </c>
      <c r="J192" s="122"/>
      <c r="K192" s="111"/>
      <c r="L192" s="111"/>
      <c r="M192" s="111"/>
      <c r="N192" s="111"/>
      <c r="O192" s="111"/>
      <c r="P192" s="111"/>
      <c r="Q192" s="111"/>
      <c r="R192" s="111"/>
      <c r="S192" s="111"/>
      <c r="T192" s="111"/>
      <c r="U192" s="111"/>
      <c r="V192" s="111"/>
      <c r="W192" s="111"/>
      <c r="X192" s="123"/>
      <c r="AG192" s="185"/>
      <c r="AH192" s="185"/>
      <c r="AI192" s="222" t="str">
        <f t="shared" si="5"/>
        <v/>
      </c>
    </row>
    <row r="193" spans="1:35" s="108" customFormat="1" ht="15.75">
      <c r="A193" s="119"/>
      <c r="B193" s="120"/>
      <c r="C193" s="111"/>
      <c r="D193" s="111"/>
      <c r="E193" s="121"/>
      <c r="F193" s="121"/>
      <c r="G193" s="113"/>
      <c r="H193" s="199" t="str">
        <f t="shared" si="4"/>
        <v/>
      </c>
      <c r="I193" s="200" t="str">
        <f>IF(H193="","",IF(AND(AI193&lt;=66),VLOOKUP(H193,'WordRead Look Up'!$A$13:$B$20,2,TRUE),IF(AND(AI193&gt;=67,AI193&lt;=72),VLOOKUP(H193,'WordRead Look Up'!$E$13:$F$20,2,TRUE),IF(AND(AI193&gt;=73,AI193&lt;=78),VLOOKUP(H193,'WordRead Look Up'!$I$13:$J$18,2,TRUE),IF(AND(AI193&gt;=79),VLOOKUP(H193,'WordRead Look Up'!$M$13:$N$18,2,TRUE),"")))))</f>
        <v/>
      </c>
      <c r="J193" s="122"/>
      <c r="K193" s="111"/>
      <c r="L193" s="111"/>
      <c r="M193" s="111"/>
      <c r="N193" s="111"/>
      <c r="O193" s="111"/>
      <c r="P193" s="111"/>
      <c r="Q193" s="111"/>
      <c r="R193" s="111"/>
      <c r="S193" s="111"/>
      <c r="T193" s="111"/>
      <c r="U193" s="111"/>
      <c r="V193" s="111"/>
      <c r="W193" s="111"/>
      <c r="X193" s="123"/>
      <c r="AG193" s="185"/>
      <c r="AH193" s="185"/>
      <c r="AI193" s="222" t="str">
        <f t="shared" si="5"/>
        <v/>
      </c>
    </row>
    <row r="194" spans="1:35" s="108" customFormat="1" ht="15.75">
      <c r="A194" s="119"/>
      <c r="B194" s="120"/>
      <c r="C194" s="111"/>
      <c r="D194" s="111"/>
      <c r="E194" s="121"/>
      <c r="F194" s="121"/>
      <c r="G194" s="113"/>
      <c r="H194" s="199" t="str">
        <f t="shared" si="4"/>
        <v/>
      </c>
      <c r="I194" s="200" t="str">
        <f>IF(H194="","",IF(AND(AI194&lt;=66),VLOOKUP(H194,'WordRead Look Up'!$A$13:$B$20,2,TRUE),IF(AND(AI194&gt;=67,AI194&lt;=72),VLOOKUP(H194,'WordRead Look Up'!$E$13:$F$20,2,TRUE),IF(AND(AI194&gt;=73,AI194&lt;=78),VLOOKUP(H194,'WordRead Look Up'!$I$13:$J$18,2,TRUE),IF(AND(AI194&gt;=79),VLOOKUP(H194,'WordRead Look Up'!$M$13:$N$18,2,TRUE),"")))))</f>
        <v/>
      </c>
      <c r="J194" s="122"/>
      <c r="K194" s="111"/>
      <c r="L194" s="111"/>
      <c r="M194" s="111"/>
      <c r="N194" s="111"/>
      <c r="O194" s="111"/>
      <c r="P194" s="111"/>
      <c r="Q194" s="111"/>
      <c r="R194" s="111"/>
      <c r="S194" s="111"/>
      <c r="T194" s="111"/>
      <c r="U194" s="111"/>
      <c r="V194" s="111"/>
      <c r="W194" s="111"/>
      <c r="X194" s="123"/>
      <c r="AG194" s="185"/>
      <c r="AH194" s="185"/>
      <c r="AI194" s="222" t="str">
        <f t="shared" si="5"/>
        <v/>
      </c>
    </row>
    <row r="195" spans="1:35" s="108" customFormat="1" ht="15.75">
      <c r="A195" s="119"/>
      <c r="B195" s="120"/>
      <c r="C195" s="111"/>
      <c r="D195" s="111"/>
      <c r="E195" s="121"/>
      <c r="F195" s="121"/>
      <c r="G195" s="113"/>
      <c r="H195" s="199" t="str">
        <f t="shared" si="4"/>
        <v/>
      </c>
      <c r="I195" s="200" t="str">
        <f>IF(H195="","",IF(AND(AI195&lt;=66),VLOOKUP(H195,'WordRead Look Up'!$A$13:$B$20,2,TRUE),IF(AND(AI195&gt;=67,AI195&lt;=72),VLOOKUP(H195,'WordRead Look Up'!$E$13:$F$20,2,TRUE),IF(AND(AI195&gt;=73,AI195&lt;=78),VLOOKUP(H195,'WordRead Look Up'!$I$13:$J$18,2,TRUE),IF(AND(AI195&gt;=79),VLOOKUP(H195,'WordRead Look Up'!$M$13:$N$18,2,TRUE),"")))))</f>
        <v/>
      </c>
      <c r="J195" s="122"/>
      <c r="K195" s="111"/>
      <c r="L195" s="111"/>
      <c r="M195" s="111"/>
      <c r="N195" s="111"/>
      <c r="O195" s="111"/>
      <c r="P195" s="111"/>
      <c r="Q195" s="111"/>
      <c r="R195" s="111"/>
      <c r="S195" s="111"/>
      <c r="T195" s="111"/>
      <c r="U195" s="111"/>
      <c r="V195" s="111"/>
      <c r="W195" s="111"/>
      <c r="X195" s="123"/>
      <c r="AG195" s="185"/>
      <c r="AH195" s="185"/>
      <c r="AI195" s="222" t="str">
        <f t="shared" si="5"/>
        <v/>
      </c>
    </row>
    <row r="196" spans="1:35" s="108" customFormat="1" ht="15.75">
      <c r="A196" s="119"/>
      <c r="B196" s="120"/>
      <c r="C196" s="111"/>
      <c r="D196" s="111"/>
      <c r="E196" s="121"/>
      <c r="F196" s="121"/>
      <c r="G196" s="113"/>
      <c r="H196" s="199" t="str">
        <f t="shared" si="4"/>
        <v/>
      </c>
      <c r="I196" s="200" t="str">
        <f>IF(H196="","",IF(AND(AI196&lt;=66),VLOOKUP(H196,'WordRead Look Up'!$A$13:$B$20,2,TRUE),IF(AND(AI196&gt;=67,AI196&lt;=72),VLOOKUP(H196,'WordRead Look Up'!$E$13:$F$20,2,TRUE),IF(AND(AI196&gt;=73,AI196&lt;=78),VLOOKUP(H196,'WordRead Look Up'!$I$13:$J$18,2,TRUE),IF(AND(AI196&gt;=79),VLOOKUP(H196,'WordRead Look Up'!$M$13:$N$18,2,TRUE),"")))))</f>
        <v/>
      </c>
      <c r="J196" s="122"/>
      <c r="K196" s="111"/>
      <c r="L196" s="111"/>
      <c r="M196" s="111"/>
      <c r="N196" s="111"/>
      <c r="O196" s="111"/>
      <c r="P196" s="111"/>
      <c r="Q196" s="111"/>
      <c r="R196" s="111"/>
      <c r="S196" s="111"/>
      <c r="T196" s="111"/>
      <c r="U196" s="111"/>
      <c r="V196" s="111"/>
      <c r="W196" s="111"/>
      <c r="X196" s="123"/>
      <c r="AG196" s="185"/>
      <c r="AH196" s="185"/>
      <c r="AI196" s="222" t="str">
        <f t="shared" si="5"/>
        <v/>
      </c>
    </row>
    <row r="197" spans="1:35" s="108" customFormat="1" ht="15.75">
      <c r="A197" s="119"/>
      <c r="B197" s="120"/>
      <c r="C197" s="111"/>
      <c r="D197" s="111"/>
      <c r="E197" s="121"/>
      <c r="F197" s="121"/>
      <c r="G197" s="113"/>
      <c r="H197" s="199" t="str">
        <f t="shared" si="4"/>
        <v/>
      </c>
      <c r="I197" s="200" t="str">
        <f>IF(H197="","",IF(AND(AI197&lt;=66),VLOOKUP(H197,'WordRead Look Up'!$A$13:$B$20,2,TRUE),IF(AND(AI197&gt;=67,AI197&lt;=72),VLOOKUP(H197,'WordRead Look Up'!$E$13:$F$20,2,TRUE),IF(AND(AI197&gt;=73,AI197&lt;=78),VLOOKUP(H197,'WordRead Look Up'!$I$13:$J$18,2,TRUE),IF(AND(AI197&gt;=79),VLOOKUP(H197,'WordRead Look Up'!$M$13:$N$18,2,TRUE),"")))))</f>
        <v/>
      </c>
      <c r="J197" s="122"/>
      <c r="K197" s="111"/>
      <c r="L197" s="111"/>
      <c r="M197" s="111"/>
      <c r="N197" s="111"/>
      <c r="O197" s="111"/>
      <c r="P197" s="111"/>
      <c r="Q197" s="111"/>
      <c r="R197" s="111"/>
      <c r="S197" s="111"/>
      <c r="T197" s="111"/>
      <c r="U197" s="111"/>
      <c r="V197" s="111"/>
      <c r="W197" s="111"/>
      <c r="X197" s="123"/>
      <c r="AG197" s="185"/>
      <c r="AH197" s="185"/>
      <c r="AI197" s="222" t="str">
        <f t="shared" si="5"/>
        <v/>
      </c>
    </row>
    <row r="198" spans="1:35" s="108" customFormat="1" ht="15.75">
      <c r="A198" s="119"/>
      <c r="B198" s="120"/>
      <c r="C198" s="111"/>
      <c r="D198" s="111"/>
      <c r="E198" s="121"/>
      <c r="F198" s="121"/>
      <c r="G198" s="113"/>
      <c r="H198" s="199" t="str">
        <f t="shared" si="4"/>
        <v/>
      </c>
      <c r="I198" s="200" t="str">
        <f>IF(H198="","",IF(AND(AI198&lt;=66),VLOOKUP(H198,'WordRead Look Up'!$A$13:$B$20,2,TRUE),IF(AND(AI198&gt;=67,AI198&lt;=72),VLOOKUP(H198,'WordRead Look Up'!$E$13:$F$20,2,TRUE),IF(AND(AI198&gt;=73,AI198&lt;=78),VLOOKUP(H198,'WordRead Look Up'!$I$13:$J$18,2,TRUE),IF(AND(AI198&gt;=79),VLOOKUP(H198,'WordRead Look Up'!$M$13:$N$18,2,TRUE),"")))))</f>
        <v/>
      </c>
      <c r="J198" s="122"/>
      <c r="K198" s="111"/>
      <c r="L198" s="111"/>
      <c r="M198" s="111"/>
      <c r="N198" s="111"/>
      <c r="O198" s="111"/>
      <c r="P198" s="111"/>
      <c r="Q198" s="111"/>
      <c r="R198" s="111"/>
      <c r="S198" s="111"/>
      <c r="T198" s="111"/>
      <c r="U198" s="111"/>
      <c r="V198" s="111"/>
      <c r="W198" s="111"/>
      <c r="X198" s="123"/>
      <c r="AG198" s="185"/>
      <c r="AH198" s="185"/>
      <c r="AI198" s="222" t="str">
        <f t="shared" si="5"/>
        <v/>
      </c>
    </row>
    <row r="199" spans="1:35" s="108" customFormat="1" ht="15.75">
      <c r="A199" s="119"/>
      <c r="B199" s="120"/>
      <c r="C199" s="111"/>
      <c r="D199" s="111"/>
      <c r="E199" s="121"/>
      <c r="F199" s="121"/>
      <c r="G199" s="113"/>
      <c r="H199" s="199" t="str">
        <f t="shared" si="4"/>
        <v/>
      </c>
      <c r="I199" s="200" t="str">
        <f>IF(H199="","",IF(AND(AI199&lt;=66),VLOOKUP(H199,'WordRead Look Up'!$A$13:$B$20,2,TRUE),IF(AND(AI199&gt;=67,AI199&lt;=72),VLOOKUP(H199,'WordRead Look Up'!$E$13:$F$20,2,TRUE),IF(AND(AI199&gt;=73,AI199&lt;=78),VLOOKUP(H199,'WordRead Look Up'!$I$13:$J$18,2,TRUE),IF(AND(AI199&gt;=79),VLOOKUP(H199,'WordRead Look Up'!$M$13:$N$18,2,TRUE),"")))))</f>
        <v/>
      </c>
      <c r="J199" s="122"/>
      <c r="K199" s="111"/>
      <c r="L199" s="111"/>
      <c r="M199" s="111"/>
      <c r="N199" s="111"/>
      <c r="O199" s="111"/>
      <c r="P199" s="111"/>
      <c r="Q199" s="111"/>
      <c r="R199" s="111"/>
      <c r="S199" s="111"/>
      <c r="T199" s="111"/>
      <c r="U199" s="111"/>
      <c r="V199" s="111"/>
      <c r="W199" s="111"/>
      <c r="X199" s="123"/>
      <c r="AG199" s="185"/>
      <c r="AH199" s="185"/>
      <c r="AI199" s="222" t="str">
        <f t="shared" si="5"/>
        <v/>
      </c>
    </row>
    <row r="200" spans="1:35" s="108" customFormat="1" ht="15.75">
      <c r="A200" s="119"/>
      <c r="B200" s="120"/>
      <c r="C200" s="111"/>
      <c r="D200" s="111"/>
      <c r="E200" s="121"/>
      <c r="F200" s="121"/>
      <c r="G200" s="113"/>
      <c r="H200" s="199" t="str">
        <f t="shared" ref="H200:H263" si="6">IF(E200="","",COUNTIF(J200:X200,"y"))</f>
        <v/>
      </c>
      <c r="I200" s="200" t="str">
        <f>IF(H200="","",IF(AND(AI200&lt;=66),VLOOKUP(H200,'WordRead Look Up'!$A$13:$B$20,2,TRUE),IF(AND(AI200&gt;=67,AI200&lt;=72),VLOOKUP(H200,'WordRead Look Up'!$E$13:$F$20,2,TRUE),IF(AND(AI200&gt;=73,AI200&lt;=78),VLOOKUP(H200,'WordRead Look Up'!$I$13:$J$18,2,TRUE),IF(AND(AI200&gt;=79),VLOOKUP(H200,'WordRead Look Up'!$M$13:$N$18,2,TRUE),"")))))</f>
        <v/>
      </c>
      <c r="J200" s="122"/>
      <c r="K200" s="111"/>
      <c r="L200" s="111"/>
      <c r="M200" s="111"/>
      <c r="N200" s="111"/>
      <c r="O200" s="111"/>
      <c r="P200" s="111"/>
      <c r="Q200" s="111"/>
      <c r="R200" s="111"/>
      <c r="S200" s="111"/>
      <c r="T200" s="111"/>
      <c r="U200" s="111"/>
      <c r="V200" s="111"/>
      <c r="W200" s="111"/>
      <c r="X200" s="123"/>
      <c r="AG200" s="185"/>
      <c r="AH200" s="185"/>
      <c r="AI200" s="222" t="str">
        <f t="shared" ref="AI200:AI263" si="7">IF(E200="","",DATEDIF(B200,A200,"m"))</f>
        <v/>
      </c>
    </row>
    <row r="201" spans="1:35" s="108" customFormat="1" ht="15.75">
      <c r="A201" s="119"/>
      <c r="B201" s="120"/>
      <c r="C201" s="111"/>
      <c r="D201" s="111"/>
      <c r="E201" s="121"/>
      <c r="F201" s="121"/>
      <c r="G201" s="113"/>
      <c r="H201" s="199" t="str">
        <f t="shared" si="6"/>
        <v/>
      </c>
      <c r="I201" s="200" t="str">
        <f>IF(H201="","",IF(AND(AI201&lt;=66),VLOOKUP(H201,'WordRead Look Up'!$A$13:$B$20,2,TRUE),IF(AND(AI201&gt;=67,AI201&lt;=72),VLOOKUP(H201,'WordRead Look Up'!$E$13:$F$20,2,TRUE),IF(AND(AI201&gt;=73,AI201&lt;=78),VLOOKUP(H201,'WordRead Look Up'!$I$13:$J$18,2,TRUE),IF(AND(AI201&gt;=79),VLOOKUP(H201,'WordRead Look Up'!$M$13:$N$18,2,TRUE),"")))))</f>
        <v/>
      </c>
      <c r="J201" s="122"/>
      <c r="K201" s="111"/>
      <c r="L201" s="111"/>
      <c r="M201" s="111"/>
      <c r="N201" s="111"/>
      <c r="O201" s="111"/>
      <c r="P201" s="111"/>
      <c r="Q201" s="111"/>
      <c r="R201" s="111"/>
      <c r="S201" s="111"/>
      <c r="T201" s="111"/>
      <c r="U201" s="111"/>
      <c r="V201" s="111"/>
      <c r="W201" s="111"/>
      <c r="X201" s="123"/>
      <c r="AG201" s="185"/>
      <c r="AH201" s="185"/>
      <c r="AI201" s="222" t="str">
        <f t="shared" si="7"/>
        <v/>
      </c>
    </row>
    <row r="202" spans="1:35" s="108" customFormat="1" ht="15.75">
      <c r="A202" s="119"/>
      <c r="B202" s="120"/>
      <c r="C202" s="111"/>
      <c r="D202" s="111"/>
      <c r="E202" s="121"/>
      <c r="F202" s="121"/>
      <c r="G202" s="113"/>
      <c r="H202" s="199" t="str">
        <f t="shared" si="6"/>
        <v/>
      </c>
      <c r="I202" s="200" t="str">
        <f>IF(H202="","",IF(AND(AI202&lt;=66),VLOOKUP(H202,'WordRead Look Up'!$A$13:$B$20,2,TRUE),IF(AND(AI202&gt;=67,AI202&lt;=72),VLOOKUP(H202,'WordRead Look Up'!$E$13:$F$20,2,TRUE),IF(AND(AI202&gt;=73,AI202&lt;=78),VLOOKUP(H202,'WordRead Look Up'!$I$13:$J$18,2,TRUE),IF(AND(AI202&gt;=79),VLOOKUP(H202,'WordRead Look Up'!$M$13:$N$18,2,TRUE),"")))))</f>
        <v/>
      </c>
      <c r="J202" s="122"/>
      <c r="K202" s="111"/>
      <c r="L202" s="111"/>
      <c r="M202" s="111"/>
      <c r="N202" s="111"/>
      <c r="O202" s="111"/>
      <c r="P202" s="111"/>
      <c r="Q202" s="111"/>
      <c r="R202" s="111"/>
      <c r="S202" s="111"/>
      <c r="T202" s="111"/>
      <c r="U202" s="111"/>
      <c r="V202" s="111"/>
      <c r="W202" s="111"/>
      <c r="X202" s="123"/>
      <c r="AG202" s="185"/>
      <c r="AH202" s="185"/>
      <c r="AI202" s="222" t="str">
        <f t="shared" si="7"/>
        <v/>
      </c>
    </row>
    <row r="203" spans="1:35" s="108" customFormat="1" ht="15.75">
      <c r="A203" s="119"/>
      <c r="B203" s="120"/>
      <c r="C203" s="111"/>
      <c r="D203" s="111"/>
      <c r="E203" s="121"/>
      <c r="F203" s="121"/>
      <c r="G203" s="113"/>
      <c r="H203" s="199" t="str">
        <f t="shared" si="6"/>
        <v/>
      </c>
      <c r="I203" s="200" t="str">
        <f>IF(H203="","",IF(AND(AI203&lt;=66),VLOOKUP(H203,'WordRead Look Up'!$A$13:$B$20,2,TRUE),IF(AND(AI203&gt;=67,AI203&lt;=72),VLOOKUP(H203,'WordRead Look Up'!$E$13:$F$20,2,TRUE),IF(AND(AI203&gt;=73,AI203&lt;=78),VLOOKUP(H203,'WordRead Look Up'!$I$13:$J$18,2,TRUE),IF(AND(AI203&gt;=79),VLOOKUP(H203,'WordRead Look Up'!$M$13:$N$18,2,TRUE),"")))))</f>
        <v/>
      </c>
      <c r="J203" s="122"/>
      <c r="K203" s="111"/>
      <c r="L203" s="111"/>
      <c r="M203" s="111"/>
      <c r="N203" s="111"/>
      <c r="O203" s="111"/>
      <c r="P203" s="111"/>
      <c r="Q203" s="111"/>
      <c r="R203" s="111"/>
      <c r="S203" s="111"/>
      <c r="T203" s="111"/>
      <c r="U203" s="111"/>
      <c r="V203" s="111"/>
      <c r="W203" s="111"/>
      <c r="X203" s="123"/>
      <c r="AG203" s="185"/>
      <c r="AH203" s="185"/>
      <c r="AI203" s="222" t="str">
        <f t="shared" si="7"/>
        <v/>
      </c>
    </row>
    <row r="204" spans="1:35" s="108" customFormat="1" ht="15.75">
      <c r="A204" s="119"/>
      <c r="B204" s="120"/>
      <c r="C204" s="111"/>
      <c r="D204" s="111"/>
      <c r="E204" s="121"/>
      <c r="F204" s="121"/>
      <c r="G204" s="113"/>
      <c r="H204" s="199" t="str">
        <f t="shared" si="6"/>
        <v/>
      </c>
      <c r="I204" s="200" t="str">
        <f>IF(H204="","",IF(AND(AI204&lt;=66),VLOOKUP(H204,'WordRead Look Up'!$A$13:$B$20,2,TRUE),IF(AND(AI204&gt;=67,AI204&lt;=72),VLOOKUP(H204,'WordRead Look Up'!$E$13:$F$20,2,TRUE),IF(AND(AI204&gt;=73,AI204&lt;=78),VLOOKUP(H204,'WordRead Look Up'!$I$13:$J$18,2,TRUE),IF(AND(AI204&gt;=79),VLOOKUP(H204,'WordRead Look Up'!$M$13:$N$18,2,TRUE),"")))))</f>
        <v/>
      </c>
      <c r="J204" s="122"/>
      <c r="K204" s="111"/>
      <c r="L204" s="111"/>
      <c r="M204" s="111"/>
      <c r="N204" s="111"/>
      <c r="O204" s="111"/>
      <c r="P204" s="111"/>
      <c r="Q204" s="111"/>
      <c r="R204" s="111"/>
      <c r="S204" s="111"/>
      <c r="T204" s="111"/>
      <c r="U204" s="111"/>
      <c r="V204" s="111"/>
      <c r="W204" s="111"/>
      <c r="X204" s="123"/>
      <c r="AG204" s="185"/>
      <c r="AH204" s="185"/>
      <c r="AI204" s="222" t="str">
        <f t="shared" si="7"/>
        <v/>
      </c>
    </row>
    <row r="205" spans="1:35" s="108" customFormat="1" ht="15.75">
      <c r="A205" s="119"/>
      <c r="B205" s="120"/>
      <c r="C205" s="111"/>
      <c r="D205" s="111"/>
      <c r="E205" s="121"/>
      <c r="F205" s="121"/>
      <c r="G205" s="113"/>
      <c r="H205" s="199" t="str">
        <f t="shared" si="6"/>
        <v/>
      </c>
      <c r="I205" s="200" t="str">
        <f>IF(H205="","",IF(AND(AI205&lt;=66),VLOOKUP(H205,'WordRead Look Up'!$A$13:$B$20,2,TRUE),IF(AND(AI205&gt;=67,AI205&lt;=72),VLOOKUP(H205,'WordRead Look Up'!$E$13:$F$20,2,TRUE),IF(AND(AI205&gt;=73,AI205&lt;=78),VLOOKUP(H205,'WordRead Look Up'!$I$13:$J$18,2,TRUE),IF(AND(AI205&gt;=79),VLOOKUP(H205,'WordRead Look Up'!$M$13:$N$18,2,TRUE),"")))))</f>
        <v/>
      </c>
      <c r="J205" s="122"/>
      <c r="K205" s="111"/>
      <c r="L205" s="111"/>
      <c r="M205" s="111"/>
      <c r="N205" s="111"/>
      <c r="O205" s="111"/>
      <c r="P205" s="111"/>
      <c r="Q205" s="111"/>
      <c r="R205" s="111"/>
      <c r="S205" s="111"/>
      <c r="T205" s="111"/>
      <c r="U205" s="111"/>
      <c r="V205" s="111"/>
      <c r="W205" s="111"/>
      <c r="X205" s="123"/>
      <c r="AG205" s="185"/>
      <c r="AH205" s="185"/>
      <c r="AI205" s="222" t="str">
        <f t="shared" si="7"/>
        <v/>
      </c>
    </row>
    <row r="206" spans="1:35" s="108" customFormat="1" ht="15.75">
      <c r="A206" s="119"/>
      <c r="B206" s="120"/>
      <c r="C206" s="111"/>
      <c r="D206" s="111"/>
      <c r="E206" s="121"/>
      <c r="F206" s="121"/>
      <c r="G206" s="113"/>
      <c r="H206" s="199" t="str">
        <f t="shared" si="6"/>
        <v/>
      </c>
      <c r="I206" s="200" t="str">
        <f>IF(H206="","",IF(AND(AI206&lt;=66),VLOOKUP(H206,'WordRead Look Up'!$A$13:$B$20,2,TRUE),IF(AND(AI206&gt;=67,AI206&lt;=72),VLOOKUP(H206,'WordRead Look Up'!$E$13:$F$20,2,TRUE),IF(AND(AI206&gt;=73,AI206&lt;=78),VLOOKUP(H206,'WordRead Look Up'!$I$13:$J$18,2,TRUE),IF(AND(AI206&gt;=79),VLOOKUP(H206,'WordRead Look Up'!$M$13:$N$18,2,TRUE),"")))))</f>
        <v/>
      </c>
      <c r="J206" s="122"/>
      <c r="K206" s="111"/>
      <c r="L206" s="111"/>
      <c r="M206" s="111"/>
      <c r="N206" s="111"/>
      <c r="O206" s="111"/>
      <c r="P206" s="111"/>
      <c r="Q206" s="111"/>
      <c r="R206" s="111"/>
      <c r="S206" s="111"/>
      <c r="T206" s="111"/>
      <c r="U206" s="111"/>
      <c r="V206" s="111"/>
      <c r="W206" s="111"/>
      <c r="X206" s="123"/>
      <c r="AG206" s="185"/>
      <c r="AH206" s="185"/>
      <c r="AI206" s="222" t="str">
        <f t="shared" si="7"/>
        <v/>
      </c>
    </row>
    <row r="207" spans="1:35" s="108" customFormat="1" ht="15.75">
      <c r="A207" s="119"/>
      <c r="B207" s="120"/>
      <c r="C207" s="111"/>
      <c r="D207" s="111"/>
      <c r="E207" s="121"/>
      <c r="F207" s="121"/>
      <c r="G207" s="113"/>
      <c r="H207" s="199" t="str">
        <f t="shared" si="6"/>
        <v/>
      </c>
      <c r="I207" s="200" t="str">
        <f>IF(H207="","",IF(AND(AI207&lt;=66),VLOOKUP(H207,'WordRead Look Up'!$A$13:$B$20,2,TRUE),IF(AND(AI207&gt;=67,AI207&lt;=72),VLOOKUP(H207,'WordRead Look Up'!$E$13:$F$20,2,TRUE),IF(AND(AI207&gt;=73,AI207&lt;=78),VLOOKUP(H207,'WordRead Look Up'!$I$13:$J$18,2,TRUE),IF(AND(AI207&gt;=79),VLOOKUP(H207,'WordRead Look Up'!$M$13:$N$18,2,TRUE),"")))))</f>
        <v/>
      </c>
      <c r="J207" s="122"/>
      <c r="K207" s="111"/>
      <c r="L207" s="111"/>
      <c r="M207" s="111"/>
      <c r="N207" s="111"/>
      <c r="O207" s="111"/>
      <c r="P207" s="111"/>
      <c r="Q207" s="111"/>
      <c r="R207" s="111"/>
      <c r="S207" s="111"/>
      <c r="T207" s="111"/>
      <c r="U207" s="111"/>
      <c r="V207" s="111"/>
      <c r="W207" s="111"/>
      <c r="X207" s="123"/>
      <c r="AG207" s="185"/>
      <c r="AH207" s="185"/>
      <c r="AI207" s="222" t="str">
        <f t="shared" si="7"/>
        <v/>
      </c>
    </row>
    <row r="208" spans="1:35" s="108" customFormat="1" ht="15.75">
      <c r="A208" s="119"/>
      <c r="B208" s="120"/>
      <c r="C208" s="111"/>
      <c r="D208" s="111"/>
      <c r="E208" s="121"/>
      <c r="F208" s="121"/>
      <c r="G208" s="113"/>
      <c r="H208" s="199" t="str">
        <f t="shared" si="6"/>
        <v/>
      </c>
      <c r="I208" s="200" t="str">
        <f>IF(H208="","",IF(AND(AI208&lt;=66),VLOOKUP(H208,'WordRead Look Up'!$A$13:$B$20,2,TRUE),IF(AND(AI208&gt;=67,AI208&lt;=72),VLOOKUP(H208,'WordRead Look Up'!$E$13:$F$20,2,TRUE),IF(AND(AI208&gt;=73,AI208&lt;=78),VLOOKUP(H208,'WordRead Look Up'!$I$13:$J$18,2,TRUE),IF(AND(AI208&gt;=79),VLOOKUP(H208,'WordRead Look Up'!$M$13:$N$18,2,TRUE),"")))))</f>
        <v/>
      </c>
      <c r="J208" s="122"/>
      <c r="K208" s="111"/>
      <c r="L208" s="111"/>
      <c r="M208" s="111"/>
      <c r="N208" s="111"/>
      <c r="O208" s="111"/>
      <c r="P208" s="111"/>
      <c r="Q208" s="111"/>
      <c r="R208" s="111"/>
      <c r="S208" s="111"/>
      <c r="T208" s="111"/>
      <c r="U208" s="111"/>
      <c r="V208" s="111"/>
      <c r="W208" s="111"/>
      <c r="X208" s="123"/>
      <c r="AG208" s="185"/>
      <c r="AH208" s="185"/>
      <c r="AI208" s="222" t="str">
        <f t="shared" si="7"/>
        <v/>
      </c>
    </row>
    <row r="209" spans="1:35" s="108" customFormat="1" ht="15.75">
      <c r="A209" s="119"/>
      <c r="B209" s="120"/>
      <c r="C209" s="111"/>
      <c r="D209" s="111"/>
      <c r="E209" s="121"/>
      <c r="F209" s="121"/>
      <c r="G209" s="113"/>
      <c r="H209" s="199" t="str">
        <f t="shared" si="6"/>
        <v/>
      </c>
      <c r="I209" s="200" t="str">
        <f>IF(H209="","",IF(AND(AI209&lt;=66),VLOOKUP(H209,'WordRead Look Up'!$A$13:$B$20,2,TRUE),IF(AND(AI209&gt;=67,AI209&lt;=72),VLOOKUP(H209,'WordRead Look Up'!$E$13:$F$20,2,TRUE),IF(AND(AI209&gt;=73,AI209&lt;=78),VLOOKUP(H209,'WordRead Look Up'!$I$13:$J$18,2,TRUE),IF(AND(AI209&gt;=79),VLOOKUP(H209,'WordRead Look Up'!$M$13:$N$18,2,TRUE),"")))))</f>
        <v/>
      </c>
      <c r="J209" s="122"/>
      <c r="K209" s="111"/>
      <c r="L209" s="111"/>
      <c r="M209" s="111"/>
      <c r="N209" s="111"/>
      <c r="O209" s="111"/>
      <c r="P209" s="111"/>
      <c r="Q209" s="111"/>
      <c r="R209" s="111"/>
      <c r="S209" s="111"/>
      <c r="T209" s="111"/>
      <c r="U209" s="111"/>
      <c r="V209" s="111"/>
      <c r="W209" s="111"/>
      <c r="X209" s="123"/>
      <c r="AG209" s="185"/>
      <c r="AH209" s="185"/>
      <c r="AI209" s="222" t="str">
        <f t="shared" si="7"/>
        <v/>
      </c>
    </row>
    <row r="210" spans="1:35" s="108" customFormat="1" ht="15.75">
      <c r="A210" s="119"/>
      <c r="B210" s="120"/>
      <c r="C210" s="111"/>
      <c r="D210" s="111"/>
      <c r="E210" s="121"/>
      <c r="F210" s="121"/>
      <c r="G210" s="113"/>
      <c r="H210" s="199" t="str">
        <f t="shared" si="6"/>
        <v/>
      </c>
      <c r="I210" s="200" t="str">
        <f>IF(H210="","",IF(AND(AI210&lt;=66),VLOOKUP(H210,'WordRead Look Up'!$A$13:$B$20,2,TRUE),IF(AND(AI210&gt;=67,AI210&lt;=72),VLOOKUP(H210,'WordRead Look Up'!$E$13:$F$20,2,TRUE),IF(AND(AI210&gt;=73,AI210&lt;=78),VLOOKUP(H210,'WordRead Look Up'!$I$13:$J$18,2,TRUE),IF(AND(AI210&gt;=79),VLOOKUP(H210,'WordRead Look Up'!$M$13:$N$18,2,TRUE),"")))))</f>
        <v/>
      </c>
      <c r="J210" s="122"/>
      <c r="K210" s="111"/>
      <c r="L210" s="111"/>
      <c r="M210" s="111"/>
      <c r="N210" s="111"/>
      <c r="O210" s="111"/>
      <c r="P210" s="111"/>
      <c r="Q210" s="111"/>
      <c r="R210" s="111"/>
      <c r="S210" s="111"/>
      <c r="T210" s="111"/>
      <c r="U210" s="111"/>
      <c r="V210" s="111"/>
      <c r="W210" s="111"/>
      <c r="X210" s="123"/>
      <c r="AG210" s="185"/>
      <c r="AH210" s="185"/>
      <c r="AI210" s="222" t="str">
        <f t="shared" si="7"/>
        <v/>
      </c>
    </row>
    <row r="211" spans="1:35" s="108" customFormat="1" ht="15.75">
      <c r="A211" s="119"/>
      <c r="B211" s="120"/>
      <c r="C211" s="111"/>
      <c r="D211" s="111"/>
      <c r="E211" s="121"/>
      <c r="F211" s="121"/>
      <c r="G211" s="113"/>
      <c r="H211" s="199" t="str">
        <f t="shared" si="6"/>
        <v/>
      </c>
      <c r="I211" s="200" t="str">
        <f>IF(H211="","",IF(AND(AI211&lt;=66),VLOOKUP(H211,'WordRead Look Up'!$A$13:$B$20,2,TRUE),IF(AND(AI211&gt;=67,AI211&lt;=72),VLOOKUP(H211,'WordRead Look Up'!$E$13:$F$20,2,TRUE),IF(AND(AI211&gt;=73,AI211&lt;=78),VLOOKUP(H211,'WordRead Look Up'!$I$13:$J$18,2,TRUE),IF(AND(AI211&gt;=79),VLOOKUP(H211,'WordRead Look Up'!$M$13:$N$18,2,TRUE),"")))))</f>
        <v/>
      </c>
      <c r="J211" s="122"/>
      <c r="K211" s="111"/>
      <c r="L211" s="111"/>
      <c r="M211" s="111"/>
      <c r="N211" s="111"/>
      <c r="O211" s="111"/>
      <c r="P211" s="111"/>
      <c r="Q211" s="111"/>
      <c r="R211" s="111"/>
      <c r="S211" s="111"/>
      <c r="T211" s="111"/>
      <c r="U211" s="111"/>
      <c r="V211" s="111"/>
      <c r="W211" s="111"/>
      <c r="X211" s="123"/>
      <c r="AG211" s="185"/>
      <c r="AH211" s="185"/>
      <c r="AI211" s="222" t="str">
        <f t="shared" si="7"/>
        <v/>
      </c>
    </row>
    <row r="212" spans="1:35" s="108" customFormat="1" ht="15.75">
      <c r="A212" s="119"/>
      <c r="B212" s="120"/>
      <c r="C212" s="111"/>
      <c r="D212" s="111"/>
      <c r="E212" s="121"/>
      <c r="F212" s="121"/>
      <c r="G212" s="113"/>
      <c r="H212" s="199" t="str">
        <f t="shared" si="6"/>
        <v/>
      </c>
      <c r="I212" s="200" t="str">
        <f>IF(H212="","",IF(AND(AI212&lt;=66),VLOOKUP(H212,'WordRead Look Up'!$A$13:$B$20,2,TRUE),IF(AND(AI212&gt;=67,AI212&lt;=72),VLOOKUP(H212,'WordRead Look Up'!$E$13:$F$20,2,TRUE),IF(AND(AI212&gt;=73,AI212&lt;=78),VLOOKUP(H212,'WordRead Look Up'!$I$13:$J$18,2,TRUE),IF(AND(AI212&gt;=79),VLOOKUP(H212,'WordRead Look Up'!$M$13:$N$18,2,TRUE),"")))))</f>
        <v/>
      </c>
      <c r="J212" s="122"/>
      <c r="K212" s="111"/>
      <c r="L212" s="111"/>
      <c r="M212" s="111"/>
      <c r="N212" s="111"/>
      <c r="O212" s="111"/>
      <c r="P212" s="111"/>
      <c r="Q212" s="111"/>
      <c r="R212" s="111"/>
      <c r="S212" s="111"/>
      <c r="T212" s="111"/>
      <c r="U212" s="111"/>
      <c r="V212" s="111"/>
      <c r="W212" s="111"/>
      <c r="X212" s="123"/>
      <c r="AG212" s="185"/>
      <c r="AH212" s="185"/>
      <c r="AI212" s="222" t="str">
        <f t="shared" si="7"/>
        <v/>
      </c>
    </row>
    <row r="213" spans="1:35" s="108" customFormat="1" ht="15.75">
      <c r="A213" s="119"/>
      <c r="B213" s="120"/>
      <c r="C213" s="111"/>
      <c r="D213" s="111"/>
      <c r="E213" s="121"/>
      <c r="F213" s="121"/>
      <c r="G213" s="113"/>
      <c r="H213" s="199" t="str">
        <f t="shared" si="6"/>
        <v/>
      </c>
      <c r="I213" s="200" t="str">
        <f>IF(H213="","",IF(AND(AI213&lt;=66),VLOOKUP(H213,'WordRead Look Up'!$A$13:$B$20,2,TRUE),IF(AND(AI213&gt;=67,AI213&lt;=72),VLOOKUP(H213,'WordRead Look Up'!$E$13:$F$20,2,TRUE),IF(AND(AI213&gt;=73,AI213&lt;=78),VLOOKUP(H213,'WordRead Look Up'!$I$13:$J$18,2,TRUE),IF(AND(AI213&gt;=79),VLOOKUP(H213,'WordRead Look Up'!$M$13:$N$18,2,TRUE),"")))))</f>
        <v/>
      </c>
      <c r="J213" s="122"/>
      <c r="K213" s="111"/>
      <c r="L213" s="111"/>
      <c r="M213" s="111"/>
      <c r="N213" s="111"/>
      <c r="O213" s="111"/>
      <c r="P213" s="111"/>
      <c r="Q213" s="111"/>
      <c r="R213" s="111"/>
      <c r="S213" s="111"/>
      <c r="T213" s="111"/>
      <c r="U213" s="111"/>
      <c r="V213" s="111"/>
      <c r="W213" s="111"/>
      <c r="X213" s="123"/>
      <c r="AG213" s="185"/>
      <c r="AH213" s="185"/>
      <c r="AI213" s="222" t="str">
        <f t="shared" si="7"/>
        <v/>
      </c>
    </row>
    <row r="214" spans="1:35" s="108" customFormat="1" ht="15.75">
      <c r="A214" s="119"/>
      <c r="B214" s="120"/>
      <c r="C214" s="111"/>
      <c r="D214" s="111"/>
      <c r="E214" s="121"/>
      <c r="F214" s="121"/>
      <c r="G214" s="113"/>
      <c r="H214" s="199" t="str">
        <f t="shared" si="6"/>
        <v/>
      </c>
      <c r="I214" s="200" t="str">
        <f>IF(H214="","",IF(AND(AI214&lt;=66),VLOOKUP(H214,'WordRead Look Up'!$A$13:$B$20,2,TRUE),IF(AND(AI214&gt;=67,AI214&lt;=72),VLOOKUP(H214,'WordRead Look Up'!$E$13:$F$20,2,TRUE),IF(AND(AI214&gt;=73,AI214&lt;=78),VLOOKUP(H214,'WordRead Look Up'!$I$13:$J$18,2,TRUE),IF(AND(AI214&gt;=79),VLOOKUP(H214,'WordRead Look Up'!$M$13:$N$18,2,TRUE),"")))))</f>
        <v/>
      </c>
      <c r="J214" s="122"/>
      <c r="K214" s="111"/>
      <c r="L214" s="111"/>
      <c r="M214" s="111"/>
      <c r="N214" s="111"/>
      <c r="O214" s="111"/>
      <c r="P214" s="111"/>
      <c r="Q214" s="111"/>
      <c r="R214" s="111"/>
      <c r="S214" s="111"/>
      <c r="T214" s="111"/>
      <c r="U214" s="111"/>
      <c r="V214" s="111"/>
      <c r="W214" s="111"/>
      <c r="X214" s="123"/>
      <c r="AG214" s="185"/>
      <c r="AH214" s="185"/>
      <c r="AI214" s="222" t="str">
        <f t="shared" si="7"/>
        <v/>
      </c>
    </row>
    <row r="215" spans="1:35" s="108" customFormat="1" ht="15.75">
      <c r="A215" s="119"/>
      <c r="B215" s="120"/>
      <c r="C215" s="111"/>
      <c r="D215" s="111"/>
      <c r="E215" s="121"/>
      <c r="F215" s="121"/>
      <c r="G215" s="113"/>
      <c r="H215" s="199" t="str">
        <f t="shared" si="6"/>
        <v/>
      </c>
      <c r="I215" s="200" t="str">
        <f>IF(H215="","",IF(AND(AI215&lt;=66),VLOOKUP(H215,'WordRead Look Up'!$A$13:$B$20,2,TRUE),IF(AND(AI215&gt;=67,AI215&lt;=72),VLOOKUP(H215,'WordRead Look Up'!$E$13:$F$20,2,TRUE),IF(AND(AI215&gt;=73,AI215&lt;=78),VLOOKUP(H215,'WordRead Look Up'!$I$13:$J$18,2,TRUE),IF(AND(AI215&gt;=79),VLOOKUP(H215,'WordRead Look Up'!$M$13:$N$18,2,TRUE),"")))))</f>
        <v/>
      </c>
      <c r="J215" s="122"/>
      <c r="K215" s="111"/>
      <c r="L215" s="111"/>
      <c r="M215" s="111"/>
      <c r="N215" s="111"/>
      <c r="O215" s="111"/>
      <c r="P215" s="111"/>
      <c r="Q215" s="111"/>
      <c r="R215" s="111"/>
      <c r="S215" s="111"/>
      <c r="T215" s="111"/>
      <c r="U215" s="111"/>
      <c r="V215" s="111"/>
      <c r="W215" s="111"/>
      <c r="X215" s="123"/>
      <c r="AG215" s="185"/>
      <c r="AH215" s="185"/>
      <c r="AI215" s="222" t="str">
        <f t="shared" si="7"/>
        <v/>
      </c>
    </row>
    <row r="216" spans="1:35" s="108" customFormat="1" ht="15.75">
      <c r="A216" s="119"/>
      <c r="B216" s="120"/>
      <c r="C216" s="111"/>
      <c r="D216" s="111"/>
      <c r="E216" s="121"/>
      <c r="F216" s="121"/>
      <c r="G216" s="113"/>
      <c r="H216" s="199" t="str">
        <f t="shared" si="6"/>
        <v/>
      </c>
      <c r="I216" s="200" t="str">
        <f>IF(H216="","",IF(AND(AI216&lt;=66),VLOOKUP(H216,'WordRead Look Up'!$A$13:$B$20,2,TRUE),IF(AND(AI216&gt;=67,AI216&lt;=72),VLOOKUP(H216,'WordRead Look Up'!$E$13:$F$20,2,TRUE),IF(AND(AI216&gt;=73,AI216&lt;=78),VLOOKUP(H216,'WordRead Look Up'!$I$13:$J$18,2,TRUE),IF(AND(AI216&gt;=79),VLOOKUP(H216,'WordRead Look Up'!$M$13:$N$18,2,TRUE),"")))))</f>
        <v/>
      </c>
      <c r="J216" s="122"/>
      <c r="K216" s="111"/>
      <c r="L216" s="111"/>
      <c r="M216" s="111"/>
      <c r="N216" s="111"/>
      <c r="O216" s="111"/>
      <c r="P216" s="111"/>
      <c r="Q216" s="111"/>
      <c r="R216" s="111"/>
      <c r="S216" s="111"/>
      <c r="T216" s="111"/>
      <c r="U216" s="111"/>
      <c r="V216" s="111"/>
      <c r="W216" s="111"/>
      <c r="X216" s="123"/>
      <c r="AG216" s="185"/>
      <c r="AH216" s="185"/>
      <c r="AI216" s="222" t="str">
        <f t="shared" si="7"/>
        <v/>
      </c>
    </row>
    <row r="217" spans="1:35" s="108" customFormat="1" ht="15.75">
      <c r="A217" s="119"/>
      <c r="B217" s="120"/>
      <c r="C217" s="111"/>
      <c r="D217" s="111"/>
      <c r="E217" s="121"/>
      <c r="F217" s="121"/>
      <c r="G217" s="113"/>
      <c r="H217" s="199" t="str">
        <f t="shared" si="6"/>
        <v/>
      </c>
      <c r="I217" s="200" t="str">
        <f>IF(H217="","",IF(AND(AI217&lt;=66),VLOOKUP(H217,'WordRead Look Up'!$A$13:$B$20,2,TRUE),IF(AND(AI217&gt;=67,AI217&lt;=72),VLOOKUP(H217,'WordRead Look Up'!$E$13:$F$20,2,TRUE),IF(AND(AI217&gt;=73,AI217&lt;=78),VLOOKUP(H217,'WordRead Look Up'!$I$13:$J$18,2,TRUE),IF(AND(AI217&gt;=79),VLOOKUP(H217,'WordRead Look Up'!$M$13:$N$18,2,TRUE),"")))))</f>
        <v/>
      </c>
      <c r="J217" s="122"/>
      <c r="K217" s="111"/>
      <c r="L217" s="111"/>
      <c r="M217" s="111"/>
      <c r="N217" s="111"/>
      <c r="O217" s="111"/>
      <c r="P217" s="111"/>
      <c r="Q217" s="111"/>
      <c r="R217" s="111"/>
      <c r="S217" s="111"/>
      <c r="T217" s="111"/>
      <c r="U217" s="111"/>
      <c r="V217" s="111"/>
      <c r="W217" s="111"/>
      <c r="X217" s="123"/>
      <c r="AG217" s="185"/>
      <c r="AH217" s="185"/>
      <c r="AI217" s="222" t="str">
        <f t="shared" si="7"/>
        <v/>
      </c>
    </row>
    <row r="218" spans="1:35" s="108" customFormat="1" ht="15.75">
      <c r="A218" s="119"/>
      <c r="B218" s="120"/>
      <c r="C218" s="111"/>
      <c r="D218" s="111"/>
      <c r="E218" s="121"/>
      <c r="F218" s="121"/>
      <c r="G218" s="113"/>
      <c r="H218" s="199" t="str">
        <f t="shared" si="6"/>
        <v/>
      </c>
      <c r="I218" s="200" t="str">
        <f>IF(H218="","",IF(AND(AI218&lt;=66),VLOOKUP(H218,'WordRead Look Up'!$A$13:$B$20,2,TRUE),IF(AND(AI218&gt;=67,AI218&lt;=72),VLOOKUP(H218,'WordRead Look Up'!$E$13:$F$20,2,TRUE),IF(AND(AI218&gt;=73,AI218&lt;=78),VLOOKUP(H218,'WordRead Look Up'!$I$13:$J$18,2,TRUE),IF(AND(AI218&gt;=79),VLOOKUP(H218,'WordRead Look Up'!$M$13:$N$18,2,TRUE),"")))))</f>
        <v/>
      </c>
      <c r="J218" s="122"/>
      <c r="K218" s="111"/>
      <c r="L218" s="111"/>
      <c r="M218" s="111"/>
      <c r="N218" s="111"/>
      <c r="O218" s="111"/>
      <c r="P218" s="111"/>
      <c r="Q218" s="111"/>
      <c r="R218" s="111"/>
      <c r="S218" s="111"/>
      <c r="T218" s="111"/>
      <c r="U218" s="111"/>
      <c r="V218" s="111"/>
      <c r="W218" s="111"/>
      <c r="X218" s="123"/>
      <c r="AG218" s="185"/>
      <c r="AH218" s="185"/>
      <c r="AI218" s="222" t="str">
        <f t="shared" si="7"/>
        <v/>
      </c>
    </row>
    <row r="219" spans="1:35" s="108" customFormat="1" ht="15.75">
      <c r="A219" s="119"/>
      <c r="B219" s="120"/>
      <c r="C219" s="111"/>
      <c r="D219" s="111"/>
      <c r="E219" s="121"/>
      <c r="F219" s="121"/>
      <c r="G219" s="113"/>
      <c r="H219" s="199" t="str">
        <f t="shared" si="6"/>
        <v/>
      </c>
      <c r="I219" s="200" t="str">
        <f>IF(H219="","",IF(AND(AI219&lt;=66),VLOOKUP(H219,'WordRead Look Up'!$A$13:$B$20,2,TRUE),IF(AND(AI219&gt;=67,AI219&lt;=72),VLOOKUP(H219,'WordRead Look Up'!$E$13:$F$20,2,TRUE),IF(AND(AI219&gt;=73,AI219&lt;=78),VLOOKUP(H219,'WordRead Look Up'!$I$13:$J$18,2,TRUE),IF(AND(AI219&gt;=79),VLOOKUP(H219,'WordRead Look Up'!$M$13:$N$18,2,TRUE),"")))))</f>
        <v/>
      </c>
      <c r="J219" s="122"/>
      <c r="K219" s="111"/>
      <c r="L219" s="111"/>
      <c r="M219" s="111"/>
      <c r="N219" s="111"/>
      <c r="O219" s="111"/>
      <c r="P219" s="111"/>
      <c r="Q219" s="111"/>
      <c r="R219" s="111"/>
      <c r="S219" s="111"/>
      <c r="T219" s="111"/>
      <c r="U219" s="111"/>
      <c r="V219" s="111"/>
      <c r="W219" s="111"/>
      <c r="X219" s="123"/>
      <c r="AG219" s="185"/>
      <c r="AH219" s="185"/>
      <c r="AI219" s="222" t="str">
        <f t="shared" si="7"/>
        <v/>
      </c>
    </row>
    <row r="220" spans="1:35" s="108" customFormat="1" ht="15.75">
      <c r="A220" s="119"/>
      <c r="B220" s="120"/>
      <c r="C220" s="111"/>
      <c r="D220" s="111"/>
      <c r="E220" s="121"/>
      <c r="F220" s="121"/>
      <c r="G220" s="113"/>
      <c r="H220" s="199" t="str">
        <f t="shared" si="6"/>
        <v/>
      </c>
      <c r="I220" s="200" t="str">
        <f>IF(H220="","",IF(AND(AI220&lt;=66),VLOOKUP(H220,'WordRead Look Up'!$A$13:$B$20,2,TRUE),IF(AND(AI220&gt;=67,AI220&lt;=72),VLOOKUP(H220,'WordRead Look Up'!$E$13:$F$20,2,TRUE),IF(AND(AI220&gt;=73,AI220&lt;=78),VLOOKUP(H220,'WordRead Look Up'!$I$13:$J$18,2,TRUE),IF(AND(AI220&gt;=79),VLOOKUP(H220,'WordRead Look Up'!$M$13:$N$18,2,TRUE),"")))))</f>
        <v/>
      </c>
      <c r="J220" s="122"/>
      <c r="K220" s="111"/>
      <c r="L220" s="111"/>
      <c r="M220" s="111"/>
      <c r="N220" s="111"/>
      <c r="O220" s="111"/>
      <c r="P220" s="111"/>
      <c r="Q220" s="111"/>
      <c r="R220" s="111"/>
      <c r="S220" s="111"/>
      <c r="T220" s="111"/>
      <c r="U220" s="111"/>
      <c r="V220" s="111"/>
      <c r="W220" s="111"/>
      <c r="X220" s="123"/>
      <c r="AG220" s="185"/>
      <c r="AH220" s="185"/>
      <c r="AI220" s="222" t="str">
        <f t="shared" si="7"/>
        <v/>
      </c>
    </row>
    <row r="221" spans="1:35" s="108" customFormat="1" ht="15.75">
      <c r="A221" s="119"/>
      <c r="B221" s="120"/>
      <c r="C221" s="111"/>
      <c r="D221" s="111"/>
      <c r="E221" s="121"/>
      <c r="F221" s="121"/>
      <c r="G221" s="113"/>
      <c r="H221" s="199" t="str">
        <f t="shared" si="6"/>
        <v/>
      </c>
      <c r="I221" s="200" t="str">
        <f>IF(H221="","",IF(AND(AI221&lt;=66),VLOOKUP(H221,'WordRead Look Up'!$A$13:$B$20,2,TRUE),IF(AND(AI221&gt;=67,AI221&lt;=72),VLOOKUP(H221,'WordRead Look Up'!$E$13:$F$20,2,TRUE),IF(AND(AI221&gt;=73,AI221&lt;=78),VLOOKUP(H221,'WordRead Look Up'!$I$13:$J$18,2,TRUE),IF(AND(AI221&gt;=79),VLOOKUP(H221,'WordRead Look Up'!$M$13:$N$18,2,TRUE),"")))))</f>
        <v/>
      </c>
      <c r="J221" s="122"/>
      <c r="K221" s="111"/>
      <c r="L221" s="111"/>
      <c r="M221" s="111"/>
      <c r="N221" s="111"/>
      <c r="O221" s="111"/>
      <c r="P221" s="111"/>
      <c r="Q221" s="111"/>
      <c r="R221" s="111"/>
      <c r="S221" s="111"/>
      <c r="T221" s="111"/>
      <c r="U221" s="111"/>
      <c r="V221" s="111"/>
      <c r="W221" s="111"/>
      <c r="X221" s="123"/>
      <c r="AG221" s="185"/>
      <c r="AH221" s="185"/>
      <c r="AI221" s="222" t="str">
        <f t="shared" si="7"/>
        <v/>
      </c>
    </row>
    <row r="222" spans="1:35" s="108" customFormat="1" ht="15.75">
      <c r="A222" s="119"/>
      <c r="B222" s="120"/>
      <c r="C222" s="111"/>
      <c r="D222" s="111"/>
      <c r="E222" s="121"/>
      <c r="F222" s="121"/>
      <c r="G222" s="113"/>
      <c r="H222" s="199" t="str">
        <f t="shared" si="6"/>
        <v/>
      </c>
      <c r="I222" s="200" t="str">
        <f>IF(H222="","",IF(AND(AI222&lt;=66),VLOOKUP(H222,'WordRead Look Up'!$A$13:$B$20,2,TRUE),IF(AND(AI222&gt;=67,AI222&lt;=72),VLOOKUP(H222,'WordRead Look Up'!$E$13:$F$20,2,TRUE),IF(AND(AI222&gt;=73,AI222&lt;=78),VLOOKUP(H222,'WordRead Look Up'!$I$13:$J$18,2,TRUE),IF(AND(AI222&gt;=79),VLOOKUP(H222,'WordRead Look Up'!$M$13:$N$18,2,TRUE),"")))))</f>
        <v/>
      </c>
      <c r="J222" s="122"/>
      <c r="K222" s="111"/>
      <c r="L222" s="111"/>
      <c r="M222" s="111"/>
      <c r="N222" s="111"/>
      <c r="O222" s="111"/>
      <c r="P222" s="111"/>
      <c r="Q222" s="111"/>
      <c r="R222" s="111"/>
      <c r="S222" s="111"/>
      <c r="T222" s="111"/>
      <c r="U222" s="111"/>
      <c r="V222" s="111"/>
      <c r="W222" s="111"/>
      <c r="X222" s="123"/>
      <c r="AG222" s="185"/>
      <c r="AH222" s="185"/>
      <c r="AI222" s="222" t="str">
        <f t="shared" si="7"/>
        <v/>
      </c>
    </row>
    <row r="223" spans="1:35" s="108" customFormat="1" ht="15.75">
      <c r="A223" s="119"/>
      <c r="B223" s="120"/>
      <c r="C223" s="111"/>
      <c r="D223" s="111"/>
      <c r="E223" s="121"/>
      <c r="F223" s="121"/>
      <c r="G223" s="113"/>
      <c r="H223" s="199" t="str">
        <f t="shared" si="6"/>
        <v/>
      </c>
      <c r="I223" s="200" t="str">
        <f>IF(H223="","",IF(AND(AI223&lt;=66),VLOOKUP(H223,'WordRead Look Up'!$A$13:$B$20,2,TRUE),IF(AND(AI223&gt;=67,AI223&lt;=72),VLOOKUP(H223,'WordRead Look Up'!$E$13:$F$20,2,TRUE),IF(AND(AI223&gt;=73,AI223&lt;=78),VLOOKUP(H223,'WordRead Look Up'!$I$13:$J$18,2,TRUE),IF(AND(AI223&gt;=79),VLOOKUP(H223,'WordRead Look Up'!$M$13:$N$18,2,TRUE),"")))))</f>
        <v/>
      </c>
      <c r="J223" s="122"/>
      <c r="K223" s="111"/>
      <c r="L223" s="111"/>
      <c r="M223" s="111"/>
      <c r="N223" s="111"/>
      <c r="O223" s="111"/>
      <c r="P223" s="111"/>
      <c r="Q223" s="111"/>
      <c r="R223" s="111"/>
      <c r="S223" s="111"/>
      <c r="T223" s="111"/>
      <c r="U223" s="111"/>
      <c r="V223" s="111"/>
      <c r="W223" s="111"/>
      <c r="X223" s="123"/>
      <c r="AG223" s="185"/>
      <c r="AH223" s="185"/>
      <c r="AI223" s="222" t="str">
        <f t="shared" si="7"/>
        <v/>
      </c>
    </row>
    <row r="224" spans="1:35" s="108" customFormat="1" ht="15.75">
      <c r="A224" s="119"/>
      <c r="B224" s="120"/>
      <c r="C224" s="111"/>
      <c r="D224" s="111"/>
      <c r="E224" s="121"/>
      <c r="F224" s="121"/>
      <c r="G224" s="113"/>
      <c r="H224" s="199" t="str">
        <f t="shared" si="6"/>
        <v/>
      </c>
      <c r="I224" s="200" t="str">
        <f>IF(H224="","",IF(AND(AI224&lt;=66),VLOOKUP(H224,'WordRead Look Up'!$A$13:$B$20,2,TRUE),IF(AND(AI224&gt;=67,AI224&lt;=72),VLOOKUP(H224,'WordRead Look Up'!$E$13:$F$20,2,TRUE),IF(AND(AI224&gt;=73,AI224&lt;=78),VLOOKUP(H224,'WordRead Look Up'!$I$13:$J$18,2,TRUE),IF(AND(AI224&gt;=79),VLOOKUP(H224,'WordRead Look Up'!$M$13:$N$18,2,TRUE),"")))))</f>
        <v/>
      </c>
      <c r="J224" s="122"/>
      <c r="K224" s="111"/>
      <c r="L224" s="111"/>
      <c r="M224" s="111"/>
      <c r="N224" s="111"/>
      <c r="O224" s="111"/>
      <c r="P224" s="111"/>
      <c r="Q224" s="111"/>
      <c r="R224" s="111"/>
      <c r="S224" s="111"/>
      <c r="T224" s="111"/>
      <c r="U224" s="111"/>
      <c r="V224" s="111"/>
      <c r="W224" s="111"/>
      <c r="X224" s="123"/>
      <c r="AG224" s="185"/>
      <c r="AH224" s="185"/>
      <c r="AI224" s="222" t="str">
        <f t="shared" si="7"/>
        <v/>
      </c>
    </row>
    <row r="225" spans="1:35" s="108" customFormat="1" ht="15.75">
      <c r="A225" s="119"/>
      <c r="B225" s="120"/>
      <c r="C225" s="111"/>
      <c r="D225" s="111"/>
      <c r="E225" s="121"/>
      <c r="F225" s="121"/>
      <c r="G225" s="113"/>
      <c r="H225" s="199" t="str">
        <f t="shared" si="6"/>
        <v/>
      </c>
      <c r="I225" s="200" t="str">
        <f>IF(H225="","",IF(AND(AI225&lt;=66),VLOOKUP(H225,'WordRead Look Up'!$A$13:$B$20,2,TRUE),IF(AND(AI225&gt;=67,AI225&lt;=72),VLOOKUP(H225,'WordRead Look Up'!$E$13:$F$20,2,TRUE),IF(AND(AI225&gt;=73,AI225&lt;=78),VLOOKUP(H225,'WordRead Look Up'!$I$13:$J$18,2,TRUE),IF(AND(AI225&gt;=79),VLOOKUP(H225,'WordRead Look Up'!$M$13:$N$18,2,TRUE),"")))))</f>
        <v/>
      </c>
      <c r="J225" s="122"/>
      <c r="K225" s="111"/>
      <c r="L225" s="111"/>
      <c r="M225" s="111"/>
      <c r="N225" s="111"/>
      <c r="O225" s="111"/>
      <c r="P225" s="111"/>
      <c r="Q225" s="111"/>
      <c r="R225" s="111"/>
      <c r="S225" s="111"/>
      <c r="T225" s="111"/>
      <c r="U225" s="111"/>
      <c r="V225" s="111"/>
      <c r="W225" s="111"/>
      <c r="X225" s="123"/>
      <c r="AG225" s="185"/>
      <c r="AH225" s="185"/>
      <c r="AI225" s="222" t="str">
        <f t="shared" si="7"/>
        <v/>
      </c>
    </row>
    <row r="226" spans="1:35" s="108" customFormat="1" ht="15.75">
      <c r="A226" s="119"/>
      <c r="B226" s="120"/>
      <c r="C226" s="111"/>
      <c r="D226" s="111"/>
      <c r="E226" s="121"/>
      <c r="F226" s="121"/>
      <c r="G226" s="113"/>
      <c r="H226" s="199" t="str">
        <f t="shared" si="6"/>
        <v/>
      </c>
      <c r="I226" s="200" t="str">
        <f>IF(H226="","",IF(AND(AI226&lt;=66),VLOOKUP(H226,'WordRead Look Up'!$A$13:$B$20,2,TRUE),IF(AND(AI226&gt;=67,AI226&lt;=72),VLOOKUP(H226,'WordRead Look Up'!$E$13:$F$20,2,TRUE),IF(AND(AI226&gt;=73,AI226&lt;=78),VLOOKUP(H226,'WordRead Look Up'!$I$13:$J$18,2,TRUE),IF(AND(AI226&gt;=79),VLOOKUP(H226,'WordRead Look Up'!$M$13:$N$18,2,TRUE),"")))))</f>
        <v/>
      </c>
      <c r="J226" s="122"/>
      <c r="K226" s="111"/>
      <c r="L226" s="111"/>
      <c r="M226" s="111"/>
      <c r="N226" s="111"/>
      <c r="O226" s="111"/>
      <c r="P226" s="111"/>
      <c r="Q226" s="111"/>
      <c r="R226" s="111"/>
      <c r="S226" s="111"/>
      <c r="T226" s="111"/>
      <c r="U226" s="111"/>
      <c r="V226" s="111"/>
      <c r="W226" s="111"/>
      <c r="X226" s="123"/>
      <c r="AG226" s="185"/>
      <c r="AH226" s="185"/>
      <c r="AI226" s="222" t="str">
        <f t="shared" si="7"/>
        <v/>
      </c>
    </row>
    <row r="227" spans="1:35" s="108" customFormat="1" ht="15.75">
      <c r="A227" s="119"/>
      <c r="B227" s="120"/>
      <c r="C227" s="111"/>
      <c r="D227" s="111"/>
      <c r="E227" s="121"/>
      <c r="F227" s="121"/>
      <c r="G227" s="113"/>
      <c r="H227" s="199" t="str">
        <f t="shared" si="6"/>
        <v/>
      </c>
      <c r="I227" s="200" t="str">
        <f>IF(H227="","",IF(AND(AI227&lt;=66),VLOOKUP(H227,'WordRead Look Up'!$A$13:$B$20,2,TRUE),IF(AND(AI227&gt;=67,AI227&lt;=72),VLOOKUP(H227,'WordRead Look Up'!$E$13:$F$20,2,TRUE),IF(AND(AI227&gt;=73,AI227&lt;=78),VLOOKUP(H227,'WordRead Look Up'!$I$13:$J$18,2,TRUE),IF(AND(AI227&gt;=79),VLOOKUP(H227,'WordRead Look Up'!$M$13:$N$18,2,TRUE),"")))))</f>
        <v/>
      </c>
      <c r="J227" s="122"/>
      <c r="K227" s="111"/>
      <c r="L227" s="111"/>
      <c r="M227" s="111"/>
      <c r="N227" s="111"/>
      <c r="O227" s="111"/>
      <c r="P227" s="111"/>
      <c r="Q227" s="111"/>
      <c r="R227" s="111"/>
      <c r="S227" s="111"/>
      <c r="T227" s="111"/>
      <c r="U227" s="111"/>
      <c r="V227" s="111"/>
      <c r="W227" s="111"/>
      <c r="X227" s="123"/>
      <c r="AG227" s="185"/>
      <c r="AH227" s="185"/>
      <c r="AI227" s="222" t="str">
        <f t="shared" si="7"/>
        <v/>
      </c>
    </row>
    <row r="228" spans="1:35" s="108" customFormat="1" ht="15.75">
      <c r="A228" s="119"/>
      <c r="B228" s="120"/>
      <c r="C228" s="111"/>
      <c r="D228" s="111"/>
      <c r="E228" s="121"/>
      <c r="F228" s="121"/>
      <c r="G228" s="113"/>
      <c r="H228" s="199" t="str">
        <f t="shared" si="6"/>
        <v/>
      </c>
      <c r="I228" s="200" t="str">
        <f>IF(H228="","",IF(AND(AI228&lt;=66),VLOOKUP(H228,'WordRead Look Up'!$A$13:$B$20,2,TRUE),IF(AND(AI228&gt;=67,AI228&lt;=72),VLOOKUP(H228,'WordRead Look Up'!$E$13:$F$20,2,TRUE),IF(AND(AI228&gt;=73,AI228&lt;=78),VLOOKUP(H228,'WordRead Look Up'!$I$13:$J$18,2,TRUE),IF(AND(AI228&gt;=79),VLOOKUP(H228,'WordRead Look Up'!$M$13:$N$18,2,TRUE),"")))))</f>
        <v/>
      </c>
      <c r="J228" s="122"/>
      <c r="K228" s="111"/>
      <c r="L228" s="111"/>
      <c r="M228" s="111"/>
      <c r="N228" s="111"/>
      <c r="O228" s="111"/>
      <c r="P228" s="111"/>
      <c r="Q228" s="111"/>
      <c r="R228" s="111"/>
      <c r="S228" s="111"/>
      <c r="T228" s="111"/>
      <c r="U228" s="111"/>
      <c r="V228" s="111"/>
      <c r="W228" s="111"/>
      <c r="X228" s="123"/>
      <c r="AG228" s="185"/>
      <c r="AH228" s="185"/>
      <c r="AI228" s="222" t="str">
        <f t="shared" si="7"/>
        <v/>
      </c>
    </row>
    <row r="229" spans="1:35" s="108" customFormat="1" ht="15.75">
      <c r="A229" s="119"/>
      <c r="B229" s="120"/>
      <c r="C229" s="111"/>
      <c r="D229" s="111"/>
      <c r="E229" s="121"/>
      <c r="F229" s="121"/>
      <c r="G229" s="113"/>
      <c r="H229" s="199" t="str">
        <f t="shared" si="6"/>
        <v/>
      </c>
      <c r="I229" s="200" t="str">
        <f>IF(H229="","",IF(AND(AI229&lt;=66),VLOOKUP(H229,'WordRead Look Up'!$A$13:$B$20,2,TRUE),IF(AND(AI229&gt;=67,AI229&lt;=72),VLOOKUP(H229,'WordRead Look Up'!$E$13:$F$20,2,TRUE),IF(AND(AI229&gt;=73,AI229&lt;=78),VLOOKUP(H229,'WordRead Look Up'!$I$13:$J$18,2,TRUE),IF(AND(AI229&gt;=79),VLOOKUP(H229,'WordRead Look Up'!$M$13:$N$18,2,TRUE),"")))))</f>
        <v/>
      </c>
      <c r="J229" s="122"/>
      <c r="K229" s="111"/>
      <c r="L229" s="111"/>
      <c r="M229" s="111"/>
      <c r="N229" s="111"/>
      <c r="O229" s="111"/>
      <c r="P229" s="111"/>
      <c r="Q229" s="111"/>
      <c r="R229" s="111"/>
      <c r="S229" s="111"/>
      <c r="T229" s="111"/>
      <c r="U229" s="111"/>
      <c r="V229" s="111"/>
      <c r="W229" s="111"/>
      <c r="X229" s="123"/>
      <c r="AG229" s="185"/>
      <c r="AH229" s="185"/>
      <c r="AI229" s="222" t="str">
        <f t="shared" si="7"/>
        <v/>
      </c>
    </row>
    <row r="230" spans="1:35" s="108" customFormat="1" ht="15.75">
      <c r="A230" s="119"/>
      <c r="B230" s="120"/>
      <c r="C230" s="111"/>
      <c r="D230" s="111"/>
      <c r="E230" s="121"/>
      <c r="F230" s="121"/>
      <c r="G230" s="113"/>
      <c r="H230" s="199" t="str">
        <f t="shared" si="6"/>
        <v/>
      </c>
      <c r="I230" s="200" t="str">
        <f>IF(H230="","",IF(AND(AI230&lt;=66),VLOOKUP(H230,'WordRead Look Up'!$A$13:$B$20,2,TRUE),IF(AND(AI230&gt;=67,AI230&lt;=72),VLOOKUP(H230,'WordRead Look Up'!$E$13:$F$20,2,TRUE),IF(AND(AI230&gt;=73,AI230&lt;=78),VLOOKUP(H230,'WordRead Look Up'!$I$13:$J$18,2,TRUE),IF(AND(AI230&gt;=79),VLOOKUP(H230,'WordRead Look Up'!$M$13:$N$18,2,TRUE),"")))))</f>
        <v/>
      </c>
      <c r="J230" s="122"/>
      <c r="K230" s="111"/>
      <c r="L230" s="111"/>
      <c r="M230" s="111"/>
      <c r="N230" s="111"/>
      <c r="O230" s="111"/>
      <c r="P230" s="111"/>
      <c r="Q230" s="111"/>
      <c r="R230" s="111"/>
      <c r="S230" s="111"/>
      <c r="T230" s="111"/>
      <c r="U230" s="111"/>
      <c r="V230" s="111"/>
      <c r="W230" s="111"/>
      <c r="X230" s="123"/>
      <c r="AG230" s="185"/>
      <c r="AH230" s="185"/>
      <c r="AI230" s="222" t="str">
        <f t="shared" si="7"/>
        <v/>
      </c>
    </row>
    <row r="231" spans="1:35" s="108" customFormat="1" ht="15.75">
      <c r="A231" s="119"/>
      <c r="B231" s="120"/>
      <c r="C231" s="111"/>
      <c r="D231" s="111"/>
      <c r="E231" s="121"/>
      <c r="F231" s="121"/>
      <c r="G231" s="113"/>
      <c r="H231" s="199" t="str">
        <f t="shared" si="6"/>
        <v/>
      </c>
      <c r="I231" s="200" t="str">
        <f>IF(H231="","",IF(AND(AI231&lt;=66),VLOOKUP(H231,'WordRead Look Up'!$A$13:$B$20,2,TRUE),IF(AND(AI231&gt;=67,AI231&lt;=72),VLOOKUP(H231,'WordRead Look Up'!$E$13:$F$20,2,TRUE),IF(AND(AI231&gt;=73,AI231&lt;=78),VLOOKUP(H231,'WordRead Look Up'!$I$13:$J$18,2,TRUE),IF(AND(AI231&gt;=79),VLOOKUP(H231,'WordRead Look Up'!$M$13:$N$18,2,TRUE),"")))))</f>
        <v/>
      </c>
      <c r="J231" s="122"/>
      <c r="K231" s="111"/>
      <c r="L231" s="111"/>
      <c r="M231" s="111"/>
      <c r="N231" s="111"/>
      <c r="O231" s="111"/>
      <c r="P231" s="111"/>
      <c r="Q231" s="111"/>
      <c r="R231" s="111"/>
      <c r="S231" s="111"/>
      <c r="T231" s="111"/>
      <c r="U231" s="111"/>
      <c r="V231" s="111"/>
      <c r="W231" s="111"/>
      <c r="X231" s="123"/>
      <c r="AG231" s="185"/>
      <c r="AH231" s="185"/>
      <c r="AI231" s="222" t="str">
        <f t="shared" si="7"/>
        <v/>
      </c>
    </row>
    <row r="232" spans="1:35" s="108" customFormat="1" ht="15.75">
      <c r="A232" s="119"/>
      <c r="B232" s="120"/>
      <c r="C232" s="111"/>
      <c r="D232" s="111"/>
      <c r="E232" s="121"/>
      <c r="F232" s="121"/>
      <c r="G232" s="113"/>
      <c r="H232" s="199" t="str">
        <f t="shared" si="6"/>
        <v/>
      </c>
      <c r="I232" s="200" t="str">
        <f>IF(H232="","",IF(AND(AI232&lt;=66),VLOOKUP(H232,'WordRead Look Up'!$A$13:$B$20,2,TRUE),IF(AND(AI232&gt;=67,AI232&lt;=72),VLOOKUP(H232,'WordRead Look Up'!$E$13:$F$20,2,TRUE),IF(AND(AI232&gt;=73,AI232&lt;=78),VLOOKUP(H232,'WordRead Look Up'!$I$13:$J$18,2,TRUE),IF(AND(AI232&gt;=79),VLOOKUP(H232,'WordRead Look Up'!$M$13:$N$18,2,TRUE),"")))))</f>
        <v/>
      </c>
      <c r="J232" s="122"/>
      <c r="K232" s="111"/>
      <c r="L232" s="111"/>
      <c r="M232" s="111"/>
      <c r="N232" s="111"/>
      <c r="O232" s="111"/>
      <c r="P232" s="111"/>
      <c r="Q232" s="111"/>
      <c r="R232" s="111"/>
      <c r="S232" s="111"/>
      <c r="T232" s="111"/>
      <c r="U232" s="111"/>
      <c r="V232" s="111"/>
      <c r="W232" s="111"/>
      <c r="X232" s="123"/>
      <c r="AG232" s="185"/>
      <c r="AH232" s="185"/>
      <c r="AI232" s="222" t="str">
        <f t="shared" si="7"/>
        <v/>
      </c>
    </row>
    <row r="233" spans="1:35" s="108" customFormat="1" ht="15.75">
      <c r="A233" s="119"/>
      <c r="B233" s="120"/>
      <c r="C233" s="111"/>
      <c r="D233" s="111"/>
      <c r="E233" s="121"/>
      <c r="F233" s="121"/>
      <c r="G233" s="113"/>
      <c r="H233" s="199" t="str">
        <f t="shared" si="6"/>
        <v/>
      </c>
      <c r="I233" s="200" t="str">
        <f>IF(H233="","",IF(AND(AI233&lt;=66),VLOOKUP(H233,'WordRead Look Up'!$A$13:$B$20,2,TRUE),IF(AND(AI233&gt;=67,AI233&lt;=72),VLOOKUP(H233,'WordRead Look Up'!$E$13:$F$20,2,TRUE),IF(AND(AI233&gt;=73,AI233&lt;=78),VLOOKUP(H233,'WordRead Look Up'!$I$13:$J$18,2,TRUE),IF(AND(AI233&gt;=79),VLOOKUP(H233,'WordRead Look Up'!$M$13:$N$18,2,TRUE),"")))))</f>
        <v/>
      </c>
      <c r="J233" s="122"/>
      <c r="K233" s="111"/>
      <c r="L233" s="111"/>
      <c r="M233" s="111"/>
      <c r="N233" s="111"/>
      <c r="O233" s="111"/>
      <c r="P233" s="111"/>
      <c r="Q233" s="111"/>
      <c r="R233" s="111"/>
      <c r="S233" s="111"/>
      <c r="T233" s="111"/>
      <c r="U233" s="111"/>
      <c r="V233" s="111"/>
      <c r="W233" s="111"/>
      <c r="X233" s="123"/>
      <c r="AG233" s="185"/>
      <c r="AH233" s="185"/>
      <c r="AI233" s="222" t="str">
        <f t="shared" si="7"/>
        <v/>
      </c>
    </row>
    <row r="234" spans="1:35" s="108" customFormat="1" ht="15.75">
      <c r="A234" s="119"/>
      <c r="B234" s="120"/>
      <c r="C234" s="111"/>
      <c r="D234" s="111"/>
      <c r="E234" s="121"/>
      <c r="F234" s="121"/>
      <c r="G234" s="113"/>
      <c r="H234" s="199" t="str">
        <f t="shared" si="6"/>
        <v/>
      </c>
      <c r="I234" s="200" t="str">
        <f>IF(H234="","",IF(AND(AI234&lt;=66),VLOOKUP(H234,'WordRead Look Up'!$A$13:$B$20,2,TRUE),IF(AND(AI234&gt;=67,AI234&lt;=72),VLOOKUP(H234,'WordRead Look Up'!$E$13:$F$20,2,TRUE),IF(AND(AI234&gt;=73,AI234&lt;=78),VLOOKUP(H234,'WordRead Look Up'!$I$13:$J$18,2,TRUE),IF(AND(AI234&gt;=79),VLOOKUP(H234,'WordRead Look Up'!$M$13:$N$18,2,TRUE),"")))))</f>
        <v/>
      </c>
      <c r="J234" s="122"/>
      <c r="K234" s="111"/>
      <c r="L234" s="111"/>
      <c r="M234" s="111"/>
      <c r="N234" s="111"/>
      <c r="O234" s="111"/>
      <c r="P234" s="111"/>
      <c r="Q234" s="111"/>
      <c r="R234" s="111"/>
      <c r="S234" s="111"/>
      <c r="T234" s="111"/>
      <c r="U234" s="111"/>
      <c r="V234" s="111"/>
      <c r="W234" s="111"/>
      <c r="X234" s="123"/>
      <c r="AG234" s="185"/>
      <c r="AH234" s="185"/>
      <c r="AI234" s="222" t="str">
        <f t="shared" si="7"/>
        <v/>
      </c>
    </row>
    <row r="235" spans="1:35" s="108" customFormat="1" ht="15.75">
      <c r="A235" s="119"/>
      <c r="B235" s="120"/>
      <c r="C235" s="111"/>
      <c r="D235" s="111"/>
      <c r="E235" s="121"/>
      <c r="F235" s="121"/>
      <c r="G235" s="113"/>
      <c r="H235" s="199" t="str">
        <f t="shared" si="6"/>
        <v/>
      </c>
      <c r="I235" s="200" t="str">
        <f>IF(H235="","",IF(AND(AI235&lt;=66),VLOOKUP(H235,'WordRead Look Up'!$A$13:$B$20,2,TRUE),IF(AND(AI235&gt;=67,AI235&lt;=72),VLOOKUP(H235,'WordRead Look Up'!$E$13:$F$20,2,TRUE),IF(AND(AI235&gt;=73,AI235&lt;=78),VLOOKUP(H235,'WordRead Look Up'!$I$13:$J$18,2,TRUE),IF(AND(AI235&gt;=79),VLOOKUP(H235,'WordRead Look Up'!$M$13:$N$18,2,TRUE),"")))))</f>
        <v/>
      </c>
      <c r="J235" s="122"/>
      <c r="K235" s="111"/>
      <c r="L235" s="111"/>
      <c r="M235" s="111"/>
      <c r="N235" s="111"/>
      <c r="O235" s="111"/>
      <c r="P235" s="111"/>
      <c r="Q235" s="111"/>
      <c r="R235" s="111"/>
      <c r="S235" s="111"/>
      <c r="T235" s="111"/>
      <c r="U235" s="111"/>
      <c r="V235" s="111"/>
      <c r="W235" s="111"/>
      <c r="X235" s="123"/>
      <c r="AG235" s="185"/>
      <c r="AH235" s="185"/>
      <c r="AI235" s="222" t="str">
        <f t="shared" si="7"/>
        <v/>
      </c>
    </row>
    <row r="236" spans="1:35" s="108" customFormat="1" ht="15.75">
      <c r="A236" s="119"/>
      <c r="B236" s="120"/>
      <c r="C236" s="111"/>
      <c r="D236" s="111"/>
      <c r="E236" s="121"/>
      <c r="F236" s="121"/>
      <c r="G236" s="113"/>
      <c r="H236" s="199" t="str">
        <f t="shared" si="6"/>
        <v/>
      </c>
      <c r="I236" s="200" t="str">
        <f>IF(H236="","",IF(AND(AI236&lt;=66),VLOOKUP(H236,'WordRead Look Up'!$A$13:$B$20,2,TRUE),IF(AND(AI236&gt;=67,AI236&lt;=72),VLOOKUP(H236,'WordRead Look Up'!$E$13:$F$20,2,TRUE),IF(AND(AI236&gt;=73,AI236&lt;=78),VLOOKUP(H236,'WordRead Look Up'!$I$13:$J$18,2,TRUE),IF(AND(AI236&gt;=79),VLOOKUP(H236,'WordRead Look Up'!$M$13:$N$18,2,TRUE),"")))))</f>
        <v/>
      </c>
      <c r="J236" s="122"/>
      <c r="K236" s="111"/>
      <c r="L236" s="111"/>
      <c r="M236" s="111"/>
      <c r="N236" s="111"/>
      <c r="O236" s="111"/>
      <c r="P236" s="111"/>
      <c r="Q236" s="111"/>
      <c r="R236" s="111"/>
      <c r="S236" s="111"/>
      <c r="T236" s="111"/>
      <c r="U236" s="111"/>
      <c r="V236" s="111"/>
      <c r="W236" s="111"/>
      <c r="X236" s="123"/>
      <c r="AG236" s="185"/>
      <c r="AH236" s="185"/>
      <c r="AI236" s="222" t="str">
        <f t="shared" si="7"/>
        <v/>
      </c>
    </row>
    <row r="237" spans="1:35" s="108" customFormat="1" ht="15.75">
      <c r="A237" s="119"/>
      <c r="B237" s="120"/>
      <c r="C237" s="111"/>
      <c r="D237" s="111"/>
      <c r="E237" s="121"/>
      <c r="F237" s="121"/>
      <c r="G237" s="113"/>
      <c r="H237" s="199" t="str">
        <f t="shared" si="6"/>
        <v/>
      </c>
      <c r="I237" s="200" t="str">
        <f>IF(H237="","",IF(AND(AI237&lt;=66),VLOOKUP(H237,'WordRead Look Up'!$A$13:$B$20,2,TRUE),IF(AND(AI237&gt;=67,AI237&lt;=72),VLOOKUP(H237,'WordRead Look Up'!$E$13:$F$20,2,TRUE),IF(AND(AI237&gt;=73,AI237&lt;=78),VLOOKUP(H237,'WordRead Look Up'!$I$13:$J$18,2,TRUE),IF(AND(AI237&gt;=79),VLOOKUP(H237,'WordRead Look Up'!$M$13:$N$18,2,TRUE),"")))))</f>
        <v/>
      </c>
      <c r="J237" s="122"/>
      <c r="K237" s="111"/>
      <c r="L237" s="111"/>
      <c r="M237" s="111"/>
      <c r="N237" s="111"/>
      <c r="O237" s="111"/>
      <c r="P237" s="111"/>
      <c r="Q237" s="111"/>
      <c r="R237" s="111"/>
      <c r="S237" s="111"/>
      <c r="T237" s="111"/>
      <c r="U237" s="111"/>
      <c r="V237" s="111"/>
      <c r="W237" s="111"/>
      <c r="X237" s="123"/>
      <c r="AG237" s="185"/>
      <c r="AH237" s="185"/>
      <c r="AI237" s="222" t="str">
        <f t="shared" si="7"/>
        <v/>
      </c>
    </row>
    <row r="238" spans="1:35" s="108" customFormat="1" ht="15.75">
      <c r="A238" s="119"/>
      <c r="B238" s="120"/>
      <c r="C238" s="111"/>
      <c r="D238" s="111"/>
      <c r="E238" s="121"/>
      <c r="F238" s="121"/>
      <c r="G238" s="113"/>
      <c r="H238" s="199" t="str">
        <f t="shared" si="6"/>
        <v/>
      </c>
      <c r="I238" s="200" t="str">
        <f>IF(H238="","",IF(AND(AI238&lt;=66),VLOOKUP(H238,'WordRead Look Up'!$A$13:$B$20,2,TRUE),IF(AND(AI238&gt;=67,AI238&lt;=72),VLOOKUP(H238,'WordRead Look Up'!$E$13:$F$20,2,TRUE),IF(AND(AI238&gt;=73,AI238&lt;=78),VLOOKUP(H238,'WordRead Look Up'!$I$13:$J$18,2,TRUE),IF(AND(AI238&gt;=79),VLOOKUP(H238,'WordRead Look Up'!$M$13:$N$18,2,TRUE),"")))))</f>
        <v/>
      </c>
      <c r="J238" s="122"/>
      <c r="K238" s="111"/>
      <c r="L238" s="111"/>
      <c r="M238" s="111"/>
      <c r="N238" s="111"/>
      <c r="O238" s="111"/>
      <c r="P238" s="111"/>
      <c r="Q238" s="111"/>
      <c r="R238" s="111"/>
      <c r="S238" s="111"/>
      <c r="T238" s="111"/>
      <c r="U238" s="111"/>
      <c r="V238" s="111"/>
      <c r="W238" s="111"/>
      <c r="X238" s="123"/>
      <c r="AG238" s="185"/>
      <c r="AH238" s="185"/>
      <c r="AI238" s="222" t="str">
        <f t="shared" si="7"/>
        <v/>
      </c>
    </row>
    <row r="239" spans="1:35" s="108" customFormat="1" ht="15.75">
      <c r="A239" s="119"/>
      <c r="B239" s="120"/>
      <c r="C239" s="111"/>
      <c r="D239" s="111"/>
      <c r="E239" s="121"/>
      <c r="F239" s="121"/>
      <c r="G239" s="113"/>
      <c r="H239" s="199" t="str">
        <f t="shared" si="6"/>
        <v/>
      </c>
      <c r="I239" s="200" t="str">
        <f>IF(H239="","",IF(AND(AI239&lt;=66),VLOOKUP(H239,'WordRead Look Up'!$A$13:$B$20,2,TRUE),IF(AND(AI239&gt;=67,AI239&lt;=72),VLOOKUP(H239,'WordRead Look Up'!$E$13:$F$20,2,TRUE),IF(AND(AI239&gt;=73,AI239&lt;=78),VLOOKUP(H239,'WordRead Look Up'!$I$13:$J$18,2,TRUE),IF(AND(AI239&gt;=79),VLOOKUP(H239,'WordRead Look Up'!$M$13:$N$18,2,TRUE),"")))))</f>
        <v/>
      </c>
      <c r="J239" s="122"/>
      <c r="K239" s="111"/>
      <c r="L239" s="111"/>
      <c r="M239" s="111"/>
      <c r="N239" s="111"/>
      <c r="O239" s="111"/>
      <c r="P239" s="111"/>
      <c r="Q239" s="111"/>
      <c r="R239" s="111"/>
      <c r="S239" s="111"/>
      <c r="T239" s="111"/>
      <c r="U239" s="111"/>
      <c r="V239" s="111"/>
      <c r="W239" s="111"/>
      <c r="X239" s="123"/>
      <c r="AG239" s="185"/>
      <c r="AH239" s="185"/>
      <c r="AI239" s="222" t="str">
        <f t="shared" si="7"/>
        <v/>
      </c>
    </row>
    <row r="240" spans="1:35" s="108" customFormat="1" ht="15.75">
      <c r="A240" s="119"/>
      <c r="B240" s="120"/>
      <c r="C240" s="111"/>
      <c r="D240" s="111"/>
      <c r="E240" s="121"/>
      <c r="F240" s="121"/>
      <c r="G240" s="113"/>
      <c r="H240" s="199" t="str">
        <f t="shared" si="6"/>
        <v/>
      </c>
      <c r="I240" s="200" t="str">
        <f>IF(H240="","",IF(AND(AI240&lt;=66),VLOOKUP(H240,'WordRead Look Up'!$A$13:$B$20,2,TRUE),IF(AND(AI240&gt;=67,AI240&lt;=72),VLOOKUP(H240,'WordRead Look Up'!$E$13:$F$20,2,TRUE),IF(AND(AI240&gt;=73,AI240&lt;=78),VLOOKUP(H240,'WordRead Look Up'!$I$13:$J$18,2,TRUE),IF(AND(AI240&gt;=79),VLOOKUP(H240,'WordRead Look Up'!$M$13:$N$18,2,TRUE),"")))))</f>
        <v/>
      </c>
      <c r="J240" s="122"/>
      <c r="K240" s="111"/>
      <c r="L240" s="111"/>
      <c r="M240" s="111"/>
      <c r="N240" s="111"/>
      <c r="O240" s="111"/>
      <c r="P240" s="111"/>
      <c r="Q240" s="111"/>
      <c r="R240" s="111"/>
      <c r="S240" s="111"/>
      <c r="T240" s="111"/>
      <c r="U240" s="111"/>
      <c r="V240" s="111"/>
      <c r="W240" s="111"/>
      <c r="X240" s="123"/>
      <c r="AG240" s="185"/>
      <c r="AH240" s="185"/>
      <c r="AI240" s="222" t="str">
        <f t="shared" si="7"/>
        <v/>
      </c>
    </row>
    <row r="241" spans="1:35" s="108" customFormat="1" ht="15.75">
      <c r="A241" s="119"/>
      <c r="B241" s="120"/>
      <c r="C241" s="111"/>
      <c r="D241" s="111"/>
      <c r="E241" s="121"/>
      <c r="F241" s="121"/>
      <c r="G241" s="113"/>
      <c r="H241" s="199" t="str">
        <f t="shared" si="6"/>
        <v/>
      </c>
      <c r="I241" s="200" t="str">
        <f>IF(H241="","",IF(AND(AI241&lt;=66),VLOOKUP(H241,'WordRead Look Up'!$A$13:$B$20,2,TRUE),IF(AND(AI241&gt;=67,AI241&lt;=72),VLOOKUP(H241,'WordRead Look Up'!$E$13:$F$20,2,TRUE),IF(AND(AI241&gt;=73,AI241&lt;=78),VLOOKUP(H241,'WordRead Look Up'!$I$13:$J$18,2,TRUE),IF(AND(AI241&gt;=79),VLOOKUP(H241,'WordRead Look Up'!$M$13:$N$18,2,TRUE),"")))))</f>
        <v/>
      </c>
      <c r="J241" s="122"/>
      <c r="K241" s="111"/>
      <c r="L241" s="111"/>
      <c r="M241" s="111"/>
      <c r="N241" s="111"/>
      <c r="O241" s="111"/>
      <c r="P241" s="111"/>
      <c r="Q241" s="111"/>
      <c r="R241" s="111"/>
      <c r="S241" s="111"/>
      <c r="T241" s="111"/>
      <c r="U241" s="111"/>
      <c r="V241" s="111"/>
      <c r="W241" s="111"/>
      <c r="X241" s="123"/>
      <c r="AG241" s="185"/>
      <c r="AH241" s="185"/>
      <c r="AI241" s="222" t="str">
        <f t="shared" si="7"/>
        <v/>
      </c>
    </row>
    <row r="242" spans="1:35" s="108" customFormat="1" ht="15.75">
      <c r="A242" s="119"/>
      <c r="B242" s="120"/>
      <c r="C242" s="111"/>
      <c r="D242" s="111"/>
      <c r="E242" s="121"/>
      <c r="F242" s="121"/>
      <c r="G242" s="113"/>
      <c r="H242" s="199" t="str">
        <f t="shared" si="6"/>
        <v/>
      </c>
      <c r="I242" s="200" t="str">
        <f>IF(H242="","",IF(AND(AI242&lt;=66),VLOOKUP(H242,'WordRead Look Up'!$A$13:$B$20,2,TRUE),IF(AND(AI242&gt;=67,AI242&lt;=72),VLOOKUP(H242,'WordRead Look Up'!$E$13:$F$20,2,TRUE),IF(AND(AI242&gt;=73,AI242&lt;=78),VLOOKUP(H242,'WordRead Look Up'!$I$13:$J$18,2,TRUE),IF(AND(AI242&gt;=79),VLOOKUP(H242,'WordRead Look Up'!$M$13:$N$18,2,TRUE),"")))))</f>
        <v/>
      </c>
      <c r="J242" s="122"/>
      <c r="K242" s="111"/>
      <c r="L242" s="111"/>
      <c r="M242" s="111"/>
      <c r="N242" s="111"/>
      <c r="O242" s="111"/>
      <c r="P242" s="111"/>
      <c r="Q242" s="111"/>
      <c r="R242" s="111"/>
      <c r="S242" s="111"/>
      <c r="T242" s="111"/>
      <c r="U242" s="111"/>
      <c r="V242" s="111"/>
      <c r="W242" s="111"/>
      <c r="X242" s="123"/>
      <c r="AG242" s="185"/>
      <c r="AH242" s="185"/>
      <c r="AI242" s="222" t="str">
        <f t="shared" si="7"/>
        <v/>
      </c>
    </row>
    <row r="243" spans="1:35" s="108" customFormat="1" ht="15.75">
      <c r="A243" s="119"/>
      <c r="B243" s="120"/>
      <c r="C243" s="111"/>
      <c r="D243" s="111"/>
      <c r="E243" s="121"/>
      <c r="F243" s="121"/>
      <c r="G243" s="113"/>
      <c r="H243" s="199" t="str">
        <f t="shared" si="6"/>
        <v/>
      </c>
      <c r="I243" s="200" t="str">
        <f>IF(H243="","",IF(AND(AI243&lt;=66),VLOOKUP(H243,'WordRead Look Up'!$A$13:$B$20,2,TRUE),IF(AND(AI243&gt;=67,AI243&lt;=72),VLOOKUP(H243,'WordRead Look Up'!$E$13:$F$20,2,TRUE),IF(AND(AI243&gt;=73,AI243&lt;=78),VLOOKUP(H243,'WordRead Look Up'!$I$13:$J$18,2,TRUE),IF(AND(AI243&gt;=79),VLOOKUP(H243,'WordRead Look Up'!$M$13:$N$18,2,TRUE),"")))))</f>
        <v/>
      </c>
      <c r="J243" s="122"/>
      <c r="K243" s="111"/>
      <c r="L243" s="111"/>
      <c r="M243" s="111"/>
      <c r="N243" s="111"/>
      <c r="O243" s="111"/>
      <c r="P243" s="111"/>
      <c r="Q243" s="111"/>
      <c r="R243" s="111"/>
      <c r="S243" s="111"/>
      <c r="T243" s="111"/>
      <c r="U243" s="111"/>
      <c r="V243" s="111"/>
      <c r="W243" s="111"/>
      <c r="X243" s="123"/>
      <c r="AG243" s="185"/>
      <c r="AH243" s="185"/>
      <c r="AI243" s="222" t="str">
        <f t="shared" si="7"/>
        <v/>
      </c>
    </row>
    <row r="244" spans="1:35" s="108" customFormat="1" ht="15.75">
      <c r="A244" s="119"/>
      <c r="B244" s="120"/>
      <c r="C244" s="111"/>
      <c r="D244" s="111"/>
      <c r="E244" s="121"/>
      <c r="F244" s="121"/>
      <c r="G244" s="113"/>
      <c r="H244" s="199" t="str">
        <f t="shared" si="6"/>
        <v/>
      </c>
      <c r="I244" s="200" t="str">
        <f>IF(H244="","",IF(AND(AI244&lt;=66),VLOOKUP(H244,'WordRead Look Up'!$A$13:$B$20,2,TRUE),IF(AND(AI244&gt;=67,AI244&lt;=72),VLOOKUP(H244,'WordRead Look Up'!$E$13:$F$20,2,TRUE),IF(AND(AI244&gt;=73,AI244&lt;=78),VLOOKUP(H244,'WordRead Look Up'!$I$13:$J$18,2,TRUE),IF(AND(AI244&gt;=79),VLOOKUP(H244,'WordRead Look Up'!$M$13:$N$18,2,TRUE),"")))))</f>
        <v/>
      </c>
      <c r="J244" s="122"/>
      <c r="K244" s="111"/>
      <c r="L244" s="111"/>
      <c r="M244" s="111"/>
      <c r="N244" s="111"/>
      <c r="O244" s="111"/>
      <c r="P244" s="111"/>
      <c r="Q244" s="111"/>
      <c r="R244" s="111"/>
      <c r="S244" s="111"/>
      <c r="T244" s="111"/>
      <c r="U244" s="111"/>
      <c r="V244" s="111"/>
      <c r="W244" s="111"/>
      <c r="X244" s="123"/>
      <c r="AG244" s="185"/>
      <c r="AH244" s="185"/>
      <c r="AI244" s="222" t="str">
        <f t="shared" si="7"/>
        <v/>
      </c>
    </row>
    <row r="245" spans="1:35" s="108" customFormat="1" ht="15.75">
      <c r="A245" s="119"/>
      <c r="B245" s="120"/>
      <c r="C245" s="111"/>
      <c r="D245" s="111"/>
      <c r="E245" s="121"/>
      <c r="F245" s="121"/>
      <c r="G245" s="113"/>
      <c r="H245" s="199" t="str">
        <f t="shared" si="6"/>
        <v/>
      </c>
      <c r="I245" s="200" t="str">
        <f>IF(H245="","",IF(AND(AI245&lt;=66),VLOOKUP(H245,'WordRead Look Up'!$A$13:$B$20,2,TRUE),IF(AND(AI245&gt;=67,AI245&lt;=72),VLOOKUP(H245,'WordRead Look Up'!$E$13:$F$20,2,TRUE),IF(AND(AI245&gt;=73,AI245&lt;=78),VLOOKUP(H245,'WordRead Look Up'!$I$13:$J$18,2,TRUE),IF(AND(AI245&gt;=79),VLOOKUP(H245,'WordRead Look Up'!$M$13:$N$18,2,TRUE),"")))))</f>
        <v/>
      </c>
      <c r="J245" s="122"/>
      <c r="K245" s="111"/>
      <c r="L245" s="111"/>
      <c r="M245" s="111"/>
      <c r="N245" s="111"/>
      <c r="O245" s="111"/>
      <c r="P245" s="111"/>
      <c r="Q245" s="111"/>
      <c r="R245" s="111"/>
      <c r="S245" s="111"/>
      <c r="T245" s="111"/>
      <c r="U245" s="111"/>
      <c r="V245" s="111"/>
      <c r="W245" s="111"/>
      <c r="X245" s="123"/>
      <c r="AG245" s="185"/>
      <c r="AH245" s="185"/>
      <c r="AI245" s="222" t="str">
        <f t="shared" si="7"/>
        <v/>
      </c>
    </row>
    <row r="246" spans="1:35" s="108" customFormat="1" ht="15.75">
      <c r="A246" s="119"/>
      <c r="B246" s="120"/>
      <c r="C246" s="111"/>
      <c r="D246" s="111"/>
      <c r="E246" s="121"/>
      <c r="F246" s="121"/>
      <c r="G246" s="113"/>
      <c r="H246" s="199" t="str">
        <f t="shared" si="6"/>
        <v/>
      </c>
      <c r="I246" s="200" t="str">
        <f>IF(H246="","",IF(AND(AI246&lt;=66),VLOOKUP(H246,'WordRead Look Up'!$A$13:$B$20,2,TRUE),IF(AND(AI246&gt;=67,AI246&lt;=72),VLOOKUP(H246,'WordRead Look Up'!$E$13:$F$20,2,TRUE),IF(AND(AI246&gt;=73,AI246&lt;=78),VLOOKUP(H246,'WordRead Look Up'!$I$13:$J$18,2,TRUE),IF(AND(AI246&gt;=79),VLOOKUP(H246,'WordRead Look Up'!$M$13:$N$18,2,TRUE),"")))))</f>
        <v/>
      </c>
      <c r="J246" s="122"/>
      <c r="K246" s="111"/>
      <c r="L246" s="111"/>
      <c r="M246" s="111"/>
      <c r="N246" s="111"/>
      <c r="O246" s="111"/>
      <c r="P246" s="111"/>
      <c r="Q246" s="111"/>
      <c r="R246" s="111"/>
      <c r="S246" s="111"/>
      <c r="T246" s="111"/>
      <c r="U246" s="111"/>
      <c r="V246" s="111"/>
      <c r="W246" s="111"/>
      <c r="X246" s="123"/>
      <c r="AG246" s="185"/>
      <c r="AH246" s="185"/>
      <c r="AI246" s="222" t="str">
        <f t="shared" si="7"/>
        <v/>
      </c>
    </row>
    <row r="247" spans="1:35" s="108" customFormat="1" ht="15.75">
      <c r="A247" s="119"/>
      <c r="B247" s="120"/>
      <c r="C247" s="111"/>
      <c r="D247" s="111"/>
      <c r="E247" s="121"/>
      <c r="F247" s="121"/>
      <c r="G247" s="113"/>
      <c r="H247" s="199" t="str">
        <f t="shared" si="6"/>
        <v/>
      </c>
      <c r="I247" s="200" t="str">
        <f>IF(H247="","",IF(AND(AI247&lt;=66),VLOOKUP(H247,'WordRead Look Up'!$A$13:$B$20,2,TRUE),IF(AND(AI247&gt;=67,AI247&lt;=72),VLOOKUP(H247,'WordRead Look Up'!$E$13:$F$20,2,TRUE),IF(AND(AI247&gt;=73,AI247&lt;=78),VLOOKUP(H247,'WordRead Look Up'!$I$13:$J$18,2,TRUE),IF(AND(AI247&gt;=79),VLOOKUP(H247,'WordRead Look Up'!$M$13:$N$18,2,TRUE),"")))))</f>
        <v/>
      </c>
      <c r="J247" s="122"/>
      <c r="K247" s="111"/>
      <c r="L247" s="111"/>
      <c r="M247" s="111"/>
      <c r="N247" s="111"/>
      <c r="O247" s="111"/>
      <c r="P247" s="111"/>
      <c r="Q247" s="111"/>
      <c r="R247" s="111"/>
      <c r="S247" s="111"/>
      <c r="T247" s="111"/>
      <c r="U247" s="111"/>
      <c r="V247" s="111"/>
      <c r="W247" s="111"/>
      <c r="X247" s="123"/>
      <c r="AG247" s="185"/>
      <c r="AH247" s="185"/>
      <c r="AI247" s="222" t="str">
        <f t="shared" si="7"/>
        <v/>
      </c>
    </row>
    <row r="248" spans="1:35" s="108" customFormat="1" ht="15.75">
      <c r="A248" s="119"/>
      <c r="B248" s="120"/>
      <c r="C248" s="111"/>
      <c r="D248" s="111"/>
      <c r="E248" s="121"/>
      <c r="F248" s="121"/>
      <c r="G248" s="113"/>
      <c r="H248" s="199" t="str">
        <f t="shared" si="6"/>
        <v/>
      </c>
      <c r="I248" s="200" t="str">
        <f>IF(H248="","",IF(AND(AI248&lt;=66),VLOOKUP(H248,'WordRead Look Up'!$A$13:$B$20,2,TRUE),IF(AND(AI248&gt;=67,AI248&lt;=72),VLOOKUP(H248,'WordRead Look Up'!$E$13:$F$20,2,TRUE),IF(AND(AI248&gt;=73,AI248&lt;=78),VLOOKUP(H248,'WordRead Look Up'!$I$13:$J$18,2,TRUE),IF(AND(AI248&gt;=79),VLOOKUP(H248,'WordRead Look Up'!$M$13:$N$18,2,TRUE),"")))))</f>
        <v/>
      </c>
      <c r="J248" s="122"/>
      <c r="K248" s="111"/>
      <c r="L248" s="111"/>
      <c r="M248" s="111"/>
      <c r="N248" s="111"/>
      <c r="O248" s="111"/>
      <c r="P248" s="111"/>
      <c r="Q248" s="111"/>
      <c r="R248" s="111"/>
      <c r="S248" s="111"/>
      <c r="T248" s="111"/>
      <c r="U248" s="111"/>
      <c r="V248" s="111"/>
      <c r="W248" s="111"/>
      <c r="X248" s="123"/>
      <c r="AG248" s="185"/>
      <c r="AH248" s="185"/>
      <c r="AI248" s="222" t="str">
        <f t="shared" si="7"/>
        <v/>
      </c>
    </row>
    <row r="249" spans="1:35" s="108" customFormat="1" ht="15.75">
      <c r="A249" s="119"/>
      <c r="B249" s="120"/>
      <c r="C249" s="111"/>
      <c r="D249" s="111"/>
      <c r="E249" s="121"/>
      <c r="F249" s="121"/>
      <c r="G249" s="113"/>
      <c r="H249" s="199" t="str">
        <f t="shared" si="6"/>
        <v/>
      </c>
      <c r="I249" s="200" t="str">
        <f>IF(H249="","",IF(AND(AI249&lt;=66),VLOOKUP(H249,'WordRead Look Up'!$A$13:$B$20,2,TRUE),IF(AND(AI249&gt;=67,AI249&lt;=72),VLOOKUP(H249,'WordRead Look Up'!$E$13:$F$20,2,TRUE),IF(AND(AI249&gt;=73,AI249&lt;=78),VLOOKUP(H249,'WordRead Look Up'!$I$13:$J$18,2,TRUE),IF(AND(AI249&gt;=79),VLOOKUP(H249,'WordRead Look Up'!$M$13:$N$18,2,TRUE),"")))))</f>
        <v/>
      </c>
      <c r="J249" s="122"/>
      <c r="K249" s="111"/>
      <c r="L249" s="111"/>
      <c r="M249" s="111"/>
      <c r="N249" s="111"/>
      <c r="O249" s="111"/>
      <c r="P249" s="111"/>
      <c r="Q249" s="111"/>
      <c r="R249" s="111"/>
      <c r="S249" s="111"/>
      <c r="T249" s="111"/>
      <c r="U249" s="111"/>
      <c r="V249" s="111"/>
      <c r="W249" s="111"/>
      <c r="X249" s="123"/>
      <c r="AG249" s="185"/>
      <c r="AH249" s="185"/>
      <c r="AI249" s="222" t="str">
        <f t="shared" si="7"/>
        <v/>
      </c>
    </row>
    <row r="250" spans="1:35" s="108" customFormat="1" ht="15.75">
      <c r="A250" s="119"/>
      <c r="B250" s="120"/>
      <c r="C250" s="111"/>
      <c r="D250" s="111"/>
      <c r="E250" s="121"/>
      <c r="F250" s="121"/>
      <c r="G250" s="113"/>
      <c r="H250" s="199" t="str">
        <f t="shared" si="6"/>
        <v/>
      </c>
      <c r="I250" s="200" t="str">
        <f>IF(H250="","",IF(AND(AI250&lt;=66),VLOOKUP(H250,'WordRead Look Up'!$A$13:$B$20,2,TRUE),IF(AND(AI250&gt;=67,AI250&lt;=72),VLOOKUP(H250,'WordRead Look Up'!$E$13:$F$20,2,TRUE),IF(AND(AI250&gt;=73,AI250&lt;=78),VLOOKUP(H250,'WordRead Look Up'!$I$13:$J$18,2,TRUE),IF(AND(AI250&gt;=79),VLOOKUP(H250,'WordRead Look Up'!$M$13:$N$18,2,TRUE),"")))))</f>
        <v/>
      </c>
      <c r="J250" s="122"/>
      <c r="K250" s="111"/>
      <c r="L250" s="111"/>
      <c r="M250" s="111"/>
      <c r="N250" s="111"/>
      <c r="O250" s="111"/>
      <c r="P250" s="111"/>
      <c r="Q250" s="111"/>
      <c r="R250" s="111"/>
      <c r="S250" s="111"/>
      <c r="T250" s="111"/>
      <c r="U250" s="111"/>
      <c r="V250" s="111"/>
      <c r="W250" s="111"/>
      <c r="X250" s="123"/>
      <c r="AG250" s="185"/>
      <c r="AH250" s="185"/>
      <c r="AI250" s="222" t="str">
        <f t="shared" si="7"/>
        <v/>
      </c>
    </row>
    <row r="251" spans="1:35" s="108" customFormat="1" ht="15.75">
      <c r="A251" s="119"/>
      <c r="B251" s="120"/>
      <c r="C251" s="111"/>
      <c r="D251" s="111"/>
      <c r="E251" s="121"/>
      <c r="F251" s="121"/>
      <c r="G251" s="113"/>
      <c r="H251" s="199" t="str">
        <f t="shared" si="6"/>
        <v/>
      </c>
      <c r="I251" s="200" t="str">
        <f>IF(H251="","",IF(AND(AI251&lt;=66),VLOOKUP(H251,'WordRead Look Up'!$A$13:$B$20,2,TRUE),IF(AND(AI251&gt;=67,AI251&lt;=72),VLOOKUP(H251,'WordRead Look Up'!$E$13:$F$20,2,TRUE),IF(AND(AI251&gt;=73,AI251&lt;=78),VLOOKUP(H251,'WordRead Look Up'!$I$13:$J$18,2,TRUE),IF(AND(AI251&gt;=79),VLOOKUP(H251,'WordRead Look Up'!$M$13:$N$18,2,TRUE),"")))))</f>
        <v/>
      </c>
      <c r="J251" s="122"/>
      <c r="K251" s="111"/>
      <c r="L251" s="111"/>
      <c r="M251" s="111"/>
      <c r="N251" s="111"/>
      <c r="O251" s="111"/>
      <c r="P251" s="111"/>
      <c r="Q251" s="111"/>
      <c r="R251" s="111"/>
      <c r="S251" s="111"/>
      <c r="T251" s="111"/>
      <c r="U251" s="111"/>
      <c r="V251" s="111"/>
      <c r="W251" s="111"/>
      <c r="X251" s="123"/>
      <c r="AG251" s="185"/>
      <c r="AH251" s="185"/>
      <c r="AI251" s="222" t="str">
        <f t="shared" si="7"/>
        <v/>
      </c>
    </row>
    <row r="252" spans="1:35" s="108" customFormat="1" ht="15.75">
      <c r="A252" s="119"/>
      <c r="B252" s="120"/>
      <c r="C252" s="111"/>
      <c r="D252" s="111"/>
      <c r="E252" s="121"/>
      <c r="F252" s="121"/>
      <c r="G252" s="113"/>
      <c r="H252" s="199" t="str">
        <f t="shared" si="6"/>
        <v/>
      </c>
      <c r="I252" s="200" t="str">
        <f>IF(H252="","",IF(AND(AI252&lt;=66),VLOOKUP(H252,'WordRead Look Up'!$A$13:$B$20,2,TRUE),IF(AND(AI252&gt;=67,AI252&lt;=72),VLOOKUP(H252,'WordRead Look Up'!$E$13:$F$20,2,TRUE),IF(AND(AI252&gt;=73,AI252&lt;=78),VLOOKUP(H252,'WordRead Look Up'!$I$13:$J$18,2,TRUE),IF(AND(AI252&gt;=79),VLOOKUP(H252,'WordRead Look Up'!$M$13:$N$18,2,TRUE),"")))))</f>
        <v/>
      </c>
      <c r="J252" s="122"/>
      <c r="K252" s="111"/>
      <c r="L252" s="111"/>
      <c r="M252" s="111"/>
      <c r="N252" s="111"/>
      <c r="O252" s="111"/>
      <c r="P252" s="111"/>
      <c r="Q252" s="111"/>
      <c r="R252" s="111"/>
      <c r="S252" s="111"/>
      <c r="T252" s="111"/>
      <c r="U252" s="111"/>
      <c r="V252" s="111"/>
      <c r="W252" s="111"/>
      <c r="X252" s="123"/>
      <c r="AG252" s="185"/>
      <c r="AH252" s="185"/>
      <c r="AI252" s="222" t="str">
        <f t="shared" si="7"/>
        <v/>
      </c>
    </row>
    <row r="253" spans="1:35" s="108" customFormat="1" ht="15.75">
      <c r="A253" s="119"/>
      <c r="B253" s="120"/>
      <c r="C253" s="111"/>
      <c r="D253" s="111"/>
      <c r="E253" s="121"/>
      <c r="F253" s="121"/>
      <c r="G253" s="113"/>
      <c r="H253" s="199" t="str">
        <f t="shared" si="6"/>
        <v/>
      </c>
      <c r="I253" s="200" t="str">
        <f>IF(H253="","",IF(AND(AI253&lt;=66),VLOOKUP(H253,'WordRead Look Up'!$A$13:$B$20,2,TRUE),IF(AND(AI253&gt;=67,AI253&lt;=72),VLOOKUP(H253,'WordRead Look Up'!$E$13:$F$20,2,TRUE),IF(AND(AI253&gt;=73,AI253&lt;=78),VLOOKUP(H253,'WordRead Look Up'!$I$13:$J$18,2,TRUE),IF(AND(AI253&gt;=79),VLOOKUP(H253,'WordRead Look Up'!$M$13:$N$18,2,TRUE),"")))))</f>
        <v/>
      </c>
      <c r="J253" s="122"/>
      <c r="K253" s="111"/>
      <c r="L253" s="111"/>
      <c r="M253" s="111"/>
      <c r="N253" s="111"/>
      <c r="O253" s="111"/>
      <c r="P253" s="111"/>
      <c r="Q253" s="111"/>
      <c r="R253" s="111"/>
      <c r="S253" s="111"/>
      <c r="T253" s="111"/>
      <c r="U253" s="111"/>
      <c r="V253" s="111"/>
      <c r="W253" s="111"/>
      <c r="X253" s="123"/>
      <c r="AG253" s="185"/>
      <c r="AH253" s="185"/>
      <c r="AI253" s="222" t="str">
        <f t="shared" si="7"/>
        <v/>
      </c>
    </row>
    <row r="254" spans="1:35" s="108" customFormat="1" ht="15.75">
      <c r="A254" s="119"/>
      <c r="B254" s="120"/>
      <c r="C254" s="111"/>
      <c r="D254" s="111"/>
      <c r="E254" s="121"/>
      <c r="F254" s="121"/>
      <c r="G254" s="113"/>
      <c r="H254" s="199" t="str">
        <f t="shared" si="6"/>
        <v/>
      </c>
      <c r="I254" s="200" t="str">
        <f>IF(H254="","",IF(AND(AI254&lt;=66),VLOOKUP(H254,'WordRead Look Up'!$A$13:$B$20,2,TRUE),IF(AND(AI254&gt;=67,AI254&lt;=72),VLOOKUP(H254,'WordRead Look Up'!$E$13:$F$20,2,TRUE),IF(AND(AI254&gt;=73,AI254&lt;=78),VLOOKUP(H254,'WordRead Look Up'!$I$13:$J$18,2,TRUE),IF(AND(AI254&gt;=79),VLOOKUP(H254,'WordRead Look Up'!$M$13:$N$18,2,TRUE),"")))))</f>
        <v/>
      </c>
      <c r="J254" s="122"/>
      <c r="K254" s="111"/>
      <c r="L254" s="111"/>
      <c r="M254" s="111"/>
      <c r="N254" s="111"/>
      <c r="O254" s="111"/>
      <c r="P254" s="111"/>
      <c r="Q254" s="111"/>
      <c r="R254" s="111"/>
      <c r="S254" s="111"/>
      <c r="T254" s="111"/>
      <c r="U254" s="111"/>
      <c r="V254" s="111"/>
      <c r="W254" s="111"/>
      <c r="X254" s="123"/>
      <c r="AG254" s="185"/>
      <c r="AH254" s="185"/>
      <c r="AI254" s="222" t="str">
        <f t="shared" si="7"/>
        <v/>
      </c>
    </row>
    <row r="255" spans="1:35" s="108" customFormat="1" ht="15.75">
      <c r="A255" s="119"/>
      <c r="B255" s="120"/>
      <c r="C255" s="111"/>
      <c r="D255" s="111"/>
      <c r="E255" s="121"/>
      <c r="F255" s="121"/>
      <c r="G255" s="113"/>
      <c r="H255" s="199" t="str">
        <f t="shared" si="6"/>
        <v/>
      </c>
      <c r="I255" s="200" t="str">
        <f>IF(H255="","",IF(AND(AI255&lt;=66),VLOOKUP(H255,'WordRead Look Up'!$A$13:$B$20,2,TRUE),IF(AND(AI255&gt;=67,AI255&lt;=72),VLOOKUP(H255,'WordRead Look Up'!$E$13:$F$20,2,TRUE),IF(AND(AI255&gt;=73,AI255&lt;=78),VLOOKUP(H255,'WordRead Look Up'!$I$13:$J$18,2,TRUE),IF(AND(AI255&gt;=79),VLOOKUP(H255,'WordRead Look Up'!$M$13:$N$18,2,TRUE),"")))))</f>
        <v/>
      </c>
      <c r="J255" s="122"/>
      <c r="K255" s="111"/>
      <c r="L255" s="111"/>
      <c r="M255" s="111"/>
      <c r="N255" s="111"/>
      <c r="O255" s="111"/>
      <c r="P255" s="111"/>
      <c r="Q255" s="111"/>
      <c r="R255" s="111"/>
      <c r="S255" s="111"/>
      <c r="T255" s="111"/>
      <c r="U255" s="111"/>
      <c r="V255" s="111"/>
      <c r="W255" s="111"/>
      <c r="X255" s="123"/>
      <c r="AG255" s="185"/>
      <c r="AH255" s="185"/>
      <c r="AI255" s="222" t="str">
        <f t="shared" si="7"/>
        <v/>
      </c>
    </row>
    <row r="256" spans="1:35" s="108" customFormat="1" ht="15.75">
      <c r="A256" s="119"/>
      <c r="B256" s="120"/>
      <c r="C256" s="111"/>
      <c r="D256" s="111"/>
      <c r="E256" s="121"/>
      <c r="F256" s="121"/>
      <c r="G256" s="113"/>
      <c r="H256" s="199" t="str">
        <f t="shared" si="6"/>
        <v/>
      </c>
      <c r="I256" s="200" t="str">
        <f>IF(H256="","",IF(AND(AI256&lt;=66),VLOOKUP(H256,'WordRead Look Up'!$A$13:$B$20,2,TRUE),IF(AND(AI256&gt;=67,AI256&lt;=72),VLOOKUP(H256,'WordRead Look Up'!$E$13:$F$20,2,TRUE),IF(AND(AI256&gt;=73,AI256&lt;=78),VLOOKUP(H256,'WordRead Look Up'!$I$13:$J$18,2,TRUE),IF(AND(AI256&gt;=79),VLOOKUP(H256,'WordRead Look Up'!$M$13:$N$18,2,TRUE),"")))))</f>
        <v/>
      </c>
      <c r="J256" s="122"/>
      <c r="K256" s="111"/>
      <c r="L256" s="111"/>
      <c r="M256" s="111"/>
      <c r="N256" s="111"/>
      <c r="O256" s="111"/>
      <c r="P256" s="111"/>
      <c r="Q256" s="111"/>
      <c r="R256" s="111"/>
      <c r="S256" s="111"/>
      <c r="T256" s="111"/>
      <c r="U256" s="111"/>
      <c r="V256" s="111"/>
      <c r="W256" s="111"/>
      <c r="X256" s="123"/>
      <c r="AG256" s="185"/>
      <c r="AH256" s="185"/>
      <c r="AI256" s="222" t="str">
        <f t="shared" si="7"/>
        <v/>
      </c>
    </row>
    <row r="257" spans="1:35" s="108" customFormat="1" ht="15.75">
      <c r="A257" s="119"/>
      <c r="B257" s="120"/>
      <c r="C257" s="111"/>
      <c r="D257" s="111"/>
      <c r="E257" s="121"/>
      <c r="F257" s="121"/>
      <c r="G257" s="113"/>
      <c r="H257" s="199" t="str">
        <f t="shared" si="6"/>
        <v/>
      </c>
      <c r="I257" s="200" t="str">
        <f>IF(H257="","",IF(AND(AI257&lt;=66),VLOOKUP(H257,'WordRead Look Up'!$A$13:$B$20,2,TRUE),IF(AND(AI257&gt;=67,AI257&lt;=72),VLOOKUP(H257,'WordRead Look Up'!$E$13:$F$20,2,TRUE),IF(AND(AI257&gt;=73,AI257&lt;=78),VLOOKUP(H257,'WordRead Look Up'!$I$13:$J$18,2,TRUE),IF(AND(AI257&gt;=79),VLOOKUP(H257,'WordRead Look Up'!$M$13:$N$18,2,TRUE),"")))))</f>
        <v/>
      </c>
      <c r="J257" s="122"/>
      <c r="K257" s="111"/>
      <c r="L257" s="111"/>
      <c r="M257" s="111"/>
      <c r="N257" s="111"/>
      <c r="O257" s="111"/>
      <c r="P257" s="111"/>
      <c r="Q257" s="111"/>
      <c r="R257" s="111"/>
      <c r="S257" s="111"/>
      <c r="T257" s="111"/>
      <c r="U257" s="111"/>
      <c r="V257" s="111"/>
      <c r="W257" s="111"/>
      <c r="X257" s="123"/>
      <c r="AG257" s="185"/>
      <c r="AH257" s="185"/>
      <c r="AI257" s="222" t="str">
        <f t="shared" si="7"/>
        <v/>
      </c>
    </row>
    <row r="258" spans="1:35" s="108" customFormat="1" ht="15.75">
      <c r="A258" s="119"/>
      <c r="B258" s="120"/>
      <c r="C258" s="111"/>
      <c r="D258" s="111"/>
      <c r="E258" s="121"/>
      <c r="F258" s="121"/>
      <c r="G258" s="113"/>
      <c r="H258" s="199" t="str">
        <f t="shared" si="6"/>
        <v/>
      </c>
      <c r="I258" s="200" t="str">
        <f>IF(H258="","",IF(AND(AI258&lt;=66),VLOOKUP(H258,'WordRead Look Up'!$A$13:$B$20,2,TRUE),IF(AND(AI258&gt;=67,AI258&lt;=72),VLOOKUP(H258,'WordRead Look Up'!$E$13:$F$20,2,TRUE),IF(AND(AI258&gt;=73,AI258&lt;=78),VLOOKUP(H258,'WordRead Look Up'!$I$13:$J$18,2,TRUE),IF(AND(AI258&gt;=79),VLOOKUP(H258,'WordRead Look Up'!$M$13:$N$18,2,TRUE),"")))))</f>
        <v/>
      </c>
      <c r="J258" s="122"/>
      <c r="K258" s="111"/>
      <c r="L258" s="111"/>
      <c r="M258" s="111"/>
      <c r="N258" s="111"/>
      <c r="O258" s="111"/>
      <c r="P258" s="111"/>
      <c r="Q258" s="111"/>
      <c r="R258" s="111"/>
      <c r="S258" s="111"/>
      <c r="T258" s="111"/>
      <c r="U258" s="111"/>
      <c r="V258" s="111"/>
      <c r="W258" s="111"/>
      <c r="X258" s="123"/>
      <c r="AG258" s="185"/>
      <c r="AH258" s="185"/>
      <c r="AI258" s="222" t="str">
        <f t="shared" si="7"/>
        <v/>
      </c>
    </row>
    <row r="259" spans="1:35" s="108" customFormat="1" ht="15.75">
      <c r="A259" s="119"/>
      <c r="B259" s="120"/>
      <c r="C259" s="111"/>
      <c r="D259" s="111"/>
      <c r="E259" s="121"/>
      <c r="F259" s="121"/>
      <c r="G259" s="113"/>
      <c r="H259" s="199" t="str">
        <f t="shared" si="6"/>
        <v/>
      </c>
      <c r="I259" s="200" t="str">
        <f>IF(H259="","",IF(AND(AI259&lt;=66),VLOOKUP(H259,'WordRead Look Up'!$A$13:$B$20,2,TRUE),IF(AND(AI259&gt;=67,AI259&lt;=72),VLOOKUP(H259,'WordRead Look Up'!$E$13:$F$20,2,TRUE),IF(AND(AI259&gt;=73,AI259&lt;=78),VLOOKUP(H259,'WordRead Look Up'!$I$13:$J$18,2,TRUE),IF(AND(AI259&gt;=79),VLOOKUP(H259,'WordRead Look Up'!$M$13:$N$18,2,TRUE),"")))))</f>
        <v/>
      </c>
      <c r="J259" s="122"/>
      <c r="K259" s="111"/>
      <c r="L259" s="111"/>
      <c r="M259" s="111"/>
      <c r="N259" s="111"/>
      <c r="O259" s="111"/>
      <c r="P259" s="111"/>
      <c r="Q259" s="111"/>
      <c r="R259" s="111"/>
      <c r="S259" s="111"/>
      <c r="T259" s="111"/>
      <c r="U259" s="111"/>
      <c r="V259" s="111"/>
      <c r="W259" s="111"/>
      <c r="X259" s="123"/>
      <c r="AG259" s="185"/>
      <c r="AH259" s="185"/>
      <c r="AI259" s="222" t="str">
        <f t="shared" si="7"/>
        <v/>
      </c>
    </row>
    <row r="260" spans="1:35" s="108" customFormat="1" ht="15.75">
      <c r="A260" s="119"/>
      <c r="B260" s="120"/>
      <c r="C260" s="111"/>
      <c r="D260" s="111"/>
      <c r="E260" s="121"/>
      <c r="F260" s="121"/>
      <c r="G260" s="113"/>
      <c r="H260" s="199" t="str">
        <f t="shared" si="6"/>
        <v/>
      </c>
      <c r="I260" s="200" t="str">
        <f>IF(H260="","",IF(AND(AI260&lt;=66),VLOOKUP(H260,'WordRead Look Up'!$A$13:$B$20,2,TRUE),IF(AND(AI260&gt;=67,AI260&lt;=72),VLOOKUP(H260,'WordRead Look Up'!$E$13:$F$20,2,TRUE),IF(AND(AI260&gt;=73,AI260&lt;=78),VLOOKUP(H260,'WordRead Look Up'!$I$13:$J$18,2,TRUE),IF(AND(AI260&gt;=79),VLOOKUP(H260,'WordRead Look Up'!$M$13:$N$18,2,TRUE),"")))))</f>
        <v/>
      </c>
      <c r="J260" s="122"/>
      <c r="K260" s="111"/>
      <c r="L260" s="111"/>
      <c r="M260" s="111"/>
      <c r="N260" s="111"/>
      <c r="O260" s="111"/>
      <c r="P260" s="111"/>
      <c r="Q260" s="111"/>
      <c r="R260" s="111"/>
      <c r="S260" s="111"/>
      <c r="T260" s="111"/>
      <c r="U260" s="111"/>
      <c r="V260" s="111"/>
      <c r="W260" s="111"/>
      <c r="X260" s="123"/>
      <c r="AG260" s="185"/>
      <c r="AH260" s="185"/>
      <c r="AI260" s="222" t="str">
        <f t="shared" si="7"/>
        <v/>
      </c>
    </row>
    <row r="261" spans="1:35" s="108" customFormat="1" ht="15.75">
      <c r="A261" s="119"/>
      <c r="B261" s="120"/>
      <c r="C261" s="111"/>
      <c r="D261" s="111"/>
      <c r="E261" s="121"/>
      <c r="F261" s="121"/>
      <c r="G261" s="113"/>
      <c r="H261" s="199" t="str">
        <f t="shared" si="6"/>
        <v/>
      </c>
      <c r="I261" s="200" t="str">
        <f>IF(H261="","",IF(AND(AI261&lt;=66),VLOOKUP(H261,'WordRead Look Up'!$A$13:$B$20,2,TRUE),IF(AND(AI261&gt;=67,AI261&lt;=72),VLOOKUP(H261,'WordRead Look Up'!$E$13:$F$20,2,TRUE),IF(AND(AI261&gt;=73,AI261&lt;=78),VLOOKUP(H261,'WordRead Look Up'!$I$13:$J$18,2,TRUE),IF(AND(AI261&gt;=79),VLOOKUP(H261,'WordRead Look Up'!$M$13:$N$18,2,TRUE),"")))))</f>
        <v/>
      </c>
      <c r="J261" s="122"/>
      <c r="K261" s="111"/>
      <c r="L261" s="111"/>
      <c r="M261" s="111"/>
      <c r="N261" s="111"/>
      <c r="O261" s="111"/>
      <c r="P261" s="111"/>
      <c r="Q261" s="111"/>
      <c r="R261" s="111"/>
      <c r="S261" s="111"/>
      <c r="T261" s="111"/>
      <c r="U261" s="111"/>
      <c r="V261" s="111"/>
      <c r="W261" s="111"/>
      <c r="X261" s="123"/>
      <c r="AG261" s="185"/>
      <c r="AH261" s="185"/>
      <c r="AI261" s="222" t="str">
        <f t="shared" si="7"/>
        <v/>
      </c>
    </row>
    <row r="262" spans="1:35" s="108" customFormat="1" ht="15.75">
      <c r="A262" s="119"/>
      <c r="B262" s="120"/>
      <c r="C262" s="111"/>
      <c r="D262" s="111"/>
      <c r="E262" s="121"/>
      <c r="F262" s="121"/>
      <c r="G262" s="113"/>
      <c r="H262" s="199" t="str">
        <f t="shared" si="6"/>
        <v/>
      </c>
      <c r="I262" s="200" t="str">
        <f>IF(H262="","",IF(AND(AI262&lt;=66),VLOOKUP(H262,'WordRead Look Up'!$A$13:$B$20,2,TRUE),IF(AND(AI262&gt;=67,AI262&lt;=72),VLOOKUP(H262,'WordRead Look Up'!$E$13:$F$20,2,TRUE),IF(AND(AI262&gt;=73,AI262&lt;=78),VLOOKUP(H262,'WordRead Look Up'!$I$13:$J$18,2,TRUE),IF(AND(AI262&gt;=79),VLOOKUP(H262,'WordRead Look Up'!$M$13:$N$18,2,TRUE),"")))))</f>
        <v/>
      </c>
      <c r="J262" s="122"/>
      <c r="K262" s="111"/>
      <c r="L262" s="111"/>
      <c r="M262" s="111"/>
      <c r="N262" s="111"/>
      <c r="O262" s="111"/>
      <c r="P262" s="111"/>
      <c r="Q262" s="111"/>
      <c r="R262" s="111"/>
      <c r="S262" s="111"/>
      <c r="T262" s="111"/>
      <c r="U262" s="111"/>
      <c r="V262" s="111"/>
      <c r="W262" s="111"/>
      <c r="X262" s="123"/>
      <c r="AG262" s="185"/>
      <c r="AH262" s="185"/>
      <c r="AI262" s="222" t="str">
        <f t="shared" si="7"/>
        <v/>
      </c>
    </row>
    <row r="263" spans="1:35" s="108" customFormat="1" ht="15.75">
      <c r="A263" s="119"/>
      <c r="B263" s="120"/>
      <c r="C263" s="111"/>
      <c r="D263" s="111"/>
      <c r="E263" s="121"/>
      <c r="F263" s="121"/>
      <c r="G263" s="113"/>
      <c r="H263" s="199" t="str">
        <f t="shared" si="6"/>
        <v/>
      </c>
      <c r="I263" s="200" t="str">
        <f>IF(H263="","",IF(AND(AI263&lt;=66),VLOOKUP(H263,'WordRead Look Up'!$A$13:$B$20,2,TRUE),IF(AND(AI263&gt;=67,AI263&lt;=72),VLOOKUP(H263,'WordRead Look Up'!$E$13:$F$20,2,TRUE),IF(AND(AI263&gt;=73,AI263&lt;=78),VLOOKUP(H263,'WordRead Look Up'!$I$13:$J$18,2,TRUE),IF(AND(AI263&gt;=79),VLOOKUP(H263,'WordRead Look Up'!$M$13:$N$18,2,TRUE),"")))))</f>
        <v/>
      </c>
      <c r="J263" s="122"/>
      <c r="K263" s="111"/>
      <c r="L263" s="111"/>
      <c r="M263" s="111"/>
      <c r="N263" s="111"/>
      <c r="O263" s="111"/>
      <c r="P263" s="111"/>
      <c r="Q263" s="111"/>
      <c r="R263" s="111"/>
      <c r="S263" s="111"/>
      <c r="T263" s="111"/>
      <c r="U263" s="111"/>
      <c r="V263" s="111"/>
      <c r="W263" s="111"/>
      <c r="X263" s="123"/>
      <c r="AG263" s="185"/>
      <c r="AH263" s="185"/>
      <c r="AI263" s="222" t="str">
        <f t="shared" si="7"/>
        <v/>
      </c>
    </row>
    <row r="264" spans="1:35" s="108" customFormat="1" ht="15.75">
      <c r="A264" s="119"/>
      <c r="B264" s="120"/>
      <c r="C264" s="111"/>
      <c r="D264" s="111"/>
      <c r="E264" s="121"/>
      <c r="F264" s="121"/>
      <c r="G264" s="113"/>
      <c r="H264" s="199" t="str">
        <f t="shared" ref="H264:H327" si="8">IF(E264="","",COUNTIF(J264:X264,"y"))</f>
        <v/>
      </c>
      <c r="I264" s="200" t="str">
        <f>IF(H264="","",IF(AND(AI264&lt;=66),VLOOKUP(H264,'WordRead Look Up'!$A$13:$B$20,2,TRUE),IF(AND(AI264&gt;=67,AI264&lt;=72),VLOOKUP(H264,'WordRead Look Up'!$E$13:$F$20,2,TRUE),IF(AND(AI264&gt;=73,AI264&lt;=78),VLOOKUP(H264,'WordRead Look Up'!$I$13:$J$18,2,TRUE),IF(AND(AI264&gt;=79),VLOOKUP(H264,'WordRead Look Up'!$M$13:$N$18,2,TRUE),"")))))</f>
        <v/>
      </c>
      <c r="J264" s="122"/>
      <c r="K264" s="111"/>
      <c r="L264" s="111"/>
      <c r="M264" s="111"/>
      <c r="N264" s="111"/>
      <c r="O264" s="111"/>
      <c r="P264" s="111"/>
      <c r="Q264" s="111"/>
      <c r="R264" s="111"/>
      <c r="S264" s="111"/>
      <c r="T264" s="111"/>
      <c r="U264" s="111"/>
      <c r="V264" s="111"/>
      <c r="W264" s="111"/>
      <c r="X264" s="123"/>
      <c r="AG264" s="185"/>
      <c r="AH264" s="185"/>
      <c r="AI264" s="222" t="str">
        <f t="shared" ref="AI264:AI327" si="9">IF(E264="","",DATEDIF(B264,A264,"m"))</f>
        <v/>
      </c>
    </row>
    <row r="265" spans="1:35" s="108" customFormat="1" ht="15.75">
      <c r="A265" s="119"/>
      <c r="B265" s="120"/>
      <c r="C265" s="111"/>
      <c r="D265" s="111"/>
      <c r="E265" s="121"/>
      <c r="F265" s="121"/>
      <c r="G265" s="113"/>
      <c r="H265" s="199" t="str">
        <f t="shared" si="8"/>
        <v/>
      </c>
      <c r="I265" s="200" t="str">
        <f>IF(H265="","",IF(AND(AI265&lt;=66),VLOOKUP(H265,'WordRead Look Up'!$A$13:$B$20,2,TRUE),IF(AND(AI265&gt;=67,AI265&lt;=72),VLOOKUP(H265,'WordRead Look Up'!$E$13:$F$20,2,TRUE),IF(AND(AI265&gt;=73,AI265&lt;=78),VLOOKUP(H265,'WordRead Look Up'!$I$13:$J$18,2,TRUE),IF(AND(AI265&gt;=79),VLOOKUP(H265,'WordRead Look Up'!$M$13:$N$18,2,TRUE),"")))))</f>
        <v/>
      </c>
      <c r="J265" s="122"/>
      <c r="K265" s="111"/>
      <c r="L265" s="111"/>
      <c r="M265" s="111"/>
      <c r="N265" s="111"/>
      <c r="O265" s="111"/>
      <c r="P265" s="111"/>
      <c r="Q265" s="111"/>
      <c r="R265" s="111"/>
      <c r="S265" s="111"/>
      <c r="T265" s="111"/>
      <c r="U265" s="111"/>
      <c r="V265" s="111"/>
      <c r="W265" s="111"/>
      <c r="X265" s="123"/>
      <c r="AG265" s="185"/>
      <c r="AH265" s="185"/>
      <c r="AI265" s="222" t="str">
        <f t="shared" si="9"/>
        <v/>
      </c>
    </row>
    <row r="266" spans="1:35" s="108" customFormat="1" ht="15.75">
      <c r="A266" s="119"/>
      <c r="B266" s="120"/>
      <c r="C266" s="111"/>
      <c r="D266" s="111"/>
      <c r="E266" s="121"/>
      <c r="F266" s="121"/>
      <c r="G266" s="113"/>
      <c r="H266" s="199" t="str">
        <f t="shared" si="8"/>
        <v/>
      </c>
      <c r="I266" s="200" t="str">
        <f>IF(H266="","",IF(AND(AI266&lt;=66),VLOOKUP(H266,'WordRead Look Up'!$A$13:$B$20,2,TRUE),IF(AND(AI266&gt;=67,AI266&lt;=72),VLOOKUP(H266,'WordRead Look Up'!$E$13:$F$20,2,TRUE),IF(AND(AI266&gt;=73,AI266&lt;=78),VLOOKUP(H266,'WordRead Look Up'!$I$13:$J$18,2,TRUE),IF(AND(AI266&gt;=79),VLOOKUP(H266,'WordRead Look Up'!$M$13:$N$18,2,TRUE),"")))))</f>
        <v/>
      </c>
      <c r="J266" s="122"/>
      <c r="K266" s="111"/>
      <c r="L266" s="111"/>
      <c r="M266" s="111"/>
      <c r="N266" s="111"/>
      <c r="O266" s="111"/>
      <c r="P266" s="111"/>
      <c r="Q266" s="111"/>
      <c r="R266" s="111"/>
      <c r="S266" s="111"/>
      <c r="T266" s="111"/>
      <c r="U266" s="111"/>
      <c r="V266" s="111"/>
      <c r="W266" s="111"/>
      <c r="X266" s="123"/>
      <c r="AG266" s="185"/>
      <c r="AH266" s="185"/>
      <c r="AI266" s="222" t="str">
        <f t="shared" si="9"/>
        <v/>
      </c>
    </row>
    <row r="267" spans="1:35" s="108" customFormat="1" ht="15.75">
      <c r="A267" s="119"/>
      <c r="B267" s="120"/>
      <c r="C267" s="111"/>
      <c r="D267" s="111"/>
      <c r="E267" s="121"/>
      <c r="F267" s="121"/>
      <c r="G267" s="113"/>
      <c r="H267" s="199" t="str">
        <f t="shared" si="8"/>
        <v/>
      </c>
      <c r="I267" s="200" t="str">
        <f>IF(H267="","",IF(AND(AI267&lt;=66),VLOOKUP(H267,'WordRead Look Up'!$A$13:$B$20,2,TRUE),IF(AND(AI267&gt;=67,AI267&lt;=72),VLOOKUP(H267,'WordRead Look Up'!$E$13:$F$20,2,TRUE),IF(AND(AI267&gt;=73,AI267&lt;=78),VLOOKUP(H267,'WordRead Look Up'!$I$13:$J$18,2,TRUE),IF(AND(AI267&gt;=79),VLOOKUP(H267,'WordRead Look Up'!$M$13:$N$18,2,TRUE),"")))))</f>
        <v/>
      </c>
      <c r="J267" s="122"/>
      <c r="K267" s="111"/>
      <c r="L267" s="111"/>
      <c r="M267" s="111"/>
      <c r="N267" s="111"/>
      <c r="O267" s="111"/>
      <c r="P267" s="111"/>
      <c r="Q267" s="111"/>
      <c r="R267" s="111"/>
      <c r="S267" s="111"/>
      <c r="T267" s="111"/>
      <c r="U267" s="111"/>
      <c r="V267" s="111"/>
      <c r="W267" s="111"/>
      <c r="X267" s="123"/>
      <c r="AG267" s="185"/>
      <c r="AH267" s="185"/>
      <c r="AI267" s="222" t="str">
        <f t="shared" si="9"/>
        <v/>
      </c>
    </row>
    <row r="268" spans="1:35" s="108" customFormat="1" ht="15.75">
      <c r="A268" s="119"/>
      <c r="B268" s="120"/>
      <c r="C268" s="111"/>
      <c r="D268" s="111"/>
      <c r="E268" s="121"/>
      <c r="F268" s="121"/>
      <c r="G268" s="113"/>
      <c r="H268" s="199" t="str">
        <f t="shared" si="8"/>
        <v/>
      </c>
      <c r="I268" s="200" t="str">
        <f>IF(H268="","",IF(AND(AI268&lt;=66),VLOOKUP(H268,'WordRead Look Up'!$A$13:$B$20,2,TRUE),IF(AND(AI268&gt;=67,AI268&lt;=72),VLOOKUP(H268,'WordRead Look Up'!$E$13:$F$20,2,TRUE),IF(AND(AI268&gt;=73,AI268&lt;=78),VLOOKUP(H268,'WordRead Look Up'!$I$13:$J$18,2,TRUE),IF(AND(AI268&gt;=79),VLOOKUP(H268,'WordRead Look Up'!$M$13:$N$18,2,TRUE),"")))))</f>
        <v/>
      </c>
      <c r="J268" s="122"/>
      <c r="K268" s="111"/>
      <c r="L268" s="111"/>
      <c r="M268" s="111"/>
      <c r="N268" s="111"/>
      <c r="O268" s="111"/>
      <c r="P268" s="111"/>
      <c r="Q268" s="111"/>
      <c r="R268" s="111"/>
      <c r="S268" s="111"/>
      <c r="T268" s="111"/>
      <c r="U268" s="111"/>
      <c r="V268" s="111"/>
      <c r="W268" s="111"/>
      <c r="X268" s="123"/>
      <c r="AG268" s="185"/>
      <c r="AH268" s="185"/>
      <c r="AI268" s="222" t="str">
        <f t="shared" si="9"/>
        <v/>
      </c>
    </row>
    <row r="269" spans="1:35" s="108" customFormat="1" ht="15.75">
      <c r="A269" s="119"/>
      <c r="B269" s="120"/>
      <c r="C269" s="111"/>
      <c r="D269" s="111"/>
      <c r="E269" s="121"/>
      <c r="F269" s="121"/>
      <c r="G269" s="113"/>
      <c r="H269" s="199" t="str">
        <f t="shared" si="8"/>
        <v/>
      </c>
      <c r="I269" s="200" t="str">
        <f>IF(H269="","",IF(AND(AI269&lt;=66),VLOOKUP(H269,'WordRead Look Up'!$A$13:$B$20,2,TRUE),IF(AND(AI269&gt;=67,AI269&lt;=72),VLOOKUP(H269,'WordRead Look Up'!$E$13:$F$20,2,TRUE),IF(AND(AI269&gt;=73,AI269&lt;=78),VLOOKUP(H269,'WordRead Look Up'!$I$13:$J$18,2,TRUE),IF(AND(AI269&gt;=79),VLOOKUP(H269,'WordRead Look Up'!$M$13:$N$18,2,TRUE),"")))))</f>
        <v/>
      </c>
      <c r="J269" s="122"/>
      <c r="K269" s="111"/>
      <c r="L269" s="111"/>
      <c r="M269" s="111"/>
      <c r="N269" s="111"/>
      <c r="O269" s="111"/>
      <c r="P269" s="111"/>
      <c r="Q269" s="111"/>
      <c r="R269" s="111"/>
      <c r="S269" s="111"/>
      <c r="T269" s="111"/>
      <c r="U269" s="111"/>
      <c r="V269" s="111"/>
      <c r="W269" s="111"/>
      <c r="X269" s="123"/>
      <c r="AG269" s="185"/>
      <c r="AH269" s="185"/>
      <c r="AI269" s="222" t="str">
        <f t="shared" si="9"/>
        <v/>
      </c>
    </row>
    <row r="270" spans="1:35" s="108" customFormat="1" ht="15.75">
      <c r="A270" s="119"/>
      <c r="B270" s="120"/>
      <c r="C270" s="111"/>
      <c r="D270" s="111"/>
      <c r="E270" s="121"/>
      <c r="F270" s="121"/>
      <c r="G270" s="113"/>
      <c r="H270" s="199" t="str">
        <f t="shared" si="8"/>
        <v/>
      </c>
      <c r="I270" s="200" t="str">
        <f>IF(H270="","",IF(AND(AI270&lt;=66),VLOOKUP(H270,'WordRead Look Up'!$A$13:$B$20,2,TRUE),IF(AND(AI270&gt;=67,AI270&lt;=72),VLOOKUP(H270,'WordRead Look Up'!$E$13:$F$20,2,TRUE),IF(AND(AI270&gt;=73,AI270&lt;=78),VLOOKUP(H270,'WordRead Look Up'!$I$13:$J$18,2,TRUE),IF(AND(AI270&gt;=79),VLOOKUP(H270,'WordRead Look Up'!$M$13:$N$18,2,TRUE),"")))))</f>
        <v/>
      </c>
      <c r="J270" s="122"/>
      <c r="K270" s="111"/>
      <c r="L270" s="111"/>
      <c r="M270" s="111"/>
      <c r="N270" s="111"/>
      <c r="O270" s="111"/>
      <c r="P270" s="111"/>
      <c r="Q270" s="111"/>
      <c r="R270" s="111"/>
      <c r="S270" s="111"/>
      <c r="T270" s="111"/>
      <c r="U270" s="111"/>
      <c r="V270" s="111"/>
      <c r="W270" s="111"/>
      <c r="X270" s="123"/>
      <c r="AG270" s="185"/>
      <c r="AH270" s="185"/>
      <c r="AI270" s="222" t="str">
        <f t="shared" si="9"/>
        <v/>
      </c>
    </row>
    <row r="271" spans="1:35" s="108" customFormat="1" ht="15.75">
      <c r="A271" s="119"/>
      <c r="B271" s="120"/>
      <c r="C271" s="111"/>
      <c r="D271" s="111"/>
      <c r="E271" s="121"/>
      <c r="F271" s="121"/>
      <c r="G271" s="113"/>
      <c r="H271" s="199" t="str">
        <f t="shared" si="8"/>
        <v/>
      </c>
      <c r="I271" s="200" t="str">
        <f>IF(H271="","",IF(AND(AI271&lt;=66),VLOOKUP(H271,'WordRead Look Up'!$A$13:$B$20,2,TRUE),IF(AND(AI271&gt;=67,AI271&lt;=72),VLOOKUP(H271,'WordRead Look Up'!$E$13:$F$20,2,TRUE),IF(AND(AI271&gt;=73,AI271&lt;=78),VLOOKUP(H271,'WordRead Look Up'!$I$13:$J$18,2,TRUE),IF(AND(AI271&gt;=79),VLOOKUP(H271,'WordRead Look Up'!$M$13:$N$18,2,TRUE),"")))))</f>
        <v/>
      </c>
      <c r="J271" s="122"/>
      <c r="K271" s="111"/>
      <c r="L271" s="111"/>
      <c r="M271" s="111"/>
      <c r="N271" s="111"/>
      <c r="O271" s="111"/>
      <c r="P271" s="111"/>
      <c r="Q271" s="111"/>
      <c r="R271" s="111"/>
      <c r="S271" s="111"/>
      <c r="T271" s="111"/>
      <c r="U271" s="111"/>
      <c r="V271" s="111"/>
      <c r="W271" s="111"/>
      <c r="X271" s="123"/>
      <c r="AG271" s="185"/>
      <c r="AH271" s="185"/>
      <c r="AI271" s="222" t="str">
        <f t="shared" si="9"/>
        <v/>
      </c>
    </row>
    <row r="272" spans="1:35" s="108" customFormat="1" ht="15.75">
      <c r="A272" s="119"/>
      <c r="B272" s="120"/>
      <c r="C272" s="111"/>
      <c r="D272" s="111"/>
      <c r="E272" s="121"/>
      <c r="F272" s="121"/>
      <c r="G272" s="113"/>
      <c r="H272" s="199" t="str">
        <f t="shared" si="8"/>
        <v/>
      </c>
      <c r="I272" s="200" t="str">
        <f>IF(H272="","",IF(AND(AI272&lt;=66),VLOOKUP(H272,'WordRead Look Up'!$A$13:$B$20,2,TRUE),IF(AND(AI272&gt;=67,AI272&lt;=72),VLOOKUP(H272,'WordRead Look Up'!$E$13:$F$20,2,TRUE),IF(AND(AI272&gt;=73,AI272&lt;=78),VLOOKUP(H272,'WordRead Look Up'!$I$13:$J$18,2,TRUE),IF(AND(AI272&gt;=79),VLOOKUP(H272,'WordRead Look Up'!$M$13:$N$18,2,TRUE),"")))))</f>
        <v/>
      </c>
      <c r="J272" s="122"/>
      <c r="K272" s="111"/>
      <c r="L272" s="111"/>
      <c r="M272" s="111"/>
      <c r="N272" s="111"/>
      <c r="O272" s="111"/>
      <c r="P272" s="111"/>
      <c r="Q272" s="111"/>
      <c r="R272" s="111"/>
      <c r="S272" s="111"/>
      <c r="T272" s="111"/>
      <c r="U272" s="111"/>
      <c r="V272" s="111"/>
      <c r="W272" s="111"/>
      <c r="X272" s="123"/>
      <c r="AG272" s="185"/>
      <c r="AH272" s="185"/>
      <c r="AI272" s="222" t="str">
        <f t="shared" si="9"/>
        <v/>
      </c>
    </row>
    <row r="273" spans="1:35" s="108" customFormat="1" ht="15.75">
      <c r="A273" s="119"/>
      <c r="B273" s="120"/>
      <c r="C273" s="111"/>
      <c r="D273" s="111"/>
      <c r="E273" s="121"/>
      <c r="F273" s="121"/>
      <c r="G273" s="113"/>
      <c r="H273" s="199" t="str">
        <f t="shared" si="8"/>
        <v/>
      </c>
      <c r="I273" s="200" t="str">
        <f>IF(H273="","",IF(AND(AI273&lt;=66),VLOOKUP(H273,'WordRead Look Up'!$A$13:$B$20,2,TRUE),IF(AND(AI273&gt;=67,AI273&lt;=72),VLOOKUP(H273,'WordRead Look Up'!$E$13:$F$20,2,TRUE),IF(AND(AI273&gt;=73,AI273&lt;=78),VLOOKUP(H273,'WordRead Look Up'!$I$13:$J$18,2,TRUE),IF(AND(AI273&gt;=79),VLOOKUP(H273,'WordRead Look Up'!$M$13:$N$18,2,TRUE),"")))))</f>
        <v/>
      </c>
      <c r="J273" s="122"/>
      <c r="K273" s="111"/>
      <c r="L273" s="111"/>
      <c r="M273" s="111"/>
      <c r="N273" s="111"/>
      <c r="O273" s="111"/>
      <c r="P273" s="111"/>
      <c r="Q273" s="111"/>
      <c r="R273" s="111"/>
      <c r="S273" s="111"/>
      <c r="T273" s="111"/>
      <c r="U273" s="111"/>
      <c r="V273" s="111"/>
      <c r="W273" s="111"/>
      <c r="X273" s="123"/>
      <c r="AG273" s="185"/>
      <c r="AH273" s="185"/>
      <c r="AI273" s="222" t="str">
        <f t="shared" si="9"/>
        <v/>
      </c>
    </row>
    <row r="274" spans="1:35" s="108" customFormat="1" ht="15.75">
      <c r="A274" s="119"/>
      <c r="B274" s="120"/>
      <c r="C274" s="111"/>
      <c r="D274" s="111"/>
      <c r="E274" s="121"/>
      <c r="F274" s="121"/>
      <c r="G274" s="113"/>
      <c r="H274" s="199" t="str">
        <f t="shared" si="8"/>
        <v/>
      </c>
      <c r="I274" s="200" t="str">
        <f>IF(H274="","",IF(AND(AI274&lt;=66),VLOOKUP(H274,'WordRead Look Up'!$A$13:$B$20,2,TRUE),IF(AND(AI274&gt;=67,AI274&lt;=72),VLOOKUP(H274,'WordRead Look Up'!$E$13:$F$20,2,TRUE),IF(AND(AI274&gt;=73,AI274&lt;=78),VLOOKUP(H274,'WordRead Look Up'!$I$13:$J$18,2,TRUE),IF(AND(AI274&gt;=79),VLOOKUP(H274,'WordRead Look Up'!$M$13:$N$18,2,TRUE),"")))))</f>
        <v/>
      </c>
      <c r="J274" s="122"/>
      <c r="K274" s="111"/>
      <c r="L274" s="111"/>
      <c r="M274" s="111"/>
      <c r="N274" s="111"/>
      <c r="O274" s="111"/>
      <c r="P274" s="111"/>
      <c r="Q274" s="111"/>
      <c r="R274" s="111"/>
      <c r="S274" s="111"/>
      <c r="T274" s="111"/>
      <c r="U274" s="111"/>
      <c r="V274" s="111"/>
      <c r="W274" s="111"/>
      <c r="X274" s="123"/>
      <c r="AG274" s="185"/>
      <c r="AH274" s="185"/>
      <c r="AI274" s="222" t="str">
        <f t="shared" si="9"/>
        <v/>
      </c>
    </row>
    <row r="275" spans="1:35" s="108" customFormat="1" ht="15.75">
      <c r="A275" s="119"/>
      <c r="B275" s="120"/>
      <c r="C275" s="111"/>
      <c r="D275" s="111"/>
      <c r="E275" s="121"/>
      <c r="F275" s="121"/>
      <c r="G275" s="113"/>
      <c r="H275" s="199" t="str">
        <f t="shared" si="8"/>
        <v/>
      </c>
      <c r="I275" s="200" t="str">
        <f>IF(H275="","",IF(AND(AI275&lt;=66),VLOOKUP(H275,'WordRead Look Up'!$A$13:$B$20,2,TRUE),IF(AND(AI275&gt;=67,AI275&lt;=72),VLOOKUP(H275,'WordRead Look Up'!$E$13:$F$20,2,TRUE),IF(AND(AI275&gt;=73,AI275&lt;=78),VLOOKUP(H275,'WordRead Look Up'!$I$13:$J$18,2,TRUE),IF(AND(AI275&gt;=79),VLOOKUP(H275,'WordRead Look Up'!$M$13:$N$18,2,TRUE),"")))))</f>
        <v/>
      </c>
      <c r="J275" s="122"/>
      <c r="K275" s="111"/>
      <c r="L275" s="111"/>
      <c r="M275" s="111"/>
      <c r="N275" s="111"/>
      <c r="O275" s="111"/>
      <c r="P275" s="111"/>
      <c r="Q275" s="111"/>
      <c r="R275" s="111"/>
      <c r="S275" s="111"/>
      <c r="T275" s="111"/>
      <c r="U275" s="111"/>
      <c r="V275" s="111"/>
      <c r="W275" s="111"/>
      <c r="X275" s="123"/>
      <c r="AG275" s="185"/>
      <c r="AH275" s="185"/>
      <c r="AI275" s="222" t="str">
        <f t="shared" si="9"/>
        <v/>
      </c>
    </row>
    <row r="276" spans="1:35" s="108" customFormat="1" ht="15.75">
      <c r="A276" s="119"/>
      <c r="B276" s="120"/>
      <c r="C276" s="111"/>
      <c r="D276" s="111"/>
      <c r="E276" s="121"/>
      <c r="F276" s="121"/>
      <c r="G276" s="113"/>
      <c r="H276" s="199" t="str">
        <f t="shared" si="8"/>
        <v/>
      </c>
      <c r="I276" s="200" t="str">
        <f>IF(H276="","",IF(AND(AI276&lt;=66),VLOOKUP(H276,'WordRead Look Up'!$A$13:$B$20,2,TRUE),IF(AND(AI276&gt;=67,AI276&lt;=72),VLOOKUP(H276,'WordRead Look Up'!$E$13:$F$20,2,TRUE),IF(AND(AI276&gt;=73,AI276&lt;=78),VLOOKUP(H276,'WordRead Look Up'!$I$13:$J$18,2,TRUE),IF(AND(AI276&gt;=79),VLOOKUP(H276,'WordRead Look Up'!$M$13:$N$18,2,TRUE),"")))))</f>
        <v/>
      </c>
      <c r="J276" s="122"/>
      <c r="K276" s="111"/>
      <c r="L276" s="111"/>
      <c r="M276" s="111"/>
      <c r="N276" s="111"/>
      <c r="O276" s="111"/>
      <c r="P276" s="111"/>
      <c r="Q276" s="111"/>
      <c r="R276" s="111"/>
      <c r="S276" s="111"/>
      <c r="T276" s="111"/>
      <c r="U276" s="111"/>
      <c r="V276" s="111"/>
      <c r="W276" s="111"/>
      <c r="X276" s="123"/>
      <c r="AG276" s="185"/>
      <c r="AH276" s="185"/>
      <c r="AI276" s="222" t="str">
        <f t="shared" si="9"/>
        <v/>
      </c>
    </row>
    <row r="277" spans="1:35" s="108" customFormat="1" ht="15.75">
      <c r="A277" s="119"/>
      <c r="B277" s="120"/>
      <c r="C277" s="111"/>
      <c r="D277" s="111"/>
      <c r="E277" s="121"/>
      <c r="F277" s="121"/>
      <c r="G277" s="113"/>
      <c r="H277" s="199" t="str">
        <f t="shared" si="8"/>
        <v/>
      </c>
      <c r="I277" s="200" t="str">
        <f>IF(H277="","",IF(AND(AI277&lt;=66),VLOOKUP(H277,'WordRead Look Up'!$A$13:$B$20,2,TRUE),IF(AND(AI277&gt;=67,AI277&lt;=72),VLOOKUP(H277,'WordRead Look Up'!$E$13:$F$20,2,TRUE),IF(AND(AI277&gt;=73,AI277&lt;=78),VLOOKUP(H277,'WordRead Look Up'!$I$13:$J$18,2,TRUE),IF(AND(AI277&gt;=79),VLOOKUP(H277,'WordRead Look Up'!$M$13:$N$18,2,TRUE),"")))))</f>
        <v/>
      </c>
      <c r="J277" s="122"/>
      <c r="K277" s="111"/>
      <c r="L277" s="111"/>
      <c r="M277" s="111"/>
      <c r="N277" s="111"/>
      <c r="O277" s="111"/>
      <c r="P277" s="111"/>
      <c r="Q277" s="111"/>
      <c r="R277" s="111"/>
      <c r="S277" s="111"/>
      <c r="T277" s="111"/>
      <c r="U277" s="111"/>
      <c r="V277" s="111"/>
      <c r="W277" s="111"/>
      <c r="X277" s="123"/>
      <c r="AG277" s="185"/>
      <c r="AH277" s="185"/>
      <c r="AI277" s="222" t="str">
        <f t="shared" si="9"/>
        <v/>
      </c>
    </row>
    <row r="278" spans="1:35" s="108" customFormat="1" ht="15.75">
      <c r="A278" s="119"/>
      <c r="B278" s="120"/>
      <c r="C278" s="111"/>
      <c r="D278" s="111"/>
      <c r="E278" s="121"/>
      <c r="F278" s="121"/>
      <c r="G278" s="113"/>
      <c r="H278" s="199" t="str">
        <f t="shared" si="8"/>
        <v/>
      </c>
      <c r="I278" s="200" t="str">
        <f>IF(H278="","",IF(AND(AI278&lt;=66),VLOOKUP(H278,'WordRead Look Up'!$A$13:$B$20,2,TRUE),IF(AND(AI278&gt;=67,AI278&lt;=72),VLOOKUP(H278,'WordRead Look Up'!$E$13:$F$20,2,TRUE),IF(AND(AI278&gt;=73,AI278&lt;=78),VLOOKUP(H278,'WordRead Look Up'!$I$13:$J$18,2,TRUE),IF(AND(AI278&gt;=79),VLOOKUP(H278,'WordRead Look Up'!$M$13:$N$18,2,TRUE),"")))))</f>
        <v/>
      </c>
      <c r="J278" s="122"/>
      <c r="K278" s="111"/>
      <c r="L278" s="111"/>
      <c r="M278" s="111"/>
      <c r="N278" s="111"/>
      <c r="O278" s="111"/>
      <c r="P278" s="111"/>
      <c r="Q278" s="111"/>
      <c r="R278" s="111"/>
      <c r="S278" s="111"/>
      <c r="T278" s="111"/>
      <c r="U278" s="111"/>
      <c r="V278" s="111"/>
      <c r="W278" s="111"/>
      <c r="X278" s="123"/>
      <c r="AG278" s="185"/>
      <c r="AH278" s="185"/>
      <c r="AI278" s="222" t="str">
        <f t="shared" si="9"/>
        <v/>
      </c>
    </row>
    <row r="279" spans="1:35" s="108" customFormat="1" ht="15.75">
      <c r="A279" s="119"/>
      <c r="B279" s="120"/>
      <c r="C279" s="111"/>
      <c r="D279" s="111"/>
      <c r="E279" s="121"/>
      <c r="F279" s="121"/>
      <c r="G279" s="113"/>
      <c r="H279" s="199" t="str">
        <f t="shared" si="8"/>
        <v/>
      </c>
      <c r="I279" s="200" t="str">
        <f>IF(H279="","",IF(AND(AI279&lt;=66),VLOOKUP(H279,'WordRead Look Up'!$A$13:$B$20,2,TRUE),IF(AND(AI279&gt;=67,AI279&lt;=72),VLOOKUP(H279,'WordRead Look Up'!$E$13:$F$20,2,TRUE),IF(AND(AI279&gt;=73,AI279&lt;=78),VLOOKUP(H279,'WordRead Look Up'!$I$13:$J$18,2,TRUE),IF(AND(AI279&gt;=79),VLOOKUP(H279,'WordRead Look Up'!$M$13:$N$18,2,TRUE),"")))))</f>
        <v/>
      </c>
      <c r="J279" s="122"/>
      <c r="K279" s="111"/>
      <c r="L279" s="111"/>
      <c r="M279" s="111"/>
      <c r="N279" s="111"/>
      <c r="O279" s="111"/>
      <c r="P279" s="111"/>
      <c r="Q279" s="111"/>
      <c r="R279" s="111"/>
      <c r="S279" s="111"/>
      <c r="T279" s="111"/>
      <c r="U279" s="111"/>
      <c r="V279" s="111"/>
      <c r="W279" s="111"/>
      <c r="X279" s="123"/>
      <c r="AG279" s="185"/>
      <c r="AH279" s="185"/>
      <c r="AI279" s="222" t="str">
        <f t="shared" si="9"/>
        <v/>
      </c>
    </row>
    <row r="280" spans="1:35" s="108" customFormat="1" ht="15.75">
      <c r="A280" s="119"/>
      <c r="B280" s="120"/>
      <c r="C280" s="111"/>
      <c r="D280" s="111"/>
      <c r="E280" s="121"/>
      <c r="F280" s="121"/>
      <c r="G280" s="113"/>
      <c r="H280" s="199" t="str">
        <f t="shared" si="8"/>
        <v/>
      </c>
      <c r="I280" s="200" t="str">
        <f>IF(H280="","",IF(AND(AI280&lt;=66),VLOOKUP(H280,'WordRead Look Up'!$A$13:$B$20,2,TRUE),IF(AND(AI280&gt;=67,AI280&lt;=72),VLOOKUP(H280,'WordRead Look Up'!$E$13:$F$20,2,TRUE),IF(AND(AI280&gt;=73,AI280&lt;=78),VLOOKUP(H280,'WordRead Look Up'!$I$13:$J$18,2,TRUE),IF(AND(AI280&gt;=79),VLOOKUP(H280,'WordRead Look Up'!$M$13:$N$18,2,TRUE),"")))))</f>
        <v/>
      </c>
      <c r="J280" s="122"/>
      <c r="K280" s="111"/>
      <c r="L280" s="111"/>
      <c r="M280" s="111"/>
      <c r="N280" s="111"/>
      <c r="O280" s="111"/>
      <c r="P280" s="111"/>
      <c r="Q280" s="111"/>
      <c r="R280" s="111"/>
      <c r="S280" s="111"/>
      <c r="T280" s="111"/>
      <c r="U280" s="111"/>
      <c r="V280" s="111"/>
      <c r="W280" s="111"/>
      <c r="X280" s="123"/>
      <c r="AG280" s="185"/>
      <c r="AH280" s="185"/>
      <c r="AI280" s="222" t="str">
        <f t="shared" si="9"/>
        <v/>
      </c>
    </row>
    <row r="281" spans="1:35" s="108" customFormat="1" ht="15.75">
      <c r="A281" s="119"/>
      <c r="B281" s="120"/>
      <c r="C281" s="111"/>
      <c r="D281" s="111"/>
      <c r="E281" s="121"/>
      <c r="F281" s="121"/>
      <c r="G281" s="113"/>
      <c r="H281" s="199" t="str">
        <f t="shared" si="8"/>
        <v/>
      </c>
      <c r="I281" s="200" t="str">
        <f>IF(H281="","",IF(AND(AI281&lt;=66),VLOOKUP(H281,'WordRead Look Up'!$A$13:$B$20,2,TRUE),IF(AND(AI281&gt;=67,AI281&lt;=72),VLOOKUP(H281,'WordRead Look Up'!$E$13:$F$20,2,TRUE),IF(AND(AI281&gt;=73,AI281&lt;=78),VLOOKUP(H281,'WordRead Look Up'!$I$13:$J$18,2,TRUE),IF(AND(AI281&gt;=79),VLOOKUP(H281,'WordRead Look Up'!$M$13:$N$18,2,TRUE),"")))))</f>
        <v/>
      </c>
      <c r="J281" s="122"/>
      <c r="K281" s="111"/>
      <c r="L281" s="111"/>
      <c r="M281" s="111"/>
      <c r="N281" s="111"/>
      <c r="O281" s="111"/>
      <c r="P281" s="111"/>
      <c r="Q281" s="111"/>
      <c r="R281" s="111"/>
      <c r="S281" s="111"/>
      <c r="T281" s="111"/>
      <c r="U281" s="111"/>
      <c r="V281" s="111"/>
      <c r="W281" s="111"/>
      <c r="X281" s="123"/>
      <c r="AG281" s="185"/>
      <c r="AH281" s="185"/>
      <c r="AI281" s="222" t="str">
        <f t="shared" si="9"/>
        <v/>
      </c>
    </row>
    <row r="282" spans="1:35" s="108" customFormat="1" ht="15.75">
      <c r="A282" s="119"/>
      <c r="B282" s="120"/>
      <c r="C282" s="111"/>
      <c r="D282" s="111"/>
      <c r="E282" s="121"/>
      <c r="F282" s="121"/>
      <c r="G282" s="113"/>
      <c r="H282" s="199" t="str">
        <f t="shared" si="8"/>
        <v/>
      </c>
      <c r="I282" s="200" t="str">
        <f>IF(H282="","",IF(AND(AI282&lt;=66),VLOOKUP(H282,'WordRead Look Up'!$A$13:$B$20,2,TRUE),IF(AND(AI282&gt;=67,AI282&lt;=72),VLOOKUP(H282,'WordRead Look Up'!$E$13:$F$20,2,TRUE),IF(AND(AI282&gt;=73,AI282&lt;=78),VLOOKUP(H282,'WordRead Look Up'!$I$13:$J$18,2,TRUE),IF(AND(AI282&gt;=79),VLOOKUP(H282,'WordRead Look Up'!$M$13:$N$18,2,TRUE),"")))))</f>
        <v/>
      </c>
      <c r="J282" s="122"/>
      <c r="K282" s="111"/>
      <c r="L282" s="111"/>
      <c r="M282" s="111"/>
      <c r="N282" s="111"/>
      <c r="O282" s="111"/>
      <c r="P282" s="111"/>
      <c r="Q282" s="111"/>
      <c r="R282" s="111"/>
      <c r="S282" s="111"/>
      <c r="T282" s="111"/>
      <c r="U282" s="111"/>
      <c r="V282" s="111"/>
      <c r="W282" s="111"/>
      <c r="X282" s="123"/>
      <c r="AG282" s="185"/>
      <c r="AH282" s="185"/>
      <c r="AI282" s="222" t="str">
        <f t="shared" si="9"/>
        <v/>
      </c>
    </row>
    <row r="283" spans="1:35" s="108" customFormat="1" ht="15.75">
      <c r="A283" s="119"/>
      <c r="B283" s="120"/>
      <c r="C283" s="111"/>
      <c r="D283" s="111"/>
      <c r="E283" s="121"/>
      <c r="F283" s="121"/>
      <c r="G283" s="113"/>
      <c r="H283" s="199" t="str">
        <f t="shared" si="8"/>
        <v/>
      </c>
      <c r="I283" s="200" t="str">
        <f>IF(H283="","",IF(AND(AI283&lt;=66),VLOOKUP(H283,'WordRead Look Up'!$A$13:$B$20,2,TRUE),IF(AND(AI283&gt;=67,AI283&lt;=72),VLOOKUP(H283,'WordRead Look Up'!$E$13:$F$20,2,TRUE),IF(AND(AI283&gt;=73,AI283&lt;=78),VLOOKUP(H283,'WordRead Look Up'!$I$13:$J$18,2,TRUE),IF(AND(AI283&gt;=79),VLOOKUP(H283,'WordRead Look Up'!$M$13:$N$18,2,TRUE),"")))))</f>
        <v/>
      </c>
      <c r="J283" s="122"/>
      <c r="K283" s="111"/>
      <c r="L283" s="111"/>
      <c r="M283" s="111"/>
      <c r="N283" s="111"/>
      <c r="O283" s="111"/>
      <c r="P283" s="111"/>
      <c r="Q283" s="111"/>
      <c r="R283" s="111"/>
      <c r="S283" s="111"/>
      <c r="T283" s="111"/>
      <c r="U283" s="111"/>
      <c r="V283" s="111"/>
      <c r="W283" s="111"/>
      <c r="X283" s="123"/>
      <c r="AG283" s="185"/>
      <c r="AH283" s="185"/>
      <c r="AI283" s="222" t="str">
        <f t="shared" si="9"/>
        <v/>
      </c>
    </row>
    <row r="284" spans="1:35" s="108" customFormat="1" ht="15.75">
      <c r="A284" s="119"/>
      <c r="B284" s="120"/>
      <c r="C284" s="111"/>
      <c r="D284" s="111"/>
      <c r="E284" s="121"/>
      <c r="F284" s="121"/>
      <c r="G284" s="113"/>
      <c r="H284" s="199" t="str">
        <f t="shared" si="8"/>
        <v/>
      </c>
      <c r="I284" s="200" t="str">
        <f>IF(H284="","",IF(AND(AI284&lt;=66),VLOOKUP(H284,'WordRead Look Up'!$A$13:$B$20,2,TRUE),IF(AND(AI284&gt;=67,AI284&lt;=72),VLOOKUP(H284,'WordRead Look Up'!$E$13:$F$20,2,TRUE),IF(AND(AI284&gt;=73,AI284&lt;=78),VLOOKUP(H284,'WordRead Look Up'!$I$13:$J$18,2,TRUE),IF(AND(AI284&gt;=79),VLOOKUP(H284,'WordRead Look Up'!$M$13:$N$18,2,TRUE),"")))))</f>
        <v/>
      </c>
      <c r="J284" s="122"/>
      <c r="K284" s="111"/>
      <c r="L284" s="111"/>
      <c r="M284" s="111"/>
      <c r="N284" s="111"/>
      <c r="O284" s="111"/>
      <c r="P284" s="111"/>
      <c r="Q284" s="111"/>
      <c r="R284" s="111"/>
      <c r="S284" s="111"/>
      <c r="T284" s="111"/>
      <c r="U284" s="111"/>
      <c r="V284" s="111"/>
      <c r="W284" s="111"/>
      <c r="X284" s="123"/>
      <c r="AG284" s="185"/>
      <c r="AH284" s="185"/>
      <c r="AI284" s="222" t="str">
        <f t="shared" si="9"/>
        <v/>
      </c>
    </row>
    <row r="285" spans="1:35" s="108" customFormat="1" ht="15.75">
      <c r="A285" s="119"/>
      <c r="B285" s="120"/>
      <c r="C285" s="111"/>
      <c r="D285" s="111"/>
      <c r="E285" s="121"/>
      <c r="F285" s="121"/>
      <c r="G285" s="113"/>
      <c r="H285" s="199" t="str">
        <f t="shared" si="8"/>
        <v/>
      </c>
      <c r="I285" s="200" t="str">
        <f>IF(H285="","",IF(AND(AI285&lt;=66),VLOOKUP(H285,'WordRead Look Up'!$A$13:$B$20,2,TRUE),IF(AND(AI285&gt;=67,AI285&lt;=72),VLOOKUP(H285,'WordRead Look Up'!$E$13:$F$20,2,TRUE),IF(AND(AI285&gt;=73,AI285&lt;=78),VLOOKUP(H285,'WordRead Look Up'!$I$13:$J$18,2,TRUE),IF(AND(AI285&gt;=79),VLOOKUP(H285,'WordRead Look Up'!$M$13:$N$18,2,TRUE),"")))))</f>
        <v/>
      </c>
      <c r="J285" s="122"/>
      <c r="K285" s="111"/>
      <c r="L285" s="111"/>
      <c r="M285" s="111"/>
      <c r="N285" s="111"/>
      <c r="O285" s="111"/>
      <c r="P285" s="111"/>
      <c r="Q285" s="111"/>
      <c r="R285" s="111"/>
      <c r="S285" s="111"/>
      <c r="T285" s="111"/>
      <c r="U285" s="111"/>
      <c r="V285" s="111"/>
      <c r="W285" s="111"/>
      <c r="X285" s="123"/>
      <c r="AG285" s="185"/>
      <c r="AH285" s="185"/>
      <c r="AI285" s="222" t="str">
        <f t="shared" si="9"/>
        <v/>
      </c>
    </row>
    <row r="286" spans="1:35" s="108" customFormat="1" ht="15.75">
      <c r="A286" s="119"/>
      <c r="B286" s="120"/>
      <c r="C286" s="111"/>
      <c r="D286" s="111"/>
      <c r="E286" s="121"/>
      <c r="F286" s="121"/>
      <c r="G286" s="113"/>
      <c r="H286" s="199" t="str">
        <f t="shared" si="8"/>
        <v/>
      </c>
      <c r="I286" s="200" t="str">
        <f>IF(H286="","",IF(AND(AI286&lt;=66),VLOOKUP(H286,'WordRead Look Up'!$A$13:$B$20,2,TRUE),IF(AND(AI286&gt;=67,AI286&lt;=72),VLOOKUP(H286,'WordRead Look Up'!$E$13:$F$20,2,TRUE),IF(AND(AI286&gt;=73,AI286&lt;=78),VLOOKUP(H286,'WordRead Look Up'!$I$13:$J$18,2,TRUE),IF(AND(AI286&gt;=79),VLOOKUP(H286,'WordRead Look Up'!$M$13:$N$18,2,TRUE),"")))))</f>
        <v/>
      </c>
      <c r="J286" s="122"/>
      <c r="K286" s="111"/>
      <c r="L286" s="111"/>
      <c r="M286" s="111"/>
      <c r="N286" s="111"/>
      <c r="O286" s="111"/>
      <c r="P286" s="111"/>
      <c r="Q286" s="111"/>
      <c r="R286" s="111"/>
      <c r="S286" s="111"/>
      <c r="T286" s="111"/>
      <c r="U286" s="111"/>
      <c r="V286" s="111"/>
      <c r="W286" s="111"/>
      <c r="X286" s="123"/>
      <c r="AG286" s="185"/>
      <c r="AH286" s="185"/>
      <c r="AI286" s="222" t="str">
        <f t="shared" si="9"/>
        <v/>
      </c>
    </row>
    <row r="287" spans="1:35" s="108" customFormat="1" ht="15.75">
      <c r="A287" s="119"/>
      <c r="B287" s="120"/>
      <c r="C287" s="111"/>
      <c r="D287" s="111"/>
      <c r="E287" s="121"/>
      <c r="F287" s="121"/>
      <c r="G287" s="113"/>
      <c r="H287" s="199" t="str">
        <f t="shared" si="8"/>
        <v/>
      </c>
      <c r="I287" s="200" t="str">
        <f>IF(H287="","",IF(AND(AI287&lt;=66),VLOOKUP(H287,'WordRead Look Up'!$A$13:$B$20,2,TRUE),IF(AND(AI287&gt;=67,AI287&lt;=72),VLOOKUP(H287,'WordRead Look Up'!$E$13:$F$20,2,TRUE),IF(AND(AI287&gt;=73,AI287&lt;=78),VLOOKUP(H287,'WordRead Look Up'!$I$13:$J$18,2,TRUE),IF(AND(AI287&gt;=79),VLOOKUP(H287,'WordRead Look Up'!$M$13:$N$18,2,TRUE),"")))))</f>
        <v/>
      </c>
      <c r="J287" s="122"/>
      <c r="K287" s="111"/>
      <c r="L287" s="111"/>
      <c r="M287" s="111"/>
      <c r="N287" s="111"/>
      <c r="O287" s="111"/>
      <c r="P287" s="111"/>
      <c r="Q287" s="111"/>
      <c r="R287" s="111"/>
      <c r="S287" s="111"/>
      <c r="T287" s="111"/>
      <c r="U287" s="111"/>
      <c r="V287" s="111"/>
      <c r="W287" s="111"/>
      <c r="X287" s="123"/>
      <c r="AG287" s="185"/>
      <c r="AH287" s="185"/>
      <c r="AI287" s="222" t="str">
        <f t="shared" si="9"/>
        <v/>
      </c>
    </row>
    <row r="288" spans="1:35" s="108" customFormat="1" ht="15.75">
      <c r="A288" s="119"/>
      <c r="B288" s="120"/>
      <c r="C288" s="111"/>
      <c r="D288" s="111"/>
      <c r="E288" s="121"/>
      <c r="F288" s="121"/>
      <c r="G288" s="113"/>
      <c r="H288" s="199" t="str">
        <f t="shared" si="8"/>
        <v/>
      </c>
      <c r="I288" s="200" t="str">
        <f>IF(H288="","",IF(AND(AI288&lt;=66),VLOOKUP(H288,'WordRead Look Up'!$A$13:$B$20,2,TRUE),IF(AND(AI288&gt;=67,AI288&lt;=72),VLOOKUP(H288,'WordRead Look Up'!$E$13:$F$20,2,TRUE),IF(AND(AI288&gt;=73,AI288&lt;=78),VLOOKUP(H288,'WordRead Look Up'!$I$13:$J$18,2,TRUE),IF(AND(AI288&gt;=79),VLOOKUP(H288,'WordRead Look Up'!$M$13:$N$18,2,TRUE),"")))))</f>
        <v/>
      </c>
      <c r="J288" s="122"/>
      <c r="K288" s="111"/>
      <c r="L288" s="111"/>
      <c r="M288" s="111"/>
      <c r="N288" s="111"/>
      <c r="O288" s="111"/>
      <c r="P288" s="111"/>
      <c r="Q288" s="111"/>
      <c r="R288" s="111"/>
      <c r="S288" s="111"/>
      <c r="T288" s="111"/>
      <c r="U288" s="111"/>
      <c r="V288" s="111"/>
      <c r="W288" s="111"/>
      <c r="X288" s="123"/>
      <c r="AG288" s="185"/>
      <c r="AH288" s="185"/>
      <c r="AI288" s="222" t="str">
        <f t="shared" si="9"/>
        <v/>
      </c>
    </row>
    <row r="289" spans="1:35" s="108" customFormat="1" ht="15.75">
      <c r="A289" s="119"/>
      <c r="B289" s="120"/>
      <c r="C289" s="111"/>
      <c r="D289" s="111"/>
      <c r="E289" s="121"/>
      <c r="F289" s="121"/>
      <c r="G289" s="113"/>
      <c r="H289" s="199" t="str">
        <f t="shared" si="8"/>
        <v/>
      </c>
      <c r="I289" s="200" t="str">
        <f>IF(H289="","",IF(AND(AI289&lt;=66),VLOOKUP(H289,'WordRead Look Up'!$A$13:$B$20,2,TRUE),IF(AND(AI289&gt;=67,AI289&lt;=72),VLOOKUP(H289,'WordRead Look Up'!$E$13:$F$20,2,TRUE),IF(AND(AI289&gt;=73,AI289&lt;=78),VLOOKUP(H289,'WordRead Look Up'!$I$13:$J$18,2,TRUE),IF(AND(AI289&gt;=79),VLOOKUP(H289,'WordRead Look Up'!$M$13:$N$18,2,TRUE),"")))))</f>
        <v/>
      </c>
      <c r="J289" s="122"/>
      <c r="K289" s="111"/>
      <c r="L289" s="111"/>
      <c r="M289" s="111"/>
      <c r="N289" s="111"/>
      <c r="O289" s="111"/>
      <c r="P289" s="111"/>
      <c r="Q289" s="111"/>
      <c r="R289" s="111"/>
      <c r="S289" s="111"/>
      <c r="T289" s="111"/>
      <c r="U289" s="111"/>
      <c r="V289" s="111"/>
      <c r="W289" s="111"/>
      <c r="X289" s="123"/>
      <c r="AG289" s="185"/>
      <c r="AH289" s="185"/>
      <c r="AI289" s="222" t="str">
        <f t="shared" si="9"/>
        <v/>
      </c>
    </row>
    <row r="290" spans="1:35" s="108" customFormat="1" ht="15.75">
      <c r="A290" s="119"/>
      <c r="B290" s="120"/>
      <c r="C290" s="111"/>
      <c r="D290" s="111"/>
      <c r="E290" s="121"/>
      <c r="F290" s="121"/>
      <c r="G290" s="113"/>
      <c r="H290" s="199" t="str">
        <f t="shared" si="8"/>
        <v/>
      </c>
      <c r="I290" s="200" t="str">
        <f>IF(H290="","",IF(AND(AI290&lt;=66),VLOOKUP(H290,'WordRead Look Up'!$A$13:$B$20,2,TRUE),IF(AND(AI290&gt;=67,AI290&lt;=72),VLOOKUP(H290,'WordRead Look Up'!$E$13:$F$20,2,TRUE),IF(AND(AI290&gt;=73,AI290&lt;=78),VLOOKUP(H290,'WordRead Look Up'!$I$13:$J$18,2,TRUE),IF(AND(AI290&gt;=79),VLOOKUP(H290,'WordRead Look Up'!$M$13:$N$18,2,TRUE),"")))))</f>
        <v/>
      </c>
      <c r="J290" s="122"/>
      <c r="K290" s="111"/>
      <c r="L290" s="111"/>
      <c r="M290" s="111"/>
      <c r="N290" s="111"/>
      <c r="O290" s="111"/>
      <c r="P290" s="111"/>
      <c r="Q290" s="111"/>
      <c r="R290" s="111"/>
      <c r="S290" s="111"/>
      <c r="T290" s="111"/>
      <c r="U290" s="111"/>
      <c r="V290" s="111"/>
      <c r="W290" s="111"/>
      <c r="X290" s="123"/>
      <c r="AG290" s="185"/>
      <c r="AH290" s="185"/>
      <c r="AI290" s="222" t="str">
        <f t="shared" si="9"/>
        <v/>
      </c>
    </row>
    <row r="291" spans="1:35" s="108" customFormat="1" ht="15.75">
      <c r="A291" s="119"/>
      <c r="B291" s="120"/>
      <c r="C291" s="111"/>
      <c r="D291" s="111"/>
      <c r="E291" s="121"/>
      <c r="F291" s="121"/>
      <c r="G291" s="113"/>
      <c r="H291" s="199" t="str">
        <f t="shared" si="8"/>
        <v/>
      </c>
      <c r="I291" s="200" t="str">
        <f>IF(H291="","",IF(AND(AI291&lt;=66),VLOOKUP(H291,'WordRead Look Up'!$A$13:$B$20,2,TRUE),IF(AND(AI291&gt;=67,AI291&lt;=72),VLOOKUP(H291,'WordRead Look Up'!$E$13:$F$20,2,TRUE),IF(AND(AI291&gt;=73,AI291&lt;=78),VLOOKUP(H291,'WordRead Look Up'!$I$13:$J$18,2,TRUE),IF(AND(AI291&gt;=79),VLOOKUP(H291,'WordRead Look Up'!$M$13:$N$18,2,TRUE),"")))))</f>
        <v/>
      </c>
      <c r="J291" s="122"/>
      <c r="K291" s="111"/>
      <c r="L291" s="111"/>
      <c r="M291" s="111"/>
      <c r="N291" s="111"/>
      <c r="O291" s="111"/>
      <c r="P291" s="111"/>
      <c r="Q291" s="111"/>
      <c r="R291" s="111"/>
      <c r="S291" s="111"/>
      <c r="T291" s="111"/>
      <c r="U291" s="111"/>
      <c r="V291" s="111"/>
      <c r="W291" s="111"/>
      <c r="X291" s="123"/>
      <c r="AG291" s="185"/>
      <c r="AH291" s="185"/>
      <c r="AI291" s="222" t="str">
        <f t="shared" si="9"/>
        <v/>
      </c>
    </row>
    <row r="292" spans="1:35" s="108" customFormat="1" ht="15.75">
      <c r="A292" s="119"/>
      <c r="B292" s="120"/>
      <c r="C292" s="111"/>
      <c r="D292" s="111"/>
      <c r="E292" s="121"/>
      <c r="F292" s="121"/>
      <c r="G292" s="113"/>
      <c r="H292" s="199" t="str">
        <f t="shared" si="8"/>
        <v/>
      </c>
      <c r="I292" s="200" t="str">
        <f>IF(H292="","",IF(AND(AI292&lt;=66),VLOOKUP(H292,'WordRead Look Up'!$A$13:$B$20,2,TRUE),IF(AND(AI292&gt;=67,AI292&lt;=72),VLOOKUP(H292,'WordRead Look Up'!$E$13:$F$20,2,TRUE),IF(AND(AI292&gt;=73,AI292&lt;=78),VLOOKUP(H292,'WordRead Look Up'!$I$13:$J$18,2,TRUE),IF(AND(AI292&gt;=79),VLOOKUP(H292,'WordRead Look Up'!$M$13:$N$18,2,TRUE),"")))))</f>
        <v/>
      </c>
      <c r="J292" s="122"/>
      <c r="K292" s="111"/>
      <c r="L292" s="111"/>
      <c r="M292" s="111"/>
      <c r="N292" s="111"/>
      <c r="O292" s="111"/>
      <c r="P292" s="111"/>
      <c r="Q292" s="111"/>
      <c r="R292" s="111"/>
      <c r="S292" s="111"/>
      <c r="T292" s="111"/>
      <c r="U292" s="111"/>
      <c r="V292" s="111"/>
      <c r="W292" s="111"/>
      <c r="X292" s="123"/>
      <c r="AG292" s="185"/>
      <c r="AH292" s="185"/>
      <c r="AI292" s="222" t="str">
        <f t="shared" si="9"/>
        <v/>
      </c>
    </row>
    <row r="293" spans="1:35" s="108" customFormat="1" ht="15.75">
      <c r="A293" s="119"/>
      <c r="B293" s="120"/>
      <c r="C293" s="111"/>
      <c r="D293" s="111"/>
      <c r="E293" s="121"/>
      <c r="F293" s="121"/>
      <c r="G293" s="113"/>
      <c r="H293" s="199" t="str">
        <f t="shared" si="8"/>
        <v/>
      </c>
      <c r="I293" s="200" t="str">
        <f>IF(H293="","",IF(AND(AI293&lt;=66),VLOOKUP(H293,'WordRead Look Up'!$A$13:$B$20,2,TRUE),IF(AND(AI293&gt;=67,AI293&lt;=72),VLOOKUP(H293,'WordRead Look Up'!$E$13:$F$20,2,TRUE),IF(AND(AI293&gt;=73,AI293&lt;=78),VLOOKUP(H293,'WordRead Look Up'!$I$13:$J$18,2,TRUE),IF(AND(AI293&gt;=79),VLOOKUP(H293,'WordRead Look Up'!$M$13:$N$18,2,TRUE),"")))))</f>
        <v/>
      </c>
      <c r="J293" s="122"/>
      <c r="K293" s="111"/>
      <c r="L293" s="111"/>
      <c r="M293" s="111"/>
      <c r="N293" s="111"/>
      <c r="O293" s="111"/>
      <c r="P293" s="111"/>
      <c r="Q293" s="111"/>
      <c r="R293" s="111"/>
      <c r="S293" s="111"/>
      <c r="T293" s="111"/>
      <c r="U293" s="111"/>
      <c r="V293" s="111"/>
      <c r="W293" s="111"/>
      <c r="X293" s="123"/>
      <c r="AG293" s="185"/>
      <c r="AH293" s="185"/>
      <c r="AI293" s="222" t="str">
        <f t="shared" si="9"/>
        <v/>
      </c>
    </row>
    <row r="294" spans="1:35" s="108" customFormat="1" ht="15.75">
      <c r="A294" s="119"/>
      <c r="B294" s="120"/>
      <c r="C294" s="111"/>
      <c r="D294" s="111"/>
      <c r="E294" s="121"/>
      <c r="F294" s="121"/>
      <c r="G294" s="113"/>
      <c r="H294" s="199" t="str">
        <f t="shared" si="8"/>
        <v/>
      </c>
      <c r="I294" s="200" t="str">
        <f>IF(H294="","",IF(AND(AI294&lt;=66),VLOOKUP(H294,'WordRead Look Up'!$A$13:$B$20,2,TRUE),IF(AND(AI294&gt;=67,AI294&lt;=72),VLOOKUP(H294,'WordRead Look Up'!$E$13:$F$20,2,TRUE),IF(AND(AI294&gt;=73,AI294&lt;=78),VLOOKUP(H294,'WordRead Look Up'!$I$13:$J$18,2,TRUE),IF(AND(AI294&gt;=79),VLOOKUP(H294,'WordRead Look Up'!$M$13:$N$18,2,TRUE),"")))))</f>
        <v/>
      </c>
      <c r="J294" s="122"/>
      <c r="K294" s="111"/>
      <c r="L294" s="111"/>
      <c r="M294" s="111"/>
      <c r="N294" s="111"/>
      <c r="O294" s="111"/>
      <c r="P294" s="111"/>
      <c r="Q294" s="111"/>
      <c r="R294" s="111"/>
      <c r="S294" s="111"/>
      <c r="T294" s="111"/>
      <c r="U294" s="111"/>
      <c r="V294" s="111"/>
      <c r="W294" s="111"/>
      <c r="X294" s="123"/>
      <c r="AG294" s="185"/>
      <c r="AH294" s="185"/>
      <c r="AI294" s="222" t="str">
        <f t="shared" si="9"/>
        <v/>
      </c>
    </row>
    <row r="295" spans="1:35" s="108" customFormat="1" ht="15.75">
      <c r="A295" s="119"/>
      <c r="B295" s="120"/>
      <c r="C295" s="111"/>
      <c r="D295" s="111"/>
      <c r="E295" s="121"/>
      <c r="F295" s="121"/>
      <c r="G295" s="113"/>
      <c r="H295" s="199" t="str">
        <f t="shared" si="8"/>
        <v/>
      </c>
      <c r="I295" s="200" t="str">
        <f>IF(H295="","",IF(AND(AI295&lt;=66),VLOOKUP(H295,'WordRead Look Up'!$A$13:$B$20,2,TRUE),IF(AND(AI295&gt;=67,AI295&lt;=72),VLOOKUP(H295,'WordRead Look Up'!$E$13:$F$20,2,TRUE),IF(AND(AI295&gt;=73,AI295&lt;=78),VLOOKUP(H295,'WordRead Look Up'!$I$13:$J$18,2,TRUE),IF(AND(AI295&gt;=79),VLOOKUP(H295,'WordRead Look Up'!$M$13:$N$18,2,TRUE),"")))))</f>
        <v/>
      </c>
      <c r="J295" s="122"/>
      <c r="K295" s="111"/>
      <c r="L295" s="111"/>
      <c r="M295" s="111"/>
      <c r="N295" s="111"/>
      <c r="O295" s="111"/>
      <c r="P295" s="111"/>
      <c r="Q295" s="111"/>
      <c r="R295" s="111"/>
      <c r="S295" s="111"/>
      <c r="T295" s="111"/>
      <c r="U295" s="111"/>
      <c r="V295" s="111"/>
      <c r="W295" s="111"/>
      <c r="X295" s="123"/>
      <c r="AG295" s="185"/>
      <c r="AH295" s="185"/>
      <c r="AI295" s="222" t="str">
        <f t="shared" si="9"/>
        <v/>
      </c>
    </row>
    <row r="296" spans="1:35" s="108" customFormat="1" ht="15.75">
      <c r="A296" s="119"/>
      <c r="B296" s="120"/>
      <c r="C296" s="111"/>
      <c r="D296" s="111"/>
      <c r="E296" s="121"/>
      <c r="F296" s="121"/>
      <c r="G296" s="113"/>
      <c r="H296" s="199" t="str">
        <f t="shared" si="8"/>
        <v/>
      </c>
      <c r="I296" s="200" t="str">
        <f>IF(H296="","",IF(AND(AI296&lt;=66),VLOOKUP(H296,'WordRead Look Up'!$A$13:$B$20,2,TRUE),IF(AND(AI296&gt;=67,AI296&lt;=72),VLOOKUP(H296,'WordRead Look Up'!$E$13:$F$20,2,TRUE),IF(AND(AI296&gt;=73,AI296&lt;=78),VLOOKUP(H296,'WordRead Look Up'!$I$13:$J$18,2,TRUE),IF(AND(AI296&gt;=79),VLOOKUP(H296,'WordRead Look Up'!$M$13:$N$18,2,TRUE),"")))))</f>
        <v/>
      </c>
      <c r="J296" s="122"/>
      <c r="K296" s="111"/>
      <c r="L296" s="111"/>
      <c r="M296" s="111"/>
      <c r="N296" s="111"/>
      <c r="O296" s="111"/>
      <c r="P296" s="111"/>
      <c r="Q296" s="111"/>
      <c r="R296" s="111"/>
      <c r="S296" s="111"/>
      <c r="T296" s="111"/>
      <c r="U296" s="111"/>
      <c r="V296" s="111"/>
      <c r="W296" s="111"/>
      <c r="X296" s="123"/>
      <c r="AG296" s="185"/>
      <c r="AH296" s="185"/>
      <c r="AI296" s="222" t="str">
        <f t="shared" si="9"/>
        <v/>
      </c>
    </row>
    <row r="297" spans="1:35" s="108" customFormat="1" ht="15.75">
      <c r="A297" s="119"/>
      <c r="B297" s="120"/>
      <c r="C297" s="111"/>
      <c r="D297" s="111"/>
      <c r="E297" s="121"/>
      <c r="F297" s="121"/>
      <c r="G297" s="113"/>
      <c r="H297" s="199" t="str">
        <f t="shared" si="8"/>
        <v/>
      </c>
      <c r="I297" s="200" t="str">
        <f>IF(H297="","",IF(AND(AI297&lt;=66),VLOOKUP(H297,'WordRead Look Up'!$A$13:$B$20,2,TRUE),IF(AND(AI297&gt;=67,AI297&lt;=72),VLOOKUP(H297,'WordRead Look Up'!$E$13:$F$20,2,TRUE),IF(AND(AI297&gt;=73,AI297&lt;=78),VLOOKUP(H297,'WordRead Look Up'!$I$13:$J$18,2,TRUE),IF(AND(AI297&gt;=79),VLOOKUP(H297,'WordRead Look Up'!$M$13:$N$18,2,TRUE),"")))))</f>
        <v/>
      </c>
      <c r="J297" s="122"/>
      <c r="K297" s="111"/>
      <c r="L297" s="111"/>
      <c r="M297" s="111"/>
      <c r="N297" s="111"/>
      <c r="O297" s="111"/>
      <c r="P297" s="111"/>
      <c r="Q297" s="111"/>
      <c r="R297" s="111"/>
      <c r="S297" s="111"/>
      <c r="T297" s="111"/>
      <c r="U297" s="111"/>
      <c r="V297" s="111"/>
      <c r="W297" s="111"/>
      <c r="X297" s="123"/>
      <c r="AG297" s="185"/>
      <c r="AH297" s="185"/>
      <c r="AI297" s="222" t="str">
        <f t="shared" si="9"/>
        <v/>
      </c>
    </row>
    <row r="298" spans="1:35" s="108" customFormat="1" ht="15.75">
      <c r="A298" s="119"/>
      <c r="B298" s="120"/>
      <c r="C298" s="111"/>
      <c r="D298" s="111"/>
      <c r="E298" s="121"/>
      <c r="F298" s="121"/>
      <c r="G298" s="113"/>
      <c r="H298" s="199" t="str">
        <f t="shared" si="8"/>
        <v/>
      </c>
      <c r="I298" s="200" t="str">
        <f>IF(H298="","",IF(AND(AI298&lt;=66),VLOOKUP(H298,'WordRead Look Up'!$A$13:$B$20,2,TRUE),IF(AND(AI298&gt;=67,AI298&lt;=72),VLOOKUP(H298,'WordRead Look Up'!$E$13:$F$20,2,TRUE),IF(AND(AI298&gt;=73,AI298&lt;=78),VLOOKUP(H298,'WordRead Look Up'!$I$13:$J$18,2,TRUE),IF(AND(AI298&gt;=79),VLOOKUP(H298,'WordRead Look Up'!$M$13:$N$18,2,TRUE),"")))))</f>
        <v/>
      </c>
      <c r="J298" s="122"/>
      <c r="K298" s="111"/>
      <c r="L298" s="111"/>
      <c r="M298" s="111"/>
      <c r="N298" s="111"/>
      <c r="O298" s="111"/>
      <c r="P298" s="111"/>
      <c r="Q298" s="111"/>
      <c r="R298" s="111"/>
      <c r="S298" s="111"/>
      <c r="T298" s="111"/>
      <c r="U298" s="111"/>
      <c r="V298" s="111"/>
      <c r="W298" s="111"/>
      <c r="X298" s="123"/>
      <c r="AG298" s="185"/>
      <c r="AH298" s="185"/>
      <c r="AI298" s="222" t="str">
        <f t="shared" si="9"/>
        <v/>
      </c>
    </row>
    <row r="299" spans="1:35" s="108" customFormat="1" ht="15.75">
      <c r="A299" s="119"/>
      <c r="B299" s="120"/>
      <c r="C299" s="111"/>
      <c r="D299" s="111"/>
      <c r="E299" s="121"/>
      <c r="F299" s="121"/>
      <c r="G299" s="113"/>
      <c r="H299" s="199" t="str">
        <f t="shared" si="8"/>
        <v/>
      </c>
      <c r="I299" s="200" t="str">
        <f>IF(H299="","",IF(AND(AI299&lt;=66),VLOOKUP(H299,'WordRead Look Up'!$A$13:$B$20,2,TRUE),IF(AND(AI299&gt;=67,AI299&lt;=72),VLOOKUP(H299,'WordRead Look Up'!$E$13:$F$20,2,TRUE),IF(AND(AI299&gt;=73,AI299&lt;=78),VLOOKUP(H299,'WordRead Look Up'!$I$13:$J$18,2,TRUE),IF(AND(AI299&gt;=79),VLOOKUP(H299,'WordRead Look Up'!$M$13:$N$18,2,TRUE),"")))))</f>
        <v/>
      </c>
      <c r="J299" s="122"/>
      <c r="K299" s="111"/>
      <c r="L299" s="111"/>
      <c r="M299" s="111"/>
      <c r="N299" s="111"/>
      <c r="O299" s="111"/>
      <c r="P299" s="111"/>
      <c r="Q299" s="111"/>
      <c r="R299" s="111"/>
      <c r="S299" s="111"/>
      <c r="T299" s="111"/>
      <c r="U299" s="111"/>
      <c r="V299" s="111"/>
      <c r="W299" s="111"/>
      <c r="X299" s="123"/>
      <c r="AG299" s="185"/>
      <c r="AH299" s="185"/>
      <c r="AI299" s="222" t="str">
        <f t="shared" si="9"/>
        <v/>
      </c>
    </row>
    <row r="300" spans="1:35" s="108" customFormat="1" ht="15.75">
      <c r="A300" s="119"/>
      <c r="B300" s="120"/>
      <c r="C300" s="111"/>
      <c r="D300" s="111"/>
      <c r="E300" s="121"/>
      <c r="F300" s="121"/>
      <c r="G300" s="113"/>
      <c r="H300" s="199" t="str">
        <f t="shared" si="8"/>
        <v/>
      </c>
      <c r="I300" s="200" t="str">
        <f>IF(H300="","",IF(AND(AI300&lt;=66),VLOOKUP(H300,'WordRead Look Up'!$A$13:$B$20,2,TRUE),IF(AND(AI300&gt;=67,AI300&lt;=72),VLOOKUP(H300,'WordRead Look Up'!$E$13:$F$20,2,TRUE),IF(AND(AI300&gt;=73,AI300&lt;=78),VLOOKUP(H300,'WordRead Look Up'!$I$13:$J$18,2,TRUE),IF(AND(AI300&gt;=79),VLOOKUP(H300,'WordRead Look Up'!$M$13:$N$18,2,TRUE),"")))))</f>
        <v/>
      </c>
      <c r="J300" s="122"/>
      <c r="K300" s="111"/>
      <c r="L300" s="111"/>
      <c r="M300" s="111"/>
      <c r="N300" s="111"/>
      <c r="O300" s="111"/>
      <c r="P300" s="111"/>
      <c r="Q300" s="111"/>
      <c r="R300" s="111"/>
      <c r="S300" s="111"/>
      <c r="T300" s="111"/>
      <c r="U300" s="111"/>
      <c r="V300" s="111"/>
      <c r="W300" s="111"/>
      <c r="X300" s="123"/>
      <c r="AG300" s="185"/>
      <c r="AH300" s="185"/>
      <c r="AI300" s="222" t="str">
        <f t="shared" si="9"/>
        <v/>
      </c>
    </row>
    <row r="301" spans="1:35" s="108" customFormat="1" ht="15.75">
      <c r="A301" s="119"/>
      <c r="B301" s="120"/>
      <c r="C301" s="111"/>
      <c r="D301" s="111"/>
      <c r="E301" s="121"/>
      <c r="F301" s="121"/>
      <c r="G301" s="113"/>
      <c r="H301" s="199" t="str">
        <f t="shared" si="8"/>
        <v/>
      </c>
      <c r="I301" s="200" t="str">
        <f>IF(H301="","",IF(AND(AI301&lt;=66),VLOOKUP(H301,'WordRead Look Up'!$A$13:$B$20,2,TRUE),IF(AND(AI301&gt;=67,AI301&lt;=72),VLOOKUP(H301,'WordRead Look Up'!$E$13:$F$20,2,TRUE),IF(AND(AI301&gt;=73,AI301&lt;=78),VLOOKUP(H301,'WordRead Look Up'!$I$13:$J$18,2,TRUE),IF(AND(AI301&gt;=79),VLOOKUP(H301,'WordRead Look Up'!$M$13:$N$18,2,TRUE),"")))))</f>
        <v/>
      </c>
      <c r="J301" s="122"/>
      <c r="K301" s="111"/>
      <c r="L301" s="111"/>
      <c r="M301" s="111"/>
      <c r="N301" s="111"/>
      <c r="O301" s="111"/>
      <c r="P301" s="111"/>
      <c r="Q301" s="111"/>
      <c r="R301" s="111"/>
      <c r="S301" s="111"/>
      <c r="T301" s="111"/>
      <c r="U301" s="111"/>
      <c r="V301" s="111"/>
      <c r="W301" s="111"/>
      <c r="X301" s="123"/>
      <c r="AG301" s="185"/>
      <c r="AH301" s="185"/>
      <c r="AI301" s="222" t="str">
        <f t="shared" si="9"/>
        <v/>
      </c>
    </row>
    <row r="302" spans="1:35" s="108" customFormat="1" ht="15.75">
      <c r="A302" s="119"/>
      <c r="B302" s="120"/>
      <c r="C302" s="111"/>
      <c r="D302" s="111"/>
      <c r="E302" s="121"/>
      <c r="F302" s="121"/>
      <c r="G302" s="113"/>
      <c r="H302" s="199" t="str">
        <f t="shared" si="8"/>
        <v/>
      </c>
      <c r="I302" s="200" t="str">
        <f>IF(H302="","",IF(AND(AI302&lt;=66),VLOOKUP(H302,'WordRead Look Up'!$A$13:$B$20,2,TRUE),IF(AND(AI302&gt;=67,AI302&lt;=72),VLOOKUP(H302,'WordRead Look Up'!$E$13:$F$20,2,TRUE),IF(AND(AI302&gt;=73,AI302&lt;=78),VLOOKUP(H302,'WordRead Look Up'!$I$13:$J$18,2,TRUE),IF(AND(AI302&gt;=79),VLOOKUP(H302,'WordRead Look Up'!$M$13:$N$18,2,TRUE),"")))))</f>
        <v/>
      </c>
      <c r="J302" s="122"/>
      <c r="K302" s="111"/>
      <c r="L302" s="111"/>
      <c r="M302" s="111"/>
      <c r="N302" s="111"/>
      <c r="O302" s="111"/>
      <c r="P302" s="111"/>
      <c r="Q302" s="111"/>
      <c r="R302" s="111"/>
      <c r="S302" s="111"/>
      <c r="T302" s="111"/>
      <c r="U302" s="111"/>
      <c r="V302" s="111"/>
      <c r="W302" s="111"/>
      <c r="X302" s="123"/>
      <c r="AG302" s="185"/>
      <c r="AH302" s="185"/>
      <c r="AI302" s="222" t="str">
        <f t="shared" si="9"/>
        <v/>
      </c>
    </row>
    <row r="303" spans="1:35" s="108" customFormat="1" ht="15.75">
      <c r="A303" s="119"/>
      <c r="B303" s="120"/>
      <c r="C303" s="111"/>
      <c r="D303" s="111"/>
      <c r="E303" s="121"/>
      <c r="F303" s="121"/>
      <c r="G303" s="113"/>
      <c r="H303" s="199" t="str">
        <f t="shared" si="8"/>
        <v/>
      </c>
      <c r="I303" s="200" t="str">
        <f>IF(H303="","",IF(AND(AI303&lt;=66),VLOOKUP(H303,'WordRead Look Up'!$A$13:$B$20,2,TRUE),IF(AND(AI303&gt;=67,AI303&lt;=72),VLOOKUP(H303,'WordRead Look Up'!$E$13:$F$20,2,TRUE),IF(AND(AI303&gt;=73,AI303&lt;=78),VLOOKUP(H303,'WordRead Look Up'!$I$13:$J$18,2,TRUE),IF(AND(AI303&gt;=79),VLOOKUP(H303,'WordRead Look Up'!$M$13:$N$18,2,TRUE),"")))))</f>
        <v/>
      </c>
      <c r="J303" s="122"/>
      <c r="K303" s="111"/>
      <c r="L303" s="111"/>
      <c r="M303" s="111"/>
      <c r="N303" s="111"/>
      <c r="O303" s="111"/>
      <c r="P303" s="111"/>
      <c r="Q303" s="111"/>
      <c r="R303" s="111"/>
      <c r="S303" s="111"/>
      <c r="T303" s="111"/>
      <c r="U303" s="111"/>
      <c r="V303" s="111"/>
      <c r="W303" s="111"/>
      <c r="X303" s="123"/>
      <c r="AG303" s="185"/>
      <c r="AH303" s="185"/>
      <c r="AI303" s="222" t="str">
        <f t="shared" si="9"/>
        <v/>
      </c>
    </row>
    <row r="304" spans="1:35" s="108" customFormat="1" ht="15.75">
      <c r="A304" s="119"/>
      <c r="B304" s="120"/>
      <c r="C304" s="111"/>
      <c r="D304" s="111"/>
      <c r="E304" s="121"/>
      <c r="F304" s="121"/>
      <c r="G304" s="113"/>
      <c r="H304" s="199" t="str">
        <f t="shared" si="8"/>
        <v/>
      </c>
      <c r="I304" s="200" t="str">
        <f>IF(H304="","",IF(AND(AI304&lt;=66),VLOOKUP(H304,'WordRead Look Up'!$A$13:$B$20,2,TRUE),IF(AND(AI304&gt;=67,AI304&lt;=72),VLOOKUP(H304,'WordRead Look Up'!$E$13:$F$20,2,TRUE),IF(AND(AI304&gt;=73,AI304&lt;=78),VLOOKUP(H304,'WordRead Look Up'!$I$13:$J$18,2,TRUE),IF(AND(AI304&gt;=79),VLOOKUP(H304,'WordRead Look Up'!$M$13:$N$18,2,TRUE),"")))))</f>
        <v/>
      </c>
      <c r="J304" s="122"/>
      <c r="K304" s="111"/>
      <c r="L304" s="111"/>
      <c r="M304" s="111"/>
      <c r="N304" s="111"/>
      <c r="O304" s="111"/>
      <c r="P304" s="111"/>
      <c r="Q304" s="111"/>
      <c r="R304" s="111"/>
      <c r="S304" s="111"/>
      <c r="T304" s="111"/>
      <c r="U304" s="111"/>
      <c r="V304" s="111"/>
      <c r="W304" s="111"/>
      <c r="X304" s="123"/>
      <c r="AG304" s="185"/>
      <c r="AH304" s="185"/>
      <c r="AI304" s="222" t="str">
        <f t="shared" si="9"/>
        <v/>
      </c>
    </row>
    <row r="305" spans="1:35" s="108" customFormat="1" ht="15.75">
      <c r="A305" s="119"/>
      <c r="B305" s="120"/>
      <c r="C305" s="111"/>
      <c r="D305" s="111"/>
      <c r="E305" s="121"/>
      <c r="F305" s="121"/>
      <c r="G305" s="113"/>
      <c r="H305" s="199" t="str">
        <f t="shared" si="8"/>
        <v/>
      </c>
      <c r="I305" s="200" t="str">
        <f>IF(H305="","",IF(AND(AI305&lt;=66),VLOOKUP(H305,'WordRead Look Up'!$A$13:$B$20,2,TRUE),IF(AND(AI305&gt;=67,AI305&lt;=72),VLOOKUP(H305,'WordRead Look Up'!$E$13:$F$20,2,TRUE),IF(AND(AI305&gt;=73,AI305&lt;=78),VLOOKUP(H305,'WordRead Look Up'!$I$13:$J$18,2,TRUE),IF(AND(AI305&gt;=79),VLOOKUP(H305,'WordRead Look Up'!$M$13:$N$18,2,TRUE),"")))))</f>
        <v/>
      </c>
      <c r="J305" s="122"/>
      <c r="K305" s="111"/>
      <c r="L305" s="111"/>
      <c r="M305" s="111"/>
      <c r="N305" s="111"/>
      <c r="O305" s="111"/>
      <c r="P305" s="111"/>
      <c r="Q305" s="111"/>
      <c r="R305" s="111"/>
      <c r="S305" s="111"/>
      <c r="T305" s="111"/>
      <c r="U305" s="111"/>
      <c r="V305" s="111"/>
      <c r="W305" s="111"/>
      <c r="X305" s="123"/>
      <c r="AG305" s="185"/>
      <c r="AH305" s="185"/>
      <c r="AI305" s="222" t="str">
        <f t="shared" si="9"/>
        <v/>
      </c>
    </row>
    <row r="306" spans="1:35" s="108" customFormat="1" ht="15.75">
      <c r="A306" s="119"/>
      <c r="B306" s="120"/>
      <c r="C306" s="111"/>
      <c r="D306" s="111"/>
      <c r="E306" s="121"/>
      <c r="F306" s="121"/>
      <c r="G306" s="113"/>
      <c r="H306" s="199" t="str">
        <f t="shared" si="8"/>
        <v/>
      </c>
      <c r="I306" s="200" t="str">
        <f>IF(H306="","",IF(AND(AI306&lt;=66),VLOOKUP(H306,'WordRead Look Up'!$A$13:$B$20,2,TRUE),IF(AND(AI306&gt;=67,AI306&lt;=72),VLOOKUP(H306,'WordRead Look Up'!$E$13:$F$20,2,TRUE),IF(AND(AI306&gt;=73,AI306&lt;=78),VLOOKUP(H306,'WordRead Look Up'!$I$13:$J$18,2,TRUE),IF(AND(AI306&gt;=79),VLOOKUP(H306,'WordRead Look Up'!$M$13:$N$18,2,TRUE),"")))))</f>
        <v/>
      </c>
      <c r="J306" s="122"/>
      <c r="K306" s="111"/>
      <c r="L306" s="111"/>
      <c r="M306" s="111"/>
      <c r="N306" s="111"/>
      <c r="O306" s="111"/>
      <c r="P306" s="111"/>
      <c r="Q306" s="111"/>
      <c r="R306" s="111"/>
      <c r="S306" s="111"/>
      <c r="T306" s="111"/>
      <c r="U306" s="111"/>
      <c r="V306" s="111"/>
      <c r="W306" s="111"/>
      <c r="X306" s="123"/>
      <c r="AG306" s="185"/>
      <c r="AH306" s="185"/>
      <c r="AI306" s="222" t="str">
        <f t="shared" si="9"/>
        <v/>
      </c>
    </row>
    <row r="307" spans="1:35" s="108" customFormat="1" ht="15.75">
      <c r="A307" s="119"/>
      <c r="B307" s="120"/>
      <c r="C307" s="111"/>
      <c r="D307" s="111"/>
      <c r="E307" s="121"/>
      <c r="F307" s="121"/>
      <c r="G307" s="113"/>
      <c r="H307" s="199" t="str">
        <f t="shared" si="8"/>
        <v/>
      </c>
      <c r="I307" s="200" t="str">
        <f>IF(H307="","",IF(AND(AI307&lt;=66),VLOOKUP(H307,'WordRead Look Up'!$A$13:$B$20,2,TRUE),IF(AND(AI307&gt;=67,AI307&lt;=72),VLOOKUP(H307,'WordRead Look Up'!$E$13:$F$20,2,TRUE),IF(AND(AI307&gt;=73,AI307&lt;=78),VLOOKUP(H307,'WordRead Look Up'!$I$13:$J$18,2,TRUE),IF(AND(AI307&gt;=79),VLOOKUP(H307,'WordRead Look Up'!$M$13:$N$18,2,TRUE),"")))))</f>
        <v/>
      </c>
      <c r="J307" s="122"/>
      <c r="K307" s="111"/>
      <c r="L307" s="111"/>
      <c r="M307" s="111"/>
      <c r="N307" s="111"/>
      <c r="O307" s="111"/>
      <c r="P307" s="111"/>
      <c r="Q307" s="111"/>
      <c r="R307" s="111"/>
      <c r="S307" s="111"/>
      <c r="T307" s="111"/>
      <c r="U307" s="111"/>
      <c r="V307" s="111"/>
      <c r="W307" s="111"/>
      <c r="X307" s="123"/>
      <c r="AG307" s="185"/>
      <c r="AH307" s="185"/>
      <c r="AI307" s="222" t="str">
        <f t="shared" si="9"/>
        <v/>
      </c>
    </row>
    <row r="308" spans="1:35" s="108" customFormat="1" ht="15.75">
      <c r="A308" s="119"/>
      <c r="B308" s="120"/>
      <c r="C308" s="111"/>
      <c r="D308" s="111"/>
      <c r="E308" s="121"/>
      <c r="F308" s="121"/>
      <c r="G308" s="113"/>
      <c r="H308" s="199" t="str">
        <f t="shared" si="8"/>
        <v/>
      </c>
      <c r="I308" s="200" t="str">
        <f>IF(H308="","",IF(AND(AI308&lt;=66),VLOOKUP(H308,'WordRead Look Up'!$A$13:$B$20,2,TRUE),IF(AND(AI308&gt;=67,AI308&lt;=72),VLOOKUP(H308,'WordRead Look Up'!$E$13:$F$20,2,TRUE),IF(AND(AI308&gt;=73,AI308&lt;=78),VLOOKUP(H308,'WordRead Look Up'!$I$13:$J$18,2,TRUE),IF(AND(AI308&gt;=79),VLOOKUP(H308,'WordRead Look Up'!$M$13:$N$18,2,TRUE),"")))))</f>
        <v/>
      </c>
      <c r="J308" s="122"/>
      <c r="K308" s="111"/>
      <c r="L308" s="111"/>
      <c r="M308" s="111"/>
      <c r="N308" s="111"/>
      <c r="O308" s="111"/>
      <c r="P308" s="111"/>
      <c r="Q308" s="111"/>
      <c r="R308" s="111"/>
      <c r="S308" s="111"/>
      <c r="T308" s="111"/>
      <c r="U308" s="111"/>
      <c r="V308" s="111"/>
      <c r="W308" s="111"/>
      <c r="X308" s="123"/>
      <c r="AG308" s="185"/>
      <c r="AH308" s="185"/>
      <c r="AI308" s="222" t="str">
        <f t="shared" si="9"/>
        <v/>
      </c>
    </row>
    <row r="309" spans="1:35" s="108" customFormat="1" ht="15.75">
      <c r="A309" s="119"/>
      <c r="B309" s="120"/>
      <c r="C309" s="111"/>
      <c r="D309" s="111"/>
      <c r="E309" s="121"/>
      <c r="F309" s="121"/>
      <c r="G309" s="113"/>
      <c r="H309" s="199" t="str">
        <f t="shared" si="8"/>
        <v/>
      </c>
      <c r="I309" s="200" t="str">
        <f>IF(H309="","",IF(AND(AI309&lt;=66),VLOOKUP(H309,'WordRead Look Up'!$A$13:$B$20,2,TRUE),IF(AND(AI309&gt;=67,AI309&lt;=72),VLOOKUP(H309,'WordRead Look Up'!$E$13:$F$20,2,TRUE),IF(AND(AI309&gt;=73,AI309&lt;=78),VLOOKUP(H309,'WordRead Look Up'!$I$13:$J$18,2,TRUE),IF(AND(AI309&gt;=79),VLOOKUP(H309,'WordRead Look Up'!$M$13:$N$18,2,TRUE),"")))))</f>
        <v/>
      </c>
      <c r="J309" s="122"/>
      <c r="K309" s="111"/>
      <c r="L309" s="111"/>
      <c r="M309" s="111"/>
      <c r="N309" s="111"/>
      <c r="O309" s="111"/>
      <c r="P309" s="111"/>
      <c r="Q309" s="111"/>
      <c r="R309" s="111"/>
      <c r="S309" s="111"/>
      <c r="T309" s="111"/>
      <c r="U309" s="111"/>
      <c r="V309" s="111"/>
      <c r="W309" s="111"/>
      <c r="X309" s="123"/>
      <c r="AG309" s="185"/>
      <c r="AH309" s="185"/>
      <c r="AI309" s="222" t="str">
        <f t="shared" si="9"/>
        <v/>
      </c>
    </row>
    <row r="310" spans="1:35" s="108" customFormat="1" ht="15.75">
      <c r="A310" s="119"/>
      <c r="B310" s="120"/>
      <c r="C310" s="111"/>
      <c r="D310" s="111"/>
      <c r="E310" s="121"/>
      <c r="F310" s="121"/>
      <c r="G310" s="113"/>
      <c r="H310" s="199" t="str">
        <f t="shared" si="8"/>
        <v/>
      </c>
      <c r="I310" s="200" t="str">
        <f>IF(H310="","",IF(AND(AI310&lt;=66),VLOOKUP(H310,'WordRead Look Up'!$A$13:$B$20,2,TRUE),IF(AND(AI310&gt;=67,AI310&lt;=72),VLOOKUP(H310,'WordRead Look Up'!$E$13:$F$20,2,TRUE),IF(AND(AI310&gt;=73,AI310&lt;=78),VLOOKUP(H310,'WordRead Look Up'!$I$13:$J$18,2,TRUE),IF(AND(AI310&gt;=79),VLOOKUP(H310,'WordRead Look Up'!$M$13:$N$18,2,TRUE),"")))))</f>
        <v/>
      </c>
      <c r="J310" s="122"/>
      <c r="K310" s="111"/>
      <c r="L310" s="111"/>
      <c r="M310" s="111"/>
      <c r="N310" s="111"/>
      <c r="O310" s="111"/>
      <c r="P310" s="111"/>
      <c r="Q310" s="111"/>
      <c r="R310" s="111"/>
      <c r="S310" s="111"/>
      <c r="T310" s="111"/>
      <c r="U310" s="111"/>
      <c r="V310" s="111"/>
      <c r="W310" s="111"/>
      <c r="X310" s="123"/>
      <c r="AG310" s="185"/>
      <c r="AH310" s="185"/>
      <c r="AI310" s="222" t="str">
        <f t="shared" si="9"/>
        <v/>
      </c>
    </row>
    <row r="311" spans="1:35" s="108" customFormat="1" ht="15.75">
      <c r="A311" s="119"/>
      <c r="B311" s="120"/>
      <c r="C311" s="111"/>
      <c r="D311" s="111"/>
      <c r="E311" s="121"/>
      <c r="F311" s="121"/>
      <c r="G311" s="113"/>
      <c r="H311" s="199" t="str">
        <f t="shared" si="8"/>
        <v/>
      </c>
      <c r="I311" s="200" t="str">
        <f>IF(H311="","",IF(AND(AI311&lt;=66),VLOOKUP(H311,'WordRead Look Up'!$A$13:$B$20,2,TRUE),IF(AND(AI311&gt;=67,AI311&lt;=72),VLOOKUP(H311,'WordRead Look Up'!$E$13:$F$20,2,TRUE),IF(AND(AI311&gt;=73,AI311&lt;=78),VLOOKUP(H311,'WordRead Look Up'!$I$13:$J$18,2,TRUE),IF(AND(AI311&gt;=79),VLOOKUP(H311,'WordRead Look Up'!$M$13:$N$18,2,TRUE),"")))))</f>
        <v/>
      </c>
      <c r="J311" s="122"/>
      <c r="K311" s="111"/>
      <c r="L311" s="111"/>
      <c r="M311" s="111"/>
      <c r="N311" s="111"/>
      <c r="O311" s="111"/>
      <c r="P311" s="111"/>
      <c r="Q311" s="111"/>
      <c r="R311" s="111"/>
      <c r="S311" s="111"/>
      <c r="T311" s="111"/>
      <c r="U311" s="111"/>
      <c r="V311" s="111"/>
      <c r="W311" s="111"/>
      <c r="X311" s="123"/>
      <c r="AG311" s="185"/>
      <c r="AH311" s="185"/>
      <c r="AI311" s="222" t="str">
        <f t="shared" si="9"/>
        <v/>
      </c>
    </row>
    <row r="312" spans="1:35" s="108" customFormat="1" ht="15.75">
      <c r="A312" s="119"/>
      <c r="B312" s="120"/>
      <c r="C312" s="111"/>
      <c r="D312" s="111"/>
      <c r="E312" s="121"/>
      <c r="F312" s="121"/>
      <c r="G312" s="113"/>
      <c r="H312" s="199" t="str">
        <f t="shared" si="8"/>
        <v/>
      </c>
      <c r="I312" s="200" t="str">
        <f>IF(H312="","",IF(AND(AI312&lt;=66),VLOOKUP(H312,'WordRead Look Up'!$A$13:$B$20,2,TRUE),IF(AND(AI312&gt;=67,AI312&lt;=72),VLOOKUP(H312,'WordRead Look Up'!$E$13:$F$20,2,TRUE),IF(AND(AI312&gt;=73,AI312&lt;=78),VLOOKUP(H312,'WordRead Look Up'!$I$13:$J$18,2,TRUE),IF(AND(AI312&gt;=79),VLOOKUP(H312,'WordRead Look Up'!$M$13:$N$18,2,TRUE),"")))))</f>
        <v/>
      </c>
      <c r="J312" s="122"/>
      <c r="K312" s="111"/>
      <c r="L312" s="111"/>
      <c r="M312" s="111"/>
      <c r="N312" s="111"/>
      <c r="O312" s="111"/>
      <c r="P312" s="111"/>
      <c r="Q312" s="111"/>
      <c r="R312" s="111"/>
      <c r="S312" s="111"/>
      <c r="T312" s="111"/>
      <c r="U312" s="111"/>
      <c r="V312" s="111"/>
      <c r="W312" s="111"/>
      <c r="X312" s="123"/>
      <c r="AG312" s="185"/>
      <c r="AH312" s="185"/>
      <c r="AI312" s="222" t="str">
        <f t="shared" si="9"/>
        <v/>
      </c>
    </row>
    <row r="313" spans="1:35" s="108" customFormat="1" ht="15.75">
      <c r="A313" s="119"/>
      <c r="B313" s="120"/>
      <c r="C313" s="111"/>
      <c r="D313" s="111"/>
      <c r="E313" s="121"/>
      <c r="F313" s="121"/>
      <c r="G313" s="113"/>
      <c r="H313" s="199" t="str">
        <f t="shared" si="8"/>
        <v/>
      </c>
      <c r="I313" s="200" t="str">
        <f>IF(H313="","",IF(AND(AI313&lt;=66),VLOOKUP(H313,'WordRead Look Up'!$A$13:$B$20,2,TRUE),IF(AND(AI313&gt;=67,AI313&lt;=72),VLOOKUP(H313,'WordRead Look Up'!$E$13:$F$20,2,TRUE),IF(AND(AI313&gt;=73,AI313&lt;=78),VLOOKUP(H313,'WordRead Look Up'!$I$13:$J$18,2,TRUE),IF(AND(AI313&gt;=79),VLOOKUP(H313,'WordRead Look Up'!$M$13:$N$18,2,TRUE),"")))))</f>
        <v/>
      </c>
      <c r="J313" s="122"/>
      <c r="K313" s="111"/>
      <c r="L313" s="111"/>
      <c r="M313" s="111"/>
      <c r="N313" s="111"/>
      <c r="O313" s="111"/>
      <c r="P313" s="111"/>
      <c r="Q313" s="111"/>
      <c r="R313" s="111"/>
      <c r="S313" s="111"/>
      <c r="T313" s="111"/>
      <c r="U313" s="111"/>
      <c r="V313" s="111"/>
      <c r="W313" s="111"/>
      <c r="X313" s="123"/>
      <c r="AG313" s="185"/>
      <c r="AH313" s="185"/>
      <c r="AI313" s="222" t="str">
        <f t="shared" si="9"/>
        <v/>
      </c>
    </row>
    <row r="314" spans="1:35" s="108" customFormat="1" ht="15.75">
      <c r="A314" s="119"/>
      <c r="B314" s="120"/>
      <c r="C314" s="111"/>
      <c r="D314" s="111"/>
      <c r="E314" s="121"/>
      <c r="F314" s="121"/>
      <c r="G314" s="113"/>
      <c r="H314" s="199" t="str">
        <f t="shared" si="8"/>
        <v/>
      </c>
      <c r="I314" s="200" t="str">
        <f>IF(H314="","",IF(AND(AI314&lt;=66),VLOOKUP(H314,'WordRead Look Up'!$A$13:$B$20,2,TRUE),IF(AND(AI314&gt;=67,AI314&lt;=72),VLOOKUP(H314,'WordRead Look Up'!$E$13:$F$20,2,TRUE),IF(AND(AI314&gt;=73,AI314&lt;=78),VLOOKUP(H314,'WordRead Look Up'!$I$13:$J$18,2,TRUE),IF(AND(AI314&gt;=79),VLOOKUP(H314,'WordRead Look Up'!$M$13:$N$18,2,TRUE),"")))))</f>
        <v/>
      </c>
      <c r="J314" s="122"/>
      <c r="K314" s="111"/>
      <c r="L314" s="111"/>
      <c r="M314" s="111"/>
      <c r="N314" s="111"/>
      <c r="O314" s="111"/>
      <c r="P314" s="111"/>
      <c r="Q314" s="111"/>
      <c r="R314" s="111"/>
      <c r="S314" s="111"/>
      <c r="T314" s="111"/>
      <c r="U314" s="111"/>
      <c r="V314" s="111"/>
      <c r="W314" s="111"/>
      <c r="X314" s="123"/>
      <c r="AG314" s="185"/>
      <c r="AH314" s="185"/>
      <c r="AI314" s="222" t="str">
        <f t="shared" si="9"/>
        <v/>
      </c>
    </row>
    <row r="315" spans="1:35" s="108" customFormat="1" ht="15.75">
      <c r="A315" s="119"/>
      <c r="B315" s="120"/>
      <c r="C315" s="111"/>
      <c r="D315" s="111"/>
      <c r="E315" s="121"/>
      <c r="F315" s="121"/>
      <c r="G315" s="113"/>
      <c r="H315" s="199" t="str">
        <f t="shared" si="8"/>
        <v/>
      </c>
      <c r="I315" s="200" t="str">
        <f>IF(H315="","",IF(AND(AI315&lt;=66),VLOOKUP(H315,'WordRead Look Up'!$A$13:$B$20,2,TRUE),IF(AND(AI315&gt;=67,AI315&lt;=72),VLOOKUP(H315,'WordRead Look Up'!$E$13:$F$20,2,TRUE),IF(AND(AI315&gt;=73,AI315&lt;=78),VLOOKUP(H315,'WordRead Look Up'!$I$13:$J$18,2,TRUE),IF(AND(AI315&gt;=79),VLOOKUP(H315,'WordRead Look Up'!$M$13:$N$18,2,TRUE),"")))))</f>
        <v/>
      </c>
      <c r="J315" s="122"/>
      <c r="K315" s="111"/>
      <c r="L315" s="111"/>
      <c r="M315" s="111"/>
      <c r="N315" s="111"/>
      <c r="O315" s="111"/>
      <c r="P315" s="111"/>
      <c r="Q315" s="111"/>
      <c r="R315" s="111"/>
      <c r="S315" s="111"/>
      <c r="T315" s="111"/>
      <c r="U315" s="111"/>
      <c r="V315" s="111"/>
      <c r="W315" s="111"/>
      <c r="X315" s="123"/>
      <c r="AG315" s="185"/>
      <c r="AH315" s="185"/>
      <c r="AI315" s="222" t="str">
        <f t="shared" si="9"/>
        <v/>
      </c>
    </row>
    <row r="316" spans="1:35" s="108" customFormat="1" ht="15.75">
      <c r="A316" s="119"/>
      <c r="B316" s="120"/>
      <c r="C316" s="111"/>
      <c r="D316" s="111"/>
      <c r="E316" s="121"/>
      <c r="F316" s="121"/>
      <c r="G316" s="113"/>
      <c r="H316" s="199" t="str">
        <f t="shared" si="8"/>
        <v/>
      </c>
      <c r="I316" s="200" t="str">
        <f>IF(H316="","",IF(AND(AI316&lt;=66),VLOOKUP(H316,'WordRead Look Up'!$A$13:$B$20,2,TRUE),IF(AND(AI316&gt;=67,AI316&lt;=72),VLOOKUP(H316,'WordRead Look Up'!$E$13:$F$20,2,TRUE),IF(AND(AI316&gt;=73,AI316&lt;=78),VLOOKUP(H316,'WordRead Look Up'!$I$13:$J$18,2,TRUE),IF(AND(AI316&gt;=79),VLOOKUP(H316,'WordRead Look Up'!$M$13:$N$18,2,TRUE),"")))))</f>
        <v/>
      </c>
      <c r="J316" s="122"/>
      <c r="K316" s="111"/>
      <c r="L316" s="111"/>
      <c r="M316" s="111"/>
      <c r="N316" s="111"/>
      <c r="O316" s="111"/>
      <c r="P316" s="111"/>
      <c r="Q316" s="111"/>
      <c r="R316" s="111"/>
      <c r="S316" s="111"/>
      <c r="T316" s="111"/>
      <c r="U316" s="111"/>
      <c r="V316" s="111"/>
      <c r="W316" s="111"/>
      <c r="X316" s="123"/>
      <c r="AG316" s="185"/>
      <c r="AH316" s="185"/>
      <c r="AI316" s="222" t="str">
        <f t="shared" si="9"/>
        <v/>
      </c>
    </row>
    <row r="317" spans="1:35" s="108" customFormat="1" ht="15.75">
      <c r="A317" s="119"/>
      <c r="B317" s="120"/>
      <c r="C317" s="111"/>
      <c r="D317" s="111"/>
      <c r="E317" s="121"/>
      <c r="F317" s="121"/>
      <c r="G317" s="113"/>
      <c r="H317" s="199" t="str">
        <f t="shared" si="8"/>
        <v/>
      </c>
      <c r="I317" s="200" t="str">
        <f>IF(H317="","",IF(AND(AI317&lt;=66),VLOOKUP(H317,'WordRead Look Up'!$A$13:$B$20,2,TRUE),IF(AND(AI317&gt;=67,AI317&lt;=72),VLOOKUP(H317,'WordRead Look Up'!$E$13:$F$20,2,TRUE),IF(AND(AI317&gt;=73,AI317&lt;=78),VLOOKUP(H317,'WordRead Look Up'!$I$13:$J$18,2,TRUE),IF(AND(AI317&gt;=79),VLOOKUP(H317,'WordRead Look Up'!$M$13:$N$18,2,TRUE),"")))))</f>
        <v/>
      </c>
      <c r="J317" s="122"/>
      <c r="K317" s="111"/>
      <c r="L317" s="111"/>
      <c r="M317" s="111"/>
      <c r="N317" s="111"/>
      <c r="O317" s="111"/>
      <c r="P317" s="111"/>
      <c r="Q317" s="111"/>
      <c r="R317" s="111"/>
      <c r="S317" s="111"/>
      <c r="T317" s="111"/>
      <c r="U317" s="111"/>
      <c r="V317" s="111"/>
      <c r="W317" s="111"/>
      <c r="X317" s="123"/>
      <c r="AG317" s="185"/>
      <c r="AH317" s="185"/>
      <c r="AI317" s="222" t="str">
        <f t="shared" si="9"/>
        <v/>
      </c>
    </row>
    <row r="318" spans="1:35" s="108" customFormat="1" ht="15.75">
      <c r="A318" s="119"/>
      <c r="B318" s="120"/>
      <c r="C318" s="111"/>
      <c r="D318" s="111"/>
      <c r="E318" s="121"/>
      <c r="F318" s="121"/>
      <c r="G318" s="113"/>
      <c r="H318" s="199" t="str">
        <f t="shared" si="8"/>
        <v/>
      </c>
      <c r="I318" s="200" t="str">
        <f>IF(H318="","",IF(AND(AI318&lt;=66),VLOOKUP(H318,'WordRead Look Up'!$A$13:$B$20,2,TRUE),IF(AND(AI318&gt;=67,AI318&lt;=72),VLOOKUP(H318,'WordRead Look Up'!$E$13:$F$20,2,TRUE),IF(AND(AI318&gt;=73,AI318&lt;=78),VLOOKUP(H318,'WordRead Look Up'!$I$13:$J$18,2,TRUE),IF(AND(AI318&gt;=79),VLOOKUP(H318,'WordRead Look Up'!$M$13:$N$18,2,TRUE),"")))))</f>
        <v/>
      </c>
      <c r="J318" s="122"/>
      <c r="K318" s="111"/>
      <c r="L318" s="111"/>
      <c r="M318" s="111"/>
      <c r="N318" s="111"/>
      <c r="O318" s="111"/>
      <c r="P318" s="111"/>
      <c r="Q318" s="111"/>
      <c r="R318" s="111"/>
      <c r="S318" s="111"/>
      <c r="T318" s="111"/>
      <c r="U318" s="111"/>
      <c r="V318" s="111"/>
      <c r="W318" s="111"/>
      <c r="X318" s="123"/>
      <c r="AG318" s="185"/>
      <c r="AH318" s="185"/>
      <c r="AI318" s="222" t="str">
        <f t="shared" si="9"/>
        <v/>
      </c>
    </row>
    <row r="319" spans="1:35" s="108" customFormat="1" ht="15.75">
      <c r="A319" s="119"/>
      <c r="B319" s="120"/>
      <c r="C319" s="111"/>
      <c r="D319" s="111"/>
      <c r="E319" s="121"/>
      <c r="F319" s="121"/>
      <c r="G319" s="113"/>
      <c r="H319" s="199" t="str">
        <f t="shared" si="8"/>
        <v/>
      </c>
      <c r="I319" s="200" t="str">
        <f>IF(H319="","",IF(AND(AI319&lt;=66),VLOOKUP(H319,'WordRead Look Up'!$A$13:$B$20,2,TRUE),IF(AND(AI319&gt;=67,AI319&lt;=72),VLOOKUP(H319,'WordRead Look Up'!$E$13:$F$20,2,TRUE),IF(AND(AI319&gt;=73,AI319&lt;=78),VLOOKUP(H319,'WordRead Look Up'!$I$13:$J$18,2,TRUE),IF(AND(AI319&gt;=79),VLOOKUP(H319,'WordRead Look Up'!$M$13:$N$18,2,TRUE),"")))))</f>
        <v/>
      </c>
      <c r="J319" s="122"/>
      <c r="K319" s="111"/>
      <c r="L319" s="111"/>
      <c r="M319" s="111"/>
      <c r="N319" s="111"/>
      <c r="O319" s="111"/>
      <c r="P319" s="111"/>
      <c r="Q319" s="111"/>
      <c r="R319" s="111"/>
      <c r="S319" s="111"/>
      <c r="T319" s="111"/>
      <c r="U319" s="111"/>
      <c r="V319" s="111"/>
      <c r="W319" s="111"/>
      <c r="X319" s="123"/>
      <c r="AG319" s="185"/>
      <c r="AH319" s="185"/>
      <c r="AI319" s="222" t="str">
        <f t="shared" si="9"/>
        <v/>
      </c>
    </row>
    <row r="320" spans="1:35" s="108" customFormat="1" ht="15.75">
      <c r="A320" s="119"/>
      <c r="B320" s="120"/>
      <c r="C320" s="111"/>
      <c r="D320" s="111"/>
      <c r="E320" s="121"/>
      <c r="F320" s="121"/>
      <c r="G320" s="113"/>
      <c r="H320" s="199" t="str">
        <f t="shared" si="8"/>
        <v/>
      </c>
      <c r="I320" s="200" t="str">
        <f>IF(H320="","",IF(AND(AI320&lt;=66),VLOOKUP(H320,'WordRead Look Up'!$A$13:$B$20,2,TRUE),IF(AND(AI320&gt;=67,AI320&lt;=72),VLOOKUP(H320,'WordRead Look Up'!$E$13:$F$20,2,TRUE),IF(AND(AI320&gt;=73,AI320&lt;=78),VLOOKUP(H320,'WordRead Look Up'!$I$13:$J$18,2,TRUE),IF(AND(AI320&gt;=79),VLOOKUP(H320,'WordRead Look Up'!$M$13:$N$18,2,TRUE),"")))))</f>
        <v/>
      </c>
      <c r="J320" s="122"/>
      <c r="K320" s="111"/>
      <c r="L320" s="111"/>
      <c r="M320" s="111"/>
      <c r="N320" s="111"/>
      <c r="O320" s="111"/>
      <c r="P320" s="111"/>
      <c r="Q320" s="111"/>
      <c r="R320" s="111"/>
      <c r="S320" s="111"/>
      <c r="T320" s="111"/>
      <c r="U320" s="111"/>
      <c r="V320" s="111"/>
      <c r="W320" s="111"/>
      <c r="X320" s="123"/>
      <c r="AG320" s="185"/>
      <c r="AH320" s="185"/>
      <c r="AI320" s="222" t="str">
        <f t="shared" si="9"/>
        <v/>
      </c>
    </row>
    <row r="321" spans="1:35" s="108" customFormat="1" ht="15.75">
      <c r="A321" s="119"/>
      <c r="B321" s="120"/>
      <c r="C321" s="111"/>
      <c r="D321" s="111"/>
      <c r="E321" s="121"/>
      <c r="F321" s="121"/>
      <c r="G321" s="113"/>
      <c r="H321" s="199" t="str">
        <f t="shared" si="8"/>
        <v/>
      </c>
      <c r="I321" s="200" t="str">
        <f>IF(H321="","",IF(AND(AI321&lt;=66),VLOOKUP(H321,'WordRead Look Up'!$A$13:$B$20,2,TRUE),IF(AND(AI321&gt;=67,AI321&lt;=72),VLOOKUP(H321,'WordRead Look Up'!$E$13:$F$20,2,TRUE),IF(AND(AI321&gt;=73,AI321&lt;=78),VLOOKUP(H321,'WordRead Look Up'!$I$13:$J$18,2,TRUE),IF(AND(AI321&gt;=79),VLOOKUP(H321,'WordRead Look Up'!$M$13:$N$18,2,TRUE),"")))))</f>
        <v/>
      </c>
      <c r="J321" s="122"/>
      <c r="K321" s="111"/>
      <c r="L321" s="111"/>
      <c r="M321" s="111"/>
      <c r="N321" s="111"/>
      <c r="O321" s="111"/>
      <c r="P321" s="111"/>
      <c r="Q321" s="111"/>
      <c r="R321" s="111"/>
      <c r="S321" s="111"/>
      <c r="T321" s="111"/>
      <c r="U321" s="111"/>
      <c r="V321" s="111"/>
      <c r="W321" s="111"/>
      <c r="X321" s="123"/>
      <c r="AG321" s="185"/>
      <c r="AH321" s="185"/>
      <c r="AI321" s="222" t="str">
        <f t="shared" si="9"/>
        <v/>
      </c>
    </row>
    <row r="322" spans="1:35" s="108" customFormat="1" ht="15.75">
      <c r="A322" s="119"/>
      <c r="B322" s="120"/>
      <c r="C322" s="111"/>
      <c r="D322" s="111"/>
      <c r="E322" s="121"/>
      <c r="F322" s="121"/>
      <c r="G322" s="113"/>
      <c r="H322" s="199" t="str">
        <f t="shared" si="8"/>
        <v/>
      </c>
      <c r="I322" s="200" t="str">
        <f>IF(H322="","",IF(AND(AI322&lt;=66),VLOOKUP(H322,'WordRead Look Up'!$A$13:$B$20,2,TRUE),IF(AND(AI322&gt;=67,AI322&lt;=72),VLOOKUP(H322,'WordRead Look Up'!$E$13:$F$20,2,TRUE),IF(AND(AI322&gt;=73,AI322&lt;=78),VLOOKUP(H322,'WordRead Look Up'!$I$13:$J$18,2,TRUE),IF(AND(AI322&gt;=79),VLOOKUP(H322,'WordRead Look Up'!$M$13:$N$18,2,TRUE),"")))))</f>
        <v/>
      </c>
      <c r="J322" s="122"/>
      <c r="K322" s="111"/>
      <c r="L322" s="111"/>
      <c r="M322" s="111"/>
      <c r="N322" s="111"/>
      <c r="O322" s="111"/>
      <c r="P322" s="111"/>
      <c r="Q322" s="111"/>
      <c r="R322" s="111"/>
      <c r="S322" s="111"/>
      <c r="T322" s="111"/>
      <c r="U322" s="111"/>
      <c r="V322" s="111"/>
      <c r="W322" s="111"/>
      <c r="X322" s="123"/>
      <c r="AG322" s="185"/>
      <c r="AH322" s="185"/>
      <c r="AI322" s="222" t="str">
        <f t="shared" si="9"/>
        <v/>
      </c>
    </row>
    <row r="323" spans="1:35" s="108" customFormat="1" ht="15.75">
      <c r="A323" s="119"/>
      <c r="B323" s="120"/>
      <c r="C323" s="111"/>
      <c r="D323" s="111"/>
      <c r="E323" s="121"/>
      <c r="F323" s="121"/>
      <c r="G323" s="113"/>
      <c r="H323" s="199" t="str">
        <f t="shared" si="8"/>
        <v/>
      </c>
      <c r="I323" s="200" t="str">
        <f>IF(H323="","",IF(AND(AI323&lt;=66),VLOOKUP(H323,'WordRead Look Up'!$A$13:$B$20,2,TRUE),IF(AND(AI323&gt;=67,AI323&lt;=72),VLOOKUP(H323,'WordRead Look Up'!$E$13:$F$20,2,TRUE),IF(AND(AI323&gt;=73,AI323&lt;=78),VLOOKUP(H323,'WordRead Look Up'!$I$13:$J$18,2,TRUE),IF(AND(AI323&gt;=79),VLOOKUP(H323,'WordRead Look Up'!$M$13:$N$18,2,TRUE),"")))))</f>
        <v/>
      </c>
      <c r="J323" s="122"/>
      <c r="K323" s="111"/>
      <c r="L323" s="111"/>
      <c r="M323" s="111"/>
      <c r="N323" s="111"/>
      <c r="O323" s="111"/>
      <c r="P323" s="111"/>
      <c r="Q323" s="111"/>
      <c r="R323" s="111"/>
      <c r="S323" s="111"/>
      <c r="T323" s="111"/>
      <c r="U323" s="111"/>
      <c r="V323" s="111"/>
      <c r="W323" s="111"/>
      <c r="X323" s="123"/>
      <c r="AG323" s="185"/>
      <c r="AH323" s="185"/>
      <c r="AI323" s="222" t="str">
        <f t="shared" si="9"/>
        <v/>
      </c>
    </row>
    <row r="324" spans="1:35" s="108" customFormat="1" ht="15.75">
      <c r="A324" s="119"/>
      <c r="B324" s="120"/>
      <c r="C324" s="111"/>
      <c r="D324" s="111"/>
      <c r="E324" s="121"/>
      <c r="F324" s="121"/>
      <c r="G324" s="113"/>
      <c r="H324" s="199" t="str">
        <f t="shared" si="8"/>
        <v/>
      </c>
      <c r="I324" s="200" t="str">
        <f>IF(H324="","",IF(AND(AI324&lt;=66),VLOOKUP(H324,'WordRead Look Up'!$A$13:$B$20,2,TRUE),IF(AND(AI324&gt;=67,AI324&lt;=72),VLOOKUP(H324,'WordRead Look Up'!$E$13:$F$20,2,TRUE),IF(AND(AI324&gt;=73,AI324&lt;=78),VLOOKUP(H324,'WordRead Look Up'!$I$13:$J$18,2,TRUE),IF(AND(AI324&gt;=79),VLOOKUP(H324,'WordRead Look Up'!$M$13:$N$18,2,TRUE),"")))))</f>
        <v/>
      </c>
      <c r="J324" s="122"/>
      <c r="K324" s="111"/>
      <c r="L324" s="111"/>
      <c r="M324" s="111"/>
      <c r="N324" s="111"/>
      <c r="O324" s="111"/>
      <c r="P324" s="111"/>
      <c r="Q324" s="111"/>
      <c r="R324" s="111"/>
      <c r="S324" s="111"/>
      <c r="T324" s="111"/>
      <c r="U324" s="111"/>
      <c r="V324" s="111"/>
      <c r="W324" s="111"/>
      <c r="X324" s="123"/>
      <c r="AG324" s="185"/>
      <c r="AH324" s="185"/>
      <c r="AI324" s="222" t="str">
        <f t="shared" si="9"/>
        <v/>
      </c>
    </row>
    <row r="325" spans="1:35" s="108" customFormat="1" ht="15.75">
      <c r="A325" s="119"/>
      <c r="B325" s="120"/>
      <c r="C325" s="111"/>
      <c r="D325" s="111"/>
      <c r="E325" s="121"/>
      <c r="F325" s="121"/>
      <c r="G325" s="113"/>
      <c r="H325" s="199" t="str">
        <f t="shared" si="8"/>
        <v/>
      </c>
      <c r="I325" s="200" t="str">
        <f>IF(H325="","",IF(AND(AI325&lt;=66),VLOOKUP(H325,'WordRead Look Up'!$A$13:$B$20,2,TRUE),IF(AND(AI325&gt;=67,AI325&lt;=72),VLOOKUP(H325,'WordRead Look Up'!$E$13:$F$20,2,TRUE),IF(AND(AI325&gt;=73,AI325&lt;=78),VLOOKUP(H325,'WordRead Look Up'!$I$13:$J$18,2,TRUE),IF(AND(AI325&gt;=79),VLOOKUP(H325,'WordRead Look Up'!$M$13:$N$18,2,TRUE),"")))))</f>
        <v/>
      </c>
      <c r="J325" s="122"/>
      <c r="K325" s="111"/>
      <c r="L325" s="111"/>
      <c r="M325" s="111"/>
      <c r="N325" s="111"/>
      <c r="O325" s="111"/>
      <c r="P325" s="111"/>
      <c r="Q325" s="111"/>
      <c r="R325" s="111"/>
      <c r="S325" s="111"/>
      <c r="T325" s="111"/>
      <c r="U325" s="111"/>
      <c r="V325" s="111"/>
      <c r="W325" s="111"/>
      <c r="X325" s="123"/>
      <c r="AG325" s="185"/>
      <c r="AH325" s="185"/>
      <c r="AI325" s="222" t="str">
        <f t="shared" si="9"/>
        <v/>
      </c>
    </row>
    <row r="326" spans="1:35" s="108" customFormat="1" ht="15.75">
      <c r="A326" s="119"/>
      <c r="B326" s="120"/>
      <c r="C326" s="111"/>
      <c r="D326" s="111"/>
      <c r="E326" s="121"/>
      <c r="F326" s="121"/>
      <c r="G326" s="113"/>
      <c r="H326" s="199" t="str">
        <f t="shared" si="8"/>
        <v/>
      </c>
      <c r="I326" s="200" t="str">
        <f>IF(H326="","",IF(AND(AI326&lt;=66),VLOOKUP(H326,'WordRead Look Up'!$A$13:$B$20,2,TRUE),IF(AND(AI326&gt;=67,AI326&lt;=72),VLOOKUP(H326,'WordRead Look Up'!$E$13:$F$20,2,TRUE),IF(AND(AI326&gt;=73,AI326&lt;=78),VLOOKUP(H326,'WordRead Look Up'!$I$13:$J$18,2,TRUE),IF(AND(AI326&gt;=79),VLOOKUP(H326,'WordRead Look Up'!$M$13:$N$18,2,TRUE),"")))))</f>
        <v/>
      </c>
      <c r="J326" s="122"/>
      <c r="K326" s="111"/>
      <c r="L326" s="111"/>
      <c r="M326" s="111"/>
      <c r="N326" s="111"/>
      <c r="O326" s="111"/>
      <c r="P326" s="111"/>
      <c r="Q326" s="111"/>
      <c r="R326" s="111"/>
      <c r="S326" s="111"/>
      <c r="T326" s="111"/>
      <c r="U326" s="111"/>
      <c r="V326" s="111"/>
      <c r="W326" s="111"/>
      <c r="X326" s="123"/>
      <c r="AG326" s="185"/>
      <c r="AH326" s="185"/>
      <c r="AI326" s="222" t="str">
        <f t="shared" si="9"/>
        <v/>
      </c>
    </row>
    <row r="327" spans="1:35" s="108" customFormat="1" ht="15.75">
      <c r="A327" s="119"/>
      <c r="B327" s="120"/>
      <c r="C327" s="111"/>
      <c r="D327" s="111"/>
      <c r="E327" s="121"/>
      <c r="F327" s="121"/>
      <c r="G327" s="113"/>
      <c r="H327" s="199" t="str">
        <f t="shared" si="8"/>
        <v/>
      </c>
      <c r="I327" s="200" t="str">
        <f>IF(H327="","",IF(AND(AI327&lt;=66),VLOOKUP(H327,'WordRead Look Up'!$A$13:$B$20,2,TRUE),IF(AND(AI327&gt;=67,AI327&lt;=72),VLOOKUP(H327,'WordRead Look Up'!$E$13:$F$20,2,TRUE),IF(AND(AI327&gt;=73,AI327&lt;=78),VLOOKUP(H327,'WordRead Look Up'!$I$13:$J$18,2,TRUE),IF(AND(AI327&gt;=79),VLOOKUP(H327,'WordRead Look Up'!$M$13:$N$18,2,TRUE),"")))))</f>
        <v/>
      </c>
      <c r="J327" s="122"/>
      <c r="K327" s="111"/>
      <c r="L327" s="111"/>
      <c r="M327" s="111"/>
      <c r="N327" s="111"/>
      <c r="O327" s="111"/>
      <c r="P327" s="111"/>
      <c r="Q327" s="111"/>
      <c r="R327" s="111"/>
      <c r="S327" s="111"/>
      <c r="T327" s="111"/>
      <c r="U327" s="111"/>
      <c r="V327" s="111"/>
      <c r="W327" s="111"/>
      <c r="X327" s="123"/>
      <c r="AG327" s="185"/>
      <c r="AH327" s="185"/>
      <c r="AI327" s="222" t="str">
        <f t="shared" si="9"/>
        <v/>
      </c>
    </row>
    <row r="328" spans="1:35" s="108" customFormat="1" ht="15.75">
      <c r="A328" s="119"/>
      <c r="B328" s="120"/>
      <c r="C328" s="111"/>
      <c r="D328" s="111"/>
      <c r="E328" s="121"/>
      <c r="F328" s="121"/>
      <c r="G328" s="113"/>
      <c r="H328" s="199" t="str">
        <f t="shared" ref="H328:H391" si="10">IF(E328="","",COUNTIF(J328:X328,"y"))</f>
        <v/>
      </c>
      <c r="I328" s="200" t="str">
        <f>IF(H328="","",IF(AND(AI328&lt;=66),VLOOKUP(H328,'WordRead Look Up'!$A$13:$B$20,2,TRUE),IF(AND(AI328&gt;=67,AI328&lt;=72),VLOOKUP(H328,'WordRead Look Up'!$E$13:$F$20,2,TRUE),IF(AND(AI328&gt;=73,AI328&lt;=78),VLOOKUP(H328,'WordRead Look Up'!$I$13:$J$18,2,TRUE),IF(AND(AI328&gt;=79),VLOOKUP(H328,'WordRead Look Up'!$M$13:$N$18,2,TRUE),"")))))</f>
        <v/>
      </c>
      <c r="J328" s="122"/>
      <c r="K328" s="111"/>
      <c r="L328" s="111"/>
      <c r="M328" s="111"/>
      <c r="N328" s="111"/>
      <c r="O328" s="111"/>
      <c r="P328" s="111"/>
      <c r="Q328" s="111"/>
      <c r="R328" s="111"/>
      <c r="S328" s="111"/>
      <c r="T328" s="111"/>
      <c r="U328" s="111"/>
      <c r="V328" s="111"/>
      <c r="W328" s="111"/>
      <c r="X328" s="123"/>
      <c r="AG328" s="185"/>
      <c r="AH328" s="185"/>
      <c r="AI328" s="222" t="str">
        <f t="shared" ref="AI328:AI391" si="11">IF(E328="","",DATEDIF(B328,A328,"m"))</f>
        <v/>
      </c>
    </row>
    <row r="329" spans="1:35" s="108" customFormat="1" ht="15.75">
      <c r="A329" s="119"/>
      <c r="B329" s="120"/>
      <c r="C329" s="111"/>
      <c r="D329" s="111"/>
      <c r="E329" s="121"/>
      <c r="F329" s="121"/>
      <c r="G329" s="113"/>
      <c r="H329" s="199" t="str">
        <f t="shared" si="10"/>
        <v/>
      </c>
      <c r="I329" s="200" t="str">
        <f>IF(H329="","",IF(AND(AI329&lt;=66),VLOOKUP(H329,'WordRead Look Up'!$A$13:$B$20,2,TRUE),IF(AND(AI329&gt;=67,AI329&lt;=72),VLOOKUP(H329,'WordRead Look Up'!$E$13:$F$20,2,TRUE),IF(AND(AI329&gt;=73,AI329&lt;=78),VLOOKUP(H329,'WordRead Look Up'!$I$13:$J$18,2,TRUE),IF(AND(AI329&gt;=79),VLOOKUP(H329,'WordRead Look Up'!$M$13:$N$18,2,TRUE),"")))))</f>
        <v/>
      </c>
      <c r="J329" s="122"/>
      <c r="K329" s="111"/>
      <c r="L329" s="111"/>
      <c r="M329" s="111"/>
      <c r="N329" s="111"/>
      <c r="O329" s="111"/>
      <c r="P329" s="111"/>
      <c r="Q329" s="111"/>
      <c r="R329" s="111"/>
      <c r="S329" s="111"/>
      <c r="T329" s="111"/>
      <c r="U329" s="111"/>
      <c r="V329" s="111"/>
      <c r="W329" s="111"/>
      <c r="X329" s="123"/>
      <c r="AG329" s="185"/>
      <c r="AH329" s="185"/>
      <c r="AI329" s="222" t="str">
        <f t="shared" si="11"/>
        <v/>
      </c>
    </row>
    <row r="330" spans="1:35" s="108" customFormat="1" ht="15.75">
      <c r="A330" s="119"/>
      <c r="B330" s="120"/>
      <c r="C330" s="111"/>
      <c r="D330" s="111"/>
      <c r="E330" s="121"/>
      <c r="F330" s="121"/>
      <c r="G330" s="113"/>
      <c r="H330" s="199" t="str">
        <f t="shared" si="10"/>
        <v/>
      </c>
      <c r="I330" s="200" t="str">
        <f>IF(H330="","",IF(AND(AI330&lt;=66),VLOOKUP(H330,'WordRead Look Up'!$A$13:$B$20,2,TRUE),IF(AND(AI330&gt;=67,AI330&lt;=72),VLOOKUP(H330,'WordRead Look Up'!$E$13:$F$20,2,TRUE),IF(AND(AI330&gt;=73,AI330&lt;=78),VLOOKUP(H330,'WordRead Look Up'!$I$13:$J$18,2,TRUE),IF(AND(AI330&gt;=79),VLOOKUP(H330,'WordRead Look Up'!$M$13:$N$18,2,TRUE),"")))))</f>
        <v/>
      </c>
      <c r="J330" s="122"/>
      <c r="K330" s="111"/>
      <c r="L330" s="111"/>
      <c r="M330" s="111"/>
      <c r="N330" s="111"/>
      <c r="O330" s="111"/>
      <c r="P330" s="111"/>
      <c r="Q330" s="111"/>
      <c r="R330" s="111"/>
      <c r="S330" s="111"/>
      <c r="T330" s="111"/>
      <c r="U330" s="111"/>
      <c r="V330" s="111"/>
      <c r="W330" s="111"/>
      <c r="X330" s="123"/>
      <c r="AG330" s="185"/>
      <c r="AH330" s="185"/>
      <c r="AI330" s="222" t="str">
        <f t="shared" si="11"/>
        <v/>
      </c>
    </row>
    <row r="331" spans="1:35" s="108" customFormat="1" ht="15.75">
      <c r="A331" s="119"/>
      <c r="B331" s="120"/>
      <c r="C331" s="111"/>
      <c r="D331" s="111"/>
      <c r="E331" s="121"/>
      <c r="F331" s="121"/>
      <c r="G331" s="113"/>
      <c r="H331" s="199" t="str">
        <f t="shared" si="10"/>
        <v/>
      </c>
      <c r="I331" s="200" t="str">
        <f>IF(H331="","",IF(AND(AI331&lt;=66),VLOOKUP(H331,'WordRead Look Up'!$A$13:$B$20,2,TRUE),IF(AND(AI331&gt;=67,AI331&lt;=72),VLOOKUP(H331,'WordRead Look Up'!$E$13:$F$20,2,TRUE),IF(AND(AI331&gt;=73,AI331&lt;=78),VLOOKUP(H331,'WordRead Look Up'!$I$13:$J$18,2,TRUE),IF(AND(AI331&gt;=79),VLOOKUP(H331,'WordRead Look Up'!$M$13:$N$18,2,TRUE),"")))))</f>
        <v/>
      </c>
      <c r="J331" s="122"/>
      <c r="K331" s="111"/>
      <c r="L331" s="111"/>
      <c r="M331" s="111"/>
      <c r="N331" s="111"/>
      <c r="O331" s="111"/>
      <c r="P331" s="111"/>
      <c r="Q331" s="111"/>
      <c r="R331" s="111"/>
      <c r="S331" s="111"/>
      <c r="T331" s="111"/>
      <c r="U331" s="111"/>
      <c r="V331" s="111"/>
      <c r="W331" s="111"/>
      <c r="X331" s="123"/>
      <c r="AG331" s="185"/>
      <c r="AH331" s="185"/>
      <c r="AI331" s="222" t="str">
        <f t="shared" si="11"/>
        <v/>
      </c>
    </row>
    <row r="332" spans="1:35" s="108" customFormat="1" ht="15.75">
      <c r="A332" s="119"/>
      <c r="B332" s="120"/>
      <c r="C332" s="111"/>
      <c r="D332" s="111"/>
      <c r="E332" s="121"/>
      <c r="F332" s="121"/>
      <c r="G332" s="113"/>
      <c r="H332" s="199" t="str">
        <f t="shared" si="10"/>
        <v/>
      </c>
      <c r="I332" s="200" t="str">
        <f>IF(H332="","",IF(AND(AI332&lt;=66),VLOOKUP(H332,'WordRead Look Up'!$A$13:$B$20,2,TRUE),IF(AND(AI332&gt;=67,AI332&lt;=72),VLOOKUP(H332,'WordRead Look Up'!$E$13:$F$20,2,TRUE),IF(AND(AI332&gt;=73,AI332&lt;=78),VLOOKUP(H332,'WordRead Look Up'!$I$13:$J$18,2,TRUE),IF(AND(AI332&gt;=79),VLOOKUP(H332,'WordRead Look Up'!$M$13:$N$18,2,TRUE),"")))))</f>
        <v/>
      </c>
      <c r="J332" s="122"/>
      <c r="K332" s="111"/>
      <c r="L332" s="111"/>
      <c r="M332" s="111"/>
      <c r="N332" s="111"/>
      <c r="O332" s="111"/>
      <c r="P332" s="111"/>
      <c r="Q332" s="111"/>
      <c r="R332" s="111"/>
      <c r="S332" s="111"/>
      <c r="T332" s="111"/>
      <c r="U332" s="111"/>
      <c r="V332" s="111"/>
      <c r="W332" s="111"/>
      <c r="X332" s="123"/>
      <c r="AG332" s="185"/>
      <c r="AH332" s="185"/>
      <c r="AI332" s="222" t="str">
        <f t="shared" si="11"/>
        <v/>
      </c>
    </row>
    <row r="333" spans="1:35" s="108" customFormat="1" ht="15.75">
      <c r="A333" s="119"/>
      <c r="B333" s="120"/>
      <c r="C333" s="111"/>
      <c r="D333" s="111"/>
      <c r="E333" s="121"/>
      <c r="F333" s="121"/>
      <c r="G333" s="113"/>
      <c r="H333" s="199" t="str">
        <f t="shared" si="10"/>
        <v/>
      </c>
      <c r="I333" s="200" t="str">
        <f>IF(H333="","",IF(AND(AI333&lt;=66),VLOOKUP(H333,'WordRead Look Up'!$A$13:$B$20,2,TRUE),IF(AND(AI333&gt;=67,AI333&lt;=72),VLOOKUP(H333,'WordRead Look Up'!$E$13:$F$20,2,TRUE),IF(AND(AI333&gt;=73,AI333&lt;=78),VLOOKUP(H333,'WordRead Look Up'!$I$13:$J$18,2,TRUE),IF(AND(AI333&gt;=79),VLOOKUP(H333,'WordRead Look Up'!$M$13:$N$18,2,TRUE),"")))))</f>
        <v/>
      </c>
      <c r="J333" s="122"/>
      <c r="K333" s="111"/>
      <c r="L333" s="111"/>
      <c r="M333" s="111"/>
      <c r="N333" s="111"/>
      <c r="O333" s="111"/>
      <c r="P333" s="111"/>
      <c r="Q333" s="111"/>
      <c r="R333" s="111"/>
      <c r="S333" s="111"/>
      <c r="T333" s="111"/>
      <c r="U333" s="111"/>
      <c r="V333" s="111"/>
      <c r="W333" s="111"/>
      <c r="X333" s="123"/>
      <c r="AG333" s="185"/>
      <c r="AH333" s="185"/>
      <c r="AI333" s="222" t="str">
        <f t="shared" si="11"/>
        <v/>
      </c>
    </row>
    <row r="334" spans="1:35" s="108" customFormat="1" ht="15.75">
      <c r="A334" s="119"/>
      <c r="B334" s="120"/>
      <c r="C334" s="111"/>
      <c r="D334" s="111"/>
      <c r="E334" s="121"/>
      <c r="F334" s="121"/>
      <c r="G334" s="113"/>
      <c r="H334" s="199" t="str">
        <f t="shared" si="10"/>
        <v/>
      </c>
      <c r="I334" s="200" t="str">
        <f>IF(H334="","",IF(AND(AI334&lt;=66),VLOOKUP(H334,'WordRead Look Up'!$A$13:$B$20,2,TRUE),IF(AND(AI334&gt;=67,AI334&lt;=72),VLOOKUP(H334,'WordRead Look Up'!$E$13:$F$20,2,TRUE),IF(AND(AI334&gt;=73,AI334&lt;=78),VLOOKUP(H334,'WordRead Look Up'!$I$13:$J$18,2,TRUE),IF(AND(AI334&gt;=79),VLOOKUP(H334,'WordRead Look Up'!$M$13:$N$18,2,TRUE),"")))))</f>
        <v/>
      </c>
      <c r="J334" s="122"/>
      <c r="K334" s="111"/>
      <c r="L334" s="111"/>
      <c r="M334" s="111"/>
      <c r="N334" s="111"/>
      <c r="O334" s="111"/>
      <c r="P334" s="111"/>
      <c r="Q334" s="111"/>
      <c r="R334" s="111"/>
      <c r="S334" s="111"/>
      <c r="T334" s="111"/>
      <c r="U334" s="111"/>
      <c r="V334" s="111"/>
      <c r="W334" s="111"/>
      <c r="X334" s="123"/>
      <c r="AG334" s="185"/>
      <c r="AH334" s="185"/>
      <c r="AI334" s="222" t="str">
        <f t="shared" si="11"/>
        <v/>
      </c>
    </row>
    <row r="335" spans="1:35" s="108" customFormat="1" ht="15.75">
      <c r="A335" s="119"/>
      <c r="B335" s="120"/>
      <c r="C335" s="111"/>
      <c r="D335" s="111"/>
      <c r="E335" s="121"/>
      <c r="F335" s="121"/>
      <c r="G335" s="113"/>
      <c r="H335" s="199" t="str">
        <f t="shared" si="10"/>
        <v/>
      </c>
      <c r="I335" s="200" t="str">
        <f>IF(H335="","",IF(AND(AI335&lt;=66),VLOOKUP(H335,'WordRead Look Up'!$A$13:$B$20,2,TRUE),IF(AND(AI335&gt;=67,AI335&lt;=72),VLOOKUP(H335,'WordRead Look Up'!$E$13:$F$20,2,TRUE),IF(AND(AI335&gt;=73,AI335&lt;=78),VLOOKUP(H335,'WordRead Look Up'!$I$13:$J$18,2,TRUE),IF(AND(AI335&gt;=79),VLOOKUP(H335,'WordRead Look Up'!$M$13:$N$18,2,TRUE),"")))))</f>
        <v/>
      </c>
      <c r="J335" s="122"/>
      <c r="K335" s="111"/>
      <c r="L335" s="111"/>
      <c r="M335" s="111"/>
      <c r="N335" s="111"/>
      <c r="O335" s="111"/>
      <c r="P335" s="111"/>
      <c r="Q335" s="111"/>
      <c r="R335" s="111"/>
      <c r="S335" s="111"/>
      <c r="T335" s="111"/>
      <c r="U335" s="111"/>
      <c r="V335" s="111"/>
      <c r="W335" s="111"/>
      <c r="X335" s="123"/>
      <c r="AG335" s="185"/>
      <c r="AH335" s="185"/>
      <c r="AI335" s="222" t="str">
        <f t="shared" si="11"/>
        <v/>
      </c>
    </row>
    <row r="336" spans="1:35" s="108" customFormat="1" ht="15.75">
      <c r="A336" s="119"/>
      <c r="B336" s="120"/>
      <c r="C336" s="111"/>
      <c r="D336" s="111"/>
      <c r="E336" s="121"/>
      <c r="F336" s="121"/>
      <c r="G336" s="113"/>
      <c r="H336" s="199" t="str">
        <f t="shared" si="10"/>
        <v/>
      </c>
      <c r="I336" s="200" t="str">
        <f>IF(H336="","",IF(AND(AI336&lt;=66),VLOOKUP(H336,'WordRead Look Up'!$A$13:$B$20,2,TRUE),IF(AND(AI336&gt;=67,AI336&lt;=72),VLOOKUP(H336,'WordRead Look Up'!$E$13:$F$20,2,TRUE),IF(AND(AI336&gt;=73,AI336&lt;=78),VLOOKUP(H336,'WordRead Look Up'!$I$13:$J$18,2,TRUE),IF(AND(AI336&gt;=79),VLOOKUP(H336,'WordRead Look Up'!$M$13:$N$18,2,TRUE),"")))))</f>
        <v/>
      </c>
      <c r="J336" s="122"/>
      <c r="K336" s="111"/>
      <c r="L336" s="111"/>
      <c r="M336" s="111"/>
      <c r="N336" s="111"/>
      <c r="O336" s="111"/>
      <c r="P336" s="111"/>
      <c r="Q336" s="111"/>
      <c r="R336" s="111"/>
      <c r="S336" s="111"/>
      <c r="T336" s="111"/>
      <c r="U336" s="111"/>
      <c r="V336" s="111"/>
      <c r="W336" s="111"/>
      <c r="X336" s="123"/>
      <c r="AG336" s="185"/>
      <c r="AH336" s="185"/>
      <c r="AI336" s="222" t="str">
        <f t="shared" si="11"/>
        <v/>
      </c>
    </row>
    <row r="337" spans="1:35" s="108" customFormat="1" ht="15.75">
      <c r="A337" s="119"/>
      <c r="B337" s="120"/>
      <c r="C337" s="111"/>
      <c r="D337" s="111"/>
      <c r="E337" s="121"/>
      <c r="F337" s="121"/>
      <c r="G337" s="113"/>
      <c r="H337" s="199" t="str">
        <f t="shared" si="10"/>
        <v/>
      </c>
      <c r="I337" s="200" t="str">
        <f>IF(H337="","",IF(AND(AI337&lt;=66),VLOOKUP(H337,'WordRead Look Up'!$A$13:$B$20,2,TRUE),IF(AND(AI337&gt;=67,AI337&lt;=72),VLOOKUP(H337,'WordRead Look Up'!$E$13:$F$20,2,TRUE),IF(AND(AI337&gt;=73,AI337&lt;=78),VLOOKUP(H337,'WordRead Look Up'!$I$13:$J$18,2,TRUE),IF(AND(AI337&gt;=79),VLOOKUP(H337,'WordRead Look Up'!$M$13:$N$18,2,TRUE),"")))))</f>
        <v/>
      </c>
      <c r="J337" s="122"/>
      <c r="K337" s="111"/>
      <c r="L337" s="111"/>
      <c r="M337" s="111"/>
      <c r="N337" s="111"/>
      <c r="O337" s="111"/>
      <c r="P337" s="111"/>
      <c r="Q337" s="111"/>
      <c r="R337" s="111"/>
      <c r="S337" s="111"/>
      <c r="T337" s="111"/>
      <c r="U337" s="111"/>
      <c r="V337" s="111"/>
      <c r="W337" s="111"/>
      <c r="X337" s="123"/>
      <c r="AG337" s="185"/>
      <c r="AH337" s="185"/>
      <c r="AI337" s="222" t="str">
        <f t="shared" si="11"/>
        <v/>
      </c>
    </row>
    <row r="338" spans="1:35" s="108" customFormat="1" ht="15.75">
      <c r="A338" s="119"/>
      <c r="B338" s="120"/>
      <c r="C338" s="111"/>
      <c r="D338" s="111"/>
      <c r="E338" s="121"/>
      <c r="F338" s="121"/>
      <c r="G338" s="113"/>
      <c r="H338" s="199" t="str">
        <f t="shared" si="10"/>
        <v/>
      </c>
      <c r="I338" s="200" t="str">
        <f>IF(H338="","",IF(AND(AI338&lt;=66),VLOOKUP(H338,'WordRead Look Up'!$A$13:$B$20,2,TRUE),IF(AND(AI338&gt;=67,AI338&lt;=72),VLOOKUP(H338,'WordRead Look Up'!$E$13:$F$20,2,TRUE),IF(AND(AI338&gt;=73,AI338&lt;=78),VLOOKUP(H338,'WordRead Look Up'!$I$13:$J$18,2,TRUE),IF(AND(AI338&gt;=79),VLOOKUP(H338,'WordRead Look Up'!$M$13:$N$18,2,TRUE),"")))))</f>
        <v/>
      </c>
      <c r="J338" s="122"/>
      <c r="K338" s="111"/>
      <c r="L338" s="111"/>
      <c r="M338" s="111"/>
      <c r="N338" s="111"/>
      <c r="O338" s="111"/>
      <c r="P338" s="111"/>
      <c r="Q338" s="111"/>
      <c r="R338" s="111"/>
      <c r="S338" s="111"/>
      <c r="T338" s="111"/>
      <c r="U338" s="111"/>
      <c r="V338" s="111"/>
      <c r="W338" s="111"/>
      <c r="X338" s="123"/>
      <c r="AG338" s="185"/>
      <c r="AH338" s="185"/>
      <c r="AI338" s="222" t="str">
        <f t="shared" si="11"/>
        <v/>
      </c>
    </row>
    <row r="339" spans="1:35" s="108" customFormat="1" ht="15.75">
      <c r="A339" s="119"/>
      <c r="B339" s="120"/>
      <c r="C339" s="111"/>
      <c r="D339" s="111"/>
      <c r="E339" s="121"/>
      <c r="F339" s="121"/>
      <c r="G339" s="113"/>
      <c r="H339" s="199" t="str">
        <f t="shared" si="10"/>
        <v/>
      </c>
      <c r="I339" s="200" t="str">
        <f>IF(H339="","",IF(AND(AI339&lt;=66),VLOOKUP(H339,'WordRead Look Up'!$A$13:$B$20,2,TRUE),IF(AND(AI339&gt;=67,AI339&lt;=72),VLOOKUP(H339,'WordRead Look Up'!$E$13:$F$20,2,TRUE),IF(AND(AI339&gt;=73,AI339&lt;=78),VLOOKUP(H339,'WordRead Look Up'!$I$13:$J$18,2,TRUE),IF(AND(AI339&gt;=79),VLOOKUP(H339,'WordRead Look Up'!$M$13:$N$18,2,TRUE),"")))))</f>
        <v/>
      </c>
      <c r="J339" s="122"/>
      <c r="K339" s="111"/>
      <c r="L339" s="111"/>
      <c r="M339" s="111"/>
      <c r="N339" s="111"/>
      <c r="O339" s="111"/>
      <c r="P339" s="111"/>
      <c r="Q339" s="111"/>
      <c r="R339" s="111"/>
      <c r="S339" s="111"/>
      <c r="T339" s="111"/>
      <c r="U339" s="111"/>
      <c r="V339" s="111"/>
      <c r="W339" s="111"/>
      <c r="X339" s="123"/>
      <c r="AG339" s="185"/>
      <c r="AH339" s="185"/>
      <c r="AI339" s="222" t="str">
        <f t="shared" si="11"/>
        <v/>
      </c>
    </row>
    <row r="340" spans="1:35" s="108" customFormat="1" ht="15.75">
      <c r="A340" s="119"/>
      <c r="B340" s="120"/>
      <c r="C340" s="111"/>
      <c r="D340" s="111"/>
      <c r="E340" s="121"/>
      <c r="F340" s="121"/>
      <c r="G340" s="113"/>
      <c r="H340" s="199" t="str">
        <f t="shared" si="10"/>
        <v/>
      </c>
      <c r="I340" s="200" t="str">
        <f>IF(H340="","",IF(AND(AI340&lt;=66),VLOOKUP(H340,'WordRead Look Up'!$A$13:$B$20,2,TRUE),IF(AND(AI340&gt;=67,AI340&lt;=72),VLOOKUP(H340,'WordRead Look Up'!$E$13:$F$20,2,TRUE),IF(AND(AI340&gt;=73,AI340&lt;=78),VLOOKUP(H340,'WordRead Look Up'!$I$13:$J$18,2,TRUE),IF(AND(AI340&gt;=79),VLOOKUP(H340,'WordRead Look Up'!$M$13:$N$18,2,TRUE),"")))))</f>
        <v/>
      </c>
      <c r="J340" s="122"/>
      <c r="K340" s="111"/>
      <c r="L340" s="111"/>
      <c r="M340" s="111"/>
      <c r="N340" s="111"/>
      <c r="O340" s="111"/>
      <c r="P340" s="111"/>
      <c r="Q340" s="111"/>
      <c r="R340" s="111"/>
      <c r="S340" s="111"/>
      <c r="T340" s="111"/>
      <c r="U340" s="111"/>
      <c r="V340" s="111"/>
      <c r="W340" s="111"/>
      <c r="X340" s="123"/>
      <c r="AG340" s="185"/>
      <c r="AH340" s="185"/>
      <c r="AI340" s="222" t="str">
        <f t="shared" si="11"/>
        <v/>
      </c>
    </row>
    <row r="341" spans="1:35" s="108" customFormat="1" ht="15.75">
      <c r="A341" s="119"/>
      <c r="B341" s="120"/>
      <c r="C341" s="111"/>
      <c r="D341" s="111"/>
      <c r="E341" s="121"/>
      <c r="F341" s="121"/>
      <c r="G341" s="113"/>
      <c r="H341" s="199" t="str">
        <f t="shared" si="10"/>
        <v/>
      </c>
      <c r="I341" s="200" t="str">
        <f>IF(H341="","",IF(AND(AI341&lt;=66),VLOOKUP(H341,'WordRead Look Up'!$A$13:$B$20,2,TRUE),IF(AND(AI341&gt;=67,AI341&lt;=72),VLOOKUP(H341,'WordRead Look Up'!$E$13:$F$20,2,TRUE),IF(AND(AI341&gt;=73,AI341&lt;=78),VLOOKUP(H341,'WordRead Look Up'!$I$13:$J$18,2,TRUE),IF(AND(AI341&gt;=79),VLOOKUP(H341,'WordRead Look Up'!$M$13:$N$18,2,TRUE),"")))))</f>
        <v/>
      </c>
      <c r="J341" s="122"/>
      <c r="K341" s="111"/>
      <c r="L341" s="111"/>
      <c r="M341" s="111"/>
      <c r="N341" s="111"/>
      <c r="O341" s="111"/>
      <c r="P341" s="111"/>
      <c r="Q341" s="111"/>
      <c r="R341" s="111"/>
      <c r="S341" s="111"/>
      <c r="T341" s="111"/>
      <c r="U341" s="111"/>
      <c r="V341" s="111"/>
      <c r="W341" s="111"/>
      <c r="X341" s="123"/>
      <c r="AG341" s="185"/>
      <c r="AH341" s="185"/>
      <c r="AI341" s="222" t="str">
        <f t="shared" si="11"/>
        <v/>
      </c>
    </row>
    <row r="342" spans="1:35" s="108" customFormat="1" ht="15.75">
      <c r="A342" s="119"/>
      <c r="B342" s="120"/>
      <c r="C342" s="111"/>
      <c r="D342" s="111"/>
      <c r="E342" s="121"/>
      <c r="F342" s="121"/>
      <c r="G342" s="113"/>
      <c r="H342" s="199" t="str">
        <f t="shared" si="10"/>
        <v/>
      </c>
      <c r="I342" s="200" t="str">
        <f>IF(H342="","",IF(AND(AI342&lt;=66),VLOOKUP(H342,'WordRead Look Up'!$A$13:$B$20,2,TRUE),IF(AND(AI342&gt;=67,AI342&lt;=72),VLOOKUP(H342,'WordRead Look Up'!$E$13:$F$20,2,TRUE),IF(AND(AI342&gt;=73,AI342&lt;=78),VLOOKUP(H342,'WordRead Look Up'!$I$13:$J$18,2,TRUE),IF(AND(AI342&gt;=79),VLOOKUP(H342,'WordRead Look Up'!$M$13:$N$18,2,TRUE),"")))))</f>
        <v/>
      </c>
      <c r="J342" s="122"/>
      <c r="K342" s="111"/>
      <c r="L342" s="111"/>
      <c r="M342" s="111"/>
      <c r="N342" s="111"/>
      <c r="O342" s="111"/>
      <c r="P342" s="111"/>
      <c r="Q342" s="111"/>
      <c r="R342" s="111"/>
      <c r="S342" s="111"/>
      <c r="T342" s="111"/>
      <c r="U342" s="111"/>
      <c r="V342" s="111"/>
      <c r="W342" s="111"/>
      <c r="X342" s="123"/>
      <c r="AG342" s="185"/>
      <c r="AH342" s="185"/>
      <c r="AI342" s="222" t="str">
        <f t="shared" si="11"/>
        <v/>
      </c>
    </row>
    <row r="343" spans="1:35" s="108" customFormat="1" ht="15.75">
      <c r="A343" s="119"/>
      <c r="B343" s="120"/>
      <c r="C343" s="111"/>
      <c r="D343" s="111"/>
      <c r="E343" s="121"/>
      <c r="F343" s="121"/>
      <c r="G343" s="113"/>
      <c r="H343" s="199" t="str">
        <f t="shared" si="10"/>
        <v/>
      </c>
      <c r="I343" s="200" t="str">
        <f>IF(H343="","",IF(AND(AI343&lt;=66),VLOOKUP(H343,'WordRead Look Up'!$A$13:$B$20,2,TRUE),IF(AND(AI343&gt;=67,AI343&lt;=72),VLOOKUP(H343,'WordRead Look Up'!$E$13:$F$20,2,TRUE),IF(AND(AI343&gt;=73,AI343&lt;=78),VLOOKUP(H343,'WordRead Look Up'!$I$13:$J$18,2,TRUE),IF(AND(AI343&gt;=79),VLOOKUP(H343,'WordRead Look Up'!$M$13:$N$18,2,TRUE),"")))))</f>
        <v/>
      </c>
      <c r="J343" s="122"/>
      <c r="K343" s="111"/>
      <c r="L343" s="111"/>
      <c r="M343" s="111"/>
      <c r="N343" s="111"/>
      <c r="O343" s="111"/>
      <c r="P343" s="111"/>
      <c r="Q343" s="111"/>
      <c r="R343" s="111"/>
      <c r="S343" s="111"/>
      <c r="T343" s="111"/>
      <c r="U343" s="111"/>
      <c r="V343" s="111"/>
      <c r="W343" s="111"/>
      <c r="X343" s="123"/>
      <c r="AG343" s="185"/>
      <c r="AH343" s="185"/>
      <c r="AI343" s="222" t="str">
        <f t="shared" si="11"/>
        <v/>
      </c>
    </row>
    <row r="344" spans="1:35" s="108" customFormat="1" ht="15.75">
      <c r="A344" s="119"/>
      <c r="B344" s="120"/>
      <c r="C344" s="111"/>
      <c r="D344" s="111"/>
      <c r="E344" s="121"/>
      <c r="F344" s="121"/>
      <c r="G344" s="113"/>
      <c r="H344" s="199" t="str">
        <f t="shared" si="10"/>
        <v/>
      </c>
      <c r="I344" s="200" t="str">
        <f>IF(H344="","",IF(AND(AI344&lt;=66),VLOOKUP(H344,'WordRead Look Up'!$A$13:$B$20,2,TRUE),IF(AND(AI344&gt;=67,AI344&lt;=72),VLOOKUP(H344,'WordRead Look Up'!$E$13:$F$20,2,TRUE),IF(AND(AI344&gt;=73,AI344&lt;=78),VLOOKUP(H344,'WordRead Look Up'!$I$13:$J$18,2,TRUE),IF(AND(AI344&gt;=79),VLOOKUP(H344,'WordRead Look Up'!$M$13:$N$18,2,TRUE),"")))))</f>
        <v/>
      </c>
      <c r="J344" s="122"/>
      <c r="K344" s="111"/>
      <c r="L344" s="111"/>
      <c r="M344" s="111"/>
      <c r="N344" s="111"/>
      <c r="O344" s="111"/>
      <c r="P344" s="111"/>
      <c r="Q344" s="111"/>
      <c r="R344" s="111"/>
      <c r="S344" s="111"/>
      <c r="T344" s="111"/>
      <c r="U344" s="111"/>
      <c r="V344" s="111"/>
      <c r="W344" s="111"/>
      <c r="X344" s="123"/>
      <c r="AG344" s="185"/>
      <c r="AH344" s="185"/>
      <c r="AI344" s="222" t="str">
        <f t="shared" si="11"/>
        <v/>
      </c>
    </row>
    <row r="345" spans="1:35" s="108" customFormat="1" ht="15.75">
      <c r="A345" s="119"/>
      <c r="B345" s="120"/>
      <c r="C345" s="111"/>
      <c r="D345" s="111"/>
      <c r="E345" s="121"/>
      <c r="F345" s="121"/>
      <c r="G345" s="113"/>
      <c r="H345" s="199" t="str">
        <f t="shared" si="10"/>
        <v/>
      </c>
      <c r="I345" s="200" t="str">
        <f>IF(H345="","",IF(AND(AI345&lt;=66),VLOOKUP(H345,'WordRead Look Up'!$A$13:$B$20,2,TRUE),IF(AND(AI345&gt;=67,AI345&lt;=72),VLOOKUP(H345,'WordRead Look Up'!$E$13:$F$20,2,TRUE),IF(AND(AI345&gt;=73,AI345&lt;=78),VLOOKUP(H345,'WordRead Look Up'!$I$13:$J$18,2,TRUE),IF(AND(AI345&gt;=79),VLOOKUP(H345,'WordRead Look Up'!$M$13:$N$18,2,TRUE),"")))))</f>
        <v/>
      </c>
      <c r="J345" s="122"/>
      <c r="K345" s="111"/>
      <c r="L345" s="111"/>
      <c r="M345" s="111"/>
      <c r="N345" s="111"/>
      <c r="O345" s="111"/>
      <c r="P345" s="111"/>
      <c r="Q345" s="111"/>
      <c r="R345" s="111"/>
      <c r="S345" s="111"/>
      <c r="T345" s="111"/>
      <c r="U345" s="111"/>
      <c r="V345" s="111"/>
      <c r="W345" s="111"/>
      <c r="X345" s="123"/>
      <c r="AG345" s="185"/>
      <c r="AH345" s="185"/>
      <c r="AI345" s="222" t="str">
        <f t="shared" si="11"/>
        <v/>
      </c>
    </row>
    <row r="346" spans="1:35" s="108" customFormat="1" ht="15.75">
      <c r="A346" s="119"/>
      <c r="B346" s="120"/>
      <c r="C346" s="111"/>
      <c r="D346" s="111"/>
      <c r="E346" s="121"/>
      <c r="F346" s="121"/>
      <c r="G346" s="113"/>
      <c r="H346" s="199" t="str">
        <f t="shared" si="10"/>
        <v/>
      </c>
      <c r="I346" s="200" t="str">
        <f>IF(H346="","",IF(AND(AI346&lt;=66),VLOOKUP(H346,'WordRead Look Up'!$A$13:$B$20,2,TRUE),IF(AND(AI346&gt;=67,AI346&lt;=72),VLOOKUP(H346,'WordRead Look Up'!$E$13:$F$20,2,TRUE),IF(AND(AI346&gt;=73,AI346&lt;=78),VLOOKUP(H346,'WordRead Look Up'!$I$13:$J$18,2,TRUE),IF(AND(AI346&gt;=79),VLOOKUP(H346,'WordRead Look Up'!$M$13:$N$18,2,TRUE),"")))))</f>
        <v/>
      </c>
      <c r="J346" s="122"/>
      <c r="K346" s="111"/>
      <c r="L346" s="111"/>
      <c r="M346" s="111"/>
      <c r="N346" s="111"/>
      <c r="O346" s="111"/>
      <c r="P346" s="111"/>
      <c r="Q346" s="111"/>
      <c r="R346" s="111"/>
      <c r="S346" s="111"/>
      <c r="T346" s="111"/>
      <c r="U346" s="111"/>
      <c r="V346" s="111"/>
      <c r="W346" s="111"/>
      <c r="X346" s="123"/>
      <c r="AG346" s="185"/>
      <c r="AH346" s="185"/>
      <c r="AI346" s="222" t="str">
        <f t="shared" si="11"/>
        <v/>
      </c>
    </row>
    <row r="347" spans="1:35" s="108" customFormat="1" ht="15.75">
      <c r="A347" s="119"/>
      <c r="B347" s="120"/>
      <c r="C347" s="111"/>
      <c r="D347" s="111"/>
      <c r="E347" s="121"/>
      <c r="F347" s="121"/>
      <c r="G347" s="113"/>
      <c r="H347" s="199" t="str">
        <f t="shared" si="10"/>
        <v/>
      </c>
      <c r="I347" s="200" t="str">
        <f>IF(H347="","",IF(AND(AI347&lt;=66),VLOOKUP(H347,'WordRead Look Up'!$A$13:$B$20,2,TRUE),IF(AND(AI347&gt;=67,AI347&lt;=72),VLOOKUP(H347,'WordRead Look Up'!$E$13:$F$20,2,TRUE),IF(AND(AI347&gt;=73,AI347&lt;=78),VLOOKUP(H347,'WordRead Look Up'!$I$13:$J$18,2,TRUE),IF(AND(AI347&gt;=79),VLOOKUP(H347,'WordRead Look Up'!$M$13:$N$18,2,TRUE),"")))))</f>
        <v/>
      </c>
      <c r="J347" s="122"/>
      <c r="K347" s="111"/>
      <c r="L347" s="111"/>
      <c r="M347" s="111"/>
      <c r="N347" s="111"/>
      <c r="O347" s="111"/>
      <c r="P347" s="111"/>
      <c r="Q347" s="111"/>
      <c r="R347" s="111"/>
      <c r="S347" s="111"/>
      <c r="T347" s="111"/>
      <c r="U347" s="111"/>
      <c r="V347" s="111"/>
      <c r="W347" s="111"/>
      <c r="X347" s="123"/>
      <c r="AG347" s="185"/>
      <c r="AH347" s="185"/>
      <c r="AI347" s="222" t="str">
        <f t="shared" si="11"/>
        <v/>
      </c>
    </row>
    <row r="348" spans="1:35" s="108" customFormat="1" ht="15.75">
      <c r="A348" s="119"/>
      <c r="B348" s="120"/>
      <c r="C348" s="111"/>
      <c r="D348" s="111"/>
      <c r="E348" s="121"/>
      <c r="F348" s="121"/>
      <c r="G348" s="113"/>
      <c r="H348" s="199" t="str">
        <f t="shared" si="10"/>
        <v/>
      </c>
      <c r="I348" s="200" t="str">
        <f>IF(H348="","",IF(AND(AI348&lt;=66),VLOOKUP(H348,'WordRead Look Up'!$A$13:$B$20,2,TRUE),IF(AND(AI348&gt;=67,AI348&lt;=72),VLOOKUP(H348,'WordRead Look Up'!$E$13:$F$20,2,TRUE),IF(AND(AI348&gt;=73,AI348&lt;=78),VLOOKUP(H348,'WordRead Look Up'!$I$13:$J$18,2,TRUE),IF(AND(AI348&gt;=79),VLOOKUP(H348,'WordRead Look Up'!$M$13:$N$18,2,TRUE),"")))))</f>
        <v/>
      </c>
      <c r="J348" s="122"/>
      <c r="K348" s="111"/>
      <c r="L348" s="111"/>
      <c r="M348" s="111"/>
      <c r="N348" s="111"/>
      <c r="O348" s="111"/>
      <c r="P348" s="111"/>
      <c r="Q348" s="111"/>
      <c r="R348" s="111"/>
      <c r="S348" s="111"/>
      <c r="T348" s="111"/>
      <c r="U348" s="111"/>
      <c r="V348" s="111"/>
      <c r="W348" s="111"/>
      <c r="X348" s="123"/>
      <c r="AG348" s="185"/>
      <c r="AH348" s="185"/>
      <c r="AI348" s="222" t="str">
        <f t="shared" si="11"/>
        <v/>
      </c>
    </row>
    <row r="349" spans="1:35" s="108" customFormat="1" ht="15.75">
      <c r="A349" s="119"/>
      <c r="B349" s="120"/>
      <c r="C349" s="111"/>
      <c r="D349" s="111"/>
      <c r="E349" s="121"/>
      <c r="F349" s="121"/>
      <c r="G349" s="113"/>
      <c r="H349" s="199" t="str">
        <f t="shared" si="10"/>
        <v/>
      </c>
      <c r="I349" s="200" t="str">
        <f>IF(H349="","",IF(AND(AI349&lt;=66),VLOOKUP(H349,'WordRead Look Up'!$A$13:$B$20,2,TRUE),IF(AND(AI349&gt;=67,AI349&lt;=72),VLOOKUP(H349,'WordRead Look Up'!$E$13:$F$20,2,TRUE),IF(AND(AI349&gt;=73,AI349&lt;=78),VLOOKUP(H349,'WordRead Look Up'!$I$13:$J$18,2,TRUE),IF(AND(AI349&gt;=79),VLOOKUP(H349,'WordRead Look Up'!$M$13:$N$18,2,TRUE),"")))))</f>
        <v/>
      </c>
      <c r="J349" s="122"/>
      <c r="K349" s="111"/>
      <c r="L349" s="111"/>
      <c r="M349" s="111"/>
      <c r="N349" s="111"/>
      <c r="O349" s="111"/>
      <c r="P349" s="111"/>
      <c r="Q349" s="111"/>
      <c r="R349" s="111"/>
      <c r="S349" s="111"/>
      <c r="T349" s="111"/>
      <c r="U349" s="111"/>
      <c r="V349" s="111"/>
      <c r="W349" s="111"/>
      <c r="X349" s="123"/>
      <c r="AG349" s="185"/>
      <c r="AH349" s="185"/>
      <c r="AI349" s="222" t="str">
        <f t="shared" si="11"/>
        <v/>
      </c>
    </row>
    <row r="350" spans="1:35" s="108" customFormat="1" ht="15.75">
      <c r="A350" s="119"/>
      <c r="B350" s="120"/>
      <c r="C350" s="111"/>
      <c r="D350" s="111"/>
      <c r="E350" s="121"/>
      <c r="F350" s="121"/>
      <c r="G350" s="113"/>
      <c r="H350" s="199" t="str">
        <f t="shared" si="10"/>
        <v/>
      </c>
      <c r="I350" s="200" t="str">
        <f>IF(H350="","",IF(AND(AI350&lt;=66),VLOOKUP(H350,'WordRead Look Up'!$A$13:$B$20,2,TRUE),IF(AND(AI350&gt;=67,AI350&lt;=72),VLOOKUP(H350,'WordRead Look Up'!$E$13:$F$20,2,TRUE),IF(AND(AI350&gt;=73,AI350&lt;=78),VLOOKUP(H350,'WordRead Look Up'!$I$13:$J$18,2,TRUE),IF(AND(AI350&gt;=79),VLOOKUP(H350,'WordRead Look Up'!$M$13:$N$18,2,TRUE),"")))))</f>
        <v/>
      </c>
      <c r="J350" s="122"/>
      <c r="K350" s="111"/>
      <c r="L350" s="111"/>
      <c r="M350" s="111"/>
      <c r="N350" s="111"/>
      <c r="O350" s="111"/>
      <c r="P350" s="111"/>
      <c r="Q350" s="111"/>
      <c r="R350" s="111"/>
      <c r="S350" s="111"/>
      <c r="T350" s="111"/>
      <c r="U350" s="111"/>
      <c r="V350" s="111"/>
      <c r="W350" s="111"/>
      <c r="X350" s="123"/>
      <c r="AG350" s="185"/>
      <c r="AH350" s="185"/>
      <c r="AI350" s="222" t="str">
        <f t="shared" si="11"/>
        <v/>
      </c>
    </row>
    <row r="351" spans="1:35" s="108" customFormat="1" ht="15.75">
      <c r="A351" s="119"/>
      <c r="B351" s="120"/>
      <c r="C351" s="111"/>
      <c r="D351" s="111"/>
      <c r="E351" s="121"/>
      <c r="F351" s="121"/>
      <c r="G351" s="113"/>
      <c r="H351" s="199" t="str">
        <f t="shared" si="10"/>
        <v/>
      </c>
      <c r="I351" s="200" t="str">
        <f>IF(H351="","",IF(AND(AI351&lt;=66),VLOOKUP(H351,'WordRead Look Up'!$A$13:$B$20,2,TRUE),IF(AND(AI351&gt;=67,AI351&lt;=72),VLOOKUP(H351,'WordRead Look Up'!$E$13:$F$20,2,TRUE),IF(AND(AI351&gt;=73,AI351&lt;=78),VLOOKUP(H351,'WordRead Look Up'!$I$13:$J$18,2,TRUE),IF(AND(AI351&gt;=79),VLOOKUP(H351,'WordRead Look Up'!$M$13:$N$18,2,TRUE),"")))))</f>
        <v/>
      </c>
      <c r="J351" s="122"/>
      <c r="K351" s="111"/>
      <c r="L351" s="111"/>
      <c r="M351" s="111"/>
      <c r="N351" s="111"/>
      <c r="O351" s="111"/>
      <c r="P351" s="111"/>
      <c r="Q351" s="111"/>
      <c r="R351" s="111"/>
      <c r="S351" s="111"/>
      <c r="T351" s="111"/>
      <c r="U351" s="111"/>
      <c r="V351" s="111"/>
      <c r="W351" s="111"/>
      <c r="X351" s="123"/>
      <c r="AG351" s="185"/>
      <c r="AH351" s="185"/>
      <c r="AI351" s="222" t="str">
        <f t="shared" si="11"/>
        <v/>
      </c>
    </row>
    <row r="352" spans="1:35" s="108" customFormat="1" ht="15.75">
      <c r="A352" s="119"/>
      <c r="B352" s="120"/>
      <c r="C352" s="111"/>
      <c r="D352" s="111"/>
      <c r="E352" s="121"/>
      <c r="F352" s="121"/>
      <c r="G352" s="113"/>
      <c r="H352" s="199" t="str">
        <f t="shared" si="10"/>
        <v/>
      </c>
      <c r="I352" s="200" t="str">
        <f>IF(H352="","",IF(AND(AI352&lt;=66),VLOOKUP(H352,'WordRead Look Up'!$A$13:$B$20,2,TRUE),IF(AND(AI352&gt;=67,AI352&lt;=72),VLOOKUP(H352,'WordRead Look Up'!$E$13:$F$20,2,TRUE),IF(AND(AI352&gt;=73,AI352&lt;=78),VLOOKUP(H352,'WordRead Look Up'!$I$13:$J$18,2,TRUE),IF(AND(AI352&gt;=79),VLOOKUP(H352,'WordRead Look Up'!$M$13:$N$18,2,TRUE),"")))))</f>
        <v/>
      </c>
      <c r="J352" s="122"/>
      <c r="K352" s="111"/>
      <c r="L352" s="111"/>
      <c r="M352" s="111"/>
      <c r="N352" s="111"/>
      <c r="O352" s="111"/>
      <c r="P352" s="111"/>
      <c r="Q352" s="111"/>
      <c r="R352" s="111"/>
      <c r="S352" s="111"/>
      <c r="T352" s="111"/>
      <c r="U352" s="111"/>
      <c r="V352" s="111"/>
      <c r="W352" s="111"/>
      <c r="X352" s="123"/>
      <c r="AG352" s="185"/>
      <c r="AH352" s="185"/>
      <c r="AI352" s="222" t="str">
        <f t="shared" si="11"/>
        <v/>
      </c>
    </row>
    <row r="353" spans="1:35" s="108" customFormat="1" ht="15.75">
      <c r="A353" s="119"/>
      <c r="B353" s="120"/>
      <c r="C353" s="111"/>
      <c r="D353" s="111"/>
      <c r="E353" s="121"/>
      <c r="F353" s="121"/>
      <c r="G353" s="113"/>
      <c r="H353" s="199" t="str">
        <f t="shared" si="10"/>
        <v/>
      </c>
      <c r="I353" s="200" t="str">
        <f>IF(H353="","",IF(AND(AI353&lt;=66),VLOOKUP(H353,'WordRead Look Up'!$A$13:$B$20,2,TRUE),IF(AND(AI353&gt;=67,AI353&lt;=72),VLOOKUP(H353,'WordRead Look Up'!$E$13:$F$20,2,TRUE),IF(AND(AI353&gt;=73,AI353&lt;=78),VLOOKUP(H353,'WordRead Look Up'!$I$13:$J$18,2,TRUE),IF(AND(AI353&gt;=79),VLOOKUP(H353,'WordRead Look Up'!$M$13:$N$18,2,TRUE),"")))))</f>
        <v/>
      </c>
      <c r="J353" s="122"/>
      <c r="K353" s="111"/>
      <c r="L353" s="111"/>
      <c r="M353" s="111"/>
      <c r="N353" s="111"/>
      <c r="O353" s="111"/>
      <c r="P353" s="111"/>
      <c r="Q353" s="111"/>
      <c r="R353" s="111"/>
      <c r="S353" s="111"/>
      <c r="T353" s="111"/>
      <c r="U353" s="111"/>
      <c r="V353" s="111"/>
      <c r="W353" s="111"/>
      <c r="X353" s="123"/>
      <c r="AG353" s="185"/>
      <c r="AH353" s="185"/>
      <c r="AI353" s="222" t="str">
        <f t="shared" si="11"/>
        <v/>
      </c>
    </row>
    <row r="354" spans="1:35" s="108" customFormat="1" ht="15.75">
      <c r="A354" s="119"/>
      <c r="B354" s="120"/>
      <c r="C354" s="111"/>
      <c r="D354" s="111"/>
      <c r="E354" s="121"/>
      <c r="F354" s="121"/>
      <c r="G354" s="113"/>
      <c r="H354" s="199" t="str">
        <f t="shared" si="10"/>
        <v/>
      </c>
      <c r="I354" s="200" t="str">
        <f>IF(H354="","",IF(AND(AI354&lt;=66),VLOOKUP(H354,'WordRead Look Up'!$A$13:$B$20,2,TRUE),IF(AND(AI354&gt;=67,AI354&lt;=72),VLOOKUP(H354,'WordRead Look Up'!$E$13:$F$20,2,TRUE),IF(AND(AI354&gt;=73,AI354&lt;=78),VLOOKUP(H354,'WordRead Look Up'!$I$13:$J$18,2,TRUE),IF(AND(AI354&gt;=79),VLOOKUP(H354,'WordRead Look Up'!$M$13:$N$18,2,TRUE),"")))))</f>
        <v/>
      </c>
      <c r="J354" s="122"/>
      <c r="K354" s="111"/>
      <c r="L354" s="111"/>
      <c r="M354" s="111"/>
      <c r="N354" s="111"/>
      <c r="O354" s="111"/>
      <c r="P354" s="111"/>
      <c r="Q354" s="111"/>
      <c r="R354" s="111"/>
      <c r="S354" s="111"/>
      <c r="T354" s="111"/>
      <c r="U354" s="111"/>
      <c r="V354" s="111"/>
      <c r="W354" s="111"/>
      <c r="X354" s="123"/>
      <c r="AG354" s="185"/>
      <c r="AH354" s="185"/>
      <c r="AI354" s="222" t="str">
        <f t="shared" si="11"/>
        <v/>
      </c>
    </row>
    <row r="355" spans="1:35" s="108" customFormat="1" ht="15.75">
      <c r="A355" s="119"/>
      <c r="B355" s="120"/>
      <c r="C355" s="111"/>
      <c r="D355" s="111"/>
      <c r="E355" s="121"/>
      <c r="F355" s="121"/>
      <c r="G355" s="113"/>
      <c r="H355" s="199" t="str">
        <f t="shared" si="10"/>
        <v/>
      </c>
      <c r="I355" s="200" t="str">
        <f>IF(H355="","",IF(AND(AI355&lt;=66),VLOOKUP(H355,'WordRead Look Up'!$A$13:$B$20,2,TRUE),IF(AND(AI355&gt;=67,AI355&lt;=72),VLOOKUP(H355,'WordRead Look Up'!$E$13:$F$20,2,TRUE),IF(AND(AI355&gt;=73,AI355&lt;=78),VLOOKUP(H355,'WordRead Look Up'!$I$13:$J$18,2,TRUE),IF(AND(AI355&gt;=79),VLOOKUP(H355,'WordRead Look Up'!$M$13:$N$18,2,TRUE),"")))))</f>
        <v/>
      </c>
      <c r="J355" s="122"/>
      <c r="K355" s="111"/>
      <c r="L355" s="111"/>
      <c r="M355" s="111"/>
      <c r="N355" s="111"/>
      <c r="O355" s="111"/>
      <c r="P355" s="111"/>
      <c r="Q355" s="111"/>
      <c r="R355" s="111"/>
      <c r="S355" s="111"/>
      <c r="T355" s="111"/>
      <c r="U355" s="111"/>
      <c r="V355" s="111"/>
      <c r="W355" s="111"/>
      <c r="X355" s="123"/>
      <c r="AG355" s="185"/>
      <c r="AH355" s="185"/>
      <c r="AI355" s="222" t="str">
        <f t="shared" si="11"/>
        <v/>
      </c>
    </row>
    <row r="356" spans="1:35" s="108" customFormat="1" ht="15.75">
      <c r="A356" s="119"/>
      <c r="B356" s="120"/>
      <c r="C356" s="111"/>
      <c r="D356" s="111"/>
      <c r="E356" s="121"/>
      <c r="F356" s="121"/>
      <c r="G356" s="113"/>
      <c r="H356" s="199" t="str">
        <f t="shared" si="10"/>
        <v/>
      </c>
      <c r="I356" s="200" t="str">
        <f>IF(H356="","",IF(AND(AI356&lt;=66),VLOOKUP(H356,'WordRead Look Up'!$A$13:$B$20,2,TRUE),IF(AND(AI356&gt;=67,AI356&lt;=72),VLOOKUP(H356,'WordRead Look Up'!$E$13:$F$20,2,TRUE),IF(AND(AI356&gt;=73,AI356&lt;=78),VLOOKUP(H356,'WordRead Look Up'!$I$13:$J$18,2,TRUE),IF(AND(AI356&gt;=79),VLOOKUP(H356,'WordRead Look Up'!$M$13:$N$18,2,TRUE),"")))))</f>
        <v/>
      </c>
      <c r="J356" s="122"/>
      <c r="K356" s="111"/>
      <c r="L356" s="111"/>
      <c r="M356" s="111"/>
      <c r="N356" s="111"/>
      <c r="O356" s="111"/>
      <c r="P356" s="111"/>
      <c r="Q356" s="111"/>
      <c r="R356" s="111"/>
      <c r="S356" s="111"/>
      <c r="T356" s="111"/>
      <c r="U356" s="111"/>
      <c r="V356" s="111"/>
      <c r="W356" s="111"/>
      <c r="X356" s="123"/>
      <c r="AG356" s="185"/>
      <c r="AH356" s="185"/>
      <c r="AI356" s="222" t="str">
        <f t="shared" si="11"/>
        <v/>
      </c>
    </row>
    <row r="357" spans="1:35" s="108" customFormat="1" ht="15.75">
      <c r="A357" s="119"/>
      <c r="B357" s="120"/>
      <c r="C357" s="111"/>
      <c r="D357" s="111"/>
      <c r="E357" s="121"/>
      <c r="F357" s="121"/>
      <c r="G357" s="113"/>
      <c r="H357" s="199" t="str">
        <f t="shared" si="10"/>
        <v/>
      </c>
      <c r="I357" s="200" t="str">
        <f>IF(H357="","",IF(AND(AI357&lt;=66),VLOOKUP(H357,'WordRead Look Up'!$A$13:$B$20,2,TRUE),IF(AND(AI357&gt;=67,AI357&lt;=72),VLOOKUP(H357,'WordRead Look Up'!$E$13:$F$20,2,TRUE),IF(AND(AI357&gt;=73,AI357&lt;=78),VLOOKUP(H357,'WordRead Look Up'!$I$13:$J$18,2,TRUE),IF(AND(AI357&gt;=79),VLOOKUP(H357,'WordRead Look Up'!$M$13:$N$18,2,TRUE),"")))))</f>
        <v/>
      </c>
      <c r="J357" s="122"/>
      <c r="K357" s="111"/>
      <c r="L357" s="111"/>
      <c r="M357" s="111"/>
      <c r="N357" s="111"/>
      <c r="O357" s="111"/>
      <c r="P357" s="111"/>
      <c r="Q357" s="111"/>
      <c r="R357" s="111"/>
      <c r="S357" s="111"/>
      <c r="T357" s="111"/>
      <c r="U357" s="111"/>
      <c r="V357" s="111"/>
      <c r="W357" s="111"/>
      <c r="X357" s="123"/>
      <c r="AG357" s="185"/>
      <c r="AH357" s="185"/>
      <c r="AI357" s="222" t="str">
        <f t="shared" si="11"/>
        <v/>
      </c>
    </row>
    <row r="358" spans="1:35" s="108" customFormat="1" ht="15.75">
      <c r="A358" s="119"/>
      <c r="B358" s="120"/>
      <c r="C358" s="111"/>
      <c r="D358" s="111"/>
      <c r="E358" s="121"/>
      <c r="F358" s="121"/>
      <c r="G358" s="113"/>
      <c r="H358" s="199" t="str">
        <f t="shared" si="10"/>
        <v/>
      </c>
      <c r="I358" s="200" t="str">
        <f>IF(H358="","",IF(AND(AI358&lt;=66),VLOOKUP(H358,'WordRead Look Up'!$A$13:$B$20,2,TRUE),IF(AND(AI358&gt;=67,AI358&lt;=72),VLOOKUP(H358,'WordRead Look Up'!$E$13:$F$20,2,TRUE),IF(AND(AI358&gt;=73,AI358&lt;=78),VLOOKUP(H358,'WordRead Look Up'!$I$13:$J$18,2,TRUE),IF(AND(AI358&gt;=79),VLOOKUP(H358,'WordRead Look Up'!$M$13:$N$18,2,TRUE),"")))))</f>
        <v/>
      </c>
      <c r="J358" s="122"/>
      <c r="K358" s="111"/>
      <c r="L358" s="111"/>
      <c r="M358" s="111"/>
      <c r="N358" s="111"/>
      <c r="O358" s="111"/>
      <c r="P358" s="111"/>
      <c r="Q358" s="111"/>
      <c r="R358" s="111"/>
      <c r="S358" s="111"/>
      <c r="T358" s="111"/>
      <c r="U358" s="111"/>
      <c r="V358" s="111"/>
      <c r="W358" s="111"/>
      <c r="X358" s="123"/>
      <c r="AG358" s="185"/>
      <c r="AH358" s="185"/>
      <c r="AI358" s="222" t="str">
        <f t="shared" si="11"/>
        <v/>
      </c>
    </row>
    <row r="359" spans="1:35" s="108" customFormat="1" ht="15.75">
      <c r="A359" s="119"/>
      <c r="B359" s="120"/>
      <c r="C359" s="111"/>
      <c r="D359" s="111"/>
      <c r="E359" s="121"/>
      <c r="F359" s="121"/>
      <c r="G359" s="113"/>
      <c r="H359" s="199" t="str">
        <f t="shared" si="10"/>
        <v/>
      </c>
      <c r="I359" s="200" t="str">
        <f>IF(H359="","",IF(AND(AI359&lt;=66),VLOOKUP(H359,'WordRead Look Up'!$A$13:$B$20,2,TRUE),IF(AND(AI359&gt;=67,AI359&lt;=72),VLOOKUP(H359,'WordRead Look Up'!$E$13:$F$20,2,TRUE),IF(AND(AI359&gt;=73,AI359&lt;=78),VLOOKUP(H359,'WordRead Look Up'!$I$13:$J$18,2,TRUE),IF(AND(AI359&gt;=79),VLOOKUP(H359,'WordRead Look Up'!$M$13:$N$18,2,TRUE),"")))))</f>
        <v/>
      </c>
      <c r="J359" s="122"/>
      <c r="K359" s="111"/>
      <c r="L359" s="111"/>
      <c r="M359" s="111"/>
      <c r="N359" s="111"/>
      <c r="O359" s="111"/>
      <c r="P359" s="111"/>
      <c r="Q359" s="111"/>
      <c r="R359" s="111"/>
      <c r="S359" s="111"/>
      <c r="T359" s="111"/>
      <c r="U359" s="111"/>
      <c r="V359" s="111"/>
      <c r="W359" s="111"/>
      <c r="X359" s="123"/>
      <c r="AG359" s="185"/>
      <c r="AH359" s="185"/>
      <c r="AI359" s="222" t="str">
        <f t="shared" si="11"/>
        <v/>
      </c>
    </row>
    <row r="360" spans="1:35" s="108" customFormat="1" ht="15.75">
      <c r="A360" s="119"/>
      <c r="B360" s="120"/>
      <c r="C360" s="111"/>
      <c r="D360" s="111"/>
      <c r="E360" s="121"/>
      <c r="F360" s="121"/>
      <c r="G360" s="113"/>
      <c r="H360" s="199" t="str">
        <f t="shared" si="10"/>
        <v/>
      </c>
      <c r="I360" s="200" t="str">
        <f>IF(H360="","",IF(AND(AI360&lt;=66),VLOOKUP(H360,'WordRead Look Up'!$A$13:$B$20,2,TRUE),IF(AND(AI360&gt;=67,AI360&lt;=72),VLOOKUP(H360,'WordRead Look Up'!$E$13:$F$20,2,TRUE),IF(AND(AI360&gt;=73,AI360&lt;=78),VLOOKUP(H360,'WordRead Look Up'!$I$13:$J$18,2,TRUE),IF(AND(AI360&gt;=79),VLOOKUP(H360,'WordRead Look Up'!$M$13:$N$18,2,TRUE),"")))))</f>
        <v/>
      </c>
      <c r="J360" s="122"/>
      <c r="K360" s="111"/>
      <c r="L360" s="111"/>
      <c r="M360" s="111"/>
      <c r="N360" s="111"/>
      <c r="O360" s="111"/>
      <c r="P360" s="111"/>
      <c r="Q360" s="111"/>
      <c r="R360" s="111"/>
      <c r="S360" s="111"/>
      <c r="T360" s="111"/>
      <c r="U360" s="111"/>
      <c r="V360" s="111"/>
      <c r="W360" s="111"/>
      <c r="X360" s="123"/>
      <c r="AG360" s="185"/>
      <c r="AH360" s="185"/>
      <c r="AI360" s="222" t="str">
        <f t="shared" si="11"/>
        <v/>
      </c>
    </row>
    <row r="361" spans="1:35" s="108" customFormat="1" ht="15.75">
      <c r="A361" s="119"/>
      <c r="B361" s="120"/>
      <c r="C361" s="111"/>
      <c r="D361" s="111"/>
      <c r="E361" s="121"/>
      <c r="F361" s="121"/>
      <c r="G361" s="113"/>
      <c r="H361" s="199" t="str">
        <f t="shared" si="10"/>
        <v/>
      </c>
      <c r="I361" s="200" t="str">
        <f>IF(H361="","",IF(AND(AI361&lt;=66),VLOOKUP(H361,'WordRead Look Up'!$A$13:$B$20,2,TRUE),IF(AND(AI361&gt;=67,AI361&lt;=72),VLOOKUP(H361,'WordRead Look Up'!$E$13:$F$20,2,TRUE),IF(AND(AI361&gt;=73,AI361&lt;=78),VLOOKUP(H361,'WordRead Look Up'!$I$13:$J$18,2,TRUE),IF(AND(AI361&gt;=79),VLOOKUP(H361,'WordRead Look Up'!$M$13:$N$18,2,TRUE),"")))))</f>
        <v/>
      </c>
      <c r="J361" s="122"/>
      <c r="K361" s="111"/>
      <c r="L361" s="111"/>
      <c r="M361" s="111"/>
      <c r="N361" s="111"/>
      <c r="O361" s="111"/>
      <c r="P361" s="111"/>
      <c r="Q361" s="111"/>
      <c r="R361" s="111"/>
      <c r="S361" s="111"/>
      <c r="T361" s="111"/>
      <c r="U361" s="111"/>
      <c r="V361" s="111"/>
      <c r="W361" s="111"/>
      <c r="X361" s="123"/>
      <c r="AG361" s="185"/>
      <c r="AH361" s="185"/>
      <c r="AI361" s="222" t="str">
        <f t="shared" si="11"/>
        <v/>
      </c>
    </row>
    <row r="362" spans="1:35" s="108" customFormat="1" ht="15.75">
      <c r="A362" s="119"/>
      <c r="B362" s="120"/>
      <c r="C362" s="111"/>
      <c r="D362" s="111"/>
      <c r="E362" s="121"/>
      <c r="F362" s="121"/>
      <c r="G362" s="113"/>
      <c r="H362" s="199" t="str">
        <f t="shared" si="10"/>
        <v/>
      </c>
      <c r="I362" s="200" t="str">
        <f>IF(H362="","",IF(AND(AI362&lt;=66),VLOOKUP(H362,'WordRead Look Up'!$A$13:$B$20,2,TRUE),IF(AND(AI362&gt;=67,AI362&lt;=72),VLOOKUP(H362,'WordRead Look Up'!$E$13:$F$20,2,TRUE),IF(AND(AI362&gt;=73,AI362&lt;=78),VLOOKUP(H362,'WordRead Look Up'!$I$13:$J$18,2,TRUE),IF(AND(AI362&gt;=79),VLOOKUP(H362,'WordRead Look Up'!$M$13:$N$18,2,TRUE),"")))))</f>
        <v/>
      </c>
      <c r="J362" s="122"/>
      <c r="K362" s="111"/>
      <c r="L362" s="111"/>
      <c r="M362" s="111"/>
      <c r="N362" s="111"/>
      <c r="O362" s="111"/>
      <c r="P362" s="111"/>
      <c r="Q362" s="111"/>
      <c r="R362" s="111"/>
      <c r="S362" s="111"/>
      <c r="T362" s="111"/>
      <c r="U362" s="111"/>
      <c r="V362" s="111"/>
      <c r="W362" s="111"/>
      <c r="X362" s="123"/>
      <c r="AG362" s="185"/>
      <c r="AH362" s="185"/>
      <c r="AI362" s="222" t="str">
        <f t="shared" si="11"/>
        <v/>
      </c>
    </row>
    <row r="363" spans="1:35" s="108" customFormat="1" ht="15.75">
      <c r="A363" s="119"/>
      <c r="B363" s="120"/>
      <c r="C363" s="111"/>
      <c r="D363" s="111"/>
      <c r="E363" s="121"/>
      <c r="F363" s="121"/>
      <c r="G363" s="113"/>
      <c r="H363" s="199" t="str">
        <f t="shared" si="10"/>
        <v/>
      </c>
      <c r="I363" s="200" t="str">
        <f>IF(H363="","",IF(AND(AI363&lt;=66),VLOOKUP(H363,'WordRead Look Up'!$A$13:$B$20,2,TRUE),IF(AND(AI363&gt;=67,AI363&lt;=72),VLOOKUP(H363,'WordRead Look Up'!$E$13:$F$20,2,TRUE),IF(AND(AI363&gt;=73,AI363&lt;=78),VLOOKUP(H363,'WordRead Look Up'!$I$13:$J$18,2,TRUE),IF(AND(AI363&gt;=79),VLOOKUP(H363,'WordRead Look Up'!$M$13:$N$18,2,TRUE),"")))))</f>
        <v/>
      </c>
      <c r="J363" s="122"/>
      <c r="K363" s="111"/>
      <c r="L363" s="111"/>
      <c r="M363" s="111"/>
      <c r="N363" s="111"/>
      <c r="O363" s="111"/>
      <c r="P363" s="111"/>
      <c r="Q363" s="111"/>
      <c r="R363" s="111"/>
      <c r="S363" s="111"/>
      <c r="T363" s="111"/>
      <c r="U363" s="111"/>
      <c r="V363" s="111"/>
      <c r="W363" s="111"/>
      <c r="X363" s="123"/>
      <c r="AG363" s="185"/>
      <c r="AH363" s="185"/>
      <c r="AI363" s="222" t="str">
        <f t="shared" si="11"/>
        <v/>
      </c>
    </row>
    <row r="364" spans="1:35" s="108" customFormat="1" ht="15.75">
      <c r="A364" s="119"/>
      <c r="B364" s="120"/>
      <c r="C364" s="111"/>
      <c r="D364" s="111"/>
      <c r="E364" s="121"/>
      <c r="F364" s="121"/>
      <c r="G364" s="113"/>
      <c r="H364" s="199" t="str">
        <f t="shared" si="10"/>
        <v/>
      </c>
      <c r="I364" s="200" t="str">
        <f>IF(H364="","",IF(AND(AI364&lt;=66),VLOOKUP(H364,'WordRead Look Up'!$A$13:$B$20,2,TRUE),IF(AND(AI364&gt;=67,AI364&lt;=72),VLOOKUP(H364,'WordRead Look Up'!$E$13:$F$20,2,TRUE),IF(AND(AI364&gt;=73,AI364&lt;=78),VLOOKUP(H364,'WordRead Look Up'!$I$13:$J$18,2,TRUE),IF(AND(AI364&gt;=79),VLOOKUP(H364,'WordRead Look Up'!$M$13:$N$18,2,TRUE),"")))))</f>
        <v/>
      </c>
      <c r="J364" s="122"/>
      <c r="K364" s="111"/>
      <c r="L364" s="111"/>
      <c r="M364" s="111"/>
      <c r="N364" s="111"/>
      <c r="O364" s="111"/>
      <c r="P364" s="111"/>
      <c r="Q364" s="111"/>
      <c r="R364" s="111"/>
      <c r="S364" s="111"/>
      <c r="T364" s="111"/>
      <c r="U364" s="111"/>
      <c r="V364" s="111"/>
      <c r="W364" s="111"/>
      <c r="X364" s="123"/>
      <c r="AG364" s="185"/>
      <c r="AH364" s="185"/>
      <c r="AI364" s="222" t="str">
        <f t="shared" si="11"/>
        <v/>
      </c>
    </row>
    <row r="365" spans="1:35" s="108" customFormat="1" ht="15.75">
      <c r="A365" s="119"/>
      <c r="B365" s="120"/>
      <c r="C365" s="111"/>
      <c r="D365" s="111"/>
      <c r="E365" s="121"/>
      <c r="F365" s="121"/>
      <c r="G365" s="113"/>
      <c r="H365" s="199" t="str">
        <f t="shared" si="10"/>
        <v/>
      </c>
      <c r="I365" s="200" t="str">
        <f>IF(H365="","",IF(AND(AI365&lt;=66),VLOOKUP(H365,'WordRead Look Up'!$A$13:$B$20,2,TRUE),IF(AND(AI365&gt;=67,AI365&lt;=72),VLOOKUP(H365,'WordRead Look Up'!$E$13:$F$20,2,TRUE),IF(AND(AI365&gt;=73,AI365&lt;=78),VLOOKUP(H365,'WordRead Look Up'!$I$13:$J$18,2,TRUE),IF(AND(AI365&gt;=79),VLOOKUP(H365,'WordRead Look Up'!$M$13:$N$18,2,TRUE),"")))))</f>
        <v/>
      </c>
      <c r="J365" s="122"/>
      <c r="K365" s="111"/>
      <c r="L365" s="111"/>
      <c r="M365" s="111"/>
      <c r="N365" s="111"/>
      <c r="O365" s="111"/>
      <c r="P365" s="111"/>
      <c r="Q365" s="111"/>
      <c r="R365" s="111"/>
      <c r="S365" s="111"/>
      <c r="T365" s="111"/>
      <c r="U365" s="111"/>
      <c r="V365" s="111"/>
      <c r="W365" s="111"/>
      <c r="X365" s="123"/>
      <c r="AG365" s="185"/>
      <c r="AH365" s="185"/>
      <c r="AI365" s="222" t="str">
        <f t="shared" si="11"/>
        <v/>
      </c>
    </row>
    <row r="366" spans="1:35" s="108" customFormat="1" ht="15.75">
      <c r="A366" s="119"/>
      <c r="B366" s="120"/>
      <c r="C366" s="111"/>
      <c r="D366" s="111"/>
      <c r="E366" s="121"/>
      <c r="F366" s="121"/>
      <c r="G366" s="113"/>
      <c r="H366" s="199" t="str">
        <f t="shared" si="10"/>
        <v/>
      </c>
      <c r="I366" s="200" t="str">
        <f>IF(H366="","",IF(AND(AI366&lt;=66),VLOOKUP(H366,'WordRead Look Up'!$A$13:$B$20,2,TRUE),IF(AND(AI366&gt;=67,AI366&lt;=72),VLOOKUP(H366,'WordRead Look Up'!$E$13:$F$20,2,TRUE),IF(AND(AI366&gt;=73,AI366&lt;=78),VLOOKUP(H366,'WordRead Look Up'!$I$13:$J$18,2,TRUE),IF(AND(AI366&gt;=79),VLOOKUP(H366,'WordRead Look Up'!$M$13:$N$18,2,TRUE),"")))))</f>
        <v/>
      </c>
      <c r="J366" s="122"/>
      <c r="K366" s="111"/>
      <c r="L366" s="111"/>
      <c r="M366" s="111"/>
      <c r="N366" s="111"/>
      <c r="O366" s="111"/>
      <c r="P366" s="111"/>
      <c r="Q366" s="111"/>
      <c r="R366" s="111"/>
      <c r="S366" s="111"/>
      <c r="T366" s="111"/>
      <c r="U366" s="111"/>
      <c r="V366" s="111"/>
      <c r="W366" s="111"/>
      <c r="X366" s="123"/>
      <c r="AG366" s="185"/>
      <c r="AH366" s="185"/>
      <c r="AI366" s="222" t="str">
        <f t="shared" si="11"/>
        <v/>
      </c>
    </row>
    <row r="367" spans="1:35" s="108" customFormat="1" ht="15.75">
      <c r="A367" s="119"/>
      <c r="B367" s="120"/>
      <c r="C367" s="111"/>
      <c r="D367" s="111"/>
      <c r="E367" s="121"/>
      <c r="F367" s="121"/>
      <c r="G367" s="113"/>
      <c r="H367" s="199" t="str">
        <f t="shared" si="10"/>
        <v/>
      </c>
      <c r="I367" s="200" t="str">
        <f>IF(H367="","",IF(AND(AI367&lt;=66),VLOOKUP(H367,'WordRead Look Up'!$A$13:$B$20,2,TRUE),IF(AND(AI367&gt;=67,AI367&lt;=72),VLOOKUP(H367,'WordRead Look Up'!$E$13:$F$20,2,TRUE),IF(AND(AI367&gt;=73,AI367&lt;=78),VLOOKUP(H367,'WordRead Look Up'!$I$13:$J$18,2,TRUE),IF(AND(AI367&gt;=79),VLOOKUP(H367,'WordRead Look Up'!$M$13:$N$18,2,TRUE),"")))))</f>
        <v/>
      </c>
      <c r="J367" s="122"/>
      <c r="K367" s="111"/>
      <c r="L367" s="111"/>
      <c r="M367" s="111"/>
      <c r="N367" s="111"/>
      <c r="O367" s="111"/>
      <c r="P367" s="111"/>
      <c r="Q367" s="111"/>
      <c r="R367" s="111"/>
      <c r="S367" s="111"/>
      <c r="T367" s="111"/>
      <c r="U367" s="111"/>
      <c r="V367" s="111"/>
      <c r="W367" s="111"/>
      <c r="X367" s="123"/>
      <c r="AG367" s="185"/>
      <c r="AH367" s="185"/>
      <c r="AI367" s="222" t="str">
        <f t="shared" si="11"/>
        <v/>
      </c>
    </row>
    <row r="368" spans="1:35" s="108" customFormat="1" ht="15.75">
      <c r="A368" s="119"/>
      <c r="B368" s="120"/>
      <c r="C368" s="111"/>
      <c r="D368" s="111"/>
      <c r="E368" s="121"/>
      <c r="F368" s="121"/>
      <c r="G368" s="113"/>
      <c r="H368" s="199" t="str">
        <f t="shared" si="10"/>
        <v/>
      </c>
      <c r="I368" s="200" t="str">
        <f>IF(H368="","",IF(AND(AI368&lt;=66),VLOOKUP(H368,'WordRead Look Up'!$A$13:$B$20,2,TRUE),IF(AND(AI368&gt;=67,AI368&lt;=72),VLOOKUP(H368,'WordRead Look Up'!$E$13:$F$20,2,TRUE),IF(AND(AI368&gt;=73,AI368&lt;=78),VLOOKUP(H368,'WordRead Look Up'!$I$13:$J$18,2,TRUE),IF(AND(AI368&gt;=79),VLOOKUP(H368,'WordRead Look Up'!$M$13:$N$18,2,TRUE),"")))))</f>
        <v/>
      </c>
      <c r="J368" s="122"/>
      <c r="K368" s="111"/>
      <c r="L368" s="111"/>
      <c r="M368" s="111"/>
      <c r="N368" s="111"/>
      <c r="O368" s="111"/>
      <c r="P368" s="111"/>
      <c r="Q368" s="111"/>
      <c r="R368" s="111"/>
      <c r="S368" s="111"/>
      <c r="T368" s="111"/>
      <c r="U368" s="111"/>
      <c r="V368" s="111"/>
      <c r="W368" s="111"/>
      <c r="X368" s="123"/>
      <c r="AG368" s="185"/>
      <c r="AH368" s="185"/>
      <c r="AI368" s="222" t="str">
        <f t="shared" si="11"/>
        <v/>
      </c>
    </row>
    <row r="369" spans="1:35" s="108" customFormat="1" ht="15.75">
      <c r="A369" s="119"/>
      <c r="B369" s="120"/>
      <c r="C369" s="111"/>
      <c r="D369" s="111"/>
      <c r="E369" s="121"/>
      <c r="F369" s="121"/>
      <c r="G369" s="113"/>
      <c r="H369" s="199" t="str">
        <f t="shared" si="10"/>
        <v/>
      </c>
      <c r="I369" s="200" t="str">
        <f>IF(H369="","",IF(AND(AI369&lt;=66),VLOOKUP(H369,'WordRead Look Up'!$A$13:$B$20,2,TRUE),IF(AND(AI369&gt;=67,AI369&lt;=72),VLOOKUP(H369,'WordRead Look Up'!$E$13:$F$20,2,TRUE),IF(AND(AI369&gt;=73,AI369&lt;=78),VLOOKUP(H369,'WordRead Look Up'!$I$13:$J$18,2,TRUE),IF(AND(AI369&gt;=79),VLOOKUP(H369,'WordRead Look Up'!$M$13:$N$18,2,TRUE),"")))))</f>
        <v/>
      </c>
      <c r="J369" s="122"/>
      <c r="K369" s="111"/>
      <c r="L369" s="111"/>
      <c r="M369" s="111"/>
      <c r="N369" s="111"/>
      <c r="O369" s="111"/>
      <c r="P369" s="111"/>
      <c r="Q369" s="111"/>
      <c r="R369" s="111"/>
      <c r="S369" s="111"/>
      <c r="T369" s="111"/>
      <c r="U369" s="111"/>
      <c r="V369" s="111"/>
      <c r="W369" s="111"/>
      <c r="X369" s="123"/>
      <c r="AG369" s="185"/>
      <c r="AH369" s="185"/>
      <c r="AI369" s="222" t="str">
        <f t="shared" si="11"/>
        <v/>
      </c>
    </row>
    <row r="370" spans="1:35" s="108" customFormat="1" ht="15.75">
      <c r="A370" s="119"/>
      <c r="B370" s="120"/>
      <c r="C370" s="111"/>
      <c r="D370" s="111"/>
      <c r="E370" s="121"/>
      <c r="F370" s="121"/>
      <c r="G370" s="113"/>
      <c r="H370" s="199" t="str">
        <f t="shared" si="10"/>
        <v/>
      </c>
      <c r="I370" s="200" t="str">
        <f>IF(H370="","",IF(AND(AI370&lt;=66),VLOOKUP(H370,'WordRead Look Up'!$A$13:$B$20,2,TRUE),IF(AND(AI370&gt;=67,AI370&lt;=72),VLOOKUP(H370,'WordRead Look Up'!$E$13:$F$20,2,TRUE),IF(AND(AI370&gt;=73,AI370&lt;=78),VLOOKUP(H370,'WordRead Look Up'!$I$13:$J$18,2,TRUE),IF(AND(AI370&gt;=79),VLOOKUP(H370,'WordRead Look Up'!$M$13:$N$18,2,TRUE),"")))))</f>
        <v/>
      </c>
      <c r="J370" s="122"/>
      <c r="K370" s="111"/>
      <c r="L370" s="111"/>
      <c r="M370" s="111"/>
      <c r="N370" s="111"/>
      <c r="O370" s="111"/>
      <c r="P370" s="111"/>
      <c r="Q370" s="111"/>
      <c r="R370" s="111"/>
      <c r="S370" s="111"/>
      <c r="T370" s="111"/>
      <c r="U370" s="111"/>
      <c r="V370" s="111"/>
      <c r="W370" s="111"/>
      <c r="X370" s="123"/>
      <c r="AG370" s="185"/>
      <c r="AH370" s="185"/>
      <c r="AI370" s="222" t="str">
        <f t="shared" si="11"/>
        <v/>
      </c>
    </row>
    <row r="371" spans="1:35" s="108" customFormat="1" ht="15.75">
      <c r="A371" s="119"/>
      <c r="B371" s="120"/>
      <c r="C371" s="111"/>
      <c r="D371" s="111"/>
      <c r="E371" s="121"/>
      <c r="F371" s="121"/>
      <c r="G371" s="113"/>
      <c r="H371" s="199" t="str">
        <f t="shared" si="10"/>
        <v/>
      </c>
      <c r="I371" s="200" t="str">
        <f>IF(H371="","",IF(AND(AI371&lt;=66),VLOOKUP(H371,'WordRead Look Up'!$A$13:$B$20,2,TRUE),IF(AND(AI371&gt;=67,AI371&lt;=72),VLOOKUP(H371,'WordRead Look Up'!$E$13:$F$20,2,TRUE),IF(AND(AI371&gt;=73,AI371&lt;=78),VLOOKUP(H371,'WordRead Look Up'!$I$13:$J$18,2,TRUE),IF(AND(AI371&gt;=79),VLOOKUP(H371,'WordRead Look Up'!$M$13:$N$18,2,TRUE),"")))))</f>
        <v/>
      </c>
      <c r="J371" s="122"/>
      <c r="K371" s="111"/>
      <c r="L371" s="111"/>
      <c r="M371" s="111"/>
      <c r="N371" s="111"/>
      <c r="O371" s="111"/>
      <c r="P371" s="111"/>
      <c r="Q371" s="111"/>
      <c r="R371" s="111"/>
      <c r="S371" s="111"/>
      <c r="T371" s="111"/>
      <c r="U371" s="111"/>
      <c r="V371" s="111"/>
      <c r="W371" s="111"/>
      <c r="X371" s="123"/>
      <c r="AG371" s="185"/>
      <c r="AH371" s="185"/>
      <c r="AI371" s="222" t="str">
        <f t="shared" si="11"/>
        <v/>
      </c>
    </row>
    <row r="372" spans="1:35" s="108" customFormat="1" ht="15.75">
      <c r="A372" s="119"/>
      <c r="B372" s="120"/>
      <c r="C372" s="111"/>
      <c r="D372" s="111"/>
      <c r="E372" s="121"/>
      <c r="F372" s="121"/>
      <c r="G372" s="113"/>
      <c r="H372" s="199" t="str">
        <f t="shared" si="10"/>
        <v/>
      </c>
      <c r="I372" s="200" t="str">
        <f>IF(H372="","",IF(AND(AI372&lt;=66),VLOOKUP(H372,'WordRead Look Up'!$A$13:$B$20,2,TRUE),IF(AND(AI372&gt;=67,AI372&lt;=72),VLOOKUP(H372,'WordRead Look Up'!$E$13:$F$20,2,TRUE),IF(AND(AI372&gt;=73,AI372&lt;=78),VLOOKUP(H372,'WordRead Look Up'!$I$13:$J$18,2,TRUE),IF(AND(AI372&gt;=79),VLOOKUP(H372,'WordRead Look Up'!$M$13:$N$18,2,TRUE),"")))))</f>
        <v/>
      </c>
      <c r="J372" s="122"/>
      <c r="K372" s="111"/>
      <c r="L372" s="111"/>
      <c r="M372" s="111"/>
      <c r="N372" s="111"/>
      <c r="O372" s="111"/>
      <c r="P372" s="111"/>
      <c r="Q372" s="111"/>
      <c r="R372" s="111"/>
      <c r="S372" s="111"/>
      <c r="T372" s="111"/>
      <c r="U372" s="111"/>
      <c r="V372" s="111"/>
      <c r="W372" s="111"/>
      <c r="X372" s="123"/>
      <c r="AG372" s="185"/>
      <c r="AH372" s="185"/>
      <c r="AI372" s="222" t="str">
        <f t="shared" si="11"/>
        <v/>
      </c>
    </row>
    <row r="373" spans="1:35" s="108" customFormat="1" ht="15.75">
      <c r="A373" s="119"/>
      <c r="B373" s="120"/>
      <c r="C373" s="111"/>
      <c r="D373" s="111"/>
      <c r="E373" s="121"/>
      <c r="F373" s="121"/>
      <c r="G373" s="113"/>
      <c r="H373" s="199" t="str">
        <f t="shared" si="10"/>
        <v/>
      </c>
      <c r="I373" s="200" t="str">
        <f>IF(H373="","",IF(AND(AI373&lt;=66),VLOOKUP(H373,'WordRead Look Up'!$A$13:$B$20,2,TRUE),IF(AND(AI373&gt;=67,AI373&lt;=72),VLOOKUP(H373,'WordRead Look Up'!$E$13:$F$20,2,TRUE),IF(AND(AI373&gt;=73,AI373&lt;=78),VLOOKUP(H373,'WordRead Look Up'!$I$13:$J$18,2,TRUE),IF(AND(AI373&gt;=79),VLOOKUP(H373,'WordRead Look Up'!$M$13:$N$18,2,TRUE),"")))))</f>
        <v/>
      </c>
      <c r="J373" s="122"/>
      <c r="K373" s="111"/>
      <c r="L373" s="111"/>
      <c r="M373" s="111"/>
      <c r="N373" s="111"/>
      <c r="O373" s="111"/>
      <c r="P373" s="111"/>
      <c r="Q373" s="111"/>
      <c r="R373" s="111"/>
      <c r="S373" s="111"/>
      <c r="T373" s="111"/>
      <c r="U373" s="111"/>
      <c r="V373" s="111"/>
      <c r="W373" s="111"/>
      <c r="X373" s="123"/>
      <c r="AG373" s="185"/>
      <c r="AH373" s="185"/>
      <c r="AI373" s="222" t="str">
        <f t="shared" si="11"/>
        <v/>
      </c>
    </row>
    <row r="374" spans="1:35" s="108" customFormat="1" ht="15.75">
      <c r="A374" s="119"/>
      <c r="B374" s="120"/>
      <c r="C374" s="111"/>
      <c r="D374" s="111"/>
      <c r="E374" s="121"/>
      <c r="F374" s="121"/>
      <c r="G374" s="113"/>
      <c r="H374" s="199" t="str">
        <f t="shared" si="10"/>
        <v/>
      </c>
      <c r="I374" s="200" t="str">
        <f>IF(H374="","",IF(AND(AI374&lt;=66),VLOOKUP(H374,'WordRead Look Up'!$A$13:$B$20,2,TRUE),IF(AND(AI374&gt;=67,AI374&lt;=72),VLOOKUP(H374,'WordRead Look Up'!$E$13:$F$20,2,TRUE),IF(AND(AI374&gt;=73,AI374&lt;=78),VLOOKUP(H374,'WordRead Look Up'!$I$13:$J$18,2,TRUE),IF(AND(AI374&gt;=79),VLOOKUP(H374,'WordRead Look Up'!$M$13:$N$18,2,TRUE),"")))))</f>
        <v/>
      </c>
      <c r="J374" s="122"/>
      <c r="K374" s="111"/>
      <c r="L374" s="111"/>
      <c r="M374" s="111"/>
      <c r="N374" s="111"/>
      <c r="O374" s="111"/>
      <c r="P374" s="111"/>
      <c r="Q374" s="111"/>
      <c r="R374" s="111"/>
      <c r="S374" s="111"/>
      <c r="T374" s="111"/>
      <c r="U374" s="111"/>
      <c r="V374" s="111"/>
      <c r="W374" s="111"/>
      <c r="X374" s="123"/>
      <c r="AG374" s="185"/>
      <c r="AH374" s="185"/>
      <c r="AI374" s="222" t="str">
        <f t="shared" si="11"/>
        <v/>
      </c>
    </row>
    <row r="375" spans="1:35" s="108" customFormat="1" ht="15.75">
      <c r="A375" s="119"/>
      <c r="B375" s="120"/>
      <c r="C375" s="111"/>
      <c r="D375" s="111"/>
      <c r="E375" s="121"/>
      <c r="F375" s="121"/>
      <c r="G375" s="113"/>
      <c r="H375" s="199" t="str">
        <f t="shared" si="10"/>
        <v/>
      </c>
      <c r="I375" s="200" t="str">
        <f>IF(H375="","",IF(AND(AI375&lt;=66),VLOOKUP(H375,'WordRead Look Up'!$A$13:$B$20,2,TRUE),IF(AND(AI375&gt;=67,AI375&lt;=72),VLOOKUP(H375,'WordRead Look Up'!$E$13:$F$20,2,TRUE),IF(AND(AI375&gt;=73,AI375&lt;=78),VLOOKUP(H375,'WordRead Look Up'!$I$13:$J$18,2,TRUE),IF(AND(AI375&gt;=79),VLOOKUP(H375,'WordRead Look Up'!$M$13:$N$18,2,TRUE),"")))))</f>
        <v/>
      </c>
      <c r="J375" s="122"/>
      <c r="K375" s="111"/>
      <c r="L375" s="111"/>
      <c r="M375" s="111"/>
      <c r="N375" s="111"/>
      <c r="O375" s="111"/>
      <c r="P375" s="111"/>
      <c r="Q375" s="111"/>
      <c r="R375" s="111"/>
      <c r="S375" s="111"/>
      <c r="T375" s="111"/>
      <c r="U375" s="111"/>
      <c r="V375" s="111"/>
      <c r="W375" s="111"/>
      <c r="X375" s="123"/>
      <c r="AG375" s="185"/>
      <c r="AH375" s="185"/>
      <c r="AI375" s="222" t="str">
        <f t="shared" si="11"/>
        <v/>
      </c>
    </row>
    <row r="376" spans="1:35" s="108" customFormat="1" ht="15.75">
      <c r="A376" s="119"/>
      <c r="B376" s="120"/>
      <c r="C376" s="111"/>
      <c r="D376" s="111"/>
      <c r="E376" s="121"/>
      <c r="F376" s="121"/>
      <c r="G376" s="113"/>
      <c r="H376" s="199" t="str">
        <f t="shared" si="10"/>
        <v/>
      </c>
      <c r="I376" s="200" t="str">
        <f>IF(H376="","",IF(AND(AI376&lt;=66),VLOOKUP(H376,'WordRead Look Up'!$A$13:$B$20,2,TRUE),IF(AND(AI376&gt;=67,AI376&lt;=72),VLOOKUP(H376,'WordRead Look Up'!$E$13:$F$20,2,TRUE),IF(AND(AI376&gt;=73,AI376&lt;=78),VLOOKUP(H376,'WordRead Look Up'!$I$13:$J$18,2,TRUE),IF(AND(AI376&gt;=79),VLOOKUP(H376,'WordRead Look Up'!$M$13:$N$18,2,TRUE),"")))))</f>
        <v/>
      </c>
      <c r="J376" s="122"/>
      <c r="K376" s="111"/>
      <c r="L376" s="111"/>
      <c r="M376" s="111"/>
      <c r="N376" s="111"/>
      <c r="O376" s="111"/>
      <c r="P376" s="111"/>
      <c r="Q376" s="111"/>
      <c r="R376" s="111"/>
      <c r="S376" s="111"/>
      <c r="T376" s="111"/>
      <c r="U376" s="111"/>
      <c r="V376" s="111"/>
      <c r="W376" s="111"/>
      <c r="X376" s="123"/>
      <c r="AG376" s="185"/>
      <c r="AH376" s="185"/>
      <c r="AI376" s="222" t="str">
        <f t="shared" si="11"/>
        <v/>
      </c>
    </row>
    <row r="377" spans="1:35" s="108" customFormat="1" ht="15.75">
      <c r="A377" s="119"/>
      <c r="B377" s="120"/>
      <c r="C377" s="111"/>
      <c r="D377" s="111"/>
      <c r="E377" s="121"/>
      <c r="F377" s="121"/>
      <c r="G377" s="113"/>
      <c r="H377" s="199" t="str">
        <f t="shared" si="10"/>
        <v/>
      </c>
      <c r="I377" s="200" t="str">
        <f>IF(H377="","",IF(AND(AI377&lt;=66),VLOOKUP(H377,'WordRead Look Up'!$A$13:$B$20,2,TRUE),IF(AND(AI377&gt;=67,AI377&lt;=72),VLOOKUP(H377,'WordRead Look Up'!$E$13:$F$20,2,TRUE),IF(AND(AI377&gt;=73,AI377&lt;=78),VLOOKUP(H377,'WordRead Look Up'!$I$13:$J$18,2,TRUE),IF(AND(AI377&gt;=79),VLOOKUP(H377,'WordRead Look Up'!$M$13:$N$18,2,TRUE),"")))))</f>
        <v/>
      </c>
      <c r="J377" s="122"/>
      <c r="K377" s="111"/>
      <c r="L377" s="111"/>
      <c r="M377" s="111"/>
      <c r="N377" s="111"/>
      <c r="O377" s="111"/>
      <c r="P377" s="111"/>
      <c r="Q377" s="111"/>
      <c r="R377" s="111"/>
      <c r="S377" s="111"/>
      <c r="T377" s="111"/>
      <c r="U377" s="111"/>
      <c r="V377" s="111"/>
      <c r="W377" s="111"/>
      <c r="X377" s="123"/>
      <c r="AG377" s="185"/>
      <c r="AH377" s="185"/>
      <c r="AI377" s="222" t="str">
        <f t="shared" si="11"/>
        <v/>
      </c>
    </row>
    <row r="378" spans="1:35" s="108" customFormat="1" ht="15.75">
      <c r="A378" s="119"/>
      <c r="B378" s="120"/>
      <c r="C378" s="111"/>
      <c r="D378" s="111"/>
      <c r="E378" s="121"/>
      <c r="F378" s="121"/>
      <c r="G378" s="113"/>
      <c r="H378" s="199" t="str">
        <f t="shared" si="10"/>
        <v/>
      </c>
      <c r="I378" s="200" t="str">
        <f>IF(H378="","",IF(AND(AI378&lt;=66),VLOOKUP(H378,'WordRead Look Up'!$A$13:$B$20,2,TRUE),IF(AND(AI378&gt;=67,AI378&lt;=72),VLOOKUP(H378,'WordRead Look Up'!$E$13:$F$20,2,TRUE),IF(AND(AI378&gt;=73,AI378&lt;=78),VLOOKUP(H378,'WordRead Look Up'!$I$13:$J$18,2,TRUE),IF(AND(AI378&gt;=79),VLOOKUP(H378,'WordRead Look Up'!$M$13:$N$18,2,TRUE),"")))))</f>
        <v/>
      </c>
      <c r="J378" s="122"/>
      <c r="K378" s="111"/>
      <c r="L378" s="111"/>
      <c r="M378" s="111"/>
      <c r="N378" s="111"/>
      <c r="O378" s="111"/>
      <c r="P378" s="111"/>
      <c r="Q378" s="111"/>
      <c r="R378" s="111"/>
      <c r="S378" s="111"/>
      <c r="T378" s="111"/>
      <c r="U378" s="111"/>
      <c r="V378" s="111"/>
      <c r="W378" s="111"/>
      <c r="X378" s="123"/>
      <c r="AG378" s="185"/>
      <c r="AH378" s="185"/>
      <c r="AI378" s="222" t="str">
        <f t="shared" si="11"/>
        <v/>
      </c>
    </row>
    <row r="379" spans="1:35" s="108" customFormat="1" ht="15.75">
      <c r="A379" s="119"/>
      <c r="B379" s="120"/>
      <c r="C379" s="111"/>
      <c r="D379" s="111"/>
      <c r="E379" s="121"/>
      <c r="F379" s="121"/>
      <c r="G379" s="113"/>
      <c r="H379" s="199" t="str">
        <f t="shared" si="10"/>
        <v/>
      </c>
      <c r="I379" s="200" t="str">
        <f>IF(H379="","",IF(AND(AI379&lt;=66),VLOOKUP(H379,'WordRead Look Up'!$A$13:$B$20,2,TRUE),IF(AND(AI379&gt;=67,AI379&lt;=72),VLOOKUP(H379,'WordRead Look Up'!$E$13:$F$20,2,TRUE),IF(AND(AI379&gt;=73,AI379&lt;=78),VLOOKUP(H379,'WordRead Look Up'!$I$13:$J$18,2,TRUE),IF(AND(AI379&gt;=79),VLOOKUP(H379,'WordRead Look Up'!$M$13:$N$18,2,TRUE),"")))))</f>
        <v/>
      </c>
      <c r="J379" s="122"/>
      <c r="K379" s="111"/>
      <c r="L379" s="111"/>
      <c r="M379" s="111"/>
      <c r="N379" s="111"/>
      <c r="O379" s="111"/>
      <c r="P379" s="111"/>
      <c r="Q379" s="111"/>
      <c r="R379" s="111"/>
      <c r="S379" s="111"/>
      <c r="T379" s="111"/>
      <c r="U379" s="111"/>
      <c r="V379" s="111"/>
      <c r="W379" s="111"/>
      <c r="X379" s="123"/>
      <c r="AG379" s="185"/>
      <c r="AH379" s="185"/>
      <c r="AI379" s="222" t="str">
        <f t="shared" si="11"/>
        <v/>
      </c>
    </row>
    <row r="380" spans="1:35" s="108" customFormat="1" ht="15.75">
      <c r="A380" s="119"/>
      <c r="B380" s="120"/>
      <c r="C380" s="111"/>
      <c r="D380" s="111"/>
      <c r="E380" s="121"/>
      <c r="F380" s="121"/>
      <c r="G380" s="113"/>
      <c r="H380" s="199" t="str">
        <f t="shared" si="10"/>
        <v/>
      </c>
      <c r="I380" s="200" t="str">
        <f>IF(H380="","",IF(AND(AI380&lt;=66),VLOOKUP(H380,'WordRead Look Up'!$A$13:$B$20,2,TRUE),IF(AND(AI380&gt;=67,AI380&lt;=72),VLOOKUP(H380,'WordRead Look Up'!$E$13:$F$20,2,TRUE),IF(AND(AI380&gt;=73,AI380&lt;=78),VLOOKUP(H380,'WordRead Look Up'!$I$13:$J$18,2,TRUE),IF(AND(AI380&gt;=79),VLOOKUP(H380,'WordRead Look Up'!$M$13:$N$18,2,TRUE),"")))))</f>
        <v/>
      </c>
      <c r="J380" s="122"/>
      <c r="K380" s="111"/>
      <c r="L380" s="111"/>
      <c r="M380" s="111"/>
      <c r="N380" s="111"/>
      <c r="O380" s="111"/>
      <c r="P380" s="111"/>
      <c r="Q380" s="111"/>
      <c r="R380" s="111"/>
      <c r="S380" s="111"/>
      <c r="T380" s="111"/>
      <c r="U380" s="111"/>
      <c r="V380" s="111"/>
      <c r="W380" s="111"/>
      <c r="X380" s="123"/>
      <c r="AG380" s="185"/>
      <c r="AH380" s="185"/>
      <c r="AI380" s="222" t="str">
        <f t="shared" si="11"/>
        <v/>
      </c>
    </row>
    <row r="381" spans="1:35" s="108" customFormat="1" ht="15.75">
      <c r="A381" s="119"/>
      <c r="B381" s="120"/>
      <c r="C381" s="111"/>
      <c r="D381" s="111"/>
      <c r="E381" s="121"/>
      <c r="F381" s="121"/>
      <c r="G381" s="113"/>
      <c r="H381" s="199" t="str">
        <f t="shared" si="10"/>
        <v/>
      </c>
      <c r="I381" s="200" t="str">
        <f>IF(H381="","",IF(AND(AI381&lt;=66),VLOOKUP(H381,'WordRead Look Up'!$A$13:$B$20,2,TRUE),IF(AND(AI381&gt;=67,AI381&lt;=72),VLOOKUP(H381,'WordRead Look Up'!$E$13:$F$20,2,TRUE),IF(AND(AI381&gt;=73,AI381&lt;=78),VLOOKUP(H381,'WordRead Look Up'!$I$13:$J$18,2,TRUE),IF(AND(AI381&gt;=79),VLOOKUP(H381,'WordRead Look Up'!$M$13:$N$18,2,TRUE),"")))))</f>
        <v/>
      </c>
      <c r="J381" s="122"/>
      <c r="K381" s="111"/>
      <c r="L381" s="111"/>
      <c r="M381" s="111"/>
      <c r="N381" s="111"/>
      <c r="O381" s="111"/>
      <c r="P381" s="111"/>
      <c r="Q381" s="111"/>
      <c r="R381" s="111"/>
      <c r="S381" s="111"/>
      <c r="T381" s="111"/>
      <c r="U381" s="111"/>
      <c r="V381" s="111"/>
      <c r="W381" s="111"/>
      <c r="X381" s="123"/>
      <c r="AG381" s="185"/>
      <c r="AH381" s="185"/>
      <c r="AI381" s="222" t="str">
        <f t="shared" si="11"/>
        <v/>
      </c>
    </row>
    <row r="382" spans="1:35" s="108" customFormat="1" ht="15.75">
      <c r="A382" s="119"/>
      <c r="B382" s="120"/>
      <c r="C382" s="111"/>
      <c r="D382" s="111"/>
      <c r="E382" s="121"/>
      <c r="F382" s="121"/>
      <c r="G382" s="113"/>
      <c r="H382" s="199" t="str">
        <f t="shared" si="10"/>
        <v/>
      </c>
      <c r="I382" s="200" t="str">
        <f>IF(H382="","",IF(AND(AI382&lt;=66),VLOOKUP(H382,'WordRead Look Up'!$A$13:$B$20,2,TRUE),IF(AND(AI382&gt;=67,AI382&lt;=72),VLOOKUP(H382,'WordRead Look Up'!$E$13:$F$20,2,TRUE),IF(AND(AI382&gt;=73,AI382&lt;=78),VLOOKUP(H382,'WordRead Look Up'!$I$13:$J$18,2,TRUE),IF(AND(AI382&gt;=79),VLOOKUP(H382,'WordRead Look Up'!$M$13:$N$18,2,TRUE),"")))))</f>
        <v/>
      </c>
      <c r="J382" s="122"/>
      <c r="K382" s="111"/>
      <c r="L382" s="111"/>
      <c r="M382" s="111"/>
      <c r="N382" s="111"/>
      <c r="O382" s="111"/>
      <c r="P382" s="111"/>
      <c r="Q382" s="111"/>
      <c r="R382" s="111"/>
      <c r="S382" s="111"/>
      <c r="T382" s="111"/>
      <c r="U382" s="111"/>
      <c r="V382" s="111"/>
      <c r="W382" s="111"/>
      <c r="X382" s="123"/>
      <c r="AG382" s="185"/>
      <c r="AH382" s="185"/>
      <c r="AI382" s="222" t="str">
        <f t="shared" si="11"/>
        <v/>
      </c>
    </row>
    <row r="383" spans="1:35" s="108" customFormat="1" ht="15.75">
      <c r="A383" s="119"/>
      <c r="B383" s="120"/>
      <c r="C383" s="111"/>
      <c r="D383" s="111"/>
      <c r="E383" s="121"/>
      <c r="F383" s="121"/>
      <c r="G383" s="113"/>
      <c r="H383" s="199" t="str">
        <f t="shared" si="10"/>
        <v/>
      </c>
      <c r="I383" s="200" t="str">
        <f>IF(H383="","",IF(AND(AI383&lt;=66),VLOOKUP(H383,'WordRead Look Up'!$A$13:$B$20,2,TRUE),IF(AND(AI383&gt;=67,AI383&lt;=72),VLOOKUP(H383,'WordRead Look Up'!$E$13:$F$20,2,TRUE),IF(AND(AI383&gt;=73,AI383&lt;=78),VLOOKUP(H383,'WordRead Look Up'!$I$13:$J$18,2,TRUE),IF(AND(AI383&gt;=79),VLOOKUP(H383,'WordRead Look Up'!$M$13:$N$18,2,TRUE),"")))))</f>
        <v/>
      </c>
      <c r="J383" s="122"/>
      <c r="K383" s="111"/>
      <c r="L383" s="111"/>
      <c r="M383" s="111"/>
      <c r="N383" s="111"/>
      <c r="O383" s="111"/>
      <c r="P383" s="111"/>
      <c r="Q383" s="111"/>
      <c r="R383" s="111"/>
      <c r="S383" s="111"/>
      <c r="T383" s="111"/>
      <c r="U383" s="111"/>
      <c r="V383" s="111"/>
      <c r="W383" s="111"/>
      <c r="X383" s="123"/>
      <c r="AG383" s="185"/>
      <c r="AH383" s="185"/>
      <c r="AI383" s="222" t="str">
        <f t="shared" si="11"/>
        <v/>
      </c>
    </row>
    <row r="384" spans="1:35" s="108" customFormat="1" ht="15.75">
      <c r="A384" s="119"/>
      <c r="B384" s="120"/>
      <c r="C384" s="111"/>
      <c r="D384" s="111"/>
      <c r="E384" s="121"/>
      <c r="F384" s="121"/>
      <c r="G384" s="113"/>
      <c r="H384" s="199" t="str">
        <f t="shared" si="10"/>
        <v/>
      </c>
      <c r="I384" s="200" t="str">
        <f>IF(H384="","",IF(AND(AI384&lt;=66),VLOOKUP(H384,'WordRead Look Up'!$A$13:$B$20,2,TRUE),IF(AND(AI384&gt;=67,AI384&lt;=72),VLOOKUP(H384,'WordRead Look Up'!$E$13:$F$20,2,TRUE),IF(AND(AI384&gt;=73,AI384&lt;=78),VLOOKUP(H384,'WordRead Look Up'!$I$13:$J$18,2,TRUE),IF(AND(AI384&gt;=79),VLOOKUP(H384,'WordRead Look Up'!$M$13:$N$18,2,TRUE),"")))))</f>
        <v/>
      </c>
      <c r="J384" s="122"/>
      <c r="K384" s="111"/>
      <c r="L384" s="111"/>
      <c r="M384" s="111"/>
      <c r="N384" s="111"/>
      <c r="O384" s="111"/>
      <c r="P384" s="111"/>
      <c r="Q384" s="111"/>
      <c r="R384" s="111"/>
      <c r="S384" s="111"/>
      <c r="T384" s="111"/>
      <c r="U384" s="111"/>
      <c r="V384" s="111"/>
      <c r="W384" s="111"/>
      <c r="X384" s="123"/>
      <c r="AG384" s="185"/>
      <c r="AH384" s="185"/>
      <c r="AI384" s="222" t="str">
        <f t="shared" si="11"/>
        <v/>
      </c>
    </row>
    <row r="385" spans="1:35" s="108" customFormat="1" ht="15.75">
      <c r="A385" s="119"/>
      <c r="B385" s="120"/>
      <c r="C385" s="111"/>
      <c r="D385" s="111"/>
      <c r="E385" s="121"/>
      <c r="F385" s="121"/>
      <c r="G385" s="113"/>
      <c r="H385" s="199" t="str">
        <f t="shared" si="10"/>
        <v/>
      </c>
      <c r="I385" s="200" t="str">
        <f>IF(H385="","",IF(AND(AI385&lt;=66),VLOOKUP(H385,'WordRead Look Up'!$A$13:$B$20,2,TRUE),IF(AND(AI385&gt;=67,AI385&lt;=72),VLOOKUP(H385,'WordRead Look Up'!$E$13:$F$20,2,TRUE),IF(AND(AI385&gt;=73,AI385&lt;=78),VLOOKUP(H385,'WordRead Look Up'!$I$13:$J$18,2,TRUE),IF(AND(AI385&gt;=79),VLOOKUP(H385,'WordRead Look Up'!$M$13:$N$18,2,TRUE),"")))))</f>
        <v/>
      </c>
      <c r="J385" s="122"/>
      <c r="K385" s="111"/>
      <c r="L385" s="111"/>
      <c r="M385" s="111"/>
      <c r="N385" s="111"/>
      <c r="O385" s="111"/>
      <c r="P385" s="111"/>
      <c r="Q385" s="111"/>
      <c r="R385" s="111"/>
      <c r="S385" s="111"/>
      <c r="T385" s="111"/>
      <c r="U385" s="111"/>
      <c r="V385" s="111"/>
      <c r="W385" s="111"/>
      <c r="X385" s="123"/>
      <c r="AG385" s="185"/>
      <c r="AH385" s="185"/>
      <c r="AI385" s="222" t="str">
        <f t="shared" si="11"/>
        <v/>
      </c>
    </row>
    <row r="386" spans="1:35" s="108" customFormat="1" ht="15.75">
      <c r="A386" s="119"/>
      <c r="B386" s="120"/>
      <c r="C386" s="111"/>
      <c r="D386" s="111"/>
      <c r="E386" s="121"/>
      <c r="F386" s="121"/>
      <c r="G386" s="113"/>
      <c r="H386" s="199" t="str">
        <f t="shared" si="10"/>
        <v/>
      </c>
      <c r="I386" s="200" t="str">
        <f>IF(H386="","",IF(AND(AI386&lt;=66),VLOOKUP(H386,'WordRead Look Up'!$A$13:$B$20,2,TRUE),IF(AND(AI386&gt;=67,AI386&lt;=72),VLOOKUP(H386,'WordRead Look Up'!$E$13:$F$20,2,TRUE),IF(AND(AI386&gt;=73,AI386&lt;=78),VLOOKUP(H386,'WordRead Look Up'!$I$13:$J$18,2,TRUE),IF(AND(AI386&gt;=79),VLOOKUP(H386,'WordRead Look Up'!$M$13:$N$18,2,TRUE),"")))))</f>
        <v/>
      </c>
      <c r="J386" s="122"/>
      <c r="K386" s="111"/>
      <c r="L386" s="111"/>
      <c r="M386" s="111"/>
      <c r="N386" s="111"/>
      <c r="O386" s="111"/>
      <c r="P386" s="111"/>
      <c r="Q386" s="111"/>
      <c r="R386" s="111"/>
      <c r="S386" s="111"/>
      <c r="T386" s="111"/>
      <c r="U386" s="111"/>
      <c r="V386" s="111"/>
      <c r="W386" s="111"/>
      <c r="X386" s="123"/>
      <c r="AG386" s="185"/>
      <c r="AH386" s="185"/>
      <c r="AI386" s="222" t="str">
        <f t="shared" si="11"/>
        <v/>
      </c>
    </row>
    <row r="387" spans="1:35" s="108" customFormat="1" ht="15.75">
      <c r="A387" s="119"/>
      <c r="B387" s="120"/>
      <c r="C387" s="111"/>
      <c r="D387" s="111"/>
      <c r="E387" s="121"/>
      <c r="F387" s="121"/>
      <c r="G387" s="113"/>
      <c r="H387" s="199" t="str">
        <f t="shared" si="10"/>
        <v/>
      </c>
      <c r="I387" s="200" t="str">
        <f>IF(H387="","",IF(AND(AI387&lt;=66),VLOOKUP(H387,'WordRead Look Up'!$A$13:$B$20,2,TRUE),IF(AND(AI387&gt;=67,AI387&lt;=72),VLOOKUP(H387,'WordRead Look Up'!$E$13:$F$20,2,TRUE),IF(AND(AI387&gt;=73,AI387&lt;=78),VLOOKUP(H387,'WordRead Look Up'!$I$13:$J$18,2,TRUE),IF(AND(AI387&gt;=79),VLOOKUP(H387,'WordRead Look Up'!$M$13:$N$18,2,TRUE),"")))))</f>
        <v/>
      </c>
      <c r="J387" s="122"/>
      <c r="K387" s="111"/>
      <c r="L387" s="111"/>
      <c r="M387" s="111"/>
      <c r="N387" s="111"/>
      <c r="O387" s="111"/>
      <c r="P387" s="111"/>
      <c r="Q387" s="111"/>
      <c r="R387" s="111"/>
      <c r="S387" s="111"/>
      <c r="T387" s="111"/>
      <c r="U387" s="111"/>
      <c r="V387" s="111"/>
      <c r="W387" s="111"/>
      <c r="X387" s="123"/>
      <c r="AG387" s="185"/>
      <c r="AH387" s="185"/>
      <c r="AI387" s="222" t="str">
        <f t="shared" si="11"/>
        <v/>
      </c>
    </row>
    <row r="388" spans="1:35" s="108" customFormat="1" ht="15.75">
      <c r="A388" s="119"/>
      <c r="B388" s="120"/>
      <c r="C388" s="111"/>
      <c r="D388" s="111"/>
      <c r="E388" s="121"/>
      <c r="F388" s="121"/>
      <c r="G388" s="113"/>
      <c r="H388" s="199" t="str">
        <f t="shared" si="10"/>
        <v/>
      </c>
      <c r="I388" s="200" t="str">
        <f>IF(H388="","",IF(AND(AI388&lt;=66),VLOOKUP(H388,'WordRead Look Up'!$A$13:$B$20,2,TRUE),IF(AND(AI388&gt;=67,AI388&lt;=72),VLOOKUP(H388,'WordRead Look Up'!$E$13:$F$20,2,TRUE),IF(AND(AI388&gt;=73,AI388&lt;=78),VLOOKUP(H388,'WordRead Look Up'!$I$13:$J$18,2,TRUE),IF(AND(AI388&gt;=79),VLOOKUP(H388,'WordRead Look Up'!$M$13:$N$18,2,TRUE),"")))))</f>
        <v/>
      </c>
      <c r="J388" s="122"/>
      <c r="K388" s="111"/>
      <c r="L388" s="111"/>
      <c r="M388" s="111"/>
      <c r="N388" s="111"/>
      <c r="O388" s="111"/>
      <c r="P388" s="111"/>
      <c r="Q388" s="111"/>
      <c r="R388" s="111"/>
      <c r="S388" s="111"/>
      <c r="T388" s="111"/>
      <c r="U388" s="111"/>
      <c r="V388" s="111"/>
      <c r="W388" s="111"/>
      <c r="X388" s="123"/>
      <c r="AG388" s="185"/>
      <c r="AH388" s="185"/>
      <c r="AI388" s="222" t="str">
        <f t="shared" si="11"/>
        <v/>
      </c>
    </row>
    <row r="389" spans="1:35" s="108" customFormat="1" ht="15.75">
      <c r="A389" s="119"/>
      <c r="B389" s="120"/>
      <c r="C389" s="111"/>
      <c r="D389" s="111"/>
      <c r="E389" s="121"/>
      <c r="F389" s="121"/>
      <c r="G389" s="113"/>
      <c r="H389" s="199" t="str">
        <f t="shared" si="10"/>
        <v/>
      </c>
      <c r="I389" s="200" t="str">
        <f>IF(H389="","",IF(AND(AI389&lt;=66),VLOOKUP(H389,'WordRead Look Up'!$A$13:$B$20,2,TRUE),IF(AND(AI389&gt;=67,AI389&lt;=72),VLOOKUP(H389,'WordRead Look Up'!$E$13:$F$20,2,TRUE),IF(AND(AI389&gt;=73,AI389&lt;=78),VLOOKUP(H389,'WordRead Look Up'!$I$13:$J$18,2,TRUE),IF(AND(AI389&gt;=79),VLOOKUP(H389,'WordRead Look Up'!$M$13:$N$18,2,TRUE),"")))))</f>
        <v/>
      </c>
      <c r="J389" s="122"/>
      <c r="K389" s="111"/>
      <c r="L389" s="111"/>
      <c r="M389" s="111"/>
      <c r="N389" s="111"/>
      <c r="O389" s="111"/>
      <c r="P389" s="111"/>
      <c r="Q389" s="111"/>
      <c r="R389" s="111"/>
      <c r="S389" s="111"/>
      <c r="T389" s="111"/>
      <c r="U389" s="111"/>
      <c r="V389" s="111"/>
      <c r="W389" s="111"/>
      <c r="X389" s="123"/>
      <c r="AG389" s="185"/>
      <c r="AH389" s="185"/>
      <c r="AI389" s="222" t="str">
        <f t="shared" si="11"/>
        <v/>
      </c>
    </row>
    <row r="390" spans="1:35" s="108" customFormat="1" ht="15.75">
      <c r="A390" s="119"/>
      <c r="B390" s="120"/>
      <c r="C390" s="111"/>
      <c r="D390" s="111"/>
      <c r="E390" s="121"/>
      <c r="F390" s="121"/>
      <c r="G390" s="113"/>
      <c r="H390" s="199" t="str">
        <f t="shared" si="10"/>
        <v/>
      </c>
      <c r="I390" s="200" t="str">
        <f>IF(H390="","",IF(AND(AI390&lt;=66),VLOOKUP(H390,'WordRead Look Up'!$A$13:$B$20,2,TRUE),IF(AND(AI390&gt;=67,AI390&lt;=72),VLOOKUP(H390,'WordRead Look Up'!$E$13:$F$20,2,TRUE),IF(AND(AI390&gt;=73,AI390&lt;=78),VLOOKUP(H390,'WordRead Look Up'!$I$13:$J$18,2,TRUE),IF(AND(AI390&gt;=79),VLOOKUP(H390,'WordRead Look Up'!$M$13:$N$18,2,TRUE),"")))))</f>
        <v/>
      </c>
      <c r="J390" s="122"/>
      <c r="K390" s="111"/>
      <c r="L390" s="111"/>
      <c r="M390" s="111"/>
      <c r="N390" s="111"/>
      <c r="O390" s="111"/>
      <c r="P390" s="111"/>
      <c r="Q390" s="111"/>
      <c r="R390" s="111"/>
      <c r="S390" s="111"/>
      <c r="T390" s="111"/>
      <c r="U390" s="111"/>
      <c r="V390" s="111"/>
      <c r="W390" s="111"/>
      <c r="X390" s="123"/>
      <c r="AG390" s="185"/>
      <c r="AH390" s="185"/>
      <c r="AI390" s="222" t="str">
        <f t="shared" si="11"/>
        <v/>
      </c>
    </row>
    <row r="391" spans="1:35" s="108" customFormat="1" ht="15.75">
      <c r="A391" s="119"/>
      <c r="B391" s="120"/>
      <c r="C391" s="111"/>
      <c r="D391" s="111"/>
      <c r="E391" s="121"/>
      <c r="F391" s="121"/>
      <c r="G391" s="113"/>
      <c r="H391" s="199" t="str">
        <f t="shared" si="10"/>
        <v/>
      </c>
      <c r="I391" s="200" t="str">
        <f>IF(H391="","",IF(AND(AI391&lt;=66),VLOOKUP(H391,'WordRead Look Up'!$A$13:$B$20,2,TRUE),IF(AND(AI391&gt;=67,AI391&lt;=72),VLOOKUP(H391,'WordRead Look Up'!$E$13:$F$20,2,TRUE),IF(AND(AI391&gt;=73,AI391&lt;=78),VLOOKUP(H391,'WordRead Look Up'!$I$13:$J$18,2,TRUE),IF(AND(AI391&gt;=79),VLOOKUP(H391,'WordRead Look Up'!$M$13:$N$18,2,TRUE),"")))))</f>
        <v/>
      </c>
      <c r="J391" s="122"/>
      <c r="K391" s="111"/>
      <c r="L391" s="111"/>
      <c r="M391" s="111"/>
      <c r="N391" s="111"/>
      <c r="O391" s="111"/>
      <c r="P391" s="111"/>
      <c r="Q391" s="111"/>
      <c r="R391" s="111"/>
      <c r="S391" s="111"/>
      <c r="T391" s="111"/>
      <c r="U391" s="111"/>
      <c r="V391" s="111"/>
      <c r="W391" s="111"/>
      <c r="X391" s="123"/>
      <c r="AG391" s="185"/>
      <c r="AH391" s="185"/>
      <c r="AI391" s="222" t="str">
        <f t="shared" si="11"/>
        <v/>
      </c>
    </row>
    <row r="392" spans="1:35" s="108" customFormat="1" ht="15.75">
      <c r="A392" s="119"/>
      <c r="B392" s="120"/>
      <c r="C392" s="111"/>
      <c r="D392" s="111"/>
      <c r="E392" s="121"/>
      <c r="F392" s="121"/>
      <c r="G392" s="113"/>
      <c r="H392" s="199" t="str">
        <f t="shared" ref="H392:H455" si="12">IF(E392="","",COUNTIF(J392:X392,"y"))</f>
        <v/>
      </c>
      <c r="I392" s="200" t="str">
        <f>IF(H392="","",IF(AND(AI392&lt;=66),VLOOKUP(H392,'WordRead Look Up'!$A$13:$B$20,2,TRUE),IF(AND(AI392&gt;=67,AI392&lt;=72),VLOOKUP(H392,'WordRead Look Up'!$E$13:$F$20,2,TRUE),IF(AND(AI392&gt;=73,AI392&lt;=78),VLOOKUP(H392,'WordRead Look Up'!$I$13:$J$18,2,TRUE),IF(AND(AI392&gt;=79),VLOOKUP(H392,'WordRead Look Up'!$M$13:$N$18,2,TRUE),"")))))</f>
        <v/>
      </c>
      <c r="J392" s="122"/>
      <c r="K392" s="111"/>
      <c r="L392" s="111"/>
      <c r="M392" s="111"/>
      <c r="N392" s="111"/>
      <c r="O392" s="111"/>
      <c r="P392" s="111"/>
      <c r="Q392" s="111"/>
      <c r="R392" s="111"/>
      <c r="S392" s="111"/>
      <c r="T392" s="111"/>
      <c r="U392" s="111"/>
      <c r="V392" s="111"/>
      <c r="W392" s="111"/>
      <c r="X392" s="123"/>
      <c r="AG392" s="185"/>
      <c r="AH392" s="185"/>
      <c r="AI392" s="222" t="str">
        <f t="shared" ref="AI392:AI455" si="13">IF(E392="","",DATEDIF(B392,A392,"m"))</f>
        <v/>
      </c>
    </row>
    <row r="393" spans="1:35" s="108" customFormat="1" ht="15.75">
      <c r="A393" s="119"/>
      <c r="B393" s="120"/>
      <c r="C393" s="111"/>
      <c r="D393" s="111"/>
      <c r="E393" s="121"/>
      <c r="F393" s="121"/>
      <c r="G393" s="113"/>
      <c r="H393" s="199" t="str">
        <f t="shared" si="12"/>
        <v/>
      </c>
      <c r="I393" s="200" t="str">
        <f>IF(H393="","",IF(AND(AI393&lt;=66),VLOOKUP(H393,'WordRead Look Up'!$A$13:$B$20,2,TRUE),IF(AND(AI393&gt;=67,AI393&lt;=72),VLOOKUP(H393,'WordRead Look Up'!$E$13:$F$20,2,TRUE),IF(AND(AI393&gt;=73,AI393&lt;=78),VLOOKUP(H393,'WordRead Look Up'!$I$13:$J$18,2,TRUE),IF(AND(AI393&gt;=79),VLOOKUP(H393,'WordRead Look Up'!$M$13:$N$18,2,TRUE),"")))))</f>
        <v/>
      </c>
      <c r="J393" s="122"/>
      <c r="K393" s="111"/>
      <c r="L393" s="111"/>
      <c r="M393" s="111"/>
      <c r="N393" s="111"/>
      <c r="O393" s="111"/>
      <c r="P393" s="111"/>
      <c r="Q393" s="111"/>
      <c r="R393" s="111"/>
      <c r="S393" s="111"/>
      <c r="T393" s="111"/>
      <c r="U393" s="111"/>
      <c r="V393" s="111"/>
      <c r="W393" s="111"/>
      <c r="X393" s="123"/>
      <c r="AG393" s="185"/>
      <c r="AH393" s="185"/>
      <c r="AI393" s="222" t="str">
        <f t="shared" si="13"/>
        <v/>
      </c>
    </row>
    <row r="394" spans="1:35" s="108" customFormat="1" ht="15.75">
      <c r="A394" s="119"/>
      <c r="B394" s="120"/>
      <c r="C394" s="111"/>
      <c r="D394" s="111"/>
      <c r="E394" s="121"/>
      <c r="F394" s="121"/>
      <c r="G394" s="113"/>
      <c r="H394" s="199" t="str">
        <f t="shared" si="12"/>
        <v/>
      </c>
      <c r="I394" s="200" t="str">
        <f>IF(H394="","",IF(AND(AI394&lt;=66),VLOOKUP(H394,'WordRead Look Up'!$A$13:$B$20,2,TRUE),IF(AND(AI394&gt;=67,AI394&lt;=72),VLOOKUP(H394,'WordRead Look Up'!$E$13:$F$20,2,TRUE),IF(AND(AI394&gt;=73,AI394&lt;=78),VLOOKUP(H394,'WordRead Look Up'!$I$13:$J$18,2,TRUE),IF(AND(AI394&gt;=79),VLOOKUP(H394,'WordRead Look Up'!$M$13:$N$18,2,TRUE),"")))))</f>
        <v/>
      </c>
      <c r="J394" s="122"/>
      <c r="K394" s="111"/>
      <c r="L394" s="111"/>
      <c r="M394" s="111"/>
      <c r="N394" s="111"/>
      <c r="O394" s="111"/>
      <c r="P394" s="111"/>
      <c r="Q394" s="111"/>
      <c r="R394" s="111"/>
      <c r="S394" s="111"/>
      <c r="T394" s="111"/>
      <c r="U394" s="111"/>
      <c r="V394" s="111"/>
      <c r="W394" s="111"/>
      <c r="X394" s="123"/>
      <c r="AG394" s="185"/>
      <c r="AH394" s="185"/>
      <c r="AI394" s="222" t="str">
        <f t="shared" si="13"/>
        <v/>
      </c>
    </row>
    <row r="395" spans="1:35" s="108" customFormat="1" ht="15.75">
      <c r="A395" s="119"/>
      <c r="B395" s="120"/>
      <c r="C395" s="111"/>
      <c r="D395" s="111"/>
      <c r="E395" s="121"/>
      <c r="F395" s="121"/>
      <c r="G395" s="113"/>
      <c r="H395" s="199" t="str">
        <f t="shared" si="12"/>
        <v/>
      </c>
      <c r="I395" s="200" t="str">
        <f>IF(H395="","",IF(AND(AI395&lt;=66),VLOOKUP(H395,'WordRead Look Up'!$A$13:$B$20,2,TRUE),IF(AND(AI395&gt;=67,AI395&lt;=72),VLOOKUP(H395,'WordRead Look Up'!$E$13:$F$20,2,TRUE),IF(AND(AI395&gt;=73,AI395&lt;=78),VLOOKUP(H395,'WordRead Look Up'!$I$13:$J$18,2,TRUE),IF(AND(AI395&gt;=79),VLOOKUP(H395,'WordRead Look Up'!$M$13:$N$18,2,TRUE),"")))))</f>
        <v/>
      </c>
      <c r="J395" s="122"/>
      <c r="K395" s="111"/>
      <c r="L395" s="111"/>
      <c r="M395" s="111"/>
      <c r="N395" s="111"/>
      <c r="O395" s="111"/>
      <c r="P395" s="111"/>
      <c r="Q395" s="111"/>
      <c r="R395" s="111"/>
      <c r="S395" s="111"/>
      <c r="T395" s="111"/>
      <c r="U395" s="111"/>
      <c r="V395" s="111"/>
      <c r="W395" s="111"/>
      <c r="X395" s="123"/>
      <c r="AG395" s="185"/>
      <c r="AH395" s="185"/>
      <c r="AI395" s="222" t="str">
        <f t="shared" si="13"/>
        <v/>
      </c>
    </row>
    <row r="396" spans="1:35" s="108" customFormat="1" ht="15.75">
      <c r="A396" s="119"/>
      <c r="B396" s="120"/>
      <c r="C396" s="111"/>
      <c r="D396" s="111"/>
      <c r="E396" s="121"/>
      <c r="F396" s="121"/>
      <c r="G396" s="113"/>
      <c r="H396" s="199" t="str">
        <f t="shared" si="12"/>
        <v/>
      </c>
      <c r="I396" s="200" t="str">
        <f>IF(H396="","",IF(AND(AI396&lt;=66),VLOOKUP(H396,'WordRead Look Up'!$A$13:$B$20,2,TRUE),IF(AND(AI396&gt;=67,AI396&lt;=72),VLOOKUP(H396,'WordRead Look Up'!$E$13:$F$20,2,TRUE),IF(AND(AI396&gt;=73,AI396&lt;=78),VLOOKUP(H396,'WordRead Look Up'!$I$13:$J$18,2,TRUE),IF(AND(AI396&gt;=79),VLOOKUP(H396,'WordRead Look Up'!$M$13:$N$18,2,TRUE),"")))))</f>
        <v/>
      </c>
      <c r="J396" s="122"/>
      <c r="K396" s="111"/>
      <c r="L396" s="111"/>
      <c r="M396" s="111"/>
      <c r="N396" s="111"/>
      <c r="O396" s="111"/>
      <c r="P396" s="111"/>
      <c r="Q396" s="111"/>
      <c r="R396" s="111"/>
      <c r="S396" s="111"/>
      <c r="T396" s="111"/>
      <c r="U396" s="111"/>
      <c r="V396" s="111"/>
      <c r="W396" s="111"/>
      <c r="X396" s="123"/>
      <c r="AG396" s="185"/>
      <c r="AH396" s="185"/>
      <c r="AI396" s="222" t="str">
        <f t="shared" si="13"/>
        <v/>
      </c>
    </row>
    <row r="397" spans="1:35" s="108" customFormat="1" ht="15.75">
      <c r="A397" s="119"/>
      <c r="B397" s="120"/>
      <c r="C397" s="111"/>
      <c r="D397" s="111"/>
      <c r="E397" s="121"/>
      <c r="F397" s="121"/>
      <c r="G397" s="113"/>
      <c r="H397" s="199" t="str">
        <f t="shared" si="12"/>
        <v/>
      </c>
      <c r="I397" s="200" t="str">
        <f>IF(H397="","",IF(AND(AI397&lt;=66),VLOOKUP(H397,'WordRead Look Up'!$A$13:$B$20,2,TRUE),IF(AND(AI397&gt;=67,AI397&lt;=72),VLOOKUP(H397,'WordRead Look Up'!$E$13:$F$20,2,TRUE),IF(AND(AI397&gt;=73,AI397&lt;=78),VLOOKUP(H397,'WordRead Look Up'!$I$13:$J$18,2,TRUE),IF(AND(AI397&gt;=79),VLOOKUP(H397,'WordRead Look Up'!$M$13:$N$18,2,TRUE),"")))))</f>
        <v/>
      </c>
      <c r="J397" s="122"/>
      <c r="K397" s="111"/>
      <c r="L397" s="111"/>
      <c r="M397" s="111"/>
      <c r="N397" s="111"/>
      <c r="O397" s="111"/>
      <c r="P397" s="111"/>
      <c r="Q397" s="111"/>
      <c r="R397" s="111"/>
      <c r="S397" s="111"/>
      <c r="T397" s="111"/>
      <c r="U397" s="111"/>
      <c r="V397" s="111"/>
      <c r="W397" s="111"/>
      <c r="X397" s="123"/>
      <c r="AG397" s="185"/>
      <c r="AH397" s="185"/>
      <c r="AI397" s="222" t="str">
        <f t="shared" si="13"/>
        <v/>
      </c>
    </row>
    <row r="398" spans="1:35" s="108" customFormat="1" ht="15.75">
      <c r="A398" s="119"/>
      <c r="B398" s="120"/>
      <c r="C398" s="111"/>
      <c r="D398" s="111"/>
      <c r="E398" s="121"/>
      <c r="F398" s="121"/>
      <c r="G398" s="113"/>
      <c r="H398" s="199" t="str">
        <f t="shared" si="12"/>
        <v/>
      </c>
      <c r="I398" s="200" t="str">
        <f>IF(H398="","",IF(AND(AI398&lt;=66),VLOOKUP(H398,'WordRead Look Up'!$A$13:$B$20,2,TRUE),IF(AND(AI398&gt;=67,AI398&lt;=72),VLOOKUP(H398,'WordRead Look Up'!$E$13:$F$20,2,TRUE),IF(AND(AI398&gt;=73,AI398&lt;=78),VLOOKUP(H398,'WordRead Look Up'!$I$13:$J$18,2,TRUE),IF(AND(AI398&gt;=79),VLOOKUP(H398,'WordRead Look Up'!$M$13:$N$18,2,TRUE),"")))))</f>
        <v/>
      </c>
      <c r="J398" s="122"/>
      <c r="K398" s="111"/>
      <c r="L398" s="111"/>
      <c r="M398" s="111"/>
      <c r="N398" s="111"/>
      <c r="O398" s="111"/>
      <c r="P398" s="111"/>
      <c r="Q398" s="111"/>
      <c r="R398" s="111"/>
      <c r="S398" s="111"/>
      <c r="T398" s="111"/>
      <c r="U398" s="111"/>
      <c r="V398" s="111"/>
      <c r="W398" s="111"/>
      <c r="X398" s="123"/>
      <c r="AG398" s="185"/>
      <c r="AH398" s="185"/>
      <c r="AI398" s="222" t="str">
        <f t="shared" si="13"/>
        <v/>
      </c>
    </row>
    <row r="399" spans="1:35" s="108" customFormat="1" ht="15.75">
      <c r="A399" s="119"/>
      <c r="B399" s="120"/>
      <c r="C399" s="111"/>
      <c r="D399" s="111"/>
      <c r="E399" s="121"/>
      <c r="F399" s="121"/>
      <c r="G399" s="113"/>
      <c r="H399" s="199" t="str">
        <f t="shared" si="12"/>
        <v/>
      </c>
      <c r="I399" s="200" t="str">
        <f>IF(H399="","",IF(AND(AI399&lt;=66),VLOOKUP(H399,'WordRead Look Up'!$A$13:$B$20,2,TRUE),IF(AND(AI399&gt;=67,AI399&lt;=72),VLOOKUP(H399,'WordRead Look Up'!$E$13:$F$20,2,TRUE),IF(AND(AI399&gt;=73,AI399&lt;=78),VLOOKUP(H399,'WordRead Look Up'!$I$13:$J$18,2,TRUE),IF(AND(AI399&gt;=79),VLOOKUP(H399,'WordRead Look Up'!$M$13:$N$18,2,TRUE),"")))))</f>
        <v/>
      </c>
      <c r="J399" s="122"/>
      <c r="K399" s="111"/>
      <c r="L399" s="111"/>
      <c r="M399" s="111"/>
      <c r="N399" s="111"/>
      <c r="O399" s="111"/>
      <c r="P399" s="111"/>
      <c r="Q399" s="111"/>
      <c r="R399" s="111"/>
      <c r="S399" s="111"/>
      <c r="T399" s="111"/>
      <c r="U399" s="111"/>
      <c r="V399" s="111"/>
      <c r="W399" s="111"/>
      <c r="X399" s="123"/>
      <c r="AG399" s="185"/>
      <c r="AH399" s="185"/>
      <c r="AI399" s="222" t="str">
        <f t="shared" si="13"/>
        <v/>
      </c>
    </row>
    <row r="400" spans="1:35" s="108" customFormat="1" ht="15.75">
      <c r="A400" s="119"/>
      <c r="B400" s="120"/>
      <c r="C400" s="111"/>
      <c r="D400" s="111"/>
      <c r="E400" s="121"/>
      <c r="F400" s="121"/>
      <c r="G400" s="113"/>
      <c r="H400" s="199" t="str">
        <f t="shared" si="12"/>
        <v/>
      </c>
      <c r="I400" s="200" t="str">
        <f>IF(H400="","",IF(AND(AI400&lt;=66),VLOOKUP(H400,'WordRead Look Up'!$A$13:$B$20,2,TRUE),IF(AND(AI400&gt;=67,AI400&lt;=72),VLOOKUP(H400,'WordRead Look Up'!$E$13:$F$20,2,TRUE),IF(AND(AI400&gt;=73,AI400&lt;=78),VLOOKUP(H400,'WordRead Look Up'!$I$13:$J$18,2,TRUE),IF(AND(AI400&gt;=79),VLOOKUP(H400,'WordRead Look Up'!$M$13:$N$18,2,TRUE),"")))))</f>
        <v/>
      </c>
      <c r="J400" s="122"/>
      <c r="K400" s="111"/>
      <c r="L400" s="111"/>
      <c r="M400" s="111"/>
      <c r="N400" s="111"/>
      <c r="O400" s="111"/>
      <c r="P400" s="111"/>
      <c r="Q400" s="111"/>
      <c r="R400" s="111"/>
      <c r="S400" s="111"/>
      <c r="T400" s="111"/>
      <c r="U400" s="111"/>
      <c r="V400" s="111"/>
      <c r="W400" s="111"/>
      <c r="X400" s="123"/>
      <c r="AG400" s="185"/>
      <c r="AH400" s="185"/>
      <c r="AI400" s="222" t="str">
        <f t="shared" si="13"/>
        <v/>
      </c>
    </row>
    <row r="401" spans="1:35" s="108" customFormat="1" ht="15.75">
      <c r="A401" s="119"/>
      <c r="B401" s="120"/>
      <c r="C401" s="111"/>
      <c r="D401" s="111"/>
      <c r="E401" s="121"/>
      <c r="F401" s="121"/>
      <c r="G401" s="113"/>
      <c r="H401" s="199" t="str">
        <f t="shared" si="12"/>
        <v/>
      </c>
      <c r="I401" s="200" t="str">
        <f>IF(H401="","",IF(AND(AI401&lt;=66),VLOOKUP(H401,'WordRead Look Up'!$A$13:$B$20,2,TRUE),IF(AND(AI401&gt;=67,AI401&lt;=72),VLOOKUP(H401,'WordRead Look Up'!$E$13:$F$20,2,TRUE),IF(AND(AI401&gt;=73,AI401&lt;=78),VLOOKUP(H401,'WordRead Look Up'!$I$13:$J$18,2,TRUE),IF(AND(AI401&gt;=79),VLOOKUP(H401,'WordRead Look Up'!$M$13:$N$18,2,TRUE),"")))))</f>
        <v/>
      </c>
      <c r="J401" s="122"/>
      <c r="K401" s="111"/>
      <c r="L401" s="111"/>
      <c r="M401" s="111"/>
      <c r="N401" s="111"/>
      <c r="O401" s="111"/>
      <c r="P401" s="111"/>
      <c r="Q401" s="111"/>
      <c r="R401" s="111"/>
      <c r="S401" s="111"/>
      <c r="T401" s="111"/>
      <c r="U401" s="111"/>
      <c r="V401" s="111"/>
      <c r="W401" s="111"/>
      <c r="X401" s="123"/>
      <c r="AG401" s="185"/>
      <c r="AH401" s="185"/>
      <c r="AI401" s="222" t="str">
        <f t="shared" si="13"/>
        <v/>
      </c>
    </row>
    <row r="402" spans="1:35" s="108" customFormat="1" ht="15.75">
      <c r="A402" s="119"/>
      <c r="B402" s="120"/>
      <c r="C402" s="111"/>
      <c r="D402" s="111"/>
      <c r="E402" s="121"/>
      <c r="F402" s="121"/>
      <c r="G402" s="113"/>
      <c r="H402" s="199" t="str">
        <f t="shared" si="12"/>
        <v/>
      </c>
      <c r="I402" s="200" t="str">
        <f>IF(H402="","",IF(AND(AI402&lt;=66),VLOOKUP(H402,'WordRead Look Up'!$A$13:$B$20,2,TRUE),IF(AND(AI402&gt;=67,AI402&lt;=72),VLOOKUP(H402,'WordRead Look Up'!$E$13:$F$20,2,TRUE),IF(AND(AI402&gt;=73,AI402&lt;=78),VLOOKUP(H402,'WordRead Look Up'!$I$13:$J$18,2,TRUE),IF(AND(AI402&gt;=79),VLOOKUP(H402,'WordRead Look Up'!$M$13:$N$18,2,TRUE),"")))))</f>
        <v/>
      </c>
      <c r="J402" s="122"/>
      <c r="K402" s="111"/>
      <c r="L402" s="111"/>
      <c r="M402" s="111"/>
      <c r="N402" s="111"/>
      <c r="O402" s="111"/>
      <c r="P402" s="111"/>
      <c r="Q402" s="111"/>
      <c r="R402" s="111"/>
      <c r="S402" s="111"/>
      <c r="T402" s="111"/>
      <c r="U402" s="111"/>
      <c r="V402" s="111"/>
      <c r="W402" s="111"/>
      <c r="X402" s="123"/>
      <c r="AG402" s="185"/>
      <c r="AH402" s="185"/>
      <c r="AI402" s="222" t="str">
        <f t="shared" si="13"/>
        <v/>
      </c>
    </row>
    <row r="403" spans="1:35" s="108" customFormat="1" ht="15.75">
      <c r="A403" s="119"/>
      <c r="B403" s="120"/>
      <c r="C403" s="111"/>
      <c r="D403" s="111"/>
      <c r="E403" s="121"/>
      <c r="F403" s="121"/>
      <c r="G403" s="113"/>
      <c r="H403" s="199" t="str">
        <f t="shared" si="12"/>
        <v/>
      </c>
      <c r="I403" s="200" t="str">
        <f>IF(H403="","",IF(AND(AI403&lt;=66),VLOOKUP(H403,'WordRead Look Up'!$A$13:$B$20,2,TRUE),IF(AND(AI403&gt;=67,AI403&lt;=72),VLOOKUP(H403,'WordRead Look Up'!$E$13:$F$20,2,TRUE),IF(AND(AI403&gt;=73,AI403&lt;=78),VLOOKUP(H403,'WordRead Look Up'!$I$13:$J$18,2,TRUE),IF(AND(AI403&gt;=79),VLOOKUP(H403,'WordRead Look Up'!$M$13:$N$18,2,TRUE),"")))))</f>
        <v/>
      </c>
      <c r="J403" s="122"/>
      <c r="K403" s="111"/>
      <c r="L403" s="111"/>
      <c r="M403" s="111"/>
      <c r="N403" s="111"/>
      <c r="O403" s="111"/>
      <c r="P403" s="111"/>
      <c r="Q403" s="111"/>
      <c r="R403" s="111"/>
      <c r="S403" s="111"/>
      <c r="T403" s="111"/>
      <c r="U403" s="111"/>
      <c r="V403" s="111"/>
      <c r="W403" s="111"/>
      <c r="X403" s="123"/>
      <c r="AG403" s="185"/>
      <c r="AH403" s="185"/>
      <c r="AI403" s="222" t="str">
        <f t="shared" si="13"/>
        <v/>
      </c>
    </row>
    <row r="404" spans="1:35" s="108" customFormat="1" ht="15.75">
      <c r="A404" s="119"/>
      <c r="B404" s="120"/>
      <c r="C404" s="111"/>
      <c r="D404" s="111"/>
      <c r="E404" s="121"/>
      <c r="F404" s="121"/>
      <c r="G404" s="113"/>
      <c r="H404" s="199" t="str">
        <f t="shared" si="12"/>
        <v/>
      </c>
      <c r="I404" s="200" t="str">
        <f>IF(H404="","",IF(AND(AI404&lt;=66),VLOOKUP(H404,'WordRead Look Up'!$A$13:$B$20,2,TRUE),IF(AND(AI404&gt;=67,AI404&lt;=72),VLOOKUP(H404,'WordRead Look Up'!$E$13:$F$20,2,TRUE),IF(AND(AI404&gt;=73,AI404&lt;=78),VLOOKUP(H404,'WordRead Look Up'!$I$13:$J$18,2,TRUE),IF(AND(AI404&gt;=79),VLOOKUP(H404,'WordRead Look Up'!$M$13:$N$18,2,TRUE),"")))))</f>
        <v/>
      </c>
      <c r="J404" s="122"/>
      <c r="K404" s="111"/>
      <c r="L404" s="111"/>
      <c r="M404" s="111"/>
      <c r="N404" s="111"/>
      <c r="O404" s="111"/>
      <c r="P404" s="111"/>
      <c r="Q404" s="111"/>
      <c r="R404" s="111"/>
      <c r="S404" s="111"/>
      <c r="T404" s="111"/>
      <c r="U404" s="111"/>
      <c r="V404" s="111"/>
      <c r="W404" s="111"/>
      <c r="X404" s="123"/>
      <c r="AG404" s="185"/>
      <c r="AH404" s="185"/>
      <c r="AI404" s="222" t="str">
        <f t="shared" si="13"/>
        <v/>
      </c>
    </row>
    <row r="405" spans="1:35" s="108" customFormat="1" ht="15.75">
      <c r="A405" s="119"/>
      <c r="B405" s="120"/>
      <c r="C405" s="111"/>
      <c r="D405" s="111"/>
      <c r="E405" s="121"/>
      <c r="F405" s="121"/>
      <c r="G405" s="113"/>
      <c r="H405" s="199" t="str">
        <f t="shared" si="12"/>
        <v/>
      </c>
      <c r="I405" s="200" t="str">
        <f>IF(H405="","",IF(AND(AI405&lt;=66),VLOOKUP(H405,'WordRead Look Up'!$A$13:$B$20,2,TRUE),IF(AND(AI405&gt;=67,AI405&lt;=72),VLOOKUP(H405,'WordRead Look Up'!$E$13:$F$20,2,TRUE),IF(AND(AI405&gt;=73,AI405&lt;=78),VLOOKUP(H405,'WordRead Look Up'!$I$13:$J$18,2,TRUE),IF(AND(AI405&gt;=79),VLOOKUP(H405,'WordRead Look Up'!$M$13:$N$18,2,TRUE),"")))))</f>
        <v/>
      </c>
      <c r="J405" s="122"/>
      <c r="K405" s="111"/>
      <c r="L405" s="111"/>
      <c r="M405" s="111"/>
      <c r="N405" s="111"/>
      <c r="O405" s="111"/>
      <c r="P405" s="111"/>
      <c r="Q405" s="111"/>
      <c r="R405" s="111"/>
      <c r="S405" s="111"/>
      <c r="T405" s="111"/>
      <c r="U405" s="111"/>
      <c r="V405" s="111"/>
      <c r="W405" s="111"/>
      <c r="X405" s="123"/>
      <c r="AG405" s="185"/>
      <c r="AH405" s="185"/>
      <c r="AI405" s="222" t="str">
        <f t="shared" si="13"/>
        <v/>
      </c>
    </row>
    <row r="406" spans="1:35" s="108" customFormat="1" ht="15.75">
      <c r="A406" s="119"/>
      <c r="B406" s="120"/>
      <c r="C406" s="111"/>
      <c r="D406" s="111"/>
      <c r="E406" s="121"/>
      <c r="F406" s="121"/>
      <c r="G406" s="113"/>
      <c r="H406" s="199" t="str">
        <f t="shared" si="12"/>
        <v/>
      </c>
      <c r="I406" s="200" t="str">
        <f>IF(H406="","",IF(AND(AI406&lt;=66),VLOOKUP(H406,'WordRead Look Up'!$A$13:$B$20,2,TRUE),IF(AND(AI406&gt;=67,AI406&lt;=72),VLOOKUP(H406,'WordRead Look Up'!$E$13:$F$20,2,TRUE),IF(AND(AI406&gt;=73,AI406&lt;=78),VLOOKUP(H406,'WordRead Look Up'!$I$13:$J$18,2,TRUE),IF(AND(AI406&gt;=79),VLOOKUP(H406,'WordRead Look Up'!$M$13:$N$18,2,TRUE),"")))))</f>
        <v/>
      </c>
      <c r="J406" s="122"/>
      <c r="K406" s="111"/>
      <c r="L406" s="111"/>
      <c r="M406" s="111"/>
      <c r="N406" s="111"/>
      <c r="O406" s="111"/>
      <c r="P406" s="111"/>
      <c r="Q406" s="111"/>
      <c r="R406" s="111"/>
      <c r="S406" s="111"/>
      <c r="T406" s="111"/>
      <c r="U406" s="111"/>
      <c r="V406" s="111"/>
      <c r="W406" s="111"/>
      <c r="X406" s="123"/>
      <c r="AG406" s="185"/>
      <c r="AH406" s="185"/>
      <c r="AI406" s="222" t="str">
        <f t="shared" si="13"/>
        <v/>
      </c>
    </row>
    <row r="407" spans="1:35" s="108" customFormat="1" ht="15.75">
      <c r="A407" s="119"/>
      <c r="B407" s="120"/>
      <c r="C407" s="111"/>
      <c r="D407" s="111"/>
      <c r="E407" s="121"/>
      <c r="F407" s="121"/>
      <c r="G407" s="113"/>
      <c r="H407" s="199" t="str">
        <f t="shared" si="12"/>
        <v/>
      </c>
      <c r="I407" s="200" t="str">
        <f>IF(H407="","",IF(AND(AI407&lt;=66),VLOOKUP(H407,'WordRead Look Up'!$A$13:$B$20,2,TRUE),IF(AND(AI407&gt;=67,AI407&lt;=72),VLOOKUP(H407,'WordRead Look Up'!$E$13:$F$20,2,TRUE),IF(AND(AI407&gt;=73,AI407&lt;=78),VLOOKUP(H407,'WordRead Look Up'!$I$13:$J$18,2,TRUE),IF(AND(AI407&gt;=79),VLOOKUP(H407,'WordRead Look Up'!$M$13:$N$18,2,TRUE),"")))))</f>
        <v/>
      </c>
      <c r="J407" s="122"/>
      <c r="K407" s="111"/>
      <c r="L407" s="111"/>
      <c r="M407" s="111"/>
      <c r="N407" s="111"/>
      <c r="O407" s="111"/>
      <c r="P407" s="111"/>
      <c r="Q407" s="111"/>
      <c r="R407" s="111"/>
      <c r="S407" s="111"/>
      <c r="T407" s="111"/>
      <c r="U407" s="111"/>
      <c r="V407" s="111"/>
      <c r="W407" s="111"/>
      <c r="X407" s="123"/>
      <c r="AG407" s="185"/>
      <c r="AH407" s="185"/>
      <c r="AI407" s="222" t="str">
        <f t="shared" si="13"/>
        <v/>
      </c>
    </row>
    <row r="408" spans="1:35" s="108" customFormat="1" ht="15.75">
      <c r="A408" s="119"/>
      <c r="B408" s="120"/>
      <c r="C408" s="111"/>
      <c r="D408" s="111"/>
      <c r="E408" s="121"/>
      <c r="F408" s="121"/>
      <c r="G408" s="113"/>
      <c r="H408" s="199" t="str">
        <f t="shared" si="12"/>
        <v/>
      </c>
      <c r="I408" s="200" t="str">
        <f>IF(H408="","",IF(AND(AI408&lt;=66),VLOOKUP(H408,'WordRead Look Up'!$A$13:$B$20,2,TRUE),IF(AND(AI408&gt;=67,AI408&lt;=72),VLOOKUP(H408,'WordRead Look Up'!$E$13:$F$20,2,TRUE),IF(AND(AI408&gt;=73,AI408&lt;=78),VLOOKUP(H408,'WordRead Look Up'!$I$13:$J$18,2,TRUE),IF(AND(AI408&gt;=79),VLOOKUP(H408,'WordRead Look Up'!$M$13:$N$18,2,TRUE),"")))))</f>
        <v/>
      </c>
      <c r="J408" s="122"/>
      <c r="K408" s="111"/>
      <c r="L408" s="111"/>
      <c r="M408" s="111"/>
      <c r="N408" s="111"/>
      <c r="O408" s="111"/>
      <c r="P408" s="111"/>
      <c r="Q408" s="111"/>
      <c r="R408" s="111"/>
      <c r="S408" s="111"/>
      <c r="T408" s="111"/>
      <c r="U408" s="111"/>
      <c r="V408" s="111"/>
      <c r="W408" s="111"/>
      <c r="X408" s="123"/>
      <c r="AG408" s="185"/>
      <c r="AH408" s="185"/>
      <c r="AI408" s="222" t="str">
        <f t="shared" si="13"/>
        <v/>
      </c>
    </row>
    <row r="409" spans="1:35" s="108" customFormat="1" ht="15.75">
      <c r="A409" s="119"/>
      <c r="B409" s="120"/>
      <c r="C409" s="111"/>
      <c r="D409" s="111"/>
      <c r="E409" s="121"/>
      <c r="F409" s="121"/>
      <c r="G409" s="113"/>
      <c r="H409" s="199" t="str">
        <f t="shared" si="12"/>
        <v/>
      </c>
      <c r="I409" s="200" t="str">
        <f>IF(H409="","",IF(AND(AI409&lt;=66),VLOOKUP(H409,'WordRead Look Up'!$A$13:$B$20,2,TRUE),IF(AND(AI409&gt;=67,AI409&lt;=72),VLOOKUP(H409,'WordRead Look Up'!$E$13:$F$20,2,TRUE),IF(AND(AI409&gt;=73,AI409&lt;=78),VLOOKUP(H409,'WordRead Look Up'!$I$13:$J$18,2,TRUE),IF(AND(AI409&gt;=79),VLOOKUP(H409,'WordRead Look Up'!$M$13:$N$18,2,TRUE),"")))))</f>
        <v/>
      </c>
      <c r="J409" s="122"/>
      <c r="K409" s="111"/>
      <c r="L409" s="111"/>
      <c r="M409" s="111"/>
      <c r="N409" s="111"/>
      <c r="O409" s="111"/>
      <c r="P409" s="111"/>
      <c r="Q409" s="111"/>
      <c r="R409" s="111"/>
      <c r="S409" s="111"/>
      <c r="T409" s="111"/>
      <c r="U409" s="111"/>
      <c r="V409" s="111"/>
      <c r="W409" s="111"/>
      <c r="X409" s="123"/>
      <c r="AG409" s="185"/>
      <c r="AH409" s="185"/>
      <c r="AI409" s="222" t="str">
        <f t="shared" si="13"/>
        <v/>
      </c>
    </row>
    <row r="410" spans="1:35" s="108" customFormat="1" ht="15.75">
      <c r="A410" s="119"/>
      <c r="B410" s="120"/>
      <c r="C410" s="111"/>
      <c r="D410" s="111"/>
      <c r="E410" s="121"/>
      <c r="F410" s="121"/>
      <c r="G410" s="113"/>
      <c r="H410" s="199" t="str">
        <f t="shared" si="12"/>
        <v/>
      </c>
      <c r="I410" s="200" t="str">
        <f>IF(H410="","",IF(AND(AI410&lt;=66),VLOOKUP(H410,'WordRead Look Up'!$A$13:$B$20,2,TRUE),IF(AND(AI410&gt;=67,AI410&lt;=72),VLOOKUP(H410,'WordRead Look Up'!$E$13:$F$20,2,TRUE),IF(AND(AI410&gt;=73,AI410&lt;=78),VLOOKUP(H410,'WordRead Look Up'!$I$13:$J$18,2,TRUE),IF(AND(AI410&gt;=79),VLOOKUP(H410,'WordRead Look Up'!$M$13:$N$18,2,TRUE),"")))))</f>
        <v/>
      </c>
      <c r="J410" s="122"/>
      <c r="K410" s="111"/>
      <c r="L410" s="111"/>
      <c r="M410" s="111"/>
      <c r="N410" s="111"/>
      <c r="O410" s="111"/>
      <c r="P410" s="111"/>
      <c r="Q410" s="111"/>
      <c r="R410" s="111"/>
      <c r="S410" s="111"/>
      <c r="T410" s="111"/>
      <c r="U410" s="111"/>
      <c r="V410" s="111"/>
      <c r="W410" s="111"/>
      <c r="X410" s="123"/>
      <c r="AG410" s="185"/>
      <c r="AH410" s="185"/>
      <c r="AI410" s="222" t="str">
        <f t="shared" si="13"/>
        <v/>
      </c>
    </row>
    <row r="411" spans="1:35" s="108" customFormat="1" ht="15.75">
      <c r="A411" s="119"/>
      <c r="B411" s="120"/>
      <c r="C411" s="111"/>
      <c r="D411" s="111"/>
      <c r="E411" s="121"/>
      <c r="F411" s="121"/>
      <c r="G411" s="113"/>
      <c r="H411" s="199" t="str">
        <f t="shared" si="12"/>
        <v/>
      </c>
      <c r="I411" s="200" t="str">
        <f>IF(H411="","",IF(AND(AI411&lt;=66),VLOOKUP(H411,'WordRead Look Up'!$A$13:$B$20,2,TRUE),IF(AND(AI411&gt;=67,AI411&lt;=72),VLOOKUP(H411,'WordRead Look Up'!$E$13:$F$20,2,TRUE),IF(AND(AI411&gt;=73,AI411&lt;=78),VLOOKUP(H411,'WordRead Look Up'!$I$13:$J$18,2,TRUE),IF(AND(AI411&gt;=79),VLOOKUP(H411,'WordRead Look Up'!$M$13:$N$18,2,TRUE),"")))))</f>
        <v/>
      </c>
      <c r="J411" s="122"/>
      <c r="K411" s="111"/>
      <c r="L411" s="111"/>
      <c r="M411" s="111"/>
      <c r="N411" s="111"/>
      <c r="O411" s="111"/>
      <c r="P411" s="111"/>
      <c r="Q411" s="111"/>
      <c r="R411" s="111"/>
      <c r="S411" s="111"/>
      <c r="T411" s="111"/>
      <c r="U411" s="111"/>
      <c r="V411" s="111"/>
      <c r="W411" s="111"/>
      <c r="X411" s="123"/>
      <c r="AG411" s="185"/>
      <c r="AH411" s="185"/>
      <c r="AI411" s="222" t="str">
        <f t="shared" si="13"/>
        <v/>
      </c>
    </row>
    <row r="412" spans="1:35" s="108" customFormat="1" ht="15.75">
      <c r="A412" s="119"/>
      <c r="B412" s="120"/>
      <c r="C412" s="111"/>
      <c r="D412" s="111"/>
      <c r="E412" s="121"/>
      <c r="F412" s="121"/>
      <c r="G412" s="113"/>
      <c r="H412" s="199" t="str">
        <f t="shared" si="12"/>
        <v/>
      </c>
      <c r="I412" s="200" t="str">
        <f>IF(H412="","",IF(AND(AI412&lt;=66),VLOOKUP(H412,'WordRead Look Up'!$A$13:$B$20,2,TRUE),IF(AND(AI412&gt;=67,AI412&lt;=72),VLOOKUP(H412,'WordRead Look Up'!$E$13:$F$20,2,TRUE),IF(AND(AI412&gt;=73,AI412&lt;=78),VLOOKUP(H412,'WordRead Look Up'!$I$13:$J$18,2,TRUE),IF(AND(AI412&gt;=79),VLOOKUP(H412,'WordRead Look Up'!$M$13:$N$18,2,TRUE),"")))))</f>
        <v/>
      </c>
      <c r="J412" s="122"/>
      <c r="K412" s="111"/>
      <c r="L412" s="111"/>
      <c r="M412" s="111"/>
      <c r="N412" s="111"/>
      <c r="O412" s="111"/>
      <c r="P412" s="111"/>
      <c r="Q412" s="111"/>
      <c r="R412" s="111"/>
      <c r="S412" s="111"/>
      <c r="T412" s="111"/>
      <c r="U412" s="111"/>
      <c r="V412" s="111"/>
      <c r="W412" s="111"/>
      <c r="X412" s="123"/>
      <c r="AG412" s="185"/>
      <c r="AH412" s="185"/>
      <c r="AI412" s="222" t="str">
        <f t="shared" si="13"/>
        <v/>
      </c>
    </row>
    <row r="413" spans="1:35" s="108" customFormat="1" ht="15.75">
      <c r="A413" s="119"/>
      <c r="B413" s="120"/>
      <c r="C413" s="111"/>
      <c r="D413" s="111"/>
      <c r="E413" s="121"/>
      <c r="F413" s="121"/>
      <c r="G413" s="113"/>
      <c r="H413" s="199" t="str">
        <f t="shared" si="12"/>
        <v/>
      </c>
      <c r="I413" s="200" t="str">
        <f>IF(H413="","",IF(AND(AI413&lt;=66),VLOOKUP(H413,'WordRead Look Up'!$A$13:$B$20,2,TRUE),IF(AND(AI413&gt;=67,AI413&lt;=72),VLOOKUP(H413,'WordRead Look Up'!$E$13:$F$20,2,TRUE),IF(AND(AI413&gt;=73,AI413&lt;=78),VLOOKUP(H413,'WordRead Look Up'!$I$13:$J$18,2,TRUE),IF(AND(AI413&gt;=79),VLOOKUP(H413,'WordRead Look Up'!$M$13:$N$18,2,TRUE),"")))))</f>
        <v/>
      </c>
      <c r="J413" s="122"/>
      <c r="K413" s="111"/>
      <c r="L413" s="111"/>
      <c r="M413" s="111"/>
      <c r="N413" s="111"/>
      <c r="O413" s="111"/>
      <c r="P413" s="111"/>
      <c r="Q413" s="111"/>
      <c r="R413" s="111"/>
      <c r="S413" s="111"/>
      <c r="T413" s="111"/>
      <c r="U413" s="111"/>
      <c r="V413" s="111"/>
      <c r="W413" s="111"/>
      <c r="X413" s="123"/>
      <c r="AG413" s="185"/>
      <c r="AH413" s="185"/>
      <c r="AI413" s="222" t="str">
        <f t="shared" si="13"/>
        <v/>
      </c>
    </row>
    <row r="414" spans="1:35" s="108" customFormat="1" ht="15.75">
      <c r="A414" s="119"/>
      <c r="B414" s="120"/>
      <c r="C414" s="111"/>
      <c r="D414" s="111"/>
      <c r="E414" s="121"/>
      <c r="F414" s="121"/>
      <c r="G414" s="113"/>
      <c r="H414" s="199" t="str">
        <f t="shared" si="12"/>
        <v/>
      </c>
      <c r="I414" s="200" t="str">
        <f>IF(H414="","",IF(AND(AI414&lt;=66),VLOOKUP(H414,'WordRead Look Up'!$A$13:$B$20,2,TRUE),IF(AND(AI414&gt;=67,AI414&lt;=72),VLOOKUP(H414,'WordRead Look Up'!$E$13:$F$20,2,TRUE),IF(AND(AI414&gt;=73,AI414&lt;=78),VLOOKUP(H414,'WordRead Look Up'!$I$13:$J$18,2,TRUE),IF(AND(AI414&gt;=79),VLOOKUP(H414,'WordRead Look Up'!$M$13:$N$18,2,TRUE),"")))))</f>
        <v/>
      </c>
      <c r="J414" s="122"/>
      <c r="K414" s="111"/>
      <c r="L414" s="111"/>
      <c r="M414" s="111"/>
      <c r="N414" s="111"/>
      <c r="O414" s="111"/>
      <c r="P414" s="111"/>
      <c r="Q414" s="111"/>
      <c r="R414" s="111"/>
      <c r="S414" s="111"/>
      <c r="T414" s="111"/>
      <c r="U414" s="111"/>
      <c r="V414" s="111"/>
      <c r="W414" s="111"/>
      <c r="X414" s="123"/>
      <c r="AG414" s="185"/>
      <c r="AH414" s="185"/>
      <c r="AI414" s="222" t="str">
        <f t="shared" si="13"/>
        <v/>
      </c>
    </row>
    <row r="415" spans="1:35" s="108" customFormat="1" ht="15.75">
      <c r="A415" s="119"/>
      <c r="B415" s="120"/>
      <c r="C415" s="111"/>
      <c r="D415" s="111"/>
      <c r="E415" s="121"/>
      <c r="F415" s="121"/>
      <c r="G415" s="113"/>
      <c r="H415" s="199" t="str">
        <f t="shared" si="12"/>
        <v/>
      </c>
      <c r="I415" s="200" t="str">
        <f>IF(H415="","",IF(AND(AI415&lt;=66),VLOOKUP(H415,'WordRead Look Up'!$A$13:$B$20,2,TRUE),IF(AND(AI415&gt;=67,AI415&lt;=72),VLOOKUP(H415,'WordRead Look Up'!$E$13:$F$20,2,TRUE),IF(AND(AI415&gt;=73,AI415&lt;=78),VLOOKUP(H415,'WordRead Look Up'!$I$13:$J$18,2,TRUE),IF(AND(AI415&gt;=79),VLOOKUP(H415,'WordRead Look Up'!$M$13:$N$18,2,TRUE),"")))))</f>
        <v/>
      </c>
      <c r="J415" s="122"/>
      <c r="K415" s="111"/>
      <c r="L415" s="111"/>
      <c r="M415" s="111"/>
      <c r="N415" s="111"/>
      <c r="O415" s="111"/>
      <c r="P415" s="111"/>
      <c r="Q415" s="111"/>
      <c r="R415" s="111"/>
      <c r="S415" s="111"/>
      <c r="T415" s="111"/>
      <c r="U415" s="111"/>
      <c r="V415" s="111"/>
      <c r="W415" s="111"/>
      <c r="X415" s="123"/>
      <c r="AG415" s="185"/>
      <c r="AH415" s="185"/>
      <c r="AI415" s="222" t="str">
        <f t="shared" si="13"/>
        <v/>
      </c>
    </row>
    <row r="416" spans="1:35" s="108" customFormat="1" ht="15.75">
      <c r="A416" s="119"/>
      <c r="B416" s="120"/>
      <c r="C416" s="111"/>
      <c r="D416" s="111"/>
      <c r="E416" s="121"/>
      <c r="F416" s="121"/>
      <c r="G416" s="113"/>
      <c r="H416" s="199" t="str">
        <f t="shared" si="12"/>
        <v/>
      </c>
      <c r="I416" s="200" t="str">
        <f>IF(H416="","",IF(AND(AI416&lt;=66),VLOOKUP(H416,'WordRead Look Up'!$A$13:$B$20,2,TRUE),IF(AND(AI416&gt;=67,AI416&lt;=72),VLOOKUP(H416,'WordRead Look Up'!$E$13:$F$20,2,TRUE),IF(AND(AI416&gt;=73,AI416&lt;=78),VLOOKUP(H416,'WordRead Look Up'!$I$13:$J$18,2,TRUE),IF(AND(AI416&gt;=79),VLOOKUP(H416,'WordRead Look Up'!$M$13:$N$18,2,TRUE),"")))))</f>
        <v/>
      </c>
      <c r="J416" s="122"/>
      <c r="K416" s="111"/>
      <c r="L416" s="111"/>
      <c r="M416" s="111"/>
      <c r="N416" s="111"/>
      <c r="O416" s="111"/>
      <c r="P416" s="111"/>
      <c r="Q416" s="111"/>
      <c r="R416" s="111"/>
      <c r="S416" s="111"/>
      <c r="T416" s="111"/>
      <c r="U416" s="111"/>
      <c r="V416" s="111"/>
      <c r="W416" s="111"/>
      <c r="X416" s="123"/>
      <c r="AG416" s="185"/>
      <c r="AH416" s="185"/>
      <c r="AI416" s="222" t="str">
        <f t="shared" si="13"/>
        <v/>
      </c>
    </row>
    <row r="417" spans="1:35" s="108" customFormat="1" ht="15.75">
      <c r="A417" s="119"/>
      <c r="B417" s="120"/>
      <c r="C417" s="111"/>
      <c r="D417" s="111"/>
      <c r="E417" s="121"/>
      <c r="F417" s="121"/>
      <c r="G417" s="113"/>
      <c r="H417" s="199" t="str">
        <f t="shared" si="12"/>
        <v/>
      </c>
      <c r="I417" s="200" t="str">
        <f>IF(H417="","",IF(AND(AI417&lt;=66),VLOOKUP(H417,'WordRead Look Up'!$A$13:$B$20,2,TRUE),IF(AND(AI417&gt;=67,AI417&lt;=72),VLOOKUP(H417,'WordRead Look Up'!$E$13:$F$20,2,TRUE),IF(AND(AI417&gt;=73,AI417&lt;=78),VLOOKUP(H417,'WordRead Look Up'!$I$13:$J$18,2,TRUE),IF(AND(AI417&gt;=79),VLOOKUP(H417,'WordRead Look Up'!$M$13:$N$18,2,TRUE),"")))))</f>
        <v/>
      </c>
      <c r="J417" s="122"/>
      <c r="K417" s="111"/>
      <c r="L417" s="111"/>
      <c r="M417" s="111"/>
      <c r="N417" s="111"/>
      <c r="O417" s="111"/>
      <c r="P417" s="111"/>
      <c r="Q417" s="111"/>
      <c r="R417" s="111"/>
      <c r="S417" s="111"/>
      <c r="T417" s="111"/>
      <c r="U417" s="111"/>
      <c r="V417" s="111"/>
      <c r="W417" s="111"/>
      <c r="X417" s="123"/>
      <c r="AG417" s="185"/>
      <c r="AH417" s="185"/>
      <c r="AI417" s="222" t="str">
        <f t="shared" si="13"/>
        <v/>
      </c>
    </row>
    <row r="418" spans="1:35" s="108" customFormat="1" ht="15.75">
      <c r="A418" s="119"/>
      <c r="B418" s="120"/>
      <c r="C418" s="111"/>
      <c r="D418" s="111"/>
      <c r="E418" s="121"/>
      <c r="F418" s="121"/>
      <c r="G418" s="113"/>
      <c r="H418" s="199" t="str">
        <f t="shared" si="12"/>
        <v/>
      </c>
      <c r="I418" s="200" t="str">
        <f>IF(H418="","",IF(AND(AI418&lt;=66),VLOOKUP(H418,'WordRead Look Up'!$A$13:$B$20,2,TRUE),IF(AND(AI418&gt;=67,AI418&lt;=72),VLOOKUP(H418,'WordRead Look Up'!$E$13:$F$20,2,TRUE),IF(AND(AI418&gt;=73,AI418&lt;=78),VLOOKUP(H418,'WordRead Look Up'!$I$13:$J$18,2,TRUE),IF(AND(AI418&gt;=79),VLOOKUP(H418,'WordRead Look Up'!$M$13:$N$18,2,TRUE),"")))))</f>
        <v/>
      </c>
      <c r="J418" s="122"/>
      <c r="K418" s="111"/>
      <c r="L418" s="111"/>
      <c r="M418" s="111"/>
      <c r="N418" s="111"/>
      <c r="O418" s="111"/>
      <c r="P418" s="111"/>
      <c r="Q418" s="111"/>
      <c r="R418" s="111"/>
      <c r="S418" s="111"/>
      <c r="T418" s="111"/>
      <c r="U418" s="111"/>
      <c r="V418" s="111"/>
      <c r="W418" s="111"/>
      <c r="X418" s="123"/>
      <c r="AG418" s="185"/>
      <c r="AH418" s="185"/>
      <c r="AI418" s="222" t="str">
        <f t="shared" si="13"/>
        <v/>
      </c>
    </row>
    <row r="419" spans="1:35" s="108" customFormat="1" ht="15.75">
      <c r="A419" s="119"/>
      <c r="B419" s="120"/>
      <c r="C419" s="111"/>
      <c r="D419" s="111"/>
      <c r="E419" s="121"/>
      <c r="F419" s="121"/>
      <c r="G419" s="113"/>
      <c r="H419" s="199" t="str">
        <f t="shared" si="12"/>
        <v/>
      </c>
      <c r="I419" s="200" t="str">
        <f>IF(H419="","",IF(AND(AI419&lt;=66),VLOOKUP(H419,'WordRead Look Up'!$A$13:$B$20,2,TRUE),IF(AND(AI419&gt;=67,AI419&lt;=72),VLOOKUP(H419,'WordRead Look Up'!$E$13:$F$20,2,TRUE),IF(AND(AI419&gt;=73,AI419&lt;=78),VLOOKUP(H419,'WordRead Look Up'!$I$13:$J$18,2,TRUE),IF(AND(AI419&gt;=79),VLOOKUP(H419,'WordRead Look Up'!$M$13:$N$18,2,TRUE),"")))))</f>
        <v/>
      </c>
      <c r="J419" s="122"/>
      <c r="K419" s="111"/>
      <c r="L419" s="111"/>
      <c r="M419" s="111"/>
      <c r="N419" s="111"/>
      <c r="O419" s="111"/>
      <c r="P419" s="111"/>
      <c r="Q419" s="111"/>
      <c r="R419" s="111"/>
      <c r="S419" s="111"/>
      <c r="T419" s="111"/>
      <c r="U419" s="111"/>
      <c r="V419" s="111"/>
      <c r="W419" s="111"/>
      <c r="X419" s="123"/>
      <c r="AG419" s="185"/>
      <c r="AH419" s="185"/>
      <c r="AI419" s="222" t="str">
        <f t="shared" si="13"/>
        <v/>
      </c>
    </row>
    <row r="420" spans="1:35" s="108" customFormat="1" ht="15.75">
      <c r="A420" s="119"/>
      <c r="B420" s="120"/>
      <c r="C420" s="111"/>
      <c r="D420" s="111"/>
      <c r="E420" s="121"/>
      <c r="F420" s="121"/>
      <c r="G420" s="113"/>
      <c r="H420" s="199" t="str">
        <f t="shared" si="12"/>
        <v/>
      </c>
      <c r="I420" s="200" t="str">
        <f>IF(H420="","",IF(AND(AI420&lt;=66),VLOOKUP(H420,'WordRead Look Up'!$A$13:$B$20,2,TRUE),IF(AND(AI420&gt;=67,AI420&lt;=72),VLOOKUP(H420,'WordRead Look Up'!$E$13:$F$20,2,TRUE),IF(AND(AI420&gt;=73,AI420&lt;=78),VLOOKUP(H420,'WordRead Look Up'!$I$13:$J$18,2,TRUE),IF(AND(AI420&gt;=79),VLOOKUP(H420,'WordRead Look Up'!$M$13:$N$18,2,TRUE),"")))))</f>
        <v/>
      </c>
      <c r="J420" s="122"/>
      <c r="K420" s="111"/>
      <c r="L420" s="111"/>
      <c r="M420" s="111"/>
      <c r="N420" s="111"/>
      <c r="O420" s="111"/>
      <c r="P420" s="111"/>
      <c r="Q420" s="111"/>
      <c r="R420" s="111"/>
      <c r="S420" s="111"/>
      <c r="T420" s="111"/>
      <c r="U420" s="111"/>
      <c r="V420" s="111"/>
      <c r="W420" s="111"/>
      <c r="X420" s="123"/>
      <c r="AG420" s="185"/>
      <c r="AH420" s="185"/>
      <c r="AI420" s="222" t="str">
        <f t="shared" si="13"/>
        <v/>
      </c>
    </row>
    <row r="421" spans="1:35" s="108" customFormat="1" ht="15.75">
      <c r="A421" s="119"/>
      <c r="B421" s="120"/>
      <c r="C421" s="111"/>
      <c r="D421" s="111"/>
      <c r="E421" s="121"/>
      <c r="F421" s="121"/>
      <c r="G421" s="113"/>
      <c r="H421" s="199" t="str">
        <f t="shared" si="12"/>
        <v/>
      </c>
      <c r="I421" s="200" t="str">
        <f>IF(H421="","",IF(AND(AI421&lt;=66),VLOOKUP(H421,'WordRead Look Up'!$A$13:$B$20,2,TRUE),IF(AND(AI421&gt;=67,AI421&lt;=72),VLOOKUP(H421,'WordRead Look Up'!$E$13:$F$20,2,TRUE),IF(AND(AI421&gt;=73,AI421&lt;=78),VLOOKUP(H421,'WordRead Look Up'!$I$13:$J$18,2,TRUE),IF(AND(AI421&gt;=79),VLOOKUP(H421,'WordRead Look Up'!$M$13:$N$18,2,TRUE),"")))))</f>
        <v/>
      </c>
      <c r="J421" s="122"/>
      <c r="K421" s="111"/>
      <c r="L421" s="111"/>
      <c r="M421" s="111"/>
      <c r="N421" s="111"/>
      <c r="O421" s="111"/>
      <c r="P421" s="111"/>
      <c r="Q421" s="111"/>
      <c r="R421" s="111"/>
      <c r="S421" s="111"/>
      <c r="T421" s="111"/>
      <c r="U421" s="111"/>
      <c r="V421" s="111"/>
      <c r="W421" s="111"/>
      <c r="X421" s="123"/>
      <c r="AG421" s="185"/>
      <c r="AH421" s="185"/>
      <c r="AI421" s="222" t="str">
        <f t="shared" si="13"/>
        <v/>
      </c>
    </row>
    <row r="422" spans="1:35" s="108" customFormat="1" ht="15.75">
      <c r="A422" s="119"/>
      <c r="B422" s="120"/>
      <c r="C422" s="111"/>
      <c r="D422" s="111"/>
      <c r="E422" s="121"/>
      <c r="F422" s="121"/>
      <c r="G422" s="113"/>
      <c r="H422" s="199" t="str">
        <f t="shared" si="12"/>
        <v/>
      </c>
      <c r="I422" s="200" t="str">
        <f>IF(H422="","",IF(AND(AI422&lt;=66),VLOOKUP(H422,'WordRead Look Up'!$A$13:$B$20,2,TRUE),IF(AND(AI422&gt;=67,AI422&lt;=72),VLOOKUP(H422,'WordRead Look Up'!$E$13:$F$20,2,TRUE),IF(AND(AI422&gt;=73,AI422&lt;=78),VLOOKUP(H422,'WordRead Look Up'!$I$13:$J$18,2,TRUE),IF(AND(AI422&gt;=79),VLOOKUP(H422,'WordRead Look Up'!$M$13:$N$18,2,TRUE),"")))))</f>
        <v/>
      </c>
      <c r="J422" s="122"/>
      <c r="K422" s="111"/>
      <c r="L422" s="111"/>
      <c r="M422" s="111"/>
      <c r="N422" s="111"/>
      <c r="O422" s="111"/>
      <c r="P422" s="111"/>
      <c r="Q422" s="111"/>
      <c r="R422" s="111"/>
      <c r="S422" s="111"/>
      <c r="T422" s="111"/>
      <c r="U422" s="111"/>
      <c r="V422" s="111"/>
      <c r="W422" s="111"/>
      <c r="X422" s="123"/>
      <c r="AG422" s="185"/>
      <c r="AH422" s="185"/>
      <c r="AI422" s="222" t="str">
        <f t="shared" si="13"/>
        <v/>
      </c>
    </row>
    <row r="423" spans="1:35" s="108" customFormat="1" ht="15.75">
      <c r="A423" s="119"/>
      <c r="B423" s="120"/>
      <c r="C423" s="111"/>
      <c r="D423" s="111"/>
      <c r="E423" s="121"/>
      <c r="F423" s="121"/>
      <c r="G423" s="113"/>
      <c r="H423" s="199" t="str">
        <f t="shared" si="12"/>
        <v/>
      </c>
      <c r="I423" s="200" t="str">
        <f>IF(H423="","",IF(AND(AI423&lt;=66),VLOOKUP(H423,'WordRead Look Up'!$A$13:$B$20,2,TRUE),IF(AND(AI423&gt;=67,AI423&lt;=72),VLOOKUP(H423,'WordRead Look Up'!$E$13:$F$20,2,TRUE),IF(AND(AI423&gt;=73,AI423&lt;=78),VLOOKUP(H423,'WordRead Look Up'!$I$13:$J$18,2,TRUE),IF(AND(AI423&gt;=79),VLOOKUP(H423,'WordRead Look Up'!$M$13:$N$18,2,TRUE),"")))))</f>
        <v/>
      </c>
      <c r="J423" s="122"/>
      <c r="K423" s="111"/>
      <c r="L423" s="111"/>
      <c r="M423" s="111"/>
      <c r="N423" s="111"/>
      <c r="O423" s="111"/>
      <c r="P423" s="111"/>
      <c r="Q423" s="111"/>
      <c r="R423" s="111"/>
      <c r="S423" s="111"/>
      <c r="T423" s="111"/>
      <c r="U423" s="111"/>
      <c r="V423" s="111"/>
      <c r="W423" s="111"/>
      <c r="X423" s="123"/>
      <c r="AG423" s="185"/>
      <c r="AH423" s="185"/>
      <c r="AI423" s="222" t="str">
        <f t="shared" si="13"/>
        <v/>
      </c>
    </row>
    <row r="424" spans="1:35" s="108" customFormat="1" ht="15.75">
      <c r="A424" s="119"/>
      <c r="B424" s="120"/>
      <c r="C424" s="111"/>
      <c r="D424" s="111"/>
      <c r="E424" s="121"/>
      <c r="F424" s="121"/>
      <c r="G424" s="113"/>
      <c r="H424" s="199" t="str">
        <f t="shared" si="12"/>
        <v/>
      </c>
      <c r="I424" s="200" t="str">
        <f>IF(H424="","",IF(AND(AI424&lt;=66),VLOOKUP(H424,'WordRead Look Up'!$A$13:$B$20,2,TRUE),IF(AND(AI424&gt;=67,AI424&lt;=72),VLOOKUP(H424,'WordRead Look Up'!$E$13:$F$20,2,TRUE),IF(AND(AI424&gt;=73,AI424&lt;=78),VLOOKUP(H424,'WordRead Look Up'!$I$13:$J$18,2,TRUE),IF(AND(AI424&gt;=79),VLOOKUP(H424,'WordRead Look Up'!$M$13:$N$18,2,TRUE),"")))))</f>
        <v/>
      </c>
      <c r="J424" s="122"/>
      <c r="K424" s="111"/>
      <c r="L424" s="111"/>
      <c r="M424" s="111"/>
      <c r="N424" s="111"/>
      <c r="O424" s="111"/>
      <c r="P424" s="111"/>
      <c r="Q424" s="111"/>
      <c r="R424" s="111"/>
      <c r="S424" s="111"/>
      <c r="T424" s="111"/>
      <c r="U424" s="111"/>
      <c r="V424" s="111"/>
      <c r="W424" s="111"/>
      <c r="X424" s="123"/>
      <c r="AG424" s="185"/>
      <c r="AH424" s="185"/>
      <c r="AI424" s="222" t="str">
        <f t="shared" si="13"/>
        <v/>
      </c>
    </row>
    <row r="425" spans="1:35" s="108" customFormat="1" ht="15.75">
      <c r="A425" s="119"/>
      <c r="B425" s="120"/>
      <c r="C425" s="111"/>
      <c r="D425" s="111"/>
      <c r="E425" s="121"/>
      <c r="F425" s="121"/>
      <c r="G425" s="113"/>
      <c r="H425" s="199" t="str">
        <f t="shared" si="12"/>
        <v/>
      </c>
      <c r="I425" s="200" t="str">
        <f>IF(H425="","",IF(AND(AI425&lt;=66),VLOOKUP(H425,'WordRead Look Up'!$A$13:$B$20,2,TRUE),IF(AND(AI425&gt;=67,AI425&lt;=72),VLOOKUP(H425,'WordRead Look Up'!$E$13:$F$20,2,TRUE),IF(AND(AI425&gt;=73,AI425&lt;=78),VLOOKUP(H425,'WordRead Look Up'!$I$13:$J$18,2,TRUE),IF(AND(AI425&gt;=79),VLOOKUP(H425,'WordRead Look Up'!$M$13:$N$18,2,TRUE),"")))))</f>
        <v/>
      </c>
      <c r="J425" s="122"/>
      <c r="K425" s="111"/>
      <c r="L425" s="111"/>
      <c r="M425" s="111"/>
      <c r="N425" s="111"/>
      <c r="O425" s="111"/>
      <c r="P425" s="111"/>
      <c r="Q425" s="111"/>
      <c r="R425" s="111"/>
      <c r="S425" s="111"/>
      <c r="T425" s="111"/>
      <c r="U425" s="111"/>
      <c r="V425" s="111"/>
      <c r="W425" s="111"/>
      <c r="X425" s="123"/>
      <c r="AG425" s="185"/>
      <c r="AH425" s="185"/>
      <c r="AI425" s="222" t="str">
        <f t="shared" si="13"/>
        <v/>
      </c>
    </row>
    <row r="426" spans="1:35" s="108" customFormat="1" ht="15.75">
      <c r="A426" s="119"/>
      <c r="B426" s="120"/>
      <c r="C426" s="111"/>
      <c r="D426" s="111"/>
      <c r="E426" s="121"/>
      <c r="F426" s="121"/>
      <c r="G426" s="113"/>
      <c r="H426" s="199" t="str">
        <f t="shared" si="12"/>
        <v/>
      </c>
      <c r="I426" s="200" t="str">
        <f>IF(H426="","",IF(AND(AI426&lt;=66),VLOOKUP(H426,'WordRead Look Up'!$A$13:$B$20,2,TRUE),IF(AND(AI426&gt;=67,AI426&lt;=72),VLOOKUP(H426,'WordRead Look Up'!$E$13:$F$20,2,TRUE),IF(AND(AI426&gt;=73,AI426&lt;=78),VLOOKUP(H426,'WordRead Look Up'!$I$13:$J$18,2,TRUE),IF(AND(AI426&gt;=79),VLOOKUP(H426,'WordRead Look Up'!$M$13:$N$18,2,TRUE),"")))))</f>
        <v/>
      </c>
      <c r="J426" s="122"/>
      <c r="K426" s="111"/>
      <c r="L426" s="111"/>
      <c r="M426" s="111"/>
      <c r="N426" s="111"/>
      <c r="O426" s="111"/>
      <c r="P426" s="111"/>
      <c r="Q426" s="111"/>
      <c r="R426" s="111"/>
      <c r="S426" s="111"/>
      <c r="T426" s="111"/>
      <c r="U426" s="111"/>
      <c r="V426" s="111"/>
      <c r="W426" s="111"/>
      <c r="X426" s="123"/>
      <c r="AG426" s="185"/>
      <c r="AH426" s="185"/>
      <c r="AI426" s="222" t="str">
        <f t="shared" si="13"/>
        <v/>
      </c>
    </row>
    <row r="427" spans="1:35" s="108" customFormat="1" ht="15.75">
      <c r="A427" s="119"/>
      <c r="B427" s="120"/>
      <c r="C427" s="111"/>
      <c r="D427" s="111"/>
      <c r="E427" s="121"/>
      <c r="F427" s="121"/>
      <c r="G427" s="113"/>
      <c r="H427" s="199" t="str">
        <f t="shared" si="12"/>
        <v/>
      </c>
      <c r="I427" s="200" t="str">
        <f>IF(H427="","",IF(AND(AI427&lt;=66),VLOOKUP(H427,'WordRead Look Up'!$A$13:$B$20,2,TRUE),IF(AND(AI427&gt;=67,AI427&lt;=72),VLOOKUP(H427,'WordRead Look Up'!$E$13:$F$20,2,TRUE),IF(AND(AI427&gt;=73,AI427&lt;=78),VLOOKUP(H427,'WordRead Look Up'!$I$13:$J$18,2,TRUE),IF(AND(AI427&gt;=79),VLOOKUP(H427,'WordRead Look Up'!$M$13:$N$18,2,TRUE),"")))))</f>
        <v/>
      </c>
      <c r="J427" s="122"/>
      <c r="K427" s="111"/>
      <c r="L427" s="111"/>
      <c r="M427" s="111"/>
      <c r="N427" s="111"/>
      <c r="O427" s="111"/>
      <c r="P427" s="111"/>
      <c r="Q427" s="111"/>
      <c r="R427" s="111"/>
      <c r="S427" s="111"/>
      <c r="T427" s="111"/>
      <c r="U427" s="111"/>
      <c r="V427" s="111"/>
      <c r="W427" s="111"/>
      <c r="X427" s="123"/>
      <c r="AG427" s="185"/>
      <c r="AH427" s="185"/>
      <c r="AI427" s="222" t="str">
        <f t="shared" si="13"/>
        <v/>
      </c>
    </row>
    <row r="428" spans="1:35" s="108" customFormat="1" ht="15.75">
      <c r="A428" s="119"/>
      <c r="B428" s="120"/>
      <c r="C428" s="111"/>
      <c r="D428" s="111"/>
      <c r="E428" s="121"/>
      <c r="F428" s="121"/>
      <c r="G428" s="113"/>
      <c r="H428" s="199" t="str">
        <f t="shared" si="12"/>
        <v/>
      </c>
      <c r="I428" s="200" t="str">
        <f>IF(H428="","",IF(AND(AI428&lt;=66),VLOOKUP(H428,'WordRead Look Up'!$A$13:$B$20,2,TRUE),IF(AND(AI428&gt;=67,AI428&lt;=72),VLOOKUP(H428,'WordRead Look Up'!$E$13:$F$20,2,TRUE),IF(AND(AI428&gt;=73,AI428&lt;=78),VLOOKUP(H428,'WordRead Look Up'!$I$13:$J$18,2,TRUE),IF(AND(AI428&gt;=79),VLOOKUP(H428,'WordRead Look Up'!$M$13:$N$18,2,TRUE),"")))))</f>
        <v/>
      </c>
      <c r="J428" s="122"/>
      <c r="K428" s="111"/>
      <c r="L428" s="111"/>
      <c r="M428" s="111"/>
      <c r="N428" s="111"/>
      <c r="O428" s="111"/>
      <c r="P428" s="111"/>
      <c r="Q428" s="111"/>
      <c r="R428" s="111"/>
      <c r="S428" s="111"/>
      <c r="T428" s="111"/>
      <c r="U428" s="111"/>
      <c r="V428" s="111"/>
      <c r="W428" s="111"/>
      <c r="X428" s="123"/>
      <c r="AG428" s="185"/>
      <c r="AH428" s="185"/>
      <c r="AI428" s="222" t="str">
        <f t="shared" si="13"/>
        <v/>
      </c>
    </row>
    <row r="429" spans="1:35" s="108" customFormat="1" ht="15.75">
      <c r="A429" s="119"/>
      <c r="B429" s="120"/>
      <c r="C429" s="111"/>
      <c r="D429" s="111"/>
      <c r="E429" s="121"/>
      <c r="F429" s="121"/>
      <c r="G429" s="113"/>
      <c r="H429" s="199" t="str">
        <f t="shared" si="12"/>
        <v/>
      </c>
      <c r="I429" s="200" t="str">
        <f>IF(H429="","",IF(AND(AI429&lt;=66),VLOOKUP(H429,'WordRead Look Up'!$A$13:$B$20,2,TRUE),IF(AND(AI429&gt;=67,AI429&lt;=72),VLOOKUP(H429,'WordRead Look Up'!$E$13:$F$20,2,TRUE),IF(AND(AI429&gt;=73,AI429&lt;=78),VLOOKUP(H429,'WordRead Look Up'!$I$13:$J$18,2,TRUE),IF(AND(AI429&gt;=79),VLOOKUP(H429,'WordRead Look Up'!$M$13:$N$18,2,TRUE),"")))))</f>
        <v/>
      </c>
      <c r="J429" s="122"/>
      <c r="K429" s="111"/>
      <c r="L429" s="111"/>
      <c r="M429" s="111"/>
      <c r="N429" s="111"/>
      <c r="O429" s="111"/>
      <c r="P429" s="111"/>
      <c r="Q429" s="111"/>
      <c r="R429" s="111"/>
      <c r="S429" s="111"/>
      <c r="T429" s="111"/>
      <c r="U429" s="111"/>
      <c r="V429" s="111"/>
      <c r="W429" s="111"/>
      <c r="X429" s="123"/>
      <c r="AG429" s="185"/>
      <c r="AH429" s="185"/>
      <c r="AI429" s="222" t="str">
        <f t="shared" si="13"/>
        <v/>
      </c>
    </row>
    <row r="430" spans="1:35" s="108" customFormat="1" ht="15.75">
      <c r="A430" s="119"/>
      <c r="B430" s="120"/>
      <c r="C430" s="111"/>
      <c r="D430" s="111"/>
      <c r="E430" s="121"/>
      <c r="F430" s="121"/>
      <c r="G430" s="113"/>
      <c r="H430" s="199" t="str">
        <f t="shared" si="12"/>
        <v/>
      </c>
      <c r="I430" s="200" t="str">
        <f>IF(H430="","",IF(AND(AI430&lt;=66),VLOOKUP(H430,'WordRead Look Up'!$A$13:$B$20,2,TRUE),IF(AND(AI430&gt;=67,AI430&lt;=72),VLOOKUP(H430,'WordRead Look Up'!$E$13:$F$20,2,TRUE),IF(AND(AI430&gt;=73,AI430&lt;=78),VLOOKUP(H430,'WordRead Look Up'!$I$13:$J$18,2,TRUE),IF(AND(AI430&gt;=79),VLOOKUP(H430,'WordRead Look Up'!$M$13:$N$18,2,TRUE),"")))))</f>
        <v/>
      </c>
      <c r="J430" s="122"/>
      <c r="K430" s="111"/>
      <c r="L430" s="111"/>
      <c r="M430" s="111"/>
      <c r="N430" s="111"/>
      <c r="O430" s="111"/>
      <c r="P430" s="111"/>
      <c r="Q430" s="111"/>
      <c r="R430" s="111"/>
      <c r="S430" s="111"/>
      <c r="T430" s="111"/>
      <c r="U430" s="111"/>
      <c r="V430" s="111"/>
      <c r="W430" s="111"/>
      <c r="X430" s="123"/>
      <c r="AG430" s="185"/>
      <c r="AH430" s="185"/>
      <c r="AI430" s="222" t="str">
        <f t="shared" si="13"/>
        <v/>
      </c>
    </row>
    <row r="431" spans="1:35" s="108" customFormat="1" ht="15.75">
      <c r="A431" s="119"/>
      <c r="B431" s="120"/>
      <c r="C431" s="111"/>
      <c r="D431" s="111"/>
      <c r="E431" s="121"/>
      <c r="F431" s="121"/>
      <c r="G431" s="113"/>
      <c r="H431" s="199" t="str">
        <f t="shared" si="12"/>
        <v/>
      </c>
      <c r="I431" s="200" t="str">
        <f>IF(H431="","",IF(AND(AI431&lt;=66),VLOOKUP(H431,'WordRead Look Up'!$A$13:$B$20,2,TRUE),IF(AND(AI431&gt;=67,AI431&lt;=72),VLOOKUP(H431,'WordRead Look Up'!$E$13:$F$20,2,TRUE),IF(AND(AI431&gt;=73,AI431&lt;=78),VLOOKUP(H431,'WordRead Look Up'!$I$13:$J$18,2,TRUE),IF(AND(AI431&gt;=79),VLOOKUP(H431,'WordRead Look Up'!$M$13:$N$18,2,TRUE),"")))))</f>
        <v/>
      </c>
      <c r="J431" s="122"/>
      <c r="K431" s="111"/>
      <c r="L431" s="111"/>
      <c r="M431" s="111"/>
      <c r="N431" s="111"/>
      <c r="O431" s="111"/>
      <c r="P431" s="111"/>
      <c r="Q431" s="111"/>
      <c r="R431" s="111"/>
      <c r="S431" s="111"/>
      <c r="T431" s="111"/>
      <c r="U431" s="111"/>
      <c r="V431" s="111"/>
      <c r="W431" s="111"/>
      <c r="X431" s="123"/>
      <c r="AG431" s="185"/>
      <c r="AH431" s="185"/>
      <c r="AI431" s="222" t="str">
        <f t="shared" si="13"/>
        <v/>
      </c>
    </row>
    <row r="432" spans="1:35" s="108" customFormat="1" ht="15.75">
      <c r="A432" s="119"/>
      <c r="B432" s="120"/>
      <c r="C432" s="111"/>
      <c r="D432" s="111"/>
      <c r="E432" s="121"/>
      <c r="F432" s="121"/>
      <c r="G432" s="113"/>
      <c r="H432" s="199" t="str">
        <f t="shared" si="12"/>
        <v/>
      </c>
      <c r="I432" s="200" t="str">
        <f>IF(H432="","",IF(AND(AI432&lt;=66),VLOOKUP(H432,'WordRead Look Up'!$A$13:$B$20,2,TRUE),IF(AND(AI432&gt;=67,AI432&lt;=72),VLOOKUP(H432,'WordRead Look Up'!$E$13:$F$20,2,TRUE),IF(AND(AI432&gt;=73,AI432&lt;=78),VLOOKUP(H432,'WordRead Look Up'!$I$13:$J$18,2,TRUE),IF(AND(AI432&gt;=79),VLOOKUP(H432,'WordRead Look Up'!$M$13:$N$18,2,TRUE),"")))))</f>
        <v/>
      </c>
      <c r="J432" s="122"/>
      <c r="K432" s="111"/>
      <c r="L432" s="111"/>
      <c r="M432" s="111"/>
      <c r="N432" s="111"/>
      <c r="O432" s="111"/>
      <c r="P432" s="111"/>
      <c r="Q432" s="111"/>
      <c r="R432" s="111"/>
      <c r="S432" s="111"/>
      <c r="T432" s="111"/>
      <c r="U432" s="111"/>
      <c r="V432" s="111"/>
      <c r="W432" s="111"/>
      <c r="X432" s="123"/>
      <c r="AG432" s="185"/>
      <c r="AH432" s="185"/>
      <c r="AI432" s="222" t="str">
        <f t="shared" si="13"/>
        <v/>
      </c>
    </row>
    <row r="433" spans="1:35" s="108" customFormat="1" ht="15.75">
      <c r="A433" s="119"/>
      <c r="B433" s="120"/>
      <c r="C433" s="111"/>
      <c r="D433" s="111"/>
      <c r="E433" s="121"/>
      <c r="F433" s="121"/>
      <c r="G433" s="113"/>
      <c r="H433" s="199" t="str">
        <f t="shared" si="12"/>
        <v/>
      </c>
      <c r="I433" s="200" t="str">
        <f>IF(H433="","",IF(AND(AI433&lt;=66),VLOOKUP(H433,'WordRead Look Up'!$A$13:$B$20,2,TRUE),IF(AND(AI433&gt;=67,AI433&lt;=72),VLOOKUP(H433,'WordRead Look Up'!$E$13:$F$20,2,TRUE),IF(AND(AI433&gt;=73,AI433&lt;=78),VLOOKUP(H433,'WordRead Look Up'!$I$13:$J$18,2,TRUE),IF(AND(AI433&gt;=79),VLOOKUP(H433,'WordRead Look Up'!$M$13:$N$18,2,TRUE),"")))))</f>
        <v/>
      </c>
      <c r="J433" s="122"/>
      <c r="K433" s="111"/>
      <c r="L433" s="111"/>
      <c r="M433" s="111"/>
      <c r="N433" s="111"/>
      <c r="O433" s="111"/>
      <c r="P433" s="111"/>
      <c r="Q433" s="111"/>
      <c r="R433" s="111"/>
      <c r="S433" s="111"/>
      <c r="T433" s="111"/>
      <c r="U433" s="111"/>
      <c r="V433" s="111"/>
      <c r="W433" s="111"/>
      <c r="X433" s="123"/>
      <c r="AG433" s="185"/>
      <c r="AH433" s="185"/>
      <c r="AI433" s="222" t="str">
        <f t="shared" si="13"/>
        <v/>
      </c>
    </row>
    <row r="434" spans="1:35" s="108" customFormat="1" ht="15.75">
      <c r="A434" s="119"/>
      <c r="B434" s="120"/>
      <c r="C434" s="111"/>
      <c r="D434" s="111"/>
      <c r="E434" s="121"/>
      <c r="F434" s="121"/>
      <c r="G434" s="113"/>
      <c r="H434" s="199" t="str">
        <f t="shared" si="12"/>
        <v/>
      </c>
      <c r="I434" s="200" t="str">
        <f>IF(H434="","",IF(AND(AI434&lt;=66),VLOOKUP(H434,'WordRead Look Up'!$A$13:$B$20,2,TRUE),IF(AND(AI434&gt;=67,AI434&lt;=72),VLOOKUP(H434,'WordRead Look Up'!$E$13:$F$20,2,TRUE),IF(AND(AI434&gt;=73,AI434&lt;=78),VLOOKUP(H434,'WordRead Look Up'!$I$13:$J$18,2,TRUE),IF(AND(AI434&gt;=79),VLOOKUP(H434,'WordRead Look Up'!$M$13:$N$18,2,TRUE),"")))))</f>
        <v/>
      </c>
      <c r="J434" s="122"/>
      <c r="K434" s="111"/>
      <c r="L434" s="111"/>
      <c r="M434" s="111"/>
      <c r="N434" s="111"/>
      <c r="O434" s="111"/>
      <c r="P434" s="111"/>
      <c r="Q434" s="111"/>
      <c r="R434" s="111"/>
      <c r="S434" s="111"/>
      <c r="T434" s="111"/>
      <c r="U434" s="111"/>
      <c r="V434" s="111"/>
      <c r="W434" s="111"/>
      <c r="X434" s="123"/>
      <c r="AG434" s="185"/>
      <c r="AH434" s="185"/>
      <c r="AI434" s="222" t="str">
        <f t="shared" si="13"/>
        <v/>
      </c>
    </row>
    <row r="435" spans="1:35" s="108" customFormat="1" ht="15.75">
      <c r="A435" s="119"/>
      <c r="B435" s="120"/>
      <c r="C435" s="111"/>
      <c r="D435" s="111"/>
      <c r="E435" s="121"/>
      <c r="F435" s="121"/>
      <c r="G435" s="113"/>
      <c r="H435" s="199" t="str">
        <f t="shared" si="12"/>
        <v/>
      </c>
      <c r="I435" s="200" t="str">
        <f>IF(H435="","",IF(AND(AI435&lt;=66),VLOOKUP(H435,'WordRead Look Up'!$A$13:$B$20,2,TRUE),IF(AND(AI435&gt;=67,AI435&lt;=72),VLOOKUP(H435,'WordRead Look Up'!$E$13:$F$20,2,TRUE),IF(AND(AI435&gt;=73,AI435&lt;=78),VLOOKUP(H435,'WordRead Look Up'!$I$13:$J$18,2,TRUE),IF(AND(AI435&gt;=79),VLOOKUP(H435,'WordRead Look Up'!$M$13:$N$18,2,TRUE),"")))))</f>
        <v/>
      </c>
      <c r="J435" s="122"/>
      <c r="K435" s="111"/>
      <c r="L435" s="111"/>
      <c r="M435" s="111"/>
      <c r="N435" s="111"/>
      <c r="O435" s="111"/>
      <c r="P435" s="111"/>
      <c r="Q435" s="111"/>
      <c r="R435" s="111"/>
      <c r="S435" s="111"/>
      <c r="T435" s="111"/>
      <c r="U435" s="111"/>
      <c r="V435" s="111"/>
      <c r="W435" s="111"/>
      <c r="X435" s="123"/>
      <c r="AG435" s="185"/>
      <c r="AH435" s="185"/>
      <c r="AI435" s="222" t="str">
        <f t="shared" si="13"/>
        <v/>
      </c>
    </row>
    <row r="436" spans="1:35" s="108" customFormat="1" ht="15.75">
      <c r="A436" s="119"/>
      <c r="B436" s="120"/>
      <c r="C436" s="111"/>
      <c r="D436" s="111"/>
      <c r="E436" s="121"/>
      <c r="F436" s="121"/>
      <c r="G436" s="113"/>
      <c r="H436" s="199" t="str">
        <f t="shared" si="12"/>
        <v/>
      </c>
      <c r="I436" s="200" t="str">
        <f>IF(H436="","",IF(AND(AI436&lt;=66),VLOOKUP(H436,'WordRead Look Up'!$A$13:$B$20,2,TRUE),IF(AND(AI436&gt;=67,AI436&lt;=72),VLOOKUP(H436,'WordRead Look Up'!$E$13:$F$20,2,TRUE),IF(AND(AI436&gt;=73,AI436&lt;=78),VLOOKUP(H436,'WordRead Look Up'!$I$13:$J$18,2,TRUE),IF(AND(AI436&gt;=79),VLOOKUP(H436,'WordRead Look Up'!$M$13:$N$18,2,TRUE),"")))))</f>
        <v/>
      </c>
      <c r="J436" s="122"/>
      <c r="K436" s="111"/>
      <c r="L436" s="111"/>
      <c r="M436" s="111"/>
      <c r="N436" s="111"/>
      <c r="O436" s="111"/>
      <c r="P436" s="111"/>
      <c r="Q436" s="111"/>
      <c r="R436" s="111"/>
      <c r="S436" s="111"/>
      <c r="T436" s="111"/>
      <c r="U436" s="111"/>
      <c r="V436" s="111"/>
      <c r="W436" s="111"/>
      <c r="X436" s="123"/>
      <c r="AG436" s="185"/>
      <c r="AH436" s="185"/>
      <c r="AI436" s="222" t="str">
        <f t="shared" si="13"/>
        <v/>
      </c>
    </row>
    <row r="437" spans="1:35" s="108" customFormat="1" ht="15.75">
      <c r="A437" s="119"/>
      <c r="B437" s="120"/>
      <c r="C437" s="111"/>
      <c r="D437" s="111"/>
      <c r="E437" s="121"/>
      <c r="F437" s="121"/>
      <c r="G437" s="113"/>
      <c r="H437" s="199" t="str">
        <f t="shared" si="12"/>
        <v/>
      </c>
      <c r="I437" s="200" t="str">
        <f>IF(H437="","",IF(AND(AI437&lt;=66),VLOOKUP(H437,'WordRead Look Up'!$A$13:$B$20,2,TRUE),IF(AND(AI437&gt;=67,AI437&lt;=72),VLOOKUP(H437,'WordRead Look Up'!$E$13:$F$20,2,TRUE),IF(AND(AI437&gt;=73,AI437&lt;=78),VLOOKUP(H437,'WordRead Look Up'!$I$13:$J$18,2,TRUE),IF(AND(AI437&gt;=79),VLOOKUP(H437,'WordRead Look Up'!$M$13:$N$18,2,TRUE),"")))))</f>
        <v/>
      </c>
      <c r="J437" s="122"/>
      <c r="K437" s="111"/>
      <c r="L437" s="111"/>
      <c r="M437" s="111"/>
      <c r="N437" s="111"/>
      <c r="O437" s="111"/>
      <c r="P437" s="111"/>
      <c r="Q437" s="111"/>
      <c r="R437" s="111"/>
      <c r="S437" s="111"/>
      <c r="T437" s="111"/>
      <c r="U437" s="111"/>
      <c r="V437" s="111"/>
      <c r="W437" s="111"/>
      <c r="X437" s="123"/>
      <c r="AG437" s="185"/>
      <c r="AH437" s="185"/>
      <c r="AI437" s="222" t="str">
        <f t="shared" si="13"/>
        <v/>
      </c>
    </row>
    <row r="438" spans="1:35" s="108" customFormat="1" ht="15.75">
      <c r="A438" s="119"/>
      <c r="B438" s="120"/>
      <c r="C438" s="111"/>
      <c r="D438" s="111"/>
      <c r="E438" s="121"/>
      <c r="F438" s="121"/>
      <c r="G438" s="113"/>
      <c r="H438" s="199" t="str">
        <f t="shared" si="12"/>
        <v/>
      </c>
      <c r="I438" s="200" t="str">
        <f>IF(H438="","",IF(AND(AI438&lt;=66),VLOOKUP(H438,'WordRead Look Up'!$A$13:$B$20,2,TRUE),IF(AND(AI438&gt;=67,AI438&lt;=72),VLOOKUP(H438,'WordRead Look Up'!$E$13:$F$20,2,TRUE),IF(AND(AI438&gt;=73,AI438&lt;=78),VLOOKUP(H438,'WordRead Look Up'!$I$13:$J$18,2,TRUE),IF(AND(AI438&gt;=79),VLOOKUP(H438,'WordRead Look Up'!$M$13:$N$18,2,TRUE),"")))))</f>
        <v/>
      </c>
      <c r="J438" s="122"/>
      <c r="K438" s="111"/>
      <c r="L438" s="111"/>
      <c r="M438" s="111"/>
      <c r="N438" s="111"/>
      <c r="O438" s="111"/>
      <c r="P438" s="111"/>
      <c r="Q438" s="111"/>
      <c r="R438" s="111"/>
      <c r="S438" s="111"/>
      <c r="T438" s="111"/>
      <c r="U438" s="111"/>
      <c r="V438" s="111"/>
      <c r="W438" s="111"/>
      <c r="X438" s="123"/>
      <c r="AG438" s="185"/>
      <c r="AH438" s="185"/>
      <c r="AI438" s="222" t="str">
        <f t="shared" si="13"/>
        <v/>
      </c>
    </row>
    <row r="439" spans="1:35" s="108" customFormat="1" ht="15.75">
      <c r="A439" s="119"/>
      <c r="B439" s="120"/>
      <c r="C439" s="111"/>
      <c r="D439" s="111"/>
      <c r="E439" s="121"/>
      <c r="F439" s="121"/>
      <c r="G439" s="113"/>
      <c r="H439" s="199" t="str">
        <f t="shared" si="12"/>
        <v/>
      </c>
      <c r="I439" s="200" t="str">
        <f>IF(H439="","",IF(AND(AI439&lt;=66),VLOOKUP(H439,'WordRead Look Up'!$A$13:$B$20,2,TRUE),IF(AND(AI439&gt;=67,AI439&lt;=72),VLOOKUP(H439,'WordRead Look Up'!$E$13:$F$20,2,TRUE),IF(AND(AI439&gt;=73,AI439&lt;=78),VLOOKUP(H439,'WordRead Look Up'!$I$13:$J$18,2,TRUE),IF(AND(AI439&gt;=79),VLOOKUP(H439,'WordRead Look Up'!$M$13:$N$18,2,TRUE),"")))))</f>
        <v/>
      </c>
      <c r="J439" s="122"/>
      <c r="K439" s="111"/>
      <c r="L439" s="111"/>
      <c r="M439" s="111"/>
      <c r="N439" s="111"/>
      <c r="O439" s="111"/>
      <c r="P439" s="111"/>
      <c r="Q439" s="111"/>
      <c r="R439" s="111"/>
      <c r="S439" s="111"/>
      <c r="T439" s="111"/>
      <c r="U439" s="111"/>
      <c r="V439" s="111"/>
      <c r="W439" s="111"/>
      <c r="X439" s="123"/>
      <c r="AG439" s="185"/>
      <c r="AH439" s="185"/>
      <c r="AI439" s="222" t="str">
        <f t="shared" si="13"/>
        <v/>
      </c>
    </row>
    <row r="440" spans="1:35" s="108" customFormat="1" ht="15.75">
      <c r="A440" s="119"/>
      <c r="B440" s="120"/>
      <c r="C440" s="111"/>
      <c r="D440" s="111"/>
      <c r="E440" s="121"/>
      <c r="F440" s="121"/>
      <c r="G440" s="113"/>
      <c r="H440" s="199" t="str">
        <f t="shared" si="12"/>
        <v/>
      </c>
      <c r="I440" s="200" t="str">
        <f>IF(H440="","",IF(AND(AI440&lt;=66),VLOOKUP(H440,'WordRead Look Up'!$A$13:$B$20,2,TRUE),IF(AND(AI440&gt;=67,AI440&lt;=72),VLOOKUP(H440,'WordRead Look Up'!$E$13:$F$20,2,TRUE),IF(AND(AI440&gt;=73,AI440&lt;=78),VLOOKUP(H440,'WordRead Look Up'!$I$13:$J$18,2,TRUE),IF(AND(AI440&gt;=79),VLOOKUP(H440,'WordRead Look Up'!$M$13:$N$18,2,TRUE),"")))))</f>
        <v/>
      </c>
      <c r="J440" s="122"/>
      <c r="K440" s="111"/>
      <c r="L440" s="111"/>
      <c r="M440" s="111"/>
      <c r="N440" s="111"/>
      <c r="O440" s="111"/>
      <c r="P440" s="111"/>
      <c r="Q440" s="111"/>
      <c r="R440" s="111"/>
      <c r="S440" s="111"/>
      <c r="T440" s="111"/>
      <c r="U440" s="111"/>
      <c r="V440" s="111"/>
      <c r="W440" s="111"/>
      <c r="X440" s="123"/>
      <c r="AG440" s="185"/>
      <c r="AH440" s="185"/>
      <c r="AI440" s="222" t="str">
        <f t="shared" si="13"/>
        <v/>
      </c>
    </row>
    <row r="441" spans="1:35" s="108" customFormat="1" ht="15.75">
      <c r="A441" s="119"/>
      <c r="B441" s="120"/>
      <c r="C441" s="111"/>
      <c r="D441" s="111"/>
      <c r="E441" s="121"/>
      <c r="F441" s="121"/>
      <c r="G441" s="113"/>
      <c r="H441" s="199" t="str">
        <f t="shared" si="12"/>
        <v/>
      </c>
      <c r="I441" s="200" t="str">
        <f>IF(H441="","",IF(AND(AI441&lt;=66),VLOOKUP(H441,'WordRead Look Up'!$A$13:$B$20,2,TRUE),IF(AND(AI441&gt;=67,AI441&lt;=72),VLOOKUP(H441,'WordRead Look Up'!$E$13:$F$20,2,TRUE),IF(AND(AI441&gt;=73,AI441&lt;=78),VLOOKUP(H441,'WordRead Look Up'!$I$13:$J$18,2,TRUE),IF(AND(AI441&gt;=79),VLOOKUP(H441,'WordRead Look Up'!$M$13:$N$18,2,TRUE),"")))))</f>
        <v/>
      </c>
      <c r="J441" s="122"/>
      <c r="K441" s="111"/>
      <c r="L441" s="111"/>
      <c r="M441" s="111"/>
      <c r="N441" s="111"/>
      <c r="O441" s="111"/>
      <c r="P441" s="111"/>
      <c r="Q441" s="111"/>
      <c r="R441" s="111"/>
      <c r="S441" s="111"/>
      <c r="T441" s="111"/>
      <c r="U441" s="111"/>
      <c r="V441" s="111"/>
      <c r="W441" s="111"/>
      <c r="X441" s="123"/>
      <c r="AG441" s="185"/>
      <c r="AH441" s="185"/>
      <c r="AI441" s="222" t="str">
        <f t="shared" si="13"/>
        <v/>
      </c>
    </row>
    <row r="442" spans="1:35" s="108" customFormat="1" ht="15.75">
      <c r="A442" s="119"/>
      <c r="B442" s="120"/>
      <c r="C442" s="111"/>
      <c r="D442" s="111"/>
      <c r="E442" s="121"/>
      <c r="F442" s="121"/>
      <c r="G442" s="113"/>
      <c r="H442" s="199" t="str">
        <f t="shared" si="12"/>
        <v/>
      </c>
      <c r="I442" s="200" t="str">
        <f>IF(H442="","",IF(AND(AI442&lt;=66),VLOOKUP(H442,'WordRead Look Up'!$A$13:$B$20,2,TRUE),IF(AND(AI442&gt;=67,AI442&lt;=72),VLOOKUP(H442,'WordRead Look Up'!$E$13:$F$20,2,TRUE),IF(AND(AI442&gt;=73,AI442&lt;=78),VLOOKUP(H442,'WordRead Look Up'!$I$13:$J$18,2,TRUE),IF(AND(AI442&gt;=79),VLOOKUP(H442,'WordRead Look Up'!$M$13:$N$18,2,TRUE),"")))))</f>
        <v/>
      </c>
      <c r="J442" s="122"/>
      <c r="K442" s="111"/>
      <c r="L442" s="111"/>
      <c r="M442" s="111"/>
      <c r="N442" s="111"/>
      <c r="O442" s="111"/>
      <c r="P442" s="111"/>
      <c r="Q442" s="111"/>
      <c r="R442" s="111"/>
      <c r="S442" s="111"/>
      <c r="T442" s="111"/>
      <c r="U442" s="111"/>
      <c r="V442" s="111"/>
      <c r="W442" s="111"/>
      <c r="X442" s="123"/>
      <c r="AG442" s="185"/>
      <c r="AH442" s="185"/>
      <c r="AI442" s="222" t="str">
        <f t="shared" si="13"/>
        <v/>
      </c>
    </row>
    <row r="443" spans="1:35" s="108" customFormat="1" ht="15.75">
      <c r="A443" s="119"/>
      <c r="B443" s="120"/>
      <c r="C443" s="111"/>
      <c r="D443" s="111"/>
      <c r="E443" s="121"/>
      <c r="F443" s="121"/>
      <c r="G443" s="113"/>
      <c r="H443" s="199" t="str">
        <f t="shared" si="12"/>
        <v/>
      </c>
      <c r="I443" s="200" t="str">
        <f>IF(H443="","",IF(AND(AI443&lt;=66),VLOOKUP(H443,'WordRead Look Up'!$A$13:$B$20,2,TRUE),IF(AND(AI443&gt;=67,AI443&lt;=72),VLOOKUP(H443,'WordRead Look Up'!$E$13:$F$20,2,TRUE),IF(AND(AI443&gt;=73,AI443&lt;=78),VLOOKUP(H443,'WordRead Look Up'!$I$13:$J$18,2,TRUE),IF(AND(AI443&gt;=79),VLOOKUP(H443,'WordRead Look Up'!$M$13:$N$18,2,TRUE),"")))))</f>
        <v/>
      </c>
      <c r="J443" s="122"/>
      <c r="K443" s="111"/>
      <c r="L443" s="111"/>
      <c r="M443" s="111"/>
      <c r="N443" s="111"/>
      <c r="O443" s="111"/>
      <c r="P443" s="111"/>
      <c r="Q443" s="111"/>
      <c r="R443" s="111"/>
      <c r="S443" s="111"/>
      <c r="T443" s="111"/>
      <c r="U443" s="111"/>
      <c r="V443" s="111"/>
      <c r="W443" s="111"/>
      <c r="X443" s="123"/>
      <c r="AG443" s="185"/>
      <c r="AH443" s="185"/>
      <c r="AI443" s="222" t="str">
        <f t="shared" si="13"/>
        <v/>
      </c>
    </row>
    <row r="444" spans="1:35" s="108" customFormat="1" ht="15.75">
      <c r="A444" s="119"/>
      <c r="B444" s="120"/>
      <c r="C444" s="111"/>
      <c r="D444" s="111"/>
      <c r="E444" s="121"/>
      <c r="F444" s="121"/>
      <c r="G444" s="113"/>
      <c r="H444" s="199" t="str">
        <f t="shared" si="12"/>
        <v/>
      </c>
      <c r="I444" s="200" t="str">
        <f>IF(H444="","",IF(AND(AI444&lt;=66),VLOOKUP(H444,'WordRead Look Up'!$A$13:$B$20,2,TRUE),IF(AND(AI444&gt;=67,AI444&lt;=72),VLOOKUP(H444,'WordRead Look Up'!$E$13:$F$20,2,TRUE),IF(AND(AI444&gt;=73,AI444&lt;=78),VLOOKUP(H444,'WordRead Look Up'!$I$13:$J$18,2,TRUE),IF(AND(AI444&gt;=79),VLOOKUP(H444,'WordRead Look Up'!$M$13:$N$18,2,TRUE),"")))))</f>
        <v/>
      </c>
      <c r="J444" s="122"/>
      <c r="K444" s="111"/>
      <c r="L444" s="111"/>
      <c r="M444" s="111"/>
      <c r="N444" s="111"/>
      <c r="O444" s="111"/>
      <c r="P444" s="111"/>
      <c r="Q444" s="111"/>
      <c r="R444" s="111"/>
      <c r="S444" s="111"/>
      <c r="T444" s="111"/>
      <c r="U444" s="111"/>
      <c r="V444" s="111"/>
      <c r="W444" s="111"/>
      <c r="X444" s="123"/>
      <c r="AG444" s="185"/>
      <c r="AH444" s="185"/>
      <c r="AI444" s="222" t="str">
        <f t="shared" si="13"/>
        <v/>
      </c>
    </row>
    <row r="445" spans="1:35" s="108" customFormat="1" ht="15.75">
      <c r="A445" s="119"/>
      <c r="B445" s="120"/>
      <c r="C445" s="111"/>
      <c r="D445" s="111"/>
      <c r="E445" s="121"/>
      <c r="F445" s="121"/>
      <c r="G445" s="113"/>
      <c r="H445" s="199" t="str">
        <f t="shared" si="12"/>
        <v/>
      </c>
      <c r="I445" s="200" t="str">
        <f>IF(H445="","",IF(AND(AI445&lt;=66),VLOOKUP(H445,'WordRead Look Up'!$A$13:$B$20,2,TRUE),IF(AND(AI445&gt;=67,AI445&lt;=72),VLOOKUP(H445,'WordRead Look Up'!$E$13:$F$20,2,TRUE),IF(AND(AI445&gt;=73,AI445&lt;=78),VLOOKUP(H445,'WordRead Look Up'!$I$13:$J$18,2,TRUE),IF(AND(AI445&gt;=79),VLOOKUP(H445,'WordRead Look Up'!$M$13:$N$18,2,TRUE),"")))))</f>
        <v/>
      </c>
      <c r="J445" s="122"/>
      <c r="K445" s="111"/>
      <c r="L445" s="111"/>
      <c r="M445" s="111"/>
      <c r="N445" s="111"/>
      <c r="O445" s="111"/>
      <c r="P445" s="111"/>
      <c r="Q445" s="111"/>
      <c r="R445" s="111"/>
      <c r="S445" s="111"/>
      <c r="T445" s="111"/>
      <c r="U445" s="111"/>
      <c r="V445" s="111"/>
      <c r="W445" s="111"/>
      <c r="X445" s="123"/>
      <c r="AG445" s="185"/>
      <c r="AH445" s="185"/>
      <c r="AI445" s="222" t="str">
        <f t="shared" si="13"/>
        <v/>
      </c>
    </row>
    <row r="446" spans="1:35" s="108" customFormat="1" ht="15.75">
      <c r="A446" s="119"/>
      <c r="B446" s="120"/>
      <c r="C446" s="111"/>
      <c r="D446" s="111"/>
      <c r="E446" s="121"/>
      <c r="F446" s="121"/>
      <c r="G446" s="113"/>
      <c r="H446" s="199" t="str">
        <f t="shared" si="12"/>
        <v/>
      </c>
      <c r="I446" s="200" t="str">
        <f>IF(H446="","",IF(AND(AI446&lt;=66),VLOOKUP(H446,'WordRead Look Up'!$A$13:$B$20,2,TRUE),IF(AND(AI446&gt;=67,AI446&lt;=72),VLOOKUP(H446,'WordRead Look Up'!$E$13:$F$20,2,TRUE),IF(AND(AI446&gt;=73,AI446&lt;=78),VLOOKUP(H446,'WordRead Look Up'!$I$13:$J$18,2,TRUE),IF(AND(AI446&gt;=79),VLOOKUP(H446,'WordRead Look Up'!$M$13:$N$18,2,TRUE),"")))))</f>
        <v/>
      </c>
      <c r="J446" s="122"/>
      <c r="K446" s="111"/>
      <c r="L446" s="111"/>
      <c r="M446" s="111"/>
      <c r="N446" s="111"/>
      <c r="O446" s="111"/>
      <c r="P446" s="111"/>
      <c r="Q446" s="111"/>
      <c r="R446" s="111"/>
      <c r="S446" s="111"/>
      <c r="T446" s="111"/>
      <c r="U446" s="111"/>
      <c r="V446" s="111"/>
      <c r="W446" s="111"/>
      <c r="X446" s="123"/>
      <c r="AG446" s="185"/>
      <c r="AH446" s="185"/>
      <c r="AI446" s="222" t="str">
        <f t="shared" si="13"/>
        <v/>
      </c>
    </row>
    <row r="447" spans="1:35" s="108" customFormat="1" ht="15.75">
      <c r="A447" s="119"/>
      <c r="B447" s="120"/>
      <c r="C447" s="111"/>
      <c r="D447" s="111"/>
      <c r="E447" s="121"/>
      <c r="F447" s="121"/>
      <c r="G447" s="113"/>
      <c r="H447" s="199" t="str">
        <f t="shared" si="12"/>
        <v/>
      </c>
      <c r="I447" s="200" t="str">
        <f>IF(H447="","",IF(AND(AI447&lt;=66),VLOOKUP(H447,'WordRead Look Up'!$A$13:$B$20,2,TRUE),IF(AND(AI447&gt;=67,AI447&lt;=72),VLOOKUP(H447,'WordRead Look Up'!$E$13:$F$20,2,TRUE),IF(AND(AI447&gt;=73,AI447&lt;=78),VLOOKUP(H447,'WordRead Look Up'!$I$13:$J$18,2,TRUE),IF(AND(AI447&gt;=79),VLOOKUP(H447,'WordRead Look Up'!$M$13:$N$18,2,TRUE),"")))))</f>
        <v/>
      </c>
      <c r="J447" s="122"/>
      <c r="K447" s="111"/>
      <c r="L447" s="111"/>
      <c r="M447" s="111"/>
      <c r="N447" s="111"/>
      <c r="O447" s="111"/>
      <c r="P447" s="111"/>
      <c r="Q447" s="111"/>
      <c r="R447" s="111"/>
      <c r="S447" s="111"/>
      <c r="T447" s="111"/>
      <c r="U447" s="111"/>
      <c r="V447" s="111"/>
      <c r="W447" s="111"/>
      <c r="X447" s="123"/>
      <c r="AG447" s="185"/>
      <c r="AH447" s="185"/>
      <c r="AI447" s="222" t="str">
        <f t="shared" si="13"/>
        <v/>
      </c>
    </row>
    <row r="448" spans="1:35" s="108" customFormat="1" ht="15.75">
      <c r="A448" s="119"/>
      <c r="B448" s="120"/>
      <c r="C448" s="111"/>
      <c r="D448" s="111"/>
      <c r="E448" s="121"/>
      <c r="F448" s="121"/>
      <c r="G448" s="113"/>
      <c r="H448" s="199" t="str">
        <f t="shared" si="12"/>
        <v/>
      </c>
      <c r="I448" s="200" t="str">
        <f>IF(H448="","",IF(AND(AI448&lt;=66),VLOOKUP(H448,'WordRead Look Up'!$A$13:$B$20,2,TRUE),IF(AND(AI448&gt;=67,AI448&lt;=72),VLOOKUP(H448,'WordRead Look Up'!$E$13:$F$20,2,TRUE),IF(AND(AI448&gt;=73,AI448&lt;=78),VLOOKUP(H448,'WordRead Look Up'!$I$13:$J$18,2,TRUE),IF(AND(AI448&gt;=79),VLOOKUP(H448,'WordRead Look Up'!$M$13:$N$18,2,TRUE),"")))))</f>
        <v/>
      </c>
      <c r="J448" s="122"/>
      <c r="K448" s="111"/>
      <c r="L448" s="111"/>
      <c r="M448" s="111"/>
      <c r="N448" s="111"/>
      <c r="O448" s="111"/>
      <c r="P448" s="111"/>
      <c r="Q448" s="111"/>
      <c r="R448" s="111"/>
      <c r="S448" s="111"/>
      <c r="T448" s="111"/>
      <c r="U448" s="111"/>
      <c r="V448" s="111"/>
      <c r="W448" s="111"/>
      <c r="X448" s="123"/>
      <c r="AG448" s="185"/>
      <c r="AH448" s="185"/>
      <c r="AI448" s="222" t="str">
        <f t="shared" si="13"/>
        <v/>
      </c>
    </row>
    <row r="449" spans="1:35" s="108" customFormat="1" ht="15.75">
      <c r="A449" s="119"/>
      <c r="B449" s="120"/>
      <c r="C449" s="111"/>
      <c r="D449" s="111"/>
      <c r="E449" s="121"/>
      <c r="F449" s="121"/>
      <c r="G449" s="113"/>
      <c r="H449" s="199" t="str">
        <f t="shared" si="12"/>
        <v/>
      </c>
      <c r="I449" s="200" t="str">
        <f>IF(H449="","",IF(AND(AI449&lt;=66),VLOOKUP(H449,'WordRead Look Up'!$A$13:$B$20,2,TRUE),IF(AND(AI449&gt;=67,AI449&lt;=72),VLOOKUP(H449,'WordRead Look Up'!$E$13:$F$20,2,TRUE),IF(AND(AI449&gt;=73,AI449&lt;=78),VLOOKUP(H449,'WordRead Look Up'!$I$13:$J$18,2,TRUE),IF(AND(AI449&gt;=79),VLOOKUP(H449,'WordRead Look Up'!$M$13:$N$18,2,TRUE),"")))))</f>
        <v/>
      </c>
      <c r="J449" s="122"/>
      <c r="K449" s="111"/>
      <c r="L449" s="111"/>
      <c r="M449" s="111"/>
      <c r="N449" s="111"/>
      <c r="O449" s="111"/>
      <c r="P449" s="111"/>
      <c r="Q449" s="111"/>
      <c r="R449" s="111"/>
      <c r="S449" s="111"/>
      <c r="T449" s="111"/>
      <c r="U449" s="111"/>
      <c r="V449" s="111"/>
      <c r="W449" s="111"/>
      <c r="X449" s="123"/>
      <c r="AG449" s="185"/>
      <c r="AH449" s="185"/>
      <c r="AI449" s="222" t="str">
        <f t="shared" si="13"/>
        <v/>
      </c>
    </row>
    <row r="450" spans="1:35" s="108" customFormat="1" ht="15.75">
      <c r="A450" s="119"/>
      <c r="B450" s="120"/>
      <c r="C450" s="111"/>
      <c r="D450" s="111"/>
      <c r="E450" s="121"/>
      <c r="F450" s="121"/>
      <c r="G450" s="113"/>
      <c r="H450" s="199" t="str">
        <f t="shared" si="12"/>
        <v/>
      </c>
      <c r="I450" s="200" t="str">
        <f>IF(H450="","",IF(AND(AI450&lt;=66),VLOOKUP(H450,'WordRead Look Up'!$A$13:$B$20,2,TRUE),IF(AND(AI450&gt;=67,AI450&lt;=72),VLOOKUP(H450,'WordRead Look Up'!$E$13:$F$20,2,TRUE),IF(AND(AI450&gt;=73,AI450&lt;=78),VLOOKUP(H450,'WordRead Look Up'!$I$13:$J$18,2,TRUE),IF(AND(AI450&gt;=79),VLOOKUP(H450,'WordRead Look Up'!$M$13:$N$18,2,TRUE),"")))))</f>
        <v/>
      </c>
      <c r="J450" s="122"/>
      <c r="K450" s="111"/>
      <c r="L450" s="111"/>
      <c r="M450" s="111"/>
      <c r="N450" s="111"/>
      <c r="O450" s="111"/>
      <c r="P450" s="111"/>
      <c r="Q450" s="111"/>
      <c r="R450" s="111"/>
      <c r="S450" s="111"/>
      <c r="T450" s="111"/>
      <c r="U450" s="111"/>
      <c r="V450" s="111"/>
      <c r="W450" s="111"/>
      <c r="X450" s="123"/>
      <c r="AG450" s="185"/>
      <c r="AH450" s="185"/>
      <c r="AI450" s="222" t="str">
        <f t="shared" si="13"/>
        <v/>
      </c>
    </row>
    <row r="451" spans="1:35" s="108" customFormat="1" ht="15.75">
      <c r="A451" s="119"/>
      <c r="B451" s="120"/>
      <c r="C451" s="111"/>
      <c r="D451" s="111"/>
      <c r="E451" s="121"/>
      <c r="F451" s="121"/>
      <c r="G451" s="113"/>
      <c r="H451" s="199" t="str">
        <f t="shared" si="12"/>
        <v/>
      </c>
      <c r="I451" s="200" t="str">
        <f>IF(H451="","",IF(AND(AI451&lt;=66),VLOOKUP(H451,'WordRead Look Up'!$A$13:$B$20,2,TRUE),IF(AND(AI451&gt;=67,AI451&lt;=72),VLOOKUP(H451,'WordRead Look Up'!$E$13:$F$20,2,TRUE),IF(AND(AI451&gt;=73,AI451&lt;=78),VLOOKUP(H451,'WordRead Look Up'!$I$13:$J$18,2,TRUE),IF(AND(AI451&gt;=79),VLOOKUP(H451,'WordRead Look Up'!$M$13:$N$18,2,TRUE),"")))))</f>
        <v/>
      </c>
      <c r="J451" s="122"/>
      <c r="K451" s="111"/>
      <c r="L451" s="111"/>
      <c r="M451" s="111"/>
      <c r="N451" s="111"/>
      <c r="O451" s="111"/>
      <c r="P451" s="111"/>
      <c r="Q451" s="111"/>
      <c r="R451" s="111"/>
      <c r="S451" s="111"/>
      <c r="T451" s="111"/>
      <c r="U451" s="111"/>
      <c r="V451" s="111"/>
      <c r="W451" s="111"/>
      <c r="X451" s="123"/>
      <c r="AG451" s="185"/>
      <c r="AH451" s="185"/>
      <c r="AI451" s="222" t="str">
        <f t="shared" si="13"/>
        <v/>
      </c>
    </row>
    <row r="452" spans="1:35" s="108" customFormat="1" ht="15.75">
      <c r="A452" s="119"/>
      <c r="B452" s="120"/>
      <c r="C452" s="111"/>
      <c r="D452" s="111"/>
      <c r="E452" s="121"/>
      <c r="F452" s="121"/>
      <c r="G452" s="113"/>
      <c r="H452" s="199" t="str">
        <f t="shared" si="12"/>
        <v/>
      </c>
      <c r="I452" s="200" t="str">
        <f>IF(H452="","",IF(AND(AI452&lt;=66),VLOOKUP(H452,'WordRead Look Up'!$A$13:$B$20,2,TRUE),IF(AND(AI452&gt;=67,AI452&lt;=72),VLOOKUP(H452,'WordRead Look Up'!$E$13:$F$20,2,TRUE),IF(AND(AI452&gt;=73,AI452&lt;=78),VLOOKUP(H452,'WordRead Look Up'!$I$13:$J$18,2,TRUE),IF(AND(AI452&gt;=79),VLOOKUP(H452,'WordRead Look Up'!$M$13:$N$18,2,TRUE),"")))))</f>
        <v/>
      </c>
      <c r="J452" s="122"/>
      <c r="K452" s="111"/>
      <c r="L452" s="111"/>
      <c r="M452" s="111"/>
      <c r="N452" s="111"/>
      <c r="O452" s="111"/>
      <c r="P452" s="111"/>
      <c r="Q452" s="111"/>
      <c r="R452" s="111"/>
      <c r="S452" s="111"/>
      <c r="T452" s="111"/>
      <c r="U452" s="111"/>
      <c r="V452" s="111"/>
      <c r="W452" s="111"/>
      <c r="X452" s="123"/>
      <c r="AG452" s="185"/>
      <c r="AH452" s="185"/>
      <c r="AI452" s="222" t="str">
        <f t="shared" si="13"/>
        <v/>
      </c>
    </row>
    <row r="453" spans="1:35" s="108" customFormat="1" ht="15.75">
      <c r="A453" s="119"/>
      <c r="B453" s="120"/>
      <c r="C453" s="111"/>
      <c r="D453" s="111"/>
      <c r="E453" s="121"/>
      <c r="F453" s="121"/>
      <c r="G453" s="113"/>
      <c r="H453" s="199" t="str">
        <f t="shared" si="12"/>
        <v/>
      </c>
      <c r="I453" s="200" t="str">
        <f>IF(H453="","",IF(AND(AI453&lt;=66),VLOOKUP(H453,'WordRead Look Up'!$A$13:$B$20,2,TRUE),IF(AND(AI453&gt;=67,AI453&lt;=72),VLOOKUP(H453,'WordRead Look Up'!$E$13:$F$20,2,TRUE),IF(AND(AI453&gt;=73,AI453&lt;=78),VLOOKUP(H453,'WordRead Look Up'!$I$13:$J$18,2,TRUE),IF(AND(AI453&gt;=79),VLOOKUP(H453,'WordRead Look Up'!$M$13:$N$18,2,TRUE),"")))))</f>
        <v/>
      </c>
      <c r="J453" s="122"/>
      <c r="K453" s="111"/>
      <c r="L453" s="111"/>
      <c r="M453" s="111"/>
      <c r="N453" s="111"/>
      <c r="O453" s="111"/>
      <c r="P453" s="111"/>
      <c r="Q453" s="111"/>
      <c r="R453" s="111"/>
      <c r="S453" s="111"/>
      <c r="T453" s="111"/>
      <c r="U453" s="111"/>
      <c r="V453" s="111"/>
      <c r="W453" s="111"/>
      <c r="X453" s="123"/>
      <c r="AG453" s="185"/>
      <c r="AH453" s="185"/>
      <c r="AI453" s="222" t="str">
        <f t="shared" si="13"/>
        <v/>
      </c>
    </row>
    <row r="454" spans="1:35" s="108" customFormat="1" ht="15.75">
      <c r="A454" s="119"/>
      <c r="B454" s="120"/>
      <c r="C454" s="111"/>
      <c r="D454" s="111"/>
      <c r="E454" s="121"/>
      <c r="F454" s="121"/>
      <c r="G454" s="113"/>
      <c r="H454" s="199" t="str">
        <f t="shared" si="12"/>
        <v/>
      </c>
      <c r="I454" s="200" t="str">
        <f>IF(H454="","",IF(AND(AI454&lt;=66),VLOOKUP(H454,'WordRead Look Up'!$A$13:$B$20,2,TRUE),IF(AND(AI454&gt;=67,AI454&lt;=72),VLOOKUP(H454,'WordRead Look Up'!$E$13:$F$20,2,TRUE),IF(AND(AI454&gt;=73,AI454&lt;=78),VLOOKUP(H454,'WordRead Look Up'!$I$13:$J$18,2,TRUE),IF(AND(AI454&gt;=79),VLOOKUP(H454,'WordRead Look Up'!$M$13:$N$18,2,TRUE),"")))))</f>
        <v/>
      </c>
      <c r="J454" s="122"/>
      <c r="K454" s="111"/>
      <c r="L454" s="111"/>
      <c r="M454" s="111"/>
      <c r="N454" s="111"/>
      <c r="O454" s="111"/>
      <c r="P454" s="111"/>
      <c r="Q454" s="111"/>
      <c r="R454" s="111"/>
      <c r="S454" s="111"/>
      <c r="T454" s="111"/>
      <c r="U454" s="111"/>
      <c r="V454" s="111"/>
      <c r="W454" s="111"/>
      <c r="X454" s="123"/>
      <c r="AG454" s="185"/>
      <c r="AH454" s="185"/>
      <c r="AI454" s="222" t="str">
        <f t="shared" si="13"/>
        <v/>
      </c>
    </row>
    <row r="455" spans="1:35" s="108" customFormat="1" ht="15.75">
      <c r="A455" s="119"/>
      <c r="B455" s="120"/>
      <c r="C455" s="111"/>
      <c r="D455" s="111"/>
      <c r="E455" s="121"/>
      <c r="F455" s="121"/>
      <c r="G455" s="113"/>
      <c r="H455" s="199" t="str">
        <f t="shared" si="12"/>
        <v/>
      </c>
      <c r="I455" s="200" t="str">
        <f>IF(H455="","",IF(AND(AI455&lt;=66),VLOOKUP(H455,'WordRead Look Up'!$A$13:$B$20,2,TRUE),IF(AND(AI455&gt;=67,AI455&lt;=72),VLOOKUP(H455,'WordRead Look Up'!$E$13:$F$20,2,TRUE),IF(AND(AI455&gt;=73,AI455&lt;=78),VLOOKUP(H455,'WordRead Look Up'!$I$13:$J$18,2,TRUE),IF(AND(AI455&gt;=79),VLOOKUP(H455,'WordRead Look Up'!$M$13:$N$18,2,TRUE),"")))))</f>
        <v/>
      </c>
      <c r="J455" s="122"/>
      <c r="K455" s="111"/>
      <c r="L455" s="111"/>
      <c r="M455" s="111"/>
      <c r="N455" s="111"/>
      <c r="O455" s="111"/>
      <c r="P455" s="111"/>
      <c r="Q455" s="111"/>
      <c r="R455" s="111"/>
      <c r="S455" s="111"/>
      <c r="T455" s="111"/>
      <c r="U455" s="111"/>
      <c r="V455" s="111"/>
      <c r="W455" s="111"/>
      <c r="X455" s="123"/>
      <c r="AG455" s="185"/>
      <c r="AH455" s="185"/>
      <c r="AI455" s="222" t="str">
        <f t="shared" si="13"/>
        <v/>
      </c>
    </row>
    <row r="456" spans="1:35" s="108" customFormat="1" ht="15.75">
      <c r="A456" s="119"/>
      <c r="B456" s="120"/>
      <c r="C456" s="111"/>
      <c r="D456" s="111"/>
      <c r="E456" s="121"/>
      <c r="F456" s="121"/>
      <c r="G456" s="113"/>
      <c r="H456" s="199" t="str">
        <f t="shared" ref="H456:H499" si="14">IF(E456="","",COUNTIF(J456:X456,"y"))</f>
        <v/>
      </c>
      <c r="I456" s="200" t="str">
        <f>IF(H456="","",IF(AND(AI456&lt;=66),VLOOKUP(H456,'WordRead Look Up'!$A$13:$B$20,2,TRUE),IF(AND(AI456&gt;=67,AI456&lt;=72),VLOOKUP(H456,'WordRead Look Up'!$E$13:$F$20,2,TRUE),IF(AND(AI456&gt;=73,AI456&lt;=78),VLOOKUP(H456,'WordRead Look Up'!$I$13:$J$18,2,TRUE),IF(AND(AI456&gt;=79),VLOOKUP(H456,'WordRead Look Up'!$M$13:$N$18,2,TRUE),"")))))</f>
        <v/>
      </c>
      <c r="J456" s="122"/>
      <c r="K456" s="111"/>
      <c r="L456" s="111"/>
      <c r="M456" s="111"/>
      <c r="N456" s="111"/>
      <c r="O456" s="111"/>
      <c r="P456" s="111"/>
      <c r="Q456" s="111"/>
      <c r="R456" s="111"/>
      <c r="S456" s="111"/>
      <c r="T456" s="111"/>
      <c r="U456" s="111"/>
      <c r="V456" s="111"/>
      <c r="W456" s="111"/>
      <c r="X456" s="123"/>
      <c r="AG456" s="185"/>
      <c r="AH456" s="185"/>
      <c r="AI456" s="222" t="str">
        <f t="shared" ref="AI456:AI500" si="15">IF(E456="","",DATEDIF(B456,A456,"m"))</f>
        <v/>
      </c>
    </row>
    <row r="457" spans="1:35" s="108" customFormat="1" ht="15.75">
      <c r="A457" s="119"/>
      <c r="B457" s="120"/>
      <c r="C457" s="111"/>
      <c r="D457" s="111"/>
      <c r="E457" s="121"/>
      <c r="F457" s="121"/>
      <c r="G457" s="113"/>
      <c r="H457" s="199" t="str">
        <f t="shared" si="14"/>
        <v/>
      </c>
      <c r="I457" s="200" t="str">
        <f>IF(H457="","",IF(AND(AI457&lt;=66),VLOOKUP(H457,'WordRead Look Up'!$A$13:$B$20,2,TRUE),IF(AND(AI457&gt;=67,AI457&lt;=72),VLOOKUP(H457,'WordRead Look Up'!$E$13:$F$20,2,TRUE),IF(AND(AI457&gt;=73,AI457&lt;=78),VLOOKUP(H457,'WordRead Look Up'!$I$13:$J$18,2,TRUE),IF(AND(AI457&gt;=79),VLOOKUP(H457,'WordRead Look Up'!$M$13:$N$18,2,TRUE),"")))))</f>
        <v/>
      </c>
      <c r="J457" s="122"/>
      <c r="K457" s="111"/>
      <c r="L457" s="111"/>
      <c r="M457" s="111"/>
      <c r="N457" s="111"/>
      <c r="O457" s="111"/>
      <c r="P457" s="111"/>
      <c r="Q457" s="111"/>
      <c r="R457" s="111"/>
      <c r="S457" s="111"/>
      <c r="T457" s="111"/>
      <c r="U457" s="111"/>
      <c r="V457" s="111"/>
      <c r="W457" s="111"/>
      <c r="X457" s="123"/>
      <c r="AG457" s="185"/>
      <c r="AH457" s="185"/>
      <c r="AI457" s="222" t="str">
        <f t="shared" si="15"/>
        <v/>
      </c>
    </row>
    <row r="458" spans="1:35" s="108" customFormat="1" ht="15.75">
      <c r="A458" s="119"/>
      <c r="B458" s="120"/>
      <c r="C458" s="111"/>
      <c r="D458" s="111"/>
      <c r="E458" s="121"/>
      <c r="F458" s="121"/>
      <c r="G458" s="113"/>
      <c r="H458" s="199" t="str">
        <f t="shared" si="14"/>
        <v/>
      </c>
      <c r="I458" s="200" t="str">
        <f>IF(H458="","",IF(AND(AI458&lt;=66),VLOOKUP(H458,'WordRead Look Up'!$A$13:$B$20,2,TRUE),IF(AND(AI458&gt;=67,AI458&lt;=72),VLOOKUP(H458,'WordRead Look Up'!$E$13:$F$20,2,TRUE),IF(AND(AI458&gt;=73,AI458&lt;=78),VLOOKUP(H458,'WordRead Look Up'!$I$13:$J$18,2,TRUE),IF(AND(AI458&gt;=79),VLOOKUP(H458,'WordRead Look Up'!$M$13:$N$18,2,TRUE),"")))))</f>
        <v/>
      </c>
      <c r="J458" s="122"/>
      <c r="K458" s="111"/>
      <c r="L458" s="111"/>
      <c r="M458" s="111"/>
      <c r="N458" s="111"/>
      <c r="O458" s="111"/>
      <c r="P458" s="111"/>
      <c r="Q458" s="111"/>
      <c r="R458" s="111"/>
      <c r="S458" s="111"/>
      <c r="T458" s="111"/>
      <c r="U458" s="111"/>
      <c r="V458" s="111"/>
      <c r="W458" s="111"/>
      <c r="X458" s="123"/>
      <c r="AG458" s="185"/>
      <c r="AH458" s="185"/>
      <c r="AI458" s="222" t="str">
        <f t="shared" si="15"/>
        <v/>
      </c>
    </row>
    <row r="459" spans="1:35" s="108" customFormat="1" ht="15.75">
      <c r="A459" s="119"/>
      <c r="B459" s="120"/>
      <c r="C459" s="111"/>
      <c r="D459" s="111"/>
      <c r="E459" s="121"/>
      <c r="F459" s="121"/>
      <c r="G459" s="113"/>
      <c r="H459" s="199" t="str">
        <f t="shared" si="14"/>
        <v/>
      </c>
      <c r="I459" s="200" t="str">
        <f>IF(H459="","",IF(AND(AI459&lt;=66),VLOOKUP(H459,'WordRead Look Up'!$A$13:$B$20,2,TRUE),IF(AND(AI459&gt;=67,AI459&lt;=72),VLOOKUP(H459,'WordRead Look Up'!$E$13:$F$20,2,TRUE),IF(AND(AI459&gt;=73,AI459&lt;=78),VLOOKUP(H459,'WordRead Look Up'!$I$13:$J$18,2,TRUE),IF(AND(AI459&gt;=79),VLOOKUP(H459,'WordRead Look Up'!$M$13:$N$18,2,TRUE),"")))))</f>
        <v/>
      </c>
      <c r="J459" s="122"/>
      <c r="K459" s="111"/>
      <c r="L459" s="111"/>
      <c r="M459" s="111"/>
      <c r="N459" s="111"/>
      <c r="O459" s="111"/>
      <c r="P459" s="111"/>
      <c r="Q459" s="111"/>
      <c r="R459" s="111"/>
      <c r="S459" s="111"/>
      <c r="T459" s="111"/>
      <c r="U459" s="111"/>
      <c r="V459" s="111"/>
      <c r="W459" s="111"/>
      <c r="X459" s="123"/>
      <c r="AG459" s="185"/>
      <c r="AH459" s="185"/>
      <c r="AI459" s="222" t="str">
        <f t="shared" si="15"/>
        <v/>
      </c>
    </row>
    <row r="460" spans="1:35" s="108" customFormat="1" ht="15.75">
      <c r="A460" s="119"/>
      <c r="B460" s="120"/>
      <c r="C460" s="111"/>
      <c r="D460" s="111"/>
      <c r="E460" s="121"/>
      <c r="F460" s="121"/>
      <c r="G460" s="113"/>
      <c r="H460" s="199" t="str">
        <f t="shared" si="14"/>
        <v/>
      </c>
      <c r="I460" s="200" t="str">
        <f>IF(H460="","",IF(AND(AI460&lt;=66),VLOOKUP(H460,'WordRead Look Up'!$A$13:$B$20,2,TRUE),IF(AND(AI460&gt;=67,AI460&lt;=72),VLOOKUP(H460,'WordRead Look Up'!$E$13:$F$20,2,TRUE),IF(AND(AI460&gt;=73,AI460&lt;=78),VLOOKUP(H460,'WordRead Look Up'!$I$13:$J$18,2,TRUE),IF(AND(AI460&gt;=79),VLOOKUP(H460,'WordRead Look Up'!$M$13:$N$18,2,TRUE),"")))))</f>
        <v/>
      </c>
      <c r="J460" s="122"/>
      <c r="K460" s="111"/>
      <c r="L460" s="111"/>
      <c r="M460" s="111"/>
      <c r="N460" s="111"/>
      <c r="O460" s="111"/>
      <c r="P460" s="111"/>
      <c r="Q460" s="111"/>
      <c r="R460" s="111"/>
      <c r="S460" s="111"/>
      <c r="T460" s="111"/>
      <c r="U460" s="111"/>
      <c r="V460" s="111"/>
      <c r="W460" s="111"/>
      <c r="X460" s="123"/>
      <c r="AG460" s="185"/>
      <c r="AH460" s="185"/>
      <c r="AI460" s="222" t="str">
        <f t="shared" si="15"/>
        <v/>
      </c>
    </row>
    <row r="461" spans="1:35" s="108" customFormat="1" ht="15.75">
      <c r="A461" s="119"/>
      <c r="B461" s="120"/>
      <c r="C461" s="111"/>
      <c r="D461" s="111"/>
      <c r="E461" s="121"/>
      <c r="F461" s="121"/>
      <c r="G461" s="113"/>
      <c r="H461" s="199" t="str">
        <f t="shared" si="14"/>
        <v/>
      </c>
      <c r="I461" s="200" t="str">
        <f>IF(H461="","",IF(AND(AI461&lt;=66),VLOOKUP(H461,'WordRead Look Up'!$A$13:$B$20,2,TRUE),IF(AND(AI461&gt;=67,AI461&lt;=72),VLOOKUP(H461,'WordRead Look Up'!$E$13:$F$20,2,TRUE),IF(AND(AI461&gt;=73,AI461&lt;=78),VLOOKUP(H461,'WordRead Look Up'!$I$13:$J$18,2,TRUE),IF(AND(AI461&gt;=79),VLOOKUP(H461,'WordRead Look Up'!$M$13:$N$18,2,TRUE),"")))))</f>
        <v/>
      </c>
      <c r="J461" s="122"/>
      <c r="K461" s="111"/>
      <c r="L461" s="111"/>
      <c r="M461" s="111"/>
      <c r="N461" s="111"/>
      <c r="O461" s="111"/>
      <c r="P461" s="111"/>
      <c r="Q461" s="111"/>
      <c r="R461" s="111"/>
      <c r="S461" s="111"/>
      <c r="T461" s="111"/>
      <c r="U461" s="111"/>
      <c r="V461" s="111"/>
      <c r="W461" s="111"/>
      <c r="X461" s="123"/>
      <c r="AG461" s="185"/>
      <c r="AH461" s="185"/>
      <c r="AI461" s="222" t="str">
        <f t="shared" si="15"/>
        <v/>
      </c>
    </row>
    <row r="462" spans="1:35" s="108" customFormat="1" ht="15.75">
      <c r="A462" s="119"/>
      <c r="B462" s="120"/>
      <c r="C462" s="111"/>
      <c r="D462" s="111"/>
      <c r="E462" s="121"/>
      <c r="F462" s="121"/>
      <c r="G462" s="113"/>
      <c r="H462" s="199" t="str">
        <f t="shared" si="14"/>
        <v/>
      </c>
      <c r="I462" s="200" t="str">
        <f>IF(H462="","",IF(AND(AI462&lt;=66),VLOOKUP(H462,'WordRead Look Up'!$A$13:$B$20,2,TRUE),IF(AND(AI462&gt;=67,AI462&lt;=72),VLOOKUP(H462,'WordRead Look Up'!$E$13:$F$20,2,TRUE),IF(AND(AI462&gt;=73,AI462&lt;=78),VLOOKUP(H462,'WordRead Look Up'!$I$13:$J$18,2,TRUE),IF(AND(AI462&gt;=79),VLOOKUP(H462,'WordRead Look Up'!$M$13:$N$18,2,TRUE),"")))))</f>
        <v/>
      </c>
      <c r="J462" s="122"/>
      <c r="K462" s="111"/>
      <c r="L462" s="111"/>
      <c r="M462" s="111"/>
      <c r="N462" s="111"/>
      <c r="O462" s="111"/>
      <c r="P462" s="111"/>
      <c r="Q462" s="111"/>
      <c r="R462" s="111"/>
      <c r="S462" s="111"/>
      <c r="T462" s="111"/>
      <c r="U462" s="111"/>
      <c r="V462" s="111"/>
      <c r="W462" s="111"/>
      <c r="X462" s="123"/>
      <c r="AG462" s="185"/>
      <c r="AH462" s="185"/>
      <c r="AI462" s="222" t="str">
        <f t="shared" si="15"/>
        <v/>
      </c>
    </row>
    <row r="463" spans="1:35" s="108" customFormat="1" ht="15.75">
      <c r="A463" s="119"/>
      <c r="B463" s="120"/>
      <c r="C463" s="111"/>
      <c r="D463" s="111"/>
      <c r="E463" s="121"/>
      <c r="F463" s="121"/>
      <c r="G463" s="113"/>
      <c r="H463" s="199" t="str">
        <f t="shared" si="14"/>
        <v/>
      </c>
      <c r="I463" s="200" t="str">
        <f>IF(H463="","",IF(AND(AI463&lt;=66),VLOOKUP(H463,'WordRead Look Up'!$A$13:$B$20,2,TRUE),IF(AND(AI463&gt;=67,AI463&lt;=72),VLOOKUP(H463,'WordRead Look Up'!$E$13:$F$20,2,TRUE),IF(AND(AI463&gt;=73,AI463&lt;=78),VLOOKUP(H463,'WordRead Look Up'!$I$13:$J$18,2,TRUE),IF(AND(AI463&gt;=79),VLOOKUP(H463,'WordRead Look Up'!$M$13:$N$18,2,TRUE),"")))))</f>
        <v/>
      </c>
      <c r="J463" s="122"/>
      <c r="K463" s="111"/>
      <c r="L463" s="111"/>
      <c r="M463" s="111"/>
      <c r="N463" s="111"/>
      <c r="O463" s="111"/>
      <c r="P463" s="111"/>
      <c r="Q463" s="111"/>
      <c r="R463" s="111"/>
      <c r="S463" s="111"/>
      <c r="T463" s="111"/>
      <c r="U463" s="111"/>
      <c r="V463" s="111"/>
      <c r="W463" s="111"/>
      <c r="X463" s="123"/>
      <c r="AG463" s="185"/>
      <c r="AH463" s="185"/>
      <c r="AI463" s="222" t="str">
        <f t="shared" si="15"/>
        <v/>
      </c>
    </row>
    <row r="464" spans="1:35" s="108" customFormat="1" ht="15.75">
      <c r="A464" s="119"/>
      <c r="B464" s="120"/>
      <c r="C464" s="111"/>
      <c r="D464" s="111"/>
      <c r="E464" s="121"/>
      <c r="F464" s="121"/>
      <c r="G464" s="113"/>
      <c r="H464" s="199" t="str">
        <f t="shared" si="14"/>
        <v/>
      </c>
      <c r="I464" s="200" t="str">
        <f>IF(H464="","",IF(AND(AI464&lt;=66),VLOOKUP(H464,'WordRead Look Up'!$A$13:$B$20,2,TRUE),IF(AND(AI464&gt;=67,AI464&lt;=72),VLOOKUP(H464,'WordRead Look Up'!$E$13:$F$20,2,TRUE),IF(AND(AI464&gt;=73,AI464&lt;=78),VLOOKUP(H464,'WordRead Look Up'!$I$13:$J$18,2,TRUE),IF(AND(AI464&gt;=79),VLOOKUP(H464,'WordRead Look Up'!$M$13:$N$18,2,TRUE),"")))))</f>
        <v/>
      </c>
      <c r="J464" s="122"/>
      <c r="K464" s="111"/>
      <c r="L464" s="111"/>
      <c r="M464" s="111"/>
      <c r="N464" s="111"/>
      <c r="O464" s="111"/>
      <c r="P464" s="111"/>
      <c r="Q464" s="111"/>
      <c r="R464" s="111"/>
      <c r="S464" s="111"/>
      <c r="T464" s="111"/>
      <c r="U464" s="111"/>
      <c r="V464" s="111"/>
      <c r="W464" s="111"/>
      <c r="X464" s="123"/>
      <c r="AG464" s="185"/>
      <c r="AH464" s="185"/>
      <c r="AI464" s="222" t="str">
        <f t="shared" si="15"/>
        <v/>
      </c>
    </row>
    <row r="465" spans="1:35" s="108" customFormat="1" ht="15.75">
      <c r="A465" s="119"/>
      <c r="B465" s="120"/>
      <c r="C465" s="111"/>
      <c r="D465" s="111"/>
      <c r="E465" s="121"/>
      <c r="F465" s="121"/>
      <c r="G465" s="113"/>
      <c r="H465" s="199" t="str">
        <f t="shared" si="14"/>
        <v/>
      </c>
      <c r="I465" s="200" t="str">
        <f>IF(H465="","",IF(AND(AI465&lt;=66),VLOOKUP(H465,'WordRead Look Up'!$A$13:$B$20,2,TRUE),IF(AND(AI465&gt;=67,AI465&lt;=72),VLOOKUP(H465,'WordRead Look Up'!$E$13:$F$20,2,TRUE),IF(AND(AI465&gt;=73,AI465&lt;=78),VLOOKUP(H465,'WordRead Look Up'!$I$13:$J$18,2,TRUE),IF(AND(AI465&gt;=79),VLOOKUP(H465,'WordRead Look Up'!$M$13:$N$18,2,TRUE),"")))))</f>
        <v/>
      </c>
      <c r="J465" s="122"/>
      <c r="K465" s="111"/>
      <c r="L465" s="111"/>
      <c r="M465" s="111"/>
      <c r="N465" s="111"/>
      <c r="O465" s="111"/>
      <c r="P465" s="111"/>
      <c r="Q465" s="111"/>
      <c r="R465" s="111"/>
      <c r="S465" s="111"/>
      <c r="T465" s="111"/>
      <c r="U465" s="111"/>
      <c r="V465" s="111"/>
      <c r="W465" s="111"/>
      <c r="X465" s="123"/>
      <c r="AG465" s="185"/>
      <c r="AH465" s="185"/>
      <c r="AI465" s="222" t="str">
        <f t="shared" si="15"/>
        <v/>
      </c>
    </row>
    <row r="466" spans="1:35" s="108" customFormat="1" ht="15.75">
      <c r="A466" s="119"/>
      <c r="B466" s="120"/>
      <c r="C466" s="111"/>
      <c r="D466" s="111"/>
      <c r="E466" s="121"/>
      <c r="F466" s="121"/>
      <c r="G466" s="113"/>
      <c r="H466" s="199" t="str">
        <f t="shared" si="14"/>
        <v/>
      </c>
      <c r="I466" s="200" t="str">
        <f>IF(H466="","",IF(AND(AI466&lt;=66),VLOOKUP(H466,'WordRead Look Up'!$A$13:$B$20,2,TRUE),IF(AND(AI466&gt;=67,AI466&lt;=72),VLOOKUP(H466,'WordRead Look Up'!$E$13:$F$20,2,TRUE),IF(AND(AI466&gt;=73,AI466&lt;=78),VLOOKUP(H466,'WordRead Look Up'!$I$13:$J$18,2,TRUE),IF(AND(AI466&gt;=79),VLOOKUP(H466,'WordRead Look Up'!$M$13:$N$18,2,TRUE),"")))))</f>
        <v/>
      </c>
      <c r="J466" s="122"/>
      <c r="K466" s="111"/>
      <c r="L466" s="111"/>
      <c r="M466" s="111"/>
      <c r="N466" s="111"/>
      <c r="O466" s="111"/>
      <c r="P466" s="111"/>
      <c r="Q466" s="111"/>
      <c r="R466" s="111"/>
      <c r="S466" s="111"/>
      <c r="T466" s="111"/>
      <c r="U466" s="111"/>
      <c r="V466" s="111"/>
      <c r="W466" s="111"/>
      <c r="X466" s="123"/>
      <c r="AG466" s="185"/>
      <c r="AH466" s="185"/>
      <c r="AI466" s="222" t="str">
        <f t="shared" si="15"/>
        <v/>
      </c>
    </row>
    <row r="467" spans="1:35" s="108" customFormat="1" ht="15.75">
      <c r="A467" s="119"/>
      <c r="B467" s="120"/>
      <c r="C467" s="111"/>
      <c r="D467" s="111"/>
      <c r="E467" s="121"/>
      <c r="F467" s="121"/>
      <c r="G467" s="113"/>
      <c r="H467" s="199" t="str">
        <f t="shared" si="14"/>
        <v/>
      </c>
      <c r="I467" s="200" t="str">
        <f>IF(H467="","",IF(AND(AI467&lt;=66),VLOOKUP(H467,'WordRead Look Up'!$A$13:$B$20,2,TRUE),IF(AND(AI467&gt;=67,AI467&lt;=72),VLOOKUP(H467,'WordRead Look Up'!$E$13:$F$20,2,TRUE),IF(AND(AI467&gt;=73,AI467&lt;=78),VLOOKUP(H467,'WordRead Look Up'!$I$13:$J$18,2,TRUE),IF(AND(AI467&gt;=79),VLOOKUP(H467,'WordRead Look Up'!$M$13:$N$18,2,TRUE),"")))))</f>
        <v/>
      </c>
      <c r="J467" s="122"/>
      <c r="K467" s="111"/>
      <c r="L467" s="111"/>
      <c r="M467" s="111"/>
      <c r="N467" s="111"/>
      <c r="O467" s="111"/>
      <c r="P467" s="111"/>
      <c r="Q467" s="111"/>
      <c r="R467" s="111"/>
      <c r="S467" s="111"/>
      <c r="T467" s="111"/>
      <c r="U467" s="111"/>
      <c r="V467" s="111"/>
      <c r="W467" s="111"/>
      <c r="X467" s="123"/>
      <c r="AG467" s="185"/>
      <c r="AH467" s="185"/>
      <c r="AI467" s="222" t="str">
        <f t="shared" si="15"/>
        <v/>
      </c>
    </row>
    <row r="468" spans="1:35" s="108" customFormat="1" ht="15.75">
      <c r="A468" s="119"/>
      <c r="B468" s="120"/>
      <c r="C468" s="111"/>
      <c r="D468" s="111"/>
      <c r="E468" s="121"/>
      <c r="F468" s="121"/>
      <c r="G468" s="113"/>
      <c r="H468" s="199" t="str">
        <f t="shared" si="14"/>
        <v/>
      </c>
      <c r="I468" s="200" t="str">
        <f>IF(H468="","",IF(AND(AI468&lt;=66),VLOOKUP(H468,'WordRead Look Up'!$A$13:$B$20,2,TRUE),IF(AND(AI468&gt;=67,AI468&lt;=72),VLOOKUP(H468,'WordRead Look Up'!$E$13:$F$20,2,TRUE),IF(AND(AI468&gt;=73,AI468&lt;=78),VLOOKUP(H468,'WordRead Look Up'!$I$13:$J$18,2,TRUE),IF(AND(AI468&gt;=79),VLOOKUP(H468,'WordRead Look Up'!$M$13:$N$18,2,TRUE),"")))))</f>
        <v/>
      </c>
      <c r="J468" s="122"/>
      <c r="K468" s="111"/>
      <c r="L468" s="111"/>
      <c r="M468" s="111"/>
      <c r="N468" s="111"/>
      <c r="O468" s="111"/>
      <c r="P468" s="111"/>
      <c r="Q468" s="111"/>
      <c r="R468" s="111"/>
      <c r="S468" s="111"/>
      <c r="T468" s="111"/>
      <c r="U468" s="111"/>
      <c r="V468" s="111"/>
      <c r="W468" s="111"/>
      <c r="X468" s="123"/>
      <c r="AG468" s="185"/>
      <c r="AH468" s="185"/>
      <c r="AI468" s="222" t="str">
        <f t="shared" si="15"/>
        <v/>
      </c>
    </row>
    <row r="469" spans="1:35" s="108" customFormat="1" ht="15.75">
      <c r="A469" s="119"/>
      <c r="B469" s="120"/>
      <c r="C469" s="111"/>
      <c r="D469" s="111"/>
      <c r="E469" s="121"/>
      <c r="F469" s="121"/>
      <c r="G469" s="113"/>
      <c r="H469" s="199" t="str">
        <f t="shared" si="14"/>
        <v/>
      </c>
      <c r="I469" s="200" t="str">
        <f>IF(H469="","",IF(AND(AI469&lt;=66),VLOOKUP(H469,'WordRead Look Up'!$A$13:$B$20,2,TRUE),IF(AND(AI469&gt;=67,AI469&lt;=72),VLOOKUP(H469,'WordRead Look Up'!$E$13:$F$20,2,TRUE),IF(AND(AI469&gt;=73,AI469&lt;=78),VLOOKUP(H469,'WordRead Look Up'!$I$13:$J$18,2,TRUE),IF(AND(AI469&gt;=79),VLOOKUP(H469,'WordRead Look Up'!$M$13:$N$18,2,TRUE),"")))))</f>
        <v/>
      </c>
      <c r="J469" s="122"/>
      <c r="K469" s="111"/>
      <c r="L469" s="111"/>
      <c r="M469" s="111"/>
      <c r="N469" s="111"/>
      <c r="O469" s="111"/>
      <c r="P469" s="111"/>
      <c r="Q469" s="111"/>
      <c r="R469" s="111"/>
      <c r="S469" s="111"/>
      <c r="T469" s="111"/>
      <c r="U469" s="111"/>
      <c r="V469" s="111"/>
      <c r="W469" s="111"/>
      <c r="X469" s="123"/>
      <c r="AG469" s="185"/>
      <c r="AH469" s="185"/>
      <c r="AI469" s="222" t="str">
        <f t="shared" si="15"/>
        <v/>
      </c>
    </row>
    <row r="470" spans="1:35" s="108" customFormat="1" ht="15.75">
      <c r="A470" s="119"/>
      <c r="B470" s="120"/>
      <c r="C470" s="111"/>
      <c r="D470" s="111"/>
      <c r="E470" s="121"/>
      <c r="F470" s="121"/>
      <c r="G470" s="113"/>
      <c r="H470" s="199" t="str">
        <f t="shared" si="14"/>
        <v/>
      </c>
      <c r="I470" s="200" t="str">
        <f>IF(H470="","",IF(AND(AI470&lt;=66),VLOOKUP(H470,'WordRead Look Up'!$A$13:$B$20,2,TRUE),IF(AND(AI470&gt;=67,AI470&lt;=72),VLOOKUP(H470,'WordRead Look Up'!$E$13:$F$20,2,TRUE),IF(AND(AI470&gt;=73,AI470&lt;=78),VLOOKUP(H470,'WordRead Look Up'!$I$13:$J$18,2,TRUE),IF(AND(AI470&gt;=79),VLOOKUP(H470,'WordRead Look Up'!$M$13:$N$18,2,TRUE),"")))))</f>
        <v/>
      </c>
      <c r="J470" s="122"/>
      <c r="K470" s="111"/>
      <c r="L470" s="111"/>
      <c r="M470" s="111"/>
      <c r="N470" s="111"/>
      <c r="O470" s="111"/>
      <c r="P470" s="111"/>
      <c r="Q470" s="111"/>
      <c r="R470" s="111"/>
      <c r="S470" s="111"/>
      <c r="T470" s="111"/>
      <c r="U470" s="111"/>
      <c r="V470" s="111"/>
      <c r="W470" s="111"/>
      <c r="X470" s="123"/>
      <c r="AG470" s="185"/>
      <c r="AH470" s="185"/>
      <c r="AI470" s="222" t="str">
        <f t="shared" si="15"/>
        <v/>
      </c>
    </row>
    <row r="471" spans="1:35" s="108" customFormat="1" ht="15.75">
      <c r="A471" s="119"/>
      <c r="B471" s="120"/>
      <c r="C471" s="111"/>
      <c r="D471" s="111"/>
      <c r="E471" s="121"/>
      <c r="F471" s="121"/>
      <c r="G471" s="113"/>
      <c r="H471" s="199" t="str">
        <f t="shared" si="14"/>
        <v/>
      </c>
      <c r="I471" s="200" t="str">
        <f>IF(H471="","",IF(AND(AI471&lt;=66),VLOOKUP(H471,'WordRead Look Up'!$A$13:$B$20,2,TRUE),IF(AND(AI471&gt;=67,AI471&lt;=72),VLOOKUP(H471,'WordRead Look Up'!$E$13:$F$20,2,TRUE),IF(AND(AI471&gt;=73,AI471&lt;=78),VLOOKUP(H471,'WordRead Look Up'!$I$13:$J$18,2,TRUE),IF(AND(AI471&gt;=79),VLOOKUP(H471,'WordRead Look Up'!$M$13:$N$18,2,TRUE),"")))))</f>
        <v/>
      </c>
      <c r="J471" s="122"/>
      <c r="K471" s="111"/>
      <c r="L471" s="111"/>
      <c r="M471" s="111"/>
      <c r="N471" s="111"/>
      <c r="O471" s="111"/>
      <c r="P471" s="111"/>
      <c r="Q471" s="111"/>
      <c r="R471" s="111"/>
      <c r="S471" s="111"/>
      <c r="T471" s="111"/>
      <c r="U471" s="111"/>
      <c r="V471" s="111"/>
      <c r="W471" s="111"/>
      <c r="X471" s="123"/>
      <c r="AG471" s="185"/>
      <c r="AH471" s="185"/>
      <c r="AI471" s="222" t="str">
        <f t="shared" si="15"/>
        <v/>
      </c>
    </row>
    <row r="472" spans="1:35" s="108" customFormat="1" ht="15.75">
      <c r="A472" s="119"/>
      <c r="B472" s="120"/>
      <c r="C472" s="111"/>
      <c r="D472" s="111"/>
      <c r="E472" s="121"/>
      <c r="F472" s="121"/>
      <c r="G472" s="113"/>
      <c r="H472" s="199" t="str">
        <f t="shared" si="14"/>
        <v/>
      </c>
      <c r="I472" s="200" t="str">
        <f>IF(H472="","",IF(AND(AI472&lt;=66),VLOOKUP(H472,'WordRead Look Up'!$A$13:$B$20,2,TRUE),IF(AND(AI472&gt;=67,AI472&lt;=72),VLOOKUP(H472,'WordRead Look Up'!$E$13:$F$20,2,TRUE),IF(AND(AI472&gt;=73,AI472&lt;=78),VLOOKUP(H472,'WordRead Look Up'!$I$13:$J$18,2,TRUE),IF(AND(AI472&gt;=79),VLOOKUP(H472,'WordRead Look Up'!$M$13:$N$18,2,TRUE),"")))))</f>
        <v/>
      </c>
      <c r="J472" s="122"/>
      <c r="K472" s="111"/>
      <c r="L472" s="111"/>
      <c r="M472" s="111"/>
      <c r="N472" s="111"/>
      <c r="O472" s="111"/>
      <c r="P472" s="111"/>
      <c r="Q472" s="111"/>
      <c r="R472" s="111"/>
      <c r="S472" s="111"/>
      <c r="T472" s="111"/>
      <c r="U472" s="111"/>
      <c r="V472" s="111"/>
      <c r="W472" s="111"/>
      <c r="X472" s="123"/>
      <c r="AG472" s="185"/>
      <c r="AH472" s="185"/>
      <c r="AI472" s="222" t="str">
        <f t="shared" si="15"/>
        <v/>
      </c>
    </row>
    <row r="473" spans="1:35" s="108" customFormat="1" ht="15.75">
      <c r="A473" s="119"/>
      <c r="B473" s="120"/>
      <c r="C473" s="111"/>
      <c r="D473" s="111"/>
      <c r="E473" s="121"/>
      <c r="F473" s="121"/>
      <c r="G473" s="113"/>
      <c r="H473" s="199" t="str">
        <f t="shared" si="14"/>
        <v/>
      </c>
      <c r="I473" s="200" t="str">
        <f>IF(H473="","",IF(AND(AI473&lt;=66),VLOOKUP(H473,'WordRead Look Up'!$A$13:$B$20,2,TRUE),IF(AND(AI473&gt;=67,AI473&lt;=72),VLOOKUP(H473,'WordRead Look Up'!$E$13:$F$20,2,TRUE),IF(AND(AI473&gt;=73,AI473&lt;=78),VLOOKUP(H473,'WordRead Look Up'!$I$13:$J$18,2,TRUE),IF(AND(AI473&gt;=79),VLOOKUP(H473,'WordRead Look Up'!$M$13:$N$18,2,TRUE),"")))))</f>
        <v/>
      </c>
      <c r="J473" s="122"/>
      <c r="K473" s="111"/>
      <c r="L473" s="111"/>
      <c r="M473" s="111"/>
      <c r="N473" s="111"/>
      <c r="O473" s="111"/>
      <c r="P473" s="111"/>
      <c r="Q473" s="111"/>
      <c r="R473" s="111"/>
      <c r="S473" s="111"/>
      <c r="T473" s="111"/>
      <c r="U473" s="111"/>
      <c r="V473" s="111"/>
      <c r="W473" s="111"/>
      <c r="X473" s="123"/>
      <c r="AG473" s="185"/>
      <c r="AH473" s="185"/>
      <c r="AI473" s="222" t="str">
        <f t="shared" si="15"/>
        <v/>
      </c>
    </row>
    <row r="474" spans="1:35" s="108" customFormat="1" ht="15.75">
      <c r="A474" s="119"/>
      <c r="B474" s="120"/>
      <c r="C474" s="111"/>
      <c r="D474" s="111"/>
      <c r="E474" s="121"/>
      <c r="F474" s="121"/>
      <c r="G474" s="113"/>
      <c r="H474" s="199" t="str">
        <f t="shared" si="14"/>
        <v/>
      </c>
      <c r="I474" s="200" t="str">
        <f>IF(H474="","",IF(AND(AI474&lt;=66),VLOOKUP(H474,'WordRead Look Up'!$A$13:$B$20,2,TRUE),IF(AND(AI474&gt;=67,AI474&lt;=72),VLOOKUP(H474,'WordRead Look Up'!$E$13:$F$20,2,TRUE),IF(AND(AI474&gt;=73,AI474&lt;=78),VLOOKUP(H474,'WordRead Look Up'!$I$13:$J$18,2,TRUE),IF(AND(AI474&gt;=79),VLOOKUP(H474,'WordRead Look Up'!$M$13:$N$18,2,TRUE),"")))))</f>
        <v/>
      </c>
      <c r="J474" s="122"/>
      <c r="K474" s="111"/>
      <c r="L474" s="111"/>
      <c r="M474" s="111"/>
      <c r="N474" s="111"/>
      <c r="O474" s="111"/>
      <c r="P474" s="111"/>
      <c r="Q474" s="111"/>
      <c r="R474" s="111"/>
      <c r="S474" s="111"/>
      <c r="T474" s="111"/>
      <c r="U474" s="111"/>
      <c r="V474" s="111"/>
      <c r="W474" s="111"/>
      <c r="X474" s="123"/>
      <c r="AG474" s="185"/>
      <c r="AH474" s="185"/>
      <c r="AI474" s="222" t="str">
        <f t="shared" si="15"/>
        <v/>
      </c>
    </row>
    <row r="475" spans="1:35" s="108" customFormat="1" ht="15.75">
      <c r="A475" s="119"/>
      <c r="B475" s="120"/>
      <c r="C475" s="111"/>
      <c r="D475" s="111"/>
      <c r="E475" s="121"/>
      <c r="F475" s="121"/>
      <c r="G475" s="113"/>
      <c r="H475" s="199" t="str">
        <f t="shared" si="14"/>
        <v/>
      </c>
      <c r="I475" s="200" t="str">
        <f>IF(H475="","",IF(AND(AI475&lt;=66),VLOOKUP(H475,'WordRead Look Up'!$A$13:$B$20,2,TRUE),IF(AND(AI475&gt;=67,AI475&lt;=72),VLOOKUP(H475,'WordRead Look Up'!$E$13:$F$20,2,TRUE),IF(AND(AI475&gt;=73,AI475&lt;=78),VLOOKUP(H475,'WordRead Look Up'!$I$13:$J$18,2,TRUE),IF(AND(AI475&gt;=79),VLOOKUP(H475,'WordRead Look Up'!$M$13:$N$18,2,TRUE),"")))))</f>
        <v/>
      </c>
      <c r="J475" s="122"/>
      <c r="K475" s="111"/>
      <c r="L475" s="111"/>
      <c r="M475" s="111"/>
      <c r="N475" s="111"/>
      <c r="O475" s="111"/>
      <c r="P475" s="111"/>
      <c r="Q475" s="111"/>
      <c r="R475" s="111"/>
      <c r="S475" s="111"/>
      <c r="T475" s="111"/>
      <c r="U475" s="111"/>
      <c r="V475" s="111"/>
      <c r="W475" s="111"/>
      <c r="X475" s="123"/>
      <c r="AG475" s="185"/>
      <c r="AH475" s="185"/>
      <c r="AI475" s="222" t="str">
        <f t="shared" si="15"/>
        <v/>
      </c>
    </row>
    <row r="476" spans="1:35" s="108" customFormat="1" ht="15.75">
      <c r="A476" s="119"/>
      <c r="B476" s="120"/>
      <c r="C476" s="111"/>
      <c r="D476" s="111"/>
      <c r="E476" s="121"/>
      <c r="F476" s="121"/>
      <c r="G476" s="113"/>
      <c r="H476" s="199" t="str">
        <f t="shared" si="14"/>
        <v/>
      </c>
      <c r="I476" s="200" t="str">
        <f>IF(H476="","",IF(AND(AI476&lt;=66),VLOOKUP(H476,'WordRead Look Up'!$A$13:$B$20,2,TRUE),IF(AND(AI476&gt;=67,AI476&lt;=72),VLOOKUP(H476,'WordRead Look Up'!$E$13:$F$20,2,TRUE),IF(AND(AI476&gt;=73,AI476&lt;=78),VLOOKUP(H476,'WordRead Look Up'!$I$13:$J$18,2,TRUE),IF(AND(AI476&gt;=79),VLOOKUP(H476,'WordRead Look Up'!$M$13:$N$18,2,TRUE),"")))))</f>
        <v/>
      </c>
      <c r="J476" s="122"/>
      <c r="K476" s="111"/>
      <c r="L476" s="111"/>
      <c r="M476" s="111"/>
      <c r="N476" s="111"/>
      <c r="O476" s="111"/>
      <c r="P476" s="111"/>
      <c r="Q476" s="111"/>
      <c r="R476" s="111"/>
      <c r="S476" s="111"/>
      <c r="T476" s="111"/>
      <c r="U476" s="111"/>
      <c r="V476" s="111"/>
      <c r="W476" s="111"/>
      <c r="X476" s="123"/>
      <c r="AG476" s="185"/>
      <c r="AH476" s="185"/>
      <c r="AI476" s="222" t="str">
        <f t="shared" si="15"/>
        <v/>
      </c>
    </row>
    <row r="477" spans="1:35" s="108" customFormat="1" ht="15.75">
      <c r="A477" s="119"/>
      <c r="B477" s="120"/>
      <c r="C477" s="111"/>
      <c r="D477" s="111"/>
      <c r="E477" s="121"/>
      <c r="F477" s="121"/>
      <c r="G477" s="113"/>
      <c r="H477" s="199" t="str">
        <f t="shared" si="14"/>
        <v/>
      </c>
      <c r="I477" s="200" t="str">
        <f>IF(H477="","",IF(AND(AI477&lt;=66),VLOOKUP(H477,'WordRead Look Up'!$A$13:$B$20,2,TRUE),IF(AND(AI477&gt;=67,AI477&lt;=72),VLOOKUP(H477,'WordRead Look Up'!$E$13:$F$20,2,TRUE),IF(AND(AI477&gt;=73,AI477&lt;=78),VLOOKUP(H477,'WordRead Look Up'!$I$13:$J$18,2,TRUE),IF(AND(AI477&gt;=79),VLOOKUP(H477,'WordRead Look Up'!$M$13:$N$18,2,TRUE),"")))))</f>
        <v/>
      </c>
      <c r="J477" s="122"/>
      <c r="K477" s="111"/>
      <c r="L477" s="111"/>
      <c r="M477" s="111"/>
      <c r="N477" s="111"/>
      <c r="O477" s="111"/>
      <c r="P477" s="111"/>
      <c r="Q477" s="111"/>
      <c r="R477" s="111"/>
      <c r="S477" s="111"/>
      <c r="T477" s="111"/>
      <c r="U477" s="111"/>
      <c r="V477" s="111"/>
      <c r="W477" s="111"/>
      <c r="X477" s="123"/>
      <c r="AG477" s="185"/>
      <c r="AH477" s="185"/>
      <c r="AI477" s="222" t="str">
        <f t="shared" si="15"/>
        <v/>
      </c>
    </row>
    <row r="478" spans="1:35" s="108" customFormat="1" ht="15.75">
      <c r="A478" s="119"/>
      <c r="B478" s="120"/>
      <c r="C478" s="111"/>
      <c r="D478" s="111"/>
      <c r="E478" s="121"/>
      <c r="F478" s="121"/>
      <c r="G478" s="113"/>
      <c r="H478" s="199" t="str">
        <f t="shared" si="14"/>
        <v/>
      </c>
      <c r="I478" s="200" t="str">
        <f>IF(H478="","",IF(AND(AI478&lt;=66),VLOOKUP(H478,'WordRead Look Up'!$A$13:$B$20,2,TRUE),IF(AND(AI478&gt;=67,AI478&lt;=72),VLOOKUP(H478,'WordRead Look Up'!$E$13:$F$20,2,TRUE),IF(AND(AI478&gt;=73,AI478&lt;=78),VLOOKUP(H478,'WordRead Look Up'!$I$13:$J$18,2,TRUE),IF(AND(AI478&gt;=79),VLOOKUP(H478,'WordRead Look Up'!$M$13:$N$18,2,TRUE),"")))))</f>
        <v/>
      </c>
      <c r="J478" s="122"/>
      <c r="K478" s="111"/>
      <c r="L478" s="111"/>
      <c r="M478" s="111"/>
      <c r="N478" s="111"/>
      <c r="O478" s="111"/>
      <c r="P478" s="111"/>
      <c r="Q478" s="111"/>
      <c r="R478" s="111"/>
      <c r="S478" s="111"/>
      <c r="T478" s="111"/>
      <c r="U478" s="111"/>
      <c r="V478" s="111"/>
      <c r="W478" s="111"/>
      <c r="X478" s="123"/>
      <c r="AG478" s="185"/>
      <c r="AH478" s="185"/>
      <c r="AI478" s="222" t="str">
        <f t="shared" si="15"/>
        <v/>
      </c>
    </row>
    <row r="479" spans="1:35" s="108" customFormat="1" ht="15.75">
      <c r="A479" s="119"/>
      <c r="B479" s="120"/>
      <c r="C479" s="111"/>
      <c r="D479" s="111"/>
      <c r="E479" s="121"/>
      <c r="F479" s="121"/>
      <c r="G479" s="113"/>
      <c r="H479" s="199" t="str">
        <f t="shared" si="14"/>
        <v/>
      </c>
      <c r="I479" s="200" t="str">
        <f>IF(H479="","",IF(AND(AI479&lt;=66),VLOOKUP(H479,'WordRead Look Up'!$A$13:$B$20,2,TRUE),IF(AND(AI479&gt;=67,AI479&lt;=72),VLOOKUP(H479,'WordRead Look Up'!$E$13:$F$20,2,TRUE),IF(AND(AI479&gt;=73,AI479&lt;=78),VLOOKUP(H479,'WordRead Look Up'!$I$13:$J$18,2,TRUE),IF(AND(AI479&gt;=79),VLOOKUP(H479,'WordRead Look Up'!$M$13:$N$18,2,TRUE),"")))))</f>
        <v/>
      </c>
      <c r="J479" s="122"/>
      <c r="K479" s="111"/>
      <c r="L479" s="111"/>
      <c r="M479" s="111"/>
      <c r="N479" s="111"/>
      <c r="O479" s="111"/>
      <c r="P479" s="111"/>
      <c r="Q479" s="111"/>
      <c r="R479" s="111"/>
      <c r="S479" s="111"/>
      <c r="T479" s="111"/>
      <c r="U479" s="111"/>
      <c r="V479" s="111"/>
      <c r="W479" s="111"/>
      <c r="X479" s="123"/>
      <c r="AG479" s="185"/>
      <c r="AH479" s="185"/>
      <c r="AI479" s="222" t="str">
        <f t="shared" si="15"/>
        <v/>
      </c>
    </row>
    <row r="480" spans="1:35" s="108" customFormat="1" ht="15.75">
      <c r="A480" s="119"/>
      <c r="B480" s="120"/>
      <c r="C480" s="111"/>
      <c r="D480" s="111"/>
      <c r="E480" s="121"/>
      <c r="F480" s="121"/>
      <c r="G480" s="113"/>
      <c r="H480" s="199" t="str">
        <f t="shared" si="14"/>
        <v/>
      </c>
      <c r="I480" s="200" t="str">
        <f>IF(H480="","",IF(AND(AI480&lt;=66),VLOOKUP(H480,'WordRead Look Up'!$A$13:$B$20,2,TRUE),IF(AND(AI480&gt;=67,AI480&lt;=72),VLOOKUP(H480,'WordRead Look Up'!$E$13:$F$20,2,TRUE),IF(AND(AI480&gt;=73,AI480&lt;=78),VLOOKUP(H480,'WordRead Look Up'!$I$13:$J$18,2,TRUE),IF(AND(AI480&gt;=79),VLOOKUP(H480,'WordRead Look Up'!$M$13:$N$18,2,TRUE),"")))))</f>
        <v/>
      </c>
      <c r="J480" s="122"/>
      <c r="K480" s="111"/>
      <c r="L480" s="111"/>
      <c r="M480" s="111"/>
      <c r="N480" s="111"/>
      <c r="O480" s="111"/>
      <c r="P480" s="111"/>
      <c r="Q480" s="111"/>
      <c r="R480" s="111"/>
      <c r="S480" s="111"/>
      <c r="T480" s="111"/>
      <c r="U480" s="111"/>
      <c r="V480" s="111"/>
      <c r="W480" s="111"/>
      <c r="X480" s="123"/>
      <c r="AG480" s="185"/>
      <c r="AH480" s="185"/>
      <c r="AI480" s="222" t="str">
        <f t="shared" si="15"/>
        <v/>
      </c>
    </row>
    <row r="481" spans="1:35" s="108" customFormat="1" ht="15.75">
      <c r="A481" s="119"/>
      <c r="B481" s="120"/>
      <c r="C481" s="111"/>
      <c r="D481" s="111"/>
      <c r="E481" s="121"/>
      <c r="F481" s="121"/>
      <c r="G481" s="113"/>
      <c r="H481" s="199" t="str">
        <f t="shared" si="14"/>
        <v/>
      </c>
      <c r="I481" s="200" t="str">
        <f>IF(H481="","",IF(AND(AI481&lt;=66),VLOOKUP(H481,'WordRead Look Up'!$A$13:$B$20,2,TRUE),IF(AND(AI481&gt;=67,AI481&lt;=72),VLOOKUP(H481,'WordRead Look Up'!$E$13:$F$20,2,TRUE),IF(AND(AI481&gt;=73,AI481&lt;=78),VLOOKUP(H481,'WordRead Look Up'!$I$13:$J$18,2,TRUE),IF(AND(AI481&gt;=79),VLOOKUP(H481,'WordRead Look Up'!$M$13:$N$18,2,TRUE),"")))))</f>
        <v/>
      </c>
      <c r="J481" s="122"/>
      <c r="K481" s="111"/>
      <c r="L481" s="111"/>
      <c r="M481" s="111"/>
      <c r="N481" s="111"/>
      <c r="O481" s="111"/>
      <c r="P481" s="111"/>
      <c r="Q481" s="111"/>
      <c r="R481" s="111"/>
      <c r="S481" s="111"/>
      <c r="T481" s="111"/>
      <c r="U481" s="111"/>
      <c r="V481" s="111"/>
      <c r="W481" s="111"/>
      <c r="X481" s="123"/>
      <c r="AG481" s="185"/>
      <c r="AH481" s="185"/>
      <c r="AI481" s="222" t="str">
        <f t="shared" si="15"/>
        <v/>
      </c>
    </row>
    <row r="482" spans="1:35" s="108" customFormat="1" ht="15.75">
      <c r="A482" s="119"/>
      <c r="B482" s="120"/>
      <c r="C482" s="111"/>
      <c r="D482" s="111"/>
      <c r="E482" s="121"/>
      <c r="F482" s="121"/>
      <c r="G482" s="113"/>
      <c r="H482" s="199" t="str">
        <f t="shared" si="14"/>
        <v/>
      </c>
      <c r="I482" s="200" t="str">
        <f>IF(H482="","",IF(AND(AI482&lt;=66),VLOOKUP(H482,'WordRead Look Up'!$A$13:$B$20,2,TRUE),IF(AND(AI482&gt;=67,AI482&lt;=72),VLOOKUP(H482,'WordRead Look Up'!$E$13:$F$20,2,TRUE),IF(AND(AI482&gt;=73,AI482&lt;=78),VLOOKUP(H482,'WordRead Look Up'!$I$13:$J$18,2,TRUE),IF(AND(AI482&gt;=79),VLOOKUP(H482,'WordRead Look Up'!$M$13:$N$18,2,TRUE),"")))))</f>
        <v/>
      </c>
      <c r="J482" s="122"/>
      <c r="K482" s="111"/>
      <c r="L482" s="111"/>
      <c r="M482" s="111"/>
      <c r="N482" s="111"/>
      <c r="O482" s="111"/>
      <c r="P482" s="111"/>
      <c r="Q482" s="111"/>
      <c r="R482" s="111"/>
      <c r="S482" s="111"/>
      <c r="T482" s="111"/>
      <c r="U482" s="111"/>
      <c r="V482" s="111"/>
      <c r="W482" s="111"/>
      <c r="X482" s="123"/>
      <c r="AG482" s="185"/>
      <c r="AH482" s="185"/>
      <c r="AI482" s="222" t="str">
        <f t="shared" si="15"/>
        <v/>
      </c>
    </row>
    <row r="483" spans="1:35" s="108" customFormat="1" ht="15.75">
      <c r="A483" s="119"/>
      <c r="B483" s="120"/>
      <c r="C483" s="111"/>
      <c r="D483" s="111"/>
      <c r="E483" s="121"/>
      <c r="F483" s="121"/>
      <c r="G483" s="113"/>
      <c r="H483" s="199" t="str">
        <f t="shared" si="14"/>
        <v/>
      </c>
      <c r="I483" s="200" t="str">
        <f>IF(H483="","",IF(AND(AI483&lt;=66),VLOOKUP(H483,'WordRead Look Up'!$A$13:$B$20,2,TRUE),IF(AND(AI483&gt;=67,AI483&lt;=72),VLOOKUP(H483,'WordRead Look Up'!$E$13:$F$20,2,TRUE),IF(AND(AI483&gt;=73,AI483&lt;=78),VLOOKUP(H483,'WordRead Look Up'!$I$13:$J$18,2,TRUE),IF(AND(AI483&gt;=79),VLOOKUP(H483,'WordRead Look Up'!$M$13:$N$18,2,TRUE),"")))))</f>
        <v/>
      </c>
      <c r="J483" s="122"/>
      <c r="K483" s="111"/>
      <c r="L483" s="111"/>
      <c r="M483" s="111"/>
      <c r="N483" s="111"/>
      <c r="O483" s="111"/>
      <c r="P483" s="111"/>
      <c r="Q483" s="111"/>
      <c r="R483" s="111"/>
      <c r="S483" s="111"/>
      <c r="T483" s="111"/>
      <c r="U483" s="111"/>
      <c r="V483" s="111"/>
      <c r="W483" s="111"/>
      <c r="X483" s="123"/>
      <c r="AG483" s="185"/>
      <c r="AH483" s="185"/>
      <c r="AI483" s="222" t="str">
        <f t="shared" si="15"/>
        <v/>
      </c>
    </row>
    <row r="484" spans="1:35" s="108" customFormat="1" ht="15.75">
      <c r="A484" s="119"/>
      <c r="B484" s="120"/>
      <c r="C484" s="111"/>
      <c r="D484" s="111"/>
      <c r="E484" s="121"/>
      <c r="F484" s="121"/>
      <c r="G484" s="113"/>
      <c r="H484" s="199" t="str">
        <f t="shared" si="14"/>
        <v/>
      </c>
      <c r="I484" s="200" t="str">
        <f>IF(H484="","",IF(AND(AI484&lt;=66),VLOOKUP(H484,'WordRead Look Up'!$A$13:$B$20,2,TRUE),IF(AND(AI484&gt;=67,AI484&lt;=72),VLOOKUP(H484,'WordRead Look Up'!$E$13:$F$20,2,TRUE),IF(AND(AI484&gt;=73,AI484&lt;=78),VLOOKUP(H484,'WordRead Look Up'!$I$13:$J$18,2,TRUE),IF(AND(AI484&gt;=79),VLOOKUP(H484,'WordRead Look Up'!$M$13:$N$18,2,TRUE),"")))))</f>
        <v/>
      </c>
      <c r="J484" s="122"/>
      <c r="K484" s="111"/>
      <c r="L484" s="111"/>
      <c r="M484" s="111"/>
      <c r="N484" s="111"/>
      <c r="O484" s="111"/>
      <c r="P484" s="111"/>
      <c r="Q484" s="111"/>
      <c r="R484" s="111"/>
      <c r="S484" s="111"/>
      <c r="T484" s="111"/>
      <c r="U484" s="111"/>
      <c r="V484" s="111"/>
      <c r="W484" s="111"/>
      <c r="X484" s="123"/>
      <c r="AG484" s="185"/>
      <c r="AH484" s="185"/>
      <c r="AI484" s="222" t="str">
        <f t="shared" si="15"/>
        <v/>
      </c>
    </row>
    <row r="485" spans="1:35" s="108" customFormat="1" ht="15.75">
      <c r="A485" s="119"/>
      <c r="B485" s="120"/>
      <c r="C485" s="111"/>
      <c r="D485" s="111"/>
      <c r="E485" s="121"/>
      <c r="F485" s="121"/>
      <c r="G485" s="113"/>
      <c r="H485" s="199" t="str">
        <f t="shared" si="14"/>
        <v/>
      </c>
      <c r="I485" s="200" t="str">
        <f>IF(H485="","",IF(AND(AI485&lt;=66),VLOOKUP(H485,'WordRead Look Up'!$A$13:$B$20,2,TRUE),IF(AND(AI485&gt;=67,AI485&lt;=72),VLOOKUP(H485,'WordRead Look Up'!$E$13:$F$20,2,TRUE),IF(AND(AI485&gt;=73,AI485&lt;=78),VLOOKUP(H485,'WordRead Look Up'!$I$13:$J$18,2,TRUE),IF(AND(AI485&gt;=79),VLOOKUP(H485,'WordRead Look Up'!$M$13:$N$18,2,TRUE),"")))))</f>
        <v/>
      </c>
      <c r="J485" s="122"/>
      <c r="K485" s="111"/>
      <c r="L485" s="111"/>
      <c r="M485" s="111"/>
      <c r="N485" s="111"/>
      <c r="O485" s="111"/>
      <c r="P485" s="111"/>
      <c r="Q485" s="111"/>
      <c r="R485" s="111"/>
      <c r="S485" s="111"/>
      <c r="T485" s="111"/>
      <c r="U485" s="111"/>
      <c r="V485" s="111"/>
      <c r="W485" s="111"/>
      <c r="X485" s="123"/>
      <c r="AG485" s="185"/>
      <c r="AH485" s="185"/>
      <c r="AI485" s="222" t="str">
        <f t="shared" si="15"/>
        <v/>
      </c>
    </row>
    <row r="486" spans="1:35" s="108" customFormat="1" ht="15.75">
      <c r="A486" s="119"/>
      <c r="B486" s="120"/>
      <c r="C486" s="111"/>
      <c r="D486" s="111"/>
      <c r="E486" s="121"/>
      <c r="F486" s="121"/>
      <c r="G486" s="113"/>
      <c r="H486" s="199" t="str">
        <f t="shared" si="14"/>
        <v/>
      </c>
      <c r="I486" s="200" t="str">
        <f>IF(H486="","",IF(AND(AI486&lt;=66),VLOOKUP(H486,'WordRead Look Up'!$A$13:$B$20,2,TRUE),IF(AND(AI486&gt;=67,AI486&lt;=72),VLOOKUP(H486,'WordRead Look Up'!$E$13:$F$20,2,TRUE),IF(AND(AI486&gt;=73,AI486&lt;=78),VLOOKUP(H486,'WordRead Look Up'!$I$13:$J$18,2,TRUE),IF(AND(AI486&gt;=79),VLOOKUP(H486,'WordRead Look Up'!$M$13:$N$18,2,TRUE),"")))))</f>
        <v/>
      </c>
      <c r="J486" s="122"/>
      <c r="K486" s="111"/>
      <c r="L486" s="111"/>
      <c r="M486" s="111"/>
      <c r="N486" s="111"/>
      <c r="O486" s="111"/>
      <c r="P486" s="111"/>
      <c r="Q486" s="111"/>
      <c r="R486" s="111"/>
      <c r="S486" s="111"/>
      <c r="T486" s="111"/>
      <c r="U486" s="111"/>
      <c r="V486" s="111"/>
      <c r="W486" s="111"/>
      <c r="X486" s="123"/>
      <c r="AG486" s="185"/>
      <c r="AH486" s="185"/>
      <c r="AI486" s="222" t="str">
        <f t="shared" si="15"/>
        <v/>
      </c>
    </row>
    <row r="487" spans="1:35" s="108" customFormat="1" ht="15.75">
      <c r="A487" s="119"/>
      <c r="B487" s="120"/>
      <c r="C487" s="111"/>
      <c r="D487" s="111"/>
      <c r="E487" s="121"/>
      <c r="F487" s="121"/>
      <c r="G487" s="113"/>
      <c r="H487" s="199" t="str">
        <f t="shared" si="14"/>
        <v/>
      </c>
      <c r="I487" s="200" t="str">
        <f>IF(H487="","",IF(AND(AI487&lt;=66),VLOOKUP(H487,'WordRead Look Up'!$A$13:$B$20,2,TRUE),IF(AND(AI487&gt;=67,AI487&lt;=72),VLOOKUP(H487,'WordRead Look Up'!$E$13:$F$20,2,TRUE),IF(AND(AI487&gt;=73,AI487&lt;=78),VLOOKUP(H487,'WordRead Look Up'!$I$13:$J$18,2,TRUE),IF(AND(AI487&gt;=79),VLOOKUP(H487,'WordRead Look Up'!$M$13:$N$18,2,TRUE),"")))))</f>
        <v/>
      </c>
      <c r="J487" s="122"/>
      <c r="K487" s="111"/>
      <c r="L487" s="111"/>
      <c r="M487" s="111"/>
      <c r="N487" s="111"/>
      <c r="O487" s="111"/>
      <c r="P487" s="111"/>
      <c r="Q487" s="111"/>
      <c r="R487" s="111"/>
      <c r="S487" s="111"/>
      <c r="T487" s="111"/>
      <c r="U487" s="111"/>
      <c r="V487" s="111"/>
      <c r="W487" s="111"/>
      <c r="X487" s="123"/>
      <c r="AG487" s="185"/>
      <c r="AH487" s="185"/>
      <c r="AI487" s="222" t="str">
        <f t="shared" si="15"/>
        <v/>
      </c>
    </row>
    <row r="488" spans="1:35" s="108" customFormat="1" ht="15.75">
      <c r="A488" s="119"/>
      <c r="B488" s="120"/>
      <c r="C488" s="111"/>
      <c r="D488" s="111"/>
      <c r="E488" s="121"/>
      <c r="F488" s="121"/>
      <c r="G488" s="113"/>
      <c r="H488" s="199" t="str">
        <f t="shared" si="14"/>
        <v/>
      </c>
      <c r="I488" s="200" t="str">
        <f>IF(H488="","",IF(AND(AI488&lt;=66),VLOOKUP(H488,'WordRead Look Up'!$A$13:$B$20,2,TRUE),IF(AND(AI488&gt;=67,AI488&lt;=72),VLOOKUP(H488,'WordRead Look Up'!$E$13:$F$20,2,TRUE),IF(AND(AI488&gt;=73,AI488&lt;=78),VLOOKUP(H488,'WordRead Look Up'!$I$13:$J$18,2,TRUE),IF(AND(AI488&gt;=79),VLOOKUP(H488,'WordRead Look Up'!$M$13:$N$18,2,TRUE),"")))))</f>
        <v/>
      </c>
      <c r="J488" s="122"/>
      <c r="K488" s="111"/>
      <c r="L488" s="111"/>
      <c r="M488" s="111"/>
      <c r="N488" s="111"/>
      <c r="O488" s="111"/>
      <c r="P488" s="111"/>
      <c r="Q488" s="111"/>
      <c r="R488" s="111"/>
      <c r="S488" s="111"/>
      <c r="T488" s="111"/>
      <c r="U488" s="111"/>
      <c r="V488" s="111"/>
      <c r="W488" s="111"/>
      <c r="X488" s="123"/>
      <c r="AG488" s="185"/>
      <c r="AH488" s="185"/>
      <c r="AI488" s="222" t="str">
        <f t="shared" si="15"/>
        <v/>
      </c>
    </row>
    <row r="489" spans="1:35" s="108" customFormat="1" ht="15.75">
      <c r="A489" s="119"/>
      <c r="B489" s="120"/>
      <c r="C489" s="111"/>
      <c r="D489" s="111"/>
      <c r="E489" s="121"/>
      <c r="F489" s="121"/>
      <c r="G489" s="113"/>
      <c r="H489" s="199" t="str">
        <f t="shared" si="14"/>
        <v/>
      </c>
      <c r="I489" s="200" t="str">
        <f>IF(H489="","",IF(AND(AI489&lt;=66),VLOOKUP(H489,'WordRead Look Up'!$A$13:$B$20,2,TRUE),IF(AND(AI489&gt;=67,AI489&lt;=72),VLOOKUP(H489,'WordRead Look Up'!$E$13:$F$20,2,TRUE),IF(AND(AI489&gt;=73,AI489&lt;=78),VLOOKUP(H489,'WordRead Look Up'!$I$13:$J$18,2,TRUE),IF(AND(AI489&gt;=79),VLOOKUP(H489,'WordRead Look Up'!$M$13:$N$18,2,TRUE),"")))))</f>
        <v/>
      </c>
      <c r="J489" s="122"/>
      <c r="K489" s="111"/>
      <c r="L489" s="111"/>
      <c r="M489" s="111"/>
      <c r="N489" s="111"/>
      <c r="O489" s="111"/>
      <c r="P489" s="111"/>
      <c r="Q489" s="111"/>
      <c r="R489" s="111"/>
      <c r="S489" s="111"/>
      <c r="T489" s="111"/>
      <c r="U489" s="111"/>
      <c r="V489" s="111"/>
      <c r="W489" s="111"/>
      <c r="X489" s="123"/>
      <c r="AG489" s="185"/>
      <c r="AH489" s="185"/>
      <c r="AI489" s="222" t="str">
        <f t="shared" si="15"/>
        <v/>
      </c>
    </row>
    <row r="490" spans="1:35" s="108" customFormat="1" ht="15.75">
      <c r="A490" s="119"/>
      <c r="B490" s="120"/>
      <c r="C490" s="111"/>
      <c r="D490" s="111"/>
      <c r="E490" s="121"/>
      <c r="F490" s="121"/>
      <c r="G490" s="113"/>
      <c r="H490" s="199" t="str">
        <f t="shared" si="14"/>
        <v/>
      </c>
      <c r="I490" s="200" t="str">
        <f>IF(H490="","",IF(AND(AI490&lt;=66),VLOOKUP(H490,'WordRead Look Up'!$A$13:$B$20,2,TRUE),IF(AND(AI490&gt;=67,AI490&lt;=72),VLOOKUP(H490,'WordRead Look Up'!$E$13:$F$20,2,TRUE),IF(AND(AI490&gt;=73,AI490&lt;=78),VLOOKUP(H490,'WordRead Look Up'!$I$13:$J$18,2,TRUE),IF(AND(AI490&gt;=79),VLOOKUP(H490,'WordRead Look Up'!$M$13:$N$18,2,TRUE),"")))))</f>
        <v/>
      </c>
      <c r="J490" s="122"/>
      <c r="K490" s="111"/>
      <c r="L490" s="111"/>
      <c r="M490" s="111"/>
      <c r="N490" s="111"/>
      <c r="O490" s="111"/>
      <c r="P490" s="111"/>
      <c r="Q490" s="111"/>
      <c r="R490" s="111"/>
      <c r="S490" s="111"/>
      <c r="T490" s="111"/>
      <c r="U490" s="111"/>
      <c r="V490" s="111"/>
      <c r="W490" s="111"/>
      <c r="X490" s="123"/>
      <c r="AG490" s="185"/>
      <c r="AH490" s="185"/>
      <c r="AI490" s="222" t="str">
        <f t="shared" si="15"/>
        <v/>
      </c>
    </row>
    <row r="491" spans="1:35" s="108" customFormat="1" ht="15.75">
      <c r="A491" s="119"/>
      <c r="B491" s="120"/>
      <c r="C491" s="111"/>
      <c r="D491" s="111"/>
      <c r="E491" s="121"/>
      <c r="F491" s="121"/>
      <c r="G491" s="113"/>
      <c r="H491" s="199" t="str">
        <f t="shared" si="14"/>
        <v/>
      </c>
      <c r="I491" s="200" t="str">
        <f>IF(H491="","",IF(AND(AI491&lt;=66),VLOOKUP(H491,'WordRead Look Up'!$A$13:$B$20,2,TRUE),IF(AND(AI491&gt;=67,AI491&lt;=72),VLOOKUP(H491,'WordRead Look Up'!$E$13:$F$20,2,TRUE),IF(AND(AI491&gt;=73,AI491&lt;=78),VLOOKUP(H491,'WordRead Look Up'!$I$13:$J$18,2,TRUE),IF(AND(AI491&gt;=79),VLOOKUP(H491,'WordRead Look Up'!$M$13:$N$18,2,TRUE),"")))))</f>
        <v/>
      </c>
      <c r="J491" s="122"/>
      <c r="K491" s="111"/>
      <c r="L491" s="111"/>
      <c r="M491" s="111"/>
      <c r="N491" s="111"/>
      <c r="O491" s="111"/>
      <c r="P491" s="111"/>
      <c r="Q491" s="111"/>
      <c r="R491" s="111"/>
      <c r="S491" s="111"/>
      <c r="T491" s="111"/>
      <c r="U491" s="111"/>
      <c r="V491" s="111"/>
      <c r="W491" s="111"/>
      <c r="X491" s="123"/>
      <c r="AG491" s="185"/>
      <c r="AH491" s="185"/>
      <c r="AI491" s="222" t="str">
        <f t="shared" si="15"/>
        <v/>
      </c>
    </row>
    <row r="492" spans="1:35" s="108" customFormat="1" ht="15.75">
      <c r="A492" s="119"/>
      <c r="B492" s="120"/>
      <c r="C492" s="111"/>
      <c r="D492" s="111"/>
      <c r="E492" s="121"/>
      <c r="F492" s="121"/>
      <c r="G492" s="113"/>
      <c r="H492" s="199" t="str">
        <f t="shared" si="14"/>
        <v/>
      </c>
      <c r="I492" s="200" t="str">
        <f>IF(H492="","",IF(AND(AI492&lt;=66),VLOOKUP(H492,'WordRead Look Up'!$A$13:$B$20,2,TRUE),IF(AND(AI492&gt;=67,AI492&lt;=72),VLOOKUP(H492,'WordRead Look Up'!$E$13:$F$20,2,TRUE),IF(AND(AI492&gt;=73,AI492&lt;=78),VLOOKUP(H492,'WordRead Look Up'!$I$13:$J$18,2,TRUE),IF(AND(AI492&gt;=79),VLOOKUP(H492,'WordRead Look Up'!$M$13:$N$18,2,TRUE),"")))))</f>
        <v/>
      </c>
      <c r="J492" s="122"/>
      <c r="K492" s="111"/>
      <c r="L492" s="111"/>
      <c r="M492" s="111"/>
      <c r="N492" s="111"/>
      <c r="O492" s="111"/>
      <c r="P492" s="111"/>
      <c r="Q492" s="111"/>
      <c r="R492" s="111"/>
      <c r="S492" s="111"/>
      <c r="T492" s="111"/>
      <c r="U492" s="111"/>
      <c r="V492" s="111"/>
      <c r="W492" s="111"/>
      <c r="X492" s="123"/>
      <c r="AG492" s="185"/>
      <c r="AH492" s="185"/>
      <c r="AI492" s="222" t="str">
        <f t="shared" si="15"/>
        <v/>
      </c>
    </row>
    <row r="493" spans="1:35" s="108" customFormat="1" ht="15.75">
      <c r="A493" s="260"/>
      <c r="B493" s="261"/>
      <c r="C493" s="262"/>
      <c r="D493" s="262"/>
      <c r="E493" s="263"/>
      <c r="F493" s="263"/>
      <c r="G493" s="264"/>
      <c r="H493" s="243" t="str">
        <f t="shared" si="14"/>
        <v/>
      </c>
      <c r="I493" s="200" t="str">
        <f>IF(H493="","",IF(AND(AI493&lt;=66),VLOOKUP(H493,'WordRead Look Up'!$A$13:$B$20,2,TRUE),IF(AND(AI493&gt;=67,AI493&lt;=72),VLOOKUP(H493,'WordRead Look Up'!$E$13:$F$20,2,TRUE),IF(AND(AI493&gt;=73,AI493&lt;=78),VLOOKUP(H493,'WordRead Look Up'!$I$13:$J$18,2,TRUE),IF(AND(AI493&gt;=79),VLOOKUP(H493,'WordRead Look Up'!$M$13:$N$18,2,TRUE),"")))))</f>
        <v/>
      </c>
      <c r="J493" s="266"/>
      <c r="K493" s="262"/>
      <c r="L493" s="262"/>
      <c r="M493" s="262"/>
      <c r="N493" s="262"/>
      <c r="O493" s="262"/>
      <c r="P493" s="262"/>
      <c r="Q493" s="262"/>
      <c r="R493" s="262"/>
      <c r="S493" s="262"/>
      <c r="T493" s="262"/>
      <c r="U493" s="262"/>
      <c r="V493" s="262"/>
      <c r="W493" s="262"/>
      <c r="X493" s="267"/>
      <c r="AG493" s="185"/>
      <c r="AH493" s="185"/>
      <c r="AI493" s="222" t="str">
        <f t="shared" si="15"/>
        <v/>
      </c>
    </row>
    <row r="494" spans="1:35" s="108" customFormat="1" ht="15.75">
      <c r="A494" s="110"/>
      <c r="B494" s="110"/>
      <c r="C494" s="111"/>
      <c r="D494" s="111"/>
      <c r="E494" s="121"/>
      <c r="F494" s="121"/>
      <c r="G494" s="113"/>
      <c r="H494" s="144" t="str">
        <f t="shared" si="14"/>
        <v/>
      </c>
      <c r="I494" s="200" t="str">
        <f>IF(H494="","",IF(AND(AI494&lt;=66),VLOOKUP(H494,'WordRead Look Up'!$A$13:$B$20,2,TRUE),IF(AND(AI494&gt;=67,AI494&lt;=72),VLOOKUP(H494,'WordRead Look Up'!$E$13:$F$20,2,TRUE),IF(AND(AI494&gt;=73,AI494&lt;=78),VLOOKUP(H494,'WordRead Look Up'!$I$13:$J$18,2,TRUE),IF(AND(AI494&gt;=79),VLOOKUP(H494,'WordRead Look Up'!$M$13:$N$18,2,TRUE),"")))))</f>
        <v/>
      </c>
      <c r="J494" s="122"/>
      <c r="K494" s="111"/>
      <c r="L494" s="111"/>
      <c r="M494" s="111"/>
      <c r="N494" s="111"/>
      <c r="O494" s="111"/>
      <c r="P494" s="111"/>
      <c r="Q494" s="111"/>
      <c r="R494" s="111"/>
      <c r="S494" s="111"/>
      <c r="T494" s="111"/>
      <c r="U494" s="111"/>
      <c r="V494" s="111"/>
      <c r="W494" s="111"/>
      <c r="X494" s="123"/>
      <c r="AG494" s="185"/>
      <c r="AH494" s="185"/>
      <c r="AI494" s="222" t="str">
        <f t="shared" si="15"/>
        <v/>
      </c>
    </row>
    <row r="495" spans="1:35" s="108" customFormat="1" ht="15.75">
      <c r="A495" s="110"/>
      <c r="B495" s="110"/>
      <c r="C495" s="111"/>
      <c r="D495" s="111"/>
      <c r="E495" s="121"/>
      <c r="F495" s="121"/>
      <c r="G495" s="113"/>
      <c r="H495" s="144" t="str">
        <f t="shared" si="14"/>
        <v/>
      </c>
      <c r="I495" s="200" t="str">
        <f>IF(H495="","",IF(AND(AI495&lt;=66),VLOOKUP(H495,'WordRead Look Up'!$A$13:$B$20,2,TRUE),IF(AND(AI495&gt;=67,AI495&lt;=72),VLOOKUP(H495,'WordRead Look Up'!$E$13:$F$20,2,TRUE),IF(AND(AI495&gt;=73,AI495&lt;=78),VLOOKUP(H495,'WordRead Look Up'!$I$13:$J$18,2,TRUE),IF(AND(AI495&gt;=79),VLOOKUP(H495,'WordRead Look Up'!$M$13:$N$18,2,TRUE),"")))))</f>
        <v/>
      </c>
      <c r="J495" s="122"/>
      <c r="K495" s="111"/>
      <c r="L495" s="111"/>
      <c r="M495" s="111"/>
      <c r="N495" s="111"/>
      <c r="O495" s="111"/>
      <c r="P495" s="111"/>
      <c r="Q495" s="111"/>
      <c r="R495" s="111"/>
      <c r="S495" s="111"/>
      <c r="T495" s="111"/>
      <c r="U495" s="111"/>
      <c r="V495" s="111"/>
      <c r="W495" s="111"/>
      <c r="X495" s="123"/>
      <c r="AG495" s="185"/>
      <c r="AH495" s="185"/>
      <c r="AI495" s="222" t="str">
        <f t="shared" si="15"/>
        <v/>
      </c>
    </row>
    <row r="496" spans="1:35" s="108" customFormat="1" ht="15.75">
      <c r="A496" s="110"/>
      <c r="B496" s="110"/>
      <c r="C496" s="111"/>
      <c r="D496" s="111"/>
      <c r="E496" s="121"/>
      <c r="F496" s="121"/>
      <c r="G496" s="113"/>
      <c r="H496" s="144" t="str">
        <f t="shared" si="14"/>
        <v/>
      </c>
      <c r="I496" s="200" t="str">
        <f>IF(H496="","",IF(AND(AI496&lt;=66),VLOOKUP(H496,'WordRead Look Up'!$A$13:$B$20,2,TRUE),IF(AND(AI496&gt;=67,AI496&lt;=72),VLOOKUP(H496,'WordRead Look Up'!$E$13:$F$20,2,TRUE),IF(AND(AI496&gt;=73,AI496&lt;=78),VLOOKUP(H496,'WordRead Look Up'!$I$13:$J$18,2,TRUE),IF(AND(AI496&gt;=79),VLOOKUP(H496,'WordRead Look Up'!$M$13:$N$18,2,TRUE),"")))))</f>
        <v/>
      </c>
      <c r="J496" s="122"/>
      <c r="K496" s="111"/>
      <c r="L496" s="111"/>
      <c r="M496" s="111"/>
      <c r="N496" s="111"/>
      <c r="O496" s="111"/>
      <c r="P496" s="111"/>
      <c r="Q496" s="111"/>
      <c r="R496" s="111"/>
      <c r="S496" s="111"/>
      <c r="T496" s="111"/>
      <c r="U496" s="111"/>
      <c r="V496" s="111"/>
      <c r="W496" s="111"/>
      <c r="X496" s="123"/>
      <c r="AG496" s="185"/>
      <c r="AH496" s="185"/>
      <c r="AI496" s="222" t="str">
        <f t="shared" si="15"/>
        <v/>
      </c>
    </row>
    <row r="497" spans="1:35" s="108" customFormat="1" ht="15.75">
      <c r="A497" s="110"/>
      <c r="B497" s="110"/>
      <c r="C497" s="111"/>
      <c r="D497" s="111"/>
      <c r="E497" s="121"/>
      <c r="F497" s="121"/>
      <c r="G497" s="113"/>
      <c r="H497" s="144" t="str">
        <f t="shared" si="14"/>
        <v/>
      </c>
      <c r="I497" s="200" t="str">
        <f>IF(H497="","",IF(AND(AI497&lt;=66),VLOOKUP(H497,'WordRead Look Up'!$A$13:$B$20,2,TRUE),IF(AND(AI497&gt;=67,AI497&lt;=72),VLOOKUP(H497,'WordRead Look Up'!$E$13:$F$20,2,TRUE),IF(AND(AI497&gt;=73,AI497&lt;=78),VLOOKUP(H497,'WordRead Look Up'!$I$13:$J$18,2,TRUE),IF(AND(AI497&gt;=79),VLOOKUP(H497,'WordRead Look Up'!$M$13:$N$18,2,TRUE),"")))))</f>
        <v/>
      </c>
      <c r="J497" s="122"/>
      <c r="K497" s="111"/>
      <c r="L497" s="111"/>
      <c r="M497" s="111"/>
      <c r="N497" s="111"/>
      <c r="O497" s="111"/>
      <c r="P497" s="111"/>
      <c r="Q497" s="111"/>
      <c r="R497" s="111"/>
      <c r="S497" s="111"/>
      <c r="T497" s="111"/>
      <c r="U497" s="111"/>
      <c r="V497" s="111"/>
      <c r="W497" s="111"/>
      <c r="X497" s="123"/>
      <c r="Z497" s="99"/>
      <c r="AG497" s="185"/>
      <c r="AH497" s="185"/>
      <c r="AI497" s="222" t="str">
        <f t="shared" si="15"/>
        <v/>
      </c>
    </row>
    <row r="498" spans="1:35" s="108" customFormat="1" ht="15.75">
      <c r="A498" s="110"/>
      <c r="B498" s="110"/>
      <c r="C498" s="111"/>
      <c r="D498" s="111"/>
      <c r="E498" s="121"/>
      <c r="F498" s="121"/>
      <c r="G498" s="113"/>
      <c r="H498" s="144" t="str">
        <f t="shared" si="14"/>
        <v/>
      </c>
      <c r="I498" s="200" t="str">
        <f>IF(H498="","",IF(AND(AI498&lt;=66),VLOOKUP(H498,'WordRead Look Up'!$A$13:$B$20,2,TRUE),IF(AND(AI498&gt;=67,AI498&lt;=72),VLOOKUP(H498,'WordRead Look Up'!$E$13:$F$20,2,TRUE),IF(AND(AI498&gt;=73,AI498&lt;=78),VLOOKUP(H498,'WordRead Look Up'!$I$13:$J$18,2,TRUE),IF(AND(AI498&gt;=79),VLOOKUP(H498,'WordRead Look Up'!$M$13:$N$18,2,TRUE),"")))))</f>
        <v/>
      </c>
      <c r="J498" s="122"/>
      <c r="K498" s="111"/>
      <c r="L498" s="111"/>
      <c r="M498" s="111"/>
      <c r="N498" s="111"/>
      <c r="O498" s="111"/>
      <c r="P498" s="111"/>
      <c r="Q498" s="111"/>
      <c r="R498" s="111"/>
      <c r="S498" s="111"/>
      <c r="T498" s="111"/>
      <c r="U498" s="111"/>
      <c r="V498" s="111"/>
      <c r="W498" s="111"/>
      <c r="X498" s="123"/>
      <c r="AG498" s="185"/>
      <c r="AH498" s="185"/>
      <c r="AI498" s="222" t="str">
        <f t="shared" si="15"/>
        <v/>
      </c>
    </row>
    <row r="499" spans="1:35" s="108" customFormat="1" ht="15.75">
      <c r="A499" s="110"/>
      <c r="B499" s="110"/>
      <c r="C499" s="111"/>
      <c r="D499" s="111"/>
      <c r="E499" s="121"/>
      <c r="F499" s="121"/>
      <c r="G499" s="113"/>
      <c r="H499" s="144" t="str">
        <f t="shared" si="14"/>
        <v/>
      </c>
      <c r="I499" s="200" t="str">
        <f>IF(H499="","",IF(AND(AI499&lt;=66),VLOOKUP(H499,'WordRead Look Up'!$A$13:$B$20,2,TRUE),IF(AND(AI499&gt;=67,AI499&lt;=72),VLOOKUP(H499,'WordRead Look Up'!$E$13:$F$20,2,TRUE),IF(AND(AI499&gt;=73,AI499&lt;=78),VLOOKUP(H499,'WordRead Look Up'!$I$13:$J$18,2,TRUE),IF(AND(AI499&gt;=79),VLOOKUP(H499,'WordRead Look Up'!$M$13:$N$18,2,TRUE),"")))))</f>
        <v/>
      </c>
      <c r="J499" s="122"/>
      <c r="K499" s="111"/>
      <c r="L499" s="111"/>
      <c r="M499" s="111"/>
      <c r="N499" s="111"/>
      <c r="O499" s="111"/>
      <c r="P499" s="111"/>
      <c r="Q499" s="111"/>
      <c r="R499" s="111"/>
      <c r="S499" s="111"/>
      <c r="T499" s="111"/>
      <c r="U499" s="111"/>
      <c r="V499" s="111"/>
      <c r="W499" s="111"/>
      <c r="X499" s="123"/>
      <c r="AG499" s="185"/>
      <c r="AH499" s="185"/>
      <c r="AI499" s="222" t="str">
        <f t="shared" si="15"/>
        <v/>
      </c>
    </row>
    <row r="500" spans="1:35" ht="16.5" thickBot="1">
      <c r="A500" s="294"/>
      <c r="B500" s="294"/>
      <c r="C500" s="126"/>
      <c r="D500" s="126"/>
      <c r="E500" s="127"/>
      <c r="F500" s="127"/>
      <c r="G500" s="128"/>
      <c r="H500" s="297" t="str">
        <f t="shared" ref="H500" si="16">IF(E500="","",COUNTIF(J500:X500,"y"))</f>
        <v/>
      </c>
      <c r="I500" s="200" t="str">
        <f>IF(H500="","",IF(AND(AI500&lt;=66),VLOOKUP(H500,'WordRead Look Up'!$A$13:$B$20,2,TRUE),IF(AND(AI500&gt;=67,AI500&lt;=72),VLOOKUP(H500,'WordRead Look Up'!$E$13:$F$20,2,TRUE),IF(AND(AI500&gt;=73,AI500&lt;=78),VLOOKUP(H500,'WordRead Look Up'!$I$13:$J$18,2,TRUE),IF(AND(AI500&gt;=79),VLOOKUP(H500,'WordRead Look Up'!$M$13:$N$18,2,TRUE),"")))))</f>
        <v/>
      </c>
      <c r="J500" s="198"/>
      <c r="K500" s="126"/>
      <c r="L500" s="126"/>
      <c r="M500" s="126"/>
      <c r="N500" s="126"/>
      <c r="O500" s="126"/>
      <c r="P500" s="126"/>
      <c r="Q500" s="126"/>
      <c r="R500" s="126"/>
      <c r="S500" s="126"/>
      <c r="T500" s="126"/>
      <c r="U500" s="126"/>
      <c r="V500" s="126"/>
      <c r="W500" s="126"/>
      <c r="X500" s="242"/>
      <c r="AI500" s="222" t="str">
        <f t="shared" si="15"/>
        <v/>
      </c>
    </row>
  </sheetData>
  <mergeCells count="20">
    <mergeCell ref="F1:H1"/>
    <mergeCell ref="H4:I4"/>
    <mergeCell ref="H5:I5"/>
    <mergeCell ref="J1:X1"/>
    <mergeCell ref="J3:X3"/>
    <mergeCell ref="J5:J6"/>
    <mergeCell ref="K5:K6"/>
    <mergeCell ref="L5:L6"/>
    <mergeCell ref="M5:M6"/>
    <mergeCell ref="N5:N6"/>
    <mergeCell ref="O5:O6"/>
    <mergeCell ref="P5:P6"/>
    <mergeCell ref="Q5:Q6"/>
    <mergeCell ref="R5:R6"/>
    <mergeCell ref="X5:X6"/>
    <mergeCell ref="S5:S6"/>
    <mergeCell ref="T5:T6"/>
    <mergeCell ref="U5:U6"/>
    <mergeCell ref="V5:V6"/>
    <mergeCell ref="W5:W6"/>
  </mergeCells>
  <conditionalFormatting sqref="J8:X500">
    <cfRule type="cellIs" dxfId="1" priority="2" operator="equal">
      <formula>"y"</formula>
    </cfRule>
    <cfRule type="cellIs" dxfId="0" priority="3" stopIfTrue="1" operator="equal">
      <formula>"n"</formula>
    </cfRule>
  </conditionalFormatting>
  <pageMargins left="0.7" right="0.7" top="0.75" bottom="0.75" header="0.3" footer="0.3"/>
  <pageSetup paperSize="9" orientation="portrait" horizontalDpi="0" verticalDpi="0" r:id="rId1"/>
  <ignoredErrors>
    <ignoredError sqref="H8:H500"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N505"/>
  <sheetViews>
    <sheetView topLeftCell="F7" workbookViewId="0">
      <selection activeCell="J3" sqref="J3:X3"/>
    </sheetView>
  </sheetViews>
  <sheetFormatPr defaultRowHeight="15"/>
  <cols>
    <col min="1" max="1" width="38.28515625" style="1" bestFit="1" customWidth="1"/>
    <col min="2" max="2" width="17.7109375" style="30" bestFit="1" customWidth="1"/>
    <col min="5" max="5" width="38.28515625" bestFit="1" customWidth="1"/>
    <col min="6" max="6" width="17.7109375" bestFit="1" customWidth="1"/>
    <col min="7" max="8" width="9.85546875" bestFit="1" customWidth="1"/>
    <col min="9" max="9" width="38.28515625" bestFit="1" customWidth="1"/>
    <col min="10" max="10" width="17.7109375" bestFit="1" customWidth="1"/>
    <col min="13" max="13" width="38.28515625" bestFit="1" customWidth="1"/>
    <col min="14" max="14" width="17.7109375" bestFit="1" customWidth="1"/>
  </cols>
  <sheetData>
    <row r="1" spans="1:14" ht="27.75">
      <c r="A1" s="21"/>
      <c r="B1" s="38"/>
      <c r="C1" s="20"/>
      <c r="D1" s="20"/>
      <c r="E1" s="20"/>
      <c r="F1" s="20"/>
      <c r="G1" s="20"/>
      <c r="H1" s="20"/>
      <c r="I1" s="20"/>
      <c r="J1" s="20"/>
      <c r="K1" s="20"/>
      <c r="L1" s="20"/>
      <c r="M1" s="20"/>
      <c r="N1" s="20"/>
    </row>
    <row r="2" spans="1:14" ht="26.25">
      <c r="A2" s="19"/>
      <c r="B2" s="37"/>
      <c r="C2" s="10"/>
      <c r="D2" s="10"/>
      <c r="E2" s="10"/>
      <c r="F2" s="10"/>
      <c r="G2" s="10"/>
      <c r="H2" s="10"/>
      <c r="I2" s="10"/>
      <c r="J2" s="10"/>
      <c r="K2" s="10"/>
      <c r="L2" s="10"/>
      <c r="M2" s="10"/>
      <c r="N2" s="10"/>
    </row>
    <row r="3" spans="1:14">
      <c r="A3" s="16"/>
      <c r="B3" s="34"/>
      <c r="C3" s="7"/>
      <c r="D3" s="7"/>
      <c r="E3" s="7"/>
      <c r="F3" s="7"/>
      <c r="G3" s="7"/>
      <c r="H3" s="7"/>
      <c r="I3" s="7"/>
      <c r="J3" s="7"/>
      <c r="K3" s="7"/>
      <c r="L3" s="7"/>
      <c r="M3" s="7"/>
      <c r="N3" s="7"/>
    </row>
    <row r="4" spans="1:14" ht="20.25">
      <c r="A4" s="18"/>
      <c r="B4" s="36"/>
      <c r="C4" s="9"/>
      <c r="D4" s="9"/>
      <c r="E4" s="9"/>
      <c r="F4" s="9"/>
      <c r="G4" s="9"/>
      <c r="H4" s="9"/>
      <c r="I4" s="9"/>
      <c r="J4" s="9"/>
      <c r="K4" s="9"/>
      <c r="L4" s="9"/>
      <c r="M4" s="9"/>
      <c r="N4" s="9"/>
    </row>
    <row r="5" spans="1:14">
      <c r="A5" s="15"/>
      <c r="B5" s="34"/>
      <c r="C5" s="6"/>
      <c r="D5" s="6"/>
      <c r="E5" s="6"/>
      <c r="F5" s="6"/>
      <c r="G5" s="6"/>
      <c r="H5" s="6"/>
      <c r="I5" s="6"/>
      <c r="J5" s="6"/>
      <c r="K5" s="6"/>
      <c r="L5" s="6"/>
      <c r="M5" s="6"/>
      <c r="N5" s="6"/>
    </row>
    <row r="6" spans="1:14">
      <c r="A6" s="16"/>
      <c r="B6" s="34"/>
      <c r="C6" s="7"/>
      <c r="D6" s="7"/>
      <c r="E6" s="7"/>
      <c r="F6" s="7"/>
      <c r="G6" s="7"/>
      <c r="H6" s="7"/>
      <c r="I6" s="7"/>
      <c r="J6" s="7"/>
      <c r="K6" s="7"/>
      <c r="L6" s="7"/>
      <c r="M6" s="7"/>
      <c r="N6" s="7"/>
    </row>
    <row r="7" spans="1:14">
      <c r="A7" s="17"/>
      <c r="B7" s="35"/>
      <c r="C7" s="8"/>
      <c r="D7" s="8"/>
      <c r="E7" s="8"/>
      <c r="F7" s="8"/>
      <c r="G7" s="8"/>
      <c r="H7" s="8"/>
      <c r="I7" s="8"/>
      <c r="J7" s="8"/>
      <c r="K7" s="8"/>
      <c r="L7" s="8"/>
      <c r="M7" s="8"/>
      <c r="N7" s="8"/>
    </row>
    <row r="8" spans="1:14">
      <c r="A8" s="17"/>
      <c r="B8" s="35"/>
      <c r="C8" s="8"/>
      <c r="D8" s="8"/>
      <c r="E8" s="8"/>
      <c r="F8" s="8"/>
      <c r="G8" s="8"/>
      <c r="H8" s="8"/>
      <c r="I8" s="8"/>
      <c r="J8" s="8"/>
      <c r="K8" s="8"/>
      <c r="L8" s="8"/>
      <c r="M8" s="8"/>
      <c r="N8" s="8"/>
    </row>
    <row r="9" spans="1:14">
      <c r="A9" s="16" t="s">
        <v>138</v>
      </c>
      <c r="B9" s="34"/>
      <c r="C9" s="7"/>
      <c r="D9" s="7"/>
      <c r="E9" s="7"/>
      <c r="F9" s="7"/>
      <c r="G9" s="7"/>
      <c r="H9" s="7"/>
      <c r="I9" s="7"/>
      <c r="J9" s="7"/>
      <c r="K9" s="7"/>
      <c r="L9" s="7"/>
      <c r="M9" s="7"/>
      <c r="N9" s="7"/>
    </row>
    <row r="10" spans="1:14">
      <c r="A10" s="15"/>
      <c r="B10" s="34"/>
      <c r="C10" s="6"/>
      <c r="D10" s="6"/>
      <c r="E10" s="6"/>
      <c r="F10" s="6"/>
      <c r="G10" s="6"/>
      <c r="H10" s="6"/>
      <c r="I10" s="6"/>
      <c r="J10" s="6"/>
      <c r="K10" s="6"/>
      <c r="L10" s="6"/>
      <c r="M10" s="6"/>
      <c r="N10" s="6"/>
    </row>
    <row r="11" spans="1:14" ht="30.75">
      <c r="A11" s="14" t="s">
        <v>175</v>
      </c>
      <c r="B11" s="31"/>
      <c r="C11" s="2"/>
      <c r="D11" s="2"/>
      <c r="E11" s="14" t="s">
        <v>174</v>
      </c>
      <c r="F11" s="11"/>
      <c r="G11" s="5"/>
      <c r="H11" s="5"/>
      <c r="I11" s="14" t="s">
        <v>173</v>
      </c>
      <c r="J11" s="11"/>
      <c r="K11" s="5"/>
      <c r="L11" s="5"/>
      <c r="M11" s="14" t="s">
        <v>172</v>
      </c>
      <c r="N11" s="11"/>
    </row>
    <row r="12" spans="1:14" ht="15.75">
      <c r="A12" s="13" t="s">
        <v>43</v>
      </c>
      <c r="B12" s="33" t="s">
        <v>42</v>
      </c>
      <c r="C12" s="2"/>
      <c r="D12" s="2"/>
      <c r="E12" s="13" t="s">
        <v>43</v>
      </c>
      <c r="F12" s="13" t="s">
        <v>42</v>
      </c>
      <c r="G12" s="5"/>
      <c r="H12" s="5"/>
      <c r="I12" s="13" t="s">
        <v>43</v>
      </c>
      <c r="J12" s="13" t="s">
        <v>42</v>
      </c>
      <c r="K12" s="5"/>
      <c r="L12" s="5"/>
      <c r="M12" s="13" t="s">
        <v>43</v>
      </c>
      <c r="N12" s="13" t="s">
        <v>42</v>
      </c>
    </row>
    <row r="13" spans="1:14" ht="15.75">
      <c r="A13" s="3">
        <v>0</v>
      </c>
      <c r="B13" s="3" t="s">
        <v>171</v>
      </c>
      <c r="C13" s="2"/>
      <c r="D13" s="2"/>
      <c r="E13" s="3">
        <v>0</v>
      </c>
      <c r="F13" s="12">
        <v>1</v>
      </c>
      <c r="G13" s="4"/>
      <c r="H13" s="4"/>
      <c r="I13" s="3">
        <v>0</v>
      </c>
      <c r="J13" s="12">
        <v>1</v>
      </c>
      <c r="K13" s="4"/>
      <c r="L13" s="4"/>
      <c r="M13" s="3">
        <v>0</v>
      </c>
      <c r="N13" s="3">
        <v>1</v>
      </c>
    </row>
    <row r="14" spans="1:14" ht="15.75">
      <c r="A14" s="3">
        <v>1</v>
      </c>
      <c r="B14" s="3" t="s">
        <v>170</v>
      </c>
      <c r="C14" s="2"/>
      <c r="D14" s="2"/>
      <c r="E14" s="3">
        <v>1</v>
      </c>
      <c r="F14" s="12">
        <v>2</v>
      </c>
      <c r="G14" s="5"/>
      <c r="H14" s="5"/>
      <c r="I14" s="3">
        <v>2</v>
      </c>
      <c r="J14" s="12">
        <v>2</v>
      </c>
      <c r="K14" s="5"/>
      <c r="L14" s="5"/>
      <c r="M14" s="3">
        <v>5</v>
      </c>
      <c r="N14" s="3">
        <v>2</v>
      </c>
    </row>
    <row r="15" spans="1:14" ht="15.75">
      <c r="A15" s="3">
        <v>2</v>
      </c>
      <c r="B15" s="3" t="s">
        <v>118</v>
      </c>
      <c r="C15" s="2"/>
      <c r="D15" s="2"/>
      <c r="E15" s="3">
        <v>2</v>
      </c>
      <c r="F15" s="12">
        <v>3</v>
      </c>
      <c r="G15" s="5"/>
      <c r="H15" s="5"/>
      <c r="I15" s="3">
        <v>5</v>
      </c>
      <c r="J15" s="12">
        <v>3</v>
      </c>
      <c r="K15" s="5"/>
      <c r="L15" s="5"/>
      <c r="M15" s="3">
        <v>11</v>
      </c>
      <c r="N15" s="3">
        <v>3</v>
      </c>
    </row>
    <row r="16" spans="1:14" ht="15.75">
      <c r="A16" s="3">
        <v>3</v>
      </c>
      <c r="B16" s="3" t="s">
        <v>117</v>
      </c>
      <c r="C16" s="2"/>
      <c r="D16" s="2"/>
      <c r="E16" s="3">
        <v>4</v>
      </c>
      <c r="F16" s="12">
        <v>4</v>
      </c>
      <c r="G16" s="5"/>
      <c r="H16" s="5"/>
      <c r="I16" s="3">
        <v>10</v>
      </c>
      <c r="J16" s="12">
        <v>4</v>
      </c>
      <c r="K16" s="5"/>
      <c r="L16" s="5"/>
      <c r="M16" s="3">
        <v>13</v>
      </c>
      <c r="N16" s="12" t="s">
        <v>118</v>
      </c>
    </row>
    <row r="17" spans="1:14" ht="15.75">
      <c r="A17" s="3">
        <v>5</v>
      </c>
      <c r="B17" s="3">
        <v>6</v>
      </c>
      <c r="C17" s="2"/>
      <c r="D17" s="2"/>
      <c r="E17" s="3">
        <v>7</v>
      </c>
      <c r="F17" s="12">
        <v>5</v>
      </c>
      <c r="G17" s="5"/>
      <c r="H17" s="5"/>
      <c r="I17" s="3">
        <v>13</v>
      </c>
      <c r="J17" s="12">
        <v>5</v>
      </c>
      <c r="K17" s="5"/>
      <c r="L17" s="5"/>
      <c r="M17" s="3">
        <v>14</v>
      </c>
      <c r="N17" s="12" t="s">
        <v>117</v>
      </c>
    </row>
    <row r="18" spans="1:14" ht="15.75">
      <c r="A18" s="3">
        <v>9</v>
      </c>
      <c r="B18" s="3">
        <v>7</v>
      </c>
      <c r="C18" s="2"/>
      <c r="D18" s="2"/>
      <c r="E18" s="3">
        <v>11</v>
      </c>
      <c r="F18" s="12">
        <v>6</v>
      </c>
      <c r="G18" s="4"/>
      <c r="H18" s="4"/>
      <c r="I18" s="3">
        <v>15</v>
      </c>
      <c r="J18" s="12" t="s">
        <v>105</v>
      </c>
      <c r="K18" s="4"/>
      <c r="L18" s="4"/>
      <c r="M18" s="3">
        <v>15</v>
      </c>
      <c r="N18" s="32" t="s">
        <v>105</v>
      </c>
    </row>
    <row r="19" spans="1:14">
      <c r="A19" s="3">
        <v>12</v>
      </c>
      <c r="B19" s="3">
        <v>8</v>
      </c>
      <c r="C19" s="2"/>
      <c r="D19" s="2"/>
      <c r="E19" s="3">
        <v>14</v>
      </c>
      <c r="F19" s="12" t="s">
        <v>116</v>
      </c>
      <c r="G19" s="2"/>
      <c r="H19" s="2"/>
      <c r="I19" s="11"/>
      <c r="J19" s="31"/>
      <c r="K19" s="2"/>
      <c r="L19" s="2"/>
    </row>
    <row r="20" spans="1:14" ht="15.75">
      <c r="A20" s="3">
        <v>15</v>
      </c>
      <c r="B20" s="3">
        <v>9</v>
      </c>
      <c r="C20" s="2"/>
      <c r="D20" s="2"/>
      <c r="E20" s="3">
        <v>15</v>
      </c>
      <c r="F20" s="12" t="s">
        <v>41</v>
      </c>
      <c r="G20" s="5"/>
      <c r="H20" s="5"/>
      <c r="I20" s="4"/>
      <c r="J20" s="4"/>
      <c r="K20" s="5"/>
      <c r="L20" s="5"/>
    </row>
    <row r="21" spans="1:14" ht="15.75">
      <c r="A21" s="11"/>
      <c r="B21" s="31"/>
      <c r="C21" s="2"/>
      <c r="D21" s="2"/>
      <c r="E21" s="11"/>
      <c r="F21" s="11"/>
      <c r="G21" s="5"/>
      <c r="H21" s="5"/>
      <c r="I21" s="2"/>
      <c r="J21" s="2"/>
      <c r="K21" s="5"/>
      <c r="L21" s="5"/>
      <c r="M21" s="5"/>
      <c r="N21" s="5"/>
    </row>
    <row r="22" spans="1:14" ht="15.75">
      <c r="A22" s="11"/>
      <c r="B22" s="31"/>
      <c r="C22" s="2"/>
      <c r="D22" s="2"/>
      <c r="E22" s="11"/>
      <c r="F22" s="11"/>
      <c r="G22" s="4"/>
      <c r="H22" s="4"/>
      <c r="I22" s="5"/>
      <c r="J22" s="5"/>
      <c r="K22" s="4"/>
      <c r="L22" s="4"/>
      <c r="M22" s="4"/>
      <c r="N22" s="4"/>
    </row>
    <row r="23" spans="1:14" ht="15.75">
      <c r="A23" s="11"/>
      <c r="B23" s="31"/>
      <c r="C23" s="2"/>
      <c r="D23" s="2"/>
      <c r="E23" s="11"/>
      <c r="F23" s="11"/>
      <c r="G23" s="2"/>
      <c r="H23" s="2"/>
      <c r="I23" s="5"/>
      <c r="J23" s="5"/>
      <c r="K23" s="2"/>
      <c r="L23" s="2"/>
      <c r="M23" s="2"/>
      <c r="N23" s="2"/>
    </row>
    <row r="24" spans="1:14" ht="15.75">
      <c r="A24" s="11"/>
      <c r="B24" s="31"/>
      <c r="C24" s="2"/>
      <c r="D24" s="2"/>
      <c r="E24" s="11"/>
      <c r="F24" s="11"/>
      <c r="G24" s="5"/>
      <c r="H24" s="5"/>
      <c r="I24" s="4"/>
      <c r="J24" s="4"/>
      <c r="K24" s="5"/>
      <c r="L24" s="5"/>
      <c r="M24" s="5"/>
      <c r="N24" s="5"/>
    </row>
    <row r="25" spans="1:14" ht="15.75">
      <c r="A25" s="11"/>
      <c r="B25" s="31"/>
      <c r="C25" s="2"/>
      <c r="D25" s="2"/>
      <c r="E25" s="11"/>
      <c r="F25" s="11"/>
      <c r="G25" s="5"/>
      <c r="H25" s="5"/>
      <c r="I25" s="2"/>
      <c r="J25" s="2"/>
      <c r="K25" s="5"/>
      <c r="L25" s="5"/>
      <c r="M25" s="5"/>
      <c r="N25" s="5"/>
    </row>
    <row r="26" spans="1:14" ht="15.75">
      <c r="A26" s="11"/>
      <c r="B26" s="31"/>
      <c r="C26" s="2"/>
      <c r="D26" s="2"/>
      <c r="E26" s="11"/>
      <c r="F26" s="11"/>
      <c r="G26" s="4"/>
      <c r="H26" s="4"/>
      <c r="I26" s="2"/>
      <c r="J26" s="2"/>
      <c r="K26" s="4"/>
      <c r="L26" s="4"/>
      <c r="M26" s="4"/>
      <c r="N26" s="4"/>
    </row>
    <row r="27" spans="1:14">
      <c r="A27" s="11"/>
      <c r="B27" s="31"/>
      <c r="C27" s="2"/>
      <c r="D27" s="2"/>
      <c r="E27" s="11"/>
      <c r="F27" s="11"/>
      <c r="G27" s="2"/>
      <c r="H27" s="2"/>
      <c r="I27" s="2"/>
      <c r="J27" s="2"/>
      <c r="K27" s="2"/>
      <c r="L27" s="2"/>
      <c r="M27" s="2"/>
      <c r="N27" s="2"/>
    </row>
    <row r="28" spans="1:14">
      <c r="A28" s="11"/>
      <c r="B28" s="31"/>
      <c r="C28" s="2"/>
      <c r="D28" s="2"/>
      <c r="E28" s="11"/>
      <c r="F28" s="11"/>
      <c r="G28" s="2"/>
      <c r="H28" s="2"/>
      <c r="I28" s="2"/>
      <c r="J28" s="2"/>
      <c r="K28" s="2"/>
      <c r="L28" s="2"/>
      <c r="M28" s="2"/>
      <c r="N28" s="2"/>
    </row>
    <row r="29" spans="1:14">
      <c r="A29" s="11"/>
      <c r="B29" s="31"/>
      <c r="C29" s="2"/>
      <c r="D29" s="2"/>
      <c r="E29" s="11"/>
      <c r="F29" s="11"/>
      <c r="G29" s="2"/>
      <c r="H29" s="2"/>
      <c r="I29" s="2"/>
      <c r="J29" s="2"/>
      <c r="K29" s="2"/>
      <c r="L29" s="2"/>
      <c r="M29" s="2"/>
      <c r="N29" s="2"/>
    </row>
    <row r="30" spans="1:14">
      <c r="A30" s="11"/>
      <c r="B30" s="31"/>
      <c r="C30" s="2"/>
      <c r="D30" s="2"/>
      <c r="E30" s="11"/>
      <c r="F30" s="11"/>
      <c r="G30" s="2"/>
      <c r="H30" s="2"/>
      <c r="I30" s="2"/>
      <c r="J30" s="2"/>
      <c r="K30" s="2"/>
      <c r="L30" s="2"/>
      <c r="M30" s="2"/>
      <c r="N30" s="2"/>
    </row>
    <row r="31" spans="1:14">
      <c r="A31" s="11"/>
      <c r="B31" s="31"/>
      <c r="C31" s="2"/>
      <c r="D31" s="2"/>
      <c r="E31" s="11"/>
      <c r="F31" s="11"/>
      <c r="G31" s="2"/>
      <c r="H31" s="2"/>
      <c r="I31" s="2"/>
      <c r="J31" s="2"/>
      <c r="K31" s="2"/>
      <c r="L31" s="2"/>
      <c r="M31" s="2"/>
      <c r="N31" s="2"/>
    </row>
    <row r="32" spans="1:14">
      <c r="A32" s="11"/>
      <c r="B32" s="31"/>
      <c r="C32" s="2"/>
      <c r="D32" s="2"/>
      <c r="E32" s="11"/>
      <c r="F32" s="11"/>
      <c r="G32" s="2"/>
      <c r="H32" s="2"/>
      <c r="I32" s="2"/>
      <c r="J32" s="2"/>
      <c r="K32" s="2"/>
      <c r="L32" s="2"/>
      <c r="M32" s="2"/>
      <c r="N32" s="2"/>
    </row>
    <row r="33" spans="1:14">
      <c r="A33" s="11"/>
      <c r="B33" s="31"/>
      <c r="C33" s="2"/>
      <c r="D33" s="2"/>
      <c r="E33" s="11"/>
      <c r="F33" s="11"/>
      <c r="G33" s="2"/>
      <c r="H33" s="2"/>
      <c r="I33" s="2"/>
      <c r="J33" s="2"/>
      <c r="K33" s="2"/>
      <c r="L33" s="2"/>
      <c r="M33" s="2"/>
      <c r="N33" s="2"/>
    </row>
    <row r="34" spans="1:14">
      <c r="A34" s="11"/>
      <c r="B34" s="31"/>
      <c r="C34" s="2"/>
      <c r="D34" s="2"/>
      <c r="E34" s="11"/>
      <c r="F34" s="11"/>
      <c r="G34" s="2"/>
      <c r="H34" s="2"/>
      <c r="I34" s="2"/>
      <c r="J34" s="2"/>
      <c r="K34" s="2"/>
      <c r="L34" s="2"/>
      <c r="M34" s="2"/>
      <c r="N34" s="2"/>
    </row>
    <row r="35" spans="1:14">
      <c r="A35" s="11"/>
      <c r="B35" s="31"/>
      <c r="C35" s="2"/>
      <c r="D35" s="2"/>
      <c r="E35" s="11"/>
      <c r="F35" s="11"/>
      <c r="G35" s="2"/>
      <c r="H35" s="2"/>
      <c r="I35" s="2"/>
      <c r="J35" s="2"/>
      <c r="K35" s="2"/>
      <c r="L35" s="2"/>
      <c r="M35" s="2"/>
      <c r="N35" s="2"/>
    </row>
    <row r="36" spans="1:14">
      <c r="A36" s="11"/>
      <c r="B36" s="31"/>
      <c r="C36" s="2"/>
      <c r="D36" s="2"/>
      <c r="E36" s="2"/>
      <c r="F36" s="2"/>
      <c r="G36" s="2"/>
      <c r="H36" s="2"/>
      <c r="I36" s="2"/>
      <c r="J36" s="2"/>
      <c r="K36" s="2"/>
      <c r="L36" s="2"/>
      <c r="M36" s="2"/>
      <c r="N36" s="2"/>
    </row>
    <row r="37" spans="1:14">
      <c r="A37" s="11"/>
      <c r="B37" s="31"/>
      <c r="C37" s="2"/>
      <c r="D37" s="2"/>
      <c r="E37" s="2"/>
      <c r="F37" s="2"/>
      <c r="G37" s="2"/>
      <c r="H37" s="2"/>
      <c r="I37" s="2"/>
      <c r="J37" s="2"/>
      <c r="K37" s="2"/>
      <c r="L37" s="2"/>
      <c r="M37" s="2"/>
      <c r="N37" s="2"/>
    </row>
    <row r="38" spans="1:14">
      <c r="A38" s="11"/>
      <c r="B38" s="31"/>
      <c r="C38" s="2"/>
      <c r="D38" s="2"/>
      <c r="E38" s="2"/>
      <c r="F38" s="2"/>
      <c r="G38" s="2"/>
      <c r="H38" s="2"/>
      <c r="I38" s="2"/>
      <c r="J38" s="2"/>
      <c r="K38" s="2"/>
      <c r="L38" s="2"/>
      <c r="M38" s="2"/>
      <c r="N38" s="2"/>
    </row>
    <row r="39" spans="1:14">
      <c r="A39" s="11"/>
      <c r="B39" s="31"/>
      <c r="C39" s="2"/>
      <c r="D39" s="2"/>
      <c r="E39" s="2"/>
      <c r="F39" s="2"/>
      <c r="G39" s="2"/>
      <c r="H39" s="2"/>
      <c r="I39" s="2"/>
      <c r="J39" s="2"/>
      <c r="K39" s="2"/>
      <c r="L39" s="2"/>
      <c r="M39" s="2"/>
      <c r="N39" s="2"/>
    </row>
    <row r="40" spans="1:14">
      <c r="A40" s="11"/>
      <c r="B40" s="31"/>
      <c r="C40" s="2"/>
      <c r="D40" s="2"/>
      <c r="E40" s="2"/>
      <c r="F40" s="2"/>
      <c r="G40" s="2"/>
      <c r="H40" s="2"/>
      <c r="I40" s="2"/>
      <c r="J40" s="2"/>
      <c r="K40" s="2"/>
      <c r="L40" s="2"/>
      <c r="M40" s="2"/>
      <c r="N40" s="2"/>
    </row>
    <row r="41" spans="1:14">
      <c r="A41" s="11"/>
      <c r="B41" s="31"/>
      <c r="C41" s="2"/>
      <c r="D41" s="2"/>
      <c r="E41" s="2"/>
      <c r="F41" s="2"/>
      <c r="G41" s="2"/>
      <c r="H41" s="2"/>
      <c r="I41" s="2"/>
      <c r="J41" s="2"/>
      <c r="K41" s="2"/>
      <c r="L41" s="2"/>
      <c r="M41" s="2"/>
      <c r="N41" s="2"/>
    </row>
    <row r="42" spans="1:14">
      <c r="A42" s="11"/>
      <c r="B42" s="31"/>
      <c r="C42" s="2"/>
      <c r="D42" s="2"/>
      <c r="E42" s="2"/>
      <c r="F42" s="2"/>
      <c r="G42" s="2"/>
      <c r="H42" s="2"/>
      <c r="I42" s="2"/>
      <c r="J42" s="2"/>
      <c r="K42" s="2"/>
      <c r="L42" s="2"/>
      <c r="M42" s="2"/>
      <c r="N42" s="2"/>
    </row>
    <row r="43" spans="1:14">
      <c r="A43" s="11"/>
      <c r="B43" s="31"/>
      <c r="C43" s="2"/>
      <c r="D43" s="2"/>
      <c r="E43" s="2"/>
      <c r="F43" s="2"/>
      <c r="G43" s="2"/>
      <c r="H43" s="2"/>
      <c r="I43" s="2"/>
      <c r="J43" s="2"/>
      <c r="K43" s="2"/>
      <c r="L43" s="2"/>
      <c r="M43" s="2"/>
      <c r="N43" s="2"/>
    </row>
    <row r="44" spans="1:14">
      <c r="A44" s="11"/>
      <c r="B44" s="31"/>
      <c r="C44" s="2"/>
      <c r="D44" s="2"/>
      <c r="E44" s="2"/>
      <c r="F44" s="2"/>
      <c r="G44" s="2"/>
      <c r="H44" s="2"/>
      <c r="I44" s="2"/>
      <c r="J44" s="2"/>
      <c r="K44" s="2"/>
      <c r="L44" s="2"/>
      <c r="M44" s="2"/>
      <c r="N44" s="2"/>
    </row>
    <row r="45" spans="1:14">
      <c r="A45" s="11"/>
      <c r="B45" s="31"/>
      <c r="C45" s="2"/>
      <c r="D45" s="2"/>
      <c r="E45" s="2"/>
      <c r="F45" s="2"/>
      <c r="G45" s="2"/>
      <c r="H45" s="2"/>
      <c r="I45" s="2"/>
      <c r="J45" s="2"/>
      <c r="K45" s="2"/>
      <c r="L45" s="2"/>
      <c r="M45" s="2"/>
      <c r="N45" s="2"/>
    </row>
    <row r="46" spans="1:14">
      <c r="A46" s="11"/>
      <c r="B46" s="31"/>
      <c r="C46" s="2"/>
      <c r="D46" s="2"/>
      <c r="E46" s="2"/>
      <c r="F46" s="2"/>
      <c r="G46" s="2"/>
      <c r="H46" s="2"/>
      <c r="I46" s="2"/>
      <c r="J46" s="2"/>
      <c r="K46" s="2"/>
      <c r="L46" s="2"/>
      <c r="M46" s="2"/>
      <c r="N46" s="2"/>
    </row>
    <row r="47" spans="1:14">
      <c r="A47" s="11"/>
      <c r="B47" s="31"/>
      <c r="C47" s="2"/>
      <c r="D47" s="2"/>
      <c r="E47" s="2"/>
      <c r="F47" s="2"/>
      <c r="G47" s="2"/>
      <c r="H47" s="2"/>
      <c r="I47" s="2"/>
      <c r="J47" s="2"/>
      <c r="K47" s="2"/>
      <c r="L47" s="2"/>
      <c r="M47" s="2"/>
      <c r="N47" s="2"/>
    </row>
    <row r="48" spans="1:14">
      <c r="A48" s="11"/>
      <c r="B48" s="31"/>
      <c r="C48" s="2"/>
      <c r="D48" s="2"/>
      <c r="E48" s="2"/>
      <c r="F48" s="2"/>
      <c r="G48" s="2"/>
      <c r="H48" s="2"/>
      <c r="I48" s="2"/>
      <c r="J48" s="2"/>
      <c r="K48" s="2"/>
      <c r="L48" s="2"/>
      <c r="M48" s="2"/>
      <c r="N48" s="2"/>
    </row>
    <row r="49" spans="1:14">
      <c r="A49" s="11"/>
      <c r="B49" s="31"/>
      <c r="C49" s="2"/>
      <c r="D49" s="2"/>
      <c r="E49" s="2"/>
      <c r="F49" s="2"/>
      <c r="G49" s="2"/>
      <c r="H49" s="2"/>
      <c r="I49" s="2"/>
      <c r="J49" s="2"/>
      <c r="K49" s="2"/>
      <c r="L49" s="2"/>
      <c r="M49" s="2"/>
      <c r="N49" s="2"/>
    </row>
    <row r="50" spans="1:14">
      <c r="A50" s="11"/>
      <c r="B50" s="31"/>
      <c r="C50" s="2"/>
      <c r="D50" s="2"/>
      <c r="E50" s="2"/>
      <c r="F50" s="2"/>
      <c r="G50" s="2"/>
      <c r="H50" s="2"/>
      <c r="I50" s="2"/>
      <c r="J50" s="2"/>
      <c r="K50" s="2"/>
      <c r="L50" s="2"/>
      <c r="M50" s="2"/>
      <c r="N50" s="2"/>
    </row>
    <row r="51" spans="1:14">
      <c r="A51" s="11"/>
      <c r="B51" s="31"/>
      <c r="C51" s="2"/>
      <c r="D51" s="2"/>
      <c r="E51" s="2"/>
      <c r="F51" s="2"/>
      <c r="G51" s="2"/>
      <c r="H51" s="2"/>
      <c r="I51" s="2"/>
      <c r="J51" s="2"/>
      <c r="K51" s="2"/>
      <c r="L51" s="2"/>
      <c r="M51" s="2"/>
      <c r="N51" s="2"/>
    </row>
    <row r="52" spans="1:14">
      <c r="A52" s="11"/>
      <c r="B52" s="31"/>
      <c r="C52" s="2"/>
      <c r="D52" s="2"/>
      <c r="E52" s="2"/>
      <c r="F52" s="2"/>
      <c r="G52" s="2"/>
      <c r="H52" s="2"/>
      <c r="I52" s="2"/>
      <c r="J52" s="2"/>
      <c r="K52" s="2"/>
      <c r="L52" s="2"/>
      <c r="M52" s="2"/>
      <c r="N52" s="2"/>
    </row>
    <row r="53" spans="1:14">
      <c r="A53" s="11"/>
      <c r="B53" s="31"/>
      <c r="C53" s="2"/>
      <c r="D53" s="2"/>
      <c r="E53" s="2"/>
      <c r="F53" s="2"/>
      <c r="G53" s="2"/>
      <c r="H53" s="2"/>
      <c r="I53" s="2"/>
      <c r="J53" s="2"/>
      <c r="K53" s="2"/>
      <c r="L53" s="2"/>
      <c r="M53" s="2"/>
      <c r="N53" s="2"/>
    </row>
    <row r="54" spans="1:14">
      <c r="A54" s="11"/>
      <c r="B54" s="31"/>
      <c r="C54" s="2"/>
      <c r="D54" s="2"/>
      <c r="E54" s="2"/>
      <c r="F54" s="2"/>
      <c r="G54" s="2"/>
      <c r="H54" s="2"/>
      <c r="I54" s="2"/>
      <c r="J54" s="2"/>
      <c r="K54" s="2"/>
      <c r="L54" s="2"/>
      <c r="M54" s="2"/>
      <c r="N54" s="2"/>
    </row>
    <row r="55" spans="1:14">
      <c r="A55" s="11"/>
      <c r="B55" s="31"/>
      <c r="C55" s="2"/>
      <c r="D55" s="2"/>
      <c r="E55" s="2"/>
      <c r="F55" s="2"/>
      <c r="G55" s="2"/>
      <c r="H55" s="2"/>
      <c r="I55" s="2"/>
      <c r="J55" s="2"/>
      <c r="K55" s="2"/>
      <c r="L55" s="2"/>
      <c r="M55" s="2"/>
      <c r="N55" s="2"/>
    </row>
    <row r="56" spans="1:14">
      <c r="A56" s="11"/>
      <c r="B56" s="31"/>
      <c r="C56" s="2"/>
      <c r="D56" s="2"/>
      <c r="E56" s="2"/>
      <c r="F56" s="2"/>
      <c r="G56" s="2"/>
      <c r="H56" s="2"/>
      <c r="I56" s="2"/>
      <c r="J56" s="2"/>
      <c r="K56" s="2"/>
      <c r="L56" s="2"/>
      <c r="M56" s="2"/>
      <c r="N56" s="2"/>
    </row>
    <row r="57" spans="1:14">
      <c r="A57" s="11"/>
      <c r="B57" s="31"/>
      <c r="C57" s="2"/>
      <c r="D57" s="2"/>
      <c r="E57" s="2"/>
      <c r="F57" s="2"/>
      <c r="G57" s="2"/>
      <c r="H57" s="2"/>
      <c r="I57" s="2"/>
      <c r="J57" s="2"/>
      <c r="K57" s="2"/>
      <c r="L57" s="2"/>
      <c r="M57" s="2"/>
      <c r="N57" s="2"/>
    </row>
    <row r="58" spans="1:14">
      <c r="A58" s="11"/>
      <c r="B58" s="31"/>
      <c r="C58" s="2"/>
      <c r="D58" s="2"/>
      <c r="E58" s="2"/>
      <c r="F58" s="2"/>
      <c r="G58" s="2"/>
      <c r="H58" s="2"/>
      <c r="I58" s="2"/>
      <c r="J58" s="2"/>
      <c r="K58" s="2"/>
      <c r="L58" s="2"/>
      <c r="M58" s="2"/>
      <c r="N58" s="2"/>
    </row>
    <row r="59" spans="1:14">
      <c r="A59" s="11"/>
      <c r="B59" s="31"/>
      <c r="C59" s="2"/>
      <c r="D59" s="2"/>
      <c r="E59" s="2"/>
      <c r="F59" s="2"/>
      <c r="G59" s="2"/>
      <c r="H59" s="2"/>
      <c r="I59" s="2"/>
      <c r="J59" s="2"/>
      <c r="K59" s="2"/>
      <c r="L59" s="2"/>
      <c r="M59" s="2"/>
      <c r="N59" s="2"/>
    </row>
    <row r="60" spans="1:14">
      <c r="A60" s="11"/>
      <c r="B60" s="31"/>
      <c r="C60" s="2"/>
      <c r="D60" s="2"/>
      <c r="E60" s="2"/>
      <c r="F60" s="2"/>
      <c r="G60" s="2"/>
      <c r="H60" s="2"/>
      <c r="I60" s="2"/>
      <c r="J60" s="2"/>
      <c r="K60" s="2"/>
      <c r="L60" s="2"/>
      <c r="M60" s="2"/>
      <c r="N60" s="2"/>
    </row>
    <row r="61" spans="1:14">
      <c r="A61" s="11"/>
      <c r="B61" s="31"/>
      <c r="C61" s="2"/>
      <c r="D61" s="2"/>
      <c r="E61" s="2"/>
      <c r="F61" s="2"/>
      <c r="G61" s="2"/>
      <c r="H61" s="2"/>
      <c r="I61" s="2"/>
      <c r="J61" s="2"/>
      <c r="K61" s="2"/>
      <c r="L61" s="2"/>
      <c r="M61" s="2"/>
      <c r="N61" s="2"/>
    </row>
    <row r="62" spans="1:14">
      <c r="A62" s="11"/>
      <c r="B62" s="31"/>
      <c r="C62" s="2"/>
      <c r="D62" s="2"/>
      <c r="E62" s="2"/>
      <c r="F62" s="2"/>
      <c r="G62" s="2"/>
      <c r="H62" s="2"/>
      <c r="I62" s="2"/>
      <c r="J62" s="2"/>
      <c r="K62" s="2"/>
      <c r="L62" s="2"/>
      <c r="M62" s="2"/>
      <c r="N62" s="2"/>
    </row>
    <row r="63" spans="1:14">
      <c r="A63" s="11"/>
      <c r="B63" s="31"/>
      <c r="C63" s="2"/>
      <c r="D63" s="2"/>
      <c r="E63" s="2"/>
      <c r="F63" s="2"/>
      <c r="G63" s="2"/>
      <c r="H63" s="2"/>
      <c r="I63" s="2"/>
      <c r="J63" s="2"/>
      <c r="K63" s="2"/>
      <c r="L63" s="2"/>
      <c r="M63" s="2"/>
      <c r="N63" s="2"/>
    </row>
    <row r="64" spans="1:14">
      <c r="A64" s="11"/>
      <c r="B64" s="31"/>
      <c r="C64" s="2"/>
      <c r="D64" s="2"/>
      <c r="E64" s="2"/>
      <c r="F64" s="2"/>
      <c r="G64" s="2"/>
      <c r="H64" s="2"/>
      <c r="I64" s="2"/>
      <c r="J64" s="2"/>
      <c r="K64" s="2"/>
      <c r="L64" s="2"/>
      <c r="M64" s="2"/>
      <c r="N64" s="2"/>
    </row>
    <row r="65" spans="1:14">
      <c r="A65" s="11"/>
      <c r="B65" s="31"/>
      <c r="C65" s="2"/>
      <c r="D65" s="2"/>
      <c r="E65" s="2"/>
      <c r="F65" s="2"/>
      <c r="G65" s="2"/>
      <c r="H65" s="2"/>
      <c r="I65" s="2"/>
      <c r="J65" s="2"/>
      <c r="K65" s="2"/>
      <c r="L65" s="2"/>
      <c r="M65" s="2"/>
      <c r="N65" s="2"/>
    </row>
    <row r="66" spans="1:14">
      <c r="A66" s="11"/>
      <c r="B66" s="31"/>
      <c r="C66" s="2"/>
      <c r="D66" s="2"/>
      <c r="E66" s="2"/>
      <c r="F66" s="2"/>
      <c r="G66" s="2"/>
      <c r="H66" s="2"/>
      <c r="I66" s="2"/>
      <c r="J66" s="2"/>
      <c r="K66" s="2"/>
      <c r="L66" s="2"/>
      <c r="M66" s="2"/>
      <c r="N66" s="2"/>
    </row>
    <row r="67" spans="1:14">
      <c r="A67" s="11"/>
      <c r="B67" s="31"/>
      <c r="C67" s="2"/>
      <c r="D67" s="2"/>
      <c r="E67" s="2"/>
      <c r="F67" s="2"/>
      <c r="G67" s="2"/>
      <c r="H67" s="2"/>
      <c r="I67" s="2"/>
      <c r="J67" s="2"/>
      <c r="K67" s="2"/>
      <c r="L67" s="2"/>
      <c r="M67" s="2"/>
      <c r="N67" s="2"/>
    </row>
    <row r="68" spans="1:14">
      <c r="A68" s="11"/>
      <c r="B68" s="31"/>
      <c r="C68" s="2"/>
      <c r="D68" s="2"/>
      <c r="E68" s="2"/>
      <c r="F68" s="2"/>
      <c r="G68" s="2"/>
      <c r="H68" s="2"/>
      <c r="I68" s="2"/>
      <c r="J68" s="2"/>
      <c r="K68" s="2"/>
      <c r="L68" s="2"/>
      <c r="M68" s="2"/>
      <c r="N68" s="2"/>
    </row>
    <row r="69" spans="1:14">
      <c r="A69" s="11"/>
      <c r="B69" s="31"/>
      <c r="C69" s="2"/>
      <c r="D69" s="2"/>
      <c r="E69" s="2"/>
      <c r="F69" s="2"/>
      <c r="G69" s="2"/>
      <c r="H69" s="2"/>
      <c r="I69" s="2"/>
      <c r="J69" s="2"/>
      <c r="K69" s="2"/>
      <c r="L69" s="2"/>
      <c r="M69" s="2"/>
      <c r="N69" s="2"/>
    </row>
    <row r="70" spans="1:14">
      <c r="A70" s="11"/>
      <c r="B70" s="31"/>
      <c r="C70" s="2"/>
      <c r="D70" s="2"/>
      <c r="E70" s="2"/>
      <c r="F70" s="2"/>
      <c r="G70" s="2"/>
      <c r="H70" s="2"/>
      <c r="I70" s="2"/>
      <c r="J70" s="2"/>
      <c r="K70" s="2"/>
      <c r="L70" s="2"/>
      <c r="M70" s="2"/>
      <c r="N70" s="2"/>
    </row>
    <row r="71" spans="1:14">
      <c r="A71" s="11"/>
      <c r="B71" s="31"/>
      <c r="C71" s="2"/>
      <c r="D71" s="2"/>
      <c r="E71" s="2"/>
      <c r="F71" s="2"/>
      <c r="G71" s="2"/>
      <c r="H71" s="2"/>
      <c r="I71" s="2"/>
      <c r="J71" s="2"/>
      <c r="K71" s="2"/>
      <c r="L71" s="2"/>
      <c r="M71" s="2"/>
      <c r="N71" s="2"/>
    </row>
    <row r="72" spans="1:14">
      <c r="A72" s="11"/>
      <c r="B72" s="31"/>
      <c r="C72" s="2"/>
      <c r="D72" s="2"/>
      <c r="E72" s="2"/>
      <c r="F72" s="2"/>
      <c r="G72" s="2"/>
      <c r="H72" s="2"/>
      <c r="I72" s="2"/>
      <c r="J72" s="2"/>
      <c r="K72" s="2"/>
      <c r="L72" s="2"/>
      <c r="M72" s="2"/>
      <c r="N72" s="2"/>
    </row>
    <row r="73" spans="1:14">
      <c r="A73" s="11"/>
      <c r="B73" s="31"/>
      <c r="C73" s="2"/>
      <c r="D73" s="2"/>
      <c r="E73" s="2"/>
      <c r="F73" s="2"/>
      <c r="G73" s="2"/>
      <c r="H73" s="2"/>
      <c r="I73" s="2"/>
      <c r="J73" s="2"/>
      <c r="K73" s="2"/>
      <c r="L73" s="2"/>
      <c r="M73" s="2"/>
      <c r="N73" s="2"/>
    </row>
    <row r="74" spans="1:14">
      <c r="A74" s="11"/>
      <c r="B74" s="31"/>
      <c r="C74" s="2"/>
      <c r="D74" s="2"/>
      <c r="E74" s="2"/>
      <c r="F74" s="2"/>
      <c r="G74" s="2"/>
      <c r="H74" s="2"/>
      <c r="I74" s="2"/>
      <c r="J74" s="2"/>
      <c r="K74" s="2"/>
      <c r="L74" s="2"/>
      <c r="M74" s="2"/>
      <c r="N74" s="2"/>
    </row>
    <row r="75" spans="1:14">
      <c r="A75" s="11"/>
      <c r="B75" s="31"/>
      <c r="C75" s="2"/>
      <c r="D75" s="2"/>
      <c r="E75" s="2"/>
      <c r="F75" s="2"/>
      <c r="G75" s="2"/>
      <c r="H75" s="2"/>
      <c r="I75" s="2"/>
      <c r="J75" s="2"/>
      <c r="K75" s="2"/>
      <c r="L75" s="2"/>
      <c r="M75" s="2"/>
      <c r="N75" s="2"/>
    </row>
    <row r="76" spans="1:14">
      <c r="A76" s="11"/>
      <c r="B76" s="31"/>
      <c r="C76" s="2"/>
      <c r="D76" s="2"/>
      <c r="E76" s="2"/>
      <c r="F76" s="2"/>
      <c r="G76" s="2"/>
      <c r="H76" s="2"/>
      <c r="I76" s="2"/>
      <c r="J76" s="2"/>
      <c r="K76" s="2"/>
      <c r="L76" s="2"/>
      <c r="M76" s="2"/>
      <c r="N76" s="2"/>
    </row>
    <row r="77" spans="1:14">
      <c r="A77" s="11"/>
      <c r="B77" s="31"/>
      <c r="C77" s="2"/>
      <c r="D77" s="2"/>
      <c r="E77" s="2"/>
      <c r="F77" s="2"/>
      <c r="G77" s="2"/>
      <c r="H77" s="2"/>
      <c r="I77" s="2"/>
      <c r="J77" s="2"/>
      <c r="K77" s="2"/>
      <c r="L77" s="2"/>
      <c r="M77" s="2"/>
      <c r="N77" s="2"/>
    </row>
    <row r="78" spans="1:14">
      <c r="A78" s="11"/>
      <c r="B78" s="31"/>
      <c r="C78" s="2"/>
      <c r="D78" s="2"/>
      <c r="E78" s="2"/>
      <c r="F78" s="2"/>
      <c r="G78" s="2"/>
      <c r="H78" s="2"/>
      <c r="I78" s="2"/>
      <c r="J78" s="2"/>
      <c r="K78" s="2"/>
      <c r="L78" s="2"/>
      <c r="M78" s="2"/>
      <c r="N78" s="2"/>
    </row>
    <row r="79" spans="1:14">
      <c r="A79" s="11"/>
      <c r="B79" s="31"/>
      <c r="C79" s="2"/>
      <c r="D79" s="2"/>
      <c r="E79" s="2"/>
      <c r="F79" s="2"/>
      <c r="G79" s="2"/>
      <c r="H79" s="2"/>
      <c r="I79" s="2"/>
      <c r="J79" s="2"/>
      <c r="K79" s="2"/>
      <c r="L79" s="2"/>
      <c r="M79" s="2"/>
      <c r="N79" s="2"/>
    </row>
    <row r="80" spans="1:14">
      <c r="A80" s="11"/>
      <c r="B80" s="31"/>
      <c r="C80" s="2"/>
      <c r="D80" s="2"/>
      <c r="E80" s="2"/>
      <c r="F80" s="2"/>
      <c r="G80" s="2"/>
      <c r="H80" s="2"/>
      <c r="I80" s="2"/>
      <c r="J80" s="2"/>
      <c r="K80" s="2"/>
      <c r="L80" s="2"/>
      <c r="M80" s="2"/>
      <c r="N80" s="2"/>
    </row>
    <row r="81" spans="1:14">
      <c r="A81" s="11"/>
      <c r="B81" s="31"/>
      <c r="C81" s="2"/>
      <c r="D81" s="2"/>
      <c r="E81" s="2"/>
      <c r="F81" s="2"/>
      <c r="G81" s="2"/>
      <c r="H81" s="2"/>
      <c r="I81" s="2"/>
      <c r="J81" s="2"/>
      <c r="K81" s="2"/>
      <c r="L81" s="2"/>
      <c r="M81" s="2"/>
      <c r="N81" s="2"/>
    </row>
    <row r="82" spans="1:14">
      <c r="A82" s="11"/>
      <c r="B82" s="31"/>
      <c r="C82" s="2"/>
      <c r="D82" s="2"/>
      <c r="E82" s="2"/>
      <c r="F82" s="2"/>
      <c r="G82" s="2"/>
      <c r="H82" s="2"/>
      <c r="I82" s="2"/>
      <c r="J82" s="2"/>
      <c r="K82" s="2"/>
      <c r="L82" s="2"/>
      <c r="M82" s="2"/>
      <c r="N82" s="2"/>
    </row>
    <row r="83" spans="1:14">
      <c r="A83" s="11"/>
      <c r="B83" s="31"/>
      <c r="C83" s="2"/>
      <c r="D83" s="2"/>
      <c r="E83" s="2"/>
      <c r="F83" s="2"/>
      <c r="G83" s="2"/>
      <c r="H83" s="2"/>
      <c r="I83" s="2"/>
      <c r="J83" s="2"/>
      <c r="K83" s="2"/>
      <c r="L83" s="2"/>
      <c r="M83" s="2"/>
      <c r="N83" s="2"/>
    </row>
    <row r="84" spans="1:14">
      <c r="A84" s="11"/>
      <c r="B84" s="31"/>
      <c r="C84" s="2"/>
      <c r="D84" s="2"/>
      <c r="E84" s="2"/>
      <c r="F84" s="2"/>
      <c r="G84" s="2"/>
      <c r="H84" s="2"/>
      <c r="I84" s="2"/>
      <c r="J84" s="2"/>
      <c r="K84" s="2"/>
      <c r="L84" s="2"/>
      <c r="M84" s="2"/>
      <c r="N84" s="2"/>
    </row>
    <row r="85" spans="1:14">
      <c r="A85" s="11"/>
      <c r="B85" s="31"/>
      <c r="C85" s="2"/>
      <c r="D85" s="2"/>
      <c r="E85" s="2"/>
      <c r="F85" s="2"/>
      <c r="G85" s="2"/>
      <c r="H85" s="2"/>
      <c r="I85" s="2"/>
      <c r="J85" s="2"/>
      <c r="K85" s="2"/>
      <c r="L85" s="2"/>
      <c r="M85" s="2"/>
      <c r="N85" s="2"/>
    </row>
    <row r="86" spans="1:14">
      <c r="A86" s="11"/>
      <c r="B86" s="31"/>
      <c r="C86" s="2"/>
      <c r="D86" s="2"/>
      <c r="E86" s="2"/>
      <c r="F86" s="2"/>
      <c r="G86" s="2"/>
      <c r="H86" s="2"/>
      <c r="I86" s="2"/>
      <c r="J86" s="2"/>
      <c r="K86" s="2"/>
      <c r="L86" s="2"/>
      <c r="M86" s="2"/>
      <c r="N86" s="2"/>
    </row>
    <row r="87" spans="1:14">
      <c r="A87" s="11"/>
      <c r="B87" s="31"/>
      <c r="C87" s="2"/>
      <c r="D87" s="2"/>
      <c r="E87" s="2"/>
      <c r="F87" s="2"/>
      <c r="G87" s="2"/>
      <c r="H87" s="2"/>
      <c r="I87" s="2"/>
      <c r="J87" s="2"/>
      <c r="K87" s="2"/>
      <c r="L87" s="2"/>
      <c r="M87" s="2"/>
      <c r="N87" s="2"/>
    </row>
    <row r="88" spans="1:14">
      <c r="A88" s="11"/>
      <c r="B88" s="31"/>
      <c r="C88" s="2"/>
      <c r="D88" s="2"/>
      <c r="E88" s="2"/>
      <c r="F88" s="2"/>
      <c r="G88" s="2"/>
      <c r="H88" s="2"/>
      <c r="I88" s="2"/>
      <c r="J88" s="2"/>
      <c r="K88" s="2"/>
      <c r="L88" s="2"/>
      <c r="M88" s="2"/>
      <c r="N88" s="2"/>
    </row>
    <row r="89" spans="1:14">
      <c r="A89" s="11"/>
      <c r="B89" s="31"/>
      <c r="C89" s="2"/>
      <c r="D89" s="2"/>
      <c r="E89" s="2"/>
      <c r="F89" s="2"/>
      <c r="G89" s="2"/>
      <c r="H89" s="2"/>
      <c r="I89" s="2"/>
      <c r="J89" s="2"/>
      <c r="K89" s="2"/>
      <c r="L89" s="2"/>
      <c r="M89" s="2"/>
      <c r="N89" s="2"/>
    </row>
    <row r="90" spans="1:14">
      <c r="A90" s="11"/>
      <c r="B90" s="31"/>
      <c r="C90" s="2"/>
      <c r="D90" s="2"/>
      <c r="E90" s="2"/>
      <c r="F90" s="2"/>
      <c r="G90" s="2"/>
      <c r="H90" s="2"/>
      <c r="I90" s="2"/>
      <c r="J90" s="2"/>
      <c r="K90" s="2"/>
      <c r="L90" s="2"/>
      <c r="M90" s="2"/>
      <c r="N90" s="2"/>
    </row>
    <row r="91" spans="1:14">
      <c r="A91" s="11"/>
      <c r="B91" s="31"/>
      <c r="C91" s="2"/>
      <c r="D91" s="2"/>
      <c r="E91" s="2"/>
      <c r="F91" s="2"/>
      <c r="G91" s="2"/>
      <c r="H91" s="2"/>
      <c r="I91" s="2"/>
      <c r="J91" s="2"/>
      <c r="K91" s="2"/>
      <c r="L91" s="2"/>
      <c r="M91" s="2"/>
      <c r="N91" s="2"/>
    </row>
    <row r="92" spans="1:14">
      <c r="A92" s="11"/>
      <c r="B92" s="31"/>
      <c r="C92" s="2"/>
      <c r="D92" s="2"/>
      <c r="E92" s="2"/>
      <c r="F92" s="2"/>
      <c r="G92" s="2"/>
      <c r="H92" s="2"/>
      <c r="I92" s="2"/>
      <c r="J92" s="2"/>
      <c r="K92" s="2"/>
      <c r="L92" s="2"/>
      <c r="M92" s="2"/>
      <c r="N92" s="2"/>
    </row>
    <row r="93" spans="1:14">
      <c r="A93" s="11"/>
      <c r="B93" s="31"/>
      <c r="C93" s="2"/>
      <c r="D93" s="2"/>
      <c r="E93" s="2"/>
      <c r="F93" s="2"/>
      <c r="G93" s="2"/>
      <c r="H93" s="2"/>
      <c r="I93" s="2"/>
      <c r="J93" s="2"/>
      <c r="K93" s="2"/>
      <c r="L93" s="2"/>
      <c r="M93" s="2"/>
      <c r="N93" s="2"/>
    </row>
    <row r="94" spans="1:14">
      <c r="A94" s="11"/>
      <c r="B94" s="31"/>
      <c r="C94" s="2"/>
      <c r="D94" s="2"/>
      <c r="E94" s="2"/>
      <c r="F94" s="2"/>
      <c r="G94" s="2"/>
      <c r="H94" s="2"/>
      <c r="I94" s="2"/>
      <c r="J94" s="2"/>
      <c r="K94" s="2"/>
      <c r="L94" s="2"/>
      <c r="M94" s="2"/>
      <c r="N94" s="2"/>
    </row>
    <row r="95" spans="1:14">
      <c r="A95" s="11"/>
      <c r="B95" s="31"/>
      <c r="C95" s="2"/>
      <c r="D95" s="2"/>
      <c r="E95" s="2"/>
      <c r="F95" s="2"/>
      <c r="G95" s="2"/>
      <c r="H95" s="2"/>
      <c r="I95" s="2"/>
      <c r="J95" s="2"/>
      <c r="K95" s="2"/>
      <c r="L95" s="2"/>
      <c r="M95" s="2"/>
      <c r="N95" s="2"/>
    </row>
    <row r="96" spans="1:14">
      <c r="A96" s="11"/>
      <c r="B96" s="31"/>
      <c r="C96" s="2"/>
      <c r="D96" s="2"/>
      <c r="E96" s="2"/>
      <c r="F96" s="2"/>
      <c r="G96" s="2"/>
      <c r="H96" s="2"/>
      <c r="I96" s="2"/>
      <c r="J96" s="2"/>
      <c r="K96" s="2"/>
      <c r="L96" s="2"/>
      <c r="M96" s="2"/>
      <c r="N96" s="2"/>
    </row>
    <row r="97" spans="1:14">
      <c r="A97" s="11"/>
      <c r="B97" s="31"/>
      <c r="C97" s="2"/>
      <c r="D97" s="2"/>
      <c r="E97" s="2"/>
      <c r="F97" s="2"/>
      <c r="G97" s="2"/>
      <c r="H97" s="2"/>
      <c r="I97" s="2"/>
      <c r="J97" s="2"/>
      <c r="K97" s="2"/>
      <c r="L97" s="2"/>
      <c r="M97" s="2"/>
      <c r="N97" s="2"/>
    </row>
    <row r="98" spans="1:14">
      <c r="A98" s="11"/>
      <c r="B98" s="31"/>
      <c r="C98" s="2"/>
      <c r="D98" s="2"/>
      <c r="E98" s="2"/>
      <c r="F98" s="2"/>
      <c r="G98" s="2"/>
      <c r="H98" s="2"/>
      <c r="I98" s="2"/>
      <c r="J98" s="2"/>
      <c r="K98" s="2"/>
      <c r="L98" s="2"/>
      <c r="M98" s="2"/>
      <c r="N98" s="2"/>
    </row>
    <row r="99" spans="1:14">
      <c r="A99" s="11"/>
      <c r="B99" s="31"/>
      <c r="C99" s="2"/>
      <c r="D99" s="2"/>
      <c r="E99" s="2"/>
      <c r="F99" s="2"/>
      <c r="G99" s="2"/>
      <c r="H99" s="2"/>
      <c r="I99" s="2"/>
      <c r="J99" s="2"/>
      <c r="K99" s="2"/>
      <c r="L99" s="2"/>
      <c r="M99" s="2"/>
      <c r="N99" s="2"/>
    </row>
    <row r="100" spans="1:14">
      <c r="A100" s="11"/>
      <c r="B100" s="31"/>
      <c r="C100" s="2"/>
      <c r="D100" s="2"/>
      <c r="E100" s="2"/>
      <c r="F100" s="2"/>
      <c r="G100" s="2"/>
      <c r="H100" s="2"/>
      <c r="I100" s="2"/>
      <c r="J100" s="2"/>
      <c r="K100" s="2"/>
      <c r="L100" s="2"/>
      <c r="M100" s="2"/>
      <c r="N100" s="2"/>
    </row>
    <row r="101" spans="1:14">
      <c r="A101" s="11"/>
      <c r="B101" s="31"/>
      <c r="C101" s="2"/>
      <c r="D101" s="2"/>
      <c r="E101" s="2"/>
      <c r="F101" s="2"/>
      <c r="G101" s="2"/>
      <c r="H101" s="2"/>
      <c r="I101" s="2"/>
      <c r="J101" s="2"/>
      <c r="K101" s="2"/>
      <c r="L101" s="2"/>
      <c r="M101" s="2"/>
      <c r="N101" s="2"/>
    </row>
    <row r="102" spans="1:14">
      <c r="A102" s="11"/>
      <c r="B102" s="31"/>
      <c r="C102" s="2"/>
      <c r="D102" s="2"/>
      <c r="E102" s="2"/>
      <c r="F102" s="2"/>
      <c r="G102" s="2"/>
      <c r="H102" s="2"/>
      <c r="I102" s="2"/>
      <c r="J102" s="2"/>
      <c r="K102" s="2"/>
      <c r="L102" s="2"/>
      <c r="M102" s="2"/>
      <c r="N102" s="2"/>
    </row>
    <row r="103" spans="1:14">
      <c r="A103" s="11"/>
      <c r="B103" s="31"/>
      <c r="C103" s="2"/>
      <c r="D103" s="2"/>
      <c r="E103" s="2"/>
      <c r="F103" s="2"/>
      <c r="G103" s="2"/>
      <c r="H103" s="2"/>
      <c r="I103" s="2"/>
      <c r="J103" s="2"/>
      <c r="K103" s="2"/>
      <c r="L103" s="2"/>
      <c r="M103" s="2"/>
      <c r="N103" s="2"/>
    </row>
    <row r="104" spans="1:14">
      <c r="A104" s="11"/>
      <c r="B104" s="31"/>
      <c r="C104" s="2"/>
      <c r="D104" s="2"/>
      <c r="E104" s="2"/>
      <c r="F104" s="2"/>
      <c r="G104" s="2"/>
      <c r="H104" s="2"/>
      <c r="I104" s="2"/>
      <c r="J104" s="2"/>
      <c r="K104" s="2"/>
      <c r="L104" s="2"/>
      <c r="M104" s="2"/>
      <c r="N104" s="2"/>
    </row>
    <row r="105" spans="1:14">
      <c r="A105" s="11"/>
      <c r="B105" s="31"/>
      <c r="C105" s="2"/>
      <c r="D105" s="2"/>
      <c r="E105" s="2"/>
      <c r="F105" s="2"/>
      <c r="G105" s="2"/>
      <c r="H105" s="2"/>
      <c r="I105" s="2"/>
      <c r="J105" s="2"/>
      <c r="K105" s="2"/>
      <c r="L105" s="2"/>
      <c r="M105" s="2"/>
      <c r="N105" s="2"/>
    </row>
    <row r="106" spans="1:14">
      <c r="A106" s="11"/>
      <c r="B106" s="31"/>
      <c r="C106" s="2"/>
      <c r="D106" s="2"/>
      <c r="E106" s="2"/>
      <c r="F106" s="2"/>
      <c r="G106" s="2"/>
      <c r="H106" s="2"/>
      <c r="I106" s="2"/>
      <c r="J106" s="2"/>
      <c r="K106" s="2"/>
      <c r="L106" s="2"/>
      <c r="M106" s="2"/>
      <c r="N106" s="2"/>
    </row>
    <row r="107" spans="1:14">
      <c r="A107" s="11"/>
      <c r="B107" s="31"/>
      <c r="C107" s="2"/>
      <c r="D107" s="2"/>
      <c r="E107" s="2"/>
      <c r="F107" s="2"/>
      <c r="G107" s="2"/>
      <c r="H107" s="2"/>
      <c r="I107" s="2"/>
      <c r="J107" s="2"/>
      <c r="K107" s="2"/>
      <c r="L107" s="2"/>
      <c r="M107" s="2"/>
      <c r="N107" s="2"/>
    </row>
    <row r="108" spans="1:14">
      <c r="A108" s="11"/>
      <c r="B108" s="31"/>
      <c r="C108" s="2"/>
      <c r="D108" s="2"/>
      <c r="E108" s="2"/>
      <c r="F108" s="2"/>
      <c r="G108" s="2"/>
      <c r="H108" s="2"/>
      <c r="I108" s="2"/>
      <c r="J108" s="2"/>
      <c r="K108" s="2"/>
      <c r="L108" s="2"/>
      <c r="M108" s="2"/>
      <c r="N108" s="2"/>
    </row>
    <row r="109" spans="1:14">
      <c r="A109" s="11"/>
      <c r="B109" s="31"/>
      <c r="C109" s="2"/>
      <c r="D109" s="2"/>
      <c r="E109" s="2"/>
      <c r="F109" s="2"/>
      <c r="G109" s="2"/>
      <c r="H109" s="2"/>
      <c r="I109" s="2"/>
      <c r="J109" s="2"/>
      <c r="K109" s="2"/>
      <c r="L109" s="2"/>
      <c r="M109" s="2"/>
      <c r="N109" s="2"/>
    </row>
    <row r="110" spans="1:14">
      <c r="A110" s="11"/>
      <c r="B110" s="31"/>
      <c r="C110" s="2"/>
      <c r="D110" s="2"/>
      <c r="E110" s="2"/>
      <c r="F110" s="2"/>
      <c r="G110" s="2"/>
      <c r="H110" s="2"/>
      <c r="I110" s="2"/>
      <c r="J110" s="2"/>
      <c r="K110" s="2"/>
      <c r="L110" s="2"/>
      <c r="M110" s="2"/>
      <c r="N110" s="2"/>
    </row>
    <row r="111" spans="1:14">
      <c r="A111" s="11"/>
      <c r="B111" s="31"/>
      <c r="C111" s="2"/>
      <c r="D111" s="2"/>
      <c r="E111" s="2"/>
      <c r="F111" s="2"/>
      <c r="G111" s="2"/>
      <c r="H111" s="2"/>
      <c r="I111" s="2"/>
      <c r="J111" s="2"/>
      <c r="K111" s="2"/>
      <c r="L111" s="2"/>
      <c r="M111" s="2"/>
      <c r="N111" s="2"/>
    </row>
    <row r="112" spans="1:14">
      <c r="A112" s="11"/>
      <c r="B112" s="31"/>
      <c r="C112" s="2"/>
      <c r="D112" s="2"/>
      <c r="E112" s="2"/>
      <c r="F112" s="2"/>
      <c r="G112" s="2"/>
      <c r="H112" s="2"/>
      <c r="I112" s="2"/>
      <c r="J112" s="2"/>
      <c r="K112" s="2"/>
      <c r="L112" s="2"/>
      <c r="M112" s="2"/>
      <c r="N112" s="2"/>
    </row>
    <row r="113" spans="1:14">
      <c r="A113" s="11"/>
      <c r="B113" s="31"/>
      <c r="C113" s="2"/>
      <c r="D113" s="2"/>
      <c r="E113" s="2"/>
      <c r="F113" s="2"/>
      <c r="G113" s="2"/>
      <c r="H113" s="2"/>
      <c r="I113" s="2"/>
      <c r="J113" s="2"/>
      <c r="K113" s="2"/>
      <c r="L113" s="2"/>
      <c r="M113" s="2"/>
      <c r="N113" s="2"/>
    </row>
    <row r="114" spans="1:14">
      <c r="A114" s="11"/>
      <c r="B114" s="31"/>
      <c r="C114" s="2"/>
      <c r="D114" s="2"/>
      <c r="E114" s="2"/>
      <c r="F114" s="2"/>
      <c r="G114" s="2"/>
      <c r="H114" s="2"/>
      <c r="I114" s="2"/>
      <c r="J114" s="2"/>
      <c r="K114" s="2"/>
      <c r="L114" s="2"/>
      <c r="M114" s="2"/>
      <c r="N114" s="2"/>
    </row>
    <row r="115" spans="1:14">
      <c r="A115" s="11"/>
      <c r="B115" s="31"/>
      <c r="C115" s="2"/>
      <c r="D115" s="2"/>
      <c r="E115" s="2"/>
      <c r="F115" s="2"/>
      <c r="G115" s="2"/>
      <c r="H115" s="2"/>
      <c r="I115" s="2"/>
      <c r="J115" s="2"/>
      <c r="K115" s="2"/>
      <c r="L115" s="2"/>
      <c r="M115" s="2"/>
      <c r="N115" s="2"/>
    </row>
    <row r="116" spans="1:14">
      <c r="A116" s="11"/>
      <c r="B116" s="31"/>
      <c r="C116" s="2"/>
      <c r="D116" s="2"/>
      <c r="E116" s="2"/>
      <c r="F116" s="2"/>
      <c r="G116" s="2"/>
      <c r="H116" s="2"/>
      <c r="I116" s="2"/>
      <c r="J116" s="2"/>
      <c r="K116" s="2"/>
      <c r="L116" s="2"/>
      <c r="M116" s="2"/>
      <c r="N116" s="2"/>
    </row>
    <row r="117" spans="1:14">
      <c r="A117" s="11"/>
      <c r="B117" s="31"/>
      <c r="C117" s="2"/>
      <c r="D117" s="2"/>
      <c r="E117" s="2"/>
      <c r="F117" s="2"/>
      <c r="G117" s="2"/>
      <c r="H117" s="2"/>
      <c r="I117" s="2"/>
      <c r="J117" s="2"/>
      <c r="K117" s="2"/>
      <c r="L117" s="2"/>
      <c r="M117" s="2"/>
      <c r="N117" s="2"/>
    </row>
    <row r="118" spans="1:14">
      <c r="A118" s="11"/>
      <c r="B118" s="31"/>
      <c r="C118" s="2"/>
      <c r="D118" s="2"/>
      <c r="E118" s="2"/>
      <c r="F118" s="2"/>
      <c r="G118" s="2"/>
      <c r="H118" s="2"/>
      <c r="I118" s="2"/>
      <c r="J118" s="2"/>
      <c r="K118" s="2"/>
      <c r="L118" s="2"/>
      <c r="M118" s="2"/>
      <c r="N118" s="2"/>
    </row>
    <row r="119" spans="1:14">
      <c r="A119" s="11"/>
      <c r="B119" s="31"/>
      <c r="C119" s="2"/>
      <c r="D119" s="2"/>
      <c r="E119" s="2"/>
      <c r="F119" s="2"/>
      <c r="G119" s="2"/>
      <c r="H119" s="2"/>
      <c r="I119" s="2"/>
      <c r="J119" s="2"/>
      <c r="K119" s="2"/>
      <c r="L119" s="2"/>
      <c r="M119" s="2"/>
      <c r="N119" s="2"/>
    </row>
    <row r="120" spans="1:14">
      <c r="A120" s="11"/>
      <c r="B120" s="31"/>
      <c r="C120" s="2"/>
      <c r="D120" s="2"/>
      <c r="E120" s="2"/>
      <c r="F120" s="2"/>
      <c r="G120" s="2"/>
      <c r="H120" s="2"/>
      <c r="I120" s="2"/>
      <c r="J120" s="2"/>
      <c r="K120" s="2"/>
      <c r="L120" s="2"/>
      <c r="M120" s="2"/>
      <c r="N120" s="2"/>
    </row>
    <row r="121" spans="1:14">
      <c r="A121" s="11"/>
      <c r="B121" s="31"/>
      <c r="C121" s="2"/>
      <c r="D121" s="2"/>
      <c r="E121" s="2"/>
      <c r="F121" s="2"/>
      <c r="G121" s="2"/>
      <c r="H121" s="2"/>
      <c r="I121" s="2"/>
      <c r="J121" s="2"/>
      <c r="K121" s="2"/>
      <c r="L121" s="2"/>
      <c r="M121" s="2"/>
      <c r="N121" s="2"/>
    </row>
    <row r="122" spans="1:14">
      <c r="A122" s="11"/>
      <c r="B122" s="31"/>
      <c r="C122" s="2"/>
      <c r="D122" s="2"/>
      <c r="E122" s="2"/>
      <c r="F122" s="2"/>
      <c r="G122" s="2"/>
      <c r="H122" s="2"/>
      <c r="I122" s="2"/>
      <c r="J122" s="2"/>
      <c r="K122" s="2"/>
      <c r="L122" s="2"/>
      <c r="M122" s="2"/>
      <c r="N122" s="2"/>
    </row>
    <row r="123" spans="1:14">
      <c r="A123" s="11"/>
      <c r="B123" s="31"/>
      <c r="C123" s="2"/>
      <c r="D123" s="2"/>
      <c r="E123" s="2"/>
      <c r="F123" s="2"/>
      <c r="G123" s="2"/>
      <c r="H123" s="2"/>
      <c r="I123" s="2"/>
      <c r="J123" s="2"/>
      <c r="K123" s="2"/>
      <c r="L123" s="2"/>
      <c r="M123" s="2"/>
      <c r="N123" s="2"/>
    </row>
    <row r="124" spans="1:14">
      <c r="A124" s="11"/>
      <c r="B124" s="31"/>
      <c r="C124" s="2"/>
      <c r="D124" s="2"/>
      <c r="E124" s="2"/>
      <c r="F124" s="2"/>
      <c r="G124" s="2"/>
      <c r="H124" s="2"/>
      <c r="I124" s="2"/>
      <c r="J124" s="2"/>
      <c r="K124" s="2"/>
      <c r="L124" s="2"/>
      <c r="M124" s="2"/>
      <c r="N124" s="2"/>
    </row>
    <row r="125" spans="1:14">
      <c r="A125" s="11"/>
      <c r="B125" s="31"/>
      <c r="C125" s="2"/>
      <c r="D125" s="2"/>
      <c r="E125" s="2"/>
      <c r="F125" s="2"/>
      <c r="G125" s="2"/>
      <c r="H125" s="2"/>
      <c r="I125" s="2"/>
      <c r="J125" s="2"/>
      <c r="K125" s="2"/>
      <c r="L125" s="2"/>
      <c r="M125" s="2"/>
      <c r="N125" s="2"/>
    </row>
    <row r="126" spans="1:14">
      <c r="A126" s="11"/>
      <c r="B126" s="31"/>
      <c r="C126" s="2"/>
      <c r="D126" s="2"/>
      <c r="E126" s="2"/>
      <c r="F126" s="2"/>
      <c r="G126" s="2"/>
      <c r="H126" s="2"/>
      <c r="I126" s="2"/>
      <c r="J126" s="2"/>
      <c r="K126" s="2"/>
      <c r="L126" s="2"/>
      <c r="M126" s="2"/>
      <c r="N126" s="2"/>
    </row>
    <row r="127" spans="1:14">
      <c r="A127" s="11"/>
      <c r="B127" s="31"/>
      <c r="C127" s="2"/>
      <c r="D127" s="2"/>
      <c r="E127" s="2"/>
      <c r="F127" s="2"/>
      <c r="G127" s="2"/>
      <c r="H127" s="2"/>
      <c r="I127" s="2"/>
      <c r="J127" s="2"/>
      <c r="K127" s="2"/>
      <c r="L127" s="2"/>
      <c r="M127" s="2"/>
      <c r="N127" s="2"/>
    </row>
    <row r="128" spans="1:14">
      <c r="A128" s="11"/>
      <c r="B128" s="31"/>
      <c r="C128" s="2"/>
      <c r="D128" s="2"/>
      <c r="E128" s="2"/>
      <c r="F128" s="2"/>
      <c r="G128" s="2"/>
      <c r="H128" s="2"/>
      <c r="I128" s="2"/>
      <c r="J128" s="2"/>
      <c r="K128" s="2"/>
      <c r="L128" s="2"/>
      <c r="M128" s="2"/>
      <c r="N128" s="2"/>
    </row>
    <row r="129" spans="1:14">
      <c r="A129" s="11"/>
      <c r="B129" s="31"/>
      <c r="C129" s="2"/>
      <c r="D129" s="2"/>
      <c r="E129" s="2"/>
      <c r="F129" s="2"/>
      <c r="G129" s="2"/>
      <c r="H129" s="2"/>
      <c r="I129" s="2"/>
      <c r="J129" s="2"/>
      <c r="K129" s="2"/>
      <c r="L129" s="2"/>
      <c r="M129" s="2"/>
      <c r="N129" s="2"/>
    </row>
    <row r="130" spans="1:14">
      <c r="A130" s="11"/>
      <c r="B130" s="31"/>
      <c r="C130" s="2"/>
      <c r="D130" s="2"/>
      <c r="E130" s="2"/>
      <c r="F130" s="2"/>
      <c r="G130" s="2"/>
      <c r="H130" s="2"/>
      <c r="I130" s="2"/>
      <c r="J130" s="2"/>
      <c r="K130" s="2"/>
      <c r="L130" s="2"/>
      <c r="M130" s="2"/>
      <c r="N130" s="2"/>
    </row>
    <row r="131" spans="1:14">
      <c r="A131" s="11"/>
      <c r="B131" s="31"/>
      <c r="C131" s="2"/>
      <c r="D131" s="2"/>
      <c r="E131" s="2"/>
      <c r="F131" s="2"/>
      <c r="G131" s="2"/>
      <c r="H131" s="2"/>
      <c r="I131" s="2"/>
      <c r="J131" s="2"/>
      <c r="K131" s="2"/>
      <c r="L131" s="2"/>
      <c r="M131" s="2"/>
      <c r="N131" s="2"/>
    </row>
    <row r="132" spans="1:14">
      <c r="A132" s="11"/>
      <c r="B132" s="31"/>
      <c r="C132" s="2"/>
      <c r="D132" s="2"/>
      <c r="E132" s="2"/>
      <c r="F132" s="2"/>
      <c r="G132" s="2"/>
      <c r="H132" s="2"/>
      <c r="I132" s="2"/>
      <c r="J132" s="2"/>
      <c r="K132" s="2"/>
      <c r="L132" s="2"/>
      <c r="M132" s="2"/>
      <c r="N132" s="2"/>
    </row>
    <row r="133" spans="1:14">
      <c r="A133" s="11"/>
      <c r="B133" s="31"/>
      <c r="C133" s="2"/>
      <c r="D133" s="2"/>
      <c r="E133" s="2"/>
      <c r="F133" s="2"/>
      <c r="G133" s="2"/>
      <c r="H133" s="2"/>
      <c r="I133" s="2"/>
      <c r="J133" s="2"/>
      <c r="K133" s="2"/>
      <c r="L133" s="2"/>
      <c r="M133" s="2"/>
      <c r="N133" s="2"/>
    </row>
    <row r="134" spans="1:14">
      <c r="A134" s="11"/>
      <c r="B134" s="31"/>
      <c r="C134" s="2"/>
      <c r="D134" s="2"/>
      <c r="E134" s="2"/>
      <c r="F134" s="2"/>
      <c r="G134" s="2"/>
      <c r="H134" s="2"/>
      <c r="I134" s="2"/>
      <c r="J134" s="2"/>
      <c r="K134" s="2"/>
      <c r="L134" s="2"/>
      <c r="M134" s="2"/>
      <c r="N134" s="2"/>
    </row>
    <row r="135" spans="1:14">
      <c r="A135" s="11"/>
      <c r="B135" s="31"/>
      <c r="C135" s="2"/>
      <c r="D135" s="2"/>
      <c r="E135" s="2"/>
      <c r="F135" s="2"/>
      <c r="G135" s="2"/>
      <c r="H135" s="2"/>
      <c r="I135" s="2"/>
      <c r="J135" s="2"/>
      <c r="K135" s="2"/>
      <c r="L135" s="2"/>
      <c r="M135" s="2"/>
      <c r="N135" s="2"/>
    </row>
    <row r="136" spans="1:14">
      <c r="A136" s="11"/>
      <c r="B136" s="31"/>
      <c r="C136" s="2"/>
      <c r="D136" s="2"/>
      <c r="E136" s="2"/>
      <c r="F136" s="2"/>
      <c r="G136" s="2"/>
      <c r="H136" s="2"/>
      <c r="I136" s="2"/>
      <c r="J136" s="2"/>
      <c r="K136" s="2"/>
      <c r="L136" s="2"/>
      <c r="M136" s="2"/>
      <c r="N136" s="2"/>
    </row>
    <row r="137" spans="1:14">
      <c r="A137" s="11"/>
      <c r="B137" s="31"/>
      <c r="C137" s="2"/>
      <c r="D137" s="2"/>
      <c r="E137" s="2"/>
      <c r="F137" s="2"/>
      <c r="G137" s="2"/>
      <c r="H137" s="2"/>
      <c r="I137" s="2"/>
      <c r="J137" s="2"/>
      <c r="K137" s="2"/>
      <c r="L137" s="2"/>
      <c r="M137" s="2"/>
      <c r="N137" s="2"/>
    </row>
    <row r="138" spans="1:14">
      <c r="A138" s="11"/>
      <c r="B138" s="31"/>
      <c r="C138" s="2"/>
      <c r="D138" s="2"/>
      <c r="E138" s="2"/>
      <c r="F138" s="2"/>
      <c r="G138" s="2"/>
      <c r="H138" s="2"/>
      <c r="I138" s="2"/>
      <c r="J138" s="2"/>
      <c r="K138" s="2"/>
      <c r="L138" s="2"/>
      <c r="M138" s="2"/>
      <c r="N138" s="2"/>
    </row>
    <row r="139" spans="1:14">
      <c r="A139" s="11"/>
      <c r="B139" s="31"/>
      <c r="C139" s="2"/>
      <c r="D139" s="2"/>
      <c r="E139" s="2"/>
      <c r="F139" s="2"/>
      <c r="G139" s="2"/>
      <c r="H139" s="2"/>
      <c r="I139" s="2"/>
      <c r="J139" s="2"/>
      <c r="K139" s="2"/>
      <c r="L139" s="2"/>
      <c r="M139" s="2"/>
      <c r="N139" s="2"/>
    </row>
    <row r="140" spans="1:14">
      <c r="A140" s="11"/>
      <c r="B140" s="31"/>
      <c r="C140" s="2"/>
      <c r="D140" s="2"/>
      <c r="E140" s="2"/>
      <c r="F140" s="2"/>
      <c r="G140" s="2"/>
      <c r="H140" s="2"/>
      <c r="I140" s="2"/>
      <c r="J140" s="2"/>
      <c r="K140" s="2"/>
      <c r="L140" s="2"/>
      <c r="M140" s="2"/>
      <c r="N140" s="2"/>
    </row>
    <row r="141" spans="1:14">
      <c r="A141" s="11"/>
      <c r="B141" s="31"/>
      <c r="C141" s="2"/>
      <c r="D141" s="2"/>
      <c r="E141" s="2"/>
      <c r="F141" s="2"/>
      <c r="G141" s="2"/>
      <c r="H141" s="2"/>
      <c r="I141" s="2"/>
      <c r="J141" s="2"/>
      <c r="K141" s="2"/>
      <c r="L141" s="2"/>
      <c r="M141" s="2"/>
      <c r="N141" s="2"/>
    </row>
    <row r="142" spans="1:14">
      <c r="A142" s="11"/>
      <c r="B142" s="31"/>
      <c r="C142" s="2"/>
      <c r="D142" s="2"/>
      <c r="E142" s="2"/>
      <c r="F142" s="2"/>
      <c r="G142" s="2"/>
      <c r="H142" s="2"/>
      <c r="I142" s="2"/>
      <c r="J142" s="2"/>
      <c r="K142" s="2"/>
      <c r="L142" s="2"/>
      <c r="M142" s="2"/>
      <c r="N142" s="2"/>
    </row>
    <row r="143" spans="1:14">
      <c r="A143" s="11"/>
      <c r="B143" s="31"/>
      <c r="C143" s="2"/>
      <c r="D143" s="2"/>
      <c r="E143" s="2"/>
      <c r="F143" s="2"/>
      <c r="G143" s="2"/>
      <c r="H143" s="2"/>
      <c r="I143" s="2"/>
      <c r="J143" s="2"/>
      <c r="K143" s="2"/>
      <c r="L143" s="2"/>
      <c r="M143" s="2"/>
      <c r="N143" s="2"/>
    </row>
    <row r="144" spans="1:14">
      <c r="A144" s="11"/>
      <c r="B144" s="31"/>
      <c r="C144" s="2"/>
      <c r="D144" s="2"/>
      <c r="E144" s="2"/>
      <c r="F144" s="2"/>
      <c r="G144" s="2"/>
      <c r="H144" s="2"/>
      <c r="I144" s="2"/>
      <c r="J144" s="2"/>
      <c r="K144" s="2"/>
      <c r="L144" s="2"/>
      <c r="M144" s="2"/>
      <c r="N144" s="2"/>
    </row>
    <row r="145" spans="1:14">
      <c r="A145" s="11"/>
      <c r="B145" s="31"/>
      <c r="C145" s="2"/>
      <c r="D145" s="2"/>
      <c r="E145" s="2"/>
      <c r="F145" s="2"/>
      <c r="G145" s="2"/>
      <c r="H145" s="2"/>
      <c r="I145" s="2"/>
      <c r="J145" s="2"/>
      <c r="K145" s="2"/>
      <c r="L145" s="2"/>
      <c r="M145" s="2"/>
      <c r="N145" s="2"/>
    </row>
    <row r="146" spans="1:14">
      <c r="A146" s="11"/>
      <c r="B146" s="31"/>
      <c r="C146" s="2"/>
      <c r="D146" s="2"/>
      <c r="E146" s="2"/>
      <c r="F146" s="2"/>
      <c r="G146" s="2"/>
      <c r="H146" s="2"/>
      <c r="I146" s="2"/>
      <c r="J146" s="2"/>
      <c r="K146" s="2"/>
      <c r="L146" s="2"/>
      <c r="M146" s="2"/>
      <c r="N146" s="2"/>
    </row>
    <row r="147" spans="1:14">
      <c r="A147" s="11"/>
      <c r="B147" s="31"/>
      <c r="C147" s="2"/>
      <c r="D147" s="2"/>
      <c r="E147" s="2"/>
      <c r="F147" s="2"/>
      <c r="G147" s="2"/>
      <c r="H147" s="2"/>
      <c r="I147" s="2"/>
      <c r="J147" s="2"/>
      <c r="K147" s="2"/>
      <c r="L147" s="2"/>
      <c r="M147" s="2"/>
      <c r="N147" s="2"/>
    </row>
    <row r="148" spans="1:14">
      <c r="A148" s="11"/>
      <c r="B148" s="31"/>
      <c r="C148" s="2"/>
      <c r="D148" s="2"/>
      <c r="E148" s="2"/>
      <c r="F148" s="2"/>
      <c r="G148" s="2"/>
      <c r="H148" s="2"/>
      <c r="I148" s="2"/>
      <c r="J148" s="2"/>
      <c r="K148" s="2"/>
      <c r="L148" s="2"/>
      <c r="M148" s="2"/>
      <c r="N148" s="2"/>
    </row>
    <row r="149" spans="1:14">
      <c r="A149" s="11"/>
      <c r="B149" s="31"/>
      <c r="C149" s="2"/>
      <c r="D149" s="2"/>
      <c r="E149" s="2"/>
      <c r="F149" s="2"/>
      <c r="G149" s="2"/>
      <c r="H149" s="2"/>
      <c r="I149" s="2"/>
      <c r="J149" s="2"/>
      <c r="K149" s="2"/>
      <c r="L149" s="2"/>
      <c r="M149" s="2"/>
      <c r="N149" s="2"/>
    </row>
    <row r="150" spans="1:14">
      <c r="A150" s="11"/>
      <c r="B150" s="31"/>
      <c r="C150" s="2"/>
      <c r="D150" s="2"/>
      <c r="E150" s="2"/>
      <c r="F150" s="2"/>
      <c r="G150" s="2"/>
      <c r="H150" s="2"/>
      <c r="I150" s="2"/>
      <c r="J150" s="2"/>
      <c r="K150" s="2"/>
      <c r="L150" s="2"/>
      <c r="M150" s="2"/>
      <c r="N150" s="2"/>
    </row>
    <row r="151" spans="1:14">
      <c r="A151" s="11"/>
      <c r="B151" s="31"/>
      <c r="C151" s="2"/>
      <c r="D151" s="2"/>
      <c r="E151" s="2"/>
      <c r="F151" s="2"/>
      <c r="G151" s="2"/>
      <c r="H151" s="2"/>
      <c r="I151" s="2"/>
      <c r="J151" s="2"/>
      <c r="K151" s="2"/>
      <c r="L151" s="2"/>
      <c r="M151" s="2"/>
      <c r="N151" s="2"/>
    </row>
    <row r="152" spans="1:14">
      <c r="A152" s="11"/>
      <c r="B152" s="31"/>
      <c r="C152" s="2"/>
      <c r="D152" s="2"/>
      <c r="E152" s="2"/>
      <c r="F152" s="2"/>
      <c r="G152" s="2"/>
      <c r="H152" s="2"/>
      <c r="I152" s="2"/>
      <c r="J152" s="2"/>
      <c r="K152" s="2"/>
      <c r="L152" s="2"/>
      <c r="M152" s="2"/>
      <c r="N152" s="2"/>
    </row>
    <row r="153" spans="1:14">
      <c r="A153" s="11"/>
      <c r="B153" s="31"/>
      <c r="C153" s="2"/>
      <c r="D153" s="2"/>
      <c r="E153" s="2"/>
      <c r="F153" s="2"/>
      <c r="G153" s="2"/>
      <c r="H153" s="2"/>
      <c r="I153" s="2"/>
      <c r="J153" s="2"/>
      <c r="K153" s="2"/>
      <c r="L153" s="2"/>
      <c r="M153" s="2"/>
      <c r="N153" s="2"/>
    </row>
    <row r="154" spans="1:14">
      <c r="A154" s="11"/>
      <c r="B154" s="31"/>
      <c r="C154" s="2"/>
      <c r="D154" s="2"/>
      <c r="E154" s="2"/>
      <c r="F154" s="2"/>
      <c r="G154" s="2"/>
      <c r="H154" s="2"/>
      <c r="I154" s="2"/>
      <c r="J154" s="2"/>
      <c r="K154" s="2"/>
      <c r="L154" s="2"/>
      <c r="M154" s="2"/>
      <c r="N154" s="2"/>
    </row>
    <row r="155" spans="1:14">
      <c r="A155" s="11"/>
      <c r="B155" s="31"/>
      <c r="C155" s="2"/>
      <c r="D155" s="2"/>
      <c r="E155" s="2"/>
      <c r="F155" s="2"/>
      <c r="G155" s="2"/>
      <c r="H155" s="2"/>
      <c r="I155" s="2"/>
      <c r="J155" s="2"/>
      <c r="K155" s="2"/>
      <c r="L155" s="2"/>
      <c r="M155" s="2"/>
      <c r="N155" s="2"/>
    </row>
    <row r="156" spans="1:14">
      <c r="A156" s="11"/>
      <c r="B156" s="31"/>
      <c r="C156" s="2"/>
      <c r="D156" s="2"/>
      <c r="E156" s="2"/>
      <c r="F156" s="2"/>
      <c r="G156" s="2"/>
      <c r="H156" s="2"/>
      <c r="I156" s="2"/>
      <c r="J156" s="2"/>
      <c r="K156" s="2"/>
      <c r="L156" s="2"/>
      <c r="M156" s="2"/>
      <c r="N156" s="2"/>
    </row>
    <row r="157" spans="1:14">
      <c r="A157" s="11"/>
      <c r="B157" s="31"/>
      <c r="C157" s="2"/>
      <c r="D157" s="2"/>
      <c r="E157" s="2"/>
      <c r="F157" s="2"/>
      <c r="G157" s="2"/>
      <c r="H157" s="2"/>
      <c r="I157" s="2"/>
      <c r="J157" s="2"/>
      <c r="K157" s="2"/>
      <c r="L157" s="2"/>
      <c r="M157" s="2"/>
      <c r="N157" s="2"/>
    </row>
    <row r="158" spans="1:14">
      <c r="A158" s="11"/>
      <c r="B158" s="31"/>
      <c r="C158" s="2"/>
      <c r="D158" s="2"/>
      <c r="E158" s="2"/>
      <c r="F158" s="2"/>
      <c r="G158" s="2"/>
      <c r="H158" s="2"/>
      <c r="I158" s="2"/>
      <c r="J158" s="2"/>
      <c r="K158" s="2"/>
      <c r="L158" s="2"/>
      <c r="M158" s="2"/>
      <c r="N158" s="2"/>
    </row>
    <row r="159" spans="1:14">
      <c r="A159" s="11"/>
      <c r="B159" s="31"/>
      <c r="C159" s="2"/>
      <c r="D159" s="2"/>
      <c r="E159" s="2"/>
      <c r="F159" s="2"/>
      <c r="G159" s="2"/>
      <c r="H159" s="2"/>
      <c r="I159" s="2"/>
      <c r="J159" s="2"/>
      <c r="K159" s="2"/>
      <c r="L159" s="2"/>
      <c r="M159" s="2"/>
      <c r="N159" s="2"/>
    </row>
    <row r="160" spans="1:14">
      <c r="A160" s="11"/>
      <c r="B160" s="31"/>
      <c r="C160" s="2"/>
      <c r="D160" s="2"/>
      <c r="E160" s="2"/>
      <c r="F160" s="2"/>
      <c r="G160" s="2"/>
      <c r="H160" s="2"/>
      <c r="I160" s="2"/>
      <c r="J160" s="2"/>
      <c r="K160" s="2"/>
      <c r="L160" s="2"/>
      <c r="M160" s="2"/>
      <c r="N160" s="2"/>
    </row>
    <row r="161" spans="1:14">
      <c r="A161" s="11"/>
      <c r="B161" s="31"/>
      <c r="C161" s="2"/>
      <c r="D161" s="2"/>
      <c r="E161" s="2"/>
      <c r="F161" s="2"/>
      <c r="G161" s="2"/>
      <c r="H161" s="2"/>
      <c r="I161" s="2"/>
      <c r="J161" s="2"/>
      <c r="K161" s="2"/>
      <c r="L161" s="2"/>
      <c r="M161" s="2"/>
      <c r="N161" s="2"/>
    </row>
    <row r="162" spans="1:14">
      <c r="A162" s="11"/>
      <c r="B162" s="31"/>
      <c r="C162" s="2"/>
      <c r="D162" s="2"/>
      <c r="E162" s="2"/>
      <c r="F162" s="2"/>
      <c r="G162" s="2"/>
      <c r="H162" s="2"/>
      <c r="I162" s="2"/>
      <c r="J162" s="2"/>
      <c r="K162" s="2"/>
      <c r="L162" s="2"/>
      <c r="M162" s="2"/>
      <c r="N162" s="2"/>
    </row>
    <row r="163" spans="1:14">
      <c r="A163" s="11"/>
      <c r="B163" s="31"/>
      <c r="C163" s="2"/>
      <c r="D163" s="2"/>
      <c r="E163" s="2"/>
      <c r="F163" s="2"/>
      <c r="G163" s="2"/>
      <c r="H163" s="2"/>
      <c r="I163" s="2"/>
      <c r="J163" s="2"/>
      <c r="K163" s="2"/>
      <c r="L163" s="2"/>
      <c r="M163" s="2"/>
      <c r="N163" s="2"/>
    </row>
    <row r="164" spans="1:14">
      <c r="A164" s="11"/>
      <c r="B164" s="31"/>
      <c r="C164" s="2"/>
      <c r="D164" s="2"/>
      <c r="E164" s="2"/>
      <c r="F164" s="2"/>
      <c r="G164" s="2"/>
      <c r="H164" s="2"/>
      <c r="I164" s="2"/>
      <c r="J164" s="2"/>
      <c r="K164" s="2"/>
      <c r="L164" s="2"/>
      <c r="M164" s="2"/>
      <c r="N164" s="2"/>
    </row>
    <row r="165" spans="1:14">
      <c r="A165" s="11"/>
      <c r="B165" s="31"/>
      <c r="C165" s="2"/>
      <c r="D165" s="2"/>
      <c r="E165" s="2"/>
      <c r="F165" s="2"/>
      <c r="G165" s="2"/>
      <c r="H165" s="2"/>
      <c r="I165" s="2"/>
      <c r="J165" s="2"/>
      <c r="K165" s="2"/>
      <c r="L165" s="2"/>
      <c r="M165" s="2"/>
      <c r="N165" s="2"/>
    </row>
    <row r="166" spans="1:14">
      <c r="A166" s="11"/>
      <c r="B166" s="31"/>
      <c r="C166" s="2"/>
      <c r="D166" s="2"/>
      <c r="E166" s="2"/>
      <c r="F166" s="2"/>
      <c r="G166" s="2"/>
      <c r="H166" s="2"/>
      <c r="I166" s="2"/>
      <c r="J166" s="2"/>
      <c r="K166" s="2"/>
      <c r="L166" s="2"/>
      <c r="M166" s="2"/>
      <c r="N166" s="2"/>
    </row>
    <row r="167" spans="1:14">
      <c r="A167" s="11"/>
      <c r="B167" s="31"/>
      <c r="C167" s="2"/>
      <c r="D167" s="2"/>
      <c r="E167" s="2"/>
      <c r="F167" s="2"/>
      <c r="G167" s="2"/>
      <c r="H167" s="2"/>
      <c r="I167" s="2"/>
      <c r="J167" s="2"/>
      <c r="K167" s="2"/>
      <c r="L167" s="2"/>
      <c r="M167" s="2"/>
      <c r="N167" s="2"/>
    </row>
    <row r="168" spans="1:14">
      <c r="A168" s="11"/>
      <c r="B168" s="31"/>
      <c r="C168" s="2"/>
      <c r="D168" s="2"/>
      <c r="E168" s="2"/>
      <c r="F168" s="2"/>
      <c r="G168" s="2"/>
      <c r="H168" s="2"/>
      <c r="I168" s="2"/>
      <c r="J168" s="2"/>
      <c r="K168" s="2"/>
      <c r="L168" s="2"/>
      <c r="M168" s="2"/>
      <c r="N168" s="2"/>
    </row>
    <row r="169" spans="1:14">
      <c r="A169" s="11"/>
      <c r="B169" s="31"/>
      <c r="C169" s="2"/>
      <c r="D169" s="2"/>
      <c r="E169" s="2"/>
      <c r="F169" s="2"/>
      <c r="G169" s="2"/>
      <c r="H169" s="2"/>
      <c r="I169" s="2"/>
      <c r="J169" s="2"/>
      <c r="K169" s="2"/>
      <c r="L169" s="2"/>
      <c r="M169" s="2"/>
      <c r="N169" s="2"/>
    </row>
    <row r="170" spans="1:14">
      <c r="A170" s="11"/>
      <c r="B170" s="31"/>
      <c r="C170" s="2"/>
      <c r="D170" s="2"/>
      <c r="E170" s="2"/>
      <c r="F170" s="2"/>
      <c r="G170" s="2"/>
      <c r="H170" s="2"/>
      <c r="I170" s="2"/>
      <c r="J170" s="2"/>
      <c r="K170" s="2"/>
      <c r="L170" s="2"/>
      <c r="M170" s="2"/>
      <c r="N170" s="2"/>
    </row>
    <row r="171" spans="1:14">
      <c r="A171" s="11"/>
      <c r="B171" s="31"/>
      <c r="C171" s="2"/>
      <c r="D171" s="2"/>
      <c r="E171" s="2"/>
      <c r="F171" s="2"/>
      <c r="G171" s="2"/>
      <c r="H171" s="2"/>
      <c r="I171" s="2"/>
      <c r="J171" s="2"/>
      <c r="K171" s="2"/>
      <c r="L171" s="2"/>
      <c r="M171" s="2"/>
      <c r="N171" s="2"/>
    </row>
    <row r="172" spans="1:14">
      <c r="A172" s="11"/>
      <c r="B172" s="31"/>
      <c r="C172" s="2"/>
      <c r="D172" s="2"/>
      <c r="E172" s="2"/>
      <c r="F172" s="2"/>
      <c r="G172" s="2"/>
      <c r="H172" s="2"/>
      <c r="I172" s="2"/>
      <c r="J172" s="2"/>
      <c r="K172" s="2"/>
      <c r="L172" s="2"/>
      <c r="M172" s="2"/>
      <c r="N172" s="2"/>
    </row>
    <row r="173" spans="1:14">
      <c r="A173" s="11"/>
      <c r="B173" s="31"/>
      <c r="C173" s="2"/>
      <c r="D173" s="2"/>
      <c r="E173" s="2"/>
      <c r="F173" s="2"/>
      <c r="G173" s="2"/>
      <c r="H173" s="2"/>
      <c r="I173" s="2"/>
      <c r="J173" s="2"/>
      <c r="K173" s="2"/>
      <c r="L173" s="2"/>
      <c r="M173" s="2"/>
      <c r="N173" s="2"/>
    </row>
    <row r="174" spans="1:14">
      <c r="A174" s="11"/>
      <c r="B174" s="31"/>
      <c r="C174" s="2"/>
      <c r="D174" s="2"/>
      <c r="E174" s="2"/>
      <c r="F174" s="2"/>
      <c r="G174" s="2"/>
      <c r="H174" s="2"/>
      <c r="I174" s="2"/>
      <c r="J174" s="2"/>
      <c r="K174" s="2"/>
      <c r="L174" s="2"/>
      <c r="M174" s="2"/>
      <c r="N174" s="2"/>
    </row>
    <row r="175" spans="1:14">
      <c r="A175" s="11"/>
      <c r="B175" s="31"/>
      <c r="C175" s="2"/>
      <c r="D175" s="2"/>
      <c r="E175" s="2"/>
      <c r="F175" s="2"/>
      <c r="G175" s="2"/>
      <c r="H175" s="2"/>
      <c r="I175" s="2"/>
      <c r="J175" s="2"/>
      <c r="K175" s="2"/>
      <c r="L175" s="2"/>
      <c r="M175" s="2"/>
      <c r="N175" s="2"/>
    </row>
    <row r="176" spans="1:14">
      <c r="A176" s="11"/>
      <c r="B176" s="31"/>
      <c r="C176" s="2"/>
      <c r="D176" s="2"/>
      <c r="E176" s="2"/>
      <c r="F176" s="2"/>
      <c r="G176" s="2"/>
      <c r="H176" s="2"/>
      <c r="I176" s="2"/>
      <c r="J176" s="2"/>
      <c r="K176" s="2"/>
      <c r="L176" s="2"/>
      <c r="M176" s="2"/>
      <c r="N176" s="2"/>
    </row>
    <row r="177" spans="1:14">
      <c r="A177" s="11"/>
      <c r="B177" s="31"/>
      <c r="C177" s="2"/>
      <c r="D177" s="2"/>
      <c r="E177" s="2"/>
      <c r="F177" s="2"/>
      <c r="G177" s="2"/>
      <c r="H177" s="2"/>
      <c r="I177" s="2"/>
      <c r="J177" s="2"/>
      <c r="K177" s="2"/>
      <c r="L177" s="2"/>
      <c r="M177" s="2"/>
      <c r="N177" s="2"/>
    </row>
    <row r="178" spans="1:14">
      <c r="A178" s="11"/>
      <c r="B178" s="31"/>
      <c r="C178" s="2"/>
      <c r="D178" s="2"/>
      <c r="E178" s="2"/>
      <c r="F178" s="2"/>
      <c r="G178" s="2"/>
      <c r="H178" s="2"/>
      <c r="I178" s="2"/>
      <c r="J178" s="2"/>
      <c r="K178" s="2"/>
      <c r="L178" s="2"/>
      <c r="M178" s="2"/>
      <c r="N178" s="2"/>
    </row>
    <row r="179" spans="1:14">
      <c r="A179" s="11"/>
      <c r="B179" s="31"/>
      <c r="C179" s="2"/>
      <c r="D179" s="2"/>
      <c r="E179" s="2"/>
      <c r="F179" s="2"/>
      <c r="G179" s="2"/>
      <c r="H179" s="2"/>
      <c r="I179" s="2"/>
      <c r="J179" s="2"/>
      <c r="K179" s="2"/>
      <c r="L179" s="2"/>
      <c r="M179" s="2"/>
      <c r="N179" s="2"/>
    </row>
    <row r="180" spans="1:14">
      <c r="A180" s="11"/>
      <c r="B180" s="31"/>
      <c r="C180" s="2"/>
      <c r="D180" s="2"/>
      <c r="E180" s="2"/>
      <c r="F180" s="2"/>
      <c r="G180" s="2"/>
      <c r="H180" s="2"/>
      <c r="I180" s="2"/>
      <c r="J180" s="2"/>
      <c r="K180" s="2"/>
      <c r="L180" s="2"/>
      <c r="M180" s="2"/>
      <c r="N180" s="2"/>
    </row>
    <row r="181" spans="1:14">
      <c r="A181" s="11"/>
      <c r="B181" s="31"/>
      <c r="C181" s="2"/>
      <c r="D181" s="2"/>
      <c r="E181" s="2"/>
      <c r="F181" s="2"/>
      <c r="G181" s="2"/>
      <c r="H181" s="2"/>
      <c r="I181" s="2"/>
      <c r="J181" s="2"/>
      <c r="K181" s="2"/>
      <c r="L181" s="2"/>
      <c r="M181" s="2"/>
      <c r="N181" s="2"/>
    </row>
    <row r="182" spans="1:14">
      <c r="A182" s="11"/>
      <c r="B182" s="31"/>
      <c r="C182" s="2"/>
      <c r="D182" s="2"/>
      <c r="E182" s="2"/>
      <c r="F182" s="2"/>
      <c r="G182" s="2"/>
      <c r="H182" s="2"/>
      <c r="I182" s="2"/>
      <c r="J182" s="2"/>
      <c r="K182" s="2"/>
      <c r="L182" s="2"/>
      <c r="M182" s="2"/>
      <c r="N182" s="2"/>
    </row>
    <row r="183" spans="1:14">
      <c r="A183" s="11"/>
      <c r="B183" s="31"/>
      <c r="C183" s="2"/>
      <c r="D183" s="2"/>
      <c r="E183" s="2"/>
      <c r="F183" s="2"/>
      <c r="G183" s="2"/>
      <c r="H183" s="2"/>
      <c r="I183" s="2"/>
      <c r="J183" s="2"/>
      <c r="K183" s="2"/>
      <c r="L183" s="2"/>
      <c r="M183" s="2"/>
      <c r="N183" s="2"/>
    </row>
    <row r="184" spans="1:14">
      <c r="A184" s="11"/>
      <c r="B184" s="31"/>
      <c r="C184" s="2"/>
      <c r="D184" s="2"/>
      <c r="E184" s="2"/>
      <c r="F184" s="2"/>
      <c r="G184" s="2"/>
      <c r="H184" s="2"/>
      <c r="I184" s="2"/>
      <c r="J184" s="2"/>
      <c r="K184" s="2"/>
      <c r="L184" s="2"/>
      <c r="M184" s="2"/>
      <c r="N184" s="2"/>
    </row>
    <row r="185" spans="1:14">
      <c r="A185" s="11"/>
      <c r="B185" s="31"/>
      <c r="C185" s="2"/>
      <c r="D185" s="2"/>
      <c r="E185" s="2"/>
      <c r="F185" s="2"/>
      <c r="G185" s="2"/>
      <c r="H185" s="2"/>
      <c r="I185" s="2"/>
      <c r="J185" s="2"/>
      <c r="K185" s="2"/>
      <c r="L185" s="2"/>
      <c r="M185" s="2"/>
      <c r="N185" s="2"/>
    </row>
    <row r="186" spans="1:14">
      <c r="A186" s="11"/>
      <c r="B186" s="31"/>
      <c r="C186" s="2"/>
      <c r="D186" s="2"/>
      <c r="E186" s="2"/>
      <c r="F186" s="2"/>
      <c r="G186" s="2"/>
      <c r="H186" s="2"/>
      <c r="I186" s="2"/>
      <c r="J186" s="2"/>
      <c r="K186" s="2"/>
      <c r="L186" s="2"/>
      <c r="M186" s="2"/>
      <c r="N186" s="2"/>
    </row>
    <row r="187" spans="1:14">
      <c r="A187" s="11"/>
      <c r="B187" s="31"/>
      <c r="C187" s="2"/>
      <c r="D187" s="2"/>
      <c r="E187" s="2"/>
      <c r="F187" s="2"/>
      <c r="G187" s="2"/>
      <c r="H187" s="2"/>
      <c r="I187" s="2"/>
      <c r="J187" s="2"/>
      <c r="K187" s="2"/>
      <c r="L187" s="2"/>
      <c r="M187" s="2"/>
      <c r="N187" s="2"/>
    </row>
    <row r="188" spans="1:14">
      <c r="A188" s="11"/>
      <c r="B188" s="31"/>
      <c r="C188" s="2"/>
      <c r="D188" s="2"/>
      <c r="E188" s="2"/>
      <c r="F188" s="2"/>
      <c r="G188" s="2"/>
      <c r="H188" s="2"/>
      <c r="I188" s="2"/>
      <c r="J188" s="2"/>
      <c r="K188" s="2"/>
      <c r="L188" s="2"/>
      <c r="M188" s="2"/>
      <c r="N188" s="2"/>
    </row>
    <row r="189" spans="1:14">
      <c r="A189" s="11"/>
      <c r="B189" s="31"/>
      <c r="C189" s="2"/>
      <c r="D189" s="2"/>
      <c r="E189" s="2"/>
      <c r="F189" s="2"/>
      <c r="G189" s="2"/>
      <c r="H189" s="2"/>
      <c r="I189" s="2"/>
      <c r="J189" s="2"/>
      <c r="K189" s="2"/>
      <c r="L189" s="2"/>
      <c r="M189" s="2"/>
      <c r="N189" s="2"/>
    </row>
    <row r="190" spans="1:14">
      <c r="A190" s="11"/>
      <c r="B190" s="31"/>
      <c r="C190" s="2"/>
      <c r="D190" s="2"/>
      <c r="E190" s="2"/>
      <c r="F190" s="2"/>
      <c r="G190" s="2"/>
      <c r="H190" s="2"/>
      <c r="I190" s="2"/>
      <c r="J190" s="2"/>
      <c r="K190" s="2"/>
      <c r="L190" s="2"/>
      <c r="M190" s="2"/>
      <c r="N190" s="2"/>
    </row>
    <row r="191" spans="1:14">
      <c r="A191" s="11"/>
      <c r="B191" s="31"/>
      <c r="C191" s="2"/>
      <c r="D191" s="2"/>
      <c r="E191" s="2"/>
      <c r="F191" s="2"/>
      <c r="G191" s="2"/>
      <c r="H191" s="2"/>
      <c r="I191" s="2"/>
      <c r="J191" s="2"/>
      <c r="K191" s="2"/>
      <c r="L191" s="2"/>
      <c r="M191" s="2"/>
      <c r="N191" s="2"/>
    </row>
    <row r="192" spans="1:14">
      <c r="A192" s="11"/>
      <c r="B192" s="31"/>
      <c r="C192" s="2"/>
      <c r="D192" s="2"/>
      <c r="E192" s="2"/>
      <c r="F192" s="2"/>
      <c r="G192" s="2"/>
      <c r="H192" s="2"/>
      <c r="I192" s="2"/>
      <c r="J192" s="2"/>
      <c r="K192" s="2"/>
      <c r="L192" s="2"/>
      <c r="M192" s="2"/>
      <c r="N192" s="2"/>
    </row>
    <row r="193" spans="1:14">
      <c r="A193" s="11"/>
      <c r="B193" s="31"/>
      <c r="C193" s="2"/>
      <c r="D193" s="2"/>
      <c r="E193" s="2"/>
      <c r="F193" s="2"/>
      <c r="G193" s="2"/>
      <c r="H193" s="2"/>
      <c r="I193" s="2"/>
      <c r="J193" s="2"/>
      <c r="K193" s="2"/>
      <c r="L193" s="2"/>
      <c r="M193" s="2"/>
      <c r="N193" s="2"/>
    </row>
    <row r="194" spans="1:14">
      <c r="A194" s="11"/>
      <c r="B194" s="31"/>
      <c r="C194" s="2"/>
      <c r="D194" s="2"/>
      <c r="E194" s="2"/>
      <c r="F194" s="2"/>
      <c r="G194" s="2"/>
      <c r="H194" s="2"/>
      <c r="I194" s="2"/>
      <c r="J194" s="2"/>
      <c r="K194" s="2"/>
      <c r="L194" s="2"/>
      <c r="M194" s="2"/>
      <c r="N194" s="2"/>
    </row>
    <row r="195" spans="1:14">
      <c r="A195" s="11"/>
      <c r="B195" s="31"/>
      <c r="C195" s="2"/>
      <c r="D195" s="2"/>
      <c r="E195" s="2"/>
      <c r="F195" s="2"/>
      <c r="G195" s="2"/>
      <c r="H195" s="2"/>
      <c r="I195" s="2"/>
      <c r="J195" s="2"/>
      <c r="K195" s="2"/>
      <c r="L195" s="2"/>
      <c r="M195" s="2"/>
      <c r="N195" s="2"/>
    </row>
    <row r="196" spans="1:14">
      <c r="A196" s="11"/>
      <c r="B196" s="31"/>
      <c r="C196" s="2"/>
      <c r="D196" s="2"/>
      <c r="E196" s="2"/>
      <c r="F196" s="2"/>
      <c r="G196" s="2"/>
      <c r="H196" s="2"/>
      <c r="I196" s="2"/>
      <c r="J196" s="2"/>
      <c r="K196" s="2"/>
      <c r="L196" s="2"/>
      <c r="M196" s="2"/>
      <c r="N196" s="2"/>
    </row>
    <row r="197" spans="1:14">
      <c r="A197" s="11"/>
      <c r="B197" s="31"/>
      <c r="C197" s="2"/>
      <c r="D197" s="2"/>
      <c r="E197" s="2"/>
      <c r="F197" s="2"/>
      <c r="G197" s="2"/>
      <c r="H197" s="2"/>
      <c r="I197" s="2"/>
      <c r="J197" s="2"/>
      <c r="K197" s="2"/>
      <c r="L197" s="2"/>
      <c r="M197" s="2"/>
      <c r="N197" s="2"/>
    </row>
    <row r="198" spans="1:14">
      <c r="A198" s="11"/>
      <c r="B198" s="31"/>
      <c r="C198" s="2"/>
      <c r="D198" s="2"/>
      <c r="E198" s="2"/>
      <c r="F198" s="2"/>
      <c r="G198" s="2"/>
      <c r="H198" s="2"/>
      <c r="I198" s="2"/>
      <c r="J198" s="2"/>
      <c r="K198" s="2"/>
      <c r="L198" s="2"/>
      <c r="M198" s="2"/>
      <c r="N198" s="2"/>
    </row>
    <row r="199" spans="1:14">
      <c r="A199" s="11"/>
      <c r="B199" s="31"/>
      <c r="C199" s="2"/>
      <c r="D199" s="2"/>
      <c r="E199" s="2"/>
      <c r="F199" s="2"/>
      <c r="G199" s="2"/>
      <c r="H199" s="2"/>
      <c r="I199" s="2"/>
      <c r="J199" s="2"/>
      <c r="K199" s="2"/>
      <c r="L199" s="2"/>
      <c r="M199" s="2"/>
      <c r="N199" s="2"/>
    </row>
    <row r="200" spans="1:14">
      <c r="A200" s="11"/>
      <c r="B200" s="31"/>
      <c r="C200" s="2"/>
      <c r="D200" s="2"/>
      <c r="E200" s="2"/>
      <c r="F200" s="2"/>
      <c r="G200" s="2"/>
      <c r="H200" s="2"/>
      <c r="I200" s="2"/>
      <c r="J200" s="2"/>
      <c r="K200" s="2"/>
      <c r="L200" s="2"/>
      <c r="M200" s="2"/>
      <c r="N200" s="2"/>
    </row>
    <row r="201" spans="1:14">
      <c r="A201" s="11"/>
      <c r="B201" s="31"/>
      <c r="C201" s="2"/>
      <c r="D201" s="2"/>
      <c r="E201" s="2"/>
      <c r="F201" s="2"/>
      <c r="G201" s="2"/>
      <c r="H201" s="2"/>
      <c r="I201" s="2"/>
      <c r="J201" s="2"/>
      <c r="K201" s="2"/>
      <c r="L201" s="2"/>
      <c r="M201" s="2"/>
      <c r="N201" s="2"/>
    </row>
    <row r="202" spans="1:14">
      <c r="A202" s="11"/>
      <c r="B202" s="31"/>
      <c r="C202" s="2"/>
      <c r="D202" s="2"/>
      <c r="E202" s="2"/>
      <c r="F202" s="2"/>
      <c r="G202" s="2"/>
      <c r="H202" s="2"/>
      <c r="I202" s="2"/>
      <c r="J202" s="2"/>
      <c r="K202" s="2"/>
      <c r="L202" s="2"/>
      <c r="M202" s="2"/>
      <c r="N202" s="2"/>
    </row>
    <row r="203" spans="1:14">
      <c r="A203" s="11"/>
      <c r="B203" s="31"/>
      <c r="C203" s="2"/>
      <c r="D203" s="2"/>
      <c r="E203" s="2"/>
      <c r="F203" s="2"/>
      <c r="G203" s="2"/>
      <c r="H203" s="2"/>
      <c r="I203" s="2"/>
      <c r="J203" s="2"/>
      <c r="K203" s="2"/>
      <c r="L203" s="2"/>
      <c r="M203" s="2"/>
      <c r="N203" s="2"/>
    </row>
    <row r="204" spans="1:14">
      <c r="A204" s="11"/>
      <c r="B204" s="31"/>
      <c r="C204" s="2"/>
      <c r="D204" s="2"/>
      <c r="E204" s="2"/>
      <c r="F204" s="2"/>
      <c r="G204" s="2"/>
      <c r="H204" s="2"/>
      <c r="I204" s="2"/>
      <c r="J204" s="2"/>
      <c r="K204" s="2"/>
      <c r="L204" s="2"/>
      <c r="M204" s="2"/>
      <c r="N204" s="2"/>
    </row>
    <row r="205" spans="1:14">
      <c r="A205" s="11"/>
      <c r="B205" s="31"/>
      <c r="C205" s="2"/>
      <c r="D205" s="2"/>
      <c r="E205" s="2"/>
      <c r="F205" s="2"/>
      <c r="G205" s="2"/>
      <c r="H205" s="2"/>
      <c r="I205" s="2"/>
      <c r="J205" s="2"/>
      <c r="K205" s="2"/>
      <c r="L205" s="2"/>
      <c r="M205" s="2"/>
      <c r="N205" s="2"/>
    </row>
    <row r="206" spans="1:14">
      <c r="A206" s="11"/>
      <c r="B206" s="31"/>
      <c r="C206" s="2"/>
      <c r="D206" s="2"/>
      <c r="E206" s="2"/>
      <c r="F206" s="2"/>
      <c r="G206" s="2"/>
      <c r="H206" s="2"/>
      <c r="I206" s="2"/>
      <c r="J206" s="2"/>
      <c r="K206" s="2"/>
      <c r="L206" s="2"/>
      <c r="M206" s="2"/>
      <c r="N206" s="2"/>
    </row>
    <row r="207" spans="1:14">
      <c r="A207" s="11"/>
      <c r="B207" s="31"/>
      <c r="C207" s="2"/>
      <c r="D207" s="2"/>
      <c r="E207" s="2"/>
      <c r="F207" s="2"/>
      <c r="G207" s="2"/>
      <c r="H207" s="2"/>
      <c r="I207" s="2"/>
      <c r="J207" s="2"/>
      <c r="K207" s="2"/>
      <c r="L207" s="2"/>
      <c r="M207" s="2"/>
      <c r="N207" s="2"/>
    </row>
    <row r="208" spans="1:14">
      <c r="A208" s="11"/>
      <c r="B208" s="31"/>
      <c r="C208" s="2"/>
      <c r="D208" s="2"/>
      <c r="E208" s="2"/>
      <c r="F208" s="2"/>
      <c r="G208" s="2"/>
      <c r="H208" s="2"/>
      <c r="I208" s="2"/>
      <c r="J208" s="2"/>
      <c r="K208" s="2"/>
      <c r="L208" s="2"/>
      <c r="M208" s="2"/>
      <c r="N208" s="2"/>
    </row>
    <row r="209" spans="1:14">
      <c r="A209" s="11"/>
      <c r="B209" s="31"/>
      <c r="C209" s="2"/>
      <c r="D209" s="2"/>
      <c r="E209" s="2"/>
      <c r="F209" s="2"/>
      <c r="G209" s="2"/>
      <c r="H209" s="2"/>
      <c r="I209" s="2"/>
      <c r="J209" s="2"/>
      <c r="K209" s="2"/>
      <c r="L209" s="2"/>
      <c r="M209" s="2"/>
      <c r="N209" s="2"/>
    </row>
    <row r="210" spans="1:14">
      <c r="A210" s="11"/>
      <c r="B210" s="31"/>
      <c r="C210" s="2"/>
      <c r="D210" s="2"/>
      <c r="E210" s="2"/>
      <c r="F210" s="2"/>
      <c r="G210" s="2"/>
      <c r="H210" s="2"/>
      <c r="I210" s="2"/>
      <c r="J210" s="2"/>
      <c r="K210" s="2"/>
      <c r="L210" s="2"/>
      <c r="M210" s="2"/>
      <c r="N210" s="2"/>
    </row>
    <row r="211" spans="1:14">
      <c r="A211" s="11"/>
      <c r="B211" s="31"/>
      <c r="C211" s="2"/>
      <c r="D211" s="2"/>
      <c r="E211" s="2"/>
      <c r="F211" s="2"/>
      <c r="G211" s="2"/>
      <c r="H211" s="2"/>
      <c r="I211" s="2"/>
      <c r="J211" s="2"/>
      <c r="K211" s="2"/>
      <c r="L211" s="2"/>
      <c r="M211" s="2"/>
      <c r="N211" s="2"/>
    </row>
    <row r="212" spans="1:14">
      <c r="A212" s="11"/>
      <c r="B212" s="31"/>
      <c r="C212" s="2"/>
      <c r="D212" s="2"/>
      <c r="E212" s="2"/>
      <c r="F212" s="2"/>
      <c r="G212" s="2"/>
      <c r="H212" s="2"/>
      <c r="I212" s="2"/>
      <c r="J212" s="2"/>
      <c r="K212" s="2"/>
      <c r="L212" s="2"/>
      <c r="M212" s="2"/>
      <c r="N212" s="2"/>
    </row>
    <row r="213" spans="1:14">
      <c r="A213" s="11"/>
      <c r="B213" s="31"/>
      <c r="C213" s="2"/>
      <c r="D213" s="2"/>
      <c r="E213" s="2"/>
      <c r="F213" s="2"/>
      <c r="G213" s="2"/>
      <c r="H213" s="2"/>
      <c r="I213" s="2"/>
      <c r="J213" s="2"/>
      <c r="K213" s="2"/>
      <c r="L213" s="2"/>
      <c r="M213" s="2"/>
      <c r="N213" s="2"/>
    </row>
    <row r="214" spans="1:14">
      <c r="A214" s="11"/>
      <c r="B214" s="31"/>
      <c r="C214" s="2"/>
      <c r="D214" s="2"/>
      <c r="E214" s="2"/>
      <c r="F214" s="2"/>
      <c r="G214" s="2"/>
      <c r="H214" s="2"/>
      <c r="I214" s="2"/>
      <c r="J214" s="2"/>
      <c r="K214" s="2"/>
      <c r="L214" s="2"/>
      <c r="M214" s="2"/>
      <c r="N214" s="2"/>
    </row>
    <row r="215" spans="1:14">
      <c r="A215" s="11"/>
      <c r="B215" s="31"/>
      <c r="C215" s="2"/>
      <c r="D215" s="2"/>
      <c r="E215" s="2"/>
      <c r="F215" s="2"/>
      <c r="G215" s="2"/>
      <c r="H215" s="2"/>
      <c r="I215" s="2"/>
      <c r="J215" s="2"/>
      <c r="K215" s="2"/>
      <c r="L215" s="2"/>
      <c r="M215" s="2"/>
      <c r="N215" s="2"/>
    </row>
    <row r="216" spans="1:14">
      <c r="A216" s="11"/>
      <c r="B216" s="31"/>
      <c r="C216" s="2"/>
      <c r="D216" s="2"/>
      <c r="E216" s="2"/>
      <c r="F216" s="2"/>
      <c r="G216" s="2"/>
      <c r="H216" s="2"/>
      <c r="I216" s="2"/>
      <c r="J216" s="2"/>
      <c r="K216" s="2"/>
      <c r="L216" s="2"/>
      <c r="M216" s="2"/>
      <c r="N216" s="2"/>
    </row>
    <row r="217" spans="1:14">
      <c r="A217" s="11"/>
      <c r="B217" s="31"/>
      <c r="C217" s="2"/>
      <c r="D217" s="2"/>
      <c r="E217" s="2"/>
      <c r="F217" s="2"/>
      <c r="G217" s="2"/>
      <c r="H217" s="2"/>
      <c r="I217" s="2"/>
      <c r="J217" s="2"/>
      <c r="K217" s="2"/>
      <c r="L217" s="2"/>
      <c r="M217" s="2"/>
      <c r="N217" s="2"/>
    </row>
    <row r="218" spans="1:14">
      <c r="A218" s="11"/>
      <c r="B218" s="31"/>
      <c r="C218" s="2"/>
      <c r="D218" s="2"/>
      <c r="E218" s="2"/>
      <c r="F218" s="2"/>
      <c r="G218" s="2"/>
      <c r="H218" s="2"/>
      <c r="I218" s="2"/>
      <c r="J218" s="2"/>
      <c r="K218" s="2"/>
      <c r="L218" s="2"/>
      <c r="M218" s="2"/>
      <c r="N218" s="2"/>
    </row>
    <row r="219" spans="1:14">
      <c r="A219" s="11"/>
      <c r="B219" s="31"/>
      <c r="C219" s="2"/>
      <c r="D219" s="2"/>
      <c r="E219" s="2"/>
      <c r="F219" s="2"/>
      <c r="G219" s="2"/>
      <c r="H219" s="2"/>
      <c r="I219" s="2"/>
      <c r="J219" s="2"/>
      <c r="K219" s="2"/>
      <c r="L219" s="2"/>
      <c r="M219" s="2"/>
      <c r="N219" s="2"/>
    </row>
    <row r="220" spans="1:14">
      <c r="A220" s="11"/>
      <c r="B220" s="31"/>
      <c r="C220" s="2"/>
      <c r="D220" s="2"/>
      <c r="E220" s="2"/>
      <c r="F220" s="2"/>
      <c r="G220" s="2"/>
      <c r="H220" s="2"/>
      <c r="I220" s="2"/>
      <c r="J220" s="2"/>
      <c r="K220" s="2"/>
      <c r="L220" s="2"/>
      <c r="M220" s="2"/>
      <c r="N220" s="2"/>
    </row>
    <row r="221" spans="1:14">
      <c r="A221" s="11"/>
      <c r="B221" s="31"/>
      <c r="C221" s="2"/>
      <c r="D221" s="2"/>
      <c r="E221" s="2"/>
      <c r="F221" s="2"/>
      <c r="G221" s="2"/>
      <c r="H221" s="2"/>
      <c r="I221" s="2"/>
      <c r="J221" s="2"/>
      <c r="K221" s="2"/>
      <c r="L221" s="2"/>
      <c r="M221" s="2"/>
      <c r="N221" s="2"/>
    </row>
    <row r="222" spans="1:14">
      <c r="A222" s="11"/>
      <c r="B222" s="31"/>
      <c r="C222" s="2"/>
      <c r="D222" s="2"/>
      <c r="E222" s="2"/>
      <c r="F222" s="2"/>
      <c r="G222" s="2"/>
      <c r="H222" s="2"/>
      <c r="I222" s="2"/>
      <c r="J222" s="2"/>
      <c r="K222" s="2"/>
      <c r="L222" s="2"/>
      <c r="M222" s="2"/>
      <c r="N222" s="2"/>
    </row>
    <row r="223" spans="1:14">
      <c r="A223" s="11"/>
      <c r="B223" s="31"/>
      <c r="C223" s="2"/>
      <c r="D223" s="2"/>
      <c r="E223" s="2"/>
      <c r="F223" s="2"/>
      <c r="G223" s="2"/>
      <c r="H223" s="2"/>
      <c r="I223" s="2"/>
      <c r="J223" s="2"/>
      <c r="K223" s="2"/>
      <c r="L223" s="2"/>
      <c r="M223" s="2"/>
      <c r="N223" s="2"/>
    </row>
    <row r="224" spans="1:14">
      <c r="A224" s="11"/>
      <c r="B224" s="31"/>
      <c r="C224" s="2"/>
      <c r="D224" s="2"/>
      <c r="E224" s="2"/>
      <c r="F224" s="2"/>
      <c r="G224" s="2"/>
      <c r="H224" s="2"/>
      <c r="I224" s="2"/>
      <c r="J224" s="2"/>
      <c r="K224" s="2"/>
      <c r="L224" s="2"/>
      <c r="M224" s="2"/>
      <c r="N224" s="2"/>
    </row>
    <row r="225" spans="1:14">
      <c r="A225" s="11"/>
      <c r="B225" s="31"/>
      <c r="C225" s="2"/>
      <c r="D225" s="2"/>
      <c r="E225" s="2"/>
      <c r="F225" s="2"/>
      <c r="G225" s="2"/>
      <c r="H225" s="2"/>
      <c r="I225" s="2"/>
      <c r="J225" s="2"/>
      <c r="K225" s="2"/>
      <c r="L225" s="2"/>
      <c r="M225" s="2"/>
      <c r="N225" s="2"/>
    </row>
    <row r="226" spans="1:14">
      <c r="A226" s="11"/>
      <c r="B226" s="31"/>
      <c r="C226" s="2"/>
      <c r="D226" s="2"/>
      <c r="E226" s="2"/>
      <c r="F226" s="2"/>
      <c r="G226" s="2"/>
      <c r="H226" s="2"/>
      <c r="I226" s="2"/>
      <c r="J226" s="2"/>
      <c r="K226" s="2"/>
      <c r="L226" s="2"/>
      <c r="M226" s="2"/>
      <c r="N226" s="2"/>
    </row>
    <row r="227" spans="1:14">
      <c r="A227" s="11"/>
      <c r="B227" s="31"/>
      <c r="C227" s="2"/>
      <c r="D227" s="2"/>
      <c r="E227" s="2"/>
      <c r="F227" s="2"/>
      <c r="G227" s="2"/>
      <c r="H227" s="2"/>
      <c r="I227" s="2"/>
      <c r="J227" s="2"/>
      <c r="K227" s="2"/>
      <c r="L227" s="2"/>
      <c r="M227" s="2"/>
      <c r="N227" s="2"/>
    </row>
    <row r="228" spans="1:14">
      <c r="A228" s="11"/>
      <c r="B228" s="31"/>
      <c r="C228" s="2"/>
      <c r="D228" s="2"/>
      <c r="E228" s="2"/>
      <c r="F228" s="2"/>
      <c r="G228" s="2"/>
      <c r="H228" s="2"/>
      <c r="I228" s="2"/>
      <c r="J228" s="2"/>
      <c r="K228" s="2"/>
      <c r="L228" s="2"/>
      <c r="M228" s="2"/>
      <c r="N228" s="2"/>
    </row>
    <row r="229" spans="1:14">
      <c r="A229" s="11"/>
      <c r="B229" s="31"/>
      <c r="C229" s="2"/>
      <c r="D229" s="2"/>
      <c r="E229" s="2"/>
      <c r="F229" s="2"/>
      <c r="G229" s="2"/>
      <c r="H229" s="2"/>
      <c r="I229" s="2"/>
      <c r="J229" s="2"/>
      <c r="K229" s="2"/>
      <c r="L229" s="2"/>
      <c r="M229" s="2"/>
      <c r="N229" s="2"/>
    </row>
    <row r="230" spans="1:14">
      <c r="A230" s="11"/>
      <c r="B230" s="31"/>
      <c r="C230" s="2"/>
      <c r="D230" s="2"/>
      <c r="E230" s="2"/>
      <c r="F230" s="2"/>
      <c r="G230" s="2"/>
      <c r="H230" s="2"/>
      <c r="I230" s="2"/>
      <c r="J230" s="2"/>
      <c r="K230" s="2"/>
      <c r="L230" s="2"/>
      <c r="M230" s="2"/>
      <c r="N230" s="2"/>
    </row>
    <row r="231" spans="1:14">
      <c r="A231" s="11"/>
      <c r="B231" s="31"/>
      <c r="C231" s="2"/>
      <c r="D231" s="2"/>
      <c r="E231" s="2"/>
      <c r="F231" s="2"/>
      <c r="G231" s="2"/>
      <c r="H231" s="2"/>
      <c r="I231" s="2"/>
      <c r="J231" s="2"/>
      <c r="K231" s="2"/>
      <c r="L231" s="2"/>
      <c r="M231" s="2"/>
      <c r="N231" s="2"/>
    </row>
    <row r="232" spans="1:14">
      <c r="A232" s="11"/>
      <c r="B232" s="31"/>
      <c r="C232" s="2"/>
      <c r="D232" s="2"/>
      <c r="E232" s="2"/>
      <c r="F232" s="2"/>
      <c r="G232" s="2"/>
      <c r="H232" s="2"/>
      <c r="I232" s="2"/>
      <c r="J232" s="2"/>
      <c r="K232" s="2"/>
      <c r="L232" s="2"/>
      <c r="M232" s="2"/>
      <c r="N232" s="2"/>
    </row>
    <row r="233" spans="1:14">
      <c r="A233" s="11"/>
      <c r="B233" s="31"/>
      <c r="C233" s="2"/>
      <c r="D233" s="2"/>
      <c r="E233" s="2"/>
      <c r="F233" s="2"/>
      <c r="G233" s="2"/>
      <c r="H233" s="2"/>
      <c r="I233" s="2"/>
      <c r="J233" s="2"/>
      <c r="K233" s="2"/>
      <c r="L233" s="2"/>
      <c r="M233" s="2"/>
      <c r="N233" s="2"/>
    </row>
    <row r="234" spans="1:14">
      <c r="A234" s="11"/>
      <c r="B234" s="31"/>
      <c r="C234" s="2"/>
      <c r="D234" s="2"/>
      <c r="E234" s="2"/>
      <c r="F234" s="2"/>
      <c r="G234" s="2"/>
      <c r="H234" s="2"/>
      <c r="I234" s="2"/>
      <c r="J234" s="2"/>
      <c r="K234" s="2"/>
      <c r="L234" s="2"/>
      <c r="M234" s="2"/>
      <c r="N234" s="2"/>
    </row>
    <row r="235" spans="1:14">
      <c r="A235" s="11"/>
      <c r="B235" s="31"/>
      <c r="C235" s="2"/>
      <c r="D235" s="2"/>
      <c r="E235" s="2"/>
      <c r="F235" s="2"/>
      <c r="G235" s="2"/>
      <c r="H235" s="2"/>
      <c r="I235" s="2"/>
      <c r="J235" s="2"/>
      <c r="K235" s="2"/>
      <c r="L235" s="2"/>
      <c r="M235" s="2"/>
      <c r="N235" s="2"/>
    </row>
    <row r="236" spans="1:14">
      <c r="A236" s="11"/>
      <c r="B236" s="31"/>
      <c r="C236" s="2"/>
      <c r="D236" s="2"/>
      <c r="E236" s="2"/>
      <c r="F236" s="2"/>
      <c r="G236" s="2"/>
      <c r="H236" s="2"/>
      <c r="I236" s="2"/>
      <c r="J236" s="2"/>
      <c r="K236" s="2"/>
      <c r="L236" s="2"/>
      <c r="M236" s="2"/>
      <c r="N236" s="2"/>
    </row>
    <row r="237" spans="1:14">
      <c r="A237" s="11"/>
      <c r="B237" s="31"/>
      <c r="C237" s="2"/>
      <c r="D237" s="2"/>
      <c r="E237" s="2"/>
      <c r="F237" s="2"/>
      <c r="G237" s="2"/>
      <c r="H237" s="2"/>
      <c r="I237" s="2"/>
      <c r="J237" s="2"/>
      <c r="K237" s="2"/>
      <c r="L237" s="2"/>
      <c r="M237" s="2"/>
      <c r="N237" s="2"/>
    </row>
    <row r="238" spans="1:14">
      <c r="A238" s="11"/>
      <c r="B238" s="31"/>
      <c r="C238" s="2"/>
      <c r="D238" s="2"/>
      <c r="E238" s="2"/>
      <c r="F238" s="2"/>
      <c r="G238" s="2"/>
      <c r="H238" s="2"/>
      <c r="I238" s="2"/>
      <c r="J238" s="2"/>
      <c r="K238" s="2"/>
      <c r="L238" s="2"/>
      <c r="M238" s="2"/>
      <c r="N238" s="2"/>
    </row>
    <row r="239" spans="1:14">
      <c r="A239" s="11"/>
      <c r="B239" s="31"/>
      <c r="C239" s="2"/>
      <c r="D239" s="2"/>
      <c r="E239" s="2"/>
      <c r="F239" s="2"/>
      <c r="G239" s="2"/>
      <c r="H239" s="2"/>
      <c r="I239" s="2"/>
      <c r="J239" s="2"/>
      <c r="K239" s="2"/>
      <c r="L239" s="2"/>
      <c r="M239" s="2"/>
      <c r="N239" s="2"/>
    </row>
    <row r="240" spans="1:14">
      <c r="A240" s="11"/>
      <c r="B240" s="31"/>
      <c r="C240" s="2"/>
      <c r="D240" s="2"/>
      <c r="E240" s="2"/>
      <c r="F240" s="2"/>
      <c r="G240" s="2"/>
      <c r="H240" s="2"/>
      <c r="I240" s="2"/>
      <c r="J240" s="2"/>
      <c r="K240" s="2"/>
      <c r="L240" s="2"/>
      <c r="M240" s="2"/>
      <c r="N240" s="2"/>
    </row>
    <row r="241" spans="1:14">
      <c r="A241" s="11"/>
      <c r="B241" s="31"/>
      <c r="C241" s="2"/>
      <c r="D241" s="2"/>
      <c r="E241" s="2"/>
      <c r="F241" s="2"/>
      <c r="G241" s="2"/>
      <c r="H241" s="2"/>
      <c r="I241" s="2"/>
      <c r="J241" s="2"/>
      <c r="K241" s="2"/>
      <c r="L241" s="2"/>
      <c r="M241" s="2"/>
      <c r="N241" s="2"/>
    </row>
    <row r="242" spans="1:14">
      <c r="A242" s="11"/>
      <c r="B242" s="31"/>
      <c r="C242" s="2"/>
      <c r="D242" s="2"/>
      <c r="E242" s="2"/>
      <c r="F242" s="2"/>
      <c r="G242" s="2"/>
      <c r="H242" s="2"/>
      <c r="I242" s="2"/>
      <c r="J242" s="2"/>
      <c r="K242" s="2"/>
      <c r="L242" s="2"/>
      <c r="M242" s="2"/>
      <c r="N242" s="2"/>
    </row>
    <row r="243" spans="1:14">
      <c r="A243" s="11"/>
      <c r="B243" s="31"/>
      <c r="C243" s="2"/>
      <c r="D243" s="2"/>
      <c r="E243" s="2"/>
      <c r="F243" s="2"/>
      <c r="G243" s="2"/>
      <c r="H243" s="2"/>
      <c r="I243" s="2"/>
      <c r="J243" s="2"/>
      <c r="K243" s="2"/>
      <c r="L243" s="2"/>
      <c r="M243" s="2"/>
      <c r="N243" s="2"/>
    </row>
    <row r="244" spans="1:14">
      <c r="A244" s="11"/>
      <c r="B244" s="31"/>
      <c r="C244" s="2"/>
      <c r="D244" s="2"/>
      <c r="E244" s="2"/>
      <c r="F244" s="2"/>
      <c r="G244" s="2"/>
      <c r="H244" s="2"/>
      <c r="I244" s="2"/>
      <c r="J244" s="2"/>
      <c r="K244" s="2"/>
      <c r="L244" s="2"/>
      <c r="M244" s="2"/>
      <c r="N244" s="2"/>
    </row>
    <row r="245" spans="1:14">
      <c r="A245" s="11"/>
      <c r="B245" s="31"/>
      <c r="C245" s="2"/>
      <c r="D245" s="2"/>
      <c r="E245" s="2"/>
      <c r="F245" s="2"/>
      <c r="G245" s="2"/>
      <c r="H245" s="2"/>
      <c r="I245" s="2"/>
      <c r="J245" s="2"/>
      <c r="K245" s="2"/>
      <c r="L245" s="2"/>
      <c r="M245" s="2"/>
      <c r="N245" s="2"/>
    </row>
    <row r="246" spans="1:14">
      <c r="A246" s="11"/>
      <c r="B246" s="31"/>
      <c r="C246" s="2"/>
      <c r="D246" s="2"/>
      <c r="E246" s="2"/>
      <c r="F246" s="2"/>
      <c r="G246" s="2"/>
      <c r="H246" s="2"/>
      <c r="I246" s="2"/>
      <c r="J246" s="2"/>
      <c r="K246" s="2"/>
      <c r="L246" s="2"/>
      <c r="M246" s="2"/>
      <c r="N246" s="2"/>
    </row>
    <row r="247" spans="1:14">
      <c r="A247" s="11"/>
      <c r="B247" s="31"/>
      <c r="C247" s="2"/>
      <c r="D247" s="2"/>
      <c r="E247" s="2"/>
      <c r="F247" s="2"/>
      <c r="G247" s="2"/>
      <c r="H247" s="2"/>
      <c r="I247" s="2"/>
      <c r="J247" s="2"/>
      <c r="K247" s="2"/>
      <c r="L247" s="2"/>
      <c r="M247" s="2"/>
      <c r="N247" s="2"/>
    </row>
    <row r="248" spans="1:14">
      <c r="A248" s="11"/>
      <c r="B248" s="31"/>
      <c r="C248" s="2"/>
      <c r="D248" s="2"/>
      <c r="E248" s="2"/>
      <c r="F248" s="2"/>
      <c r="G248" s="2"/>
      <c r="H248" s="2"/>
      <c r="I248" s="2"/>
      <c r="J248" s="2"/>
      <c r="K248" s="2"/>
      <c r="L248" s="2"/>
      <c r="M248" s="2"/>
      <c r="N248" s="2"/>
    </row>
    <row r="249" spans="1:14">
      <c r="A249" s="11"/>
      <c r="B249" s="31"/>
      <c r="C249" s="2"/>
      <c r="D249" s="2"/>
      <c r="E249" s="2"/>
      <c r="F249" s="2"/>
      <c r="G249" s="2"/>
      <c r="H249" s="2"/>
      <c r="I249" s="2"/>
      <c r="J249" s="2"/>
      <c r="K249" s="2"/>
      <c r="L249" s="2"/>
      <c r="M249" s="2"/>
      <c r="N249" s="2"/>
    </row>
    <row r="250" spans="1:14">
      <c r="A250" s="11"/>
      <c r="B250" s="31"/>
      <c r="C250" s="2"/>
      <c r="D250" s="2"/>
      <c r="E250" s="2"/>
      <c r="F250" s="2"/>
      <c r="G250" s="2"/>
      <c r="H250" s="2"/>
      <c r="I250" s="2"/>
      <c r="J250" s="2"/>
      <c r="K250" s="2"/>
      <c r="L250" s="2"/>
      <c r="M250" s="2"/>
      <c r="N250" s="2"/>
    </row>
    <row r="251" spans="1:14">
      <c r="A251" s="11"/>
      <c r="B251" s="31"/>
      <c r="C251" s="2"/>
      <c r="D251" s="2"/>
      <c r="E251" s="2"/>
      <c r="F251" s="2"/>
      <c r="G251" s="2"/>
      <c r="H251" s="2"/>
      <c r="I251" s="2"/>
      <c r="J251" s="2"/>
      <c r="K251" s="2"/>
      <c r="L251" s="2"/>
      <c r="M251" s="2"/>
      <c r="N251" s="2"/>
    </row>
    <row r="252" spans="1:14">
      <c r="A252" s="11"/>
      <c r="B252" s="31"/>
      <c r="C252" s="2"/>
      <c r="D252" s="2"/>
      <c r="E252" s="2"/>
      <c r="F252" s="2"/>
      <c r="G252" s="2"/>
      <c r="H252" s="2"/>
      <c r="I252" s="2"/>
      <c r="J252" s="2"/>
      <c r="K252" s="2"/>
      <c r="L252" s="2"/>
      <c r="M252" s="2"/>
      <c r="N252" s="2"/>
    </row>
    <row r="253" spans="1:14">
      <c r="A253" s="11"/>
      <c r="B253" s="31"/>
      <c r="C253" s="2"/>
      <c r="D253" s="2"/>
      <c r="E253" s="2"/>
      <c r="F253" s="2"/>
      <c r="G253" s="2"/>
      <c r="H253" s="2"/>
      <c r="I253" s="2"/>
      <c r="J253" s="2"/>
      <c r="K253" s="2"/>
      <c r="L253" s="2"/>
      <c r="M253" s="2"/>
      <c r="N253" s="2"/>
    </row>
    <row r="254" spans="1:14">
      <c r="A254" s="11"/>
      <c r="B254" s="31"/>
      <c r="C254" s="2"/>
      <c r="D254" s="2"/>
      <c r="E254" s="2"/>
      <c r="F254" s="2"/>
      <c r="G254" s="2"/>
      <c r="H254" s="2"/>
      <c r="I254" s="2"/>
      <c r="J254" s="2"/>
      <c r="K254" s="2"/>
      <c r="L254" s="2"/>
      <c r="M254" s="2"/>
      <c r="N254" s="2"/>
    </row>
    <row r="255" spans="1:14">
      <c r="A255" s="11"/>
      <c r="B255" s="31"/>
      <c r="C255" s="2"/>
      <c r="D255" s="2"/>
      <c r="E255" s="2"/>
      <c r="F255" s="2"/>
      <c r="G255" s="2"/>
      <c r="H255" s="2"/>
      <c r="I255" s="2"/>
      <c r="J255" s="2"/>
      <c r="K255" s="2"/>
      <c r="L255" s="2"/>
      <c r="M255" s="2"/>
      <c r="N255" s="2"/>
    </row>
    <row r="256" spans="1:14">
      <c r="A256" s="11"/>
      <c r="B256" s="31"/>
      <c r="C256" s="2"/>
      <c r="D256" s="2"/>
      <c r="E256" s="2"/>
      <c r="F256" s="2"/>
      <c r="G256" s="2"/>
      <c r="H256" s="2"/>
      <c r="I256" s="2"/>
      <c r="J256" s="2"/>
      <c r="K256" s="2"/>
      <c r="L256" s="2"/>
      <c r="M256" s="2"/>
      <c r="N256" s="2"/>
    </row>
    <row r="257" spans="1:14">
      <c r="A257" s="11"/>
      <c r="B257" s="31"/>
      <c r="C257" s="2"/>
      <c r="D257" s="2"/>
      <c r="E257" s="2"/>
      <c r="F257" s="2"/>
      <c r="G257" s="2"/>
      <c r="H257" s="2"/>
      <c r="I257" s="2"/>
      <c r="J257" s="2"/>
      <c r="K257" s="2"/>
      <c r="L257" s="2"/>
      <c r="M257" s="2"/>
      <c r="N257" s="2"/>
    </row>
    <row r="258" spans="1:14">
      <c r="A258" s="11"/>
      <c r="B258" s="31"/>
      <c r="C258" s="2"/>
      <c r="D258" s="2"/>
      <c r="E258" s="2"/>
      <c r="F258" s="2"/>
      <c r="G258" s="2"/>
      <c r="H258" s="2"/>
      <c r="I258" s="2"/>
      <c r="J258" s="2"/>
      <c r="K258" s="2"/>
      <c r="L258" s="2"/>
      <c r="M258" s="2"/>
      <c r="N258" s="2"/>
    </row>
    <row r="259" spans="1:14">
      <c r="A259" s="11"/>
      <c r="B259" s="31"/>
      <c r="C259" s="2"/>
      <c r="D259" s="2"/>
      <c r="E259" s="2"/>
      <c r="F259" s="2"/>
      <c r="G259" s="2"/>
      <c r="H259" s="2"/>
      <c r="I259" s="2"/>
      <c r="J259" s="2"/>
      <c r="K259" s="2"/>
      <c r="L259" s="2"/>
      <c r="M259" s="2"/>
      <c r="N259" s="2"/>
    </row>
    <row r="260" spans="1:14">
      <c r="A260" s="11"/>
      <c r="B260" s="31"/>
      <c r="C260" s="2"/>
      <c r="D260" s="2"/>
      <c r="E260" s="2"/>
      <c r="F260" s="2"/>
      <c r="G260" s="2"/>
      <c r="H260" s="2"/>
      <c r="I260" s="2"/>
      <c r="J260" s="2"/>
      <c r="K260" s="2"/>
      <c r="L260" s="2"/>
      <c r="M260" s="2"/>
      <c r="N260" s="2"/>
    </row>
    <row r="261" spans="1:14">
      <c r="A261" s="11"/>
      <c r="B261" s="31"/>
      <c r="C261" s="2"/>
      <c r="D261" s="2"/>
      <c r="E261" s="2"/>
      <c r="F261" s="2"/>
      <c r="G261" s="2"/>
      <c r="H261" s="2"/>
      <c r="I261" s="2"/>
      <c r="J261" s="2"/>
      <c r="K261" s="2"/>
      <c r="L261" s="2"/>
      <c r="M261" s="2"/>
      <c r="N261" s="2"/>
    </row>
    <row r="262" spans="1:14">
      <c r="A262" s="11"/>
      <c r="B262" s="31"/>
      <c r="C262" s="2"/>
      <c r="D262" s="2"/>
      <c r="E262" s="2"/>
      <c r="F262" s="2"/>
      <c r="G262" s="2"/>
      <c r="H262" s="2"/>
      <c r="I262" s="2"/>
      <c r="J262" s="2"/>
      <c r="K262" s="2"/>
      <c r="L262" s="2"/>
      <c r="M262" s="2"/>
      <c r="N262" s="2"/>
    </row>
    <row r="263" spans="1:14">
      <c r="A263" s="11"/>
      <c r="B263" s="31"/>
      <c r="C263" s="2"/>
      <c r="D263" s="2"/>
      <c r="E263" s="2"/>
      <c r="F263" s="2"/>
      <c r="G263" s="2"/>
      <c r="H263" s="2"/>
      <c r="I263" s="2"/>
      <c r="J263" s="2"/>
      <c r="K263" s="2"/>
      <c r="L263" s="2"/>
      <c r="M263" s="2"/>
      <c r="N263" s="2"/>
    </row>
    <row r="264" spans="1:14">
      <c r="A264" s="11"/>
      <c r="B264" s="31"/>
      <c r="C264" s="2"/>
      <c r="D264" s="2"/>
      <c r="E264" s="2"/>
      <c r="F264" s="2"/>
      <c r="G264" s="2"/>
      <c r="H264" s="2"/>
      <c r="I264" s="2"/>
      <c r="J264" s="2"/>
      <c r="K264" s="2"/>
      <c r="L264" s="2"/>
      <c r="M264" s="2"/>
      <c r="N264" s="2"/>
    </row>
    <row r="265" spans="1:14">
      <c r="A265" s="11"/>
      <c r="B265" s="31"/>
      <c r="C265" s="2"/>
      <c r="D265" s="2"/>
      <c r="E265" s="2"/>
      <c r="F265" s="2"/>
      <c r="G265" s="2"/>
      <c r="H265" s="2"/>
      <c r="I265" s="2"/>
      <c r="J265" s="2"/>
      <c r="K265" s="2"/>
      <c r="L265" s="2"/>
      <c r="M265" s="2"/>
      <c r="N265" s="2"/>
    </row>
    <row r="266" spans="1:14">
      <c r="A266" s="11"/>
      <c r="B266" s="31"/>
      <c r="C266" s="2"/>
      <c r="D266" s="2"/>
      <c r="E266" s="2"/>
      <c r="F266" s="2"/>
      <c r="G266" s="2"/>
      <c r="H266" s="2"/>
      <c r="I266" s="2"/>
      <c r="J266" s="2"/>
      <c r="K266" s="2"/>
      <c r="L266" s="2"/>
      <c r="M266" s="2"/>
      <c r="N266" s="2"/>
    </row>
    <row r="267" spans="1:14">
      <c r="A267" s="11"/>
      <c r="B267" s="31"/>
      <c r="C267" s="2"/>
      <c r="D267" s="2"/>
      <c r="E267" s="2"/>
      <c r="F267" s="2"/>
      <c r="G267" s="2"/>
      <c r="H267" s="2"/>
      <c r="I267" s="2"/>
      <c r="J267" s="2"/>
      <c r="K267" s="2"/>
      <c r="L267" s="2"/>
      <c r="M267" s="2"/>
      <c r="N267" s="2"/>
    </row>
    <row r="268" spans="1:14">
      <c r="A268" s="11"/>
      <c r="B268" s="31"/>
      <c r="C268" s="2"/>
      <c r="D268" s="2"/>
      <c r="E268" s="2"/>
      <c r="F268" s="2"/>
      <c r="G268" s="2"/>
      <c r="H268" s="2"/>
      <c r="I268" s="2"/>
      <c r="J268" s="2"/>
      <c r="K268" s="2"/>
      <c r="L268" s="2"/>
      <c r="M268" s="2"/>
      <c r="N268" s="2"/>
    </row>
    <row r="269" spans="1:14">
      <c r="A269" s="11"/>
      <c r="B269" s="31"/>
      <c r="C269" s="2"/>
      <c r="D269" s="2"/>
      <c r="E269" s="2"/>
      <c r="F269" s="2"/>
      <c r="G269" s="2"/>
      <c r="H269" s="2"/>
      <c r="I269" s="2"/>
      <c r="J269" s="2"/>
      <c r="K269" s="2"/>
      <c r="L269" s="2"/>
      <c r="M269" s="2"/>
      <c r="N269" s="2"/>
    </row>
    <row r="270" spans="1:14">
      <c r="A270" s="11"/>
      <c r="B270" s="31"/>
      <c r="C270" s="2"/>
      <c r="D270" s="2"/>
      <c r="E270" s="2"/>
      <c r="F270" s="2"/>
      <c r="G270" s="2"/>
      <c r="H270" s="2"/>
      <c r="I270" s="2"/>
      <c r="J270" s="2"/>
      <c r="K270" s="2"/>
      <c r="L270" s="2"/>
      <c r="M270" s="2"/>
      <c r="N270" s="2"/>
    </row>
    <row r="271" spans="1:14">
      <c r="A271" s="11"/>
      <c r="B271" s="31"/>
      <c r="C271" s="2"/>
      <c r="D271" s="2"/>
      <c r="E271" s="2"/>
      <c r="F271" s="2"/>
      <c r="G271" s="2"/>
      <c r="H271" s="2"/>
      <c r="I271" s="2"/>
      <c r="J271" s="2"/>
      <c r="K271" s="2"/>
      <c r="L271" s="2"/>
      <c r="M271" s="2"/>
      <c r="N271" s="2"/>
    </row>
    <row r="272" spans="1:14">
      <c r="A272" s="11"/>
      <c r="B272" s="31"/>
      <c r="C272" s="2"/>
      <c r="D272" s="2"/>
      <c r="E272" s="2"/>
      <c r="F272" s="2"/>
      <c r="G272" s="2"/>
      <c r="H272" s="2"/>
      <c r="I272" s="2"/>
      <c r="J272" s="2"/>
      <c r="K272" s="2"/>
      <c r="L272" s="2"/>
      <c r="M272" s="2"/>
      <c r="N272" s="2"/>
    </row>
    <row r="273" spans="1:14">
      <c r="A273" s="11"/>
      <c r="B273" s="31"/>
      <c r="C273" s="2"/>
      <c r="D273" s="2"/>
      <c r="E273" s="2"/>
      <c r="F273" s="2"/>
      <c r="G273" s="2"/>
      <c r="H273" s="2"/>
      <c r="I273" s="2"/>
      <c r="J273" s="2"/>
      <c r="K273" s="2"/>
      <c r="L273" s="2"/>
      <c r="M273" s="2"/>
      <c r="N273" s="2"/>
    </row>
    <row r="274" spans="1:14">
      <c r="A274" s="11"/>
      <c r="B274" s="31"/>
      <c r="C274" s="2"/>
      <c r="D274" s="2"/>
      <c r="E274" s="2"/>
      <c r="F274" s="2"/>
      <c r="G274" s="2"/>
      <c r="H274" s="2"/>
      <c r="I274" s="2"/>
      <c r="J274" s="2"/>
      <c r="K274" s="2"/>
      <c r="L274" s="2"/>
      <c r="M274" s="2"/>
      <c r="N274" s="2"/>
    </row>
    <row r="275" spans="1:14">
      <c r="A275" s="11"/>
      <c r="B275" s="31"/>
      <c r="C275" s="2"/>
      <c r="D275" s="2"/>
      <c r="E275" s="2"/>
      <c r="F275" s="2"/>
      <c r="G275" s="2"/>
      <c r="H275" s="2"/>
      <c r="I275" s="2"/>
      <c r="J275" s="2"/>
      <c r="K275" s="2"/>
      <c r="L275" s="2"/>
      <c r="M275" s="2"/>
      <c r="N275" s="2"/>
    </row>
    <row r="276" spans="1:14">
      <c r="A276" s="11"/>
      <c r="B276" s="31"/>
      <c r="C276" s="2"/>
      <c r="D276" s="2"/>
      <c r="E276" s="2"/>
      <c r="F276" s="2"/>
      <c r="G276" s="2"/>
      <c r="H276" s="2"/>
      <c r="I276" s="2"/>
      <c r="J276" s="2"/>
      <c r="K276" s="2"/>
      <c r="L276" s="2"/>
      <c r="M276" s="2"/>
      <c r="N276" s="2"/>
    </row>
    <row r="277" spans="1:14">
      <c r="A277" s="11"/>
      <c r="B277" s="31"/>
      <c r="C277" s="2"/>
      <c r="D277" s="2"/>
      <c r="E277" s="2"/>
      <c r="F277" s="2"/>
      <c r="G277" s="2"/>
      <c r="H277" s="2"/>
      <c r="I277" s="2"/>
      <c r="J277" s="2"/>
      <c r="K277" s="2"/>
      <c r="L277" s="2"/>
      <c r="M277" s="2"/>
      <c r="N277" s="2"/>
    </row>
    <row r="278" spans="1:14">
      <c r="A278" s="11"/>
      <c r="B278" s="31"/>
      <c r="C278" s="2"/>
      <c r="D278" s="2"/>
      <c r="E278" s="2"/>
      <c r="F278" s="2"/>
      <c r="G278" s="2"/>
      <c r="H278" s="2"/>
      <c r="I278" s="2"/>
      <c r="J278" s="2"/>
      <c r="K278" s="2"/>
      <c r="L278" s="2"/>
      <c r="M278" s="2"/>
      <c r="N278" s="2"/>
    </row>
    <row r="279" spans="1:14">
      <c r="A279" s="11"/>
      <c r="B279" s="31"/>
      <c r="C279" s="2"/>
      <c r="D279" s="2"/>
      <c r="E279" s="2"/>
      <c r="F279" s="2"/>
      <c r="G279" s="2"/>
      <c r="H279" s="2"/>
      <c r="I279" s="2"/>
      <c r="J279" s="2"/>
      <c r="K279" s="2"/>
      <c r="L279" s="2"/>
      <c r="M279" s="2"/>
      <c r="N279" s="2"/>
    </row>
    <row r="280" spans="1:14">
      <c r="A280" s="11"/>
      <c r="B280" s="31"/>
      <c r="C280" s="2"/>
      <c r="D280" s="2"/>
      <c r="E280" s="2"/>
      <c r="F280" s="2"/>
      <c r="G280" s="2"/>
      <c r="H280" s="2"/>
      <c r="I280" s="2"/>
      <c r="J280" s="2"/>
      <c r="K280" s="2"/>
      <c r="L280" s="2"/>
      <c r="M280" s="2"/>
      <c r="N280" s="2"/>
    </row>
    <row r="281" spans="1:14">
      <c r="A281" s="11"/>
      <c r="B281" s="31"/>
      <c r="C281" s="2"/>
      <c r="D281" s="2"/>
      <c r="E281" s="2"/>
      <c r="F281" s="2"/>
      <c r="G281" s="2"/>
      <c r="H281" s="2"/>
      <c r="I281" s="2"/>
      <c r="J281" s="2"/>
      <c r="K281" s="2"/>
      <c r="L281" s="2"/>
      <c r="M281" s="2"/>
      <c r="N281" s="2"/>
    </row>
    <row r="282" spans="1:14">
      <c r="A282" s="11"/>
      <c r="B282" s="31"/>
      <c r="C282" s="2"/>
      <c r="D282" s="2"/>
      <c r="E282" s="2"/>
      <c r="F282" s="2"/>
      <c r="G282" s="2"/>
      <c r="H282" s="2"/>
      <c r="I282" s="2"/>
      <c r="J282" s="2"/>
      <c r="K282" s="2"/>
      <c r="L282" s="2"/>
      <c r="M282" s="2"/>
      <c r="N282" s="2"/>
    </row>
    <row r="283" spans="1:14">
      <c r="A283" s="11"/>
      <c r="B283" s="31"/>
      <c r="C283" s="2"/>
      <c r="D283" s="2"/>
      <c r="E283" s="2"/>
      <c r="F283" s="2"/>
      <c r="G283" s="2"/>
      <c r="H283" s="2"/>
      <c r="I283" s="2"/>
      <c r="J283" s="2"/>
      <c r="K283" s="2"/>
      <c r="L283" s="2"/>
      <c r="M283" s="2"/>
      <c r="N283" s="2"/>
    </row>
    <row r="284" spans="1:14">
      <c r="A284" s="11"/>
      <c r="B284" s="31"/>
      <c r="C284" s="2"/>
      <c r="D284" s="2"/>
      <c r="E284" s="2"/>
      <c r="F284" s="2"/>
      <c r="G284" s="2"/>
      <c r="H284" s="2"/>
      <c r="I284" s="2"/>
      <c r="J284" s="2"/>
      <c r="K284" s="2"/>
      <c r="L284" s="2"/>
      <c r="M284" s="2"/>
      <c r="N284" s="2"/>
    </row>
    <row r="285" spans="1:14">
      <c r="A285" s="11"/>
      <c r="B285" s="31"/>
      <c r="C285" s="2"/>
      <c r="D285" s="2"/>
      <c r="E285" s="2"/>
      <c r="F285" s="2"/>
      <c r="G285" s="2"/>
      <c r="H285" s="2"/>
      <c r="I285" s="2"/>
      <c r="J285" s="2"/>
      <c r="K285" s="2"/>
      <c r="L285" s="2"/>
      <c r="M285" s="2"/>
      <c r="N285" s="2"/>
    </row>
    <row r="286" spans="1:14">
      <c r="A286" s="11"/>
      <c r="B286" s="31"/>
      <c r="C286" s="2"/>
      <c r="D286" s="2"/>
      <c r="E286" s="2"/>
      <c r="F286" s="2"/>
      <c r="G286" s="2"/>
      <c r="H286" s="2"/>
      <c r="I286" s="2"/>
      <c r="J286" s="2"/>
      <c r="K286" s="2"/>
      <c r="L286" s="2"/>
      <c r="M286" s="2"/>
      <c r="N286" s="2"/>
    </row>
    <row r="287" spans="1:14">
      <c r="A287" s="11"/>
      <c r="B287" s="31"/>
      <c r="C287" s="2"/>
      <c r="D287" s="2"/>
      <c r="E287" s="2"/>
      <c r="F287" s="2"/>
      <c r="G287" s="2"/>
      <c r="H287" s="2"/>
      <c r="I287" s="2"/>
      <c r="J287" s="2"/>
      <c r="K287" s="2"/>
      <c r="L287" s="2"/>
      <c r="M287" s="2"/>
      <c r="N287" s="2"/>
    </row>
    <row r="288" spans="1:14">
      <c r="A288" s="11"/>
      <c r="B288" s="31"/>
      <c r="C288" s="2"/>
      <c r="D288" s="2"/>
      <c r="E288" s="2"/>
      <c r="F288" s="2"/>
      <c r="G288" s="2"/>
      <c r="H288" s="2"/>
      <c r="I288" s="2"/>
      <c r="J288" s="2"/>
      <c r="K288" s="2"/>
      <c r="L288" s="2"/>
      <c r="M288" s="2"/>
      <c r="N288" s="2"/>
    </row>
    <row r="289" spans="1:14">
      <c r="A289" s="11"/>
      <c r="B289" s="31"/>
      <c r="C289" s="2"/>
      <c r="D289" s="2"/>
      <c r="E289" s="2"/>
      <c r="F289" s="2"/>
      <c r="G289" s="2"/>
      <c r="H289" s="2"/>
      <c r="I289" s="2"/>
      <c r="J289" s="2"/>
      <c r="K289" s="2"/>
      <c r="L289" s="2"/>
      <c r="M289" s="2"/>
      <c r="N289" s="2"/>
    </row>
    <row r="290" spans="1:14">
      <c r="A290" s="11"/>
      <c r="B290" s="31"/>
      <c r="C290" s="2"/>
      <c r="D290" s="2"/>
      <c r="E290" s="2"/>
      <c r="F290" s="2"/>
      <c r="G290" s="2"/>
      <c r="H290" s="2"/>
      <c r="I290" s="2"/>
      <c r="J290" s="2"/>
      <c r="K290" s="2"/>
      <c r="L290" s="2"/>
      <c r="M290" s="2"/>
      <c r="N290" s="2"/>
    </row>
    <row r="291" spans="1:14">
      <c r="A291" s="11"/>
      <c r="B291" s="31"/>
      <c r="C291" s="2"/>
      <c r="D291" s="2"/>
      <c r="E291" s="2"/>
      <c r="F291" s="2"/>
      <c r="G291" s="2"/>
      <c r="H291" s="2"/>
      <c r="I291" s="2"/>
      <c r="J291" s="2"/>
      <c r="K291" s="2"/>
      <c r="L291" s="2"/>
      <c r="M291" s="2"/>
      <c r="N291" s="2"/>
    </row>
    <row r="292" spans="1:14">
      <c r="A292" s="11"/>
      <c r="B292" s="31"/>
      <c r="C292" s="2"/>
      <c r="D292" s="2"/>
      <c r="E292" s="2"/>
      <c r="F292" s="2"/>
      <c r="G292" s="2"/>
      <c r="H292" s="2"/>
      <c r="I292" s="2"/>
      <c r="J292" s="2"/>
      <c r="K292" s="2"/>
      <c r="L292" s="2"/>
      <c r="M292" s="2"/>
      <c r="N292" s="2"/>
    </row>
    <row r="293" spans="1:14">
      <c r="A293" s="11"/>
      <c r="B293" s="31"/>
      <c r="C293" s="2"/>
      <c r="D293" s="2"/>
      <c r="E293" s="2"/>
      <c r="F293" s="2"/>
      <c r="G293" s="2"/>
      <c r="H293" s="2"/>
      <c r="I293" s="2"/>
      <c r="J293" s="2"/>
      <c r="K293" s="2"/>
      <c r="L293" s="2"/>
      <c r="M293" s="2"/>
      <c r="N293" s="2"/>
    </row>
    <row r="294" spans="1:14">
      <c r="A294" s="11"/>
      <c r="B294" s="31"/>
      <c r="C294" s="2"/>
      <c r="D294" s="2"/>
      <c r="E294" s="2"/>
      <c r="F294" s="2"/>
      <c r="G294" s="2"/>
      <c r="H294" s="2"/>
      <c r="I294" s="2"/>
      <c r="J294" s="2"/>
      <c r="K294" s="2"/>
      <c r="L294" s="2"/>
      <c r="M294" s="2"/>
      <c r="N294" s="2"/>
    </row>
    <row r="295" spans="1:14">
      <c r="A295" s="11"/>
      <c r="B295" s="31"/>
      <c r="C295" s="2"/>
      <c r="D295" s="2"/>
      <c r="E295" s="2"/>
      <c r="F295" s="2"/>
      <c r="G295" s="2"/>
      <c r="H295" s="2"/>
      <c r="I295" s="2"/>
      <c r="J295" s="2"/>
      <c r="K295" s="2"/>
      <c r="L295" s="2"/>
      <c r="M295" s="2"/>
      <c r="N295" s="2"/>
    </row>
    <row r="296" spans="1:14">
      <c r="A296" s="11"/>
      <c r="B296" s="31"/>
      <c r="C296" s="2"/>
      <c r="D296" s="2"/>
      <c r="E296" s="2"/>
      <c r="F296" s="2"/>
      <c r="G296" s="2"/>
      <c r="H296" s="2"/>
      <c r="I296" s="2"/>
      <c r="J296" s="2"/>
      <c r="K296" s="2"/>
      <c r="L296" s="2"/>
      <c r="M296" s="2"/>
      <c r="N296" s="2"/>
    </row>
    <row r="297" spans="1:14">
      <c r="A297" s="11"/>
      <c r="B297" s="31"/>
      <c r="C297" s="2"/>
      <c r="D297" s="2"/>
      <c r="E297" s="2"/>
      <c r="F297" s="2"/>
      <c r="G297" s="2"/>
      <c r="H297" s="2"/>
      <c r="I297" s="2"/>
      <c r="J297" s="2"/>
      <c r="K297" s="2"/>
      <c r="L297" s="2"/>
      <c r="M297" s="2"/>
      <c r="N297" s="2"/>
    </row>
    <row r="298" spans="1:14">
      <c r="A298" s="11"/>
      <c r="B298" s="31"/>
      <c r="C298" s="2"/>
      <c r="D298" s="2"/>
      <c r="E298" s="2"/>
      <c r="F298" s="2"/>
      <c r="G298" s="2"/>
      <c r="H298" s="2"/>
      <c r="I298" s="2"/>
      <c r="J298" s="2"/>
      <c r="K298" s="2"/>
      <c r="L298" s="2"/>
      <c r="M298" s="2"/>
      <c r="N298" s="2"/>
    </row>
    <row r="299" spans="1:14">
      <c r="A299" s="11"/>
      <c r="B299" s="31"/>
      <c r="C299" s="2"/>
      <c r="D299" s="2"/>
      <c r="E299" s="2"/>
      <c r="F299" s="2"/>
      <c r="G299" s="2"/>
      <c r="H299" s="2"/>
      <c r="I299" s="2"/>
      <c r="J299" s="2"/>
      <c r="K299" s="2"/>
      <c r="L299" s="2"/>
      <c r="M299" s="2"/>
      <c r="N299" s="2"/>
    </row>
    <row r="300" spans="1:14">
      <c r="A300" s="11"/>
      <c r="B300" s="31"/>
      <c r="C300" s="2"/>
      <c r="D300" s="2"/>
      <c r="E300" s="2"/>
      <c r="F300" s="2"/>
      <c r="G300" s="2"/>
      <c r="H300" s="2"/>
      <c r="I300" s="2"/>
      <c r="J300" s="2"/>
      <c r="K300" s="2"/>
      <c r="L300" s="2"/>
      <c r="M300" s="2"/>
      <c r="N300" s="2"/>
    </row>
    <row r="301" spans="1:14">
      <c r="A301" s="11"/>
      <c r="B301" s="31"/>
      <c r="C301" s="2"/>
      <c r="D301" s="2"/>
      <c r="E301" s="2"/>
      <c r="F301" s="2"/>
      <c r="G301" s="2"/>
      <c r="H301" s="2"/>
      <c r="I301" s="2"/>
      <c r="J301" s="2"/>
      <c r="K301" s="2"/>
      <c r="L301" s="2"/>
      <c r="M301" s="2"/>
      <c r="N301" s="2"/>
    </row>
    <row r="302" spans="1:14">
      <c r="A302" s="11"/>
      <c r="B302" s="31"/>
      <c r="C302" s="2"/>
      <c r="D302" s="2"/>
      <c r="E302" s="2"/>
      <c r="F302" s="2"/>
      <c r="G302" s="2"/>
      <c r="H302" s="2"/>
      <c r="I302" s="2"/>
      <c r="J302" s="2"/>
      <c r="K302" s="2"/>
      <c r="L302" s="2"/>
      <c r="M302" s="2"/>
      <c r="N302" s="2"/>
    </row>
    <row r="303" spans="1:14">
      <c r="A303" s="11"/>
      <c r="B303" s="31"/>
      <c r="C303" s="2"/>
      <c r="D303" s="2"/>
      <c r="E303" s="2"/>
      <c r="F303" s="2"/>
      <c r="G303" s="2"/>
      <c r="H303" s="2"/>
      <c r="I303" s="2"/>
      <c r="J303" s="2"/>
      <c r="K303" s="2"/>
      <c r="L303" s="2"/>
      <c r="M303" s="2"/>
      <c r="N303" s="2"/>
    </row>
    <row r="304" spans="1:14">
      <c r="A304" s="11"/>
      <c r="B304" s="31"/>
      <c r="C304" s="2"/>
      <c r="D304" s="2"/>
      <c r="E304" s="2"/>
      <c r="F304" s="2"/>
      <c r="G304" s="2"/>
      <c r="H304" s="2"/>
      <c r="I304" s="2"/>
      <c r="J304" s="2"/>
      <c r="K304" s="2"/>
      <c r="L304" s="2"/>
      <c r="M304" s="2"/>
      <c r="N304" s="2"/>
    </row>
    <row r="305" spans="1:14">
      <c r="A305" s="11"/>
      <c r="B305" s="31"/>
      <c r="C305" s="2"/>
      <c r="D305" s="2"/>
      <c r="E305" s="2"/>
      <c r="F305" s="2"/>
      <c r="G305" s="2"/>
      <c r="H305" s="2"/>
      <c r="I305" s="2"/>
      <c r="J305" s="2"/>
      <c r="K305" s="2"/>
      <c r="L305" s="2"/>
      <c r="M305" s="2"/>
      <c r="N305" s="2"/>
    </row>
    <row r="306" spans="1:14">
      <c r="A306" s="11"/>
      <c r="B306" s="31"/>
      <c r="C306" s="2"/>
      <c r="D306" s="2"/>
      <c r="E306" s="2"/>
      <c r="F306" s="2"/>
      <c r="G306" s="2"/>
      <c r="H306" s="2"/>
      <c r="I306" s="2"/>
      <c r="J306" s="2"/>
      <c r="K306" s="2"/>
      <c r="L306" s="2"/>
      <c r="M306" s="2"/>
      <c r="N306" s="2"/>
    </row>
    <row r="307" spans="1:14">
      <c r="A307" s="11"/>
      <c r="B307" s="31"/>
      <c r="C307" s="2"/>
      <c r="D307" s="2"/>
      <c r="E307" s="2"/>
      <c r="F307" s="2"/>
      <c r="G307" s="2"/>
      <c r="H307" s="2"/>
      <c r="I307" s="2"/>
      <c r="J307" s="2"/>
      <c r="K307" s="2"/>
      <c r="L307" s="2"/>
      <c r="M307" s="2"/>
      <c r="N307" s="2"/>
    </row>
    <row r="308" spans="1:14">
      <c r="A308" s="11"/>
      <c r="B308" s="31"/>
      <c r="C308" s="2"/>
      <c r="D308" s="2"/>
      <c r="E308" s="2"/>
      <c r="F308" s="2"/>
      <c r="G308" s="2"/>
      <c r="H308" s="2"/>
      <c r="I308" s="2"/>
      <c r="J308" s="2"/>
      <c r="K308" s="2"/>
      <c r="L308" s="2"/>
      <c r="M308" s="2"/>
      <c r="N308" s="2"/>
    </row>
    <row r="309" spans="1:14">
      <c r="A309" s="11"/>
      <c r="B309" s="31"/>
      <c r="C309" s="2"/>
      <c r="D309" s="2"/>
      <c r="E309" s="2"/>
      <c r="F309" s="2"/>
      <c r="G309" s="2"/>
      <c r="H309" s="2"/>
      <c r="I309" s="2"/>
      <c r="J309" s="2"/>
      <c r="K309" s="2"/>
      <c r="L309" s="2"/>
      <c r="M309" s="2"/>
      <c r="N309" s="2"/>
    </row>
    <row r="310" spans="1:14">
      <c r="A310" s="11"/>
      <c r="B310" s="31"/>
      <c r="C310" s="2"/>
      <c r="D310" s="2"/>
      <c r="E310" s="2"/>
      <c r="F310" s="2"/>
      <c r="G310" s="2"/>
      <c r="H310" s="2"/>
      <c r="I310" s="2"/>
      <c r="J310" s="2"/>
      <c r="K310" s="2"/>
      <c r="L310" s="2"/>
      <c r="M310" s="2"/>
      <c r="N310" s="2"/>
    </row>
    <row r="311" spans="1:14">
      <c r="A311" s="11"/>
      <c r="B311" s="31"/>
      <c r="C311" s="2"/>
      <c r="D311" s="2"/>
      <c r="E311" s="2"/>
      <c r="F311" s="2"/>
      <c r="G311" s="2"/>
      <c r="H311" s="2"/>
      <c r="I311" s="2"/>
      <c r="J311" s="2"/>
      <c r="K311" s="2"/>
      <c r="L311" s="2"/>
      <c r="M311" s="2"/>
      <c r="N311" s="2"/>
    </row>
    <row r="312" spans="1:14">
      <c r="A312" s="11"/>
      <c r="B312" s="31"/>
      <c r="C312" s="2"/>
      <c r="D312" s="2"/>
      <c r="E312" s="2"/>
      <c r="F312" s="2"/>
      <c r="G312" s="2"/>
      <c r="H312" s="2"/>
      <c r="I312" s="2"/>
      <c r="J312" s="2"/>
      <c r="K312" s="2"/>
      <c r="L312" s="2"/>
      <c r="M312" s="2"/>
      <c r="N312" s="2"/>
    </row>
    <row r="313" spans="1:14">
      <c r="A313" s="11"/>
      <c r="B313" s="31"/>
      <c r="C313" s="2"/>
      <c r="D313" s="2"/>
      <c r="E313" s="2"/>
      <c r="F313" s="2"/>
      <c r="G313" s="2"/>
      <c r="H313" s="2"/>
      <c r="I313" s="2"/>
      <c r="J313" s="2"/>
      <c r="K313" s="2"/>
      <c r="L313" s="2"/>
      <c r="M313" s="2"/>
      <c r="N313" s="2"/>
    </row>
    <row r="314" spans="1:14">
      <c r="A314" s="11"/>
      <c r="B314" s="31"/>
      <c r="C314" s="2"/>
      <c r="D314" s="2"/>
      <c r="E314" s="2"/>
      <c r="F314" s="2"/>
      <c r="G314" s="2"/>
      <c r="H314" s="2"/>
      <c r="I314" s="2"/>
      <c r="J314" s="2"/>
      <c r="K314" s="2"/>
      <c r="L314" s="2"/>
      <c r="M314" s="2"/>
      <c r="N314" s="2"/>
    </row>
    <row r="315" spans="1:14">
      <c r="A315" s="11"/>
      <c r="B315" s="31"/>
      <c r="C315" s="2"/>
      <c r="D315" s="2"/>
      <c r="E315" s="2"/>
      <c r="F315" s="2"/>
      <c r="G315" s="2"/>
      <c r="H315" s="2"/>
      <c r="I315" s="2"/>
      <c r="J315" s="2"/>
      <c r="K315" s="2"/>
      <c r="L315" s="2"/>
      <c r="M315" s="2"/>
      <c r="N315" s="2"/>
    </row>
    <row r="316" spans="1:14">
      <c r="A316" s="11"/>
      <c r="B316" s="31"/>
      <c r="C316" s="2"/>
      <c r="D316" s="2"/>
      <c r="E316" s="2"/>
      <c r="F316" s="2"/>
      <c r="G316" s="2"/>
      <c r="H316" s="2"/>
      <c r="I316" s="2"/>
      <c r="J316" s="2"/>
      <c r="K316" s="2"/>
      <c r="L316" s="2"/>
      <c r="M316" s="2"/>
      <c r="N316" s="2"/>
    </row>
    <row r="317" spans="1:14">
      <c r="A317" s="11"/>
      <c r="B317" s="31"/>
      <c r="C317" s="2"/>
      <c r="D317" s="2"/>
      <c r="E317" s="2"/>
      <c r="F317" s="2"/>
      <c r="G317" s="2"/>
      <c r="H317" s="2"/>
      <c r="I317" s="2"/>
      <c r="J317" s="2"/>
      <c r="K317" s="2"/>
      <c r="L317" s="2"/>
      <c r="M317" s="2"/>
      <c r="N317" s="2"/>
    </row>
    <row r="318" spans="1:14">
      <c r="A318" s="11"/>
      <c r="B318" s="31"/>
      <c r="C318" s="2"/>
      <c r="D318" s="2"/>
      <c r="E318" s="2"/>
      <c r="F318" s="2"/>
      <c r="G318" s="2"/>
      <c r="H318" s="2"/>
      <c r="I318" s="2"/>
      <c r="J318" s="2"/>
      <c r="K318" s="2"/>
      <c r="L318" s="2"/>
      <c r="M318" s="2"/>
      <c r="N318" s="2"/>
    </row>
    <row r="319" spans="1:14">
      <c r="A319" s="11"/>
      <c r="B319" s="31"/>
      <c r="C319" s="2"/>
      <c r="D319" s="2"/>
      <c r="E319" s="2"/>
      <c r="F319" s="2"/>
      <c r="G319" s="2"/>
      <c r="H319" s="2"/>
      <c r="I319" s="2"/>
      <c r="J319" s="2"/>
      <c r="K319" s="2"/>
      <c r="L319" s="2"/>
      <c r="M319" s="2"/>
      <c r="N319" s="2"/>
    </row>
    <row r="320" spans="1:14">
      <c r="A320" s="11"/>
      <c r="B320" s="31"/>
      <c r="C320" s="2"/>
      <c r="D320" s="2"/>
      <c r="E320" s="2"/>
      <c r="F320" s="2"/>
      <c r="G320" s="2"/>
      <c r="H320" s="2"/>
      <c r="I320" s="2"/>
      <c r="J320" s="2"/>
      <c r="K320" s="2"/>
      <c r="L320" s="2"/>
      <c r="M320" s="2"/>
      <c r="N320" s="2"/>
    </row>
    <row r="321" spans="1:14">
      <c r="A321" s="11"/>
      <c r="B321" s="31"/>
      <c r="C321" s="2"/>
      <c r="D321" s="2"/>
      <c r="E321" s="2"/>
      <c r="F321" s="2"/>
      <c r="G321" s="2"/>
      <c r="H321" s="2"/>
      <c r="I321" s="2"/>
      <c r="J321" s="2"/>
      <c r="K321" s="2"/>
      <c r="L321" s="2"/>
      <c r="M321" s="2"/>
      <c r="N321" s="2"/>
    </row>
    <row r="322" spans="1:14">
      <c r="A322" s="11"/>
      <c r="B322" s="31"/>
      <c r="C322" s="2"/>
      <c r="D322" s="2"/>
      <c r="E322" s="2"/>
      <c r="F322" s="2"/>
      <c r="G322" s="2"/>
      <c r="H322" s="2"/>
      <c r="I322" s="2"/>
      <c r="J322" s="2"/>
      <c r="K322" s="2"/>
      <c r="L322" s="2"/>
      <c r="M322" s="2"/>
      <c r="N322" s="2"/>
    </row>
    <row r="323" spans="1:14">
      <c r="A323" s="11"/>
      <c r="B323" s="31"/>
      <c r="C323" s="2"/>
      <c r="D323" s="2"/>
      <c r="E323" s="2"/>
      <c r="F323" s="2"/>
      <c r="G323" s="2"/>
      <c r="H323" s="2"/>
      <c r="I323" s="2"/>
      <c r="J323" s="2"/>
      <c r="K323" s="2"/>
      <c r="L323" s="2"/>
      <c r="M323" s="2"/>
      <c r="N323" s="2"/>
    </row>
    <row r="324" spans="1:14">
      <c r="A324" s="11"/>
      <c r="B324" s="31"/>
      <c r="C324" s="2"/>
      <c r="D324" s="2"/>
      <c r="E324" s="2"/>
      <c r="F324" s="2"/>
      <c r="G324" s="2"/>
      <c r="H324" s="2"/>
      <c r="I324" s="2"/>
      <c r="J324" s="2"/>
      <c r="K324" s="2"/>
      <c r="L324" s="2"/>
      <c r="M324" s="2"/>
      <c r="N324" s="2"/>
    </row>
    <row r="325" spans="1:14">
      <c r="A325" s="11"/>
      <c r="B325" s="31"/>
      <c r="C325" s="2"/>
      <c r="D325" s="2"/>
      <c r="E325" s="2"/>
      <c r="F325" s="2"/>
      <c r="G325" s="2"/>
      <c r="H325" s="2"/>
      <c r="I325" s="2"/>
      <c r="J325" s="2"/>
      <c r="K325" s="2"/>
      <c r="L325" s="2"/>
      <c r="M325" s="2"/>
      <c r="N325" s="2"/>
    </row>
    <row r="326" spans="1:14">
      <c r="A326" s="11"/>
      <c r="B326" s="31"/>
      <c r="C326" s="2"/>
      <c r="D326" s="2"/>
      <c r="E326" s="2"/>
      <c r="F326" s="2"/>
      <c r="G326" s="2"/>
      <c r="H326" s="2"/>
      <c r="I326" s="2"/>
      <c r="J326" s="2"/>
      <c r="K326" s="2"/>
      <c r="L326" s="2"/>
      <c r="M326" s="2"/>
      <c r="N326" s="2"/>
    </row>
    <row r="327" spans="1:14">
      <c r="A327" s="11"/>
      <c r="B327" s="31"/>
      <c r="C327" s="2"/>
      <c r="D327" s="2"/>
      <c r="E327" s="2"/>
      <c r="F327" s="2"/>
      <c r="G327" s="2"/>
      <c r="H327" s="2"/>
      <c r="I327" s="2"/>
      <c r="J327" s="2"/>
      <c r="K327" s="2"/>
      <c r="L327" s="2"/>
      <c r="M327" s="2"/>
      <c r="N327" s="2"/>
    </row>
    <row r="328" spans="1:14">
      <c r="A328" s="11"/>
      <c r="B328" s="31"/>
      <c r="C328" s="2"/>
      <c r="D328" s="2"/>
      <c r="E328" s="2"/>
      <c r="F328" s="2"/>
      <c r="G328" s="2"/>
      <c r="H328" s="2"/>
      <c r="I328" s="2"/>
      <c r="J328" s="2"/>
      <c r="K328" s="2"/>
      <c r="L328" s="2"/>
      <c r="M328" s="2"/>
      <c r="N328" s="2"/>
    </row>
    <row r="329" spans="1:14">
      <c r="A329" s="11"/>
      <c r="B329" s="31"/>
      <c r="C329" s="2"/>
      <c r="D329" s="2"/>
      <c r="E329" s="2"/>
      <c r="F329" s="2"/>
      <c r="G329" s="2"/>
      <c r="H329" s="2"/>
      <c r="I329" s="2"/>
      <c r="J329" s="2"/>
      <c r="K329" s="2"/>
      <c r="L329" s="2"/>
      <c r="M329" s="2"/>
      <c r="N329" s="2"/>
    </row>
    <row r="330" spans="1:14">
      <c r="A330" s="11"/>
      <c r="B330" s="31"/>
      <c r="C330" s="2"/>
      <c r="D330" s="2"/>
      <c r="E330" s="2"/>
      <c r="F330" s="2"/>
      <c r="G330" s="2"/>
      <c r="H330" s="2"/>
      <c r="I330" s="2"/>
      <c r="J330" s="2"/>
      <c r="K330" s="2"/>
      <c r="L330" s="2"/>
      <c r="M330" s="2"/>
      <c r="N330" s="2"/>
    </row>
    <row r="331" spans="1:14">
      <c r="A331" s="11"/>
      <c r="B331" s="31"/>
      <c r="C331" s="2"/>
      <c r="D331" s="2"/>
      <c r="E331" s="2"/>
      <c r="F331" s="2"/>
      <c r="G331" s="2"/>
      <c r="H331" s="2"/>
      <c r="I331" s="2"/>
      <c r="J331" s="2"/>
      <c r="K331" s="2"/>
      <c r="L331" s="2"/>
      <c r="M331" s="2"/>
      <c r="N331" s="2"/>
    </row>
    <row r="332" spans="1:14">
      <c r="A332" s="11"/>
      <c r="B332" s="31"/>
      <c r="C332" s="2"/>
      <c r="D332" s="2"/>
      <c r="E332" s="2"/>
      <c r="F332" s="2"/>
      <c r="G332" s="2"/>
      <c r="H332" s="2"/>
      <c r="I332" s="2"/>
      <c r="J332" s="2"/>
      <c r="K332" s="2"/>
      <c r="L332" s="2"/>
      <c r="M332" s="2"/>
      <c r="N332" s="2"/>
    </row>
    <row r="333" spans="1:14">
      <c r="A333" s="11"/>
      <c r="B333" s="31"/>
      <c r="C333" s="2"/>
      <c r="D333" s="2"/>
      <c r="E333" s="2"/>
      <c r="F333" s="2"/>
      <c r="G333" s="2"/>
      <c r="H333" s="2"/>
      <c r="I333" s="2"/>
      <c r="J333" s="2"/>
      <c r="K333" s="2"/>
      <c r="L333" s="2"/>
      <c r="M333" s="2"/>
      <c r="N333" s="2"/>
    </row>
    <row r="334" spans="1:14">
      <c r="A334" s="11"/>
      <c r="B334" s="31"/>
      <c r="C334" s="2"/>
      <c r="D334" s="2"/>
      <c r="E334" s="2"/>
      <c r="F334" s="2"/>
      <c r="G334" s="2"/>
      <c r="H334" s="2"/>
      <c r="I334" s="2"/>
      <c r="J334" s="2"/>
      <c r="K334" s="2"/>
      <c r="L334" s="2"/>
      <c r="M334" s="2"/>
      <c r="N334" s="2"/>
    </row>
    <row r="335" spans="1:14">
      <c r="A335" s="11"/>
      <c r="B335" s="31"/>
      <c r="C335" s="2"/>
      <c r="D335" s="2"/>
      <c r="E335" s="2"/>
      <c r="F335" s="2"/>
      <c r="G335" s="2"/>
      <c r="H335" s="2"/>
      <c r="I335" s="2"/>
      <c r="J335" s="2"/>
      <c r="K335" s="2"/>
      <c r="L335" s="2"/>
      <c r="M335" s="2"/>
      <c r="N335" s="2"/>
    </row>
    <row r="336" spans="1:14">
      <c r="A336" s="11"/>
      <c r="B336" s="31"/>
      <c r="C336" s="2"/>
      <c r="D336" s="2"/>
      <c r="E336" s="2"/>
      <c r="F336" s="2"/>
      <c r="G336" s="2"/>
      <c r="H336" s="2"/>
      <c r="I336" s="2"/>
      <c r="J336" s="2"/>
      <c r="K336" s="2"/>
      <c r="L336" s="2"/>
      <c r="M336" s="2"/>
      <c r="N336" s="2"/>
    </row>
    <row r="337" spans="1:14">
      <c r="A337" s="11"/>
      <c r="B337" s="31"/>
      <c r="C337" s="2"/>
      <c r="D337" s="2"/>
      <c r="E337" s="2"/>
      <c r="F337" s="2"/>
      <c r="G337" s="2"/>
      <c r="H337" s="2"/>
      <c r="I337" s="2"/>
      <c r="J337" s="2"/>
      <c r="K337" s="2"/>
      <c r="L337" s="2"/>
      <c r="M337" s="2"/>
      <c r="N337" s="2"/>
    </row>
    <row r="338" spans="1:14">
      <c r="A338" s="11"/>
      <c r="B338" s="31"/>
      <c r="C338" s="2"/>
      <c r="D338" s="2"/>
      <c r="E338" s="2"/>
      <c r="F338" s="2"/>
      <c r="G338" s="2"/>
      <c r="H338" s="2"/>
      <c r="I338" s="2"/>
      <c r="J338" s="2"/>
      <c r="K338" s="2"/>
      <c r="L338" s="2"/>
      <c r="M338" s="2"/>
      <c r="N338" s="2"/>
    </row>
    <row r="339" spans="1:14">
      <c r="A339" s="11"/>
      <c r="B339" s="31"/>
      <c r="C339" s="2"/>
      <c r="D339" s="2"/>
      <c r="E339" s="2"/>
      <c r="F339" s="2"/>
      <c r="G339" s="2"/>
      <c r="H339" s="2"/>
      <c r="I339" s="2"/>
      <c r="J339" s="2"/>
      <c r="K339" s="2"/>
      <c r="L339" s="2"/>
      <c r="M339" s="2"/>
      <c r="N339" s="2"/>
    </row>
    <row r="340" spans="1:14">
      <c r="A340" s="11"/>
      <c r="B340" s="31"/>
      <c r="C340" s="2"/>
      <c r="D340" s="2"/>
      <c r="E340" s="2"/>
      <c r="F340" s="2"/>
      <c r="G340" s="2"/>
      <c r="H340" s="2"/>
      <c r="I340" s="2"/>
      <c r="J340" s="2"/>
      <c r="K340" s="2"/>
      <c r="L340" s="2"/>
      <c r="M340" s="2"/>
      <c r="N340" s="2"/>
    </row>
    <row r="341" spans="1:14">
      <c r="A341" s="11"/>
      <c r="B341" s="31"/>
      <c r="C341" s="2"/>
      <c r="D341" s="2"/>
      <c r="E341" s="2"/>
      <c r="F341" s="2"/>
      <c r="G341" s="2"/>
      <c r="H341" s="2"/>
      <c r="I341" s="2"/>
      <c r="J341" s="2"/>
      <c r="K341" s="2"/>
      <c r="L341" s="2"/>
      <c r="M341" s="2"/>
      <c r="N341" s="2"/>
    </row>
    <row r="342" spans="1:14">
      <c r="A342" s="11"/>
      <c r="B342" s="31"/>
      <c r="C342" s="2"/>
      <c r="D342" s="2"/>
      <c r="E342" s="2"/>
      <c r="F342" s="2"/>
      <c r="G342" s="2"/>
      <c r="H342" s="2"/>
      <c r="I342" s="2"/>
      <c r="J342" s="2"/>
      <c r="K342" s="2"/>
      <c r="L342" s="2"/>
      <c r="M342" s="2"/>
      <c r="N342" s="2"/>
    </row>
    <row r="343" spans="1:14">
      <c r="A343" s="11"/>
      <c r="B343" s="31"/>
      <c r="C343" s="2"/>
      <c r="D343" s="2"/>
      <c r="E343" s="2"/>
      <c r="F343" s="2"/>
      <c r="G343" s="2"/>
      <c r="H343" s="2"/>
      <c r="I343" s="2"/>
      <c r="J343" s="2"/>
      <c r="K343" s="2"/>
      <c r="L343" s="2"/>
      <c r="M343" s="2"/>
      <c r="N343" s="2"/>
    </row>
    <row r="344" spans="1:14">
      <c r="A344" s="11"/>
      <c r="B344" s="31"/>
      <c r="C344" s="2"/>
      <c r="D344" s="2"/>
      <c r="E344" s="2"/>
      <c r="F344" s="2"/>
      <c r="G344" s="2"/>
      <c r="H344" s="2"/>
      <c r="I344" s="2"/>
      <c r="J344" s="2"/>
      <c r="K344" s="2"/>
      <c r="L344" s="2"/>
      <c r="M344" s="2"/>
      <c r="N344" s="2"/>
    </row>
    <row r="345" spans="1:14">
      <c r="A345" s="11"/>
      <c r="B345" s="31"/>
      <c r="C345" s="2"/>
      <c r="D345" s="2"/>
      <c r="E345" s="2"/>
      <c r="F345" s="2"/>
      <c r="G345" s="2"/>
      <c r="H345" s="2"/>
      <c r="I345" s="2"/>
      <c r="J345" s="2"/>
      <c r="K345" s="2"/>
      <c r="L345" s="2"/>
      <c r="M345" s="2"/>
      <c r="N345" s="2"/>
    </row>
    <row r="346" spans="1:14">
      <c r="A346" s="11"/>
      <c r="B346" s="31"/>
      <c r="C346" s="2"/>
      <c r="D346" s="2"/>
      <c r="E346" s="2"/>
      <c r="F346" s="2"/>
      <c r="G346" s="2"/>
      <c r="H346" s="2"/>
      <c r="I346" s="2"/>
      <c r="J346" s="2"/>
      <c r="K346" s="2"/>
      <c r="L346" s="2"/>
      <c r="M346" s="2"/>
      <c r="N346" s="2"/>
    </row>
    <row r="347" spans="1:14">
      <c r="A347" s="11"/>
      <c r="B347" s="31"/>
      <c r="C347" s="2"/>
      <c r="D347" s="2"/>
      <c r="E347" s="2"/>
      <c r="F347" s="2"/>
      <c r="G347" s="2"/>
      <c r="H347" s="2"/>
      <c r="I347" s="2"/>
      <c r="J347" s="2"/>
      <c r="K347" s="2"/>
      <c r="L347" s="2"/>
      <c r="M347" s="2"/>
      <c r="N347" s="2"/>
    </row>
    <row r="348" spans="1:14">
      <c r="A348" s="11"/>
      <c r="B348" s="31"/>
      <c r="C348" s="2"/>
      <c r="D348" s="2"/>
      <c r="E348" s="2"/>
      <c r="F348" s="2"/>
      <c r="G348" s="2"/>
      <c r="H348" s="2"/>
      <c r="I348" s="2"/>
      <c r="J348" s="2"/>
      <c r="K348" s="2"/>
      <c r="L348" s="2"/>
      <c r="M348" s="2"/>
      <c r="N348" s="2"/>
    </row>
    <row r="349" spans="1:14">
      <c r="A349" s="11"/>
      <c r="B349" s="31"/>
      <c r="C349" s="2"/>
      <c r="D349" s="2"/>
      <c r="E349" s="2"/>
      <c r="F349" s="2"/>
      <c r="G349" s="2"/>
      <c r="H349" s="2"/>
      <c r="I349" s="2"/>
      <c r="J349" s="2"/>
      <c r="K349" s="2"/>
      <c r="L349" s="2"/>
      <c r="M349" s="2"/>
      <c r="N349" s="2"/>
    </row>
    <row r="350" spans="1:14">
      <c r="A350" s="11"/>
      <c r="B350" s="31"/>
      <c r="C350" s="2"/>
      <c r="D350" s="2"/>
      <c r="E350" s="2"/>
      <c r="F350" s="2"/>
      <c r="G350" s="2"/>
      <c r="H350" s="2"/>
      <c r="I350" s="2"/>
      <c r="J350" s="2"/>
      <c r="K350" s="2"/>
      <c r="L350" s="2"/>
      <c r="M350" s="2"/>
      <c r="N350" s="2"/>
    </row>
    <row r="351" spans="1:14">
      <c r="A351" s="11"/>
      <c r="B351" s="31"/>
      <c r="C351" s="2"/>
      <c r="D351" s="2"/>
      <c r="E351" s="2"/>
      <c r="F351" s="2"/>
      <c r="G351" s="2"/>
      <c r="H351" s="2"/>
      <c r="I351" s="2"/>
      <c r="J351" s="2"/>
      <c r="K351" s="2"/>
      <c r="L351" s="2"/>
      <c r="M351" s="2"/>
      <c r="N351" s="2"/>
    </row>
    <row r="352" spans="1:14">
      <c r="A352" s="11"/>
      <c r="B352" s="31"/>
      <c r="C352" s="2"/>
      <c r="D352" s="2"/>
      <c r="E352" s="2"/>
      <c r="F352" s="2"/>
      <c r="G352" s="2"/>
      <c r="H352" s="2"/>
      <c r="I352" s="2"/>
      <c r="J352" s="2"/>
      <c r="K352" s="2"/>
      <c r="L352" s="2"/>
      <c r="M352" s="2"/>
      <c r="N352" s="2"/>
    </row>
    <row r="353" spans="1:14">
      <c r="A353" s="11"/>
      <c r="B353" s="31"/>
      <c r="C353" s="2"/>
      <c r="D353" s="2"/>
      <c r="E353" s="2"/>
      <c r="F353" s="2"/>
      <c r="G353" s="2"/>
      <c r="H353" s="2"/>
      <c r="I353" s="2"/>
      <c r="J353" s="2"/>
      <c r="K353" s="2"/>
      <c r="L353" s="2"/>
      <c r="M353" s="2"/>
      <c r="N353" s="2"/>
    </row>
    <row r="354" spans="1:14">
      <c r="A354" s="11"/>
      <c r="B354" s="31"/>
      <c r="C354" s="2"/>
      <c r="D354" s="2"/>
      <c r="E354" s="2"/>
      <c r="F354" s="2"/>
      <c r="G354" s="2"/>
      <c r="H354" s="2"/>
      <c r="I354" s="2"/>
      <c r="J354" s="2"/>
      <c r="K354" s="2"/>
      <c r="L354" s="2"/>
      <c r="M354" s="2"/>
      <c r="N354" s="2"/>
    </row>
    <row r="355" spans="1:14">
      <c r="A355" s="11"/>
      <c r="B355" s="31"/>
      <c r="C355" s="2"/>
      <c r="D355" s="2"/>
      <c r="E355" s="2"/>
      <c r="F355" s="2"/>
      <c r="G355" s="2"/>
      <c r="H355" s="2"/>
      <c r="I355" s="2"/>
      <c r="J355" s="2"/>
      <c r="K355" s="2"/>
      <c r="L355" s="2"/>
      <c r="M355" s="2"/>
      <c r="N355" s="2"/>
    </row>
    <row r="356" spans="1:14">
      <c r="A356" s="11"/>
      <c r="B356" s="31"/>
      <c r="C356" s="2"/>
      <c r="D356" s="2"/>
      <c r="E356" s="2"/>
      <c r="F356" s="2"/>
      <c r="G356" s="2"/>
      <c r="H356" s="2"/>
      <c r="I356" s="2"/>
      <c r="J356" s="2"/>
      <c r="K356" s="2"/>
      <c r="L356" s="2"/>
      <c r="M356" s="2"/>
      <c r="N356" s="2"/>
    </row>
    <row r="357" spans="1:14">
      <c r="A357" s="11"/>
      <c r="B357" s="31"/>
      <c r="C357" s="2"/>
      <c r="D357" s="2"/>
      <c r="E357" s="2"/>
      <c r="F357" s="2"/>
      <c r="G357" s="2"/>
      <c r="H357" s="2"/>
      <c r="I357" s="2"/>
      <c r="J357" s="2"/>
      <c r="K357" s="2"/>
      <c r="L357" s="2"/>
      <c r="M357" s="2"/>
      <c r="N357" s="2"/>
    </row>
    <row r="358" spans="1:14">
      <c r="A358" s="11"/>
      <c r="B358" s="31"/>
      <c r="C358" s="2"/>
      <c r="D358" s="2"/>
      <c r="E358" s="2"/>
      <c r="F358" s="2"/>
      <c r="G358" s="2"/>
      <c r="H358" s="2"/>
      <c r="I358" s="2"/>
      <c r="J358" s="2"/>
      <c r="K358" s="2"/>
      <c r="L358" s="2"/>
      <c r="M358" s="2"/>
      <c r="N358" s="2"/>
    </row>
    <row r="359" spans="1:14">
      <c r="A359" s="11"/>
      <c r="B359" s="31"/>
      <c r="C359" s="2"/>
      <c r="D359" s="2"/>
      <c r="E359" s="2"/>
      <c r="F359" s="2"/>
      <c r="G359" s="2"/>
      <c r="H359" s="2"/>
      <c r="I359" s="2"/>
      <c r="J359" s="2"/>
      <c r="K359" s="2"/>
      <c r="L359" s="2"/>
      <c r="M359" s="2"/>
      <c r="N359" s="2"/>
    </row>
    <row r="360" spans="1:14">
      <c r="A360" s="11"/>
      <c r="B360" s="31"/>
      <c r="C360" s="2"/>
      <c r="D360" s="2"/>
      <c r="E360" s="2"/>
      <c r="F360" s="2"/>
      <c r="G360" s="2"/>
      <c r="H360" s="2"/>
      <c r="I360" s="2"/>
      <c r="J360" s="2"/>
      <c r="K360" s="2"/>
      <c r="L360" s="2"/>
      <c r="M360" s="2"/>
      <c r="N360" s="2"/>
    </row>
    <row r="361" spans="1:14">
      <c r="A361" s="11"/>
      <c r="B361" s="31"/>
      <c r="C361" s="2"/>
      <c r="D361" s="2"/>
      <c r="E361" s="2"/>
      <c r="F361" s="2"/>
      <c r="G361" s="2"/>
      <c r="H361" s="2"/>
      <c r="I361" s="2"/>
      <c r="J361" s="2"/>
      <c r="K361" s="2"/>
      <c r="L361" s="2"/>
      <c r="M361" s="2"/>
      <c r="N361" s="2"/>
    </row>
    <row r="362" spans="1:14">
      <c r="A362" s="11"/>
      <c r="B362" s="31"/>
      <c r="C362" s="2"/>
      <c r="D362" s="2"/>
      <c r="E362" s="2"/>
      <c r="F362" s="2"/>
      <c r="G362" s="2"/>
      <c r="H362" s="2"/>
      <c r="I362" s="2"/>
      <c r="J362" s="2"/>
      <c r="K362" s="2"/>
      <c r="L362" s="2"/>
      <c r="M362" s="2"/>
      <c r="N362" s="2"/>
    </row>
    <row r="363" spans="1:14">
      <c r="A363" s="11"/>
      <c r="B363" s="31"/>
      <c r="C363" s="2"/>
      <c r="D363" s="2"/>
      <c r="E363" s="2"/>
      <c r="F363" s="2"/>
      <c r="G363" s="2"/>
      <c r="H363" s="2"/>
      <c r="I363" s="2"/>
      <c r="J363" s="2"/>
      <c r="K363" s="2"/>
      <c r="L363" s="2"/>
      <c r="M363" s="2"/>
      <c r="N363" s="2"/>
    </row>
    <row r="364" spans="1:14">
      <c r="A364" s="11"/>
      <c r="B364" s="31"/>
      <c r="C364" s="2"/>
      <c r="D364" s="2"/>
      <c r="E364" s="2"/>
      <c r="F364" s="2"/>
      <c r="G364" s="2"/>
      <c r="H364" s="2"/>
      <c r="I364" s="2"/>
      <c r="J364" s="2"/>
      <c r="K364" s="2"/>
      <c r="L364" s="2"/>
      <c r="M364" s="2"/>
      <c r="N364" s="2"/>
    </row>
    <row r="365" spans="1:14">
      <c r="A365" s="11"/>
      <c r="B365" s="31"/>
      <c r="C365" s="2"/>
      <c r="D365" s="2"/>
      <c r="E365" s="2"/>
      <c r="F365" s="2"/>
      <c r="G365" s="2"/>
      <c r="H365" s="2"/>
      <c r="I365" s="2"/>
      <c r="J365" s="2"/>
      <c r="K365" s="2"/>
      <c r="L365" s="2"/>
      <c r="M365" s="2"/>
      <c r="N365" s="2"/>
    </row>
    <row r="366" spans="1:14">
      <c r="A366" s="11"/>
      <c r="B366" s="31"/>
      <c r="C366" s="2"/>
      <c r="D366" s="2"/>
      <c r="E366" s="2"/>
      <c r="F366" s="2"/>
      <c r="G366" s="2"/>
      <c r="H366" s="2"/>
      <c r="I366" s="2"/>
      <c r="J366" s="2"/>
      <c r="K366" s="2"/>
      <c r="L366" s="2"/>
      <c r="M366" s="2"/>
      <c r="N366" s="2"/>
    </row>
    <row r="367" spans="1:14">
      <c r="A367" s="11"/>
      <c r="B367" s="31"/>
      <c r="C367" s="2"/>
      <c r="D367" s="2"/>
      <c r="E367" s="2"/>
      <c r="F367" s="2"/>
      <c r="G367" s="2"/>
      <c r="H367" s="2"/>
      <c r="I367" s="2"/>
      <c r="J367" s="2"/>
      <c r="K367" s="2"/>
      <c r="L367" s="2"/>
      <c r="M367" s="2"/>
      <c r="N367" s="2"/>
    </row>
    <row r="368" spans="1:14">
      <c r="A368" s="11"/>
      <c r="B368" s="31"/>
      <c r="C368" s="2"/>
      <c r="D368" s="2"/>
      <c r="E368" s="2"/>
      <c r="F368" s="2"/>
      <c r="G368" s="2"/>
      <c r="H368" s="2"/>
      <c r="I368" s="2"/>
      <c r="J368" s="2"/>
      <c r="K368" s="2"/>
      <c r="L368" s="2"/>
      <c r="M368" s="2"/>
      <c r="N368" s="2"/>
    </row>
    <row r="369" spans="1:14">
      <c r="A369" s="11"/>
      <c r="B369" s="31"/>
      <c r="C369" s="2"/>
      <c r="D369" s="2"/>
      <c r="E369" s="2"/>
      <c r="F369" s="2"/>
      <c r="G369" s="2"/>
      <c r="H369" s="2"/>
      <c r="I369" s="2"/>
      <c r="J369" s="2"/>
      <c r="K369" s="2"/>
      <c r="L369" s="2"/>
      <c r="M369" s="2"/>
      <c r="N369" s="2"/>
    </row>
    <row r="370" spans="1:14">
      <c r="A370" s="11"/>
      <c r="B370" s="31"/>
      <c r="C370" s="2"/>
      <c r="D370" s="2"/>
      <c r="E370" s="2"/>
      <c r="F370" s="2"/>
      <c r="G370" s="2"/>
      <c r="H370" s="2"/>
      <c r="I370" s="2"/>
      <c r="J370" s="2"/>
      <c r="K370" s="2"/>
      <c r="L370" s="2"/>
      <c r="M370" s="2"/>
      <c r="N370" s="2"/>
    </row>
    <row r="371" spans="1:14">
      <c r="A371" s="11"/>
      <c r="B371" s="31"/>
      <c r="C371" s="2"/>
      <c r="D371" s="2"/>
      <c r="E371" s="2"/>
      <c r="F371" s="2"/>
      <c r="G371" s="2"/>
      <c r="H371" s="2"/>
      <c r="I371" s="2"/>
      <c r="J371" s="2"/>
      <c r="K371" s="2"/>
      <c r="L371" s="2"/>
      <c r="M371" s="2"/>
      <c r="N371" s="2"/>
    </row>
    <row r="372" spans="1:14">
      <c r="A372" s="11"/>
      <c r="B372" s="31"/>
      <c r="C372" s="2"/>
      <c r="D372" s="2"/>
      <c r="E372" s="2"/>
      <c r="F372" s="2"/>
      <c r="G372" s="2"/>
      <c r="H372" s="2"/>
      <c r="I372" s="2"/>
      <c r="J372" s="2"/>
      <c r="K372" s="2"/>
      <c r="L372" s="2"/>
      <c r="M372" s="2"/>
      <c r="N372" s="2"/>
    </row>
    <row r="373" spans="1:14">
      <c r="A373" s="11"/>
      <c r="B373" s="31"/>
      <c r="C373" s="2"/>
      <c r="D373" s="2"/>
      <c r="E373" s="2"/>
      <c r="F373" s="2"/>
      <c r="G373" s="2"/>
      <c r="H373" s="2"/>
      <c r="I373" s="2"/>
      <c r="J373" s="2"/>
      <c r="K373" s="2"/>
      <c r="L373" s="2"/>
      <c r="M373" s="2"/>
      <c r="N373" s="2"/>
    </row>
    <row r="374" spans="1:14">
      <c r="A374" s="11"/>
      <c r="B374" s="31"/>
      <c r="C374" s="2"/>
      <c r="D374" s="2"/>
      <c r="E374" s="2"/>
      <c r="F374" s="2"/>
      <c r="G374" s="2"/>
      <c r="H374" s="2"/>
      <c r="I374" s="2"/>
      <c r="J374" s="2"/>
      <c r="K374" s="2"/>
      <c r="L374" s="2"/>
      <c r="M374" s="2"/>
      <c r="N374" s="2"/>
    </row>
    <row r="375" spans="1:14">
      <c r="A375" s="11"/>
      <c r="B375" s="31"/>
      <c r="C375" s="2"/>
      <c r="D375" s="2"/>
      <c r="E375" s="2"/>
      <c r="F375" s="2"/>
      <c r="G375" s="2"/>
      <c r="H375" s="2"/>
      <c r="I375" s="2"/>
      <c r="J375" s="2"/>
      <c r="K375" s="2"/>
      <c r="L375" s="2"/>
      <c r="M375" s="2"/>
      <c r="N375" s="2"/>
    </row>
    <row r="376" spans="1:14">
      <c r="A376" s="11"/>
      <c r="B376" s="31"/>
      <c r="C376" s="2"/>
      <c r="D376" s="2"/>
      <c r="E376" s="2"/>
      <c r="F376" s="2"/>
      <c r="G376" s="2"/>
      <c r="H376" s="2"/>
      <c r="I376" s="2"/>
      <c r="J376" s="2"/>
      <c r="K376" s="2"/>
      <c r="L376" s="2"/>
      <c r="M376" s="2"/>
      <c r="N376" s="2"/>
    </row>
    <row r="377" spans="1:14">
      <c r="A377" s="11"/>
      <c r="B377" s="31"/>
      <c r="C377" s="2"/>
      <c r="D377" s="2"/>
      <c r="E377" s="2"/>
      <c r="F377" s="2"/>
      <c r="G377" s="2"/>
      <c r="H377" s="2"/>
      <c r="I377" s="2"/>
      <c r="J377" s="2"/>
      <c r="K377" s="2"/>
      <c r="L377" s="2"/>
      <c r="M377" s="2"/>
      <c r="N377" s="2"/>
    </row>
    <row r="378" spans="1:14">
      <c r="A378" s="11"/>
      <c r="B378" s="31"/>
      <c r="C378" s="2"/>
      <c r="D378" s="2"/>
      <c r="E378" s="2"/>
      <c r="F378" s="2"/>
      <c r="G378" s="2"/>
      <c r="H378" s="2"/>
      <c r="I378" s="2"/>
      <c r="J378" s="2"/>
      <c r="K378" s="2"/>
      <c r="L378" s="2"/>
      <c r="M378" s="2"/>
      <c r="N378" s="2"/>
    </row>
    <row r="379" spans="1:14">
      <c r="A379" s="11"/>
      <c r="B379" s="31"/>
      <c r="C379" s="2"/>
      <c r="D379" s="2"/>
      <c r="E379" s="2"/>
      <c r="F379" s="2"/>
      <c r="G379" s="2"/>
      <c r="H379" s="2"/>
      <c r="I379" s="2"/>
      <c r="J379" s="2"/>
      <c r="K379" s="2"/>
      <c r="L379" s="2"/>
      <c r="M379" s="2"/>
      <c r="N379" s="2"/>
    </row>
    <row r="380" spans="1:14">
      <c r="A380" s="11"/>
      <c r="B380" s="31"/>
      <c r="C380" s="2"/>
      <c r="D380" s="2"/>
      <c r="E380" s="2"/>
      <c r="F380" s="2"/>
      <c r="G380" s="2"/>
      <c r="H380" s="2"/>
      <c r="I380" s="2"/>
      <c r="J380" s="2"/>
      <c r="K380" s="2"/>
      <c r="L380" s="2"/>
      <c r="M380" s="2"/>
      <c r="N380" s="2"/>
    </row>
    <row r="381" spans="1:14">
      <c r="A381" s="11"/>
      <c r="B381" s="31"/>
      <c r="C381" s="2"/>
      <c r="D381" s="2"/>
      <c r="E381" s="2"/>
      <c r="F381" s="2"/>
      <c r="G381" s="2"/>
      <c r="H381" s="2"/>
      <c r="I381" s="2"/>
      <c r="J381" s="2"/>
      <c r="K381" s="2"/>
      <c r="L381" s="2"/>
      <c r="M381" s="2"/>
      <c r="N381" s="2"/>
    </row>
    <row r="382" spans="1:14">
      <c r="A382" s="11"/>
      <c r="B382" s="31"/>
      <c r="C382" s="2"/>
      <c r="D382" s="2"/>
      <c r="E382" s="2"/>
      <c r="F382" s="2"/>
      <c r="G382" s="2"/>
      <c r="H382" s="2"/>
      <c r="I382" s="2"/>
      <c r="J382" s="2"/>
      <c r="K382" s="2"/>
      <c r="L382" s="2"/>
      <c r="M382" s="2"/>
      <c r="N382" s="2"/>
    </row>
    <row r="383" spans="1:14">
      <c r="A383" s="11"/>
      <c r="B383" s="31"/>
      <c r="C383" s="2"/>
      <c r="D383" s="2"/>
      <c r="E383" s="2"/>
      <c r="F383" s="2"/>
      <c r="G383" s="2"/>
      <c r="H383" s="2"/>
      <c r="I383" s="2"/>
      <c r="J383" s="2"/>
      <c r="K383" s="2"/>
      <c r="L383" s="2"/>
      <c r="M383" s="2"/>
      <c r="N383" s="2"/>
    </row>
    <row r="384" spans="1:14">
      <c r="A384" s="11"/>
      <c r="B384" s="31"/>
      <c r="C384" s="2"/>
      <c r="D384" s="2"/>
      <c r="E384" s="2"/>
      <c r="F384" s="2"/>
      <c r="G384" s="2"/>
      <c r="H384" s="2"/>
      <c r="I384" s="2"/>
      <c r="J384" s="2"/>
      <c r="K384" s="2"/>
      <c r="L384" s="2"/>
      <c r="M384" s="2"/>
      <c r="N384" s="2"/>
    </row>
    <row r="385" spans="1:14">
      <c r="A385" s="11"/>
      <c r="B385" s="31"/>
      <c r="C385" s="2"/>
      <c r="D385" s="2"/>
      <c r="E385" s="2"/>
      <c r="F385" s="2"/>
      <c r="G385" s="2"/>
      <c r="H385" s="2"/>
      <c r="I385" s="2"/>
      <c r="J385" s="2"/>
      <c r="K385" s="2"/>
      <c r="L385" s="2"/>
      <c r="M385" s="2"/>
      <c r="N385" s="2"/>
    </row>
    <row r="386" spans="1:14">
      <c r="A386" s="11"/>
      <c r="B386" s="31"/>
      <c r="C386" s="2"/>
      <c r="D386" s="2"/>
      <c r="E386" s="2"/>
      <c r="F386" s="2"/>
      <c r="G386" s="2"/>
      <c r="H386" s="2"/>
      <c r="I386" s="2"/>
      <c r="J386" s="2"/>
      <c r="K386" s="2"/>
      <c r="L386" s="2"/>
      <c r="M386" s="2"/>
      <c r="N386" s="2"/>
    </row>
    <row r="387" spans="1:14">
      <c r="A387" s="11"/>
      <c r="B387" s="31"/>
      <c r="C387" s="2"/>
      <c r="D387" s="2"/>
      <c r="E387" s="2"/>
      <c r="F387" s="2"/>
      <c r="G387" s="2"/>
      <c r="H387" s="2"/>
      <c r="I387" s="2"/>
      <c r="J387" s="2"/>
      <c r="K387" s="2"/>
      <c r="L387" s="2"/>
      <c r="M387" s="2"/>
      <c r="N387" s="2"/>
    </row>
    <row r="388" spans="1:14">
      <c r="A388" s="11"/>
      <c r="B388" s="31"/>
      <c r="C388" s="2"/>
      <c r="D388" s="2"/>
      <c r="E388" s="2"/>
      <c r="F388" s="2"/>
      <c r="G388" s="2"/>
      <c r="H388" s="2"/>
      <c r="I388" s="2"/>
      <c r="J388" s="2"/>
      <c r="K388" s="2"/>
      <c r="L388" s="2"/>
      <c r="M388" s="2"/>
      <c r="N388" s="2"/>
    </row>
    <row r="389" spans="1:14">
      <c r="A389" s="11"/>
      <c r="B389" s="31"/>
      <c r="C389" s="2"/>
      <c r="D389" s="2"/>
      <c r="E389" s="2"/>
      <c r="F389" s="2"/>
      <c r="G389" s="2"/>
      <c r="H389" s="2"/>
      <c r="I389" s="2"/>
      <c r="J389" s="2"/>
      <c r="K389" s="2"/>
      <c r="L389" s="2"/>
      <c r="M389" s="2"/>
      <c r="N389" s="2"/>
    </row>
    <row r="390" spans="1:14">
      <c r="A390" s="11"/>
      <c r="B390" s="31"/>
      <c r="C390" s="2"/>
      <c r="D390" s="2"/>
      <c r="E390" s="2"/>
      <c r="F390" s="2"/>
      <c r="G390" s="2"/>
      <c r="H390" s="2"/>
      <c r="I390" s="2"/>
      <c r="J390" s="2"/>
      <c r="K390" s="2"/>
      <c r="L390" s="2"/>
      <c r="M390" s="2"/>
      <c r="N390" s="2"/>
    </row>
    <row r="391" spans="1:14">
      <c r="A391" s="11"/>
      <c r="B391" s="31"/>
      <c r="C391" s="2"/>
      <c r="D391" s="2"/>
      <c r="E391" s="2"/>
      <c r="F391" s="2"/>
      <c r="G391" s="2"/>
      <c r="H391" s="2"/>
      <c r="I391" s="2"/>
      <c r="J391" s="2"/>
      <c r="K391" s="2"/>
      <c r="L391" s="2"/>
      <c r="M391" s="2"/>
      <c r="N391" s="2"/>
    </row>
    <row r="392" spans="1:14">
      <c r="A392" s="11"/>
      <c r="B392" s="31"/>
      <c r="C392" s="2"/>
      <c r="D392" s="2"/>
      <c r="E392" s="2"/>
      <c r="F392" s="2"/>
      <c r="G392" s="2"/>
      <c r="H392" s="2"/>
      <c r="I392" s="2"/>
      <c r="J392" s="2"/>
      <c r="K392" s="2"/>
      <c r="L392" s="2"/>
      <c r="M392" s="2"/>
      <c r="N392" s="2"/>
    </row>
    <row r="393" spans="1:14">
      <c r="A393" s="11"/>
      <c r="B393" s="31"/>
      <c r="C393" s="2"/>
      <c r="D393" s="2"/>
      <c r="E393" s="2"/>
      <c r="F393" s="2"/>
      <c r="G393" s="2"/>
      <c r="H393" s="2"/>
      <c r="I393" s="2"/>
      <c r="J393" s="2"/>
      <c r="K393" s="2"/>
      <c r="L393" s="2"/>
      <c r="M393" s="2"/>
      <c r="N393" s="2"/>
    </row>
    <row r="394" spans="1:14">
      <c r="A394" s="11"/>
      <c r="B394" s="31"/>
      <c r="C394" s="2"/>
      <c r="D394" s="2"/>
      <c r="E394" s="2"/>
      <c r="F394" s="2"/>
      <c r="G394" s="2"/>
      <c r="H394" s="2"/>
      <c r="I394" s="2"/>
      <c r="J394" s="2"/>
      <c r="K394" s="2"/>
      <c r="L394" s="2"/>
      <c r="M394" s="2"/>
      <c r="N394" s="2"/>
    </row>
    <row r="395" spans="1:14">
      <c r="A395" s="11"/>
      <c r="B395" s="31"/>
      <c r="C395" s="2"/>
      <c r="D395" s="2"/>
      <c r="E395" s="2"/>
      <c r="F395" s="2"/>
      <c r="G395" s="2"/>
      <c r="H395" s="2"/>
      <c r="I395" s="2"/>
      <c r="J395" s="2"/>
      <c r="K395" s="2"/>
      <c r="L395" s="2"/>
      <c r="M395" s="2"/>
      <c r="N395" s="2"/>
    </row>
    <row r="396" spans="1:14">
      <c r="A396" s="11"/>
      <c r="B396" s="31"/>
      <c r="C396" s="2"/>
      <c r="D396" s="2"/>
      <c r="E396" s="2"/>
      <c r="F396" s="2"/>
      <c r="G396" s="2"/>
      <c r="H396" s="2"/>
      <c r="I396" s="2"/>
      <c r="J396" s="2"/>
      <c r="K396" s="2"/>
      <c r="L396" s="2"/>
      <c r="M396" s="2"/>
      <c r="N396" s="2"/>
    </row>
    <row r="397" spans="1:14">
      <c r="A397" s="11"/>
      <c r="B397" s="31"/>
      <c r="C397" s="2"/>
      <c r="D397" s="2"/>
      <c r="E397" s="2"/>
      <c r="F397" s="2"/>
      <c r="G397" s="2"/>
      <c r="H397" s="2"/>
      <c r="I397" s="2"/>
      <c r="J397" s="2"/>
      <c r="K397" s="2"/>
      <c r="L397" s="2"/>
      <c r="M397" s="2"/>
      <c r="N397" s="2"/>
    </row>
    <row r="398" spans="1:14">
      <c r="A398" s="11"/>
      <c r="B398" s="31"/>
      <c r="C398" s="2"/>
      <c r="D398" s="2"/>
      <c r="E398" s="2"/>
      <c r="F398" s="2"/>
      <c r="G398" s="2"/>
      <c r="H398" s="2"/>
      <c r="I398" s="2"/>
      <c r="J398" s="2"/>
      <c r="K398" s="2"/>
      <c r="L398" s="2"/>
      <c r="M398" s="2"/>
      <c r="N398" s="2"/>
    </row>
    <row r="399" spans="1:14">
      <c r="A399" s="11"/>
      <c r="B399" s="31"/>
      <c r="C399" s="2"/>
      <c r="D399" s="2"/>
      <c r="E399" s="2"/>
      <c r="F399" s="2"/>
      <c r="G399" s="2"/>
      <c r="H399" s="2"/>
      <c r="I399" s="2"/>
      <c r="J399" s="2"/>
      <c r="K399" s="2"/>
      <c r="L399" s="2"/>
      <c r="M399" s="2"/>
      <c r="N399" s="2"/>
    </row>
    <row r="400" spans="1:14">
      <c r="A400" s="11"/>
      <c r="B400" s="31"/>
      <c r="C400" s="2"/>
      <c r="D400" s="2"/>
      <c r="E400" s="2"/>
      <c r="F400" s="2"/>
      <c r="G400" s="2"/>
      <c r="H400" s="2"/>
      <c r="I400" s="2"/>
      <c r="J400" s="2"/>
      <c r="K400" s="2"/>
      <c r="L400" s="2"/>
      <c r="M400" s="2"/>
      <c r="N400" s="2"/>
    </row>
    <row r="401" spans="1:14">
      <c r="A401" s="11"/>
      <c r="B401" s="31"/>
      <c r="C401" s="2"/>
      <c r="D401" s="2"/>
      <c r="E401" s="2"/>
      <c r="F401" s="2"/>
      <c r="G401" s="2"/>
      <c r="H401" s="2"/>
      <c r="I401" s="2"/>
      <c r="J401" s="2"/>
      <c r="K401" s="2"/>
      <c r="L401" s="2"/>
      <c r="M401" s="2"/>
      <c r="N401" s="2"/>
    </row>
    <row r="402" spans="1:14">
      <c r="A402" s="11"/>
      <c r="B402" s="31"/>
      <c r="C402" s="2"/>
      <c r="D402" s="2"/>
      <c r="E402" s="2"/>
      <c r="F402" s="2"/>
      <c r="G402" s="2"/>
      <c r="H402" s="2"/>
      <c r="I402" s="2"/>
      <c r="J402" s="2"/>
      <c r="K402" s="2"/>
      <c r="L402" s="2"/>
      <c r="M402" s="2"/>
      <c r="N402" s="2"/>
    </row>
    <row r="403" spans="1:14">
      <c r="A403" s="11"/>
      <c r="B403" s="31"/>
      <c r="C403" s="2"/>
      <c r="D403" s="2"/>
      <c r="E403" s="2"/>
      <c r="F403" s="2"/>
      <c r="G403" s="2"/>
      <c r="H403" s="2"/>
      <c r="I403" s="2"/>
      <c r="J403" s="2"/>
      <c r="K403" s="2"/>
      <c r="L403" s="2"/>
      <c r="M403" s="2"/>
      <c r="N403" s="2"/>
    </row>
    <row r="404" spans="1:14">
      <c r="A404" s="11"/>
      <c r="B404" s="31"/>
      <c r="C404" s="2"/>
      <c r="D404" s="2"/>
      <c r="E404" s="2"/>
      <c r="F404" s="2"/>
      <c r="G404" s="2"/>
      <c r="H404" s="2"/>
      <c r="I404" s="2"/>
      <c r="J404" s="2"/>
      <c r="K404" s="2"/>
      <c r="L404" s="2"/>
      <c r="M404" s="2"/>
      <c r="N404" s="2"/>
    </row>
    <row r="405" spans="1:14">
      <c r="A405" s="11"/>
      <c r="B405" s="31"/>
      <c r="C405" s="2"/>
      <c r="D405" s="2"/>
      <c r="E405" s="2"/>
      <c r="F405" s="2"/>
      <c r="G405" s="2"/>
      <c r="H405" s="2"/>
      <c r="I405" s="2"/>
      <c r="J405" s="2"/>
      <c r="K405" s="2"/>
      <c r="L405" s="2"/>
      <c r="M405" s="2"/>
      <c r="N405" s="2"/>
    </row>
    <row r="406" spans="1:14">
      <c r="A406" s="11"/>
      <c r="B406" s="31"/>
      <c r="C406" s="2"/>
      <c r="D406" s="2"/>
      <c r="E406" s="2"/>
      <c r="F406" s="2"/>
      <c r="G406" s="2"/>
      <c r="H406" s="2"/>
      <c r="I406" s="2"/>
      <c r="J406" s="2"/>
      <c r="K406" s="2"/>
      <c r="L406" s="2"/>
      <c r="M406" s="2"/>
      <c r="N406" s="2"/>
    </row>
    <row r="407" spans="1:14">
      <c r="A407" s="11"/>
      <c r="B407" s="31"/>
      <c r="C407" s="2"/>
      <c r="D407" s="2"/>
      <c r="E407" s="2"/>
      <c r="F407" s="2"/>
      <c r="G407" s="2"/>
      <c r="H407" s="2"/>
      <c r="I407" s="2"/>
      <c r="J407" s="2"/>
      <c r="K407" s="2"/>
      <c r="L407" s="2"/>
      <c r="M407" s="2"/>
      <c r="N407" s="2"/>
    </row>
    <row r="408" spans="1:14">
      <c r="A408" s="11"/>
      <c r="B408" s="31"/>
      <c r="C408" s="2"/>
      <c r="D408" s="2"/>
      <c r="E408" s="2"/>
      <c r="F408" s="2"/>
      <c r="G408" s="2"/>
      <c r="H408" s="2"/>
      <c r="I408" s="2"/>
      <c r="J408" s="2"/>
      <c r="K408" s="2"/>
      <c r="L408" s="2"/>
      <c r="M408" s="2"/>
      <c r="N408" s="2"/>
    </row>
    <row r="409" spans="1:14">
      <c r="A409" s="11"/>
      <c r="B409" s="31"/>
      <c r="C409" s="2"/>
      <c r="D409" s="2"/>
      <c r="E409" s="2"/>
      <c r="F409" s="2"/>
      <c r="G409" s="2"/>
      <c r="H409" s="2"/>
      <c r="I409" s="2"/>
      <c r="J409" s="2"/>
      <c r="K409" s="2"/>
      <c r="L409" s="2"/>
      <c r="M409" s="2"/>
      <c r="N409" s="2"/>
    </row>
    <row r="410" spans="1:14">
      <c r="A410" s="11"/>
      <c r="B410" s="31"/>
      <c r="C410" s="2"/>
      <c r="D410" s="2"/>
      <c r="E410" s="2"/>
      <c r="F410" s="2"/>
      <c r="G410" s="2"/>
      <c r="H410" s="2"/>
      <c r="I410" s="2"/>
      <c r="J410" s="2"/>
      <c r="K410" s="2"/>
      <c r="L410" s="2"/>
      <c r="M410" s="2"/>
      <c r="N410" s="2"/>
    </row>
    <row r="411" spans="1:14">
      <c r="A411" s="11"/>
      <c r="B411" s="31"/>
      <c r="C411" s="2"/>
      <c r="D411" s="2"/>
      <c r="E411" s="2"/>
      <c r="F411" s="2"/>
      <c r="G411" s="2"/>
      <c r="H411" s="2"/>
      <c r="I411" s="2"/>
      <c r="J411" s="2"/>
      <c r="K411" s="2"/>
      <c r="L411" s="2"/>
      <c r="M411" s="2"/>
      <c r="N411" s="2"/>
    </row>
    <row r="412" spans="1:14">
      <c r="A412" s="11"/>
      <c r="B412" s="31"/>
      <c r="C412" s="2"/>
      <c r="D412" s="2"/>
      <c r="E412" s="2"/>
      <c r="F412" s="2"/>
      <c r="G412" s="2"/>
      <c r="H412" s="2"/>
      <c r="I412" s="2"/>
      <c r="J412" s="2"/>
      <c r="K412" s="2"/>
      <c r="L412" s="2"/>
      <c r="M412" s="2"/>
      <c r="N412" s="2"/>
    </row>
    <row r="413" spans="1:14">
      <c r="A413" s="11"/>
      <c r="B413" s="31"/>
      <c r="C413" s="2"/>
      <c r="D413" s="2"/>
      <c r="E413" s="2"/>
      <c r="F413" s="2"/>
      <c r="G413" s="2"/>
      <c r="H413" s="2"/>
      <c r="I413" s="2"/>
      <c r="J413" s="2"/>
      <c r="K413" s="2"/>
      <c r="L413" s="2"/>
      <c r="M413" s="2"/>
      <c r="N413" s="2"/>
    </row>
    <row r="414" spans="1:14">
      <c r="A414" s="11"/>
      <c r="B414" s="31"/>
      <c r="C414" s="2"/>
      <c r="D414" s="2"/>
      <c r="E414" s="2"/>
      <c r="F414" s="2"/>
      <c r="G414" s="2"/>
      <c r="H414" s="2"/>
      <c r="I414" s="2"/>
      <c r="J414" s="2"/>
      <c r="K414" s="2"/>
      <c r="L414" s="2"/>
      <c r="M414" s="2"/>
      <c r="N414" s="2"/>
    </row>
    <row r="415" spans="1:14">
      <c r="A415" s="11"/>
      <c r="B415" s="31"/>
      <c r="C415" s="2"/>
      <c r="D415" s="2"/>
      <c r="E415" s="2"/>
      <c r="F415" s="2"/>
      <c r="G415" s="2"/>
      <c r="H415" s="2"/>
      <c r="I415" s="2"/>
      <c r="J415" s="2"/>
      <c r="K415" s="2"/>
      <c r="L415" s="2"/>
      <c r="M415" s="2"/>
      <c r="N415" s="2"/>
    </row>
    <row r="416" spans="1:14">
      <c r="A416" s="11"/>
      <c r="B416" s="31"/>
      <c r="C416" s="2"/>
      <c r="D416" s="2"/>
      <c r="E416" s="2"/>
      <c r="F416" s="2"/>
      <c r="G416" s="2"/>
      <c r="H416" s="2"/>
      <c r="I416" s="2"/>
      <c r="J416" s="2"/>
      <c r="K416" s="2"/>
      <c r="L416" s="2"/>
      <c r="M416" s="2"/>
      <c r="N416" s="2"/>
    </row>
    <row r="417" spans="1:14">
      <c r="A417" s="11"/>
      <c r="B417" s="31"/>
      <c r="C417" s="2"/>
      <c r="D417" s="2"/>
      <c r="E417" s="2"/>
      <c r="F417" s="2"/>
      <c r="G417" s="2"/>
      <c r="H417" s="2"/>
      <c r="I417" s="2"/>
      <c r="J417" s="2"/>
      <c r="K417" s="2"/>
      <c r="L417" s="2"/>
      <c r="M417" s="2"/>
      <c r="N417" s="2"/>
    </row>
    <row r="418" spans="1:14">
      <c r="A418" s="11"/>
      <c r="B418" s="31"/>
      <c r="C418" s="2"/>
      <c r="D418" s="2"/>
      <c r="E418" s="2"/>
      <c r="F418" s="2"/>
      <c r="G418" s="2"/>
      <c r="H418" s="2"/>
      <c r="I418" s="2"/>
      <c r="J418" s="2"/>
      <c r="K418" s="2"/>
      <c r="L418" s="2"/>
      <c r="M418" s="2"/>
      <c r="N418" s="2"/>
    </row>
    <row r="419" spans="1:14">
      <c r="A419" s="11"/>
      <c r="B419" s="31"/>
      <c r="C419" s="2"/>
      <c r="D419" s="2"/>
      <c r="E419" s="2"/>
      <c r="F419" s="2"/>
      <c r="G419" s="2"/>
      <c r="H419" s="2"/>
      <c r="I419" s="2"/>
      <c r="J419" s="2"/>
      <c r="K419" s="2"/>
      <c r="L419" s="2"/>
      <c r="M419" s="2"/>
      <c r="N419" s="2"/>
    </row>
    <row r="420" spans="1:14">
      <c r="A420" s="11"/>
      <c r="B420" s="31"/>
      <c r="C420" s="2"/>
      <c r="D420" s="2"/>
      <c r="E420" s="2"/>
      <c r="F420" s="2"/>
      <c r="G420" s="2"/>
      <c r="H420" s="2"/>
      <c r="I420" s="2"/>
      <c r="J420" s="2"/>
      <c r="K420" s="2"/>
      <c r="L420" s="2"/>
      <c r="M420" s="2"/>
      <c r="N420" s="2"/>
    </row>
    <row r="421" spans="1:14">
      <c r="A421" s="11"/>
      <c r="B421" s="31"/>
      <c r="C421" s="2"/>
      <c r="D421" s="2"/>
      <c r="E421" s="2"/>
      <c r="F421" s="2"/>
      <c r="G421" s="2"/>
      <c r="H421" s="2"/>
      <c r="I421" s="2"/>
      <c r="J421" s="2"/>
      <c r="K421" s="2"/>
      <c r="L421" s="2"/>
      <c r="M421" s="2"/>
      <c r="N421" s="2"/>
    </row>
    <row r="422" spans="1:14">
      <c r="A422" s="11"/>
      <c r="B422" s="31"/>
      <c r="C422" s="2"/>
      <c r="D422" s="2"/>
      <c r="E422" s="2"/>
      <c r="F422" s="2"/>
      <c r="G422" s="2"/>
      <c r="H422" s="2"/>
      <c r="I422" s="2"/>
      <c r="J422" s="2"/>
      <c r="K422" s="2"/>
      <c r="L422" s="2"/>
      <c r="M422" s="2"/>
      <c r="N422" s="2"/>
    </row>
    <row r="423" spans="1:14">
      <c r="A423" s="11"/>
      <c r="B423" s="31"/>
      <c r="C423" s="2"/>
      <c r="D423" s="2"/>
      <c r="E423" s="2"/>
      <c r="F423" s="2"/>
      <c r="G423" s="2"/>
      <c r="H423" s="2"/>
      <c r="I423" s="2"/>
      <c r="J423" s="2"/>
      <c r="K423" s="2"/>
      <c r="L423" s="2"/>
      <c r="M423" s="2"/>
      <c r="N423" s="2"/>
    </row>
    <row r="424" spans="1:14">
      <c r="A424" s="11"/>
      <c r="B424" s="31"/>
      <c r="C424" s="2"/>
      <c r="D424" s="2"/>
      <c r="E424" s="2"/>
      <c r="F424" s="2"/>
      <c r="G424" s="2"/>
      <c r="H424" s="2"/>
      <c r="I424" s="2"/>
      <c r="J424" s="2"/>
      <c r="K424" s="2"/>
      <c r="L424" s="2"/>
      <c r="M424" s="2"/>
      <c r="N424" s="2"/>
    </row>
    <row r="425" spans="1:14">
      <c r="A425" s="11"/>
      <c r="B425" s="31"/>
      <c r="C425" s="2"/>
      <c r="D425" s="2"/>
      <c r="E425" s="2"/>
      <c r="F425" s="2"/>
      <c r="G425" s="2"/>
      <c r="H425" s="2"/>
      <c r="I425" s="2"/>
      <c r="J425" s="2"/>
      <c r="K425" s="2"/>
      <c r="L425" s="2"/>
      <c r="M425" s="2"/>
      <c r="N425" s="2"/>
    </row>
    <row r="426" spans="1:14">
      <c r="A426" s="11"/>
      <c r="B426" s="31"/>
      <c r="C426" s="2"/>
      <c r="D426" s="2"/>
      <c r="E426" s="2"/>
      <c r="F426" s="2"/>
      <c r="G426" s="2"/>
      <c r="H426" s="2"/>
      <c r="I426" s="2"/>
      <c r="J426" s="2"/>
      <c r="K426" s="2"/>
      <c r="L426" s="2"/>
      <c r="M426" s="2"/>
      <c r="N426" s="2"/>
    </row>
    <row r="427" spans="1:14">
      <c r="A427" s="11"/>
      <c r="B427" s="31"/>
      <c r="C427" s="2"/>
      <c r="D427" s="2"/>
      <c r="E427" s="2"/>
      <c r="F427" s="2"/>
      <c r="G427" s="2"/>
      <c r="H427" s="2"/>
      <c r="I427" s="2"/>
      <c r="J427" s="2"/>
      <c r="K427" s="2"/>
      <c r="L427" s="2"/>
      <c r="M427" s="2"/>
      <c r="N427" s="2"/>
    </row>
    <row r="428" spans="1:14">
      <c r="A428" s="11"/>
      <c r="B428" s="31"/>
      <c r="C428" s="2"/>
      <c r="D428" s="2"/>
      <c r="E428" s="2"/>
      <c r="F428" s="2"/>
      <c r="G428" s="2"/>
      <c r="H428" s="2"/>
      <c r="I428" s="2"/>
      <c r="J428" s="2"/>
      <c r="K428" s="2"/>
      <c r="L428" s="2"/>
      <c r="M428" s="2"/>
      <c r="N428" s="2"/>
    </row>
    <row r="429" spans="1:14">
      <c r="A429" s="11"/>
      <c r="B429" s="31"/>
      <c r="C429" s="2"/>
      <c r="D429" s="2"/>
      <c r="E429" s="2"/>
      <c r="F429" s="2"/>
      <c r="G429" s="2"/>
      <c r="H429" s="2"/>
      <c r="I429" s="2"/>
      <c r="J429" s="2"/>
      <c r="K429" s="2"/>
      <c r="L429" s="2"/>
      <c r="M429" s="2"/>
      <c r="N429" s="2"/>
    </row>
    <row r="430" spans="1:14">
      <c r="A430" s="11"/>
      <c r="B430" s="31"/>
      <c r="C430" s="2"/>
      <c r="D430" s="2"/>
      <c r="E430" s="2"/>
      <c r="F430" s="2"/>
      <c r="G430" s="2"/>
      <c r="H430" s="2"/>
      <c r="I430" s="2"/>
      <c r="J430" s="2"/>
      <c r="K430" s="2"/>
      <c r="L430" s="2"/>
      <c r="M430" s="2"/>
      <c r="N430" s="2"/>
    </row>
    <row r="431" spans="1:14">
      <c r="A431" s="11"/>
      <c r="B431" s="31"/>
      <c r="C431" s="2"/>
      <c r="D431" s="2"/>
      <c r="E431" s="2"/>
      <c r="F431" s="2"/>
      <c r="G431" s="2"/>
      <c r="H431" s="2"/>
      <c r="I431" s="2"/>
      <c r="J431" s="2"/>
      <c r="K431" s="2"/>
      <c r="L431" s="2"/>
      <c r="M431" s="2"/>
      <c r="N431" s="2"/>
    </row>
    <row r="432" spans="1:14">
      <c r="A432" s="11"/>
      <c r="B432" s="31"/>
      <c r="C432" s="2"/>
      <c r="D432" s="2"/>
      <c r="E432" s="2"/>
      <c r="F432" s="2"/>
      <c r="G432" s="2"/>
      <c r="H432" s="2"/>
      <c r="I432" s="2"/>
      <c r="J432" s="2"/>
      <c r="K432" s="2"/>
      <c r="L432" s="2"/>
      <c r="M432" s="2"/>
      <c r="N432" s="2"/>
    </row>
    <row r="433" spans="1:14">
      <c r="A433" s="11"/>
      <c r="B433" s="31"/>
      <c r="C433" s="2"/>
      <c r="D433" s="2"/>
      <c r="E433" s="2"/>
      <c r="F433" s="2"/>
      <c r="G433" s="2"/>
      <c r="H433" s="2"/>
      <c r="I433" s="2"/>
      <c r="J433" s="2"/>
      <c r="K433" s="2"/>
      <c r="L433" s="2"/>
      <c r="M433" s="2"/>
      <c r="N433" s="2"/>
    </row>
    <row r="434" spans="1:14">
      <c r="A434" s="11"/>
      <c r="B434" s="31"/>
      <c r="C434" s="2"/>
      <c r="D434" s="2"/>
      <c r="E434" s="2"/>
      <c r="F434" s="2"/>
      <c r="G434" s="2"/>
      <c r="H434" s="2"/>
      <c r="I434" s="2"/>
      <c r="J434" s="2"/>
      <c r="K434" s="2"/>
      <c r="L434" s="2"/>
      <c r="M434" s="2"/>
      <c r="N434" s="2"/>
    </row>
    <row r="435" spans="1:14">
      <c r="A435" s="11"/>
      <c r="B435" s="31"/>
      <c r="C435" s="2"/>
      <c r="D435" s="2"/>
      <c r="E435" s="2"/>
      <c r="F435" s="2"/>
      <c r="G435" s="2"/>
      <c r="H435" s="2"/>
      <c r="I435" s="2"/>
      <c r="J435" s="2"/>
      <c r="K435" s="2"/>
      <c r="L435" s="2"/>
      <c r="M435" s="2"/>
      <c r="N435" s="2"/>
    </row>
    <row r="436" spans="1:14">
      <c r="A436" s="11"/>
      <c r="B436" s="31"/>
      <c r="C436" s="2"/>
      <c r="D436" s="2"/>
      <c r="E436" s="2"/>
      <c r="F436" s="2"/>
      <c r="G436" s="2"/>
      <c r="H436" s="2"/>
      <c r="I436" s="2"/>
      <c r="J436" s="2"/>
      <c r="K436" s="2"/>
      <c r="L436" s="2"/>
      <c r="M436" s="2"/>
      <c r="N436" s="2"/>
    </row>
    <row r="437" spans="1:14">
      <c r="A437" s="11"/>
      <c r="B437" s="31"/>
      <c r="C437" s="2"/>
      <c r="D437" s="2"/>
      <c r="E437" s="2"/>
      <c r="F437" s="2"/>
      <c r="G437" s="2"/>
      <c r="H437" s="2"/>
      <c r="I437" s="2"/>
      <c r="J437" s="2"/>
      <c r="K437" s="2"/>
      <c r="L437" s="2"/>
      <c r="M437" s="2"/>
      <c r="N437" s="2"/>
    </row>
    <row r="438" spans="1:14">
      <c r="A438" s="11"/>
      <c r="B438" s="31"/>
      <c r="C438" s="2"/>
      <c r="D438" s="2"/>
      <c r="E438" s="2"/>
      <c r="F438" s="2"/>
      <c r="G438" s="2"/>
      <c r="H438" s="2"/>
      <c r="I438" s="2"/>
      <c r="J438" s="2"/>
      <c r="K438" s="2"/>
      <c r="L438" s="2"/>
      <c r="M438" s="2"/>
      <c r="N438" s="2"/>
    </row>
    <row r="439" spans="1:14">
      <c r="A439" s="11"/>
      <c r="B439" s="31"/>
      <c r="C439" s="2"/>
      <c r="D439" s="2"/>
      <c r="E439" s="2"/>
      <c r="F439" s="2"/>
      <c r="G439" s="2"/>
      <c r="H439" s="2"/>
      <c r="I439" s="2"/>
      <c r="J439" s="2"/>
      <c r="K439" s="2"/>
      <c r="L439" s="2"/>
      <c r="M439" s="2"/>
      <c r="N439" s="2"/>
    </row>
    <row r="440" spans="1:14">
      <c r="A440" s="11"/>
      <c r="B440" s="31"/>
      <c r="C440" s="2"/>
      <c r="D440" s="2"/>
      <c r="E440" s="2"/>
      <c r="F440" s="2"/>
      <c r="G440" s="2"/>
      <c r="H440" s="2"/>
      <c r="I440" s="2"/>
      <c r="J440" s="2"/>
      <c r="K440" s="2"/>
      <c r="L440" s="2"/>
      <c r="M440" s="2"/>
      <c r="N440" s="2"/>
    </row>
    <row r="441" spans="1:14">
      <c r="A441" s="11"/>
      <c r="B441" s="31"/>
      <c r="C441" s="2"/>
      <c r="D441" s="2"/>
      <c r="E441" s="2"/>
      <c r="F441" s="2"/>
      <c r="G441" s="2"/>
      <c r="H441" s="2"/>
      <c r="I441" s="2"/>
      <c r="J441" s="2"/>
      <c r="K441" s="2"/>
      <c r="L441" s="2"/>
      <c r="M441" s="2"/>
      <c r="N441" s="2"/>
    </row>
    <row r="442" spans="1:14">
      <c r="A442" s="11"/>
      <c r="B442" s="31"/>
      <c r="C442" s="2"/>
      <c r="D442" s="2"/>
      <c r="E442" s="2"/>
      <c r="F442" s="2"/>
      <c r="G442" s="2"/>
      <c r="H442" s="2"/>
      <c r="I442" s="2"/>
      <c r="J442" s="2"/>
      <c r="K442" s="2"/>
      <c r="L442" s="2"/>
      <c r="M442" s="2"/>
      <c r="N442" s="2"/>
    </row>
    <row r="443" spans="1:14">
      <c r="A443" s="11"/>
      <c r="B443" s="31"/>
      <c r="C443" s="2"/>
      <c r="D443" s="2"/>
      <c r="E443" s="2"/>
      <c r="F443" s="2"/>
      <c r="G443" s="2"/>
      <c r="H443" s="2"/>
      <c r="I443" s="2"/>
      <c r="J443" s="2"/>
      <c r="K443" s="2"/>
      <c r="L443" s="2"/>
      <c r="M443" s="2"/>
      <c r="N443" s="2"/>
    </row>
    <row r="444" spans="1:14">
      <c r="A444" s="11"/>
      <c r="B444" s="31"/>
      <c r="C444" s="2"/>
      <c r="D444" s="2"/>
      <c r="E444" s="2"/>
      <c r="F444" s="2"/>
      <c r="G444" s="2"/>
      <c r="H444" s="2"/>
      <c r="I444" s="2"/>
      <c r="J444" s="2"/>
      <c r="K444" s="2"/>
      <c r="L444" s="2"/>
      <c r="M444" s="2"/>
      <c r="N444" s="2"/>
    </row>
    <row r="445" spans="1:14">
      <c r="A445" s="11"/>
      <c r="B445" s="31"/>
      <c r="C445" s="2"/>
      <c r="D445" s="2"/>
      <c r="E445" s="2"/>
      <c r="F445" s="2"/>
      <c r="G445" s="2"/>
      <c r="H445" s="2"/>
      <c r="I445" s="2"/>
      <c r="J445" s="2"/>
      <c r="K445" s="2"/>
      <c r="L445" s="2"/>
      <c r="M445" s="2"/>
      <c r="N445" s="2"/>
    </row>
    <row r="446" spans="1:14">
      <c r="A446" s="11"/>
      <c r="B446" s="31"/>
      <c r="C446" s="2"/>
      <c r="D446" s="2"/>
      <c r="E446" s="2"/>
      <c r="F446" s="2"/>
      <c r="G446" s="2"/>
      <c r="H446" s="2"/>
      <c r="I446" s="2"/>
      <c r="J446" s="2"/>
      <c r="K446" s="2"/>
      <c r="L446" s="2"/>
      <c r="M446" s="2"/>
      <c r="N446" s="2"/>
    </row>
    <row r="447" spans="1:14">
      <c r="A447" s="11"/>
      <c r="B447" s="31"/>
      <c r="C447" s="2"/>
      <c r="D447" s="2"/>
      <c r="E447" s="2"/>
      <c r="F447" s="2"/>
      <c r="G447" s="2"/>
      <c r="H447" s="2"/>
      <c r="I447" s="2"/>
      <c r="J447" s="2"/>
      <c r="K447" s="2"/>
      <c r="L447" s="2"/>
      <c r="M447" s="2"/>
      <c r="N447" s="2"/>
    </row>
    <row r="448" spans="1:14">
      <c r="A448" s="11"/>
      <c r="B448" s="31"/>
      <c r="C448" s="2"/>
      <c r="D448" s="2"/>
      <c r="E448" s="2"/>
      <c r="F448" s="2"/>
      <c r="G448" s="2"/>
      <c r="H448" s="2"/>
      <c r="I448" s="2"/>
      <c r="J448" s="2"/>
      <c r="K448" s="2"/>
      <c r="L448" s="2"/>
      <c r="M448" s="2"/>
      <c r="N448" s="2"/>
    </row>
    <row r="449" spans="1:14">
      <c r="A449" s="11"/>
      <c r="B449" s="31"/>
      <c r="C449" s="2"/>
      <c r="D449" s="2"/>
      <c r="E449" s="2"/>
      <c r="F449" s="2"/>
      <c r="G449" s="2"/>
      <c r="H449" s="2"/>
      <c r="I449" s="2"/>
      <c r="J449" s="2"/>
      <c r="K449" s="2"/>
      <c r="L449" s="2"/>
      <c r="M449" s="2"/>
      <c r="N449" s="2"/>
    </row>
    <row r="450" spans="1:14">
      <c r="A450" s="11"/>
      <c r="B450" s="31"/>
      <c r="C450" s="2"/>
      <c r="D450" s="2"/>
      <c r="E450" s="2"/>
      <c r="F450" s="2"/>
      <c r="G450" s="2"/>
      <c r="H450" s="2"/>
      <c r="I450" s="2"/>
      <c r="J450" s="2"/>
      <c r="K450" s="2"/>
      <c r="L450" s="2"/>
      <c r="M450" s="2"/>
      <c r="N450" s="2"/>
    </row>
    <row r="451" spans="1:14">
      <c r="A451" s="11"/>
      <c r="B451" s="31"/>
      <c r="C451" s="2"/>
      <c r="D451" s="2"/>
      <c r="E451" s="2"/>
      <c r="F451" s="2"/>
      <c r="G451" s="2"/>
      <c r="H451" s="2"/>
      <c r="I451" s="2"/>
      <c r="J451" s="2"/>
      <c r="K451" s="2"/>
      <c r="L451" s="2"/>
      <c r="M451" s="2"/>
      <c r="N451" s="2"/>
    </row>
    <row r="452" spans="1:14">
      <c r="A452" s="11"/>
      <c r="B452" s="31"/>
      <c r="C452" s="2"/>
      <c r="D452" s="2"/>
      <c r="E452" s="2"/>
      <c r="F452" s="2"/>
      <c r="G452" s="2"/>
      <c r="H452" s="2"/>
      <c r="I452" s="2"/>
      <c r="J452" s="2"/>
      <c r="K452" s="2"/>
      <c r="L452" s="2"/>
      <c r="M452" s="2"/>
      <c r="N452" s="2"/>
    </row>
    <row r="453" spans="1:14">
      <c r="A453" s="11"/>
      <c r="B453" s="31"/>
      <c r="C453" s="2"/>
      <c r="D453" s="2"/>
      <c r="E453" s="2"/>
      <c r="F453" s="2"/>
      <c r="G453" s="2"/>
      <c r="H453" s="2"/>
      <c r="I453" s="2"/>
      <c r="J453" s="2"/>
      <c r="K453" s="2"/>
      <c r="L453" s="2"/>
      <c r="M453" s="2"/>
      <c r="N453" s="2"/>
    </row>
    <row r="454" spans="1:14">
      <c r="A454" s="11"/>
      <c r="B454" s="31"/>
      <c r="C454" s="2"/>
      <c r="D454" s="2"/>
      <c r="E454" s="2"/>
      <c r="F454" s="2"/>
      <c r="G454" s="2"/>
      <c r="H454" s="2"/>
      <c r="I454" s="2"/>
      <c r="J454" s="2"/>
      <c r="K454" s="2"/>
      <c r="L454" s="2"/>
      <c r="M454" s="2"/>
      <c r="N454" s="2"/>
    </row>
    <row r="455" spans="1:14">
      <c r="A455" s="11"/>
      <c r="B455" s="31"/>
      <c r="C455" s="2"/>
      <c r="D455" s="2"/>
      <c r="E455" s="2"/>
      <c r="F455" s="2"/>
      <c r="G455" s="2"/>
      <c r="H455" s="2"/>
      <c r="I455" s="2"/>
      <c r="J455" s="2"/>
      <c r="K455" s="2"/>
      <c r="L455" s="2"/>
      <c r="M455" s="2"/>
      <c r="N455" s="2"/>
    </row>
    <row r="456" spans="1:14">
      <c r="A456" s="11"/>
      <c r="B456" s="31"/>
      <c r="C456" s="2"/>
      <c r="D456" s="2"/>
      <c r="E456" s="2"/>
      <c r="F456" s="2"/>
      <c r="G456" s="2"/>
      <c r="H456" s="2"/>
      <c r="I456" s="2"/>
      <c r="J456" s="2"/>
      <c r="K456" s="2"/>
      <c r="L456" s="2"/>
      <c r="M456" s="2"/>
      <c r="N456" s="2"/>
    </row>
    <row r="457" spans="1:14">
      <c r="A457" s="11"/>
      <c r="B457" s="31"/>
      <c r="C457" s="2"/>
      <c r="D457" s="2"/>
      <c r="E457" s="2"/>
      <c r="F457" s="2"/>
      <c r="G457" s="2"/>
      <c r="H457" s="2"/>
      <c r="I457" s="2"/>
      <c r="J457" s="2"/>
      <c r="K457" s="2"/>
      <c r="L457" s="2"/>
      <c r="M457" s="2"/>
      <c r="N457" s="2"/>
    </row>
    <row r="458" spans="1:14">
      <c r="A458" s="11"/>
      <c r="B458" s="31"/>
      <c r="C458" s="2"/>
      <c r="D458" s="2"/>
      <c r="E458" s="2"/>
      <c r="F458" s="2"/>
      <c r="G458" s="2"/>
      <c r="H458" s="2"/>
      <c r="I458" s="2"/>
      <c r="J458" s="2"/>
      <c r="K458" s="2"/>
      <c r="L458" s="2"/>
      <c r="M458" s="2"/>
      <c r="N458" s="2"/>
    </row>
    <row r="459" spans="1:14">
      <c r="A459" s="11"/>
      <c r="B459" s="31"/>
      <c r="C459" s="2"/>
      <c r="D459" s="2"/>
      <c r="E459" s="2"/>
      <c r="F459" s="2"/>
      <c r="G459" s="2"/>
      <c r="H459" s="2"/>
      <c r="I459" s="2"/>
      <c r="J459" s="2"/>
      <c r="K459" s="2"/>
      <c r="L459" s="2"/>
      <c r="M459" s="2"/>
      <c r="N459" s="2"/>
    </row>
    <row r="460" spans="1:14">
      <c r="A460" s="11"/>
      <c r="B460" s="31"/>
      <c r="C460" s="2"/>
      <c r="D460" s="2"/>
      <c r="E460" s="2"/>
      <c r="F460" s="2"/>
      <c r="G460" s="2"/>
      <c r="H460" s="2"/>
      <c r="I460" s="2"/>
      <c r="J460" s="2"/>
      <c r="K460" s="2"/>
      <c r="L460" s="2"/>
      <c r="M460" s="2"/>
      <c r="N460" s="2"/>
    </row>
    <row r="461" spans="1:14">
      <c r="A461" s="11"/>
      <c r="B461" s="31"/>
      <c r="C461" s="2"/>
      <c r="D461" s="2"/>
      <c r="E461" s="2"/>
      <c r="F461" s="2"/>
      <c r="G461" s="2"/>
      <c r="H461" s="2"/>
      <c r="I461" s="2"/>
      <c r="J461" s="2"/>
      <c r="K461" s="2"/>
      <c r="L461" s="2"/>
      <c r="M461" s="2"/>
      <c r="N461" s="2"/>
    </row>
    <row r="462" spans="1:14">
      <c r="A462" s="11"/>
      <c r="B462" s="31"/>
      <c r="C462" s="2"/>
      <c r="D462" s="2"/>
      <c r="E462" s="2"/>
      <c r="F462" s="2"/>
      <c r="G462" s="2"/>
      <c r="H462" s="2"/>
      <c r="I462" s="2"/>
      <c r="J462" s="2"/>
      <c r="K462" s="2"/>
      <c r="L462" s="2"/>
      <c r="M462" s="2"/>
      <c r="N462" s="2"/>
    </row>
    <row r="463" spans="1:14">
      <c r="A463" s="11"/>
      <c r="B463" s="31"/>
      <c r="C463" s="2"/>
      <c r="D463" s="2"/>
      <c r="E463" s="2"/>
      <c r="F463" s="2"/>
      <c r="G463" s="2"/>
      <c r="H463" s="2"/>
      <c r="I463" s="2"/>
      <c r="J463" s="2"/>
      <c r="K463" s="2"/>
      <c r="L463" s="2"/>
      <c r="M463" s="2"/>
      <c r="N463" s="2"/>
    </row>
    <row r="464" spans="1:14">
      <c r="A464" s="11"/>
      <c r="B464" s="31"/>
      <c r="C464" s="2"/>
      <c r="D464" s="2"/>
      <c r="E464" s="2"/>
      <c r="F464" s="2"/>
      <c r="G464" s="2"/>
      <c r="H464" s="2"/>
      <c r="I464" s="2"/>
      <c r="J464" s="2"/>
      <c r="K464" s="2"/>
      <c r="L464" s="2"/>
      <c r="M464" s="2"/>
      <c r="N464" s="2"/>
    </row>
    <row r="465" spans="1:14">
      <c r="A465" s="11"/>
      <c r="B465" s="31"/>
      <c r="C465" s="2"/>
      <c r="D465" s="2"/>
      <c r="E465" s="2"/>
      <c r="F465" s="2"/>
      <c r="G465" s="2"/>
      <c r="H465" s="2"/>
      <c r="I465" s="2"/>
      <c r="J465" s="2"/>
      <c r="K465" s="2"/>
      <c r="L465" s="2"/>
      <c r="M465" s="2"/>
      <c r="N465" s="2"/>
    </row>
    <row r="466" spans="1:14">
      <c r="A466" s="11"/>
      <c r="B466" s="31"/>
      <c r="C466" s="2"/>
      <c r="D466" s="2"/>
      <c r="E466" s="2"/>
      <c r="F466" s="2"/>
      <c r="G466" s="2"/>
      <c r="H466" s="2"/>
      <c r="I466" s="2"/>
      <c r="J466" s="2"/>
      <c r="K466" s="2"/>
      <c r="L466" s="2"/>
      <c r="M466" s="2"/>
      <c r="N466" s="2"/>
    </row>
    <row r="467" spans="1:14">
      <c r="A467" s="11"/>
      <c r="B467" s="31"/>
      <c r="C467" s="2"/>
      <c r="D467" s="2"/>
      <c r="E467" s="2"/>
      <c r="F467" s="2"/>
      <c r="G467" s="2"/>
      <c r="H467" s="2"/>
      <c r="I467" s="2"/>
      <c r="J467" s="2"/>
      <c r="K467" s="2"/>
      <c r="L467" s="2"/>
      <c r="M467" s="2"/>
      <c r="N467" s="2"/>
    </row>
    <row r="468" spans="1:14">
      <c r="A468" s="11"/>
      <c r="B468" s="31"/>
      <c r="C468" s="2"/>
      <c r="D468" s="2"/>
      <c r="E468" s="2"/>
      <c r="F468" s="2"/>
      <c r="G468" s="2"/>
      <c r="H468" s="2"/>
      <c r="I468" s="2"/>
      <c r="J468" s="2"/>
      <c r="K468" s="2"/>
      <c r="L468" s="2"/>
      <c r="M468" s="2"/>
      <c r="N468" s="2"/>
    </row>
    <row r="469" spans="1:14">
      <c r="A469" s="11"/>
      <c r="B469" s="31"/>
      <c r="C469" s="2"/>
      <c r="D469" s="2"/>
      <c r="E469" s="2"/>
      <c r="F469" s="2"/>
      <c r="G469" s="2"/>
      <c r="H469" s="2"/>
      <c r="I469" s="2"/>
      <c r="J469" s="2"/>
      <c r="K469" s="2"/>
      <c r="L469" s="2"/>
      <c r="M469" s="2"/>
      <c r="N469" s="2"/>
    </row>
    <row r="470" spans="1:14">
      <c r="A470" s="11"/>
      <c r="B470" s="31"/>
      <c r="C470" s="2"/>
      <c r="D470" s="2"/>
      <c r="E470" s="2"/>
      <c r="F470" s="2"/>
      <c r="G470" s="2"/>
      <c r="H470" s="2"/>
      <c r="I470" s="2"/>
      <c r="J470" s="2"/>
      <c r="K470" s="2"/>
      <c r="L470" s="2"/>
      <c r="M470" s="2"/>
      <c r="N470" s="2"/>
    </row>
    <row r="471" spans="1:14">
      <c r="A471" s="11"/>
      <c r="B471" s="31"/>
      <c r="C471" s="2"/>
      <c r="D471" s="2"/>
      <c r="E471" s="2"/>
      <c r="F471" s="2"/>
      <c r="G471" s="2"/>
      <c r="H471" s="2"/>
      <c r="I471" s="2"/>
      <c r="J471" s="2"/>
      <c r="K471" s="2"/>
      <c r="L471" s="2"/>
      <c r="M471" s="2"/>
      <c r="N471" s="2"/>
    </row>
    <row r="472" spans="1:14">
      <c r="A472" s="11"/>
      <c r="B472" s="31"/>
      <c r="C472" s="2"/>
      <c r="D472" s="2"/>
      <c r="E472" s="2"/>
      <c r="F472" s="2"/>
      <c r="G472" s="2"/>
      <c r="H472" s="2"/>
      <c r="I472" s="2"/>
      <c r="J472" s="2"/>
      <c r="K472" s="2"/>
      <c r="L472" s="2"/>
      <c r="M472" s="2"/>
      <c r="N472" s="2"/>
    </row>
    <row r="473" spans="1:14">
      <c r="A473" s="11"/>
      <c r="B473" s="31"/>
      <c r="C473" s="2"/>
      <c r="D473" s="2"/>
      <c r="E473" s="2"/>
      <c r="F473" s="2"/>
      <c r="G473" s="2"/>
      <c r="H473" s="2"/>
      <c r="I473" s="2"/>
      <c r="J473" s="2"/>
      <c r="K473" s="2"/>
      <c r="L473" s="2"/>
      <c r="M473" s="2"/>
      <c r="N473" s="2"/>
    </row>
    <row r="474" spans="1:14">
      <c r="A474" s="11"/>
      <c r="B474" s="31"/>
      <c r="C474" s="2"/>
      <c r="D474" s="2"/>
      <c r="E474" s="2"/>
      <c r="F474" s="2"/>
      <c r="G474" s="2"/>
      <c r="H474" s="2"/>
      <c r="I474" s="2"/>
      <c r="J474" s="2"/>
      <c r="K474" s="2"/>
      <c r="L474" s="2"/>
      <c r="M474" s="2"/>
      <c r="N474" s="2"/>
    </row>
    <row r="475" spans="1:14">
      <c r="A475" s="11"/>
      <c r="B475" s="31"/>
      <c r="C475" s="2"/>
      <c r="D475" s="2"/>
      <c r="E475" s="2"/>
      <c r="F475" s="2"/>
      <c r="G475" s="2"/>
      <c r="H475" s="2"/>
      <c r="I475" s="2"/>
      <c r="J475" s="2"/>
      <c r="K475" s="2"/>
      <c r="L475" s="2"/>
      <c r="M475" s="2"/>
      <c r="N475" s="2"/>
    </row>
    <row r="476" spans="1:14">
      <c r="A476" s="11"/>
      <c r="B476" s="31"/>
      <c r="C476" s="2"/>
      <c r="D476" s="2"/>
      <c r="E476" s="2"/>
      <c r="F476" s="2"/>
      <c r="G476" s="2"/>
      <c r="H476" s="2"/>
      <c r="I476" s="2"/>
      <c r="J476" s="2"/>
      <c r="K476" s="2"/>
      <c r="L476" s="2"/>
      <c r="M476" s="2"/>
      <c r="N476" s="2"/>
    </row>
    <row r="477" spans="1:14">
      <c r="A477" s="11"/>
      <c r="B477" s="31"/>
      <c r="C477" s="2"/>
      <c r="D477" s="2"/>
      <c r="E477" s="2"/>
      <c r="F477" s="2"/>
      <c r="G477" s="2"/>
      <c r="H477" s="2"/>
      <c r="I477" s="2"/>
      <c r="J477" s="2"/>
      <c r="K477" s="2"/>
      <c r="L477" s="2"/>
      <c r="M477" s="2"/>
      <c r="N477" s="2"/>
    </row>
    <row r="478" spans="1:14">
      <c r="A478" s="11"/>
      <c r="B478" s="31"/>
      <c r="C478" s="2"/>
      <c r="D478" s="2"/>
      <c r="E478" s="2"/>
      <c r="F478" s="2"/>
      <c r="G478" s="2"/>
      <c r="H478" s="2"/>
      <c r="I478" s="2"/>
      <c r="J478" s="2"/>
      <c r="K478" s="2"/>
      <c r="L478" s="2"/>
      <c r="M478" s="2"/>
      <c r="N478" s="2"/>
    </row>
    <row r="479" spans="1:14">
      <c r="A479" s="11"/>
      <c r="B479" s="31"/>
      <c r="C479" s="2"/>
      <c r="D479" s="2"/>
      <c r="E479" s="2"/>
      <c r="F479" s="2"/>
      <c r="G479" s="2"/>
      <c r="H479" s="2"/>
      <c r="I479" s="2"/>
      <c r="J479" s="2"/>
      <c r="K479" s="2"/>
      <c r="L479" s="2"/>
      <c r="M479" s="2"/>
      <c r="N479" s="2"/>
    </row>
    <row r="480" spans="1:14">
      <c r="A480" s="11"/>
      <c r="B480" s="31"/>
      <c r="C480" s="2"/>
      <c r="D480" s="2"/>
      <c r="E480" s="2"/>
      <c r="F480" s="2"/>
      <c r="G480" s="2"/>
      <c r="H480" s="2"/>
      <c r="I480" s="2"/>
      <c r="J480" s="2"/>
      <c r="K480" s="2"/>
      <c r="L480" s="2"/>
      <c r="M480" s="2"/>
      <c r="N480" s="2"/>
    </row>
    <row r="481" spans="1:14">
      <c r="A481" s="11"/>
      <c r="B481" s="31"/>
      <c r="C481" s="2"/>
      <c r="D481" s="2"/>
      <c r="E481" s="2"/>
      <c r="F481" s="2"/>
      <c r="G481" s="2"/>
      <c r="H481" s="2"/>
      <c r="I481" s="2"/>
      <c r="J481" s="2"/>
      <c r="K481" s="2"/>
      <c r="L481" s="2"/>
      <c r="M481" s="2"/>
      <c r="N481" s="2"/>
    </row>
    <row r="482" spans="1:14">
      <c r="A482" s="11"/>
      <c r="B482" s="31"/>
      <c r="C482" s="2"/>
      <c r="D482" s="2"/>
      <c r="E482" s="2"/>
      <c r="F482" s="2"/>
      <c r="G482" s="2"/>
      <c r="H482" s="2"/>
      <c r="I482" s="2"/>
      <c r="J482" s="2"/>
      <c r="K482" s="2"/>
      <c r="L482" s="2"/>
      <c r="M482" s="2"/>
      <c r="N482" s="2"/>
    </row>
    <row r="483" spans="1:14">
      <c r="A483" s="11"/>
      <c r="B483" s="31"/>
      <c r="C483" s="2"/>
      <c r="D483" s="2"/>
      <c r="E483" s="2"/>
      <c r="F483" s="2"/>
      <c r="G483" s="2"/>
      <c r="H483" s="2"/>
      <c r="I483" s="2"/>
      <c r="J483" s="2"/>
      <c r="K483" s="2"/>
      <c r="L483" s="2"/>
      <c r="M483" s="2"/>
      <c r="N483" s="2"/>
    </row>
    <row r="484" spans="1:14">
      <c r="A484" s="11"/>
      <c r="B484" s="31"/>
      <c r="C484" s="2"/>
      <c r="D484" s="2"/>
      <c r="E484" s="2"/>
      <c r="F484" s="2"/>
      <c r="G484" s="2"/>
      <c r="H484" s="2"/>
      <c r="I484" s="2"/>
      <c r="J484" s="2"/>
      <c r="K484" s="2"/>
      <c r="L484" s="2"/>
      <c r="M484" s="2"/>
      <c r="N484" s="2"/>
    </row>
    <row r="485" spans="1:14">
      <c r="A485" s="11"/>
      <c r="B485" s="31"/>
      <c r="C485" s="2"/>
      <c r="D485" s="2"/>
      <c r="E485" s="2"/>
      <c r="F485" s="2"/>
      <c r="G485" s="2"/>
      <c r="H485" s="2"/>
      <c r="I485" s="2"/>
      <c r="J485" s="2"/>
      <c r="K485" s="2"/>
      <c r="L485" s="2"/>
      <c r="M485" s="2"/>
      <c r="N485" s="2"/>
    </row>
    <row r="486" spans="1:14">
      <c r="A486" s="11"/>
      <c r="B486" s="31"/>
      <c r="C486" s="2"/>
      <c r="D486" s="2"/>
      <c r="E486" s="2"/>
      <c r="F486" s="2"/>
      <c r="G486" s="2"/>
      <c r="H486" s="2"/>
      <c r="I486" s="2"/>
      <c r="J486" s="2"/>
      <c r="K486" s="2"/>
      <c r="L486" s="2"/>
      <c r="M486" s="2"/>
      <c r="N486" s="2"/>
    </row>
    <row r="487" spans="1:14">
      <c r="A487" s="11"/>
      <c r="B487" s="31"/>
      <c r="C487" s="2"/>
      <c r="D487" s="2"/>
      <c r="E487" s="2"/>
      <c r="F487" s="2"/>
      <c r="G487" s="2"/>
      <c r="H487" s="2"/>
      <c r="I487" s="2"/>
      <c r="J487" s="2"/>
      <c r="K487" s="2"/>
      <c r="L487" s="2"/>
      <c r="M487" s="2"/>
      <c r="N487" s="2"/>
    </row>
    <row r="488" spans="1:14">
      <c r="A488" s="11"/>
      <c r="B488" s="31"/>
      <c r="C488" s="2"/>
      <c r="D488" s="2"/>
      <c r="E488" s="2"/>
      <c r="F488" s="2"/>
      <c r="G488" s="2"/>
      <c r="H488" s="2"/>
      <c r="I488" s="2"/>
      <c r="J488" s="2"/>
      <c r="K488" s="2"/>
      <c r="L488" s="2"/>
      <c r="M488" s="2"/>
      <c r="N488" s="2"/>
    </row>
    <row r="489" spans="1:14">
      <c r="A489" s="11"/>
      <c r="B489" s="31"/>
      <c r="C489" s="2"/>
      <c r="D489" s="2"/>
      <c r="E489" s="2"/>
      <c r="F489" s="2"/>
      <c r="G489" s="2"/>
      <c r="H489" s="2"/>
      <c r="I489" s="2"/>
      <c r="J489" s="2"/>
      <c r="K489" s="2"/>
      <c r="L489" s="2"/>
      <c r="M489" s="2"/>
      <c r="N489" s="2"/>
    </row>
    <row r="490" spans="1:14">
      <c r="A490" s="11"/>
      <c r="B490" s="31"/>
      <c r="C490" s="2"/>
      <c r="D490" s="2"/>
      <c r="E490" s="2"/>
      <c r="F490" s="2"/>
      <c r="G490" s="2"/>
      <c r="H490" s="2"/>
      <c r="I490" s="2"/>
      <c r="J490" s="2"/>
      <c r="K490" s="2"/>
      <c r="L490" s="2"/>
      <c r="M490" s="2"/>
      <c r="N490" s="2"/>
    </row>
    <row r="491" spans="1:14">
      <c r="A491" s="11"/>
      <c r="B491" s="31"/>
      <c r="C491" s="2"/>
      <c r="D491" s="2"/>
      <c r="E491" s="2"/>
      <c r="F491" s="2"/>
      <c r="G491" s="2"/>
      <c r="H491" s="2"/>
      <c r="I491" s="2"/>
      <c r="J491" s="2"/>
      <c r="K491" s="2"/>
      <c r="L491" s="2"/>
      <c r="M491" s="2"/>
      <c r="N491" s="2"/>
    </row>
    <row r="492" spans="1:14">
      <c r="A492" s="11"/>
      <c r="B492" s="31"/>
      <c r="C492" s="2"/>
      <c r="D492" s="2"/>
      <c r="E492" s="2"/>
      <c r="F492" s="2"/>
      <c r="G492" s="2"/>
      <c r="H492" s="2"/>
      <c r="I492" s="2"/>
      <c r="J492" s="2"/>
      <c r="K492" s="2"/>
      <c r="L492" s="2"/>
      <c r="M492" s="2"/>
      <c r="N492" s="2"/>
    </row>
    <row r="493" spans="1:14">
      <c r="A493" s="11"/>
      <c r="B493" s="31"/>
      <c r="C493" s="2"/>
      <c r="D493" s="2"/>
      <c r="E493" s="2"/>
      <c r="F493" s="2"/>
      <c r="G493" s="2"/>
      <c r="H493" s="2"/>
      <c r="I493" s="2"/>
      <c r="J493" s="2"/>
      <c r="K493" s="2"/>
      <c r="L493" s="2"/>
      <c r="M493" s="2"/>
      <c r="N493" s="2"/>
    </row>
    <row r="494" spans="1:14">
      <c r="A494" s="11"/>
      <c r="B494" s="31"/>
      <c r="C494" s="2"/>
      <c r="D494" s="2"/>
      <c r="E494" s="2"/>
      <c r="F494" s="2"/>
      <c r="G494" s="2"/>
      <c r="H494" s="2"/>
      <c r="I494" s="2"/>
      <c r="J494" s="2"/>
      <c r="K494" s="2"/>
      <c r="L494" s="2"/>
      <c r="M494" s="2"/>
      <c r="N494" s="2"/>
    </row>
    <row r="495" spans="1:14">
      <c r="A495" s="11"/>
      <c r="B495" s="31"/>
      <c r="C495" s="2"/>
      <c r="D495" s="2"/>
      <c r="E495" s="2"/>
      <c r="F495" s="2"/>
      <c r="G495" s="2"/>
      <c r="H495" s="2"/>
      <c r="I495" s="2"/>
      <c r="J495" s="2"/>
      <c r="K495" s="2"/>
      <c r="L495" s="2"/>
      <c r="M495" s="2"/>
      <c r="N495" s="2"/>
    </row>
    <row r="496" spans="1:14">
      <c r="A496" s="11"/>
      <c r="B496" s="31"/>
      <c r="C496" s="2"/>
      <c r="D496" s="2"/>
      <c r="E496" s="2"/>
      <c r="F496" s="2"/>
      <c r="G496" s="2"/>
      <c r="H496" s="2"/>
      <c r="I496" s="2"/>
      <c r="J496" s="2"/>
      <c r="K496" s="2"/>
      <c r="L496" s="2"/>
      <c r="M496" s="2"/>
      <c r="N496" s="2"/>
    </row>
    <row r="497" spans="1:14">
      <c r="A497" s="11"/>
      <c r="B497" s="31"/>
      <c r="C497" s="2"/>
      <c r="D497" s="2"/>
      <c r="E497" s="2"/>
      <c r="F497" s="2"/>
      <c r="G497" s="2"/>
      <c r="H497" s="2"/>
      <c r="I497" s="2"/>
      <c r="J497" s="2"/>
      <c r="K497" s="2"/>
      <c r="L497" s="2"/>
      <c r="M497" s="2"/>
      <c r="N497" s="2"/>
    </row>
    <row r="498" spans="1:14">
      <c r="A498" s="11"/>
      <c r="B498" s="31"/>
      <c r="C498" s="2"/>
      <c r="D498" s="2"/>
      <c r="E498" s="2"/>
      <c r="F498" s="2"/>
      <c r="G498" s="2"/>
      <c r="H498" s="2"/>
      <c r="I498" s="2"/>
      <c r="J498" s="2"/>
      <c r="K498" s="2"/>
      <c r="L498" s="2"/>
      <c r="M498" s="2"/>
      <c r="N498" s="2"/>
    </row>
    <row r="499" spans="1:14">
      <c r="A499" s="11"/>
      <c r="B499" s="31"/>
      <c r="C499" s="2"/>
      <c r="D499" s="2"/>
      <c r="E499" s="2"/>
      <c r="F499" s="2"/>
      <c r="G499" s="2"/>
      <c r="H499" s="2"/>
      <c r="I499" s="2"/>
      <c r="J499" s="2"/>
      <c r="K499" s="2"/>
      <c r="L499" s="2"/>
      <c r="M499" s="2"/>
      <c r="N499" s="2"/>
    </row>
    <row r="500" spans="1:14">
      <c r="A500" s="11"/>
      <c r="B500" s="31"/>
      <c r="C500" s="2"/>
      <c r="D500" s="2"/>
      <c r="E500" s="2"/>
      <c r="F500" s="2"/>
      <c r="G500" s="2"/>
      <c r="H500" s="2"/>
      <c r="I500" s="2"/>
      <c r="J500" s="2"/>
      <c r="K500" s="2"/>
      <c r="L500" s="2"/>
      <c r="M500" s="2"/>
      <c r="N500" s="2"/>
    </row>
    <row r="501" spans="1:14">
      <c r="A501" s="11"/>
      <c r="B501" s="31"/>
      <c r="C501" s="2"/>
      <c r="D501" s="2"/>
      <c r="E501" s="2"/>
      <c r="F501" s="2"/>
      <c r="G501" s="2"/>
      <c r="H501" s="2"/>
      <c r="I501" s="2"/>
      <c r="J501" s="2"/>
      <c r="K501" s="2"/>
      <c r="L501" s="2"/>
      <c r="M501" s="2"/>
      <c r="N501" s="2"/>
    </row>
    <row r="502" spans="1:14">
      <c r="A502" s="11"/>
      <c r="B502" s="31"/>
      <c r="C502" s="2"/>
      <c r="D502" s="2"/>
      <c r="E502" s="2"/>
      <c r="F502" s="2"/>
      <c r="G502" s="2"/>
      <c r="H502" s="2"/>
      <c r="I502" s="2"/>
      <c r="J502" s="2"/>
      <c r="K502" s="2"/>
      <c r="L502" s="2"/>
      <c r="M502" s="2"/>
      <c r="N502" s="2"/>
    </row>
    <row r="503" spans="1:14">
      <c r="A503" s="11"/>
      <c r="B503" s="31"/>
      <c r="C503" s="2"/>
      <c r="D503" s="2"/>
      <c r="E503" s="2"/>
      <c r="F503" s="2"/>
      <c r="G503" s="2"/>
      <c r="H503" s="2"/>
      <c r="I503" s="2"/>
      <c r="J503" s="2"/>
      <c r="K503" s="2"/>
      <c r="L503" s="2"/>
      <c r="M503" s="2"/>
      <c r="N503" s="2"/>
    </row>
    <row r="504" spans="1:14">
      <c r="A504" s="11"/>
      <c r="B504" s="31"/>
      <c r="C504" s="2"/>
      <c r="D504" s="2"/>
      <c r="G504" s="2"/>
      <c r="H504" s="2"/>
      <c r="K504" s="2"/>
      <c r="L504" s="2"/>
      <c r="M504" s="2"/>
      <c r="N504" s="2"/>
    </row>
    <row r="505" spans="1:14">
      <c r="C505" s="2"/>
      <c r="D505" s="2"/>
      <c r="G505" s="2"/>
      <c r="H505" s="2"/>
      <c r="K505" s="2"/>
      <c r="L505" s="2"/>
      <c r="M505" s="2"/>
      <c r="N505"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T500"/>
  <sheetViews>
    <sheetView zoomScale="80" zoomScaleNormal="80" workbookViewId="0">
      <selection activeCell="A6" sqref="A6:G16"/>
    </sheetView>
  </sheetViews>
  <sheetFormatPr defaultRowHeight="15"/>
  <cols>
    <col min="1" max="2" width="15.85546875" style="129" customWidth="1"/>
    <col min="3" max="3" width="10.7109375" style="130" customWidth="1"/>
    <col min="4" max="4" width="6.85546875" style="130" customWidth="1"/>
    <col min="5" max="5" width="13.85546875" style="131" customWidth="1"/>
    <col min="6" max="6" width="15" style="131" customWidth="1"/>
    <col min="7" max="7" width="11.28515625" style="132" bestFit="1" customWidth="1"/>
    <col min="8" max="8" width="9.85546875" style="133" customWidth="1"/>
    <col min="9" max="9" width="13.7109375" style="133" customWidth="1"/>
    <col min="10" max="10" width="7" style="135" bestFit="1" customWidth="1"/>
    <col min="11" max="11" width="8.5703125" style="135" customWidth="1"/>
    <col min="12" max="18" width="9.140625" style="135"/>
    <col min="19" max="19" width="8.7109375" style="135" customWidth="1"/>
    <col min="20" max="20" width="11.7109375" style="136" hidden="1" customWidth="1"/>
    <col min="21" max="16384" width="9.140625" style="135"/>
  </cols>
  <sheetData>
    <row r="1" spans="1:20" s="45" customFormat="1" ht="27.6" customHeight="1" thickBot="1">
      <c r="A1" s="42"/>
      <c r="B1" s="42"/>
      <c r="C1" s="42"/>
      <c r="D1" s="42"/>
      <c r="E1" s="42"/>
      <c r="F1" s="347" t="s">
        <v>184</v>
      </c>
      <c r="G1" s="348"/>
      <c r="H1" s="348"/>
      <c r="I1" s="43"/>
      <c r="J1" s="44"/>
      <c r="T1" s="46"/>
    </row>
    <row r="2" spans="1:20" s="53" customFormat="1" ht="18" customHeight="1" thickBot="1">
      <c r="A2" s="47"/>
      <c r="B2" s="47"/>
      <c r="C2" s="48"/>
      <c r="D2" s="48"/>
      <c r="E2" s="49"/>
      <c r="F2" s="256"/>
      <c r="G2" s="50"/>
      <c r="H2" s="51"/>
      <c r="I2" s="51"/>
      <c r="T2" s="54"/>
    </row>
    <row r="3" spans="1:20" s="53" customFormat="1" ht="98.25" customHeight="1" thickBot="1">
      <c r="A3" s="257"/>
      <c r="B3" s="257"/>
      <c r="C3" s="258"/>
      <c r="D3" s="258"/>
      <c r="E3" s="259"/>
      <c r="F3" s="404" t="s">
        <v>193</v>
      </c>
      <c r="G3" s="405"/>
      <c r="H3" s="405"/>
      <c r="I3" s="406"/>
      <c r="T3" s="54"/>
    </row>
    <row r="4" spans="1:20" s="53" customFormat="1" ht="20.25" customHeight="1" thickBot="1">
      <c r="A4" s="207" t="s">
        <v>15</v>
      </c>
      <c r="B4" s="207" t="s">
        <v>15</v>
      </c>
      <c r="C4" s="207" t="s">
        <v>15</v>
      </c>
      <c r="D4" s="208"/>
      <c r="E4" s="208" t="s">
        <v>15</v>
      </c>
      <c r="F4" s="208" t="s">
        <v>15</v>
      </c>
      <c r="G4" s="208" t="s">
        <v>15</v>
      </c>
      <c r="H4" s="208" t="s">
        <v>15</v>
      </c>
      <c r="I4" s="209"/>
      <c r="M4" s="210"/>
    </row>
    <row r="5" spans="1:20" s="99" customFormat="1" ht="30.75" thickBot="1">
      <c r="A5" s="211" t="s">
        <v>113</v>
      </c>
      <c r="B5" s="212" t="s">
        <v>13</v>
      </c>
      <c r="C5" s="213" t="s">
        <v>12</v>
      </c>
      <c r="D5" s="213" t="s">
        <v>11</v>
      </c>
      <c r="E5" s="214" t="s">
        <v>10</v>
      </c>
      <c r="F5" s="214" t="s">
        <v>9</v>
      </c>
      <c r="G5" s="215" t="s">
        <v>8</v>
      </c>
      <c r="H5" s="216" t="s">
        <v>6</v>
      </c>
      <c r="I5" s="217" t="s">
        <v>5</v>
      </c>
      <c r="T5" s="218" t="s">
        <v>111</v>
      </c>
    </row>
    <row r="6" spans="1:20" s="108" customFormat="1" ht="15.75">
      <c r="A6" s="178">
        <v>45950</v>
      </c>
      <c r="B6" s="178">
        <v>40959</v>
      </c>
      <c r="C6" s="179">
        <v>3</v>
      </c>
      <c r="D6" s="179"/>
      <c r="E6" s="180" t="s">
        <v>206</v>
      </c>
      <c r="F6" s="180" t="s">
        <v>207</v>
      </c>
      <c r="G6" s="181" t="s">
        <v>195</v>
      </c>
      <c r="H6" s="219"/>
      <c r="I6" s="200">
        <f>IF(E6="","",IF(AND(T6&lt;=66),VLOOKUP(H6,'WritingVocab Look Up'!$A$13:$B$21,2,TRUE),IF(AND(T6&gt;=67,T6&lt;=72),VLOOKUP(H6,'WritingVocab Look Up'!$E$13:$F$21,2,TRUE),IF(AND(T6&gt;=73,T6&lt;=78),VLOOKUP(H6,'WritingVocab Look Up'!$I$13:$J$21,2,TRUE),IF(AND(T6&gt;=79),VLOOKUP(H6,'WritingVocab Look Up'!$M$13:$N$21,2,TRUE),"")))))</f>
        <v>1</v>
      </c>
      <c r="R6" s="185"/>
      <c r="S6" s="185"/>
      <c r="T6" s="222">
        <f t="shared" ref="T6:T69" si="0">IF(E6="","",DATEDIF(B6,A6,"m"))</f>
        <v>164</v>
      </c>
    </row>
    <row r="7" spans="1:20" s="108" customFormat="1" ht="15.75">
      <c r="A7" s="178">
        <v>45950</v>
      </c>
      <c r="B7" s="178">
        <v>40960</v>
      </c>
      <c r="C7" s="186">
        <v>3</v>
      </c>
      <c r="D7" s="179"/>
      <c r="E7" s="187" t="s">
        <v>208</v>
      </c>
      <c r="F7" s="187" t="s">
        <v>209</v>
      </c>
      <c r="G7" s="188" t="s">
        <v>196</v>
      </c>
      <c r="H7" s="219"/>
      <c r="I7" s="200">
        <f>IF(E7="","",IF(AND(T7&lt;=66),VLOOKUP(H7,'WritingVocab Look Up'!$A$13:$B$21,2,TRUE),IF(AND(T7&gt;=67,T7&lt;=72),VLOOKUP(H7,'WritingVocab Look Up'!$E$13:$F$21,2,TRUE),IF(AND(T7&gt;=73,T7&lt;=78),VLOOKUP(H7,'WritingVocab Look Up'!$I$13:$J$21,2,TRUE),IF(AND(T7&gt;=79),VLOOKUP(H7,'WritingVocab Look Up'!$M$13:$N$21,2,TRUE),"")))))</f>
        <v>1</v>
      </c>
      <c r="R7" s="185"/>
      <c r="S7" s="185"/>
      <c r="T7" s="222">
        <f t="shared" si="0"/>
        <v>163</v>
      </c>
    </row>
    <row r="8" spans="1:20" s="108" customFormat="1" ht="15.75">
      <c r="A8" s="178">
        <v>45950</v>
      </c>
      <c r="B8" s="178">
        <v>40961</v>
      </c>
      <c r="C8" s="186">
        <v>3</v>
      </c>
      <c r="D8" s="179"/>
      <c r="E8" s="187" t="s">
        <v>210</v>
      </c>
      <c r="F8" s="187" t="s">
        <v>211</v>
      </c>
      <c r="G8" s="188" t="s">
        <v>197</v>
      </c>
      <c r="H8" s="219"/>
      <c r="I8" s="200">
        <f>IF(E8="","",IF(AND(T8&lt;=66),VLOOKUP(H8,'WritingVocab Look Up'!$A$13:$B$21,2,TRUE),IF(AND(T8&gt;=67,T8&lt;=72),VLOOKUP(H8,'WritingVocab Look Up'!$E$13:$F$21,2,TRUE),IF(AND(T8&gt;=73,T8&lt;=78),VLOOKUP(H8,'WritingVocab Look Up'!$I$13:$J$21,2,TRUE),IF(AND(T8&gt;=79),VLOOKUP(H8,'WritingVocab Look Up'!$M$13:$N$21,2,TRUE),"")))))</f>
        <v>1</v>
      </c>
      <c r="L8" s="99"/>
      <c r="R8" s="185"/>
      <c r="S8" s="185"/>
      <c r="T8" s="222">
        <f t="shared" si="0"/>
        <v>163</v>
      </c>
    </row>
    <row r="9" spans="1:20" s="108" customFormat="1" ht="15.75">
      <c r="A9" s="178">
        <v>45950</v>
      </c>
      <c r="B9" s="178">
        <v>40962</v>
      </c>
      <c r="C9" s="186">
        <v>3</v>
      </c>
      <c r="D9" s="179"/>
      <c r="E9" s="187" t="s">
        <v>212</v>
      </c>
      <c r="F9" s="187" t="s">
        <v>213</v>
      </c>
      <c r="G9" s="188" t="s">
        <v>198</v>
      </c>
      <c r="H9" s="219"/>
      <c r="I9" s="200">
        <f>IF(E9="","",IF(AND(T9&lt;=66),VLOOKUP(H9,'WritingVocab Look Up'!$A$13:$B$21,2,TRUE),IF(AND(T9&gt;=67,T9&lt;=72),VLOOKUP(H9,'WritingVocab Look Up'!$E$13:$F$21,2,TRUE),IF(AND(T9&gt;=73,T9&lt;=78),VLOOKUP(H9,'WritingVocab Look Up'!$I$13:$J$21,2,TRUE),IF(AND(T9&gt;=79),VLOOKUP(H9,'WritingVocab Look Up'!$M$13:$N$21,2,TRUE),"")))))</f>
        <v>1</v>
      </c>
      <c r="R9" s="185"/>
      <c r="S9" s="185"/>
      <c r="T9" s="222">
        <f t="shared" si="0"/>
        <v>163</v>
      </c>
    </row>
    <row r="10" spans="1:20" s="108" customFormat="1" ht="15.75">
      <c r="A10" s="178">
        <v>45950</v>
      </c>
      <c r="B10" s="189">
        <v>40970</v>
      </c>
      <c r="C10" s="186">
        <v>3</v>
      </c>
      <c r="D10" s="179"/>
      <c r="E10" s="187" t="s">
        <v>214</v>
      </c>
      <c r="F10" s="187" t="s">
        <v>215</v>
      </c>
      <c r="G10" s="188" t="s">
        <v>199</v>
      </c>
      <c r="H10" s="219"/>
      <c r="I10" s="200">
        <f>IF(E10="","",IF(AND(T10&lt;=66),VLOOKUP(H10,'WritingVocab Look Up'!$A$13:$B$21,2,TRUE),IF(AND(T10&gt;=67,T10&lt;=72),VLOOKUP(H10,'WritingVocab Look Up'!$E$13:$F$21,2,TRUE),IF(AND(T10&gt;=73,T10&lt;=78),VLOOKUP(H10,'WritingVocab Look Up'!$I$13:$J$21,2,TRUE),IF(AND(T10&gt;=79),VLOOKUP(H10,'WritingVocab Look Up'!$M$13:$N$21,2,TRUE),"")))))</f>
        <v>1</v>
      </c>
      <c r="R10" s="185"/>
      <c r="S10" s="185"/>
      <c r="T10" s="222">
        <f t="shared" si="0"/>
        <v>163</v>
      </c>
    </row>
    <row r="11" spans="1:20" s="108" customFormat="1" ht="15.75">
      <c r="A11" s="178">
        <v>45950</v>
      </c>
      <c r="B11" s="189">
        <v>40963</v>
      </c>
      <c r="C11" s="186">
        <v>3</v>
      </c>
      <c r="D11" s="179"/>
      <c r="E11" s="187" t="s">
        <v>216</v>
      </c>
      <c r="F11" s="187" t="s">
        <v>217</v>
      </c>
      <c r="G11" s="188" t="s">
        <v>200</v>
      </c>
      <c r="H11" s="219"/>
      <c r="I11" s="200">
        <f>IF(E11="","",IF(AND(T11&lt;=66),VLOOKUP(H11,'WritingVocab Look Up'!$A$13:$B$21,2,TRUE),IF(AND(T11&gt;=67,T11&lt;=72),VLOOKUP(H11,'WritingVocab Look Up'!$E$13:$F$21,2,TRUE),IF(AND(T11&gt;=73,T11&lt;=78),VLOOKUP(H11,'WritingVocab Look Up'!$I$13:$J$21,2,TRUE),IF(AND(T11&gt;=79),VLOOKUP(H11,'WritingVocab Look Up'!$M$13:$N$21,2,TRUE),"")))))</f>
        <v>1</v>
      </c>
      <c r="R11" s="185"/>
      <c r="S11" s="185"/>
      <c r="T11" s="222">
        <f t="shared" si="0"/>
        <v>163</v>
      </c>
    </row>
    <row r="12" spans="1:20" s="108" customFormat="1" ht="15.75">
      <c r="A12" s="178">
        <v>45950</v>
      </c>
      <c r="B12" s="189">
        <v>40964</v>
      </c>
      <c r="C12" s="186">
        <v>3</v>
      </c>
      <c r="D12" s="179"/>
      <c r="E12" s="187" t="s">
        <v>218</v>
      </c>
      <c r="F12" s="187" t="s">
        <v>219</v>
      </c>
      <c r="G12" s="188" t="s">
        <v>201</v>
      </c>
      <c r="H12" s="219"/>
      <c r="I12" s="200">
        <f>IF(E12="","",IF(AND(T12&lt;=66),VLOOKUP(H12,'WritingVocab Look Up'!$A$13:$B$21,2,TRUE),IF(AND(T12&gt;=67,T12&lt;=72),VLOOKUP(H12,'WritingVocab Look Up'!$E$13:$F$21,2,TRUE),IF(AND(T12&gt;=73,T12&lt;=78),VLOOKUP(H12,'WritingVocab Look Up'!$I$13:$J$21,2,TRUE),IF(AND(T12&gt;=79),VLOOKUP(H12,'WritingVocab Look Up'!$M$13:$N$21,2,TRUE),"")))))</f>
        <v>1</v>
      </c>
      <c r="R12" s="185"/>
      <c r="S12" s="185"/>
      <c r="T12" s="222">
        <f t="shared" si="0"/>
        <v>163</v>
      </c>
    </row>
    <row r="13" spans="1:20" s="108" customFormat="1" ht="15.75">
      <c r="A13" s="178">
        <v>45950</v>
      </c>
      <c r="B13" s="189">
        <v>40965</v>
      </c>
      <c r="C13" s="186">
        <v>3</v>
      </c>
      <c r="D13" s="186"/>
      <c r="E13" s="187" t="s">
        <v>220</v>
      </c>
      <c r="F13" s="187" t="s">
        <v>221</v>
      </c>
      <c r="G13" s="188" t="s">
        <v>202</v>
      </c>
      <c r="H13" s="219"/>
      <c r="I13" s="200">
        <f>IF(E13="","",IF(AND(T13&lt;=66),VLOOKUP(H13,'WritingVocab Look Up'!$A$13:$B$21,2,TRUE),IF(AND(T13&gt;=67,T13&lt;=72),VLOOKUP(H13,'WritingVocab Look Up'!$E$13:$F$21,2,TRUE),IF(AND(T13&gt;=73,T13&lt;=78),VLOOKUP(H13,'WritingVocab Look Up'!$I$13:$J$21,2,TRUE),IF(AND(T13&gt;=79),VLOOKUP(H13,'WritingVocab Look Up'!$M$13:$N$21,2,TRUE),"")))))</f>
        <v>1</v>
      </c>
      <c r="R13" s="185"/>
      <c r="S13" s="185"/>
      <c r="T13" s="222">
        <f t="shared" si="0"/>
        <v>163</v>
      </c>
    </row>
    <row r="14" spans="1:20" s="108" customFormat="1" ht="15.75">
      <c r="A14" s="178">
        <v>45950</v>
      </c>
      <c r="B14" s="189">
        <v>40966</v>
      </c>
      <c r="C14" s="186">
        <v>3</v>
      </c>
      <c r="D14" s="186"/>
      <c r="E14" s="187" t="s">
        <v>222</v>
      </c>
      <c r="F14" s="187" t="s">
        <v>223</v>
      </c>
      <c r="G14" s="188" t="s">
        <v>203</v>
      </c>
      <c r="H14" s="219"/>
      <c r="I14" s="200">
        <f>IF(E14="","",IF(AND(T14&lt;=66),VLOOKUP(H14,'WritingVocab Look Up'!$A$13:$B$21,2,TRUE),IF(AND(T14&gt;=67,T14&lt;=72),VLOOKUP(H14,'WritingVocab Look Up'!$E$13:$F$21,2,TRUE),IF(AND(T14&gt;=73,T14&lt;=78),VLOOKUP(H14,'WritingVocab Look Up'!$I$13:$J$21,2,TRUE),IF(AND(T14&gt;=79),VLOOKUP(H14,'WritingVocab Look Up'!$M$13:$N$21,2,TRUE),"")))))</f>
        <v>1</v>
      </c>
      <c r="R14" s="185"/>
      <c r="S14" s="185"/>
      <c r="T14" s="222">
        <f t="shared" si="0"/>
        <v>163</v>
      </c>
    </row>
    <row r="15" spans="1:20" s="108" customFormat="1" ht="15.75">
      <c r="A15" s="178">
        <v>45950</v>
      </c>
      <c r="B15" s="189">
        <v>40967</v>
      </c>
      <c r="C15" s="186">
        <v>3</v>
      </c>
      <c r="D15" s="186"/>
      <c r="E15" s="187" t="s">
        <v>224</v>
      </c>
      <c r="F15" s="187" t="s">
        <v>225</v>
      </c>
      <c r="G15" s="188" t="s">
        <v>204</v>
      </c>
      <c r="H15" s="219"/>
      <c r="I15" s="200">
        <f>IF(E15="","",IF(AND(T15&lt;=66),VLOOKUP(H15,'WritingVocab Look Up'!$A$13:$B$21,2,TRUE),IF(AND(T15&gt;=67,T15&lt;=72),VLOOKUP(H15,'WritingVocab Look Up'!$E$13:$F$21,2,TRUE),IF(AND(T15&gt;=73,T15&lt;=78),VLOOKUP(H15,'WritingVocab Look Up'!$I$13:$J$21,2,TRUE),IF(AND(T15&gt;=79),VLOOKUP(H15,'WritingVocab Look Up'!$M$13:$N$21,2,TRUE),"")))))</f>
        <v>1</v>
      </c>
      <c r="R15" s="185"/>
      <c r="S15" s="185"/>
      <c r="T15" s="222">
        <f t="shared" si="0"/>
        <v>163</v>
      </c>
    </row>
    <row r="16" spans="1:20" s="108" customFormat="1" ht="15.75">
      <c r="A16" s="178">
        <v>45950</v>
      </c>
      <c r="B16" s="189">
        <v>40968</v>
      </c>
      <c r="C16" s="186">
        <v>3</v>
      </c>
      <c r="D16" s="186"/>
      <c r="E16" s="187" t="s">
        <v>226</v>
      </c>
      <c r="F16" s="187" t="s">
        <v>227</v>
      </c>
      <c r="G16" s="188" t="s">
        <v>205</v>
      </c>
      <c r="H16" s="219"/>
      <c r="I16" s="200">
        <f>IF(E16="","",IF(AND(T16&lt;=66),VLOOKUP(H16,'WritingVocab Look Up'!$A$13:$B$21,2,TRUE),IF(AND(T16&gt;=67,T16&lt;=72),VLOOKUP(H16,'WritingVocab Look Up'!$E$13:$F$21,2,TRUE),IF(AND(T16&gt;=73,T16&lt;=78),VLOOKUP(H16,'WritingVocab Look Up'!$I$13:$J$21,2,TRUE),IF(AND(T16&gt;=79),VLOOKUP(H16,'WritingVocab Look Up'!$M$13:$N$21,2,TRUE),"")))))</f>
        <v>1</v>
      </c>
      <c r="R16" s="185"/>
      <c r="S16" s="185"/>
      <c r="T16" s="222">
        <f t="shared" si="0"/>
        <v>163</v>
      </c>
    </row>
    <row r="17" spans="1:20" s="108" customFormat="1" ht="15.75">
      <c r="A17" s="178"/>
      <c r="B17" s="189"/>
      <c r="C17" s="186"/>
      <c r="D17" s="186"/>
      <c r="E17" s="187"/>
      <c r="F17" s="187"/>
      <c r="G17" s="188"/>
      <c r="H17" s="219"/>
      <c r="I17" s="200" t="str">
        <f>IF(E17="","",IF(AND(T17&lt;=66),VLOOKUP(H17,'WritingVocab Look Up'!$A$13:$B$21,2,TRUE),IF(AND(T17&gt;=67,T17&lt;=72),VLOOKUP(H17,'WritingVocab Look Up'!$E$13:$F$21,2,TRUE),IF(AND(T17&gt;=73,T17&lt;=78),VLOOKUP(H17,'WritingVocab Look Up'!$I$13:$J$21,2,TRUE),IF(AND(T17&gt;=79),VLOOKUP(H17,'WritingVocab Look Up'!$M$13:$N$21,2,TRUE),"")))))</f>
        <v/>
      </c>
      <c r="R17" s="185"/>
      <c r="S17" s="185"/>
      <c r="T17" s="222" t="str">
        <f t="shared" si="0"/>
        <v/>
      </c>
    </row>
    <row r="18" spans="1:20" s="108" customFormat="1" ht="15.75">
      <c r="A18" s="178"/>
      <c r="B18" s="178"/>
      <c r="C18" s="186"/>
      <c r="D18" s="179"/>
      <c r="E18" s="187"/>
      <c r="F18" s="187"/>
      <c r="G18" s="188"/>
      <c r="H18" s="219"/>
      <c r="I18" s="200" t="str">
        <f>IF(E18="","",IF(AND(T18&lt;=66),VLOOKUP(H18,'WritingVocab Look Up'!$A$13:$B$21,2,TRUE),IF(AND(T18&gt;=67,T18&lt;=72),VLOOKUP(H18,'WritingVocab Look Up'!$E$13:$F$21,2,TRUE),IF(AND(T18&gt;=73,T18&lt;=78),VLOOKUP(H18,'WritingVocab Look Up'!$I$13:$J$21,2,TRUE),IF(AND(T18&gt;=79),VLOOKUP(H18,'WritingVocab Look Up'!$M$13:$N$21,2,TRUE),"")))))</f>
        <v/>
      </c>
      <c r="T18" s="222" t="str">
        <f t="shared" si="0"/>
        <v/>
      </c>
    </row>
    <row r="19" spans="1:20" s="108" customFormat="1" ht="15.75">
      <c r="A19" s="178"/>
      <c r="B19" s="178"/>
      <c r="C19" s="186"/>
      <c r="D19" s="179"/>
      <c r="E19" s="187"/>
      <c r="F19" s="187"/>
      <c r="G19" s="188"/>
      <c r="H19" s="219"/>
      <c r="I19" s="200" t="str">
        <f>IF(E19="","",IF(AND(T19&lt;=66),VLOOKUP(H19,'WritingVocab Look Up'!$A$13:$B$21,2,TRUE),IF(AND(T19&gt;=67,T19&lt;=72),VLOOKUP(H19,'WritingVocab Look Up'!$E$13:$F$21,2,TRUE),IF(AND(T19&gt;=73,T19&lt;=78),VLOOKUP(H19,'WritingVocab Look Up'!$I$13:$J$21,2,TRUE),IF(AND(T19&gt;=79),VLOOKUP(H19,'WritingVocab Look Up'!$M$13:$N$21,2,TRUE),"")))))</f>
        <v/>
      </c>
      <c r="T19" s="222" t="str">
        <f t="shared" si="0"/>
        <v/>
      </c>
    </row>
    <row r="20" spans="1:20" s="108" customFormat="1" ht="15.75">
      <c r="A20" s="178"/>
      <c r="B20" s="178"/>
      <c r="C20" s="186"/>
      <c r="D20" s="179"/>
      <c r="E20" s="187"/>
      <c r="F20" s="187"/>
      <c r="G20" s="188"/>
      <c r="H20" s="219"/>
      <c r="I20" s="200" t="str">
        <f>IF(E20="","",IF(AND(T20&lt;=66),VLOOKUP(H20,'WritingVocab Look Up'!$A$13:$B$21,2,TRUE),IF(AND(T20&gt;=67,T20&lt;=72),VLOOKUP(H20,'WritingVocab Look Up'!$E$13:$F$21,2,TRUE),IF(AND(T20&gt;=73,T20&lt;=78),VLOOKUP(H20,'WritingVocab Look Up'!$I$13:$J$21,2,TRUE),IF(AND(T20&gt;=79),VLOOKUP(H20,'WritingVocab Look Up'!$M$13:$N$21,2,TRUE),"")))))</f>
        <v/>
      </c>
      <c r="T20" s="222" t="str">
        <f t="shared" si="0"/>
        <v/>
      </c>
    </row>
    <row r="21" spans="1:20" s="108" customFormat="1" ht="15.75">
      <c r="A21" s="178"/>
      <c r="B21" s="189"/>
      <c r="C21" s="186"/>
      <c r="D21" s="179"/>
      <c r="E21" s="187"/>
      <c r="F21" s="187"/>
      <c r="G21" s="188"/>
      <c r="H21" s="219"/>
      <c r="I21" s="200" t="str">
        <f>IF(E21="","",IF(AND(T21&lt;=66),VLOOKUP(H21,'WritingVocab Look Up'!$A$13:$B$21,2,TRUE),IF(AND(T21&gt;=67,T21&lt;=72),VLOOKUP(H21,'WritingVocab Look Up'!$E$13:$F$21,2,TRUE),IF(AND(T21&gt;=73,T21&lt;=78),VLOOKUP(H21,'WritingVocab Look Up'!$I$13:$J$21,2,TRUE),IF(AND(T21&gt;=79),VLOOKUP(H21,'WritingVocab Look Up'!$M$13:$N$21,2,TRUE),"")))))</f>
        <v/>
      </c>
      <c r="T21" s="222" t="str">
        <f t="shared" si="0"/>
        <v/>
      </c>
    </row>
    <row r="22" spans="1:20" s="108" customFormat="1" ht="15.75">
      <c r="A22" s="178"/>
      <c r="B22" s="189"/>
      <c r="C22" s="186"/>
      <c r="D22" s="179"/>
      <c r="E22" s="187"/>
      <c r="F22" s="187"/>
      <c r="G22" s="188"/>
      <c r="H22" s="219"/>
      <c r="I22" s="200" t="str">
        <f>IF(E22="","",IF(AND(T22&lt;=66),VLOOKUP(H22,'WritingVocab Look Up'!$A$13:$B$21,2,TRUE),IF(AND(T22&gt;=67,T22&lt;=72),VLOOKUP(H22,'WritingVocab Look Up'!$E$13:$F$21,2,TRUE),IF(AND(T22&gt;=73,T22&lt;=78),VLOOKUP(H22,'WritingVocab Look Up'!$I$13:$J$21,2,TRUE),IF(AND(T22&gt;=79),VLOOKUP(H22,'WritingVocab Look Up'!$M$13:$N$21,2,TRUE),"")))))</f>
        <v/>
      </c>
      <c r="T22" s="222" t="str">
        <f t="shared" si="0"/>
        <v/>
      </c>
    </row>
    <row r="23" spans="1:20" s="108" customFormat="1" ht="15.75">
      <c r="A23" s="178"/>
      <c r="B23" s="189"/>
      <c r="C23" s="186"/>
      <c r="D23" s="179"/>
      <c r="E23" s="187"/>
      <c r="F23" s="187"/>
      <c r="G23" s="188"/>
      <c r="H23" s="219"/>
      <c r="I23" s="200" t="str">
        <f>IF(E23="","",IF(AND(T23&lt;=66),VLOOKUP(H23,'WritingVocab Look Up'!$A$13:$B$21,2,TRUE),IF(AND(T23&gt;=67,T23&lt;=72),VLOOKUP(H23,'WritingVocab Look Up'!$E$13:$F$21,2,TRUE),IF(AND(T23&gt;=73,T23&lt;=78),VLOOKUP(H23,'WritingVocab Look Up'!$I$13:$J$21,2,TRUE),IF(AND(T23&gt;=79),VLOOKUP(H23,'WritingVocab Look Up'!$M$13:$N$21,2,TRUE),"")))))</f>
        <v/>
      </c>
      <c r="T23" s="222" t="str">
        <f t="shared" si="0"/>
        <v/>
      </c>
    </row>
    <row r="24" spans="1:20" s="108" customFormat="1" ht="15.75">
      <c r="A24" s="178"/>
      <c r="B24" s="189"/>
      <c r="C24" s="186"/>
      <c r="D24" s="186"/>
      <c r="E24" s="187"/>
      <c r="F24" s="187"/>
      <c r="G24" s="188"/>
      <c r="H24" s="219"/>
      <c r="I24" s="200" t="str">
        <f>IF(E24="","",IF(AND(T24&lt;=66),VLOOKUP(H24,'WritingVocab Look Up'!$A$13:$B$21,2,TRUE),IF(AND(T24&gt;=67,T24&lt;=72),VLOOKUP(H24,'WritingVocab Look Up'!$E$13:$F$21,2,TRUE),IF(AND(T24&gt;=73,T24&lt;=78),VLOOKUP(H24,'WritingVocab Look Up'!$I$13:$J$21,2,TRUE),IF(AND(T24&gt;=79),VLOOKUP(H24,'WritingVocab Look Up'!$M$13:$N$21,2,TRUE),"")))))</f>
        <v/>
      </c>
      <c r="T24" s="222" t="str">
        <f t="shared" si="0"/>
        <v/>
      </c>
    </row>
    <row r="25" spans="1:20" s="108" customFormat="1" ht="15.75">
      <c r="A25" s="178"/>
      <c r="B25" s="189"/>
      <c r="C25" s="186"/>
      <c r="D25" s="186"/>
      <c r="E25" s="187"/>
      <c r="F25" s="187"/>
      <c r="G25" s="188"/>
      <c r="H25" s="219"/>
      <c r="I25" s="200" t="str">
        <f>IF(E25="","",IF(AND(T25&lt;=66),VLOOKUP(H25,'WritingVocab Look Up'!$A$13:$B$21,2,TRUE),IF(AND(T25&gt;=67,T25&lt;=72),VLOOKUP(H25,'WritingVocab Look Up'!$E$13:$F$21,2,TRUE),IF(AND(T25&gt;=73,T25&lt;=78),VLOOKUP(H25,'WritingVocab Look Up'!$I$13:$J$21,2,TRUE),IF(AND(T25&gt;=79),VLOOKUP(H25,'WritingVocab Look Up'!$M$13:$N$21,2,TRUE),"")))))</f>
        <v/>
      </c>
      <c r="T25" s="222" t="str">
        <f t="shared" si="0"/>
        <v/>
      </c>
    </row>
    <row r="26" spans="1:20" s="108" customFormat="1" ht="15.75">
      <c r="A26" s="178"/>
      <c r="B26" s="189"/>
      <c r="C26" s="186"/>
      <c r="D26" s="186"/>
      <c r="E26" s="187"/>
      <c r="F26" s="187"/>
      <c r="G26" s="188"/>
      <c r="H26" s="219"/>
      <c r="I26" s="200" t="str">
        <f>IF(E26="","",IF(AND(T26&lt;=66),VLOOKUP(H26,'WritingVocab Look Up'!$A$13:$B$21,2,TRUE),IF(AND(T26&gt;=67,T26&lt;=72),VLOOKUP(H26,'WritingVocab Look Up'!$E$13:$F$21,2,TRUE),IF(AND(T26&gt;=73,T26&lt;=78),VLOOKUP(H26,'WritingVocab Look Up'!$I$13:$J$21,2,TRUE),IF(AND(T26&gt;=79),VLOOKUP(H26,'WritingVocab Look Up'!$M$13:$N$21,2,TRUE),"")))))</f>
        <v/>
      </c>
      <c r="T26" s="222" t="str">
        <f t="shared" si="0"/>
        <v/>
      </c>
    </row>
    <row r="27" spans="1:20" s="108" customFormat="1" ht="15.75">
      <c r="A27" s="178"/>
      <c r="B27" s="189"/>
      <c r="C27" s="186"/>
      <c r="D27" s="186"/>
      <c r="E27" s="187"/>
      <c r="F27" s="187"/>
      <c r="G27" s="188"/>
      <c r="H27" s="219"/>
      <c r="I27" s="200" t="str">
        <f>IF(E27="","",IF(AND(T27&lt;=66),VLOOKUP(H27,'WritingVocab Look Up'!$A$13:$B$21,2,TRUE),IF(AND(T27&gt;=67,T27&lt;=72),VLOOKUP(H27,'WritingVocab Look Up'!$E$13:$F$21,2,TRUE),IF(AND(T27&gt;=73,T27&lt;=78),VLOOKUP(H27,'WritingVocab Look Up'!$I$13:$J$21,2,TRUE),IF(AND(T27&gt;=79),VLOOKUP(H27,'WritingVocab Look Up'!$M$13:$N$21,2,TRUE),"")))))</f>
        <v/>
      </c>
      <c r="T27" s="222" t="str">
        <f t="shared" si="0"/>
        <v/>
      </c>
    </row>
    <row r="28" spans="1:20" s="108" customFormat="1" ht="15.75">
      <c r="A28" s="178"/>
      <c r="B28" s="178"/>
      <c r="C28" s="186"/>
      <c r="D28" s="179"/>
      <c r="E28" s="187"/>
      <c r="F28" s="187"/>
      <c r="G28" s="188"/>
      <c r="H28" s="219"/>
      <c r="I28" s="200" t="str">
        <f>IF(E28="","",IF(AND(T28&lt;=66),VLOOKUP(H28,'WritingVocab Look Up'!$A$13:$B$21,2,TRUE),IF(AND(T28&gt;=67,T28&lt;=72),VLOOKUP(H28,'WritingVocab Look Up'!$E$13:$F$21,2,TRUE),IF(AND(T28&gt;=73,T28&lt;=78),VLOOKUP(H28,'WritingVocab Look Up'!$I$13:$J$21,2,TRUE),IF(AND(T28&gt;=79),VLOOKUP(H28,'WritingVocab Look Up'!$M$13:$N$21,2,TRUE),"")))))</f>
        <v/>
      </c>
      <c r="T28" s="222" t="str">
        <f t="shared" si="0"/>
        <v/>
      </c>
    </row>
    <row r="29" spans="1:20" s="108" customFormat="1" ht="15.75">
      <c r="A29" s="178"/>
      <c r="B29" s="178"/>
      <c r="C29" s="186"/>
      <c r="D29" s="179"/>
      <c r="E29" s="187"/>
      <c r="F29" s="187"/>
      <c r="G29" s="188"/>
      <c r="H29" s="219"/>
      <c r="I29" s="200" t="str">
        <f>IF(E29="","",IF(AND(T29&lt;=66),VLOOKUP(H29,'WritingVocab Look Up'!$A$13:$B$21,2,TRUE),IF(AND(T29&gt;=67,T29&lt;=72),VLOOKUP(H29,'WritingVocab Look Up'!$E$13:$F$21,2,TRUE),IF(AND(T29&gt;=73,T29&lt;=78),VLOOKUP(H29,'WritingVocab Look Up'!$I$13:$J$21,2,TRUE),IF(AND(T29&gt;=79),VLOOKUP(H29,'WritingVocab Look Up'!$M$13:$N$21,2,TRUE),"")))))</f>
        <v/>
      </c>
      <c r="T29" s="222" t="str">
        <f t="shared" si="0"/>
        <v/>
      </c>
    </row>
    <row r="30" spans="1:20" s="108" customFormat="1" ht="15.75">
      <c r="A30" s="178"/>
      <c r="B30" s="189"/>
      <c r="C30" s="186"/>
      <c r="D30" s="179"/>
      <c r="E30" s="187"/>
      <c r="F30" s="187"/>
      <c r="G30" s="188"/>
      <c r="H30" s="219"/>
      <c r="I30" s="200" t="str">
        <f>IF(E30="","",IF(AND(T30&lt;=66),VLOOKUP(H30,'WritingVocab Look Up'!$A$13:$B$21,2,TRUE),IF(AND(T30&gt;=67,T30&lt;=72),VLOOKUP(H30,'WritingVocab Look Up'!$E$13:$F$21,2,TRUE),IF(AND(T30&gt;=73,T30&lt;=78),VLOOKUP(H30,'WritingVocab Look Up'!$I$13:$J$21,2,TRUE),IF(AND(T30&gt;=79),VLOOKUP(H30,'WritingVocab Look Up'!$M$13:$N$21,2,TRUE),"")))))</f>
        <v/>
      </c>
      <c r="T30" s="222" t="str">
        <f t="shared" si="0"/>
        <v/>
      </c>
    </row>
    <row r="31" spans="1:20" s="108" customFormat="1" ht="15.75">
      <c r="A31" s="178"/>
      <c r="B31" s="189"/>
      <c r="C31" s="186"/>
      <c r="D31" s="179"/>
      <c r="E31" s="187"/>
      <c r="F31" s="187"/>
      <c r="G31" s="188"/>
      <c r="H31" s="219"/>
      <c r="I31" s="200" t="str">
        <f>IF(E31="","",IF(AND(T31&lt;=66),VLOOKUP(H31,'WritingVocab Look Up'!$A$13:$B$21,2,TRUE),IF(AND(T31&gt;=67,T31&lt;=72),VLOOKUP(H31,'WritingVocab Look Up'!$E$13:$F$21,2,TRUE),IF(AND(T31&gt;=73,T31&lt;=78),VLOOKUP(H31,'WritingVocab Look Up'!$I$13:$J$21,2,TRUE),IF(AND(T31&gt;=79),VLOOKUP(H31,'WritingVocab Look Up'!$M$13:$N$21,2,TRUE),"")))))</f>
        <v/>
      </c>
      <c r="T31" s="222" t="str">
        <f t="shared" si="0"/>
        <v/>
      </c>
    </row>
    <row r="32" spans="1:20" s="108" customFormat="1" ht="15.75">
      <c r="A32" s="178"/>
      <c r="B32" s="189"/>
      <c r="C32" s="186"/>
      <c r="D32" s="179"/>
      <c r="E32" s="187"/>
      <c r="F32" s="187"/>
      <c r="G32" s="188"/>
      <c r="H32" s="219"/>
      <c r="I32" s="200" t="str">
        <f>IF(E32="","",IF(AND(T32&lt;=66),VLOOKUP(H32,'WritingVocab Look Up'!$A$13:$B$21,2,TRUE),IF(AND(T32&gt;=67,T32&lt;=72),VLOOKUP(H32,'WritingVocab Look Up'!$E$13:$F$21,2,TRUE),IF(AND(T32&gt;=73,T32&lt;=78),VLOOKUP(H32,'WritingVocab Look Up'!$I$13:$J$21,2,TRUE),IF(AND(T32&gt;=79),VLOOKUP(H32,'WritingVocab Look Up'!$M$13:$N$21,2,TRUE),"")))))</f>
        <v/>
      </c>
      <c r="T32" s="222" t="str">
        <f t="shared" si="0"/>
        <v/>
      </c>
    </row>
    <row r="33" spans="1:20" s="108" customFormat="1" ht="15.75">
      <c r="A33" s="178"/>
      <c r="B33" s="189"/>
      <c r="C33" s="186"/>
      <c r="D33" s="186"/>
      <c r="E33" s="187"/>
      <c r="F33" s="187"/>
      <c r="G33" s="188"/>
      <c r="H33" s="219"/>
      <c r="I33" s="200" t="str">
        <f>IF(E33="","",IF(AND(T33&lt;=66),VLOOKUP(H33,'WritingVocab Look Up'!$A$13:$B$21,2,TRUE),IF(AND(T33&gt;=67,T33&lt;=72),VLOOKUP(H33,'WritingVocab Look Up'!$E$13:$F$21,2,TRUE),IF(AND(T33&gt;=73,T33&lt;=78),VLOOKUP(H33,'WritingVocab Look Up'!$I$13:$J$21,2,TRUE),IF(AND(T33&gt;=79),VLOOKUP(H33,'WritingVocab Look Up'!$M$13:$N$21,2,TRUE),"")))))</f>
        <v/>
      </c>
      <c r="T33" s="222" t="str">
        <f t="shared" si="0"/>
        <v/>
      </c>
    </row>
    <row r="34" spans="1:20" s="108" customFormat="1" ht="15.75">
      <c r="A34" s="178"/>
      <c r="B34" s="189"/>
      <c r="C34" s="186"/>
      <c r="D34" s="186"/>
      <c r="E34" s="187"/>
      <c r="F34" s="187"/>
      <c r="G34" s="188"/>
      <c r="H34" s="219"/>
      <c r="I34" s="200" t="str">
        <f>IF(E34="","",IF(AND(T34&lt;=66),VLOOKUP(H34,'WritingVocab Look Up'!$A$13:$B$21,2,TRUE),IF(AND(T34&gt;=67,T34&lt;=72),VLOOKUP(H34,'WritingVocab Look Up'!$E$13:$F$21,2,TRUE),IF(AND(T34&gt;=73,T34&lt;=78),VLOOKUP(H34,'WritingVocab Look Up'!$I$13:$J$21,2,TRUE),IF(AND(T34&gt;=79),VLOOKUP(H34,'WritingVocab Look Up'!$M$13:$N$21,2,TRUE),"")))))</f>
        <v/>
      </c>
      <c r="T34" s="222" t="str">
        <f t="shared" si="0"/>
        <v/>
      </c>
    </row>
    <row r="35" spans="1:20" s="108" customFormat="1" ht="15.75">
      <c r="A35" s="178"/>
      <c r="B35" s="189"/>
      <c r="C35" s="186"/>
      <c r="D35" s="186"/>
      <c r="E35" s="187"/>
      <c r="F35" s="187"/>
      <c r="G35" s="188"/>
      <c r="H35" s="219"/>
      <c r="I35" s="200" t="str">
        <f>IF(E35="","",IF(AND(T35&lt;=66),VLOOKUP(H35,'WritingVocab Look Up'!$A$13:$B$21,2,TRUE),IF(AND(T35&gt;=67,T35&lt;=72),VLOOKUP(H35,'WritingVocab Look Up'!$E$13:$F$21,2,TRUE),IF(AND(T35&gt;=73,T35&lt;=78),VLOOKUP(H35,'WritingVocab Look Up'!$I$13:$J$21,2,TRUE),IF(AND(T35&gt;=79),VLOOKUP(H35,'WritingVocab Look Up'!$M$13:$N$21,2,TRUE),"")))))</f>
        <v/>
      </c>
      <c r="T35" s="222" t="str">
        <f t="shared" si="0"/>
        <v/>
      </c>
    </row>
    <row r="36" spans="1:20" s="108" customFormat="1" ht="15.75">
      <c r="A36" s="178"/>
      <c r="B36" s="189"/>
      <c r="C36" s="186"/>
      <c r="D36" s="186"/>
      <c r="E36" s="187"/>
      <c r="F36" s="187"/>
      <c r="G36" s="188"/>
      <c r="H36" s="219"/>
      <c r="I36" s="200" t="str">
        <f>IF(E36="","",IF(AND(T36&lt;=66),VLOOKUP(H36,'WritingVocab Look Up'!$A$13:$B$21,2,TRUE),IF(AND(T36&gt;=67,T36&lt;=72),VLOOKUP(H36,'WritingVocab Look Up'!$E$13:$F$21,2,TRUE),IF(AND(T36&gt;=73,T36&lt;=78),VLOOKUP(H36,'WritingVocab Look Up'!$I$13:$J$21,2,TRUE),IF(AND(T36&gt;=79),VLOOKUP(H36,'WritingVocab Look Up'!$M$13:$N$21,2,TRUE),"")))))</f>
        <v/>
      </c>
      <c r="T36" s="222" t="str">
        <f t="shared" si="0"/>
        <v/>
      </c>
    </row>
    <row r="37" spans="1:20" s="108" customFormat="1" ht="15.75">
      <c r="A37" s="101"/>
      <c r="B37" s="110"/>
      <c r="C37" s="111"/>
      <c r="D37" s="111"/>
      <c r="E37" s="112"/>
      <c r="F37" s="112"/>
      <c r="G37" s="113"/>
      <c r="H37" s="219"/>
      <c r="I37" s="200" t="str">
        <f>IF(E37="","",IF(AND(T37&lt;=66),VLOOKUP(H37,'WritingVocab Look Up'!$A$13:$B$21,2,TRUE),IF(AND(T37&gt;=67,T37&lt;=72),VLOOKUP(H37,'WritingVocab Look Up'!$E$13:$F$21,2,TRUE),IF(AND(T37&gt;=73,T37&lt;=78),VLOOKUP(H37,'WritingVocab Look Up'!$I$13:$J$21,2,TRUE),IF(AND(T37&gt;=79),VLOOKUP(H37,'WritingVocab Look Up'!$M$13:$N$21,2,TRUE),"")))))</f>
        <v/>
      </c>
      <c r="T37" s="222" t="str">
        <f t="shared" si="0"/>
        <v/>
      </c>
    </row>
    <row r="38" spans="1:20" s="108" customFormat="1" ht="15.75">
      <c r="A38" s="119"/>
      <c r="B38" s="120"/>
      <c r="C38" s="111"/>
      <c r="D38" s="111"/>
      <c r="E38" s="121"/>
      <c r="F38" s="121"/>
      <c r="G38" s="113"/>
      <c r="H38" s="219"/>
      <c r="I38" s="200" t="str">
        <f>IF(E38="","",IF(AND(T38&lt;=66),VLOOKUP(H38,'WritingVocab Look Up'!$A$13:$B$21,2,TRUE),IF(AND(T38&gt;=67,T38&lt;=72),VLOOKUP(H38,'WritingVocab Look Up'!$E$13:$F$21,2,TRUE),IF(AND(T38&gt;=73,T38&lt;=78),VLOOKUP(H38,'WritingVocab Look Up'!$I$13:$J$21,2,TRUE),IF(AND(T38&gt;=79),VLOOKUP(H38,'WritingVocab Look Up'!$M$13:$N$21,2,TRUE),"")))))</f>
        <v/>
      </c>
      <c r="T38" s="222" t="str">
        <f t="shared" si="0"/>
        <v/>
      </c>
    </row>
    <row r="39" spans="1:20" s="108" customFormat="1" ht="15.75">
      <c r="A39" s="119"/>
      <c r="B39" s="120"/>
      <c r="C39" s="111"/>
      <c r="D39" s="111"/>
      <c r="E39" s="121"/>
      <c r="F39" s="121"/>
      <c r="G39" s="113"/>
      <c r="H39" s="219"/>
      <c r="I39" s="200" t="str">
        <f>IF(E39="","",IF(AND(T39&lt;=66),VLOOKUP(H39,'WritingVocab Look Up'!$A$13:$B$21,2,TRUE),IF(AND(T39&gt;=67,T39&lt;=72),VLOOKUP(H39,'WritingVocab Look Up'!$E$13:$F$21,2,TRUE),IF(AND(T39&gt;=73,T39&lt;=78),VLOOKUP(H39,'WritingVocab Look Up'!$I$13:$J$21,2,TRUE),IF(AND(T39&gt;=79),VLOOKUP(H39,'WritingVocab Look Up'!$M$13:$N$21,2,TRUE),"")))))</f>
        <v/>
      </c>
      <c r="T39" s="222" t="str">
        <f t="shared" si="0"/>
        <v/>
      </c>
    </row>
    <row r="40" spans="1:20" s="108" customFormat="1" ht="15.75">
      <c r="A40" s="119"/>
      <c r="B40" s="120"/>
      <c r="C40" s="111"/>
      <c r="D40" s="111"/>
      <c r="E40" s="121"/>
      <c r="F40" s="121"/>
      <c r="G40" s="113"/>
      <c r="H40" s="219"/>
      <c r="I40" s="200" t="str">
        <f>IF(E40="","",IF(AND(T40&lt;=66),VLOOKUP(H40,'WritingVocab Look Up'!$A$13:$B$21,2,TRUE),IF(AND(T40&gt;=67,T40&lt;=72),VLOOKUP(H40,'WritingVocab Look Up'!$E$13:$F$21,2,TRUE),IF(AND(T40&gt;=73,T40&lt;=78),VLOOKUP(H40,'WritingVocab Look Up'!$I$13:$J$21,2,TRUE),IF(AND(T40&gt;=79),VLOOKUP(H40,'WritingVocab Look Up'!$M$13:$N$21,2,TRUE),"")))))</f>
        <v/>
      </c>
      <c r="T40" s="222" t="str">
        <f t="shared" si="0"/>
        <v/>
      </c>
    </row>
    <row r="41" spans="1:20" s="108" customFormat="1" ht="15.75">
      <c r="A41" s="119"/>
      <c r="B41" s="120"/>
      <c r="C41" s="111"/>
      <c r="D41" s="111"/>
      <c r="E41" s="121"/>
      <c r="F41" s="121"/>
      <c r="G41" s="113"/>
      <c r="H41" s="219"/>
      <c r="I41" s="200" t="str">
        <f>IF(E41="","",IF(AND(T41&lt;=66),VLOOKUP(H41,'WritingVocab Look Up'!$A$13:$B$21,2,TRUE),IF(AND(T41&gt;=67,T41&lt;=72),VLOOKUP(H41,'WritingVocab Look Up'!$E$13:$F$21,2,TRUE),IF(AND(T41&gt;=73,T41&lt;=78),VLOOKUP(H41,'WritingVocab Look Up'!$I$13:$J$21,2,TRUE),IF(AND(T41&gt;=79),VLOOKUP(H41,'WritingVocab Look Up'!$M$13:$N$21,2,TRUE),"")))))</f>
        <v/>
      </c>
      <c r="T41" s="222" t="str">
        <f t="shared" si="0"/>
        <v/>
      </c>
    </row>
    <row r="42" spans="1:20" s="108" customFormat="1" ht="15.75">
      <c r="A42" s="119"/>
      <c r="B42" s="120"/>
      <c r="C42" s="111"/>
      <c r="D42" s="111"/>
      <c r="E42" s="121"/>
      <c r="F42" s="121"/>
      <c r="G42" s="113"/>
      <c r="H42" s="219"/>
      <c r="I42" s="200" t="str">
        <f>IF(E42="","",IF(AND(T42&lt;=66),VLOOKUP(H42,'WritingVocab Look Up'!$A$13:$B$21,2,TRUE),IF(AND(T42&gt;=67,T42&lt;=72),VLOOKUP(H42,'WritingVocab Look Up'!$E$13:$F$21,2,TRUE),IF(AND(T42&gt;=73,T42&lt;=78),VLOOKUP(H42,'WritingVocab Look Up'!$I$13:$J$21,2,TRUE),IF(AND(T42&gt;=79),VLOOKUP(H42,'WritingVocab Look Up'!$M$13:$N$21,2,TRUE),"")))))</f>
        <v/>
      </c>
      <c r="T42" s="222" t="str">
        <f t="shared" si="0"/>
        <v/>
      </c>
    </row>
    <row r="43" spans="1:20" s="108" customFormat="1" ht="15.75">
      <c r="A43" s="119"/>
      <c r="B43" s="120"/>
      <c r="C43" s="111"/>
      <c r="D43" s="111"/>
      <c r="E43" s="121"/>
      <c r="F43" s="121"/>
      <c r="G43" s="113"/>
      <c r="H43" s="219"/>
      <c r="I43" s="200" t="str">
        <f>IF(E43="","",IF(AND(T43&lt;=66),VLOOKUP(H43,'WritingVocab Look Up'!$A$13:$B$21,2,TRUE),IF(AND(T43&gt;=67,T43&lt;=72),VLOOKUP(H43,'WritingVocab Look Up'!$E$13:$F$21,2,TRUE),IF(AND(T43&gt;=73,T43&lt;=78),VLOOKUP(H43,'WritingVocab Look Up'!$I$13:$J$21,2,TRUE),IF(AND(T43&gt;=79),VLOOKUP(H43,'WritingVocab Look Up'!$M$13:$N$21,2,TRUE),"")))))</f>
        <v/>
      </c>
      <c r="T43" s="222" t="str">
        <f t="shared" si="0"/>
        <v/>
      </c>
    </row>
    <row r="44" spans="1:20" s="108" customFormat="1" ht="15.75">
      <c r="A44" s="119"/>
      <c r="B44" s="120"/>
      <c r="C44" s="111"/>
      <c r="D44" s="111"/>
      <c r="E44" s="121"/>
      <c r="F44" s="121"/>
      <c r="G44" s="113"/>
      <c r="H44" s="219"/>
      <c r="I44" s="200" t="str">
        <f>IF(E44="","",IF(AND(T44&lt;=66),VLOOKUP(H44,'WritingVocab Look Up'!$A$13:$B$21,2,TRUE),IF(AND(T44&gt;=67,T44&lt;=72),VLOOKUP(H44,'WritingVocab Look Up'!$E$13:$F$21,2,TRUE),IF(AND(T44&gt;=73,T44&lt;=78),VLOOKUP(H44,'WritingVocab Look Up'!$I$13:$J$21,2,TRUE),IF(AND(T44&gt;=79),VLOOKUP(H44,'WritingVocab Look Up'!$M$13:$N$21,2,TRUE),"")))))</f>
        <v/>
      </c>
      <c r="T44" s="222" t="str">
        <f t="shared" si="0"/>
        <v/>
      </c>
    </row>
    <row r="45" spans="1:20" s="108" customFormat="1" ht="15.75">
      <c r="A45" s="119"/>
      <c r="B45" s="120"/>
      <c r="C45" s="111"/>
      <c r="D45" s="111"/>
      <c r="E45" s="121"/>
      <c r="F45" s="121"/>
      <c r="G45" s="113"/>
      <c r="H45" s="219"/>
      <c r="I45" s="200" t="str">
        <f>IF(E45="","",IF(AND(T45&lt;=66),VLOOKUP(H45,'WritingVocab Look Up'!$A$13:$B$21,2,TRUE),IF(AND(T45&gt;=67,T45&lt;=72),VLOOKUP(H45,'WritingVocab Look Up'!$E$13:$F$21,2,TRUE),IF(AND(T45&gt;=73,T45&lt;=78),VLOOKUP(H45,'WritingVocab Look Up'!$I$13:$J$21,2,TRUE),IF(AND(T45&gt;=79),VLOOKUP(H45,'WritingVocab Look Up'!$M$13:$N$21,2,TRUE),"")))))</f>
        <v/>
      </c>
      <c r="T45" s="222" t="str">
        <f t="shared" si="0"/>
        <v/>
      </c>
    </row>
    <row r="46" spans="1:20" s="108" customFormat="1" ht="15.75">
      <c r="A46" s="119"/>
      <c r="B46" s="120"/>
      <c r="C46" s="111"/>
      <c r="D46" s="111"/>
      <c r="E46" s="121"/>
      <c r="F46" s="121"/>
      <c r="G46" s="113"/>
      <c r="H46" s="219"/>
      <c r="I46" s="200" t="str">
        <f>IF(E46="","",IF(AND(T46&lt;=66),VLOOKUP(H46,'WritingVocab Look Up'!$A$13:$B$21,2,TRUE),IF(AND(T46&gt;=67,T46&lt;=72),VLOOKUP(H46,'WritingVocab Look Up'!$E$13:$F$21,2,TRUE),IF(AND(T46&gt;=73,T46&lt;=78),VLOOKUP(H46,'WritingVocab Look Up'!$I$13:$J$21,2,TRUE),IF(AND(T46&gt;=79),VLOOKUP(H46,'WritingVocab Look Up'!$M$13:$N$21,2,TRUE),"")))))</f>
        <v/>
      </c>
      <c r="T46" s="222" t="str">
        <f t="shared" si="0"/>
        <v/>
      </c>
    </row>
    <row r="47" spans="1:20" s="108" customFormat="1" ht="15.75">
      <c r="A47" s="119"/>
      <c r="B47" s="120"/>
      <c r="C47" s="111"/>
      <c r="D47" s="111"/>
      <c r="E47" s="121"/>
      <c r="F47" s="121"/>
      <c r="G47" s="113"/>
      <c r="H47" s="219"/>
      <c r="I47" s="200" t="str">
        <f>IF(E47="","",IF(AND(T47&lt;=66),VLOOKUP(H47,'WritingVocab Look Up'!$A$13:$B$21,2,TRUE),IF(AND(T47&gt;=67,T47&lt;=72),VLOOKUP(H47,'WritingVocab Look Up'!$E$13:$F$21,2,TRUE),IF(AND(T47&gt;=73,T47&lt;=78),VLOOKUP(H47,'WritingVocab Look Up'!$I$13:$J$21,2,TRUE),IF(AND(T47&gt;=79),VLOOKUP(H47,'WritingVocab Look Up'!$M$13:$N$21,2,TRUE),"")))))</f>
        <v/>
      </c>
      <c r="T47" s="222" t="str">
        <f t="shared" si="0"/>
        <v/>
      </c>
    </row>
    <row r="48" spans="1:20" s="108" customFormat="1" ht="15.75">
      <c r="A48" s="119"/>
      <c r="B48" s="120"/>
      <c r="C48" s="111"/>
      <c r="D48" s="111"/>
      <c r="E48" s="121"/>
      <c r="F48" s="121"/>
      <c r="G48" s="113"/>
      <c r="H48" s="219"/>
      <c r="I48" s="200" t="str">
        <f>IF(E48="","",IF(AND(T48&lt;=66),VLOOKUP(H48,'WritingVocab Look Up'!$A$13:$B$21,2,TRUE),IF(AND(T48&gt;=67,T48&lt;=72),VLOOKUP(H48,'WritingVocab Look Up'!$E$13:$F$21,2,TRUE),IF(AND(T48&gt;=73,T48&lt;=78),VLOOKUP(H48,'WritingVocab Look Up'!$I$13:$J$21,2,TRUE),IF(AND(T48&gt;=79),VLOOKUP(H48,'WritingVocab Look Up'!$M$13:$N$21,2,TRUE),"")))))</f>
        <v/>
      </c>
      <c r="T48" s="222" t="str">
        <f t="shared" si="0"/>
        <v/>
      </c>
    </row>
    <row r="49" spans="1:20" s="108" customFormat="1" ht="15.75">
      <c r="A49" s="119"/>
      <c r="B49" s="120"/>
      <c r="C49" s="111"/>
      <c r="D49" s="111"/>
      <c r="E49" s="121"/>
      <c r="F49" s="121"/>
      <c r="G49" s="113"/>
      <c r="H49" s="219"/>
      <c r="I49" s="200" t="str">
        <f>IF(E49="","",IF(AND(T49&lt;=66),VLOOKUP(H49,'WritingVocab Look Up'!$A$13:$B$21,2,TRUE),IF(AND(T49&gt;=67,T49&lt;=72),VLOOKUP(H49,'WritingVocab Look Up'!$E$13:$F$21,2,TRUE),IF(AND(T49&gt;=73,T49&lt;=78),VLOOKUP(H49,'WritingVocab Look Up'!$I$13:$J$21,2,TRUE),IF(AND(T49&gt;=79),VLOOKUP(H49,'WritingVocab Look Up'!$M$13:$N$21,2,TRUE),"")))))</f>
        <v/>
      </c>
      <c r="T49" s="222" t="str">
        <f t="shared" si="0"/>
        <v/>
      </c>
    </row>
    <row r="50" spans="1:20" s="108" customFormat="1" ht="15.75">
      <c r="A50" s="119"/>
      <c r="B50" s="120"/>
      <c r="C50" s="111"/>
      <c r="D50" s="111"/>
      <c r="E50" s="121"/>
      <c r="F50" s="121"/>
      <c r="G50" s="113"/>
      <c r="H50" s="219"/>
      <c r="I50" s="200" t="str">
        <f>IF(E50="","",IF(AND(T50&lt;=66),VLOOKUP(H50,'WritingVocab Look Up'!$A$13:$B$21,2,TRUE),IF(AND(T50&gt;=67,T50&lt;=72),VLOOKUP(H50,'WritingVocab Look Up'!$E$13:$F$21,2,TRUE),IF(AND(T50&gt;=73,T50&lt;=78),VLOOKUP(H50,'WritingVocab Look Up'!$I$13:$J$21,2,TRUE),IF(AND(T50&gt;=79),VLOOKUP(H50,'WritingVocab Look Up'!$M$13:$N$21,2,TRUE),"")))))</f>
        <v/>
      </c>
      <c r="T50" s="222" t="str">
        <f t="shared" si="0"/>
        <v/>
      </c>
    </row>
    <row r="51" spans="1:20" s="108" customFormat="1" ht="15.75">
      <c r="A51" s="119"/>
      <c r="B51" s="120"/>
      <c r="C51" s="111"/>
      <c r="D51" s="111"/>
      <c r="E51" s="121"/>
      <c r="F51" s="121"/>
      <c r="G51" s="113"/>
      <c r="H51" s="219"/>
      <c r="I51" s="200" t="str">
        <f>IF(E51="","",IF(AND(T51&lt;=66),VLOOKUP(H51,'WritingVocab Look Up'!$A$13:$B$21,2,TRUE),IF(AND(T51&gt;=67,T51&lt;=72),VLOOKUP(H51,'WritingVocab Look Up'!$E$13:$F$21,2,TRUE),IF(AND(T51&gt;=73,T51&lt;=78),VLOOKUP(H51,'WritingVocab Look Up'!$I$13:$J$21,2,TRUE),IF(AND(T51&gt;=79),VLOOKUP(H51,'WritingVocab Look Up'!$M$13:$N$21,2,TRUE),"")))))</f>
        <v/>
      </c>
      <c r="T51" s="222" t="str">
        <f t="shared" si="0"/>
        <v/>
      </c>
    </row>
    <row r="52" spans="1:20" s="108" customFormat="1" ht="15.75">
      <c r="A52" s="119"/>
      <c r="B52" s="120"/>
      <c r="C52" s="111"/>
      <c r="D52" s="111"/>
      <c r="E52" s="121"/>
      <c r="F52" s="121"/>
      <c r="G52" s="113"/>
      <c r="H52" s="219"/>
      <c r="I52" s="200" t="str">
        <f>IF(E52="","",IF(AND(T52&lt;=66),VLOOKUP(H52,'WritingVocab Look Up'!$A$13:$B$21,2,TRUE),IF(AND(T52&gt;=67,T52&lt;=72),VLOOKUP(H52,'WritingVocab Look Up'!$E$13:$F$21,2,TRUE),IF(AND(T52&gt;=73,T52&lt;=78),VLOOKUP(H52,'WritingVocab Look Up'!$I$13:$J$21,2,TRUE),IF(AND(T52&gt;=79),VLOOKUP(H52,'WritingVocab Look Up'!$M$13:$N$21,2,TRUE),"")))))</f>
        <v/>
      </c>
      <c r="T52" s="222" t="str">
        <f t="shared" si="0"/>
        <v/>
      </c>
    </row>
    <row r="53" spans="1:20" s="108" customFormat="1" ht="15.75">
      <c r="A53" s="119"/>
      <c r="B53" s="120"/>
      <c r="C53" s="111"/>
      <c r="D53" s="111"/>
      <c r="E53" s="121"/>
      <c r="F53" s="121"/>
      <c r="G53" s="113"/>
      <c r="H53" s="219"/>
      <c r="I53" s="200" t="str">
        <f>IF(E53="","",IF(AND(T53&lt;=66),VLOOKUP(H53,'WritingVocab Look Up'!$A$13:$B$21,2,TRUE),IF(AND(T53&gt;=67,T53&lt;=72),VLOOKUP(H53,'WritingVocab Look Up'!$E$13:$F$21,2,TRUE),IF(AND(T53&gt;=73,T53&lt;=78),VLOOKUP(H53,'WritingVocab Look Up'!$I$13:$J$21,2,TRUE),IF(AND(T53&gt;=79),VLOOKUP(H53,'WritingVocab Look Up'!$M$13:$N$21,2,TRUE),"")))))</f>
        <v/>
      </c>
      <c r="T53" s="222" t="str">
        <f t="shared" si="0"/>
        <v/>
      </c>
    </row>
    <row r="54" spans="1:20" s="108" customFormat="1" ht="15.75">
      <c r="A54" s="119"/>
      <c r="B54" s="120"/>
      <c r="C54" s="111"/>
      <c r="D54" s="111"/>
      <c r="E54" s="121"/>
      <c r="F54" s="121"/>
      <c r="G54" s="113"/>
      <c r="H54" s="219"/>
      <c r="I54" s="200" t="str">
        <f>IF(E54="","",IF(AND(T54&lt;=66),VLOOKUP(H54,'WritingVocab Look Up'!$A$13:$B$21,2,TRUE),IF(AND(T54&gt;=67,T54&lt;=72),VLOOKUP(H54,'WritingVocab Look Up'!$E$13:$F$21,2,TRUE),IF(AND(T54&gt;=73,T54&lt;=78),VLOOKUP(H54,'WritingVocab Look Up'!$I$13:$J$21,2,TRUE),IF(AND(T54&gt;=79),VLOOKUP(H54,'WritingVocab Look Up'!$M$13:$N$21,2,TRUE),"")))))</f>
        <v/>
      </c>
      <c r="T54" s="222" t="str">
        <f t="shared" si="0"/>
        <v/>
      </c>
    </row>
    <row r="55" spans="1:20" s="108" customFormat="1" ht="15.75">
      <c r="A55" s="119"/>
      <c r="B55" s="120"/>
      <c r="C55" s="111"/>
      <c r="D55" s="111"/>
      <c r="E55" s="121"/>
      <c r="F55" s="121"/>
      <c r="G55" s="113"/>
      <c r="H55" s="219"/>
      <c r="I55" s="200" t="str">
        <f>IF(E55="","",IF(AND(T55&lt;=66),VLOOKUP(H55,'WritingVocab Look Up'!$A$13:$B$21,2,TRUE),IF(AND(T55&gt;=67,T55&lt;=72),VLOOKUP(H55,'WritingVocab Look Up'!$E$13:$F$21,2,TRUE),IF(AND(T55&gt;=73,T55&lt;=78),VLOOKUP(H55,'WritingVocab Look Up'!$I$13:$J$21,2,TRUE),IF(AND(T55&gt;=79),VLOOKUP(H55,'WritingVocab Look Up'!$M$13:$N$21,2,TRUE),"")))))</f>
        <v/>
      </c>
      <c r="T55" s="222" t="str">
        <f t="shared" si="0"/>
        <v/>
      </c>
    </row>
    <row r="56" spans="1:20" s="108" customFormat="1" ht="15.75">
      <c r="A56" s="119"/>
      <c r="B56" s="120"/>
      <c r="C56" s="111"/>
      <c r="D56" s="111"/>
      <c r="E56" s="121"/>
      <c r="F56" s="121"/>
      <c r="G56" s="113"/>
      <c r="H56" s="219"/>
      <c r="I56" s="200" t="str">
        <f>IF(E56="","",IF(AND(T56&lt;=66),VLOOKUP(H56,'WritingVocab Look Up'!$A$13:$B$21,2,TRUE),IF(AND(T56&gt;=67,T56&lt;=72),VLOOKUP(H56,'WritingVocab Look Up'!$E$13:$F$21,2,TRUE),IF(AND(T56&gt;=73,T56&lt;=78),VLOOKUP(H56,'WritingVocab Look Up'!$I$13:$J$21,2,TRUE),IF(AND(T56&gt;=79),VLOOKUP(H56,'WritingVocab Look Up'!$M$13:$N$21,2,TRUE),"")))))</f>
        <v/>
      </c>
      <c r="T56" s="222" t="str">
        <f t="shared" si="0"/>
        <v/>
      </c>
    </row>
    <row r="57" spans="1:20" s="108" customFormat="1" ht="15.75">
      <c r="A57" s="119"/>
      <c r="B57" s="120"/>
      <c r="C57" s="111"/>
      <c r="D57" s="111"/>
      <c r="E57" s="121"/>
      <c r="F57" s="121"/>
      <c r="G57" s="113"/>
      <c r="H57" s="219"/>
      <c r="I57" s="200" t="str">
        <f>IF(E57="","",IF(AND(T57&lt;=66),VLOOKUP(H57,'WritingVocab Look Up'!$A$13:$B$21,2,TRUE),IF(AND(T57&gt;=67,T57&lt;=72),VLOOKUP(H57,'WritingVocab Look Up'!$E$13:$F$21,2,TRUE),IF(AND(T57&gt;=73,T57&lt;=78),VLOOKUP(H57,'WritingVocab Look Up'!$I$13:$J$21,2,TRUE),IF(AND(T57&gt;=79),VLOOKUP(H57,'WritingVocab Look Up'!$M$13:$N$21,2,TRUE),"")))))</f>
        <v/>
      </c>
      <c r="T57" s="222" t="str">
        <f t="shared" si="0"/>
        <v/>
      </c>
    </row>
    <row r="58" spans="1:20" s="108" customFormat="1" ht="15.75">
      <c r="A58" s="119"/>
      <c r="B58" s="120"/>
      <c r="C58" s="111"/>
      <c r="D58" s="111"/>
      <c r="E58" s="121"/>
      <c r="F58" s="121"/>
      <c r="G58" s="113"/>
      <c r="H58" s="219"/>
      <c r="I58" s="200" t="str">
        <f>IF(E58="","",IF(AND(T58&lt;=66),VLOOKUP(H58,'WritingVocab Look Up'!$A$13:$B$21,2,TRUE),IF(AND(T58&gt;=67,T58&lt;=72),VLOOKUP(H58,'WritingVocab Look Up'!$E$13:$F$21,2,TRUE),IF(AND(T58&gt;=73,T58&lt;=78),VLOOKUP(H58,'WritingVocab Look Up'!$I$13:$J$21,2,TRUE),IF(AND(T58&gt;=79),VLOOKUP(H58,'WritingVocab Look Up'!$M$13:$N$21,2,TRUE),"")))))</f>
        <v/>
      </c>
      <c r="T58" s="222" t="str">
        <f t="shared" si="0"/>
        <v/>
      </c>
    </row>
    <row r="59" spans="1:20" s="108" customFormat="1" ht="15.75">
      <c r="A59" s="119"/>
      <c r="B59" s="120"/>
      <c r="C59" s="111"/>
      <c r="D59" s="111"/>
      <c r="E59" s="121"/>
      <c r="F59" s="121"/>
      <c r="G59" s="113"/>
      <c r="H59" s="219"/>
      <c r="I59" s="200" t="str">
        <f>IF(E59="","",IF(AND(T59&lt;=66),VLOOKUP(H59,'WritingVocab Look Up'!$A$13:$B$21,2,TRUE),IF(AND(T59&gt;=67,T59&lt;=72),VLOOKUP(H59,'WritingVocab Look Up'!$E$13:$F$21,2,TRUE),IF(AND(T59&gt;=73,T59&lt;=78),VLOOKUP(H59,'WritingVocab Look Up'!$I$13:$J$21,2,TRUE),IF(AND(T59&gt;=79),VLOOKUP(H59,'WritingVocab Look Up'!$M$13:$N$21,2,TRUE),"")))))</f>
        <v/>
      </c>
      <c r="T59" s="222" t="str">
        <f t="shared" si="0"/>
        <v/>
      </c>
    </row>
    <row r="60" spans="1:20" s="108" customFormat="1" ht="15.75">
      <c r="A60" s="119"/>
      <c r="B60" s="120"/>
      <c r="C60" s="111"/>
      <c r="D60" s="111"/>
      <c r="E60" s="121"/>
      <c r="F60" s="121"/>
      <c r="G60" s="113"/>
      <c r="H60" s="219"/>
      <c r="I60" s="200" t="str">
        <f>IF(E60="","",IF(AND(T60&lt;=66),VLOOKUP(H60,'WritingVocab Look Up'!$A$13:$B$21,2,TRUE),IF(AND(T60&gt;=67,T60&lt;=72),VLOOKUP(H60,'WritingVocab Look Up'!$E$13:$F$21,2,TRUE),IF(AND(T60&gt;=73,T60&lt;=78),VLOOKUP(H60,'WritingVocab Look Up'!$I$13:$J$21,2,TRUE),IF(AND(T60&gt;=79),VLOOKUP(H60,'WritingVocab Look Up'!$M$13:$N$21,2,TRUE),"")))))</f>
        <v/>
      </c>
      <c r="T60" s="222" t="str">
        <f t="shared" si="0"/>
        <v/>
      </c>
    </row>
    <row r="61" spans="1:20" s="108" customFormat="1" ht="15.75">
      <c r="A61" s="119"/>
      <c r="B61" s="120"/>
      <c r="C61" s="111"/>
      <c r="D61" s="111"/>
      <c r="E61" s="121"/>
      <c r="F61" s="121"/>
      <c r="G61" s="113"/>
      <c r="H61" s="219"/>
      <c r="I61" s="200" t="str">
        <f>IF(E61="","",IF(AND(T61&lt;=66),VLOOKUP(H61,'WritingVocab Look Up'!$A$13:$B$21,2,TRUE),IF(AND(T61&gt;=67,T61&lt;=72),VLOOKUP(H61,'WritingVocab Look Up'!$E$13:$F$21,2,TRUE),IF(AND(T61&gt;=73,T61&lt;=78),VLOOKUP(H61,'WritingVocab Look Up'!$I$13:$J$21,2,TRUE),IF(AND(T61&gt;=79),VLOOKUP(H61,'WritingVocab Look Up'!$M$13:$N$21,2,TRUE),"")))))</f>
        <v/>
      </c>
      <c r="T61" s="222" t="str">
        <f t="shared" si="0"/>
        <v/>
      </c>
    </row>
    <row r="62" spans="1:20" s="108" customFormat="1" ht="15.75">
      <c r="A62" s="119"/>
      <c r="B62" s="120"/>
      <c r="C62" s="111"/>
      <c r="D62" s="111"/>
      <c r="E62" s="121"/>
      <c r="F62" s="121"/>
      <c r="G62" s="113"/>
      <c r="H62" s="219"/>
      <c r="I62" s="200" t="str">
        <f>IF(E62="","",IF(AND(T62&lt;=66),VLOOKUP(H62,'WritingVocab Look Up'!$A$13:$B$21,2,TRUE),IF(AND(T62&gt;=67,T62&lt;=72),VLOOKUP(H62,'WritingVocab Look Up'!$E$13:$F$21,2,TRUE),IF(AND(T62&gt;=73,T62&lt;=78),VLOOKUP(H62,'WritingVocab Look Up'!$I$13:$J$21,2,TRUE),IF(AND(T62&gt;=79),VLOOKUP(H62,'WritingVocab Look Up'!$M$13:$N$21,2,TRUE),"")))))</f>
        <v/>
      </c>
      <c r="T62" s="222" t="str">
        <f t="shared" si="0"/>
        <v/>
      </c>
    </row>
    <row r="63" spans="1:20" s="108" customFormat="1" ht="15.75">
      <c r="A63" s="119"/>
      <c r="B63" s="120"/>
      <c r="C63" s="111"/>
      <c r="D63" s="111"/>
      <c r="E63" s="121"/>
      <c r="F63" s="121"/>
      <c r="G63" s="113"/>
      <c r="H63" s="219"/>
      <c r="I63" s="200" t="str">
        <f>IF(E63="","",IF(AND(T63&lt;=66),VLOOKUP(H63,'WritingVocab Look Up'!$A$13:$B$21,2,TRUE),IF(AND(T63&gt;=67,T63&lt;=72),VLOOKUP(H63,'WritingVocab Look Up'!$E$13:$F$21,2,TRUE),IF(AND(T63&gt;=73,T63&lt;=78),VLOOKUP(H63,'WritingVocab Look Up'!$I$13:$J$21,2,TRUE),IF(AND(T63&gt;=79),VLOOKUP(H63,'WritingVocab Look Up'!$M$13:$N$21,2,TRUE),"")))))</f>
        <v/>
      </c>
      <c r="T63" s="222" t="str">
        <f t="shared" si="0"/>
        <v/>
      </c>
    </row>
    <row r="64" spans="1:20" s="108" customFormat="1" ht="15.75">
      <c r="A64" s="119"/>
      <c r="B64" s="120"/>
      <c r="C64" s="111"/>
      <c r="D64" s="111"/>
      <c r="E64" s="121"/>
      <c r="F64" s="121"/>
      <c r="G64" s="113"/>
      <c r="H64" s="219"/>
      <c r="I64" s="200" t="str">
        <f>IF(E64="","",IF(AND(T64&lt;=66),VLOOKUP(H64,'WritingVocab Look Up'!$A$13:$B$21,2,TRUE),IF(AND(T64&gt;=67,T64&lt;=72),VLOOKUP(H64,'WritingVocab Look Up'!$E$13:$F$21,2,TRUE),IF(AND(T64&gt;=73,T64&lt;=78),VLOOKUP(H64,'WritingVocab Look Up'!$I$13:$J$21,2,TRUE),IF(AND(T64&gt;=79),VLOOKUP(H64,'WritingVocab Look Up'!$M$13:$N$21,2,TRUE),"")))))</f>
        <v/>
      </c>
      <c r="T64" s="222" t="str">
        <f t="shared" si="0"/>
        <v/>
      </c>
    </row>
    <row r="65" spans="1:20" s="108" customFormat="1" ht="15.75">
      <c r="A65" s="119"/>
      <c r="B65" s="120"/>
      <c r="C65" s="111"/>
      <c r="D65" s="111"/>
      <c r="E65" s="121"/>
      <c r="F65" s="121"/>
      <c r="G65" s="113"/>
      <c r="H65" s="219"/>
      <c r="I65" s="200" t="str">
        <f>IF(E65="","",IF(AND(T65&lt;=66),VLOOKUP(H65,'WritingVocab Look Up'!$A$13:$B$21,2,TRUE),IF(AND(T65&gt;=67,T65&lt;=72),VLOOKUP(H65,'WritingVocab Look Up'!$E$13:$F$21,2,TRUE),IF(AND(T65&gt;=73,T65&lt;=78),VLOOKUP(H65,'WritingVocab Look Up'!$I$13:$J$21,2,TRUE),IF(AND(T65&gt;=79),VLOOKUP(H65,'WritingVocab Look Up'!$M$13:$N$21,2,TRUE),"")))))</f>
        <v/>
      </c>
      <c r="T65" s="222" t="str">
        <f t="shared" si="0"/>
        <v/>
      </c>
    </row>
    <row r="66" spans="1:20" s="108" customFormat="1" ht="15.75">
      <c r="A66" s="119"/>
      <c r="B66" s="120"/>
      <c r="C66" s="111"/>
      <c r="D66" s="111"/>
      <c r="E66" s="121"/>
      <c r="F66" s="121"/>
      <c r="G66" s="113"/>
      <c r="H66" s="219"/>
      <c r="I66" s="200" t="str">
        <f>IF(E66="","",IF(AND(T66&lt;=66),VLOOKUP(H66,'WritingVocab Look Up'!$A$13:$B$21,2,TRUE),IF(AND(T66&gt;=67,T66&lt;=72),VLOOKUP(H66,'WritingVocab Look Up'!$E$13:$F$21,2,TRUE),IF(AND(T66&gt;=73,T66&lt;=78),VLOOKUP(H66,'WritingVocab Look Up'!$I$13:$J$21,2,TRUE),IF(AND(T66&gt;=79),VLOOKUP(H66,'WritingVocab Look Up'!$M$13:$N$21,2,TRUE),"")))))</f>
        <v/>
      </c>
      <c r="T66" s="222" t="str">
        <f t="shared" si="0"/>
        <v/>
      </c>
    </row>
    <row r="67" spans="1:20" s="108" customFormat="1" ht="15.75">
      <c r="A67" s="119"/>
      <c r="B67" s="120"/>
      <c r="C67" s="111"/>
      <c r="D67" s="111"/>
      <c r="E67" s="121"/>
      <c r="F67" s="121"/>
      <c r="G67" s="113"/>
      <c r="H67" s="219"/>
      <c r="I67" s="200" t="str">
        <f>IF(E67="","",IF(AND(T67&lt;=66),VLOOKUP(H67,'WritingVocab Look Up'!$A$13:$B$21,2,TRUE),IF(AND(T67&gt;=67,T67&lt;=72),VLOOKUP(H67,'WritingVocab Look Up'!$E$13:$F$21,2,TRUE),IF(AND(T67&gt;=73,T67&lt;=78),VLOOKUP(H67,'WritingVocab Look Up'!$I$13:$J$21,2,TRUE),IF(AND(T67&gt;=79),VLOOKUP(H67,'WritingVocab Look Up'!$M$13:$N$21,2,TRUE),"")))))</f>
        <v/>
      </c>
      <c r="T67" s="222" t="str">
        <f t="shared" si="0"/>
        <v/>
      </c>
    </row>
    <row r="68" spans="1:20" s="108" customFormat="1" ht="15.75">
      <c r="A68" s="119"/>
      <c r="B68" s="120"/>
      <c r="C68" s="111"/>
      <c r="D68" s="111"/>
      <c r="E68" s="121"/>
      <c r="F68" s="121"/>
      <c r="G68" s="113"/>
      <c r="H68" s="219"/>
      <c r="I68" s="200" t="str">
        <f>IF(E68="","",IF(AND(T68&lt;=66),VLOOKUP(H68,'WritingVocab Look Up'!$A$13:$B$21,2,TRUE),IF(AND(T68&gt;=67,T68&lt;=72),VLOOKUP(H68,'WritingVocab Look Up'!$E$13:$F$21,2,TRUE),IF(AND(T68&gt;=73,T68&lt;=78),VLOOKUP(H68,'WritingVocab Look Up'!$I$13:$J$21,2,TRUE),IF(AND(T68&gt;=79),VLOOKUP(H68,'WritingVocab Look Up'!$M$13:$N$21,2,TRUE),"")))))</f>
        <v/>
      </c>
      <c r="T68" s="222" t="str">
        <f t="shared" si="0"/>
        <v/>
      </c>
    </row>
    <row r="69" spans="1:20" s="108" customFormat="1" ht="15.75">
      <c r="A69" s="119"/>
      <c r="B69" s="120"/>
      <c r="C69" s="111"/>
      <c r="D69" s="111"/>
      <c r="E69" s="121"/>
      <c r="F69" s="121"/>
      <c r="G69" s="113"/>
      <c r="H69" s="219"/>
      <c r="I69" s="200" t="str">
        <f>IF(E69="","",IF(AND(T69&lt;=66),VLOOKUP(H69,'WritingVocab Look Up'!$A$13:$B$21,2,TRUE),IF(AND(T69&gt;=67,T69&lt;=72),VLOOKUP(H69,'WritingVocab Look Up'!$E$13:$F$21,2,TRUE),IF(AND(T69&gt;=73,T69&lt;=78),VLOOKUP(H69,'WritingVocab Look Up'!$I$13:$J$21,2,TRUE),IF(AND(T69&gt;=79),VLOOKUP(H69,'WritingVocab Look Up'!$M$13:$N$21,2,TRUE),"")))))</f>
        <v/>
      </c>
      <c r="T69" s="222" t="str">
        <f t="shared" si="0"/>
        <v/>
      </c>
    </row>
    <row r="70" spans="1:20" s="108" customFormat="1" ht="15.75">
      <c r="A70" s="119"/>
      <c r="B70" s="120"/>
      <c r="C70" s="111"/>
      <c r="D70" s="111"/>
      <c r="E70" s="121"/>
      <c r="F70" s="121"/>
      <c r="G70" s="113"/>
      <c r="H70" s="219"/>
      <c r="I70" s="200" t="str">
        <f>IF(E70="","",IF(AND(T70&lt;=66),VLOOKUP(H70,'WritingVocab Look Up'!$A$13:$B$21,2,TRUE),IF(AND(T70&gt;=67,T70&lt;=72),VLOOKUP(H70,'WritingVocab Look Up'!$E$13:$F$21,2,TRUE),IF(AND(T70&gt;=73,T70&lt;=78),VLOOKUP(H70,'WritingVocab Look Up'!$I$13:$J$21,2,TRUE),IF(AND(T70&gt;=79),VLOOKUP(H70,'WritingVocab Look Up'!$M$13:$N$21,2,TRUE),"")))))</f>
        <v/>
      </c>
      <c r="T70" s="222" t="str">
        <f t="shared" ref="T70:T133" si="1">IF(E70="","",DATEDIF(B70,A70,"m"))</f>
        <v/>
      </c>
    </row>
    <row r="71" spans="1:20" s="108" customFormat="1" ht="15.75">
      <c r="A71" s="119"/>
      <c r="B71" s="120"/>
      <c r="C71" s="111"/>
      <c r="D71" s="111"/>
      <c r="E71" s="121"/>
      <c r="F71" s="121"/>
      <c r="G71" s="113"/>
      <c r="H71" s="219"/>
      <c r="I71" s="200" t="str">
        <f>IF(E71="","",IF(AND(T71&lt;=66),VLOOKUP(H71,'WritingVocab Look Up'!$A$13:$B$21,2,TRUE),IF(AND(T71&gt;=67,T71&lt;=72),VLOOKUP(H71,'WritingVocab Look Up'!$E$13:$F$21,2,TRUE),IF(AND(T71&gt;=73,T71&lt;=78),VLOOKUP(H71,'WritingVocab Look Up'!$I$13:$J$21,2,TRUE),IF(AND(T71&gt;=79),VLOOKUP(H71,'WritingVocab Look Up'!$M$13:$N$21,2,TRUE),"")))))</f>
        <v/>
      </c>
      <c r="T71" s="222" t="str">
        <f t="shared" si="1"/>
        <v/>
      </c>
    </row>
    <row r="72" spans="1:20" s="108" customFormat="1" ht="15.75">
      <c r="A72" s="119"/>
      <c r="B72" s="120"/>
      <c r="C72" s="111"/>
      <c r="D72" s="111"/>
      <c r="E72" s="121"/>
      <c r="F72" s="121"/>
      <c r="G72" s="113"/>
      <c r="H72" s="219"/>
      <c r="I72" s="200" t="str">
        <f>IF(E72="","",IF(AND(T72&lt;=66),VLOOKUP(H72,'WritingVocab Look Up'!$A$13:$B$21,2,TRUE),IF(AND(T72&gt;=67,T72&lt;=72),VLOOKUP(H72,'WritingVocab Look Up'!$E$13:$F$21,2,TRUE),IF(AND(T72&gt;=73,T72&lt;=78),VLOOKUP(H72,'WritingVocab Look Up'!$I$13:$J$21,2,TRUE),IF(AND(T72&gt;=79),VLOOKUP(H72,'WritingVocab Look Up'!$M$13:$N$21,2,TRUE),"")))))</f>
        <v/>
      </c>
      <c r="T72" s="222" t="str">
        <f t="shared" si="1"/>
        <v/>
      </c>
    </row>
    <row r="73" spans="1:20" s="108" customFormat="1" ht="15.75">
      <c r="A73" s="119"/>
      <c r="B73" s="120"/>
      <c r="C73" s="111"/>
      <c r="D73" s="111"/>
      <c r="E73" s="121"/>
      <c r="F73" s="121"/>
      <c r="G73" s="113"/>
      <c r="H73" s="219"/>
      <c r="I73" s="200" t="str">
        <f>IF(E73="","",IF(AND(T73&lt;=66),VLOOKUP(H73,'WritingVocab Look Up'!$A$13:$B$21,2,TRUE),IF(AND(T73&gt;=67,T73&lt;=72),VLOOKUP(H73,'WritingVocab Look Up'!$E$13:$F$21,2,TRUE),IF(AND(T73&gt;=73,T73&lt;=78),VLOOKUP(H73,'WritingVocab Look Up'!$I$13:$J$21,2,TRUE),IF(AND(T73&gt;=79),VLOOKUP(H73,'WritingVocab Look Up'!$M$13:$N$21,2,TRUE),"")))))</f>
        <v/>
      </c>
      <c r="T73" s="222" t="str">
        <f t="shared" si="1"/>
        <v/>
      </c>
    </row>
    <row r="74" spans="1:20" s="108" customFormat="1" ht="15.75">
      <c r="A74" s="119"/>
      <c r="B74" s="120"/>
      <c r="C74" s="111"/>
      <c r="D74" s="111"/>
      <c r="E74" s="121"/>
      <c r="F74" s="121"/>
      <c r="G74" s="113"/>
      <c r="H74" s="219"/>
      <c r="I74" s="200" t="str">
        <f>IF(E74="","",IF(AND(T74&lt;=66),VLOOKUP(H74,'WritingVocab Look Up'!$A$13:$B$21,2,TRUE),IF(AND(T74&gt;=67,T74&lt;=72),VLOOKUP(H74,'WritingVocab Look Up'!$E$13:$F$21,2,TRUE),IF(AND(T74&gt;=73,T74&lt;=78),VLOOKUP(H74,'WritingVocab Look Up'!$I$13:$J$21,2,TRUE),IF(AND(T74&gt;=79),VLOOKUP(H74,'WritingVocab Look Up'!$M$13:$N$21,2,TRUE),"")))))</f>
        <v/>
      </c>
      <c r="T74" s="222" t="str">
        <f t="shared" si="1"/>
        <v/>
      </c>
    </row>
    <row r="75" spans="1:20" s="108" customFormat="1" ht="15.75">
      <c r="A75" s="119"/>
      <c r="B75" s="120"/>
      <c r="C75" s="111"/>
      <c r="D75" s="111"/>
      <c r="E75" s="121"/>
      <c r="F75" s="121"/>
      <c r="G75" s="113"/>
      <c r="H75" s="219"/>
      <c r="I75" s="200" t="str">
        <f>IF(E75="","",IF(AND(T75&lt;=66),VLOOKUP(H75,'WritingVocab Look Up'!$A$13:$B$21,2,TRUE),IF(AND(T75&gt;=67,T75&lt;=72),VLOOKUP(H75,'WritingVocab Look Up'!$E$13:$F$21,2,TRUE),IF(AND(T75&gt;=73,T75&lt;=78),VLOOKUP(H75,'WritingVocab Look Up'!$I$13:$J$21,2,TRUE),IF(AND(T75&gt;=79),VLOOKUP(H75,'WritingVocab Look Up'!$M$13:$N$21,2,TRUE),"")))))</f>
        <v/>
      </c>
      <c r="T75" s="222" t="str">
        <f t="shared" si="1"/>
        <v/>
      </c>
    </row>
    <row r="76" spans="1:20" s="108" customFormat="1" ht="15.75">
      <c r="A76" s="119"/>
      <c r="B76" s="120"/>
      <c r="C76" s="111"/>
      <c r="D76" s="111"/>
      <c r="E76" s="121"/>
      <c r="F76" s="121"/>
      <c r="G76" s="113"/>
      <c r="H76" s="219"/>
      <c r="I76" s="200" t="str">
        <f>IF(E76="","",IF(AND(T76&lt;=66),VLOOKUP(H76,'WritingVocab Look Up'!$A$13:$B$21,2,TRUE),IF(AND(T76&gt;=67,T76&lt;=72),VLOOKUP(H76,'WritingVocab Look Up'!$E$13:$F$21,2,TRUE),IF(AND(T76&gt;=73,T76&lt;=78),VLOOKUP(H76,'WritingVocab Look Up'!$I$13:$J$21,2,TRUE),IF(AND(T76&gt;=79),VLOOKUP(H76,'WritingVocab Look Up'!$M$13:$N$21,2,TRUE),"")))))</f>
        <v/>
      </c>
      <c r="T76" s="222" t="str">
        <f t="shared" si="1"/>
        <v/>
      </c>
    </row>
    <row r="77" spans="1:20" s="108" customFormat="1" ht="15.75">
      <c r="A77" s="119"/>
      <c r="B77" s="120"/>
      <c r="C77" s="111"/>
      <c r="D77" s="111"/>
      <c r="E77" s="121"/>
      <c r="F77" s="121"/>
      <c r="G77" s="113"/>
      <c r="H77" s="219"/>
      <c r="I77" s="200" t="str">
        <f>IF(E77="","",IF(AND(T77&lt;=66),VLOOKUP(H77,'WritingVocab Look Up'!$A$13:$B$21,2,TRUE),IF(AND(T77&gt;=67,T77&lt;=72),VLOOKUP(H77,'WritingVocab Look Up'!$E$13:$F$21,2,TRUE),IF(AND(T77&gt;=73,T77&lt;=78),VLOOKUP(H77,'WritingVocab Look Up'!$I$13:$J$21,2,TRUE),IF(AND(T77&gt;=79),VLOOKUP(H77,'WritingVocab Look Up'!$M$13:$N$21,2,TRUE),"")))))</f>
        <v/>
      </c>
      <c r="T77" s="222" t="str">
        <f t="shared" si="1"/>
        <v/>
      </c>
    </row>
    <row r="78" spans="1:20" s="108" customFormat="1" ht="15.75">
      <c r="A78" s="119"/>
      <c r="B78" s="120"/>
      <c r="C78" s="111"/>
      <c r="D78" s="111"/>
      <c r="E78" s="121"/>
      <c r="F78" s="121"/>
      <c r="G78" s="113"/>
      <c r="H78" s="219"/>
      <c r="I78" s="200" t="str">
        <f>IF(E78="","",IF(AND(T78&lt;=66),VLOOKUP(H78,'WritingVocab Look Up'!$A$13:$B$21,2,TRUE),IF(AND(T78&gt;=67,T78&lt;=72),VLOOKUP(H78,'WritingVocab Look Up'!$E$13:$F$21,2,TRUE),IF(AND(T78&gt;=73,T78&lt;=78),VLOOKUP(H78,'WritingVocab Look Up'!$I$13:$J$21,2,TRUE),IF(AND(T78&gt;=79),VLOOKUP(H78,'WritingVocab Look Up'!$M$13:$N$21,2,TRUE),"")))))</f>
        <v/>
      </c>
      <c r="T78" s="222" t="str">
        <f t="shared" si="1"/>
        <v/>
      </c>
    </row>
    <row r="79" spans="1:20" s="108" customFormat="1" ht="15.75">
      <c r="A79" s="119"/>
      <c r="B79" s="120"/>
      <c r="C79" s="111"/>
      <c r="D79" s="111"/>
      <c r="E79" s="121"/>
      <c r="F79" s="121"/>
      <c r="G79" s="113"/>
      <c r="H79" s="219"/>
      <c r="I79" s="200" t="str">
        <f>IF(E79="","",IF(AND(T79&lt;=66),VLOOKUP(H79,'WritingVocab Look Up'!$A$13:$B$21,2,TRUE),IF(AND(T79&gt;=67,T79&lt;=72),VLOOKUP(H79,'WritingVocab Look Up'!$E$13:$F$21,2,TRUE),IF(AND(T79&gt;=73,T79&lt;=78),VLOOKUP(H79,'WritingVocab Look Up'!$I$13:$J$21,2,TRUE),IF(AND(T79&gt;=79),VLOOKUP(H79,'WritingVocab Look Up'!$M$13:$N$21,2,TRUE),"")))))</f>
        <v/>
      </c>
      <c r="T79" s="222" t="str">
        <f t="shared" si="1"/>
        <v/>
      </c>
    </row>
    <row r="80" spans="1:20" s="108" customFormat="1" ht="15.75">
      <c r="A80" s="119"/>
      <c r="B80" s="120"/>
      <c r="C80" s="111"/>
      <c r="D80" s="111"/>
      <c r="E80" s="121"/>
      <c r="F80" s="121"/>
      <c r="G80" s="113"/>
      <c r="H80" s="219"/>
      <c r="I80" s="200" t="str">
        <f>IF(E80="","",IF(AND(T80&lt;=66),VLOOKUP(H80,'WritingVocab Look Up'!$A$13:$B$21,2,TRUE),IF(AND(T80&gt;=67,T80&lt;=72),VLOOKUP(H80,'WritingVocab Look Up'!$E$13:$F$21,2,TRUE),IF(AND(T80&gt;=73,T80&lt;=78),VLOOKUP(H80,'WritingVocab Look Up'!$I$13:$J$21,2,TRUE),IF(AND(T80&gt;=79),VLOOKUP(H80,'WritingVocab Look Up'!$M$13:$N$21,2,TRUE),"")))))</f>
        <v/>
      </c>
      <c r="T80" s="222" t="str">
        <f t="shared" si="1"/>
        <v/>
      </c>
    </row>
    <row r="81" spans="1:20" s="108" customFormat="1" ht="15.75">
      <c r="A81" s="119"/>
      <c r="B81" s="120"/>
      <c r="C81" s="111"/>
      <c r="D81" s="111"/>
      <c r="E81" s="121"/>
      <c r="F81" s="121"/>
      <c r="G81" s="113"/>
      <c r="H81" s="219"/>
      <c r="I81" s="200" t="str">
        <f>IF(E81="","",IF(AND(T81&lt;=66),VLOOKUP(H81,'WritingVocab Look Up'!$A$13:$B$21,2,TRUE),IF(AND(T81&gt;=67,T81&lt;=72),VLOOKUP(H81,'WritingVocab Look Up'!$E$13:$F$21,2,TRUE),IF(AND(T81&gt;=73,T81&lt;=78),VLOOKUP(H81,'WritingVocab Look Up'!$I$13:$J$21,2,TRUE),IF(AND(T81&gt;=79),VLOOKUP(H81,'WritingVocab Look Up'!$M$13:$N$21,2,TRUE),"")))))</f>
        <v/>
      </c>
      <c r="T81" s="222" t="str">
        <f t="shared" si="1"/>
        <v/>
      </c>
    </row>
    <row r="82" spans="1:20" s="108" customFormat="1" ht="15.75">
      <c r="A82" s="119"/>
      <c r="B82" s="120"/>
      <c r="C82" s="111"/>
      <c r="D82" s="111"/>
      <c r="E82" s="121"/>
      <c r="F82" s="121"/>
      <c r="G82" s="113"/>
      <c r="H82" s="219"/>
      <c r="I82" s="200" t="str">
        <f>IF(E82="","",IF(AND(T82&lt;=66),VLOOKUP(H82,'WritingVocab Look Up'!$A$13:$B$21,2,TRUE),IF(AND(T82&gt;=67,T82&lt;=72),VLOOKUP(H82,'WritingVocab Look Up'!$E$13:$F$21,2,TRUE),IF(AND(T82&gt;=73,T82&lt;=78),VLOOKUP(H82,'WritingVocab Look Up'!$I$13:$J$21,2,TRUE),IF(AND(T82&gt;=79),VLOOKUP(H82,'WritingVocab Look Up'!$M$13:$N$21,2,TRUE),"")))))</f>
        <v/>
      </c>
      <c r="T82" s="222" t="str">
        <f t="shared" si="1"/>
        <v/>
      </c>
    </row>
    <row r="83" spans="1:20" s="108" customFormat="1" ht="15.75">
      <c r="A83" s="119"/>
      <c r="B83" s="120"/>
      <c r="C83" s="111"/>
      <c r="D83" s="111"/>
      <c r="E83" s="121"/>
      <c r="F83" s="121"/>
      <c r="G83" s="113"/>
      <c r="H83" s="219"/>
      <c r="I83" s="200" t="str">
        <f>IF(E83="","",IF(AND(T83&lt;=66),VLOOKUP(H83,'WritingVocab Look Up'!$A$13:$B$21,2,TRUE),IF(AND(T83&gt;=67,T83&lt;=72),VLOOKUP(H83,'WritingVocab Look Up'!$E$13:$F$21,2,TRUE),IF(AND(T83&gt;=73,T83&lt;=78),VLOOKUP(H83,'WritingVocab Look Up'!$I$13:$J$21,2,TRUE),IF(AND(T83&gt;=79),VLOOKUP(H83,'WritingVocab Look Up'!$M$13:$N$21,2,TRUE),"")))))</f>
        <v/>
      </c>
      <c r="T83" s="222" t="str">
        <f t="shared" si="1"/>
        <v/>
      </c>
    </row>
    <row r="84" spans="1:20" s="108" customFormat="1" ht="15.75">
      <c r="A84" s="119"/>
      <c r="B84" s="120"/>
      <c r="C84" s="111"/>
      <c r="D84" s="111"/>
      <c r="E84" s="121"/>
      <c r="F84" s="121"/>
      <c r="G84" s="113"/>
      <c r="H84" s="219"/>
      <c r="I84" s="200" t="str">
        <f>IF(E84="","",IF(AND(T84&lt;=66),VLOOKUP(H84,'WritingVocab Look Up'!$A$13:$B$21,2,TRUE),IF(AND(T84&gt;=67,T84&lt;=72),VLOOKUP(H84,'WritingVocab Look Up'!$E$13:$F$21,2,TRUE),IF(AND(T84&gt;=73,T84&lt;=78),VLOOKUP(H84,'WritingVocab Look Up'!$I$13:$J$21,2,TRUE),IF(AND(T84&gt;=79),VLOOKUP(H84,'WritingVocab Look Up'!$M$13:$N$21,2,TRUE),"")))))</f>
        <v/>
      </c>
      <c r="T84" s="222" t="str">
        <f t="shared" si="1"/>
        <v/>
      </c>
    </row>
    <row r="85" spans="1:20" s="108" customFormat="1" ht="15.75">
      <c r="A85" s="119"/>
      <c r="B85" s="120"/>
      <c r="C85" s="111"/>
      <c r="D85" s="111"/>
      <c r="E85" s="121"/>
      <c r="F85" s="121"/>
      <c r="G85" s="113"/>
      <c r="H85" s="219"/>
      <c r="I85" s="200" t="str">
        <f>IF(E85="","",IF(AND(T85&lt;=66),VLOOKUP(H85,'WritingVocab Look Up'!$A$13:$B$21,2,TRUE),IF(AND(T85&gt;=67,T85&lt;=72),VLOOKUP(H85,'WritingVocab Look Up'!$E$13:$F$21,2,TRUE),IF(AND(T85&gt;=73,T85&lt;=78),VLOOKUP(H85,'WritingVocab Look Up'!$I$13:$J$21,2,TRUE),IF(AND(T85&gt;=79),VLOOKUP(H85,'WritingVocab Look Up'!$M$13:$N$21,2,TRUE),"")))))</f>
        <v/>
      </c>
      <c r="T85" s="222" t="str">
        <f t="shared" si="1"/>
        <v/>
      </c>
    </row>
    <row r="86" spans="1:20" s="108" customFormat="1" ht="15.75">
      <c r="A86" s="119"/>
      <c r="B86" s="120"/>
      <c r="C86" s="111"/>
      <c r="D86" s="111"/>
      <c r="E86" s="121"/>
      <c r="F86" s="121"/>
      <c r="G86" s="113"/>
      <c r="H86" s="219"/>
      <c r="I86" s="200" t="str">
        <f>IF(E86="","",IF(AND(T86&lt;=66),VLOOKUP(H86,'WritingVocab Look Up'!$A$13:$B$21,2,TRUE),IF(AND(T86&gt;=67,T86&lt;=72),VLOOKUP(H86,'WritingVocab Look Up'!$E$13:$F$21,2,TRUE),IF(AND(T86&gt;=73,T86&lt;=78),VLOOKUP(H86,'WritingVocab Look Up'!$I$13:$J$21,2,TRUE),IF(AND(T86&gt;=79),VLOOKUP(H86,'WritingVocab Look Up'!$M$13:$N$21,2,TRUE),"")))))</f>
        <v/>
      </c>
      <c r="T86" s="222" t="str">
        <f t="shared" si="1"/>
        <v/>
      </c>
    </row>
    <row r="87" spans="1:20" s="108" customFormat="1" ht="15.75">
      <c r="A87" s="119"/>
      <c r="B87" s="120"/>
      <c r="C87" s="111"/>
      <c r="D87" s="111"/>
      <c r="E87" s="121"/>
      <c r="F87" s="121"/>
      <c r="G87" s="113"/>
      <c r="H87" s="219"/>
      <c r="I87" s="200" t="str">
        <f>IF(E87="","",IF(AND(T87&lt;=66),VLOOKUP(H87,'WritingVocab Look Up'!$A$13:$B$21,2,TRUE),IF(AND(T87&gt;=67,T87&lt;=72),VLOOKUP(H87,'WritingVocab Look Up'!$E$13:$F$21,2,TRUE),IF(AND(T87&gt;=73,T87&lt;=78),VLOOKUP(H87,'WritingVocab Look Up'!$I$13:$J$21,2,TRUE),IF(AND(T87&gt;=79),VLOOKUP(H87,'WritingVocab Look Up'!$M$13:$N$21,2,TRUE),"")))))</f>
        <v/>
      </c>
      <c r="T87" s="222" t="str">
        <f t="shared" si="1"/>
        <v/>
      </c>
    </row>
    <row r="88" spans="1:20" s="108" customFormat="1" ht="15.75">
      <c r="A88" s="119"/>
      <c r="B88" s="120"/>
      <c r="C88" s="111"/>
      <c r="D88" s="111"/>
      <c r="E88" s="121"/>
      <c r="F88" s="121"/>
      <c r="G88" s="113"/>
      <c r="H88" s="219"/>
      <c r="I88" s="200" t="str">
        <f>IF(E88="","",IF(AND(T88&lt;=66),VLOOKUP(H88,'WritingVocab Look Up'!$A$13:$B$21,2,TRUE),IF(AND(T88&gt;=67,T88&lt;=72),VLOOKUP(H88,'WritingVocab Look Up'!$E$13:$F$21,2,TRUE),IF(AND(T88&gt;=73,T88&lt;=78),VLOOKUP(H88,'WritingVocab Look Up'!$I$13:$J$21,2,TRUE),IF(AND(T88&gt;=79),VLOOKUP(H88,'WritingVocab Look Up'!$M$13:$N$21,2,TRUE),"")))))</f>
        <v/>
      </c>
      <c r="T88" s="222" t="str">
        <f t="shared" si="1"/>
        <v/>
      </c>
    </row>
    <row r="89" spans="1:20" s="108" customFormat="1" ht="15.75">
      <c r="A89" s="119"/>
      <c r="B89" s="120"/>
      <c r="C89" s="111"/>
      <c r="D89" s="111"/>
      <c r="E89" s="121"/>
      <c r="F89" s="121"/>
      <c r="G89" s="113"/>
      <c r="H89" s="219"/>
      <c r="I89" s="200" t="str">
        <f>IF(E89="","",IF(AND(T89&lt;=66),VLOOKUP(H89,'WritingVocab Look Up'!$A$13:$B$21,2,TRUE),IF(AND(T89&gt;=67,T89&lt;=72),VLOOKUP(H89,'WritingVocab Look Up'!$E$13:$F$21,2,TRUE),IF(AND(T89&gt;=73,T89&lt;=78),VLOOKUP(H89,'WritingVocab Look Up'!$I$13:$J$21,2,TRUE),IF(AND(T89&gt;=79),VLOOKUP(H89,'WritingVocab Look Up'!$M$13:$N$21,2,TRUE),"")))))</f>
        <v/>
      </c>
      <c r="T89" s="222" t="str">
        <f t="shared" si="1"/>
        <v/>
      </c>
    </row>
    <row r="90" spans="1:20" s="108" customFormat="1" ht="15.75">
      <c r="A90" s="119"/>
      <c r="B90" s="120"/>
      <c r="C90" s="111"/>
      <c r="D90" s="111"/>
      <c r="E90" s="121"/>
      <c r="F90" s="121"/>
      <c r="G90" s="113"/>
      <c r="H90" s="219"/>
      <c r="I90" s="200" t="str">
        <f>IF(E90="","",IF(AND(T90&lt;=66),VLOOKUP(H90,'WritingVocab Look Up'!$A$13:$B$21,2,TRUE),IF(AND(T90&gt;=67,T90&lt;=72),VLOOKUP(H90,'WritingVocab Look Up'!$E$13:$F$21,2,TRUE),IF(AND(T90&gt;=73,T90&lt;=78),VLOOKUP(H90,'WritingVocab Look Up'!$I$13:$J$21,2,TRUE),IF(AND(T90&gt;=79),VLOOKUP(H90,'WritingVocab Look Up'!$M$13:$N$21,2,TRUE),"")))))</f>
        <v/>
      </c>
      <c r="T90" s="222" t="str">
        <f t="shared" si="1"/>
        <v/>
      </c>
    </row>
    <row r="91" spans="1:20" s="108" customFormat="1" ht="15.75">
      <c r="A91" s="119"/>
      <c r="B91" s="120"/>
      <c r="C91" s="111"/>
      <c r="D91" s="111"/>
      <c r="E91" s="121"/>
      <c r="F91" s="121"/>
      <c r="G91" s="113"/>
      <c r="H91" s="219"/>
      <c r="I91" s="200" t="str">
        <f>IF(E91="","",IF(AND(T91&lt;=66),VLOOKUP(H91,'WritingVocab Look Up'!$A$13:$B$21,2,TRUE),IF(AND(T91&gt;=67,T91&lt;=72),VLOOKUP(H91,'WritingVocab Look Up'!$E$13:$F$21,2,TRUE),IF(AND(T91&gt;=73,T91&lt;=78),VLOOKUP(H91,'WritingVocab Look Up'!$I$13:$J$21,2,TRUE),IF(AND(T91&gt;=79),VLOOKUP(H91,'WritingVocab Look Up'!$M$13:$N$21,2,TRUE),"")))))</f>
        <v/>
      </c>
      <c r="T91" s="222" t="str">
        <f t="shared" si="1"/>
        <v/>
      </c>
    </row>
    <row r="92" spans="1:20" s="108" customFormat="1" ht="15.75">
      <c r="A92" s="119"/>
      <c r="B92" s="120"/>
      <c r="C92" s="111"/>
      <c r="D92" s="111"/>
      <c r="E92" s="121"/>
      <c r="F92" s="121"/>
      <c r="G92" s="113"/>
      <c r="H92" s="219"/>
      <c r="I92" s="200" t="str">
        <f>IF(E92="","",IF(AND(T92&lt;=66),VLOOKUP(H92,'WritingVocab Look Up'!$A$13:$B$21,2,TRUE),IF(AND(T92&gt;=67,T92&lt;=72),VLOOKUP(H92,'WritingVocab Look Up'!$E$13:$F$21,2,TRUE),IF(AND(T92&gt;=73,T92&lt;=78),VLOOKUP(H92,'WritingVocab Look Up'!$I$13:$J$21,2,TRUE),IF(AND(T92&gt;=79),VLOOKUP(H92,'WritingVocab Look Up'!$M$13:$N$21,2,TRUE),"")))))</f>
        <v/>
      </c>
      <c r="T92" s="222" t="str">
        <f t="shared" si="1"/>
        <v/>
      </c>
    </row>
    <row r="93" spans="1:20" s="108" customFormat="1" ht="15.75">
      <c r="A93" s="119"/>
      <c r="B93" s="120"/>
      <c r="C93" s="111"/>
      <c r="D93" s="111"/>
      <c r="E93" s="121"/>
      <c r="F93" s="121"/>
      <c r="G93" s="113"/>
      <c r="H93" s="219"/>
      <c r="I93" s="200" t="str">
        <f>IF(E93="","",IF(AND(T93&lt;=66),VLOOKUP(H93,'WritingVocab Look Up'!$A$13:$B$21,2,TRUE),IF(AND(T93&gt;=67,T93&lt;=72),VLOOKUP(H93,'WritingVocab Look Up'!$E$13:$F$21,2,TRUE),IF(AND(T93&gt;=73,T93&lt;=78),VLOOKUP(H93,'WritingVocab Look Up'!$I$13:$J$21,2,TRUE),IF(AND(T93&gt;=79),VLOOKUP(H93,'WritingVocab Look Up'!$M$13:$N$21,2,TRUE),"")))))</f>
        <v/>
      </c>
      <c r="T93" s="222" t="str">
        <f t="shared" si="1"/>
        <v/>
      </c>
    </row>
    <row r="94" spans="1:20" s="108" customFormat="1" ht="15.75">
      <c r="A94" s="119"/>
      <c r="B94" s="120"/>
      <c r="C94" s="111"/>
      <c r="D94" s="111"/>
      <c r="E94" s="121"/>
      <c r="F94" s="121"/>
      <c r="G94" s="113"/>
      <c r="H94" s="219"/>
      <c r="I94" s="200" t="str">
        <f>IF(E94="","",IF(AND(T94&lt;=66),VLOOKUP(H94,'WritingVocab Look Up'!$A$13:$B$21,2,TRUE),IF(AND(T94&gt;=67,T94&lt;=72),VLOOKUP(H94,'WritingVocab Look Up'!$E$13:$F$21,2,TRUE),IF(AND(T94&gt;=73,T94&lt;=78),VLOOKUP(H94,'WritingVocab Look Up'!$I$13:$J$21,2,TRUE),IF(AND(T94&gt;=79),VLOOKUP(H94,'WritingVocab Look Up'!$M$13:$N$21,2,TRUE),"")))))</f>
        <v/>
      </c>
      <c r="T94" s="222" t="str">
        <f t="shared" si="1"/>
        <v/>
      </c>
    </row>
    <row r="95" spans="1:20" s="108" customFormat="1" ht="15.75">
      <c r="A95" s="119"/>
      <c r="B95" s="120"/>
      <c r="C95" s="111"/>
      <c r="D95" s="111"/>
      <c r="E95" s="121"/>
      <c r="F95" s="121"/>
      <c r="G95" s="113"/>
      <c r="H95" s="219"/>
      <c r="I95" s="200" t="str">
        <f>IF(E95="","",IF(AND(T95&lt;=66),VLOOKUP(H95,'WritingVocab Look Up'!$A$13:$B$21,2,TRUE),IF(AND(T95&gt;=67,T95&lt;=72),VLOOKUP(H95,'WritingVocab Look Up'!$E$13:$F$21,2,TRUE),IF(AND(T95&gt;=73,T95&lt;=78),VLOOKUP(H95,'WritingVocab Look Up'!$I$13:$J$21,2,TRUE),IF(AND(T95&gt;=79),VLOOKUP(H95,'WritingVocab Look Up'!$M$13:$N$21,2,TRUE),"")))))</f>
        <v/>
      </c>
      <c r="T95" s="222" t="str">
        <f t="shared" si="1"/>
        <v/>
      </c>
    </row>
    <row r="96" spans="1:20" s="108" customFormat="1" ht="15.75">
      <c r="A96" s="119"/>
      <c r="B96" s="120"/>
      <c r="C96" s="111"/>
      <c r="D96" s="111"/>
      <c r="E96" s="121"/>
      <c r="F96" s="121"/>
      <c r="G96" s="113"/>
      <c r="H96" s="219"/>
      <c r="I96" s="200" t="str">
        <f>IF(E96="","",IF(AND(T96&lt;=66),VLOOKUP(H96,'WritingVocab Look Up'!$A$13:$B$21,2,TRUE),IF(AND(T96&gt;=67,T96&lt;=72),VLOOKUP(H96,'WritingVocab Look Up'!$E$13:$F$21,2,TRUE),IF(AND(T96&gt;=73,T96&lt;=78),VLOOKUP(H96,'WritingVocab Look Up'!$I$13:$J$21,2,TRUE),IF(AND(T96&gt;=79),VLOOKUP(H96,'WritingVocab Look Up'!$M$13:$N$21,2,TRUE),"")))))</f>
        <v/>
      </c>
      <c r="T96" s="222" t="str">
        <f t="shared" si="1"/>
        <v/>
      </c>
    </row>
    <row r="97" spans="1:20" s="108" customFormat="1" ht="15.75">
      <c r="A97" s="119"/>
      <c r="B97" s="120"/>
      <c r="C97" s="111"/>
      <c r="D97" s="111"/>
      <c r="E97" s="121"/>
      <c r="F97" s="121"/>
      <c r="G97" s="113"/>
      <c r="H97" s="219"/>
      <c r="I97" s="200" t="str">
        <f>IF(E97="","",IF(AND(T97&lt;=66),VLOOKUP(H97,'WritingVocab Look Up'!$A$13:$B$21,2,TRUE),IF(AND(T97&gt;=67,T97&lt;=72),VLOOKUP(H97,'WritingVocab Look Up'!$E$13:$F$21,2,TRUE),IF(AND(T97&gt;=73,T97&lt;=78),VLOOKUP(H97,'WritingVocab Look Up'!$I$13:$J$21,2,TRUE),IF(AND(T97&gt;=79),VLOOKUP(H97,'WritingVocab Look Up'!$M$13:$N$21,2,TRUE),"")))))</f>
        <v/>
      </c>
      <c r="T97" s="222" t="str">
        <f t="shared" si="1"/>
        <v/>
      </c>
    </row>
    <row r="98" spans="1:20" s="108" customFormat="1" ht="15.75">
      <c r="A98" s="119"/>
      <c r="B98" s="120"/>
      <c r="C98" s="111"/>
      <c r="D98" s="111"/>
      <c r="E98" s="121"/>
      <c r="F98" s="121"/>
      <c r="G98" s="113"/>
      <c r="H98" s="219"/>
      <c r="I98" s="200" t="str">
        <f>IF(E98="","",IF(AND(T98&lt;=66),VLOOKUP(H98,'WritingVocab Look Up'!$A$13:$B$21,2,TRUE),IF(AND(T98&gt;=67,T98&lt;=72),VLOOKUP(H98,'WritingVocab Look Up'!$E$13:$F$21,2,TRUE),IF(AND(T98&gt;=73,T98&lt;=78),VLOOKUP(H98,'WritingVocab Look Up'!$I$13:$J$21,2,TRUE),IF(AND(T98&gt;=79),VLOOKUP(H98,'WritingVocab Look Up'!$M$13:$N$21,2,TRUE),"")))))</f>
        <v/>
      </c>
      <c r="T98" s="222" t="str">
        <f t="shared" si="1"/>
        <v/>
      </c>
    </row>
    <row r="99" spans="1:20" s="108" customFormat="1" ht="15.75">
      <c r="A99" s="119"/>
      <c r="B99" s="120"/>
      <c r="C99" s="111"/>
      <c r="D99" s="111"/>
      <c r="E99" s="121"/>
      <c r="F99" s="121"/>
      <c r="G99" s="113"/>
      <c r="H99" s="219"/>
      <c r="I99" s="200" t="str">
        <f>IF(E99="","",IF(AND(T99&lt;=66),VLOOKUP(H99,'WritingVocab Look Up'!$A$13:$B$21,2,TRUE),IF(AND(T99&gt;=67,T99&lt;=72),VLOOKUP(H99,'WritingVocab Look Up'!$E$13:$F$21,2,TRUE),IF(AND(T99&gt;=73,T99&lt;=78),VLOOKUP(H99,'WritingVocab Look Up'!$I$13:$J$21,2,TRUE),IF(AND(T99&gt;=79),VLOOKUP(H99,'WritingVocab Look Up'!$M$13:$N$21,2,TRUE),"")))))</f>
        <v/>
      </c>
      <c r="T99" s="222" t="str">
        <f t="shared" si="1"/>
        <v/>
      </c>
    </row>
    <row r="100" spans="1:20" s="108" customFormat="1" ht="15.75">
      <c r="A100" s="119"/>
      <c r="B100" s="120"/>
      <c r="C100" s="111"/>
      <c r="D100" s="111"/>
      <c r="E100" s="121"/>
      <c r="F100" s="121"/>
      <c r="G100" s="113"/>
      <c r="H100" s="219"/>
      <c r="I100" s="200" t="str">
        <f>IF(E100="","",IF(AND(T100&lt;=66),VLOOKUP(H100,'WritingVocab Look Up'!$A$13:$B$21,2,TRUE),IF(AND(T100&gt;=67,T100&lt;=72),VLOOKUP(H100,'WritingVocab Look Up'!$E$13:$F$21,2,TRUE),IF(AND(T100&gt;=73,T100&lt;=78),VLOOKUP(H100,'WritingVocab Look Up'!$I$13:$J$21,2,TRUE),IF(AND(T100&gt;=79),VLOOKUP(H100,'WritingVocab Look Up'!$M$13:$N$21,2,TRUE),"")))))</f>
        <v/>
      </c>
      <c r="T100" s="222" t="str">
        <f t="shared" si="1"/>
        <v/>
      </c>
    </row>
    <row r="101" spans="1:20" s="108" customFormat="1" ht="15.75">
      <c r="A101" s="119"/>
      <c r="B101" s="120"/>
      <c r="C101" s="111"/>
      <c r="D101" s="111"/>
      <c r="E101" s="121"/>
      <c r="F101" s="121"/>
      <c r="G101" s="113"/>
      <c r="H101" s="219"/>
      <c r="I101" s="200" t="str">
        <f>IF(E101="","",IF(AND(T101&lt;=66),VLOOKUP(H101,'WritingVocab Look Up'!$A$13:$B$21,2,TRUE),IF(AND(T101&gt;=67,T101&lt;=72),VLOOKUP(H101,'WritingVocab Look Up'!$E$13:$F$21,2,TRUE),IF(AND(T101&gt;=73,T101&lt;=78),VLOOKUP(H101,'WritingVocab Look Up'!$I$13:$J$21,2,TRUE),IF(AND(T101&gt;=79),VLOOKUP(H101,'WritingVocab Look Up'!$M$13:$N$21,2,TRUE),"")))))</f>
        <v/>
      </c>
      <c r="T101" s="222" t="str">
        <f t="shared" si="1"/>
        <v/>
      </c>
    </row>
    <row r="102" spans="1:20" s="108" customFormat="1" ht="15.75">
      <c r="A102" s="119"/>
      <c r="B102" s="120"/>
      <c r="C102" s="111"/>
      <c r="D102" s="111"/>
      <c r="E102" s="121"/>
      <c r="F102" s="121"/>
      <c r="G102" s="113"/>
      <c r="H102" s="219"/>
      <c r="I102" s="200" t="str">
        <f>IF(E102="","",IF(AND(T102&lt;=66),VLOOKUP(H102,'WritingVocab Look Up'!$A$13:$B$21,2,TRUE),IF(AND(T102&gt;=67,T102&lt;=72),VLOOKUP(H102,'WritingVocab Look Up'!$E$13:$F$21,2,TRUE),IF(AND(T102&gt;=73,T102&lt;=78),VLOOKUP(H102,'WritingVocab Look Up'!$I$13:$J$21,2,TRUE),IF(AND(T102&gt;=79),VLOOKUP(H102,'WritingVocab Look Up'!$M$13:$N$21,2,TRUE),"")))))</f>
        <v/>
      </c>
      <c r="T102" s="222" t="str">
        <f t="shared" si="1"/>
        <v/>
      </c>
    </row>
    <row r="103" spans="1:20" s="108" customFormat="1" ht="15.75">
      <c r="A103" s="119"/>
      <c r="B103" s="120"/>
      <c r="C103" s="111"/>
      <c r="D103" s="111"/>
      <c r="E103" s="121"/>
      <c r="F103" s="121"/>
      <c r="G103" s="113"/>
      <c r="H103" s="219"/>
      <c r="I103" s="200" t="str">
        <f>IF(E103="","",IF(AND(T103&lt;=66),VLOOKUP(H103,'WritingVocab Look Up'!$A$13:$B$21,2,TRUE),IF(AND(T103&gt;=67,T103&lt;=72),VLOOKUP(H103,'WritingVocab Look Up'!$E$13:$F$21,2,TRUE),IF(AND(T103&gt;=73,T103&lt;=78),VLOOKUP(H103,'WritingVocab Look Up'!$I$13:$J$21,2,TRUE),IF(AND(T103&gt;=79),VLOOKUP(H103,'WritingVocab Look Up'!$M$13:$N$21,2,TRUE),"")))))</f>
        <v/>
      </c>
      <c r="T103" s="222" t="str">
        <f t="shared" si="1"/>
        <v/>
      </c>
    </row>
    <row r="104" spans="1:20" s="108" customFormat="1" ht="15.75">
      <c r="A104" s="119"/>
      <c r="B104" s="120"/>
      <c r="C104" s="111"/>
      <c r="D104" s="111"/>
      <c r="E104" s="121"/>
      <c r="F104" s="121"/>
      <c r="G104" s="113"/>
      <c r="H104" s="219"/>
      <c r="I104" s="200" t="str">
        <f>IF(E104="","",IF(AND(T104&lt;=66),VLOOKUP(H104,'WritingVocab Look Up'!$A$13:$B$21,2,TRUE),IF(AND(T104&gt;=67,T104&lt;=72),VLOOKUP(H104,'WritingVocab Look Up'!$E$13:$F$21,2,TRUE),IF(AND(T104&gt;=73,T104&lt;=78),VLOOKUP(H104,'WritingVocab Look Up'!$I$13:$J$21,2,TRUE),IF(AND(T104&gt;=79),VLOOKUP(H104,'WritingVocab Look Up'!$M$13:$N$21,2,TRUE),"")))))</f>
        <v/>
      </c>
      <c r="T104" s="222" t="str">
        <f t="shared" si="1"/>
        <v/>
      </c>
    </row>
    <row r="105" spans="1:20" s="108" customFormat="1" ht="15.75">
      <c r="A105" s="119"/>
      <c r="B105" s="120"/>
      <c r="C105" s="111"/>
      <c r="D105" s="111"/>
      <c r="E105" s="121"/>
      <c r="F105" s="121"/>
      <c r="G105" s="113"/>
      <c r="H105" s="219"/>
      <c r="I105" s="200" t="str">
        <f>IF(E105="","",IF(AND(T105&lt;=66),VLOOKUP(H105,'WritingVocab Look Up'!$A$13:$B$21,2,TRUE),IF(AND(T105&gt;=67,T105&lt;=72),VLOOKUP(H105,'WritingVocab Look Up'!$E$13:$F$21,2,TRUE),IF(AND(T105&gt;=73,T105&lt;=78),VLOOKUP(H105,'WritingVocab Look Up'!$I$13:$J$21,2,TRUE),IF(AND(T105&gt;=79),VLOOKUP(H105,'WritingVocab Look Up'!$M$13:$N$21,2,TRUE),"")))))</f>
        <v/>
      </c>
      <c r="T105" s="222" t="str">
        <f t="shared" si="1"/>
        <v/>
      </c>
    </row>
    <row r="106" spans="1:20" s="108" customFormat="1" ht="15.75">
      <c r="A106" s="119"/>
      <c r="B106" s="120"/>
      <c r="C106" s="111"/>
      <c r="D106" s="111"/>
      <c r="E106" s="121"/>
      <c r="F106" s="121"/>
      <c r="G106" s="113"/>
      <c r="H106" s="219"/>
      <c r="I106" s="200" t="str">
        <f>IF(E106="","",IF(AND(T106&lt;=66),VLOOKUP(H106,'WritingVocab Look Up'!$A$13:$B$21,2,TRUE),IF(AND(T106&gt;=67,T106&lt;=72),VLOOKUP(H106,'WritingVocab Look Up'!$E$13:$F$21,2,TRUE),IF(AND(T106&gt;=73,T106&lt;=78),VLOOKUP(H106,'WritingVocab Look Up'!$I$13:$J$21,2,TRUE),IF(AND(T106&gt;=79),VLOOKUP(H106,'WritingVocab Look Up'!$M$13:$N$21,2,TRUE),"")))))</f>
        <v/>
      </c>
      <c r="T106" s="222" t="str">
        <f t="shared" si="1"/>
        <v/>
      </c>
    </row>
    <row r="107" spans="1:20" s="108" customFormat="1" ht="15.75">
      <c r="A107" s="119"/>
      <c r="B107" s="120"/>
      <c r="C107" s="111"/>
      <c r="D107" s="111"/>
      <c r="E107" s="121"/>
      <c r="F107" s="121"/>
      <c r="G107" s="113"/>
      <c r="H107" s="219"/>
      <c r="I107" s="200" t="str">
        <f>IF(E107="","",IF(AND(T107&lt;=66),VLOOKUP(H107,'WritingVocab Look Up'!$A$13:$B$21,2,TRUE),IF(AND(T107&gt;=67,T107&lt;=72),VLOOKUP(H107,'WritingVocab Look Up'!$E$13:$F$21,2,TRUE),IF(AND(T107&gt;=73,T107&lt;=78),VLOOKUP(H107,'WritingVocab Look Up'!$I$13:$J$21,2,TRUE),IF(AND(T107&gt;=79),VLOOKUP(H107,'WritingVocab Look Up'!$M$13:$N$21,2,TRUE),"")))))</f>
        <v/>
      </c>
      <c r="T107" s="222" t="str">
        <f t="shared" si="1"/>
        <v/>
      </c>
    </row>
    <row r="108" spans="1:20" s="108" customFormat="1" ht="15.75">
      <c r="A108" s="119"/>
      <c r="B108" s="120"/>
      <c r="C108" s="111"/>
      <c r="D108" s="111"/>
      <c r="E108" s="121"/>
      <c r="F108" s="121"/>
      <c r="G108" s="113"/>
      <c r="H108" s="219"/>
      <c r="I108" s="200" t="str">
        <f>IF(E108="","",IF(AND(T108&lt;=66),VLOOKUP(H108,'WritingVocab Look Up'!$A$13:$B$21,2,TRUE),IF(AND(T108&gt;=67,T108&lt;=72),VLOOKUP(H108,'WritingVocab Look Up'!$E$13:$F$21,2,TRUE),IF(AND(T108&gt;=73,T108&lt;=78),VLOOKUP(H108,'WritingVocab Look Up'!$I$13:$J$21,2,TRUE),IF(AND(T108&gt;=79),VLOOKUP(H108,'WritingVocab Look Up'!$M$13:$N$21,2,TRUE),"")))))</f>
        <v/>
      </c>
      <c r="T108" s="222" t="str">
        <f t="shared" si="1"/>
        <v/>
      </c>
    </row>
    <row r="109" spans="1:20" s="108" customFormat="1" ht="15.75">
      <c r="A109" s="119"/>
      <c r="B109" s="120"/>
      <c r="C109" s="111"/>
      <c r="D109" s="111"/>
      <c r="E109" s="121"/>
      <c r="F109" s="121"/>
      <c r="G109" s="113"/>
      <c r="H109" s="219"/>
      <c r="I109" s="200" t="str">
        <f>IF(E109="","",IF(AND(T109&lt;=66),VLOOKUP(H109,'WritingVocab Look Up'!$A$13:$B$21,2,TRUE),IF(AND(T109&gt;=67,T109&lt;=72),VLOOKUP(H109,'WritingVocab Look Up'!$E$13:$F$21,2,TRUE),IF(AND(T109&gt;=73,T109&lt;=78),VLOOKUP(H109,'WritingVocab Look Up'!$I$13:$J$21,2,TRUE),IF(AND(T109&gt;=79),VLOOKUP(H109,'WritingVocab Look Up'!$M$13:$N$21,2,TRUE),"")))))</f>
        <v/>
      </c>
      <c r="T109" s="222" t="str">
        <f t="shared" si="1"/>
        <v/>
      </c>
    </row>
    <row r="110" spans="1:20" s="108" customFormat="1" ht="15.75">
      <c r="A110" s="119"/>
      <c r="B110" s="120"/>
      <c r="C110" s="111"/>
      <c r="D110" s="111"/>
      <c r="E110" s="121"/>
      <c r="F110" s="121"/>
      <c r="G110" s="113"/>
      <c r="H110" s="219"/>
      <c r="I110" s="200" t="str">
        <f>IF(E110="","",IF(AND(T110&lt;=66),VLOOKUP(H110,'WritingVocab Look Up'!$A$13:$B$21,2,TRUE),IF(AND(T110&gt;=67,T110&lt;=72),VLOOKUP(H110,'WritingVocab Look Up'!$E$13:$F$21,2,TRUE),IF(AND(T110&gt;=73,T110&lt;=78),VLOOKUP(H110,'WritingVocab Look Up'!$I$13:$J$21,2,TRUE),IF(AND(T110&gt;=79),VLOOKUP(H110,'WritingVocab Look Up'!$M$13:$N$21,2,TRUE),"")))))</f>
        <v/>
      </c>
      <c r="T110" s="222" t="str">
        <f t="shared" si="1"/>
        <v/>
      </c>
    </row>
    <row r="111" spans="1:20" s="108" customFormat="1" ht="15.75">
      <c r="A111" s="119"/>
      <c r="B111" s="120"/>
      <c r="C111" s="111"/>
      <c r="D111" s="111"/>
      <c r="E111" s="121"/>
      <c r="F111" s="121"/>
      <c r="G111" s="113"/>
      <c r="H111" s="219"/>
      <c r="I111" s="200" t="str">
        <f>IF(E111="","",IF(AND(T111&lt;=66),VLOOKUP(H111,'WritingVocab Look Up'!$A$13:$B$21,2,TRUE),IF(AND(T111&gt;=67,T111&lt;=72),VLOOKUP(H111,'WritingVocab Look Up'!$E$13:$F$21,2,TRUE),IF(AND(T111&gt;=73,T111&lt;=78),VLOOKUP(H111,'WritingVocab Look Up'!$I$13:$J$21,2,TRUE),IF(AND(T111&gt;=79),VLOOKUP(H111,'WritingVocab Look Up'!$M$13:$N$21,2,TRUE),"")))))</f>
        <v/>
      </c>
      <c r="T111" s="222" t="str">
        <f t="shared" si="1"/>
        <v/>
      </c>
    </row>
    <row r="112" spans="1:20" s="108" customFormat="1" ht="15.75">
      <c r="A112" s="119"/>
      <c r="B112" s="120"/>
      <c r="C112" s="111"/>
      <c r="D112" s="111"/>
      <c r="E112" s="121"/>
      <c r="F112" s="121"/>
      <c r="G112" s="113"/>
      <c r="H112" s="219"/>
      <c r="I112" s="200" t="str">
        <f>IF(E112="","",IF(AND(T112&lt;=66),VLOOKUP(H112,'WritingVocab Look Up'!$A$13:$B$21,2,TRUE),IF(AND(T112&gt;=67,T112&lt;=72),VLOOKUP(H112,'WritingVocab Look Up'!$E$13:$F$21,2,TRUE),IF(AND(T112&gt;=73,T112&lt;=78),VLOOKUP(H112,'WritingVocab Look Up'!$I$13:$J$21,2,TRUE),IF(AND(T112&gt;=79),VLOOKUP(H112,'WritingVocab Look Up'!$M$13:$N$21,2,TRUE),"")))))</f>
        <v/>
      </c>
      <c r="T112" s="222" t="str">
        <f t="shared" si="1"/>
        <v/>
      </c>
    </row>
    <row r="113" spans="1:20" s="108" customFormat="1" ht="15.75">
      <c r="A113" s="119"/>
      <c r="B113" s="120"/>
      <c r="C113" s="111"/>
      <c r="D113" s="111"/>
      <c r="E113" s="121"/>
      <c r="F113" s="121"/>
      <c r="G113" s="113"/>
      <c r="H113" s="219"/>
      <c r="I113" s="200" t="str">
        <f>IF(E113="","",IF(AND(T113&lt;=66),VLOOKUP(H113,'WritingVocab Look Up'!$A$13:$B$21,2,TRUE),IF(AND(T113&gt;=67,T113&lt;=72),VLOOKUP(H113,'WritingVocab Look Up'!$E$13:$F$21,2,TRUE),IF(AND(T113&gt;=73,T113&lt;=78),VLOOKUP(H113,'WritingVocab Look Up'!$I$13:$J$21,2,TRUE),IF(AND(T113&gt;=79),VLOOKUP(H113,'WritingVocab Look Up'!$M$13:$N$21,2,TRUE),"")))))</f>
        <v/>
      </c>
      <c r="T113" s="222" t="str">
        <f t="shared" si="1"/>
        <v/>
      </c>
    </row>
    <row r="114" spans="1:20" s="108" customFormat="1" ht="15.75">
      <c r="A114" s="119"/>
      <c r="B114" s="120"/>
      <c r="C114" s="111"/>
      <c r="D114" s="111"/>
      <c r="E114" s="121"/>
      <c r="F114" s="121"/>
      <c r="G114" s="113"/>
      <c r="H114" s="219"/>
      <c r="I114" s="200" t="str">
        <f>IF(E114="","",IF(AND(T114&lt;=66),VLOOKUP(H114,'WritingVocab Look Up'!$A$13:$B$21,2,TRUE),IF(AND(T114&gt;=67,T114&lt;=72),VLOOKUP(H114,'WritingVocab Look Up'!$E$13:$F$21,2,TRUE),IF(AND(T114&gt;=73,T114&lt;=78),VLOOKUP(H114,'WritingVocab Look Up'!$I$13:$J$21,2,TRUE),IF(AND(T114&gt;=79),VLOOKUP(H114,'WritingVocab Look Up'!$M$13:$N$21,2,TRUE),"")))))</f>
        <v/>
      </c>
      <c r="T114" s="222" t="str">
        <f t="shared" si="1"/>
        <v/>
      </c>
    </row>
    <row r="115" spans="1:20" s="108" customFormat="1" ht="15.75">
      <c r="A115" s="119"/>
      <c r="B115" s="120"/>
      <c r="C115" s="111"/>
      <c r="D115" s="111"/>
      <c r="E115" s="121"/>
      <c r="F115" s="121"/>
      <c r="G115" s="113"/>
      <c r="H115" s="219"/>
      <c r="I115" s="200" t="str">
        <f>IF(E115="","",IF(AND(T115&lt;=66),VLOOKUP(H115,'WritingVocab Look Up'!$A$13:$B$21,2,TRUE),IF(AND(T115&gt;=67,T115&lt;=72),VLOOKUP(H115,'WritingVocab Look Up'!$E$13:$F$21,2,TRUE),IF(AND(T115&gt;=73,T115&lt;=78),VLOOKUP(H115,'WritingVocab Look Up'!$I$13:$J$21,2,TRUE),IF(AND(T115&gt;=79),VLOOKUP(H115,'WritingVocab Look Up'!$M$13:$N$21,2,TRUE),"")))))</f>
        <v/>
      </c>
      <c r="T115" s="222" t="str">
        <f t="shared" si="1"/>
        <v/>
      </c>
    </row>
    <row r="116" spans="1:20" s="108" customFormat="1" ht="15.75">
      <c r="A116" s="119"/>
      <c r="B116" s="120"/>
      <c r="C116" s="111"/>
      <c r="D116" s="111"/>
      <c r="E116" s="121"/>
      <c r="F116" s="121"/>
      <c r="G116" s="113"/>
      <c r="H116" s="219"/>
      <c r="I116" s="200" t="str">
        <f>IF(E116="","",IF(AND(T116&lt;=66),VLOOKUP(H116,'WritingVocab Look Up'!$A$13:$B$21,2,TRUE),IF(AND(T116&gt;=67,T116&lt;=72),VLOOKUP(H116,'WritingVocab Look Up'!$E$13:$F$21,2,TRUE),IF(AND(T116&gt;=73,T116&lt;=78),VLOOKUP(H116,'WritingVocab Look Up'!$I$13:$J$21,2,TRUE),IF(AND(T116&gt;=79),VLOOKUP(H116,'WritingVocab Look Up'!$M$13:$N$21,2,TRUE),"")))))</f>
        <v/>
      </c>
      <c r="T116" s="222" t="str">
        <f t="shared" si="1"/>
        <v/>
      </c>
    </row>
    <row r="117" spans="1:20" s="108" customFormat="1" ht="15.75">
      <c r="A117" s="119"/>
      <c r="B117" s="120"/>
      <c r="C117" s="111"/>
      <c r="D117" s="111"/>
      <c r="E117" s="121"/>
      <c r="F117" s="121"/>
      <c r="G117" s="113"/>
      <c r="H117" s="219"/>
      <c r="I117" s="200" t="str">
        <f>IF(E117="","",IF(AND(T117&lt;=66),VLOOKUP(H117,'WritingVocab Look Up'!$A$13:$B$21,2,TRUE),IF(AND(T117&gt;=67,T117&lt;=72),VLOOKUP(H117,'WritingVocab Look Up'!$E$13:$F$21,2,TRUE),IF(AND(T117&gt;=73,T117&lt;=78),VLOOKUP(H117,'WritingVocab Look Up'!$I$13:$J$21,2,TRUE),IF(AND(T117&gt;=79),VLOOKUP(H117,'WritingVocab Look Up'!$M$13:$N$21,2,TRUE),"")))))</f>
        <v/>
      </c>
      <c r="T117" s="222" t="str">
        <f t="shared" si="1"/>
        <v/>
      </c>
    </row>
    <row r="118" spans="1:20" s="108" customFormat="1" ht="15.75">
      <c r="A118" s="119"/>
      <c r="B118" s="120"/>
      <c r="C118" s="111"/>
      <c r="D118" s="111"/>
      <c r="E118" s="121"/>
      <c r="F118" s="121"/>
      <c r="G118" s="113"/>
      <c r="H118" s="219"/>
      <c r="I118" s="200" t="str">
        <f>IF(E118="","",IF(AND(T118&lt;=66),VLOOKUP(H118,'WritingVocab Look Up'!$A$13:$B$21,2,TRUE),IF(AND(T118&gt;=67,T118&lt;=72),VLOOKUP(H118,'WritingVocab Look Up'!$E$13:$F$21,2,TRUE),IF(AND(T118&gt;=73,T118&lt;=78),VLOOKUP(H118,'WritingVocab Look Up'!$I$13:$J$21,2,TRUE),IF(AND(T118&gt;=79),VLOOKUP(H118,'WritingVocab Look Up'!$M$13:$N$21,2,TRUE),"")))))</f>
        <v/>
      </c>
      <c r="T118" s="222" t="str">
        <f t="shared" si="1"/>
        <v/>
      </c>
    </row>
    <row r="119" spans="1:20" s="108" customFormat="1" ht="15.75">
      <c r="A119" s="119"/>
      <c r="B119" s="120"/>
      <c r="C119" s="111"/>
      <c r="D119" s="111"/>
      <c r="E119" s="121"/>
      <c r="F119" s="121"/>
      <c r="G119" s="113"/>
      <c r="H119" s="219"/>
      <c r="I119" s="200" t="str">
        <f>IF(E119="","",IF(AND(T119&lt;=66),VLOOKUP(H119,'WritingVocab Look Up'!$A$13:$B$21,2,TRUE),IF(AND(T119&gt;=67,T119&lt;=72),VLOOKUP(H119,'WritingVocab Look Up'!$E$13:$F$21,2,TRUE),IF(AND(T119&gt;=73,T119&lt;=78),VLOOKUP(H119,'WritingVocab Look Up'!$I$13:$J$21,2,TRUE),IF(AND(T119&gt;=79),VLOOKUP(H119,'WritingVocab Look Up'!$M$13:$N$21,2,TRUE),"")))))</f>
        <v/>
      </c>
      <c r="T119" s="222" t="str">
        <f t="shared" si="1"/>
        <v/>
      </c>
    </row>
    <row r="120" spans="1:20" s="108" customFormat="1" ht="15.75">
      <c r="A120" s="119"/>
      <c r="B120" s="120"/>
      <c r="C120" s="111"/>
      <c r="D120" s="111"/>
      <c r="E120" s="121"/>
      <c r="F120" s="121"/>
      <c r="G120" s="113"/>
      <c r="H120" s="219"/>
      <c r="I120" s="200" t="str">
        <f>IF(E120="","",IF(AND(T120&lt;=66),VLOOKUP(H120,'WritingVocab Look Up'!$A$13:$B$21,2,TRUE),IF(AND(T120&gt;=67,T120&lt;=72),VLOOKUP(H120,'WritingVocab Look Up'!$E$13:$F$21,2,TRUE),IF(AND(T120&gt;=73,T120&lt;=78),VLOOKUP(H120,'WritingVocab Look Up'!$I$13:$J$21,2,TRUE),IF(AND(T120&gt;=79),VLOOKUP(H120,'WritingVocab Look Up'!$M$13:$N$21,2,TRUE),"")))))</f>
        <v/>
      </c>
      <c r="T120" s="222" t="str">
        <f t="shared" si="1"/>
        <v/>
      </c>
    </row>
    <row r="121" spans="1:20" s="108" customFormat="1" ht="15.75">
      <c r="A121" s="119"/>
      <c r="B121" s="120"/>
      <c r="C121" s="111"/>
      <c r="D121" s="111"/>
      <c r="E121" s="121"/>
      <c r="F121" s="121"/>
      <c r="G121" s="113"/>
      <c r="H121" s="219"/>
      <c r="I121" s="200" t="str">
        <f>IF(E121="","",IF(AND(T121&lt;=66),VLOOKUP(H121,'WritingVocab Look Up'!$A$13:$B$21,2,TRUE),IF(AND(T121&gt;=67,T121&lt;=72),VLOOKUP(H121,'WritingVocab Look Up'!$E$13:$F$21,2,TRUE),IF(AND(T121&gt;=73,T121&lt;=78),VLOOKUP(H121,'WritingVocab Look Up'!$I$13:$J$21,2,TRUE),IF(AND(T121&gt;=79),VLOOKUP(H121,'WritingVocab Look Up'!$M$13:$N$21,2,TRUE),"")))))</f>
        <v/>
      </c>
      <c r="T121" s="222" t="str">
        <f t="shared" si="1"/>
        <v/>
      </c>
    </row>
    <row r="122" spans="1:20" s="108" customFormat="1" ht="15.75">
      <c r="A122" s="119"/>
      <c r="B122" s="120"/>
      <c r="C122" s="111"/>
      <c r="D122" s="111"/>
      <c r="E122" s="121"/>
      <c r="F122" s="121"/>
      <c r="G122" s="113"/>
      <c r="H122" s="219"/>
      <c r="I122" s="200" t="str">
        <f>IF(E122="","",IF(AND(T122&lt;=66),VLOOKUP(H122,'WritingVocab Look Up'!$A$13:$B$21,2,TRUE),IF(AND(T122&gt;=67,T122&lt;=72),VLOOKUP(H122,'WritingVocab Look Up'!$E$13:$F$21,2,TRUE),IF(AND(T122&gt;=73,T122&lt;=78),VLOOKUP(H122,'WritingVocab Look Up'!$I$13:$J$21,2,TRUE),IF(AND(T122&gt;=79),VLOOKUP(H122,'WritingVocab Look Up'!$M$13:$N$21,2,TRUE),"")))))</f>
        <v/>
      </c>
      <c r="T122" s="222" t="str">
        <f t="shared" si="1"/>
        <v/>
      </c>
    </row>
    <row r="123" spans="1:20" s="108" customFormat="1" ht="15.75">
      <c r="A123" s="119"/>
      <c r="B123" s="120"/>
      <c r="C123" s="111"/>
      <c r="D123" s="111"/>
      <c r="E123" s="121"/>
      <c r="F123" s="121"/>
      <c r="G123" s="113"/>
      <c r="H123" s="219"/>
      <c r="I123" s="200" t="str">
        <f>IF(E123="","",IF(AND(T123&lt;=66),VLOOKUP(H123,'WritingVocab Look Up'!$A$13:$B$21,2,TRUE),IF(AND(T123&gt;=67,T123&lt;=72),VLOOKUP(H123,'WritingVocab Look Up'!$E$13:$F$21,2,TRUE),IF(AND(T123&gt;=73,T123&lt;=78),VLOOKUP(H123,'WritingVocab Look Up'!$I$13:$J$21,2,TRUE),IF(AND(T123&gt;=79),VLOOKUP(H123,'WritingVocab Look Up'!$M$13:$N$21,2,TRUE),"")))))</f>
        <v/>
      </c>
      <c r="T123" s="222" t="str">
        <f t="shared" si="1"/>
        <v/>
      </c>
    </row>
    <row r="124" spans="1:20" s="108" customFormat="1" ht="15.75">
      <c r="A124" s="119"/>
      <c r="B124" s="120"/>
      <c r="C124" s="111"/>
      <c r="D124" s="111"/>
      <c r="E124" s="121"/>
      <c r="F124" s="121"/>
      <c r="G124" s="113"/>
      <c r="H124" s="219"/>
      <c r="I124" s="200" t="str">
        <f>IF(E124="","",IF(AND(T124&lt;=66),VLOOKUP(H124,'WritingVocab Look Up'!$A$13:$B$21,2,TRUE),IF(AND(T124&gt;=67,T124&lt;=72),VLOOKUP(H124,'WritingVocab Look Up'!$E$13:$F$21,2,TRUE),IF(AND(T124&gt;=73,T124&lt;=78),VLOOKUP(H124,'WritingVocab Look Up'!$I$13:$J$21,2,TRUE),IF(AND(T124&gt;=79),VLOOKUP(H124,'WritingVocab Look Up'!$M$13:$N$21,2,TRUE),"")))))</f>
        <v/>
      </c>
      <c r="T124" s="222" t="str">
        <f t="shared" si="1"/>
        <v/>
      </c>
    </row>
    <row r="125" spans="1:20" s="108" customFormat="1" ht="15.75">
      <c r="A125" s="119"/>
      <c r="B125" s="120"/>
      <c r="C125" s="111"/>
      <c r="D125" s="111"/>
      <c r="E125" s="121"/>
      <c r="F125" s="121"/>
      <c r="G125" s="113"/>
      <c r="H125" s="219"/>
      <c r="I125" s="200" t="str">
        <f>IF(E125="","",IF(AND(T125&lt;=66),VLOOKUP(H125,'WritingVocab Look Up'!$A$13:$B$21,2,TRUE),IF(AND(T125&gt;=67,T125&lt;=72),VLOOKUP(H125,'WritingVocab Look Up'!$E$13:$F$21,2,TRUE),IF(AND(T125&gt;=73,T125&lt;=78),VLOOKUP(H125,'WritingVocab Look Up'!$I$13:$J$21,2,TRUE),IF(AND(T125&gt;=79),VLOOKUP(H125,'WritingVocab Look Up'!$M$13:$N$21,2,TRUE),"")))))</f>
        <v/>
      </c>
      <c r="T125" s="222" t="str">
        <f t="shared" si="1"/>
        <v/>
      </c>
    </row>
    <row r="126" spans="1:20" s="108" customFormat="1" ht="15.75">
      <c r="A126" s="119"/>
      <c r="B126" s="120"/>
      <c r="C126" s="111"/>
      <c r="D126" s="111"/>
      <c r="E126" s="121"/>
      <c r="F126" s="121"/>
      <c r="G126" s="113"/>
      <c r="H126" s="219"/>
      <c r="I126" s="200" t="str">
        <f>IF(E126="","",IF(AND(T126&lt;=66),VLOOKUP(H126,'WritingVocab Look Up'!$A$13:$B$21,2,TRUE),IF(AND(T126&gt;=67,T126&lt;=72),VLOOKUP(H126,'WritingVocab Look Up'!$E$13:$F$21,2,TRUE),IF(AND(T126&gt;=73,T126&lt;=78),VLOOKUP(H126,'WritingVocab Look Up'!$I$13:$J$21,2,TRUE),IF(AND(T126&gt;=79),VLOOKUP(H126,'WritingVocab Look Up'!$M$13:$N$21,2,TRUE),"")))))</f>
        <v/>
      </c>
      <c r="T126" s="222" t="str">
        <f t="shared" si="1"/>
        <v/>
      </c>
    </row>
    <row r="127" spans="1:20" s="108" customFormat="1" ht="15.75">
      <c r="A127" s="119"/>
      <c r="B127" s="120"/>
      <c r="C127" s="111"/>
      <c r="D127" s="111"/>
      <c r="E127" s="121"/>
      <c r="F127" s="121"/>
      <c r="G127" s="113"/>
      <c r="H127" s="219"/>
      <c r="I127" s="200" t="str">
        <f>IF(E127="","",IF(AND(T127&lt;=66),VLOOKUP(H127,'WritingVocab Look Up'!$A$13:$B$21,2,TRUE),IF(AND(T127&gt;=67,T127&lt;=72),VLOOKUP(H127,'WritingVocab Look Up'!$E$13:$F$21,2,TRUE),IF(AND(T127&gt;=73,T127&lt;=78),VLOOKUP(H127,'WritingVocab Look Up'!$I$13:$J$21,2,TRUE),IF(AND(T127&gt;=79),VLOOKUP(H127,'WritingVocab Look Up'!$M$13:$N$21,2,TRUE),"")))))</f>
        <v/>
      </c>
      <c r="T127" s="222" t="str">
        <f t="shared" si="1"/>
        <v/>
      </c>
    </row>
    <row r="128" spans="1:20" s="108" customFormat="1" ht="15.75">
      <c r="A128" s="119"/>
      <c r="B128" s="120"/>
      <c r="C128" s="111"/>
      <c r="D128" s="111"/>
      <c r="E128" s="121"/>
      <c r="F128" s="121"/>
      <c r="G128" s="113"/>
      <c r="H128" s="219"/>
      <c r="I128" s="200" t="str">
        <f>IF(E128="","",IF(AND(T128&lt;=66),VLOOKUP(H128,'WritingVocab Look Up'!$A$13:$B$21,2,TRUE),IF(AND(T128&gt;=67,T128&lt;=72),VLOOKUP(H128,'WritingVocab Look Up'!$E$13:$F$21,2,TRUE),IF(AND(T128&gt;=73,T128&lt;=78),VLOOKUP(H128,'WritingVocab Look Up'!$I$13:$J$21,2,TRUE),IF(AND(T128&gt;=79),VLOOKUP(H128,'WritingVocab Look Up'!$M$13:$N$21,2,TRUE),"")))))</f>
        <v/>
      </c>
      <c r="T128" s="222" t="str">
        <f t="shared" si="1"/>
        <v/>
      </c>
    </row>
    <row r="129" spans="1:20" s="108" customFormat="1" ht="15.75">
      <c r="A129" s="119"/>
      <c r="B129" s="120"/>
      <c r="C129" s="111"/>
      <c r="D129" s="111"/>
      <c r="E129" s="121"/>
      <c r="F129" s="121"/>
      <c r="G129" s="113"/>
      <c r="H129" s="219"/>
      <c r="I129" s="200" t="str">
        <f>IF(E129="","",IF(AND(T129&lt;=66),VLOOKUP(H129,'WritingVocab Look Up'!$A$13:$B$21,2,TRUE),IF(AND(T129&gt;=67,T129&lt;=72),VLOOKUP(H129,'WritingVocab Look Up'!$E$13:$F$21,2,TRUE),IF(AND(T129&gt;=73,T129&lt;=78),VLOOKUP(H129,'WritingVocab Look Up'!$I$13:$J$21,2,TRUE),IF(AND(T129&gt;=79),VLOOKUP(H129,'WritingVocab Look Up'!$M$13:$N$21,2,TRUE),"")))))</f>
        <v/>
      </c>
      <c r="T129" s="222" t="str">
        <f t="shared" si="1"/>
        <v/>
      </c>
    </row>
    <row r="130" spans="1:20" s="108" customFormat="1" ht="15.75">
      <c r="A130" s="119"/>
      <c r="B130" s="120"/>
      <c r="C130" s="111"/>
      <c r="D130" s="111"/>
      <c r="E130" s="121"/>
      <c r="F130" s="121"/>
      <c r="G130" s="113"/>
      <c r="H130" s="219"/>
      <c r="I130" s="200" t="str">
        <f>IF(E130="","",IF(AND(T130&lt;=66),VLOOKUP(H130,'WritingVocab Look Up'!$A$13:$B$21,2,TRUE),IF(AND(T130&gt;=67,T130&lt;=72),VLOOKUP(H130,'WritingVocab Look Up'!$E$13:$F$21,2,TRUE),IF(AND(T130&gt;=73,T130&lt;=78),VLOOKUP(H130,'WritingVocab Look Up'!$I$13:$J$21,2,TRUE),IF(AND(T130&gt;=79),VLOOKUP(H130,'WritingVocab Look Up'!$M$13:$N$21,2,TRUE),"")))))</f>
        <v/>
      </c>
      <c r="T130" s="222" t="str">
        <f t="shared" si="1"/>
        <v/>
      </c>
    </row>
    <row r="131" spans="1:20" s="108" customFormat="1" ht="15.75">
      <c r="A131" s="119"/>
      <c r="B131" s="120"/>
      <c r="C131" s="111"/>
      <c r="D131" s="111"/>
      <c r="E131" s="121"/>
      <c r="F131" s="121"/>
      <c r="G131" s="113"/>
      <c r="H131" s="219"/>
      <c r="I131" s="200" t="str">
        <f>IF(E131="","",IF(AND(T131&lt;=66),VLOOKUP(H131,'WritingVocab Look Up'!$A$13:$B$21,2,TRUE),IF(AND(T131&gt;=67,T131&lt;=72),VLOOKUP(H131,'WritingVocab Look Up'!$E$13:$F$21,2,TRUE),IF(AND(T131&gt;=73,T131&lt;=78),VLOOKUP(H131,'WritingVocab Look Up'!$I$13:$J$21,2,TRUE),IF(AND(T131&gt;=79),VLOOKUP(H131,'WritingVocab Look Up'!$M$13:$N$21,2,TRUE),"")))))</f>
        <v/>
      </c>
      <c r="T131" s="222" t="str">
        <f t="shared" si="1"/>
        <v/>
      </c>
    </row>
    <row r="132" spans="1:20" s="108" customFormat="1" ht="15.75">
      <c r="A132" s="119"/>
      <c r="B132" s="120"/>
      <c r="C132" s="111"/>
      <c r="D132" s="111"/>
      <c r="E132" s="121"/>
      <c r="F132" s="121"/>
      <c r="G132" s="113"/>
      <c r="H132" s="219"/>
      <c r="I132" s="200" t="str">
        <f>IF(E132="","",IF(AND(T132&lt;=66),VLOOKUP(H132,'WritingVocab Look Up'!$A$13:$B$21,2,TRUE),IF(AND(T132&gt;=67,T132&lt;=72),VLOOKUP(H132,'WritingVocab Look Up'!$E$13:$F$21,2,TRUE),IF(AND(T132&gt;=73,T132&lt;=78),VLOOKUP(H132,'WritingVocab Look Up'!$I$13:$J$21,2,TRUE),IF(AND(T132&gt;=79),VLOOKUP(H132,'WritingVocab Look Up'!$M$13:$N$21,2,TRUE),"")))))</f>
        <v/>
      </c>
      <c r="T132" s="222" t="str">
        <f t="shared" si="1"/>
        <v/>
      </c>
    </row>
    <row r="133" spans="1:20" s="108" customFormat="1" ht="15.75">
      <c r="A133" s="119"/>
      <c r="B133" s="120"/>
      <c r="C133" s="111"/>
      <c r="D133" s="111"/>
      <c r="E133" s="121"/>
      <c r="F133" s="121"/>
      <c r="G133" s="113"/>
      <c r="H133" s="219"/>
      <c r="I133" s="200" t="str">
        <f>IF(E133="","",IF(AND(T133&lt;=66),VLOOKUP(H133,'WritingVocab Look Up'!$A$13:$B$21,2,TRUE),IF(AND(T133&gt;=67,T133&lt;=72),VLOOKUP(H133,'WritingVocab Look Up'!$E$13:$F$21,2,TRUE),IF(AND(T133&gt;=73,T133&lt;=78),VLOOKUP(H133,'WritingVocab Look Up'!$I$13:$J$21,2,TRUE),IF(AND(T133&gt;=79),VLOOKUP(H133,'WritingVocab Look Up'!$M$13:$N$21,2,TRUE),"")))))</f>
        <v/>
      </c>
      <c r="T133" s="222" t="str">
        <f t="shared" si="1"/>
        <v/>
      </c>
    </row>
    <row r="134" spans="1:20" s="108" customFormat="1" ht="15.75">
      <c r="A134" s="119"/>
      <c r="B134" s="120"/>
      <c r="C134" s="111"/>
      <c r="D134" s="111"/>
      <c r="E134" s="121"/>
      <c r="F134" s="121"/>
      <c r="G134" s="113"/>
      <c r="H134" s="219"/>
      <c r="I134" s="200" t="str">
        <f>IF(E134="","",IF(AND(T134&lt;=66),VLOOKUP(H134,'WritingVocab Look Up'!$A$13:$B$21,2,TRUE),IF(AND(T134&gt;=67,T134&lt;=72),VLOOKUP(H134,'WritingVocab Look Up'!$E$13:$F$21,2,TRUE),IF(AND(T134&gt;=73,T134&lt;=78),VLOOKUP(H134,'WritingVocab Look Up'!$I$13:$J$21,2,TRUE),IF(AND(T134&gt;=79),VLOOKUP(H134,'WritingVocab Look Up'!$M$13:$N$21,2,TRUE),"")))))</f>
        <v/>
      </c>
      <c r="T134" s="222" t="str">
        <f t="shared" ref="T134:T197" si="2">IF(E134="","",DATEDIF(B134,A134,"m"))</f>
        <v/>
      </c>
    </row>
    <row r="135" spans="1:20" s="108" customFormat="1" ht="15.75">
      <c r="A135" s="119"/>
      <c r="B135" s="120"/>
      <c r="C135" s="111"/>
      <c r="D135" s="111"/>
      <c r="E135" s="121"/>
      <c r="F135" s="121"/>
      <c r="G135" s="113"/>
      <c r="H135" s="219"/>
      <c r="I135" s="200" t="str">
        <f>IF(E135="","",IF(AND(T135&lt;=66),VLOOKUP(H135,'WritingVocab Look Up'!$A$13:$B$21,2,TRUE),IF(AND(T135&gt;=67,T135&lt;=72),VLOOKUP(H135,'WritingVocab Look Up'!$E$13:$F$21,2,TRUE),IF(AND(T135&gt;=73,T135&lt;=78),VLOOKUP(H135,'WritingVocab Look Up'!$I$13:$J$21,2,TRUE),IF(AND(T135&gt;=79),VLOOKUP(H135,'WritingVocab Look Up'!$M$13:$N$21,2,TRUE),"")))))</f>
        <v/>
      </c>
      <c r="T135" s="222" t="str">
        <f t="shared" si="2"/>
        <v/>
      </c>
    </row>
    <row r="136" spans="1:20" s="108" customFormat="1" ht="15.75">
      <c r="A136" s="119"/>
      <c r="B136" s="120"/>
      <c r="C136" s="111"/>
      <c r="D136" s="111"/>
      <c r="E136" s="121"/>
      <c r="F136" s="121"/>
      <c r="G136" s="113"/>
      <c r="H136" s="219"/>
      <c r="I136" s="200" t="str">
        <f>IF(E136="","",IF(AND(T136&lt;=66),VLOOKUP(H136,'WritingVocab Look Up'!$A$13:$B$21,2,TRUE),IF(AND(T136&gt;=67,T136&lt;=72),VLOOKUP(H136,'WritingVocab Look Up'!$E$13:$F$21,2,TRUE),IF(AND(T136&gt;=73,T136&lt;=78),VLOOKUP(H136,'WritingVocab Look Up'!$I$13:$J$21,2,TRUE),IF(AND(T136&gt;=79),VLOOKUP(H136,'WritingVocab Look Up'!$M$13:$N$21,2,TRUE),"")))))</f>
        <v/>
      </c>
      <c r="T136" s="222" t="str">
        <f t="shared" si="2"/>
        <v/>
      </c>
    </row>
    <row r="137" spans="1:20" s="108" customFormat="1" ht="15.75">
      <c r="A137" s="119"/>
      <c r="B137" s="120"/>
      <c r="C137" s="111"/>
      <c r="D137" s="111"/>
      <c r="E137" s="121"/>
      <c r="F137" s="121"/>
      <c r="G137" s="113"/>
      <c r="H137" s="219"/>
      <c r="I137" s="200" t="str">
        <f>IF(E137="","",IF(AND(T137&lt;=66),VLOOKUP(H137,'WritingVocab Look Up'!$A$13:$B$21,2,TRUE),IF(AND(T137&gt;=67,T137&lt;=72),VLOOKUP(H137,'WritingVocab Look Up'!$E$13:$F$21,2,TRUE),IF(AND(T137&gt;=73,T137&lt;=78),VLOOKUP(H137,'WritingVocab Look Up'!$I$13:$J$21,2,TRUE),IF(AND(T137&gt;=79),VLOOKUP(H137,'WritingVocab Look Up'!$M$13:$N$21,2,TRUE),"")))))</f>
        <v/>
      </c>
      <c r="T137" s="222" t="str">
        <f t="shared" si="2"/>
        <v/>
      </c>
    </row>
    <row r="138" spans="1:20" s="108" customFormat="1" ht="15.75">
      <c r="A138" s="119"/>
      <c r="B138" s="120"/>
      <c r="C138" s="111"/>
      <c r="D138" s="111"/>
      <c r="E138" s="121"/>
      <c r="F138" s="121"/>
      <c r="G138" s="113"/>
      <c r="H138" s="219"/>
      <c r="I138" s="200" t="str">
        <f>IF(E138="","",IF(AND(T138&lt;=66),VLOOKUP(H138,'WritingVocab Look Up'!$A$13:$B$21,2,TRUE),IF(AND(T138&gt;=67,T138&lt;=72),VLOOKUP(H138,'WritingVocab Look Up'!$E$13:$F$21,2,TRUE),IF(AND(T138&gt;=73,T138&lt;=78),VLOOKUP(H138,'WritingVocab Look Up'!$I$13:$J$21,2,TRUE),IF(AND(T138&gt;=79),VLOOKUP(H138,'WritingVocab Look Up'!$M$13:$N$21,2,TRUE),"")))))</f>
        <v/>
      </c>
      <c r="T138" s="222" t="str">
        <f t="shared" si="2"/>
        <v/>
      </c>
    </row>
    <row r="139" spans="1:20" s="108" customFormat="1" ht="15.75">
      <c r="A139" s="119"/>
      <c r="B139" s="120"/>
      <c r="C139" s="111"/>
      <c r="D139" s="111"/>
      <c r="E139" s="121"/>
      <c r="F139" s="121"/>
      <c r="G139" s="113"/>
      <c r="H139" s="219"/>
      <c r="I139" s="200" t="str">
        <f>IF(E139="","",IF(AND(T139&lt;=66),VLOOKUP(H139,'WritingVocab Look Up'!$A$13:$B$21,2,TRUE),IF(AND(T139&gt;=67,T139&lt;=72),VLOOKUP(H139,'WritingVocab Look Up'!$E$13:$F$21,2,TRUE),IF(AND(T139&gt;=73,T139&lt;=78),VLOOKUP(H139,'WritingVocab Look Up'!$I$13:$J$21,2,TRUE),IF(AND(T139&gt;=79),VLOOKUP(H139,'WritingVocab Look Up'!$M$13:$N$21,2,TRUE),"")))))</f>
        <v/>
      </c>
      <c r="T139" s="222" t="str">
        <f t="shared" si="2"/>
        <v/>
      </c>
    </row>
    <row r="140" spans="1:20" s="108" customFormat="1" ht="15.75">
      <c r="A140" s="119"/>
      <c r="B140" s="120"/>
      <c r="C140" s="111"/>
      <c r="D140" s="111"/>
      <c r="E140" s="121"/>
      <c r="F140" s="121"/>
      <c r="G140" s="113"/>
      <c r="H140" s="219"/>
      <c r="I140" s="200" t="str">
        <f>IF(E140="","",IF(AND(T140&lt;=66),VLOOKUP(H140,'WritingVocab Look Up'!$A$13:$B$21,2,TRUE),IF(AND(T140&gt;=67,T140&lt;=72),VLOOKUP(H140,'WritingVocab Look Up'!$E$13:$F$21,2,TRUE),IF(AND(T140&gt;=73,T140&lt;=78),VLOOKUP(H140,'WritingVocab Look Up'!$I$13:$J$21,2,TRUE),IF(AND(T140&gt;=79),VLOOKUP(H140,'WritingVocab Look Up'!$M$13:$N$21,2,TRUE),"")))))</f>
        <v/>
      </c>
      <c r="T140" s="222" t="str">
        <f t="shared" si="2"/>
        <v/>
      </c>
    </row>
    <row r="141" spans="1:20" s="108" customFormat="1" ht="15.75">
      <c r="A141" s="119"/>
      <c r="B141" s="120"/>
      <c r="C141" s="111"/>
      <c r="D141" s="111"/>
      <c r="E141" s="121"/>
      <c r="F141" s="121"/>
      <c r="G141" s="113"/>
      <c r="H141" s="219"/>
      <c r="I141" s="200" t="str">
        <f>IF(E141="","",IF(AND(T141&lt;=66),VLOOKUP(H141,'WritingVocab Look Up'!$A$13:$B$21,2,TRUE),IF(AND(T141&gt;=67,T141&lt;=72),VLOOKUP(H141,'WritingVocab Look Up'!$E$13:$F$21,2,TRUE),IF(AND(T141&gt;=73,T141&lt;=78),VLOOKUP(H141,'WritingVocab Look Up'!$I$13:$J$21,2,TRUE),IF(AND(T141&gt;=79),VLOOKUP(H141,'WritingVocab Look Up'!$M$13:$N$21,2,TRUE),"")))))</f>
        <v/>
      </c>
      <c r="T141" s="222" t="str">
        <f t="shared" si="2"/>
        <v/>
      </c>
    </row>
    <row r="142" spans="1:20" s="108" customFormat="1" ht="15.75">
      <c r="A142" s="119"/>
      <c r="B142" s="120"/>
      <c r="C142" s="111"/>
      <c r="D142" s="111"/>
      <c r="E142" s="121"/>
      <c r="F142" s="121"/>
      <c r="G142" s="113"/>
      <c r="H142" s="219"/>
      <c r="I142" s="200" t="str">
        <f>IF(E142="","",IF(AND(T142&lt;=66),VLOOKUP(H142,'WritingVocab Look Up'!$A$13:$B$21,2,TRUE),IF(AND(T142&gt;=67,T142&lt;=72),VLOOKUP(H142,'WritingVocab Look Up'!$E$13:$F$21,2,TRUE),IF(AND(T142&gt;=73,T142&lt;=78),VLOOKUP(H142,'WritingVocab Look Up'!$I$13:$J$21,2,TRUE),IF(AND(T142&gt;=79),VLOOKUP(H142,'WritingVocab Look Up'!$M$13:$N$21,2,TRUE),"")))))</f>
        <v/>
      </c>
      <c r="T142" s="222" t="str">
        <f t="shared" si="2"/>
        <v/>
      </c>
    </row>
    <row r="143" spans="1:20" s="108" customFormat="1" ht="15.75">
      <c r="A143" s="119"/>
      <c r="B143" s="120"/>
      <c r="C143" s="111"/>
      <c r="D143" s="111"/>
      <c r="E143" s="121"/>
      <c r="F143" s="121"/>
      <c r="G143" s="113"/>
      <c r="H143" s="219"/>
      <c r="I143" s="200" t="str">
        <f>IF(E143="","",IF(AND(T143&lt;=66),VLOOKUP(H143,'WritingVocab Look Up'!$A$13:$B$21,2,TRUE),IF(AND(T143&gt;=67,T143&lt;=72),VLOOKUP(H143,'WritingVocab Look Up'!$E$13:$F$21,2,TRUE),IF(AND(T143&gt;=73,T143&lt;=78),VLOOKUP(H143,'WritingVocab Look Up'!$I$13:$J$21,2,TRUE),IF(AND(T143&gt;=79),VLOOKUP(H143,'WritingVocab Look Up'!$M$13:$N$21,2,TRUE),"")))))</f>
        <v/>
      </c>
      <c r="T143" s="222" t="str">
        <f t="shared" si="2"/>
        <v/>
      </c>
    </row>
    <row r="144" spans="1:20" s="108" customFormat="1" ht="15.75">
      <c r="A144" s="119"/>
      <c r="B144" s="120"/>
      <c r="C144" s="111"/>
      <c r="D144" s="111"/>
      <c r="E144" s="121"/>
      <c r="F144" s="121"/>
      <c r="G144" s="113"/>
      <c r="H144" s="219"/>
      <c r="I144" s="200" t="str">
        <f>IF(E144="","",IF(AND(T144&lt;=66),VLOOKUP(H144,'WritingVocab Look Up'!$A$13:$B$21,2,TRUE),IF(AND(T144&gt;=67,T144&lt;=72),VLOOKUP(H144,'WritingVocab Look Up'!$E$13:$F$21,2,TRUE),IF(AND(T144&gt;=73,T144&lt;=78),VLOOKUP(H144,'WritingVocab Look Up'!$I$13:$J$21,2,TRUE),IF(AND(T144&gt;=79),VLOOKUP(H144,'WritingVocab Look Up'!$M$13:$N$21,2,TRUE),"")))))</f>
        <v/>
      </c>
      <c r="T144" s="222" t="str">
        <f t="shared" si="2"/>
        <v/>
      </c>
    </row>
    <row r="145" spans="1:20" s="108" customFormat="1" ht="15.75">
      <c r="A145" s="119"/>
      <c r="B145" s="120"/>
      <c r="C145" s="111"/>
      <c r="D145" s="111"/>
      <c r="E145" s="121"/>
      <c r="F145" s="121"/>
      <c r="G145" s="113"/>
      <c r="H145" s="219"/>
      <c r="I145" s="200" t="str">
        <f>IF(E145="","",IF(AND(T145&lt;=66),VLOOKUP(H145,'WritingVocab Look Up'!$A$13:$B$21,2,TRUE),IF(AND(T145&gt;=67,T145&lt;=72),VLOOKUP(H145,'WritingVocab Look Up'!$E$13:$F$21,2,TRUE),IF(AND(T145&gt;=73,T145&lt;=78),VLOOKUP(H145,'WritingVocab Look Up'!$I$13:$J$21,2,TRUE),IF(AND(T145&gt;=79),VLOOKUP(H145,'WritingVocab Look Up'!$M$13:$N$21,2,TRUE),"")))))</f>
        <v/>
      </c>
      <c r="T145" s="222" t="str">
        <f t="shared" si="2"/>
        <v/>
      </c>
    </row>
    <row r="146" spans="1:20" s="108" customFormat="1" ht="15.75">
      <c r="A146" s="119"/>
      <c r="B146" s="120"/>
      <c r="C146" s="111"/>
      <c r="D146" s="111"/>
      <c r="E146" s="121"/>
      <c r="F146" s="121"/>
      <c r="G146" s="113"/>
      <c r="H146" s="219"/>
      <c r="I146" s="200" t="str">
        <f>IF(E146="","",IF(AND(T146&lt;=66),VLOOKUP(H146,'WritingVocab Look Up'!$A$13:$B$21,2,TRUE),IF(AND(T146&gt;=67,T146&lt;=72),VLOOKUP(H146,'WritingVocab Look Up'!$E$13:$F$21,2,TRUE),IF(AND(T146&gt;=73,T146&lt;=78),VLOOKUP(H146,'WritingVocab Look Up'!$I$13:$J$21,2,TRUE),IF(AND(T146&gt;=79),VLOOKUP(H146,'WritingVocab Look Up'!$M$13:$N$21,2,TRUE),"")))))</f>
        <v/>
      </c>
      <c r="T146" s="222" t="str">
        <f t="shared" si="2"/>
        <v/>
      </c>
    </row>
    <row r="147" spans="1:20" s="108" customFormat="1" ht="15.75">
      <c r="A147" s="119"/>
      <c r="B147" s="120"/>
      <c r="C147" s="111"/>
      <c r="D147" s="111"/>
      <c r="E147" s="121"/>
      <c r="F147" s="121"/>
      <c r="G147" s="113"/>
      <c r="H147" s="219"/>
      <c r="I147" s="200" t="str">
        <f>IF(E147="","",IF(AND(T147&lt;=66),VLOOKUP(H147,'WritingVocab Look Up'!$A$13:$B$21,2,TRUE),IF(AND(T147&gt;=67,T147&lt;=72),VLOOKUP(H147,'WritingVocab Look Up'!$E$13:$F$21,2,TRUE),IF(AND(T147&gt;=73,T147&lt;=78),VLOOKUP(H147,'WritingVocab Look Up'!$I$13:$J$21,2,TRUE),IF(AND(T147&gt;=79),VLOOKUP(H147,'WritingVocab Look Up'!$M$13:$N$21,2,TRUE),"")))))</f>
        <v/>
      </c>
      <c r="T147" s="222" t="str">
        <f t="shared" si="2"/>
        <v/>
      </c>
    </row>
    <row r="148" spans="1:20" s="108" customFormat="1" ht="15.75">
      <c r="A148" s="119"/>
      <c r="B148" s="120"/>
      <c r="C148" s="111"/>
      <c r="D148" s="111"/>
      <c r="E148" s="121"/>
      <c r="F148" s="121"/>
      <c r="G148" s="113"/>
      <c r="H148" s="219"/>
      <c r="I148" s="200" t="str">
        <f>IF(E148="","",IF(AND(T148&lt;=66),VLOOKUP(H148,'WritingVocab Look Up'!$A$13:$B$21,2,TRUE),IF(AND(T148&gt;=67,T148&lt;=72),VLOOKUP(H148,'WritingVocab Look Up'!$E$13:$F$21,2,TRUE),IF(AND(T148&gt;=73,T148&lt;=78),VLOOKUP(H148,'WritingVocab Look Up'!$I$13:$J$21,2,TRUE),IF(AND(T148&gt;=79),VLOOKUP(H148,'WritingVocab Look Up'!$M$13:$N$21,2,TRUE),"")))))</f>
        <v/>
      </c>
      <c r="T148" s="222" t="str">
        <f t="shared" si="2"/>
        <v/>
      </c>
    </row>
    <row r="149" spans="1:20" s="108" customFormat="1" ht="15.75">
      <c r="A149" s="119"/>
      <c r="B149" s="120"/>
      <c r="C149" s="111"/>
      <c r="D149" s="111"/>
      <c r="E149" s="121"/>
      <c r="F149" s="121"/>
      <c r="G149" s="113"/>
      <c r="H149" s="219"/>
      <c r="I149" s="200" t="str">
        <f>IF(E149="","",IF(AND(T149&lt;=66),VLOOKUP(H149,'WritingVocab Look Up'!$A$13:$B$21,2,TRUE),IF(AND(T149&gt;=67,T149&lt;=72),VLOOKUP(H149,'WritingVocab Look Up'!$E$13:$F$21,2,TRUE),IF(AND(T149&gt;=73,T149&lt;=78),VLOOKUP(H149,'WritingVocab Look Up'!$I$13:$J$21,2,TRUE),IF(AND(T149&gt;=79),VLOOKUP(H149,'WritingVocab Look Up'!$M$13:$N$21,2,TRUE),"")))))</f>
        <v/>
      </c>
      <c r="T149" s="222" t="str">
        <f t="shared" si="2"/>
        <v/>
      </c>
    </row>
    <row r="150" spans="1:20" s="108" customFormat="1" ht="15.75">
      <c r="A150" s="119"/>
      <c r="B150" s="120"/>
      <c r="C150" s="111"/>
      <c r="D150" s="111"/>
      <c r="E150" s="121"/>
      <c r="F150" s="121"/>
      <c r="G150" s="113"/>
      <c r="H150" s="219"/>
      <c r="I150" s="200" t="str">
        <f>IF(E150="","",IF(AND(T150&lt;=66),VLOOKUP(H150,'WritingVocab Look Up'!$A$13:$B$21,2,TRUE),IF(AND(T150&gt;=67,T150&lt;=72),VLOOKUP(H150,'WritingVocab Look Up'!$E$13:$F$21,2,TRUE),IF(AND(T150&gt;=73,T150&lt;=78),VLOOKUP(H150,'WritingVocab Look Up'!$I$13:$J$21,2,TRUE),IF(AND(T150&gt;=79),VLOOKUP(H150,'WritingVocab Look Up'!$M$13:$N$21,2,TRUE),"")))))</f>
        <v/>
      </c>
      <c r="T150" s="222" t="str">
        <f t="shared" si="2"/>
        <v/>
      </c>
    </row>
    <row r="151" spans="1:20" s="108" customFormat="1" ht="15.75">
      <c r="A151" s="119"/>
      <c r="B151" s="120"/>
      <c r="C151" s="111"/>
      <c r="D151" s="111"/>
      <c r="E151" s="121"/>
      <c r="F151" s="121"/>
      <c r="G151" s="113"/>
      <c r="H151" s="219"/>
      <c r="I151" s="200" t="str">
        <f>IF(E151="","",IF(AND(T151&lt;=66),VLOOKUP(H151,'WritingVocab Look Up'!$A$13:$B$21,2,TRUE),IF(AND(T151&gt;=67,T151&lt;=72),VLOOKUP(H151,'WritingVocab Look Up'!$E$13:$F$21,2,TRUE),IF(AND(T151&gt;=73,T151&lt;=78),VLOOKUP(H151,'WritingVocab Look Up'!$I$13:$J$21,2,TRUE),IF(AND(T151&gt;=79),VLOOKUP(H151,'WritingVocab Look Up'!$M$13:$N$21,2,TRUE),"")))))</f>
        <v/>
      </c>
      <c r="T151" s="222" t="str">
        <f t="shared" si="2"/>
        <v/>
      </c>
    </row>
    <row r="152" spans="1:20" s="108" customFormat="1" ht="15.75">
      <c r="A152" s="119"/>
      <c r="B152" s="120"/>
      <c r="C152" s="111"/>
      <c r="D152" s="111"/>
      <c r="E152" s="121"/>
      <c r="F152" s="121"/>
      <c r="G152" s="113"/>
      <c r="H152" s="219"/>
      <c r="I152" s="200" t="str">
        <f>IF(E152="","",IF(AND(T152&lt;=66),VLOOKUP(H152,'WritingVocab Look Up'!$A$13:$B$21,2,TRUE),IF(AND(T152&gt;=67,T152&lt;=72),VLOOKUP(H152,'WritingVocab Look Up'!$E$13:$F$21,2,TRUE),IF(AND(T152&gt;=73,T152&lt;=78),VLOOKUP(H152,'WritingVocab Look Up'!$I$13:$J$21,2,TRUE),IF(AND(T152&gt;=79),VLOOKUP(H152,'WritingVocab Look Up'!$M$13:$N$21,2,TRUE),"")))))</f>
        <v/>
      </c>
      <c r="T152" s="222" t="str">
        <f t="shared" si="2"/>
        <v/>
      </c>
    </row>
    <row r="153" spans="1:20" s="108" customFormat="1" ht="15.75">
      <c r="A153" s="119"/>
      <c r="B153" s="120"/>
      <c r="C153" s="111"/>
      <c r="D153" s="111"/>
      <c r="E153" s="121"/>
      <c r="F153" s="121"/>
      <c r="G153" s="113"/>
      <c r="H153" s="219"/>
      <c r="I153" s="200" t="str">
        <f>IF(E153="","",IF(AND(T153&lt;=66),VLOOKUP(H153,'WritingVocab Look Up'!$A$13:$B$21,2,TRUE),IF(AND(T153&gt;=67,T153&lt;=72),VLOOKUP(H153,'WritingVocab Look Up'!$E$13:$F$21,2,TRUE),IF(AND(T153&gt;=73,T153&lt;=78),VLOOKUP(H153,'WritingVocab Look Up'!$I$13:$J$21,2,TRUE),IF(AND(T153&gt;=79),VLOOKUP(H153,'WritingVocab Look Up'!$M$13:$N$21,2,TRUE),"")))))</f>
        <v/>
      </c>
      <c r="T153" s="222" t="str">
        <f t="shared" si="2"/>
        <v/>
      </c>
    </row>
    <row r="154" spans="1:20" s="108" customFormat="1" ht="15.75">
      <c r="A154" s="119"/>
      <c r="B154" s="120"/>
      <c r="C154" s="111"/>
      <c r="D154" s="111"/>
      <c r="E154" s="121"/>
      <c r="F154" s="121"/>
      <c r="G154" s="113"/>
      <c r="H154" s="219"/>
      <c r="I154" s="200" t="str">
        <f>IF(E154="","",IF(AND(T154&lt;=66),VLOOKUP(H154,'WritingVocab Look Up'!$A$13:$B$21,2,TRUE),IF(AND(T154&gt;=67,T154&lt;=72),VLOOKUP(H154,'WritingVocab Look Up'!$E$13:$F$21,2,TRUE),IF(AND(T154&gt;=73,T154&lt;=78),VLOOKUP(H154,'WritingVocab Look Up'!$I$13:$J$21,2,TRUE),IF(AND(T154&gt;=79),VLOOKUP(H154,'WritingVocab Look Up'!$M$13:$N$21,2,TRUE),"")))))</f>
        <v/>
      </c>
      <c r="T154" s="222" t="str">
        <f t="shared" si="2"/>
        <v/>
      </c>
    </row>
    <row r="155" spans="1:20" s="108" customFormat="1" ht="15.75">
      <c r="A155" s="119"/>
      <c r="B155" s="120"/>
      <c r="C155" s="111"/>
      <c r="D155" s="111"/>
      <c r="E155" s="121"/>
      <c r="F155" s="121"/>
      <c r="G155" s="113"/>
      <c r="H155" s="219"/>
      <c r="I155" s="200" t="str">
        <f>IF(E155="","",IF(AND(T155&lt;=66),VLOOKUP(H155,'WritingVocab Look Up'!$A$13:$B$21,2,TRUE),IF(AND(T155&gt;=67,T155&lt;=72),VLOOKUP(H155,'WritingVocab Look Up'!$E$13:$F$21,2,TRUE),IF(AND(T155&gt;=73,T155&lt;=78),VLOOKUP(H155,'WritingVocab Look Up'!$I$13:$J$21,2,TRUE),IF(AND(T155&gt;=79),VLOOKUP(H155,'WritingVocab Look Up'!$M$13:$N$21,2,TRUE),"")))))</f>
        <v/>
      </c>
      <c r="T155" s="222" t="str">
        <f t="shared" si="2"/>
        <v/>
      </c>
    </row>
    <row r="156" spans="1:20" s="108" customFormat="1" ht="15.75">
      <c r="A156" s="119"/>
      <c r="B156" s="120"/>
      <c r="C156" s="111"/>
      <c r="D156" s="111"/>
      <c r="E156" s="121"/>
      <c r="F156" s="121"/>
      <c r="G156" s="113"/>
      <c r="H156" s="219"/>
      <c r="I156" s="200" t="str">
        <f>IF(E156="","",IF(AND(T156&lt;=66),VLOOKUP(H156,'WritingVocab Look Up'!$A$13:$B$21,2,TRUE),IF(AND(T156&gt;=67,T156&lt;=72),VLOOKUP(H156,'WritingVocab Look Up'!$E$13:$F$21,2,TRUE),IF(AND(T156&gt;=73,T156&lt;=78),VLOOKUP(H156,'WritingVocab Look Up'!$I$13:$J$21,2,TRUE),IF(AND(T156&gt;=79),VLOOKUP(H156,'WritingVocab Look Up'!$M$13:$N$21,2,TRUE),"")))))</f>
        <v/>
      </c>
      <c r="T156" s="222" t="str">
        <f t="shared" si="2"/>
        <v/>
      </c>
    </row>
    <row r="157" spans="1:20" s="108" customFormat="1" ht="15.75">
      <c r="A157" s="119"/>
      <c r="B157" s="120"/>
      <c r="C157" s="111"/>
      <c r="D157" s="111"/>
      <c r="E157" s="121"/>
      <c r="F157" s="121"/>
      <c r="G157" s="113"/>
      <c r="H157" s="219"/>
      <c r="I157" s="200" t="str">
        <f>IF(E157="","",IF(AND(T157&lt;=66),VLOOKUP(H157,'WritingVocab Look Up'!$A$13:$B$21,2,TRUE),IF(AND(T157&gt;=67,T157&lt;=72),VLOOKUP(H157,'WritingVocab Look Up'!$E$13:$F$21,2,TRUE),IF(AND(T157&gt;=73,T157&lt;=78),VLOOKUP(H157,'WritingVocab Look Up'!$I$13:$J$21,2,TRUE),IF(AND(T157&gt;=79),VLOOKUP(H157,'WritingVocab Look Up'!$M$13:$N$21,2,TRUE),"")))))</f>
        <v/>
      </c>
      <c r="T157" s="222" t="str">
        <f t="shared" si="2"/>
        <v/>
      </c>
    </row>
    <row r="158" spans="1:20" s="108" customFormat="1" ht="15.75">
      <c r="A158" s="119"/>
      <c r="B158" s="120"/>
      <c r="C158" s="111"/>
      <c r="D158" s="111"/>
      <c r="E158" s="121"/>
      <c r="F158" s="121"/>
      <c r="G158" s="113"/>
      <c r="H158" s="219"/>
      <c r="I158" s="200" t="str">
        <f>IF(E158="","",IF(AND(T158&lt;=66),VLOOKUP(H158,'WritingVocab Look Up'!$A$13:$B$21,2,TRUE),IF(AND(T158&gt;=67,T158&lt;=72),VLOOKUP(H158,'WritingVocab Look Up'!$E$13:$F$21,2,TRUE),IF(AND(T158&gt;=73,T158&lt;=78),VLOOKUP(H158,'WritingVocab Look Up'!$I$13:$J$21,2,TRUE),IF(AND(T158&gt;=79),VLOOKUP(H158,'WritingVocab Look Up'!$M$13:$N$21,2,TRUE),"")))))</f>
        <v/>
      </c>
      <c r="T158" s="222" t="str">
        <f t="shared" si="2"/>
        <v/>
      </c>
    </row>
    <row r="159" spans="1:20" s="108" customFormat="1" ht="15.75">
      <c r="A159" s="119"/>
      <c r="B159" s="120"/>
      <c r="C159" s="111"/>
      <c r="D159" s="111"/>
      <c r="E159" s="121"/>
      <c r="F159" s="121"/>
      <c r="G159" s="113"/>
      <c r="H159" s="219"/>
      <c r="I159" s="200" t="str">
        <f>IF(E159="","",IF(AND(T159&lt;=66),VLOOKUP(H159,'WritingVocab Look Up'!$A$13:$B$21,2,TRUE),IF(AND(T159&gt;=67,T159&lt;=72),VLOOKUP(H159,'WritingVocab Look Up'!$E$13:$F$21,2,TRUE),IF(AND(T159&gt;=73,T159&lt;=78),VLOOKUP(H159,'WritingVocab Look Up'!$I$13:$J$21,2,TRUE),IF(AND(T159&gt;=79),VLOOKUP(H159,'WritingVocab Look Up'!$M$13:$N$21,2,TRUE),"")))))</f>
        <v/>
      </c>
      <c r="T159" s="222" t="str">
        <f t="shared" si="2"/>
        <v/>
      </c>
    </row>
    <row r="160" spans="1:20" s="108" customFormat="1" ht="15.75">
      <c r="A160" s="119"/>
      <c r="B160" s="120"/>
      <c r="C160" s="111"/>
      <c r="D160" s="111"/>
      <c r="E160" s="121"/>
      <c r="F160" s="121"/>
      <c r="G160" s="113"/>
      <c r="H160" s="219"/>
      <c r="I160" s="200" t="str">
        <f>IF(E160="","",IF(AND(T160&lt;=66),VLOOKUP(H160,'WritingVocab Look Up'!$A$13:$B$21,2,TRUE),IF(AND(T160&gt;=67,T160&lt;=72),VLOOKUP(H160,'WritingVocab Look Up'!$E$13:$F$21,2,TRUE),IF(AND(T160&gt;=73,T160&lt;=78),VLOOKUP(H160,'WritingVocab Look Up'!$I$13:$J$21,2,TRUE),IF(AND(T160&gt;=79),VLOOKUP(H160,'WritingVocab Look Up'!$M$13:$N$21,2,TRUE),"")))))</f>
        <v/>
      </c>
      <c r="T160" s="222" t="str">
        <f t="shared" si="2"/>
        <v/>
      </c>
    </row>
    <row r="161" spans="1:20" s="108" customFormat="1" ht="15.75">
      <c r="A161" s="119"/>
      <c r="B161" s="120"/>
      <c r="C161" s="111"/>
      <c r="D161" s="111"/>
      <c r="E161" s="121"/>
      <c r="F161" s="121"/>
      <c r="G161" s="113"/>
      <c r="H161" s="219"/>
      <c r="I161" s="200" t="str">
        <f>IF(E161="","",IF(AND(T161&lt;=66),VLOOKUP(H161,'WritingVocab Look Up'!$A$13:$B$21,2,TRUE),IF(AND(T161&gt;=67,T161&lt;=72),VLOOKUP(H161,'WritingVocab Look Up'!$E$13:$F$21,2,TRUE),IF(AND(T161&gt;=73,T161&lt;=78),VLOOKUP(H161,'WritingVocab Look Up'!$I$13:$J$21,2,TRUE),IF(AND(T161&gt;=79),VLOOKUP(H161,'WritingVocab Look Up'!$M$13:$N$21,2,TRUE),"")))))</f>
        <v/>
      </c>
      <c r="T161" s="222" t="str">
        <f t="shared" si="2"/>
        <v/>
      </c>
    </row>
    <row r="162" spans="1:20" s="108" customFormat="1" ht="15.75">
      <c r="A162" s="119"/>
      <c r="B162" s="120"/>
      <c r="C162" s="111"/>
      <c r="D162" s="111"/>
      <c r="E162" s="121"/>
      <c r="F162" s="121"/>
      <c r="G162" s="113"/>
      <c r="H162" s="219"/>
      <c r="I162" s="200" t="str">
        <f>IF(E162="","",IF(AND(T162&lt;=66),VLOOKUP(H162,'WritingVocab Look Up'!$A$13:$B$21,2,TRUE),IF(AND(T162&gt;=67,T162&lt;=72),VLOOKUP(H162,'WritingVocab Look Up'!$E$13:$F$21,2,TRUE),IF(AND(T162&gt;=73,T162&lt;=78),VLOOKUP(H162,'WritingVocab Look Up'!$I$13:$J$21,2,TRUE),IF(AND(T162&gt;=79),VLOOKUP(H162,'WritingVocab Look Up'!$M$13:$N$21,2,TRUE),"")))))</f>
        <v/>
      </c>
      <c r="T162" s="222" t="str">
        <f t="shared" si="2"/>
        <v/>
      </c>
    </row>
    <row r="163" spans="1:20" s="108" customFormat="1" ht="15.75">
      <c r="A163" s="119"/>
      <c r="B163" s="120"/>
      <c r="C163" s="111"/>
      <c r="D163" s="111"/>
      <c r="E163" s="121"/>
      <c r="F163" s="121"/>
      <c r="G163" s="113"/>
      <c r="H163" s="219"/>
      <c r="I163" s="200" t="str">
        <f>IF(E163="","",IF(AND(T163&lt;=66),VLOOKUP(H163,'WritingVocab Look Up'!$A$13:$B$21,2,TRUE),IF(AND(T163&gt;=67,T163&lt;=72),VLOOKUP(H163,'WritingVocab Look Up'!$E$13:$F$21,2,TRUE),IF(AND(T163&gt;=73,T163&lt;=78),VLOOKUP(H163,'WritingVocab Look Up'!$I$13:$J$21,2,TRUE),IF(AND(T163&gt;=79),VLOOKUP(H163,'WritingVocab Look Up'!$M$13:$N$21,2,TRUE),"")))))</f>
        <v/>
      </c>
      <c r="T163" s="222" t="str">
        <f t="shared" si="2"/>
        <v/>
      </c>
    </row>
    <row r="164" spans="1:20" s="108" customFormat="1" ht="15.75">
      <c r="A164" s="119"/>
      <c r="B164" s="120"/>
      <c r="C164" s="111"/>
      <c r="D164" s="111"/>
      <c r="E164" s="121"/>
      <c r="F164" s="121"/>
      <c r="G164" s="113"/>
      <c r="H164" s="219"/>
      <c r="I164" s="200" t="str">
        <f>IF(E164="","",IF(AND(T164&lt;=66),VLOOKUP(H164,'WritingVocab Look Up'!$A$13:$B$21,2,TRUE),IF(AND(T164&gt;=67,T164&lt;=72),VLOOKUP(H164,'WritingVocab Look Up'!$E$13:$F$21,2,TRUE),IF(AND(T164&gt;=73,T164&lt;=78),VLOOKUP(H164,'WritingVocab Look Up'!$I$13:$J$21,2,TRUE),IF(AND(T164&gt;=79),VLOOKUP(H164,'WritingVocab Look Up'!$M$13:$N$21,2,TRUE),"")))))</f>
        <v/>
      </c>
      <c r="T164" s="222" t="str">
        <f t="shared" si="2"/>
        <v/>
      </c>
    </row>
    <row r="165" spans="1:20" s="108" customFormat="1" ht="15.75">
      <c r="A165" s="119"/>
      <c r="B165" s="120"/>
      <c r="C165" s="111"/>
      <c r="D165" s="111"/>
      <c r="E165" s="121"/>
      <c r="F165" s="121"/>
      <c r="G165" s="113"/>
      <c r="H165" s="219"/>
      <c r="I165" s="200" t="str">
        <f>IF(E165="","",IF(AND(T165&lt;=66),VLOOKUP(H165,'WritingVocab Look Up'!$A$13:$B$21,2,TRUE),IF(AND(T165&gt;=67,T165&lt;=72),VLOOKUP(H165,'WritingVocab Look Up'!$E$13:$F$21,2,TRUE),IF(AND(T165&gt;=73,T165&lt;=78),VLOOKUP(H165,'WritingVocab Look Up'!$I$13:$J$21,2,TRUE),IF(AND(T165&gt;=79),VLOOKUP(H165,'WritingVocab Look Up'!$M$13:$N$21,2,TRUE),"")))))</f>
        <v/>
      </c>
      <c r="T165" s="222" t="str">
        <f t="shared" si="2"/>
        <v/>
      </c>
    </row>
    <row r="166" spans="1:20" s="108" customFormat="1" ht="15.75">
      <c r="A166" s="119"/>
      <c r="B166" s="120"/>
      <c r="C166" s="111"/>
      <c r="D166" s="111"/>
      <c r="E166" s="121"/>
      <c r="F166" s="121"/>
      <c r="G166" s="113"/>
      <c r="H166" s="219"/>
      <c r="I166" s="200" t="str">
        <f>IF(E166="","",IF(AND(T166&lt;=66),VLOOKUP(H166,'WritingVocab Look Up'!$A$13:$B$21,2,TRUE),IF(AND(T166&gt;=67,T166&lt;=72),VLOOKUP(H166,'WritingVocab Look Up'!$E$13:$F$21,2,TRUE),IF(AND(T166&gt;=73,T166&lt;=78),VLOOKUP(H166,'WritingVocab Look Up'!$I$13:$J$21,2,TRUE),IF(AND(T166&gt;=79),VLOOKUP(H166,'WritingVocab Look Up'!$M$13:$N$21,2,TRUE),"")))))</f>
        <v/>
      </c>
      <c r="T166" s="222" t="str">
        <f t="shared" si="2"/>
        <v/>
      </c>
    </row>
    <row r="167" spans="1:20" s="108" customFormat="1" ht="15.75">
      <c r="A167" s="119"/>
      <c r="B167" s="120"/>
      <c r="C167" s="111"/>
      <c r="D167" s="111"/>
      <c r="E167" s="121"/>
      <c r="F167" s="121"/>
      <c r="G167" s="113"/>
      <c r="H167" s="219"/>
      <c r="I167" s="200" t="str">
        <f>IF(E167="","",IF(AND(T167&lt;=66),VLOOKUP(H167,'WritingVocab Look Up'!$A$13:$B$21,2,TRUE),IF(AND(T167&gt;=67,T167&lt;=72),VLOOKUP(H167,'WritingVocab Look Up'!$E$13:$F$21,2,TRUE),IF(AND(T167&gt;=73,T167&lt;=78),VLOOKUP(H167,'WritingVocab Look Up'!$I$13:$J$21,2,TRUE),IF(AND(T167&gt;=79),VLOOKUP(H167,'WritingVocab Look Up'!$M$13:$N$21,2,TRUE),"")))))</f>
        <v/>
      </c>
      <c r="T167" s="222" t="str">
        <f t="shared" si="2"/>
        <v/>
      </c>
    </row>
    <row r="168" spans="1:20" s="108" customFormat="1" ht="15.75">
      <c r="A168" s="119"/>
      <c r="B168" s="120"/>
      <c r="C168" s="111"/>
      <c r="D168" s="111"/>
      <c r="E168" s="121"/>
      <c r="F168" s="121"/>
      <c r="G168" s="113"/>
      <c r="H168" s="219"/>
      <c r="I168" s="200" t="str">
        <f>IF(E168="","",IF(AND(T168&lt;=66),VLOOKUP(H168,'WritingVocab Look Up'!$A$13:$B$21,2,TRUE),IF(AND(T168&gt;=67,T168&lt;=72),VLOOKUP(H168,'WritingVocab Look Up'!$E$13:$F$21,2,TRUE),IF(AND(T168&gt;=73,T168&lt;=78),VLOOKUP(H168,'WritingVocab Look Up'!$I$13:$J$21,2,TRUE),IF(AND(T168&gt;=79),VLOOKUP(H168,'WritingVocab Look Up'!$M$13:$N$21,2,TRUE),"")))))</f>
        <v/>
      </c>
      <c r="T168" s="222" t="str">
        <f t="shared" si="2"/>
        <v/>
      </c>
    </row>
    <row r="169" spans="1:20" s="108" customFormat="1" ht="15.75">
      <c r="A169" s="119"/>
      <c r="B169" s="120"/>
      <c r="C169" s="111"/>
      <c r="D169" s="111"/>
      <c r="E169" s="121"/>
      <c r="F169" s="121"/>
      <c r="G169" s="113"/>
      <c r="H169" s="219"/>
      <c r="I169" s="200" t="str">
        <f>IF(E169="","",IF(AND(T169&lt;=66),VLOOKUP(H169,'WritingVocab Look Up'!$A$13:$B$21,2,TRUE),IF(AND(T169&gt;=67,T169&lt;=72),VLOOKUP(H169,'WritingVocab Look Up'!$E$13:$F$21,2,TRUE),IF(AND(T169&gt;=73,T169&lt;=78),VLOOKUP(H169,'WritingVocab Look Up'!$I$13:$J$21,2,TRUE),IF(AND(T169&gt;=79),VLOOKUP(H169,'WritingVocab Look Up'!$M$13:$N$21,2,TRUE),"")))))</f>
        <v/>
      </c>
      <c r="T169" s="222" t="str">
        <f t="shared" si="2"/>
        <v/>
      </c>
    </row>
    <row r="170" spans="1:20" s="108" customFormat="1" ht="15.75">
      <c r="A170" s="119"/>
      <c r="B170" s="120"/>
      <c r="C170" s="111"/>
      <c r="D170" s="111"/>
      <c r="E170" s="121"/>
      <c r="F170" s="121"/>
      <c r="G170" s="113"/>
      <c r="H170" s="219"/>
      <c r="I170" s="200" t="str">
        <f>IF(E170="","",IF(AND(T170&lt;=66),VLOOKUP(H170,'WritingVocab Look Up'!$A$13:$B$21,2,TRUE),IF(AND(T170&gt;=67,T170&lt;=72),VLOOKUP(H170,'WritingVocab Look Up'!$E$13:$F$21,2,TRUE),IF(AND(T170&gt;=73,T170&lt;=78),VLOOKUP(H170,'WritingVocab Look Up'!$I$13:$J$21,2,TRUE),IF(AND(T170&gt;=79),VLOOKUP(H170,'WritingVocab Look Up'!$M$13:$N$21,2,TRUE),"")))))</f>
        <v/>
      </c>
      <c r="T170" s="222" t="str">
        <f t="shared" si="2"/>
        <v/>
      </c>
    </row>
    <row r="171" spans="1:20" s="108" customFormat="1" ht="15.75">
      <c r="A171" s="119"/>
      <c r="B171" s="120"/>
      <c r="C171" s="111"/>
      <c r="D171" s="111"/>
      <c r="E171" s="121"/>
      <c r="F171" s="121"/>
      <c r="G171" s="113"/>
      <c r="H171" s="219"/>
      <c r="I171" s="200" t="str">
        <f>IF(E171="","",IF(AND(T171&lt;=66),VLOOKUP(H171,'WritingVocab Look Up'!$A$13:$B$21,2,TRUE),IF(AND(T171&gt;=67,T171&lt;=72),VLOOKUP(H171,'WritingVocab Look Up'!$E$13:$F$21,2,TRUE),IF(AND(T171&gt;=73,T171&lt;=78),VLOOKUP(H171,'WritingVocab Look Up'!$I$13:$J$21,2,TRUE),IF(AND(T171&gt;=79),VLOOKUP(H171,'WritingVocab Look Up'!$M$13:$N$21,2,TRUE),"")))))</f>
        <v/>
      </c>
      <c r="T171" s="222" t="str">
        <f t="shared" si="2"/>
        <v/>
      </c>
    </row>
    <row r="172" spans="1:20" s="108" customFormat="1" ht="15.75">
      <c r="A172" s="119"/>
      <c r="B172" s="120"/>
      <c r="C172" s="111"/>
      <c r="D172" s="111"/>
      <c r="E172" s="121"/>
      <c r="F172" s="121"/>
      <c r="G172" s="113"/>
      <c r="H172" s="219"/>
      <c r="I172" s="200" t="str">
        <f>IF(E172="","",IF(AND(T172&lt;=66),VLOOKUP(H172,'WritingVocab Look Up'!$A$13:$B$21,2,TRUE),IF(AND(T172&gt;=67,T172&lt;=72),VLOOKUP(H172,'WritingVocab Look Up'!$E$13:$F$21,2,TRUE),IF(AND(T172&gt;=73,T172&lt;=78),VLOOKUP(H172,'WritingVocab Look Up'!$I$13:$J$21,2,TRUE),IF(AND(T172&gt;=79),VLOOKUP(H172,'WritingVocab Look Up'!$M$13:$N$21,2,TRUE),"")))))</f>
        <v/>
      </c>
      <c r="T172" s="222" t="str">
        <f t="shared" si="2"/>
        <v/>
      </c>
    </row>
    <row r="173" spans="1:20" s="108" customFormat="1" ht="15.75">
      <c r="A173" s="119"/>
      <c r="B173" s="120"/>
      <c r="C173" s="111"/>
      <c r="D173" s="111"/>
      <c r="E173" s="121"/>
      <c r="F173" s="121"/>
      <c r="G173" s="113"/>
      <c r="H173" s="219"/>
      <c r="I173" s="200" t="str">
        <f>IF(E173="","",IF(AND(T173&lt;=66),VLOOKUP(H173,'WritingVocab Look Up'!$A$13:$B$21,2,TRUE),IF(AND(T173&gt;=67,T173&lt;=72),VLOOKUP(H173,'WritingVocab Look Up'!$E$13:$F$21,2,TRUE),IF(AND(T173&gt;=73,T173&lt;=78),VLOOKUP(H173,'WritingVocab Look Up'!$I$13:$J$21,2,TRUE),IF(AND(T173&gt;=79),VLOOKUP(H173,'WritingVocab Look Up'!$M$13:$N$21,2,TRUE),"")))))</f>
        <v/>
      </c>
      <c r="T173" s="222" t="str">
        <f t="shared" si="2"/>
        <v/>
      </c>
    </row>
    <row r="174" spans="1:20" s="108" customFormat="1" ht="15.75">
      <c r="A174" s="119"/>
      <c r="B174" s="120"/>
      <c r="C174" s="111"/>
      <c r="D174" s="111"/>
      <c r="E174" s="121"/>
      <c r="F174" s="121"/>
      <c r="G174" s="113"/>
      <c r="H174" s="219"/>
      <c r="I174" s="200" t="str">
        <f>IF(E174="","",IF(AND(T174&lt;=66),VLOOKUP(H174,'WritingVocab Look Up'!$A$13:$B$21,2,TRUE),IF(AND(T174&gt;=67,T174&lt;=72),VLOOKUP(H174,'WritingVocab Look Up'!$E$13:$F$21,2,TRUE),IF(AND(T174&gt;=73,T174&lt;=78),VLOOKUP(H174,'WritingVocab Look Up'!$I$13:$J$21,2,TRUE),IF(AND(T174&gt;=79),VLOOKUP(H174,'WritingVocab Look Up'!$M$13:$N$21,2,TRUE),"")))))</f>
        <v/>
      </c>
      <c r="T174" s="222" t="str">
        <f t="shared" si="2"/>
        <v/>
      </c>
    </row>
    <row r="175" spans="1:20" s="108" customFormat="1" ht="15.75">
      <c r="A175" s="119"/>
      <c r="B175" s="120"/>
      <c r="C175" s="111"/>
      <c r="D175" s="111"/>
      <c r="E175" s="121"/>
      <c r="F175" s="121"/>
      <c r="G175" s="113"/>
      <c r="H175" s="219"/>
      <c r="I175" s="200" t="str">
        <f>IF(E175="","",IF(AND(T175&lt;=66),VLOOKUP(H175,'WritingVocab Look Up'!$A$13:$B$21,2,TRUE),IF(AND(T175&gt;=67,T175&lt;=72),VLOOKUP(H175,'WritingVocab Look Up'!$E$13:$F$21,2,TRUE),IF(AND(T175&gt;=73,T175&lt;=78),VLOOKUP(H175,'WritingVocab Look Up'!$I$13:$J$21,2,TRUE),IF(AND(T175&gt;=79),VLOOKUP(H175,'WritingVocab Look Up'!$M$13:$N$21,2,TRUE),"")))))</f>
        <v/>
      </c>
      <c r="T175" s="222" t="str">
        <f t="shared" si="2"/>
        <v/>
      </c>
    </row>
    <row r="176" spans="1:20" s="108" customFormat="1" ht="15.75">
      <c r="A176" s="119"/>
      <c r="B176" s="120"/>
      <c r="C176" s="111"/>
      <c r="D176" s="111"/>
      <c r="E176" s="121"/>
      <c r="F176" s="121"/>
      <c r="G176" s="113"/>
      <c r="H176" s="219"/>
      <c r="I176" s="200" t="str">
        <f>IF(E176="","",IF(AND(T176&lt;=66),VLOOKUP(H176,'WritingVocab Look Up'!$A$13:$B$21,2,TRUE),IF(AND(T176&gt;=67,T176&lt;=72),VLOOKUP(H176,'WritingVocab Look Up'!$E$13:$F$21,2,TRUE),IF(AND(T176&gt;=73,T176&lt;=78),VLOOKUP(H176,'WritingVocab Look Up'!$I$13:$J$21,2,TRUE),IF(AND(T176&gt;=79),VLOOKUP(H176,'WritingVocab Look Up'!$M$13:$N$21,2,TRUE),"")))))</f>
        <v/>
      </c>
      <c r="T176" s="222" t="str">
        <f t="shared" si="2"/>
        <v/>
      </c>
    </row>
    <row r="177" spans="1:20" s="108" customFormat="1" ht="15.75">
      <c r="A177" s="119"/>
      <c r="B177" s="120"/>
      <c r="C177" s="111"/>
      <c r="D177" s="111"/>
      <c r="E177" s="121"/>
      <c r="F177" s="121"/>
      <c r="G177" s="113"/>
      <c r="H177" s="219"/>
      <c r="I177" s="200" t="str">
        <f>IF(E177="","",IF(AND(T177&lt;=66),VLOOKUP(H177,'WritingVocab Look Up'!$A$13:$B$21,2,TRUE),IF(AND(T177&gt;=67,T177&lt;=72),VLOOKUP(H177,'WritingVocab Look Up'!$E$13:$F$21,2,TRUE),IF(AND(T177&gt;=73,T177&lt;=78),VLOOKUP(H177,'WritingVocab Look Up'!$I$13:$J$21,2,TRUE),IF(AND(T177&gt;=79),VLOOKUP(H177,'WritingVocab Look Up'!$M$13:$N$21,2,TRUE),"")))))</f>
        <v/>
      </c>
      <c r="T177" s="222" t="str">
        <f t="shared" si="2"/>
        <v/>
      </c>
    </row>
    <row r="178" spans="1:20" s="108" customFormat="1" ht="15.75">
      <c r="A178" s="119"/>
      <c r="B178" s="120"/>
      <c r="C178" s="111"/>
      <c r="D178" s="111"/>
      <c r="E178" s="121"/>
      <c r="F178" s="121"/>
      <c r="G178" s="113"/>
      <c r="H178" s="219"/>
      <c r="I178" s="200" t="str">
        <f>IF(E178="","",IF(AND(T178&lt;=66),VLOOKUP(H178,'WritingVocab Look Up'!$A$13:$B$21,2,TRUE),IF(AND(T178&gt;=67,T178&lt;=72),VLOOKUP(H178,'WritingVocab Look Up'!$E$13:$F$21,2,TRUE),IF(AND(T178&gt;=73,T178&lt;=78),VLOOKUP(H178,'WritingVocab Look Up'!$I$13:$J$21,2,TRUE),IF(AND(T178&gt;=79),VLOOKUP(H178,'WritingVocab Look Up'!$M$13:$N$21,2,TRUE),"")))))</f>
        <v/>
      </c>
      <c r="T178" s="222" t="str">
        <f t="shared" si="2"/>
        <v/>
      </c>
    </row>
    <row r="179" spans="1:20" s="108" customFormat="1" ht="15.75">
      <c r="A179" s="119"/>
      <c r="B179" s="120"/>
      <c r="C179" s="111"/>
      <c r="D179" s="111"/>
      <c r="E179" s="121"/>
      <c r="F179" s="121"/>
      <c r="G179" s="113"/>
      <c r="H179" s="219"/>
      <c r="I179" s="200" t="str">
        <f>IF(E179="","",IF(AND(T179&lt;=66),VLOOKUP(H179,'WritingVocab Look Up'!$A$13:$B$21,2,TRUE),IF(AND(T179&gt;=67,T179&lt;=72),VLOOKUP(H179,'WritingVocab Look Up'!$E$13:$F$21,2,TRUE),IF(AND(T179&gt;=73,T179&lt;=78),VLOOKUP(H179,'WritingVocab Look Up'!$I$13:$J$21,2,TRUE),IF(AND(T179&gt;=79),VLOOKUP(H179,'WritingVocab Look Up'!$M$13:$N$21,2,TRUE),"")))))</f>
        <v/>
      </c>
      <c r="T179" s="222" t="str">
        <f t="shared" si="2"/>
        <v/>
      </c>
    </row>
    <row r="180" spans="1:20" s="108" customFormat="1" ht="15.75">
      <c r="A180" s="119"/>
      <c r="B180" s="120"/>
      <c r="C180" s="111"/>
      <c r="D180" s="111"/>
      <c r="E180" s="121"/>
      <c r="F180" s="121"/>
      <c r="G180" s="113"/>
      <c r="H180" s="219"/>
      <c r="I180" s="200" t="str">
        <f>IF(E180="","",IF(AND(T180&lt;=66),VLOOKUP(H180,'WritingVocab Look Up'!$A$13:$B$21,2,TRUE),IF(AND(T180&gt;=67,T180&lt;=72),VLOOKUP(H180,'WritingVocab Look Up'!$E$13:$F$21,2,TRUE),IF(AND(T180&gt;=73,T180&lt;=78),VLOOKUP(H180,'WritingVocab Look Up'!$I$13:$J$21,2,TRUE),IF(AND(T180&gt;=79),VLOOKUP(H180,'WritingVocab Look Up'!$M$13:$N$21,2,TRUE),"")))))</f>
        <v/>
      </c>
      <c r="T180" s="222" t="str">
        <f t="shared" si="2"/>
        <v/>
      </c>
    </row>
    <row r="181" spans="1:20" s="108" customFormat="1" ht="15.75">
      <c r="A181" s="119"/>
      <c r="B181" s="120"/>
      <c r="C181" s="111"/>
      <c r="D181" s="111"/>
      <c r="E181" s="121"/>
      <c r="F181" s="121"/>
      <c r="G181" s="113"/>
      <c r="H181" s="219"/>
      <c r="I181" s="200" t="str">
        <f>IF(E181="","",IF(AND(T181&lt;=66),VLOOKUP(H181,'WritingVocab Look Up'!$A$13:$B$21,2,TRUE),IF(AND(T181&gt;=67,T181&lt;=72),VLOOKUP(H181,'WritingVocab Look Up'!$E$13:$F$21,2,TRUE),IF(AND(T181&gt;=73,T181&lt;=78),VLOOKUP(H181,'WritingVocab Look Up'!$I$13:$J$21,2,TRUE),IF(AND(T181&gt;=79),VLOOKUP(H181,'WritingVocab Look Up'!$M$13:$N$21,2,TRUE),"")))))</f>
        <v/>
      </c>
      <c r="T181" s="222" t="str">
        <f t="shared" si="2"/>
        <v/>
      </c>
    </row>
    <row r="182" spans="1:20" s="108" customFormat="1" ht="15.75">
      <c r="A182" s="119"/>
      <c r="B182" s="120"/>
      <c r="C182" s="111"/>
      <c r="D182" s="111"/>
      <c r="E182" s="121"/>
      <c r="F182" s="121"/>
      <c r="G182" s="113"/>
      <c r="H182" s="219"/>
      <c r="I182" s="200" t="str">
        <f>IF(E182="","",IF(AND(T182&lt;=66),VLOOKUP(H182,'WritingVocab Look Up'!$A$13:$B$21,2,TRUE),IF(AND(T182&gt;=67,T182&lt;=72),VLOOKUP(H182,'WritingVocab Look Up'!$E$13:$F$21,2,TRUE),IF(AND(T182&gt;=73,T182&lt;=78),VLOOKUP(H182,'WritingVocab Look Up'!$I$13:$J$21,2,TRUE),IF(AND(T182&gt;=79),VLOOKUP(H182,'WritingVocab Look Up'!$M$13:$N$21,2,TRUE),"")))))</f>
        <v/>
      </c>
      <c r="T182" s="222" t="str">
        <f t="shared" si="2"/>
        <v/>
      </c>
    </row>
    <row r="183" spans="1:20" s="108" customFormat="1" ht="15.75">
      <c r="A183" s="119"/>
      <c r="B183" s="120"/>
      <c r="C183" s="111"/>
      <c r="D183" s="111"/>
      <c r="E183" s="121"/>
      <c r="F183" s="121"/>
      <c r="G183" s="113"/>
      <c r="H183" s="219"/>
      <c r="I183" s="200" t="str">
        <f>IF(E183="","",IF(AND(T183&lt;=66),VLOOKUP(H183,'WritingVocab Look Up'!$A$13:$B$21,2,TRUE),IF(AND(T183&gt;=67,T183&lt;=72),VLOOKUP(H183,'WritingVocab Look Up'!$E$13:$F$21,2,TRUE),IF(AND(T183&gt;=73,T183&lt;=78),VLOOKUP(H183,'WritingVocab Look Up'!$I$13:$J$21,2,TRUE),IF(AND(T183&gt;=79),VLOOKUP(H183,'WritingVocab Look Up'!$M$13:$N$21,2,TRUE),"")))))</f>
        <v/>
      </c>
      <c r="T183" s="222" t="str">
        <f t="shared" si="2"/>
        <v/>
      </c>
    </row>
    <row r="184" spans="1:20" s="108" customFormat="1" ht="15.75">
      <c r="A184" s="119"/>
      <c r="B184" s="120"/>
      <c r="C184" s="111"/>
      <c r="D184" s="111"/>
      <c r="E184" s="121"/>
      <c r="F184" s="121"/>
      <c r="G184" s="113"/>
      <c r="H184" s="219"/>
      <c r="I184" s="200" t="str">
        <f>IF(E184="","",IF(AND(T184&lt;=66),VLOOKUP(H184,'WritingVocab Look Up'!$A$13:$B$21,2,TRUE),IF(AND(T184&gt;=67,T184&lt;=72),VLOOKUP(H184,'WritingVocab Look Up'!$E$13:$F$21,2,TRUE),IF(AND(T184&gt;=73,T184&lt;=78),VLOOKUP(H184,'WritingVocab Look Up'!$I$13:$J$21,2,TRUE),IF(AND(T184&gt;=79),VLOOKUP(H184,'WritingVocab Look Up'!$M$13:$N$21,2,TRUE),"")))))</f>
        <v/>
      </c>
      <c r="T184" s="222" t="str">
        <f t="shared" si="2"/>
        <v/>
      </c>
    </row>
    <row r="185" spans="1:20" s="108" customFormat="1" ht="15.75">
      <c r="A185" s="119"/>
      <c r="B185" s="120"/>
      <c r="C185" s="111"/>
      <c r="D185" s="111"/>
      <c r="E185" s="121"/>
      <c r="F185" s="121"/>
      <c r="G185" s="113"/>
      <c r="H185" s="219"/>
      <c r="I185" s="200" t="str">
        <f>IF(E185="","",IF(AND(T185&lt;=66),VLOOKUP(H185,'WritingVocab Look Up'!$A$13:$B$21,2,TRUE),IF(AND(T185&gt;=67,T185&lt;=72),VLOOKUP(H185,'WritingVocab Look Up'!$E$13:$F$21,2,TRUE),IF(AND(T185&gt;=73,T185&lt;=78),VLOOKUP(H185,'WritingVocab Look Up'!$I$13:$J$21,2,TRUE),IF(AND(T185&gt;=79),VLOOKUP(H185,'WritingVocab Look Up'!$M$13:$N$21,2,TRUE),"")))))</f>
        <v/>
      </c>
      <c r="T185" s="222" t="str">
        <f t="shared" si="2"/>
        <v/>
      </c>
    </row>
    <row r="186" spans="1:20" s="108" customFormat="1" ht="15.75">
      <c r="A186" s="119"/>
      <c r="B186" s="120"/>
      <c r="C186" s="111"/>
      <c r="D186" s="111"/>
      <c r="E186" s="121"/>
      <c r="F186" s="121"/>
      <c r="G186" s="113"/>
      <c r="H186" s="219"/>
      <c r="I186" s="200" t="str">
        <f>IF(E186="","",IF(AND(T186&lt;=66),VLOOKUP(H186,'WritingVocab Look Up'!$A$13:$B$21,2,TRUE),IF(AND(T186&gt;=67,T186&lt;=72),VLOOKUP(H186,'WritingVocab Look Up'!$E$13:$F$21,2,TRUE),IF(AND(T186&gt;=73,T186&lt;=78),VLOOKUP(H186,'WritingVocab Look Up'!$I$13:$J$21,2,TRUE),IF(AND(T186&gt;=79),VLOOKUP(H186,'WritingVocab Look Up'!$M$13:$N$21,2,TRUE),"")))))</f>
        <v/>
      </c>
      <c r="T186" s="222" t="str">
        <f t="shared" si="2"/>
        <v/>
      </c>
    </row>
    <row r="187" spans="1:20" s="108" customFormat="1" ht="15.75">
      <c r="A187" s="119"/>
      <c r="B187" s="120"/>
      <c r="C187" s="111"/>
      <c r="D187" s="111"/>
      <c r="E187" s="121"/>
      <c r="F187" s="121"/>
      <c r="G187" s="113"/>
      <c r="H187" s="219"/>
      <c r="I187" s="200" t="str">
        <f>IF(E187="","",IF(AND(T187&lt;=66),VLOOKUP(H187,'WritingVocab Look Up'!$A$13:$B$21,2,TRUE),IF(AND(T187&gt;=67,T187&lt;=72),VLOOKUP(H187,'WritingVocab Look Up'!$E$13:$F$21,2,TRUE),IF(AND(T187&gt;=73,T187&lt;=78),VLOOKUP(H187,'WritingVocab Look Up'!$I$13:$J$21,2,TRUE),IF(AND(T187&gt;=79),VLOOKUP(H187,'WritingVocab Look Up'!$M$13:$N$21,2,TRUE),"")))))</f>
        <v/>
      </c>
      <c r="T187" s="222" t="str">
        <f t="shared" si="2"/>
        <v/>
      </c>
    </row>
    <row r="188" spans="1:20" s="108" customFormat="1" ht="15.75">
      <c r="A188" s="119"/>
      <c r="B188" s="120"/>
      <c r="C188" s="111"/>
      <c r="D188" s="111"/>
      <c r="E188" s="121"/>
      <c r="F188" s="121"/>
      <c r="G188" s="113"/>
      <c r="H188" s="219"/>
      <c r="I188" s="200" t="str">
        <f>IF(E188="","",IF(AND(T188&lt;=66),VLOOKUP(H188,'WritingVocab Look Up'!$A$13:$B$21,2,TRUE),IF(AND(T188&gt;=67,T188&lt;=72),VLOOKUP(H188,'WritingVocab Look Up'!$E$13:$F$21,2,TRUE),IF(AND(T188&gt;=73,T188&lt;=78),VLOOKUP(H188,'WritingVocab Look Up'!$I$13:$J$21,2,TRUE),IF(AND(T188&gt;=79),VLOOKUP(H188,'WritingVocab Look Up'!$M$13:$N$21,2,TRUE),"")))))</f>
        <v/>
      </c>
      <c r="T188" s="222" t="str">
        <f t="shared" si="2"/>
        <v/>
      </c>
    </row>
    <row r="189" spans="1:20" s="108" customFormat="1" ht="15.75">
      <c r="A189" s="119"/>
      <c r="B189" s="120"/>
      <c r="C189" s="111"/>
      <c r="D189" s="111"/>
      <c r="E189" s="121"/>
      <c r="F189" s="121"/>
      <c r="G189" s="113"/>
      <c r="H189" s="219"/>
      <c r="I189" s="200" t="str">
        <f>IF(E189="","",IF(AND(T189&lt;=66),VLOOKUP(H189,'WritingVocab Look Up'!$A$13:$B$21,2,TRUE),IF(AND(T189&gt;=67,T189&lt;=72),VLOOKUP(H189,'WritingVocab Look Up'!$E$13:$F$21,2,TRUE),IF(AND(T189&gt;=73,T189&lt;=78),VLOOKUP(H189,'WritingVocab Look Up'!$I$13:$J$21,2,TRUE),IF(AND(T189&gt;=79),VLOOKUP(H189,'WritingVocab Look Up'!$M$13:$N$21,2,TRUE),"")))))</f>
        <v/>
      </c>
      <c r="T189" s="222" t="str">
        <f t="shared" si="2"/>
        <v/>
      </c>
    </row>
    <row r="190" spans="1:20" s="108" customFormat="1" ht="15.75">
      <c r="A190" s="119"/>
      <c r="B190" s="120"/>
      <c r="C190" s="111"/>
      <c r="D190" s="111"/>
      <c r="E190" s="121"/>
      <c r="F190" s="121"/>
      <c r="G190" s="113"/>
      <c r="H190" s="219"/>
      <c r="I190" s="200" t="str">
        <f>IF(E190="","",IF(AND(T190&lt;=66),VLOOKUP(H190,'WritingVocab Look Up'!$A$13:$B$21,2,TRUE),IF(AND(T190&gt;=67,T190&lt;=72),VLOOKUP(H190,'WritingVocab Look Up'!$E$13:$F$21,2,TRUE),IF(AND(T190&gt;=73,T190&lt;=78),VLOOKUP(H190,'WritingVocab Look Up'!$I$13:$J$21,2,TRUE),IF(AND(T190&gt;=79),VLOOKUP(H190,'WritingVocab Look Up'!$M$13:$N$21,2,TRUE),"")))))</f>
        <v/>
      </c>
      <c r="T190" s="222" t="str">
        <f t="shared" si="2"/>
        <v/>
      </c>
    </row>
    <row r="191" spans="1:20" s="108" customFormat="1" ht="15.75">
      <c r="A191" s="119"/>
      <c r="B191" s="120"/>
      <c r="C191" s="111"/>
      <c r="D191" s="111"/>
      <c r="E191" s="121"/>
      <c r="F191" s="121"/>
      <c r="G191" s="113"/>
      <c r="H191" s="219"/>
      <c r="I191" s="200" t="str">
        <f>IF(E191="","",IF(AND(T191&lt;=66),VLOOKUP(H191,'WritingVocab Look Up'!$A$13:$B$21,2,TRUE),IF(AND(T191&gt;=67,T191&lt;=72),VLOOKUP(H191,'WritingVocab Look Up'!$E$13:$F$21,2,TRUE),IF(AND(T191&gt;=73,T191&lt;=78),VLOOKUP(H191,'WritingVocab Look Up'!$I$13:$J$21,2,TRUE),IF(AND(T191&gt;=79),VLOOKUP(H191,'WritingVocab Look Up'!$M$13:$N$21,2,TRUE),"")))))</f>
        <v/>
      </c>
      <c r="T191" s="222" t="str">
        <f t="shared" si="2"/>
        <v/>
      </c>
    </row>
    <row r="192" spans="1:20" s="108" customFormat="1" ht="15.75">
      <c r="A192" s="119"/>
      <c r="B192" s="120"/>
      <c r="C192" s="111"/>
      <c r="D192" s="111"/>
      <c r="E192" s="121"/>
      <c r="F192" s="121"/>
      <c r="G192" s="113"/>
      <c r="H192" s="219"/>
      <c r="I192" s="200" t="str">
        <f>IF(E192="","",IF(AND(T192&lt;=66),VLOOKUP(H192,'WritingVocab Look Up'!$A$13:$B$21,2,TRUE),IF(AND(T192&gt;=67,T192&lt;=72),VLOOKUP(H192,'WritingVocab Look Up'!$E$13:$F$21,2,TRUE),IF(AND(T192&gt;=73,T192&lt;=78),VLOOKUP(H192,'WritingVocab Look Up'!$I$13:$J$21,2,TRUE),IF(AND(T192&gt;=79),VLOOKUP(H192,'WritingVocab Look Up'!$M$13:$N$21,2,TRUE),"")))))</f>
        <v/>
      </c>
      <c r="T192" s="222" t="str">
        <f t="shared" si="2"/>
        <v/>
      </c>
    </row>
    <row r="193" spans="1:20" s="108" customFormat="1" ht="15.75">
      <c r="A193" s="119"/>
      <c r="B193" s="120"/>
      <c r="C193" s="111"/>
      <c r="D193" s="111"/>
      <c r="E193" s="121"/>
      <c r="F193" s="121"/>
      <c r="G193" s="113"/>
      <c r="H193" s="219"/>
      <c r="I193" s="200" t="str">
        <f>IF(E193="","",IF(AND(T193&lt;=66),VLOOKUP(H193,'WritingVocab Look Up'!$A$13:$B$21,2,TRUE),IF(AND(T193&gt;=67,T193&lt;=72),VLOOKUP(H193,'WritingVocab Look Up'!$E$13:$F$21,2,TRUE),IF(AND(T193&gt;=73,T193&lt;=78),VLOOKUP(H193,'WritingVocab Look Up'!$I$13:$J$21,2,TRUE),IF(AND(T193&gt;=79),VLOOKUP(H193,'WritingVocab Look Up'!$M$13:$N$21,2,TRUE),"")))))</f>
        <v/>
      </c>
      <c r="T193" s="222" t="str">
        <f t="shared" si="2"/>
        <v/>
      </c>
    </row>
    <row r="194" spans="1:20" s="108" customFormat="1" ht="15.75">
      <c r="A194" s="119"/>
      <c r="B194" s="120"/>
      <c r="C194" s="111"/>
      <c r="D194" s="111"/>
      <c r="E194" s="121"/>
      <c r="F194" s="121"/>
      <c r="G194" s="113"/>
      <c r="H194" s="219"/>
      <c r="I194" s="200" t="str">
        <f>IF(E194="","",IF(AND(T194&lt;=66),VLOOKUP(H194,'WritingVocab Look Up'!$A$13:$B$21,2,TRUE),IF(AND(T194&gt;=67,T194&lt;=72),VLOOKUP(H194,'WritingVocab Look Up'!$E$13:$F$21,2,TRUE),IF(AND(T194&gt;=73,T194&lt;=78),VLOOKUP(H194,'WritingVocab Look Up'!$I$13:$J$21,2,TRUE),IF(AND(T194&gt;=79),VLOOKUP(H194,'WritingVocab Look Up'!$M$13:$N$21,2,TRUE),"")))))</f>
        <v/>
      </c>
      <c r="T194" s="222" t="str">
        <f t="shared" si="2"/>
        <v/>
      </c>
    </row>
    <row r="195" spans="1:20" s="108" customFormat="1" ht="15.75">
      <c r="A195" s="119"/>
      <c r="B195" s="120"/>
      <c r="C195" s="111"/>
      <c r="D195" s="111"/>
      <c r="E195" s="121"/>
      <c r="F195" s="121"/>
      <c r="G195" s="113"/>
      <c r="H195" s="219"/>
      <c r="I195" s="200" t="str">
        <f>IF(E195="","",IF(AND(T195&lt;=66),VLOOKUP(H195,'WritingVocab Look Up'!$A$13:$B$21,2,TRUE),IF(AND(T195&gt;=67,T195&lt;=72),VLOOKUP(H195,'WritingVocab Look Up'!$E$13:$F$21,2,TRUE),IF(AND(T195&gt;=73,T195&lt;=78),VLOOKUP(H195,'WritingVocab Look Up'!$I$13:$J$21,2,TRUE),IF(AND(T195&gt;=79),VLOOKUP(H195,'WritingVocab Look Up'!$M$13:$N$21,2,TRUE),"")))))</f>
        <v/>
      </c>
      <c r="T195" s="222" t="str">
        <f t="shared" si="2"/>
        <v/>
      </c>
    </row>
    <row r="196" spans="1:20" s="108" customFormat="1" ht="15.75">
      <c r="A196" s="119"/>
      <c r="B196" s="120"/>
      <c r="C196" s="111"/>
      <c r="D196" s="111"/>
      <c r="E196" s="121"/>
      <c r="F196" s="121"/>
      <c r="G196" s="113"/>
      <c r="H196" s="219"/>
      <c r="I196" s="200" t="str">
        <f>IF(E196="","",IF(AND(T196&lt;=66),VLOOKUP(H196,'WritingVocab Look Up'!$A$13:$B$21,2,TRUE),IF(AND(T196&gt;=67,T196&lt;=72),VLOOKUP(H196,'WritingVocab Look Up'!$E$13:$F$21,2,TRUE),IF(AND(T196&gt;=73,T196&lt;=78),VLOOKUP(H196,'WritingVocab Look Up'!$I$13:$J$21,2,TRUE),IF(AND(T196&gt;=79),VLOOKUP(H196,'WritingVocab Look Up'!$M$13:$N$21,2,TRUE),"")))))</f>
        <v/>
      </c>
      <c r="T196" s="222" t="str">
        <f t="shared" si="2"/>
        <v/>
      </c>
    </row>
    <row r="197" spans="1:20" s="108" customFormat="1" ht="15.75">
      <c r="A197" s="119"/>
      <c r="B197" s="120"/>
      <c r="C197" s="111"/>
      <c r="D197" s="111"/>
      <c r="E197" s="121"/>
      <c r="F197" s="121"/>
      <c r="G197" s="113"/>
      <c r="H197" s="219"/>
      <c r="I197" s="200" t="str">
        <f>IF(E197="","",IF(AND(T197&lt;=66),VLOOKUP(H197,'WritingVocab Look Up'!$A$13:$B$21,2,TRUE),IF(AND(T197&gt;=67,T197&lt;=72),VLOOKUP(H197,'WritingVocab Look Up'!$E$13:$F$21,2,TRUE),IF(AND(T197&gt;=73,T197&lt;=78),VLOOKUP(H197,'WritingVocab Look Up'!$I$13:$J$21,2,TRUE),IF(AND(T197&gt;=79),VLOOKUP(H197,'WritingVocab Look Up'!$M$13:$N$21,2,TRUE),"")))))</f>
        <v/>
      </c>
      <c r="T197" s="222" t="str">
        <f t="shared" si="2"/>
        <v/>
      </c>
    </row>
    <row r="198" spans="1:20" s="108" customFormat="1" ht="15.75">
      <c r="A198" s="119"/>
      <c r="B198" s="120"/>
      <c r="C198" s="111"/>
      <c r="D198" s="111"/>
      <c r="E198" s="121"/>
      <c r="F198" s="121"/>
      <c r="G198" s="113"/>
      <c r="H198" s="219"/>
      <c r="I198" s="200" t="str">
        <f>IF(E198="","",IF(AND(T198&lt;=66),VLOOKUP(H198,'WritingVocab Look Up'!$A$13:$B$21,2,TRUE),IF(AND(T198&gt;=67,T198&lt;=72),VLOOKUP(H198,'WritingVocab Look Up'!$E$13:$F$21,2,TRUE),IF(AND(T198&gt;=73,T198&lt;=78),VLOOKUP(H198,'WritingVocab Look Up'!$I$13:$J$21,2,TRUE),IF(AND(T198&gt;=79),VLOOKUP(H198,'WritingVocab Look Up'!$M$13:$N$21,2,TRUE),"")))))</f>
        <v/>
      </c>
      <c r="T198" s="222" t="str">
        <f t="shared" ref="T198:T261" si="3">IF(E198="","",DATEDIF(B198,A198,"m"))</f>
        <v/>
      </c>
    </row>
    <row r="199" spans="1:20" s="108" customFormat="1" ht="15.75">
      <c r="A199" s="119"/>
      <c r="B199" s="120"/>
      <c r="C199" s="111"/>
      <c r="D199" s="111"/>
      <c r="E199" s="121"/>
      <c r="F199" s="121"/>
      <c r="G199" s="113"/>
      <c r="H199" s="219"/>
      <c r="I199" s="200" t="str">
        <f>IF(E199="","",IF(AND(T199&lt;=66),VLOOKUP(H199,'WritingVocab Look Up'!$A$13:$B$21,2,TRUE),IF(AND(T199&gt;=67,T199&lt;=72),VLOOKUP(H199,'WritingVocab Look Up'!$E$13:$F$21,2,TRUE),IF(AND(T199&gt;=73,T199&lt;=78),VLOOKUP(H199,'WritingVocab Look Up'!$I$13:$J$21,2,TRUE),IF(AND(T199&gt;=79),VLOOKUP(H199,'WritingVocab Look Up'!$M$13:$N$21,2,TRUE),"")))))</f>
        <v/>
      </c>
      <c r="T199" s="222" t="str">
        <f t="shared" si="3"/>
        <v/>
      </c>
    </row>
    <row r="200" spans="1:20" s="108" customFormat="1" ht="15.75">
      <c r="A200" s="119"/>
      <c r="B200" s="120"/>
      <c r="C200" s="111"/>
      <c r="D200" s="111"/>
      <c r="E200" s="121"/>
      <c r="F200" s="121"/>
      <c r="G200" s="113"/>
      <c r="H200" s="219"/>
      <c r="I200" s="200" t="str">
        <f>IF(E200="","",IF(AND(T200&lt;=66),VLOOKUP(H200,'WritingVocab Look Up'!$A$13:$B$21,2,TRUE),IF(AND(T200&gt;=67,T200&lt;=72),VLOOKUP(H200,'WritingVocab Look Up'!$E$13:$F$21,2,TRUE),IF(AND(T200&gt;=73,T200&lt;=78),VLOOKUP(H200,'WritingVocab Look Up'!$I$13:$J$21,2,TRUE),IF(AND(T200&gt;=79),VLOOKUP(H200,'WritingVocab Look Up'!$M$13:$N$21,2,TRUE),"")))))</f>
        <v/>
      </c>
      <c r="T200" s="222" t="str">
        <f t="shared" si="3"/>
        <v/>
      </c>
    </row>
    <row r="201" spans="1:20" s="108" customFormat="1" ht="15.75">
      <c r="A201" s="119"/>
      <c r="B201" s="120"/>
      <c r="C201" s="111"/>
      <c r="D201" s="111"/>
      <c r="E201" s="121"/>
      <c r="F201" s="121"/>
      <c r="G201" s="113"/>
      <c r="H201" s="219"/>
      <c r="I201" s="200" t="str">
        <f>IF(E201="","",IF(AND(T201&lt;=66),VLOOKUP(H201,'WritingVocab Look Up'!$A$13:$B$21,2,TRUE),IF(AND(T201&gt;=67,T201&lt;=72),VLOOKUP(H201,'WritingVocab Look Up'!$E$13:$F$21,2,TRUE),IF(AND(T201&gt;=73,T201&lt;=78),VLOOKUP(H201,'WritingVocab Look Up'!$I$13:$J$21,2,TRUE),IF(AND(T201&gt;=79),VLOOKUP(H201,'WritingVocab Look Up'!$M$13:$N$21,2,TRUE),"")))))</f>
        <v/>
      </c>
      <c r="T201" s="222" t="str">
        <f t="shared" si="3"/>
        <v/>
      </c>
    </row>
    <row r="202" spans="1:20" s="108" customFormat="1" ht="15.75">
      <c r="A202" s="119"/>
      <c r="B202" s="120"/>
      <c r="C202" s="111"/>
      <c r="D202" s="111"/>
      <c r="E202" s="121"/>
      <c r="F202" s="121"/>
      <c r="G202" s="113"/>
      <c r="H202" s="219"/>
      <c r="I202" s="200" t="str">
        <f>IF(E202="","",IF(AND(T202&lt;=66),VLOOKUP(H202,'WritingVocab Look Up'!$A$13:$B$21,2,TRUE),IF(AND(T202&gt;=67,T202&lt;=72),VLOOKUP(H202,'WritingVocab Look Up'!$E$13:$F$21,2,TRUE),IF(AND(T202&gt;=73,T202&lt;=78),VLOOKUP(H202,'WritingVocab Look Up'!$I$13:$J$21,2,TRUE),IF(AND(T202&gt;=79),VLOOKUP(H202,'WritingVocab Look Up'!$M$13:$N$21,2,TRUE),"")))))</f>
        <v/>
      </c>
      <c r="T202" s="222" t="str">
        <f t="shared" si="3"/>
        <v/>
      </c>
    </row>
    <row r="203" spans="1:20" s="108" customFormat="1" ht="15.75">
      <c r="A203" s="119"/>
      <c r="B203" s="120"/>
      <c r="C203" s="111"/>
      <c r="D203" s="111"/>
      <c r="E203" s="121"/>
      <c r="F203" s="121"/>
      <c r="G203" s="113"/>
      <c r="H203" s="219"/>
      <c r="I203" s="200" t="str">
        <f>IF(E203="","",IF(AND(T203&lt;=66),VLOOKUP(H203,'WritingVocab Look Up'!$A$13:$B$21,2,TRUE),IF(AND(T203&gt;=67,T203&lt;=72),VLOOKUP(H203,'WritingVocab Look Up'!$E$13:$F$21,2,TRUE),IF(AND(T203&gt;=73,T203&lt;=78),VLOOKUP(H203,'WritingVocab Look Up'!$I$13:$J$21,2,TRUE),IF(AND(T203&gt;=79),VLOOKUP(H203,'WritingVocab Look Up'!$M$13:$N$21,2,TRUE),"")))))</f>
        <v/>
      </c>
      <c r="T203" s="222" t="str">
        <f t="shared" si="3"/>
        <v/>
      </c>
    </row>
    <row r="204" spans="1:20" s="108" customFormat="1" ht="15.75">
      <c r="A204" s="119"/>
      <c r="B204" s="120"/>
      <c r="C204" s="111"/>
      <c r="D204" s="111"/>
      <c r="E204" s="121"/>
      <c r="F204" s="121"/>
      <c r="G204" s="113"/>
      <c r="H204" s="219"/>
      <c r="I204" s="200" t="str">
        <f>IF(E204="","",IF(AND(T204&lt;=66),VLOOKUP(H204,'WritingVocab Look Up'!$A$13:$B$21,2,TRUE),IF(AND(T204&gt;=67,T204&lt;=72),VLOOKUP(H204,'WritingVocab Look Up'!$E$13:$F$21,2,TRUE),IF(AND(T204&gt;=73,T204&lt;=78),VLOOKUP(H204,'WritingVocab Look Up'!$I$13:$J$21,2,TRUE),IF(AND(T204&gt;=79),VLOOKUP(H204,'WritingVocab Look Up'!$M$13:$N$21,2,TRUE),"")))))</f>
        <v/>
      </c>
      <c r="T204" s="222" t="str">
        <f t="shared" si="3"/>
        <v/>
      </c>
    </row>
    <row r="205" spans="1:20" s="108" customFormat="1" ht="15.75">
      <c r="A205" s="119"/>
      <c r="B205" s="120"/>
      <c r="C205" s="111"/>
      <c r="D205" s="111"/>
      <c r="E205" s="121"/>
      <c r="F205" s="121"/>
      <c r="G205" s="113"/>
      <c r="H205" s="219"/>
      <c r="I205" s="200" t="str">
        <f>IF(E205="","",IF(AND(T205&lt;=66),VLOOKUP(H205,'WritingVocab Look Up'!$A$13:$B$21,2,TRUE),IF(AND(T205&gt;=67,T205&lt;=72),VLOOKUP(H205,'WritingVocab Look Up'!$E$13:$F$21,2,TRUE),IF(AND(T205&gt;=73,T205&lt;=78),VLOOKUP(H205,'WritingVocab Look Up'!$I$13:$J$21,2,TRUE),IF(AND(T205&gt;=79),VLOOKUP(H205,'WritingVocab Look Up'!$M$13:$N$21,2,TRUE),"")))))</f>
        <v/>
      </c>
      <c r="T205" s="222" t="str">
        <f t="shared" si="3"/>
        <v/>
      </c>
    </row>
    <row r="206" spans="1:20" s="108" customFormat="1" ht="15.75">
      <c r="A206" s="119"/>
      <c r="B206" s="120"/>
      <c r="C206" s="111"/>
      <c r="D206" s="111"/>
      <c r="E206" s="121"/>
      <c r="F206" s="121"/>
      <c r="G206" s="113"/>
      <c r="H206" s="219"/>
      <c r="I206" s="200" t="str">
        <f>IF(E206="","",IF(AND(T206&lt;=66),VLOOKUP(H206,'WritingVocab Look Up'!$A$13:$B$21,2,TRUE),IF(AND(T206&gt;=67,T206&lt;=72),VLOOKUP(H206,'WritingVocab Look Up'!$E$13:$F$21,2,TRUE),IF(AND(T206&gt;=73,T206&lt;=78),VLOOKUP(H206,'WritingVocab Look Up'!$I$13:$J$21,2,TRUE),IF(AND(T206&gt;=79),VLOOKUP(H206,'WritingVocab Look Up'!$M$13:$N$21,2,TRUE),"")))))</f>
        <v/>
      </c>
      <c r="T206" s="222" t="str">
        <f t="shared" si="3"/>
        <v/>
      </c>
    </row>
    <row r="207" spans="1:20" s="108" customFormat="1" ht="15.75">
      <c r="A207" s="119"/>
      <c r="B207" s="120"/>
      <c r="C207" s="111"/>
      <c r="D207" s="111"/>
      <c r="E207" s="121"/>
      <c r="F207" s="121"/>
      <c r="G207" s="113"/>
      <c r="H207" s="219"/>
      <c r="I207" s="200" t="str">
        <f>IF(E207="","",IF(AND(T207&lt;=66),VLOOKUP(H207,'WritingVocab Look Up'!$A$13:$B$21,2,TRUE),IF(AND(T207&gt;=67,T207&lt;=72),VLOOKUP(H207,'WritingVocab Look Up'!$E$13:$F$21,2,TRUE),IF(AND(T207&gt;=73,T207&lt;=78),VLOOKUP(H207,'WritingVocab Look Up'!$I$13:$J$21,2,TRUE),IF(AND(T207&gt;=79),VLOOKUP(H207,'WritingVocab Look Up'!$M$13:$N$21,2,TRUE),"")))))</f>
        <v/>
      </c>
      <c r="T207" s="222" t="str">
        <f t="shared" si="3"/>
        <v/>
      </c>
    </row>
    <row r="208" spans="1:20" s="108" customFormat="1" ht="15.75">
      <c r="A208" s="119"/>
      <c r="B208" s="120"/>
      <c r="C208" s="111"/>
      <c r="D208" s="111"/>
      <c r="E208" s="121"/>
      <c r="F208" s="121"/>
      <c r="G208" s="113"/>
      <c r="H208" s="219"/>
      <c r="I208" s="200" t="str">
        <f>IF(E208="","",IF(AND(T208&lt;=66),VLOOKUP(H208,'WritingVocab Look Up'!$A$13:$B$21,2,TRUE),IF(AND(T208&gt;=67,T208&lt;=72),VLOOKUP(H208,'WritingVocab Look Up'!$E$13:$F$21,2,TRUE),IF(AND(T208&gt;=73,T208&lt;=78),VLOOKUP(H208,'WritingVocab Look Up'!$I$13:$J$21,2,TRUE),IF(AND(T208&gt;=79),VLOOKUP(H208,'WritingVocab Look Up'!$M$13:$N$21,2,TRUE),"")))))</f>
        <v/>
      </c>
      <c r="T208" s="222" t="str">
        <f t="shared" si="3"/>
        <v/>
      </c>
    </row>
    <row r="209" spans="1:20" s="108" customFormat="1" ht="15.75">
      <c r="A209" s="119"/>
      <c r="B209" s="120"/>
      <c r="C209" s="111"/>
      <c r="D209" s="111"/>
      <c r="E209" s="121"/>
      <c r="F209" s="121"/>
      <c r="G209" s="113"/>
      <c r="H209" s="219"/>
      <c r="I209" s="200" t="str">
        <f>IF(E209="","",IF(AND(T209&lt;=66),VLOOKUP(H209,'WritingVocab Look Up'!$A$13:$B$21,2,TRUE),IF(AND(T209&gt;=67,T209&lt;=72),VLOOKUP(H209,'WritingVocab Look Up'!$E$13:$F$21,2,TRUE),IF(AND(T209&gt;=73,T209&lt;=78),VLOOKUP(H209,'WritingVocab Look Up'!$I$13:$J$21,2,TRUE),IF(AND(T209&gt;=79),VLOOKUP(H209,'WritingVocab Look Up'!$M$13:$N$21,2,TRUE),"")))))</f>
        <v/>
      </c>
      <c r="T209" s="222" t="str">
        <f t="shared" si="3"/>
        <v/>
      </c>
    </row>
    <row r="210" spans="1:20" s="108" customFormat="1" ht="15.75">
      <c r="A210" s="119"/>
      <c r="B210" s="120"/>
      <c r="C210" s="111"/>
      <c r="D210" s="111"/>
      <c r="E210" s="121"/>
      <c r="F210" s="121"/>
      <c r="G210" s="113"/>
      <c r="H210" s="219"/>
      <c r="I210" s="200" t="str">
        <f>IF(E210="","",IF(AND(T210&lt;=66),VLOOKUP(H210,'WritingVocab Look Up'!$A$13:$B$21,2,TRUE),IF(AND(T210&gt;=67,T210&lt;=72),VLOOKUP(H210,'WritingVocab Look Up'!$E$13:$F$21,2,TRUE),IF(AND(T210&gt;=73,T210&lt;=78),VLOOKUP(H210,'WritingVocab Look Up'!$I$13:$J$21,2,TRUE),IF(AND(T210&gt;=79),VLOOKUP(H210,'WritingVocab Look Up'!$M$13:$N$21,2,TRUE),"")))))</f>
        <v/>
      </c>
      <c r="T210" s="222" t="str">
        <f t="shared" si="3"/>
        <v/>
      </c>
    </row>
    <row r="211" spans="1:20" s="108" customFormat="1" ht="15.75">
      <c r="A211" s="119"/>
      <c r="B211" s="120"/>
      <c r="C211" s="111"/>
      <c r="D211" s="111"/>
      <c r="E211" s="121"/>
      <c r="F211" s="121"/>
      <c r="G211" s="113"/>
      <c r="H211" s="219"/>
      <c r="I211" s="200" t="str">
        <f>IF(E211="","",IF(AND(T211&lt;=66),VLOOKUP(H211,'WritingVocab Look Up'!$A$13:$B$21,2,TRUE),IF(AND(T211&gt;=67,T211&lt;=72),VLOOKUP(H211,'WritingVocab Look Up'!$E$13:$F$21,2,TRUE),IF(AND(T211&gt;=73,T211&lt;=78),VLOOKUP(H211,'WritingVocab Look Up'!$I$13:$J$21,2,TRUE),IF(AND(T211&gt;=79),VLOOKUP(H211,'WritingVocab Look Up'!$M$13:$N$21,2,TRUE),"")))))</f>
        <v/>
      </c>
      <c r="T211" s="222" t="str">
        <f t="shared" si="3"/>
        <v/>
      </c>
    </row>
    <row r="212" spans="1:20" s="108" customFormat="1" ht="15.75">
      <c r="A212" s="119"/>
      <c r="B212" s="120"/>
      <c r="C212" s="111"/>
      <c r="D212" s="111"/>
      <c r="E212" s="121"/>
      <c r="F212" s="121"/>
      <c r="G212" s="113"/>
      <c r="H212" s="219"/>
      <c r="I212" s="200" t="str">
        <f>IF(E212="","",IF(AND(T212&lt;=66),VLOOKUP(H212,'WritingVocab Look Up'!$A$13:$B$21,2,TRUE),IF(AND(T212&gt;=67,T212&lt;=72),VLOOKUP(H212,'WritingVocab Look Up'!$E$13:$F$21,2,TRUE),IF(AND(T212&gt;=73,T212&lt;=78),VLOOKUP(H212,'WritingVocab Look Up'!$I$13:$J$21,2,TRUE),IF(AND(T212&gt;=79),VLOOKUP(H212,'WritingVocab Look Up'!$M$13:$N$21,2,TRUE),"")))))</f>
        <v/>
      </c>
      <c r="T212" s="222" t="str">
        <f t="shared" si="3"/>
        <v/>
      </c>
    </row>
    <row r="213" spans="1:20" s="108" customFormat="1" ht="15.75">
      <c r="A213" s="119"/>
      <c r="B213" s="120"/>
      <c r="C213" s="111"/>
      <c r="D213" s="111"/>
      <c r="E213" s="121"/>
      <c r="F213" s="121"/>
      <c r="G213" s="113"/>
      <c r="H213" s="219"/>
      <c r="I213" s="200" t="str">
        <f>IF(E213="","",IF(AND(T213&lt;=66),VLOOKUP(H213,'WritingVocab Look Up'!$A$13:$B$21,2,TRUE),IF(AND(T213&gt;=67,T213&lt;=72),VLOOKUP(H213,'WritingVocab Look Up'!$E$13:$F$21,2,TRUE),IF(AND(T213&gt;=73,T213&lt;=78),VLOOKUP(H213,'WritingVocab Look Up'!$I$13:$J$21,2,TRUE),IF(AND(T213&gt;=79),VLOOKUP(H213,'WritingVocab Look Up'!$M$13:$N$21,2,TRUE),"")))))</f>
        <v/>
      </c>
      <c r="T213" s="222" t="str">
        <f t="shared" si="3"/>
        <v/>
      </c>
    </row>
    <row r="214" spans="1:20" s="108" customFormat="1" ht="15.75">
      <c r="A214" s="119"/>
      <c r="B214" s="120"/>
      <c r="C214" s="111"/>
      <c r="D214" s="111"/>
      <c r="E214" s="121"/>
      <c r="F214" s="121"/>
      <c r="G214" s="113"/>
      <c r="H214" s="219"/>
      <c r="I214" s="200" t="str">
        <f>IF(E214="","",IF(AND(T214&lt;=66),VLOOKUP(H214,'WritingVocab Look Up'!$A$13:$B$21,2,TRUE),IF(AND(T214&gt;=67,T214&lt;=72),VLOOKUP(H214,'WritingVocab Look Up'!$E$13:$F$21,2,TRUE),IF(AND(T214&gt;=73,T214&lt;=78),VLOOKUP(H214,'WritingVocab Look Up'!$I$13:$J$21,2,TRUE),IF(AND(T214&gt;=79),VLOOKUP(H214,'WritingVocab Look Up'!$M$13:$N$21,2,TRUE),"")))))</f>
        <v/>
      </c>
      <c r="T214" s="222" t="str">
        <f t="shared" si="3"/>
        <v/>
      </c>
    </row>
    <row r="215" spans="1:20" s="108" customFormat="1" ht="15.75">
      <c r="A215" s="119"/>
      <c r="B215" s="120"/>
      <c r="C215" s="111"/>
      <c r="D215" s="111"/>
      <c r="E215" s="121"/>
      <c r="F215" s="121"/>
      <c r="G215" s="113"/>
      <c r="H215" s="219"/>
      <c r="I215" s="200" t="str">
        <f>IF(E215="","",IF(AND(T215&lt;=66),VLOOKUP(H215,'WritingVocab Look Up'!$A$13:$B$21,2,TRUE),IF(AND(T215&gt;=67,T215&lt;=72),VLOOKUP(H215,'WritingVocab Look Up'!$E$13:$F$21,2,TRUE),IF(AND(T215&gt;=73,T215&lt;=78),VLOOKUP(H215,'WritingVocab Look Up'!$I$13:$J$21,2,TRUE),IF(AND(T215&gt;=79),VLOOKUP(H215,'WritingVocab Look Up'!$M$13:$N$21,2,TRUE),"")))))</f>
        <v/>
      </c>
      <c r="T215" s="222" t="str">
        <f t="shared" si="3"/>
        <v/>
      </c>
    </row>
    <row r="216" spans="1:20" s="108" customFormat="1" ht="15.75">
      <c r="A216" s="119"/>
      <c r="B216" s="120"/>
      <c r="C216" s="111"/>
      <c r="D216" s="111"/>
      <c r="E216" s="121"/>
      <c r="F216" s="121"/>
      <c r="G216" s="113"/>
      <c r="H216" s="219"/>
      <c r="I216" s="200" t="str">
        <f>IF(E216="","",IF(AND(T216&lt;=66),VLOOKUP(H216,'WritingVocab Look Up'!$A$13:$B$21,2,TRUE),IF(AND(T216&gt;=67,T216&lt;=72),VLOOKUP(H216,'WritingVocab Look Up'!$E$13:$F$21,2,TRUE),IF(AND(T216&gt;=73,T216&lt;=78),VLOOKUP(H216,'WritingVocab Look Up'!$I$13:$J$21,2,TRUE),IF(AND(T216&gt;=79),VLOOKUP(H216,'WritingVocab Look Up'!$M$13:$N$21,2,TRUE),"")))))</f>
        <v/>
      </c>
      <c r="T216" s="222" t="str">
        <f t="shared" si="3"/>
        <v/>
      </c>
    </row>
    <row r="217" spans="1:20" s="108" customFormat="1" ht="15.75">
      <c r="A217" s="119"/>
      <c r="B217" s="120"/>
      <c r="C217" s="111"/>
      <c r="D217" s="111"/>
      <c r="E217" s="121"/>
      <c r="F217" s="121"/>
      <c r="G217" s="113"/>
      <c r="H217" s="219"/>
      <c r="I217" s="200" t="str">
        <f>IF(E217="","",IF(AND(T217&lt;=66),VLOOKUP(H217,'WritingVocab Look Up'!$A$13:$B$21,2,TRUE),IF(AND(T217&gt;=67,T217&lt;=72),VLOOKUP(H217,'WritingVocab Look Up'!$E$13:$F$21,2,TRUE),IF(AND(T217&gt;=73,T217&lt;=78),VLOOKUP(H217,'WritingVocab Look Up'!$I$13:$J$21,2,TRUE),IF(AND(T217&gt;=79),VLOOKUP(H217,'WritingVocab Look Up'!$M$13:$N$21,2,TRUE),"")))))</f>
        <v/>
      </c>
      <c r="T217" s="222" t="str">
        <f t="shared" si="3"/>
        <v/>
      </c>
    </row>
    <row r="218" spans="1:20" s="108" customFormat="1" ht="15.75">
      <c r="A218" s="119"/>
      <c r="B218" s="120"/>
      <c r="C218" s="111"/>
      <c r="D218" s="111"/>
      <c r="E218" s="121"/>
      <c r="F218" s="121"/>
      <c r="G218" s="113"/>
      <c r="H218" s="219"/>
      <c r="I218" s="200" t="str">
        <f>IF(E218="","",IF(AND(T218&lt;=66),VLOOKUP(H218,'WritingVocab Look Up'!$A$13:$B$21,2,TRUE),IF(AND(T218&gt;=67,T218&lt;=72),VLOOKUP(H218,'WritingVocab Look Up'!$E$13:$F$21,2,TRUE),IF(AND(T218&gt;=73,T218&lt;=78),VLOOKUP(H218,'WritingVocab Look Up'!$I$13:$J$21,2,TRUE),IF(AND(T218&gt;=79),VLOOKUP(H218,'WritingVocab Look Up'!$M$13:$N$21,2,TRUE),"")))))</f>
        <v/>
      </c>
      <c r="T218" s="222" t="str">
        <f t="shared" si="3"/>
        <v/>
      </c>
    </row>
    <row r="219" spans="1:20" s="108" customFormat="1" ht="15.75">
      <c r="A219" s="119"/>
      <c r="B219" s="120"/>
      <c r="C219" s="111"/>
      <c r="D219" s="111"/>
      <c r="E219" s="121"/>
      <c r="F219" s="121"/>
      <c r="G219" s="113"/>
      <c r="H219" s="219"/>
      <c r="I219" s="200" t="str">
        <f>IF(E219="","",IF(AND(T219&lt;=66),VLOOKUP(H219,'WritingVocab Look Up'!$A$13:$B$21,2,TRUE),IF(AND(T219&gt;=67,T219&lt;=72),VLOOKUP(H219,'WritingVocab Look Up'!$E$13:$F$21,2,TRUE),IF(AND(T219&gt;=73,T219&lt;=78),VLOOKUP(H219,'WritingVocab Look Up'!$I$13:$J$21,2,TRUE),IF(AND(T219&gt;=79),VLOOKUP(H219,'WritingVocab Look Up'!$M$13:$N$21,2,TRUE),"")))))</f>
        <v/>
      </c>
      <c r="T219" s="222" t="str">
        <f t="shared" si="3"/>
        <v/>
      </c>
    </row>
    <row r="220" spans="1:20" s="108" customFormat="1" ht="15.75">
      <c r="A220" s="119"/>
      <c r="B220" s="120"/>
      <c r="C220" s="111"/>
      <c r="D220" s="111"/>
      <c r="E220" s="121"/>
      <c r="F220" s="121"/>
      <c r="G220" s="113"/>
      <c r="H220" s="219"/>
      <c r="I220" s="200" t="str">
        <f>IF(E220="","",IF(AND(T220&lt;=66),VLOOKUP(H220,'WritingVocab Look Up'!$A$13:$B$21,2,TRUE),IF(AND(T220&gt;=67,T220&lt;=72),VLOOKUP(H220,'WritingVocab Look Up'!$E$13:$F$21,2,TRUE),IF(AND(T220&gt;=73,T220&lt;=78),VLOOKUP(H220,'WritingVocab Look Up'!$I$13:$J$21,2,TRUE),IF(AND(T220&gt;=79),VLOOKUP(H220,'WritingVocab Look Up'!$M$13:$N$21,2,TRUE),"")))))</f>
        <v/>
      </c>
      <c r="T220" s="222" t="str">
        <f t="shared" si="3"/>
        <v/>
      </c>
    </row>
    <row r="221" spans="1:20" s="108" customFormat="1" ht="15.75">
      <c r="A221" s="119"/>
      <c r="B221" s="120"/>
      <c r="C221" s="111"/>
      <c r="D221" s="111"/>
      <c r="E221" s="121"/>
      <c r="F221" s="121"/>
      <c r="G221" s="113"/>
      <c r="H221" s="219"/>
      <c r="I221" s="200" t="str">
        <f>IF(E221="","",IF(AND(T221&lt;=66),VLOOKUP(H221,'WritingVocab Look Up'!$A$13:$B$21,2,TRUE),IF(AND(T221&gt;=67,T221&lt;=72),VLOOKUP(H221,'WritingVocab Look Up'!$E$13:$F$21,2,TRUE),IF(AND(T221&gt;=73,T221&lt;=78),VLOOKUP(H221,'WritingVocab Look Up'!$I$13:$J$21,2,TRUE),IF(AND(T221&gt;=79),VLOOKUP(H221,'WritingVocab Look Up'!$M$13:$N$21,2,TRUE),"")))))</f>
        <v/>
      </c>
      <c r="T221" s="222" t="str">
        <f t="shared" si="3"/>
        <v/>
      </c>
    </row>
    <row r="222" spans="1:20" s="108" customFormat="1" ht="15.75">
      <c r="A222" s="119"/>
      <c r="B222" s="120"/>
      <c r="C222" s="111"/>
      <c r="D222" s="111"/>
      <c r="E222" s="121"/>
      <c r="F222" s="121"/>
      <c r="G222" s="113"/>
      <c r="H222" s="219"/>
      <c r="I222" s="200" t="str">
        <f>IF(E222="","",IF(AND(T222&lt;=66),VLOOKUP(H222,'WritingVocab Look Up'!$A$13:$B$21,2,TRUE),IF(AND(T222&gt;=67,T222&lt;=72),VLOOKUP(H222,'WritingVocab Look Up'!$E$13:$F$21,2,TRUE),IF(AND(T222&gt;=73,T222&lt;=78),VLOOKUP(H222,'WritingVocab Look Up'!$I$13:$J$21,2,TRUE),IF(AND(T222&gt;=79),VLOOKUP(H222,'WritingVocab Look Up'!$M$13:$N$21,2,TRUE),"")))))</f>
        <v/>
      </c>
      <c r="T222" s="222" t="str">
        <f t="shared" si="3"/>
        <v/>
      </c>
    </row>
    <row r="223" spans="1:20" s="108" customFormat="1" ht="15.75">
      <c r="A223" s="119"/>
      <c r="B223" s="120"/>
      <c r="C223" s="111"/>
      <c r="D223" s="111"/>
      <c r="E223" s="121"/>
      <c r="F223" s="121"/>
      <c r="G223" s="113"/>
      <c r="H223" s="219"/>
      <c r="I223" s="200" t="str">
        <f>IF(E223="","",IF(AND(T223&lt;=66),VLOOKUP(H223,'WritingVocab Look Up'!$A$13:$B$21,2,TRUE),IF(AND(T223&gt;=67,T223&lt;=72),VLOOKUP(H223,'WritingVocab Look Up'!$E$13:$F$21,2,TRUE),IF(AND(T223&gt;=73,T223&lt;=78),VLOOKUP(H223,'WritingVocab Look Up'!$I$13:$J$21,2,TRUE),IF(AND(T223&gt;=79),VLOOKUP(H223,'WritingVocab Look Up'!$M$13:$N$21,2,TRUE),"")))))</f>
        <v/>
      </c>
      <c r="T223" s="222" t="str">
        <f t="shared" si="3"/>
        <v/>
      </c>
    </row>
    <row r="224" spans="1:20" s="108" customFormat="1" ht="15.75">
      <c r="A224" s="119"/>
      <c r="B224" s="120"/>
      <c r="C224" s="111"/>
      <c r="D224" s="111"/>
      <c r="E224" s="121"/>
      <c r="F224" s="121"/>
      <c r="G224" s="113"/>
      <c r="H224" s="219"/>
      <c r="I224" s="200" t="str">
        <f>IF(E224="","",IF(AND(T224&lt;=66),VLOOKUP(H224,'WritingVocab Look Up'!$A$13:$B$21,2,TRUE),IF(AND(T224&gt;=67,T224&lt;=72),VLOOKUP(H224,'WritingVocab Look Up'!$E$13:$F$21,2,TRUE),IF(AND(T224&gt;=73,T224&lt;=78),VLOOKUP(H224,'WritingVocab Look Up'!$I$13:$J$21,2,TRUE),IF(AND(T224&gt;=79),VLOOKUP(H224,'WritingVocab Look Up'!$M$13:$N$21,2,TRUE),"")))))</f>
        <v/>
      </c>
      <c r="T224" s="222" t="str">
        <f t="shared" si="3"/>
        <v/>
      </c>
    </row>
    <row r="225" spans="1:20" s="108" customFormat="1" ht="15.75">
      <c r="A225" s="119"/>
      <c r="B225" s="120"/>
      <c r="C225" s="111"/>
      <c r="D225" s="111"/>
      <c r="E225" s="121"/>
      <c r="F225" s="121"/>
      <c r="G225" s="113"/>
      <c r="H225" s="219"/>
      <c r="I225" s="200" t="str">
        <f>IF(E225="","",IF(AND(T225&lt;=66),VLOOKUP(H225,'WritingVocab Look Up'!$A$13:$B$21,2,TRUE),IF(AND(T225&gt;=67,T225&lt;=72),VLOOKUP(H225,'WritingVocab Look Up'!$E$13:$F$21,2,TRUE),IF(AND(T225&gt;=73,T225&lt;=78),VLOOKUP(H225,'WritingVocab Look Up'!$I$13:$J$21,2,TRUE),IF(AND(T225&gt;=79),VLOOKUP(H225,'WritingVocab Look Up'!$M$13:$N$21,2,TRUE),"")))))</f>
        <v/>
      </c>
      <c r="T225" s="222" t="str">
        <f t="shared" si="3"/>
        <v/>
      </c>
    </row>
    <row r="226" spans="1:20" s="108" customFormat="1" ht="15.75">
      <c r="A226" s="119"/>
      <c r="B226" s="120"/>
      <c r="C226" s="111"/>
      <c r="D226" s="111"/>
      <c r="E226" s="121"/>
      <c r="F226" s="121"/>
      <c r="G226" s="113"/>
      <c r="H226" s="219"/>
      <c r="I226" s="200" t="str">
        <f>IF(E226="","",IF(AND(T226&lt;=66),VLOOKUP(H226,'WritingVocab Look Up'!$A$13:$B$21,2,TRUE),IF(AND(T226&gt;=67,T226&lt;=72),VLOOKUP(H226,'WritingVocab Look Up'!$E$13:$F$21,2,TRUE),IF(AND(T226&gt;=73,T226&lt;=78),VLOOKUP(H226,'WritingVocab Look Up'!$I$13:$J$21,2,TRUE),IF(AND(T226&gt;=79),VLOOKUP(H226,'WritingVocab Look Up'!$M$13:$N$21,2,TRUE),"")))))</f>
        <v/>
      </c>
      <c r="T226" s="222" t="str">
        <f t="shared" si="3"/>
        <v/>
      </c>
    </row>
    <row r="227" spans="1:20" s="108" customFormat="1" ht="15.75">
      <c r="A227" s="119"/>
      <c r="B227" s="120"/>
      <c r="C227" s="111"/>
      <c r="D227" s="111"/>
      <c r="E227" s="121"/>
      <c r="F227" s="121"/>
      <c r="G227" s="113"/>
      <c r="H227" s="219"/>
      <c r="I227" s="200" t="str">
        <f>IF(E227="","",IF(AND(T227&lt;=66),VLOOKUP(H227,'WritingVocab Look Up'!$A$13:$B$21,2,TRUE),IF(AND(T227&gt;=67,T227&lt;=72),VLOOKUP(H227,'WritingVocab Look Up'!$E$13:$F$21,2,TRUE),IF(AND(T227&gt;=73,T227&lt;=78),VLOOKUP(H227,'WritingVocab Look Up'!$I$13:$J$21,2,TRUE),IF(AND(T227&gt;=79),VLOOKUP(H227,'WritingVocab Look Up'!$M$13:$N$21,2,TRUE),"")))))</f>
        <v/>
      </c>
      <c r="T227" s="222" t="str">
        <f t="shared" si="3"/>
        <v/>
      </c>
    </row>
    <row r="228" spans="1:20" s="108" customFormat="1" ht="15.75">
      <c r="A228" s="119"/>
      <c r="B228" s="120"/>
      <c r="C228" s="111"/>
      <c r="D228" s="111"/>
      <c r="E228" s="121"/>
      <c r="F228" s="121"/>
      <c r="G228" s="113"/>
      <c r="H228" s="219"/>
      <c r="I228" s="200" t="str">
        <f>IF(E228="","",IF(AND(T228&lt;=66),VLOOKUP(H228,'WritingVocab Look Up'!$A$13:$B$21,2,TRUE),IF(AND(T228&gt;=67,T228&lt;=72),VLOOKUP(H228,'WritingVocab Look Up'!$E$13:$F$21,2,TRUE),IF(AND(T228&gt;=73,T228&lt;=78),VLOOKUP(H228,'WritingVocab Look Up'!$I$13:$J$21,2,TRUE),IF(AND(T228&gt;=79),VLOOKUP(H228,'WritingVocab Look Up'!$M$13:$N$21,2,TRUE),"")))))</f>
        <v/>
      </c>
      <c r="T228" s="222" t="str">
        <f t="shared" si="3"/>
        <v/>
      </c>
    </row>
    <row r="229" spans="1:20" s="108" customFormat="1" ht="15.75">
      <c r="A229" s="119"/>
      <c r="B229" s="120"/>
      <c r="C229" s="111"/>
      <c r="D229" s="111"/>
      <c r="E229" s="121"/>
      <c r="F229" s="121"/>
      <c r="G229" s="113"/>
      <c r="H229" s="219"/>
      <c r="I229" s="200" t="str">
        <f>IF(E229="","",IF(AND(T229&lt;=66),VLOOKUP(H229,'WritingVocab Look Up'!$A$13:$B$21,2,TRUE),IF(AND(T229&gt;=67,T229&lt;=72),VLOOKUP(H229,'WritingVocab Look Up'!$E$13:$F$21,2,TRUE),IF(AND(T229&gt;=73,T229&lt;=78),VLOOKUP(H229,'WritingVocab Look Up'!$I$13:$J$21,2,TRUE),IF(AND(T229&gt;=79),VLOOKUP(H229,'WritingVocab Look Up'!$M$13:$N$21,2,TRUE),"")))))</f>
        <v/>
      </c>
      <c r="T229" s="222" t="str">
        <f t="shared" si="3"/>
        <v/>
      </c>
    </row>
    <row r="230" spans="1:20" s="108" customFormat="1" ht="15.75">
      <c r="A230" s="119"/>
      <c r="B230" s="120"/>
      <c r="C230" s="111"/>
      <c r="D230" s="111"/>
      <c r="E230" s="121"/>
      <c r="F230" s="121"/>
      <c r="G230" s="113"/>
      <c r="H230" s="219"/>
      <c r="I230" s="200" t="str">
        <f>IF(E230="","",IF(AND(T230&lt;=66),VLOOKUP(H230,'WritingVocab Look Up'!$A$13:$B$21,2,TRUE),IF(AND(T230&gt;=67,T230&lt;=72),VLOOKUP(H230,'WritingVocab Look Up'!$E$13:$F$21,2,TRUE),IF(AND(T230&gt;=73,T230&lt;=78),VLOOKUP(H230,'WritingVocab Look Up'!$I$13:$J$21,2,TRUE),IF(AND(T230&gt;=79),VLOOKUP(H230,'WritingVocab Look Up'!$M$13:$N$21,2,TRUE),"")))))</f>
        <v/>
      </c>
      <c r="T230" s="222" t="str">
        <f t="shared" si="3"/>
        <v/>
      </c>
    </row>
    <row r="231" spans="1:20" s="108" customFormat="1" ht="15.75">
      <c r="A231" s="119"/>
      <c r="B231" s="120"/>
      <c r="C231" s="111"/>
      <c r="D231" s="111"/>
      <c r="E231" s="121"/>
      <c r="F231" s="121"/>
      <c r="G231" s="113"/>
      <c r="H231" s="219"/>
      <c r="I231" s="200" t="str">
        <f>IF(E231="","",IF(AND(T231&lt;=66),VLOOKUP(H231,'WritingVocab Look Up'!$A$13:$B$21,2,TRUE),IF(AND(T231&gt;=67,T231&lt;=72),VLOOKUP(H231,'WritingVocab Look Up'!$E$13:$F$21,2,TRUE),IF(AND(T231&gt;=73,T231&lt;=78),VLOOKUP(H231,'WritingVocab Look Up'!$I$13:$J$21,2,TRUE),IF(AND(T231&gt;=79),VLOOKUP(H231,'WritingVocab Look Up'!$M$13:$N$21,2,TRUE),"")))))</f>
        <v/>
      </c>
      <c r="T231" s="222" t="str">
        <f t="shared" si="3"/>
        <v/>
      </c>
    </row>
    <row r="232" spans="1:20" s="108" customFormat="1" ht="15.75">
      <c r="A232" s="119"/>
      <c r="B232" s="120"/>
      <c r="C232" s="111"/>
      <c r="D232" s="111"/>
      <c r="E232" s="121"/>
      <c r="F232" s="121"/>
      <c r="G232" s="113"/>
      <c r="H232" s="219"/>
      <c r="I232" s="200" t="str">
        <f>IF(E232="","",IF(AND(T232&lt;=66),VLOOKUP(H232,'WritingVocab Look Up'!$A$13:$B$21,2,TRUE),IF(AND(T232&gt;=67,T232&lt;=72),VLOOKUP(H232,'WritingVocab Look Up'!$E$13:$F$21,2,TRUE),IF(AND(T232&gt;=73,T232&lt;=78),VLOOKUP(H232,'WritingVocab Look Up'!$I$13:$J$21,2,TRUE),IF(AND(T232&gt;=79),VLOOKUP(H232,'WritingVocab Look Up'!$M$13:$N$21,2,TRUE),"")))))</f>
        <v/>
      </c>
      <c r="T232" s="222" t="str">
        <f t="shared" si="3"/>
        <v/>
      </c>
    </row>
    <row r="233" spans="1:20" s="108" customFormat="1" ht="15.75">
      <c r="A233" s="119"/>
      <c r="B233" s="120"/>
      <c r="C233" s="111"/>
      <c r="D233" s="111"/>
      <c r="E233" s="121"/>
      <c r="F233" s="121"/>
      <c r="G233" s="113"/>
      <c r="H233" s="219"/>
      <c r="I233" s="200" t="str">
        <f>IF(E233="","",IF(AND(T233&lt;=66),VLOOKUP(H233,'WritingVocab Look Up'!$A$13:$B$21,2,TRUE),IF(AND(T233&gt;=67,T233&lt;=72),VLOOKUP(H233,'WritingVocab Look Up'!$E$13:$F$21,2,TRUE),IF(AND(T233&gt;=73,T233&lt;=78),VLOOKUP(H233,'WritingVocab Look Up'!$I$13:$J$21,2,TRUE),IF(AND(T233&gt;=79),VLOOKUP(H233,'WritingVocab Look Up'!$M$13:$N$21,2,TRUE),"")))))</f>
        <v/>
      </c>
      <c r="T233" s="222" t="str">
        <f t="shared" si="3"/>
        <v/>
      </c>
    </row>
    <row r="234" spans="1:20" s="108" customFormat="1" ht="15.75">
      <c r="A234" s="119"/>
      <c r="B234" s="120"/>
      <c r="C234" s="111"/>
      <c r="D234" s="111"/>
      <c r="E234" s="121"/>
      <c r="F234" s="121"/>
      <c r="G234" s="113"/>
      <c r="H234" s="219"/>
      <c r="I234" s="200" t="str">
        <f>IF(E234="","",IF(AND(T234&lt;=66),VLOOKUP(H234,'WritingVocab Look Up'!$A$13:$B$21,2,TRUE),IF(AND(T234&gt;=67,T234&lt;=72),VLOOKUP(H234,'WritingVocab Look Up'!$E$13:$F$21,2,TRUE),IF(AND(T234&gt;=73,T234&lt;=78),VLOOKUP(H234,'WritingVocab Look Up'!$I$13:$J$21,2,TRUE),IF(AND(T234&gt;=79),VLOOKUP(H234,'WritingVocab Look Up'!$M$13:$N$21,2,TRUE),"")))))</f>
        <v/>
      </c>
      <c r="T234" s="222" t="str">
        <f t="shared" si="3"/>
        <v/>
      </c>
    </row>
    <row r="235" spans="1:20" s="108" customFormat="1" ht="15.75">
      <c r="A235" s="119"/>
      <c r="B235" s="120"/>
      <c r="C235" s="111"/>
      <c r="D235" s="111"/>
      <c r="E235" s="121"/>
      <c r="F235" s="121"/>
      <c r="G235" s="113"/>
      <c r="H235" s="219"/>
      <c r="I235" s="200" t="str">
        <f>IF(E235="","",IF(AND(T235&lt;=66),VLOOKUP(H235,'WritingVocab Look Up'!$A$13:$B$21,2,TRUE),IF(AND(T235&gt;=67,T235&lt;=72),VLOOKUP(H235,'WritingVocab Look Up'!$E$13:$F$21,2,TRUE),IF(AND(T235&gt;=73,T235&lt;=78),VLOOKUP(H235,'WritingVocab Look Up'!$I$13:$J$21,2,TRUE),IF(AND(T235&gt;=79),VLOOKUP(H235,'WritingVocab Look Up'!$M$13:$N$21,2,TRUE),"")))))</f>
        <v/>
      </c>
      <c r="T235" s="222" t="str">
        <f t="shared" si="3"/>
        <v/>
      </c>
    </row>
    <row r="236" spans="1:20" s="108" customFormat="1" ht="15.75">
      <c r="A236" s="119"/>
      <c r="B236" s="120"/>
      <c r="C236" s="111"/>
      <c r="D236" s="111"/>
      <c r="E236" s="121"/>
      <c r="F236" s="121"/>
      <c r="G236" s="113"/>
      <c r="H236" s="219"/>
      <c r="I236" s="200" t="str">
        <f>IF(E236="","",IF(AND(T236&lt;=66),VLOOKUP(H236,'WritingVocab Look Up'!$A$13:$B$21,2,TRUE),IF(AND(T236&gt;=67,T236&lt;=72),VLOOKUP(H236,'WritingVocab Look Up'!$E$13:$F$21,2,TRUE),IF(AND(T236&gt;=73,T236&lt;=78),VLOOKUP(H236,'WritingVocab Look Up'!$I$13:$J$21,2,TRUE),IF(AND(T236&gt;=79),VLOOKUP(H236,'WritingVocab Look Up'!$M$13:$N$21,2,TRUE),"")))))</f>
        <v/>
      </c>
      <c r="T236" s="222" t="str">
        <f t="shared" si="3"/>
        <v/>
      </c>
    </row>
    <row r="237" spans="1:20" s="108" customFormat="1" ht="15.75">
      <c r="A237" s="119"/>
      <c r="B237" s="120"/>
      <c r="C237" s="111"/>
      <c r="D237" s="111"/>
      <c r="E237" s="121"/>
      <c r="F237" s="121"/>
      <c r="G237" s="113"/>
      <c r="H237" s="219"/>
      <c r="I237" s="200" t="str">
        <f>IF(E237="","",IF(AND(T237&lt;=66),VLOOKUP(H237,'WritingVocab Look Up'!$A$13:$B$21,2,TRUE),IF(AND(T237&gt;=67,T237&lt;=72),VLOOKUP(H237,'WritingVocab Look Up'!$E$13:$F$21,2,TRUE),IF(AND(T237&gt;=73,T237&lt;=78),VLOOKUP(H237,'WritingVocab Look Up'!$I$13:$J$21,2,TRUE),IF(AND(T237&gt;=79),VLOOKUP(H237,'WritingVocab Look Up'!$M$13:$N$21,2,TRUE),"")))))</f>
        <v/>
      </c>
      <c r="T237" s="222" t="str">
        <f t="shared" si="3"/>
        <v/>
      </c>
    </row>
    <row r="238" spans="1:20" s="108" customFormat="1" ht="15.75">
      <c r="A238" s="119"/>
      <c r="B238" s="120"/>
      <c r="C238" s="111"/>
      <c r="D238" s="111"/>
      <c r="E238" s="121"/>
      <c r="F238" s="121"/>
      <c r="G238" s="113"/>
      <c r="H238" s="219"/>
      <c r="I238" s="200" t="str">
        <f>IF(E238="","",IF(AND(T238&lt;=66),VLOOKUP(H238,'WritingVocab Look Up'!$A$13:$B$21,2,TRUE),IF(AND(T238&gt;=67,T238&lt;=72),VLOOKUP(H238,'WritingVocab Look Up'!$E$13:$F$21,2,TRUE),IF(AND(T238&gt;=73,T238&lt;=78),VLOOKUP(H238,'WritingVocab Look Up'!$I$13:$J$21,2,TRUE),IF(AND(T238&gt;=79),VLOOKUP(H238,'WritingVocab Look Up'!$M$13:$N$21,2,TRUE),"")))))</f>
        <v/>
      </c>
      <c r="T238" s="222" t="str">
        <f t="shared" si="3"/>
        <v/>
      </c>
    </row>
    <row r="239" spans="1:20" s="108" customFormat="1" ht="15.75">
      <c r="A239" s="119"/>
      <c r="B239" s="120"/>
      <c r="C239" s="111"/>
      <c r="D239" s="111"/>
      <c r="E239" s="121"/>
      <c r="F239" s="121"/>
      <c r="G239" s="113"/>
      <c r="H239" s="219"/>
      <c r="I239" s="200" t="str">
        <f>IF(E239="","",IF(AND(T239&lt;=66),VLOOKUP(H239,'WritingVocab Look Up'!$A$13:$B$21,2,TRUE),IF(AND(T239&gt;=67,T239&lt;=72),VLOOKUP(H239,'WritingVocab Look Up'!$E$13:$F$21,2,TRUE),IF(AND(T239&gt;=73,T239&lt;=78),VLOOKUP(H239,'WritingVocab Look Up'!$I$13:$J$21,2,TRUE),IF(AND(T239&gt;=79),VLOOKUP(H239,'WritingVocab Look Up'!$M$13:$N$21,2,TRUE),"")))))</f>
        <v/>
      </c>
      <c r="T239" s="222" t="str">
        <f t="shared" si="3"/>
        <v/>
      </c>
    </row>
    <row r="240" spans="1:20" s="108" customFormat="1" ht="15.75">
      <c r="A240" s="119"/>
      <c r="B240" s="120"/>
      <c r="C240" s="111"/>
      <c r="D240" s="111"/>
      <c r="E240" s="121"/>
      <c r="F240" s="121"/>
      <c r="G240" s="113"/>
      <c r="H240" s="219"/>
      <c r="I240" s="200" t="str">
        <f>IF(E240="","",IF(AND(T240&lt;=66),VLOOKUP(H240,'WritingVocab Look Up'!$A$13:$B$21,2,TRUE),IF(AND(T240&gt;=67,T240&lt;=72),VLOOKUP(H240,'WritingVocab Look Up'!$E$13:$F$21,2,TRUE),IF(AND(T240&gt;=73,T240&lt;=78),VLOOKUP(H240,'WritingVocab Look Up'!$I$13:$J$21,2,TRUE),IF(AND(T240&gt;=79),VLOOKUP(H240,'WritingVocab Look Up'!$M$13:$N$21,2,TRUE),"")))))</f>
        <v/>
      </c>
      <c r="T240" s="222" t="str">
        <f t="shared" si="3"/>
        <v/>
      </c>
    </row>
    <row r="241" spans="1:20" s="108" customFormat="1" ht="15.75">
      <c r="A241" s="119"/>
      <c r="B241" s="120"/>
      <c r="C241" s="111"/>
      <c r="D241" s="111"/>
      <c r="E241" s="121"/>
      <c r="F241" s="121"/>
      <c r="G241" s="113"/>
      <c r="H241" s="219"/>
      <c r="I241" s="200" t="str">
        <f>IF(E241="","",IF(AND(T241&lt;=66),VLOOKUP(H241,'WritingVocab Look Up'!$A$13:$B$21,2,TRUE),IF(AND(T241&gt;=67,T241&lt;=72),VLOOKUP(H241,'WritingVocab Look Up'!$E$13:$F$21,2,TRUE),IF(AND(T241&gt;=73,T241&lt;=78),VLOOKUP(H241,'WritingVocab Look Up'!$I$13:$J$21,2,TRUE),IF(AND(T241&gt;=79),VLOOKUP(H241,'WritingVocab Look Up'!$M$13:$N$21,2,TRUE),"")))))</f>
        <v/>
      </c>
      <c r="T241" s="222" t="str">
        <f t="shared" si="3"/>
        <v/>
      </c>
    </row>
    <row r="242" spans="1:20" s="108" customFormat="1" ht="15.75">
      <c r="A242" s="119"/>
      <c r="B242" s="120"/>
      <c r="C242" s="111"/>
      <c r="D242" s="111"/>
      <c r="E242" s="121"/>
      <c r="F242" s="121"/>
      <c r="G242" s="113"/>
      <c r="H242" s="219"/>
      <c r="I242" s="200" t="str">
        <f>IF(E242="","",IF(AND(T242&lt;=66),VLOOKUP(H242,'WritingVocab Look Up'!$A$13:$B$21,2,TRUE),IF(AND(T242&gt;=67,T242&lt;=72),VLOOKUP(H242,'WritingVocab Look Up'!$E$13:$F$21,2,TRUE),IF(AND(T242&gt;=73,T242&lt;=78),VLOOKUP(H242,'WritingVocab Look Up'!$I$13:$J$21,2,TRUE),IF(AND(T242&gt;=79),VLOOKUP(H242,'WritingVocab Look Up'!$M$13:$N$21,2,TRUE),"")))))</f>
        <v/>
      </c>
      <c r="T242" s="222" t="str">
        <f t="shared" si="3"/>
        <v/>
      </c>
    </row>
    <row r="243" spans="1:20" s="108" customFormat="1" ht="15.75">
      <c r="A243" s="119"/>
      <c r="B243" s="120"/>
      <c r="C243" s="111"/>
      <c r="D243" s="111"/>
      <c r="E243" s="121"/>
      <c r="F243" s="121"/>
      <c r="G243" s="113"/>
      <c r="H243" s="219"/>
      <c r="I243" s="200" t="str">
        <f>IF(E243="","",IF(AND(T243&lt;=66),VLOOKUP(H243,'WritingVocab Look Up'!$A$13:$B$21,2,TRUE),IF(AND(T243&gt;=67,T243&lt;=72),VLOOKUP(H243,'WritingVocab Look Up'!$E$13:$F$21,2,TRUE),IF(AND(T243&gt;=73,T243&lt;=78),VLOOKUP(H243,'WritingVocab Look Up'!$I$13:$J$21,2,TRUE),IF(AND(T243&gt;=79),VLOOKUP(H243,'WritingVocab Look Up'!$M$13:$N$21,2,TRUE),"")))))</f>
        <v/>
      </c>
      <c r="T243" s="222" t="str">
        <f t="shared" si="3"/>
        <v/>
      </c>
    </row>
    <row r="244" spans="1:20" s="108" customFormat="1" ht="15.75">
      <c r="A244" s="119"/>
      <c r="B244" s="120"/>
      <c r="C244" s="111"/>
      <c r="D244" s="111"/>
      <c r="E244" s="121"/>
      <c r="F244" s="121"/>
      <c r="G244" s="113"/>
      <c r="H244" s="219"/>
      <c r="I244" s="200" t="str">
        <f>IF(E244="","",IF(AND(T244&lt;=66),VLOOKUP(H244,'WritingVocab Look Up'!$A$13:$B$21,2,TRUE),IF(AND(T244&gt;=67,T244&lt;=72),VLOOKUP(H244,'WritingVocab Look Up'!$E$13:$F$21,2,TRUE),IF(AND(T244&gt;=73,T244&lt;=78),VLOOKUP(H244,'WritingVocab Look Up'!$I$13:$J$21,2,TRUE),IF(AND(T244&gt;=79),VLOOKUP(H244,'WritingVocab Look Up'!$M$13:$N$21,2,TRUE),"")))))</f>
        <v/>
      </c>
      <c r="T244" s="222" t="str">
        <f t="shared" si="3"/>
        <v/>
      </c>
    </row>
    <row r="245" spans="1:20" s="108" customFormat="1" ht="15.75">
      <c r="A245" s="119"/>
      <c r="B245" s="120"/>
      <c r="C245" s="111"/>
      <c r="D245" s="111"/>
      <c r="E245" s="121"/>
      <c r="F245" s="121"/>
      <c r="G245" s="113"/>
      <c r="H245" s="219"/>
      <c r="I245" s="200" t="str">
        <f>IF(E245="","",IF(AND(T245&lt;=66),VLOOKUP(H245,'WritingVocab Look Up'!$A$13:$B$21,2,TRUE),IF(AND(T245&gt;=67,T245&lt;=72),VLOOKUP(H245,'WritingVocab Look Up'!$E$13:$F$21,2,TRUE),IF(AND(T245&gt;=73,T245&lt;=78),VLOOKUP(H245,'WritingVocab Look Up'!$I$13:$J$21,2,TRUE),IF(AND(T245&gt;=79),VLOOKUP(H245,'WritingVocab Look Up'!$M$13:$N$21,2,TRUE),"")))))</f>
        <v/>
      </c>
      <c r="T245" s="222" t="str">
        <f t="shared" si="3"/>
        <v/>
      </c>
    </row>
    <row r="246" spans="1:20" s="108" customFormat="1" ht="15.75">
      <c r="A246" s="119"/>
      <c r="B246" s="120"/>
      <c r="C246" s="111"/>
      <c r="D246" s="111"/>
      <c r="E246" s="121"/>
      <c r="F246" s="121"/>
      <c r="G246" s="113"/>
      <c r="H246" s="219"/>
      <c r="I246" s="200" t="str">
        <f>IF(E246="","",IF(AND(T246&lt;=66),VLOOKUP(H246,'WritingVocab Look Up'!$A$13:$B$21,2,TRUE),IF(AND(T246&gt;=67,T246&lt;=72),VLOOKUP(H246,'WritingVocab Look Up'!$E$13:$F$21,2,TRUE),IF(AND(T246&gt;=73,T246&lt;=78),VLOOKUP(H246,'WritingVocab Look Up'!$I$13:$J$21,2,TRUE),IF(AND(T246&gt;=79),VLOOKUP(H246,'WritingVocab Look Up'!$M$13:$N$21,2,TRUE),"")))))</f>
        <v/>
      </c>
      <c r="T246" s="222" t="str">
        <f t="shared" si="3"/>
        <v/>
      </c>
    </row>
    <row r="247" spans="1:20" s="108" customFormat="1" ht="15.75">
      <c r="A247" s="119"/>
      <c r="B247" s="120"/>
      <c r="C247" s="111"/>
      <c r="D247" s="111"/>
      <c r="E247" s="121"/>
      <c r="F247" s="121"/>
      <c r="G247" s="113"/>
      <c r="H247" s="219"/>
      <c r="I247" s="200" t="str">
        <f>IF(E247="","",IF(AND(T247&lt;=66),VLOOKUP(H247,'WritingVocab Look Up'!$A$13:$B$21,2,TRUE),IF(AND(T247&gt;=67,T247&lt;=72),VLOOKUP(H247,'WritingVocab Look Up'!$E$13:$F$21,2,TRUE),IF(AND(T247&gt;=73,T247&lt;=78),VLOOKUP(H247,'WritingVocab Look Up'!$I$13:$J$21,2,TRUE),IF(AND(T247&gt;=79),VLOOKUP(H247,'WritingVocab Look Up'!$M$13:$N$21,2,TRUE),"")))))</f>
        <v/>
      </c>
      <c r="T247" s="222" t="str">
        <f t="shared" si="3"/>
        <v/>
      </c>
    </row>
    <row r="248" spans="1:20" s="108" customFormat="1" ht="15.75">
      <c r="A248" s="119"/>
      <c r="B248" s="120"/>
      <c r="C248" s="111"/>
      <c r="D248" s="111"/>
      <c r="E248" s="121"/>
      <c r="F248" s="121"/>
      <c r="G248" s="113"/>
      <c r="H248" s="219"/>
      <c r="I248" s="200" t="str">
        <f>IF(E248="","",IF(AND(T248&lt;=66),VLOOKUP(H248,'WritingVocab Look Up'!$A$13:$B$21,2,TRUE),IF(AND(T248&gt;=67,T248&lt;=72),VLOOKUP(H248,'WritingVocab Look Up'!$E$13:$F$21,2,TRUE),IF(AND(T248&gt;=73,T248&lt;=78),VLOOKUP(H248,'WritingVocab Look Up'!$I$13:$J$21,2,TRUE),IF(AND(T248&gt;=79),VLOOKUP(H248,'WritingVocab Look Up'!$M$13:$N$21,2,TRUE),"")))))</f>
        <v/>
      </c>
      <c r="T248" s="222" t="str">
        <f t="shared" si="3"/>
        <v/>
      </c>
    </row>
    <row r="249" spans="1:20" s="108" customFormat="1" ht="15.75">
      <c r="A249" s="119"/>
      <c r="B249" s="120"/>
      <c r="C249" s="111"/>
      <c r="D249" s="111"/>
      <c r="E249" s="121"/>
      <c r="F249" s="121"/>
      <c r="G249" s="113"/>
      <c r="H249" s="219"/>
      <c r="I249" s="200" t="str">
        <f>IF(E249="","",IF(AND(T249&lt;=66),VLOOKUP(H249,'WritingVocab Look Up'!$A$13:$B$21,2,TRUE),IF(AND(T249&gt;=67,T249&lt;=72),VLOOKUP(H249,'WritingVocab Look Up'!$E$13:$F$21,2,TRUE),IF(AND(T249&gt;=73,T249&lt;=78),VLOOKUP(H249,'WritingVocab Look Up'!$I$13:$J$21,2,TRUE),IF(AND(T249&gt;=79),VLOOKUP(H249,'WritingVocab Look Up'!$M$13:$N$21,2,TRUE),"")))))</f>
        <v/>
      </c>
      <c r="T249" s="222" t="str">
        <f t="shared" si="3"/>
        <v/>
      </c>
    </row>
    <row r="250" spans="1:20" s="108" customFormat="1" ht="15.75">
      <c r="A250" s="119"/>
      <c r="B250" s="120"/>
      <c r="C250" s="111"/>
      <c r="D250" s="111"/>
      <c r="E250" s="121"/>
      <c r="F250" s="121"/>
      <c r="G250" s="113"/>
      <c r="H250" s="219"/>
      <c r="I250" s="200" t="str">
        <f>IF(E250="","",IF(AND(T250&lt;=66),VLOOKUP(H250,'WritingVocab Look Up'!$A$13:$B$21,2,TRUE),IF(AND(T250&gt;=67,T250&lt;=72),VLOOKUP(H250,'WritingVocab Look Up'!$E$13:$F$21,2,TRUE),IF(AND(T250&gt;=73,T250&lt;=78),VLOOKUP(H250,'WritingVocab Look Up'!$I$13:$J$21,2,TRUE),IF(AND(T250&gt;=79),VLOOKUP(H250,'WritingVocab Look Up'!$M$13:$N$21,2,TRUE),"")))))</f>
        <v/>
      </c>
      <c r="T250" s="222" t="str">
        <f t="shared" si="3"/>
        <v/>
      </c>
    </row>
    <row r="251" spans="1:20" s="108" customFormat="1" ht="15.75">
      <c r="A251" s="119"/>
      <c r="B251" s="120"/>
      <c r="C251" s="111"/>
      <c r="D251" s="111"/>
      <c r="E251" s="121"/>
      <c r="F251" s="121"/>
      <c r="G251" s="113"/>
      <c r="H251" s="219"/>
      <c r="I251" s="200" t="str">
        <f>IF(E251="","",IF(AND(T251&lt;=66),VLOOKUP(H251,'WritingVocab Look Up'!$A$13:$B$21,2,TRUE),IF(AND(T251&gt;=67,T251&lt;=72),VLOOKUP(H251,'WritingVocab Look Up'!$E$13:$F$21,2,TRUE),IF(AND(T251&gt;=73,T251&lt;=78),VLOOKUP(H251,'WritingVocab Look Up'!$I$13:$J$21,2,TRUE),IF(AND(T251&gt;=79),VLOOKUP(H251,'WritingVocab Look Up'!$M$13:$N$21,2,TRUE),"")))))</f>
        <v/>
      </c>
      <c r="T251" s="222" t="str">
        <f t="shared" si="3"/>
        <v/>
      </c>
    </row>
    <row r="252" spans="1:20" s="108" customFormat="1" ht="15.75">
      <c r="A252" s="119"/>
      <c r="B252" s="120"/>
      <c r="C252" s="111"/>
      <c r="D252" s="111"/>
      <c r="E252" s="121"/>
      <c r="F252" s="121"/>
      <c r="G252" s="113"/>
      <c r="H252" s="219"/>
      <c r="I252" s="200" t="str">
        <f>IF(E252="","",IF(AND(T252&lt;=66),VLOOKUP(H252,'WritingVocab Look Up'!$A$13:$B$21,2,TRUE),IF(AND(T252&gt;=67,T252&lt;=72),VLOOKUP(H252,'WritingVocab Look Up'!$E$13:$F$21,2,TRUE),IF(AND(T252&gt;=73,T252&lt;=78),VLOOKUP(H252,'WritingVocab Look Up'!$I$13:$J$21,2,TRUE),IF(AND(T252&gt;=79),VLOOKUP(H252,'WritingVocab Look Up'!$M$13:$N$21,2,TRUE),"")))))</f>
        <v/>
      </c>
      <c r="T252" s="222" t="str">
        <f t="shared" si="3"/>
        <v/>
      </c>
    </row>
    <row r="253" spans="1:20" s="108" customFormat="1" ht="15.75">
      <c r="A253" s="119"/>
      <c r="B253" s="120"/>
      <c r="C253" s="111"/>
      <c r="D253" s="111"/>
      <c r="E253" s="121"/>
      <c r="F253" s="121"/>
      <c r="G253" s="113"/>
      <c r="H253" s="219"/>
      <c r="I253" s="200" t="str">
        <f>IF(E253="","",IF(AND(T253&lt;=66),VLOOKUP(H253,'WritingVocab Look Up'!$A$13:$B$21,2,TRUE),IF(AND(T253&gt;=67,T253&lt;=72),VLOOKUP(H253,'WritingVocab Look Up'!$E$13:$F$21,2,TRUE),IF(AND(T253&gt;=73,T253&lt;=78),VLOOKUP(H253,'WritingVocab Look Up'!$I$13:$J$21,2,TRUE),IF(AND(T253&gt;=79),VLOOKUP(H253,'WritingVocab Look Up'!$M$13:$N$21,2,TRUE),"")))))</f>
        <v/>
      </c>
      <c r="T253" s="222" t="str">
        <f t="shared" si="3"/>
        <v/>
      </c>
    </row>
    <row r="254" spans="1:20" s="108" customFormat="1" ht="15.75">
      <c r="A254" s="119"/>
      <c r="B254" s="120"/>
      <c r="C254" s="111"/>
      <c r="D254" s="111"/>
      <c r="E254" s="121"/>
      <c r="F254" s="121"/>
      <c r="G254" s="113"/>
      <c r="H254" s="219"/>
      <c r="I254" s="200" t="str">
        <f>IF(E254="","",IF(AND(T254&lt;=66),VLOOKUP(H254,'WritingVocab Look Up'!$A$13:$B$21,2,TRUE),IF(AND(T254&gt;=67,T254&lt;=72),VLOOKUP(H254,'WritingVocab Look Up'!$E$13:$F$21,2,TRUE),IF(AND(T254&gt;=73,T254&lt;=78),VLOOKUP(H254,'WritingVocab Look Up'!$I$13:$J$21,2,TRUE),IF(AND(T254&gt;=79),VLOOKUP(H254,'WritingVocab Look Up'!$M$13:$N$21,2,TRUE),"")))))</f>
        <v/>
      </c>
      <c r="T254" s="222" t="str">
        <f t="shared" si="3"/>
        <v/>
      </c>
    </row>
    <row r="255" spans="1:20" s="108" customFormat="1" ht="15.75">
      <c r="A255" s="119"/>
      <c r="B255" s="120"/>
      <c r="C255" s="111"/>
      <c r="D255" s="111"/>
      <c r="E255" s="121"/>
      <c r="F255" s="121"/>
      <c r="G255" s="113"/>
      <c r="H255" s="219"/>
      <c r="I255" s="200" t="str">
        <f>IF(E255="","",IF(AND(T255&lt;=66),VLOOKUP(H255,'WritingVocab Look Up'!$A$13:$B$21,2,TRUE),IF(AND(T255&gt;=67,T255&lt;=72),VLOOKUP(H255,'WritingVocab Look Up'!$E$13:$F$21,2,TRUE),IF(AND(T255&gt;=73,T255&lt;=78),VLOOKUP(H255,'WritingVocab Look Up'!$I$13:$J$21,2,TRUE),IF(AND(T255&gt;=79),VLOOKUP(H255,'WritingVocab Look Up'!$M$13:$N$21,2,TRUE),"")))))</f>
        <v/>
      </c>
      <c r="T255" s="222" t="str">
        <f t="shared" si="3"/>
        <v/>
      </c>
    </row>
    <row r="256" spans="1:20" s="108" customFormat="1" ht="15.75">
      <c r="A256" s="119"/>
      <c r="B256" s="120"/>
      <c r="C256" s="111"/>
      <c r="D256" s="111"/>
      <c r="E256" s="121"/>
      <c r="F256" s="121"/>
      <c r="G256" s="113"/>
      <c r="H256" s="219"/>
      <c r="I256" s="200" t="str">
        <f>IF(E256="","",IF(AND(T256&lt;=66),VLOOKUP(H256,'WritingVocab Look Up'!$A$13:$B$21,2,TRUE),IF(AND(T256&gt;=67,T256&lt;=72),VLOOKUP(H256,'WritingVocab Look Up'!$E$13:$F$21,2,TRUE),IF(AND(T256&gt;=73,T256&lt;=78),VLOOKUP(H256,'WritingVocab Look Up'!$I$13:$J$21,2,TRUE),IF(AND(T256&gt;=79),VLOOKUP(H256,'WritingVocab Look Up'!$M$13:$N$21,2,TRUE),"")))))</f>
        <v/>
      </c>
      <c r="T256" s="222" t="str">
        <f t="shared" si="3"/>
        <v/>
      </c>
    </row>
    <row r="257" spans="1:20" s="108" customFormat="1" ht="15.75">
      <c r="A257" s="119"/>
      <c r="B257" s="120"/>
      <c r="C257" s="111"/>
      <c r="D257" s="111"/>
      <c r="E257" s="121"/>
      <c r="F257" s="121"/>
      <c r="G257" s="113"/>
      <c r="H257" s="219"/>
      <c r="I257" s="200" t="str">
        <f>IF(E257="","",IF(AND(T257&lt;=66),VLOOKUP(H257,'WritingVocab Look Up'!$A$13:$B$21,2,TRUE),IF(AND(T257&gt;=67,T257&lt;=72),VLOOKUP(H257,'WritingVocab Look Up'!$E$13:$F$21,2,TRUE),IF(AND(T257&gt;=73,T257&lt;=78),VLOOKUP(H257,'WritingVocab Look Up'!$I$13:$J$21,2,TRUE),IF(AND(T257&gt;=79),VLOOKUP(H257,'WritingVocab Look Up'!$M$13:$N$21,2,TRUE),"")))))</f>
        <v/>
      </c>
      <c r="T257" s="222" t="str">
        <f t="shared" si="3"/>
        <v/>
      </c>
    </row>
    <row r="258" spans="1:20" s="108" customFormat="1" ht="15.75">
      <c r="A258" s="119"/>
      <c r="B258" s="120"/>
      <c r="C258" s="111"/>
      <c r="D258" s="111"/>
      <c r="E258" s="121"/>
      <c r="F258" s="121"/>
      <c r="G258" s="113"/>
      <c r="H258" s="219"/>
      <c r="I258" s="200" t="str">
        <f>IF(E258="","",IF(AND(T258&lt;=66),VLOOKUP(H258,'WritingVocab Look Up'!$A$13:$B$21,2,TRUE),IF(AND(T258&gt;=67,T258&lt;=72),VLOOKUP(H258,'WritingVocab Look Up'!$E$13:$F$21,2,TRUE),IF(AND(T258&gt;=73,T258&lt;=78),VLOOKUP(H258,'WritingVocab Look Up'!$I$13:$J$21,2,TRUE),IF(AND(T258&gt;=79),VLOOKUP(H258,'WritingVocab Look Up'!$M$13:$N$21,2,TRUE),"")))))</f>
        <v/>
      </c>
      <c r="T258" s="222" t="str">
        <f t="shared" si="3"/>
        <v/>
      </c>
    </row>
    <row r="259" spans="1:20" s="108" customFormat="1" ht="15.75">
      <c r="A259" s="119"/>
      <c r="B259" s="120"/>
      <c r="C259" s="111"/>
      <c r="D259" s="111"/>
      <c r="E259" s="121"/>
      <c r="F259" s="121"/>
      <c r="G259" s="113"/>
      <c r="H259" s="219"/>
      <c r="I259" s="200" t="str">
        <f>IF(E259="","",IF(AND(T259&lt;=66),VLOOKUP(H259,'WritingVocab Look Up'!$A$13:$B$21,2,TRUE),IF(AND(T259&gt;=67,T259&lt;=72),VLOOKUP(H259,'WritingVocab Look Up'!$E$13:$F$21,2,TRUE),IF(AND(T259&gt;=73,T259&lt;=78),VLOOKUP(H259,'WritingVocab Look Up'!$I$13:$J$21,2,TRUE),IF(AND(T259&gt;=79),VLOOKUP(H259,'WritingVocab Look Up'!$M$13:$N$21,2,TRUE),"")))))</f>
        <v/>
      </c>
      <c r="T259" s="222" t="str">
        <f t="shared" si="3"/>
        <v/>
      </c>
    </row>
    <row r="260" spans="1:20" s="108" customFormat="1" ht="15.75">
      <c r="A260" s="119"/>
      <c r="B260" s="120"/>
      <c r="C260" s="111"/>
      <c r="D260" s="111"/>
      <c r="E260" s="121"/>
      <c r="F260" s="121"/>
      <c r="G260" s="113"/>
      <c r="H260" s="219"/>
      <c r="I260" s="200" t="str">
        <f>IF(E260="","",IF(AND(T260&lt;=66),VLOOKUP(H260,'WritingVocab Look Up'!$A$13:$B$21,2,TRUE),IF(AND(T260&gt;=67,T260&lt;=72),VLOOKUP(H260,'WritingVocab Look Up'!$E$13:$F$21,2,TRUE),IF(AND(T260&gt;=73,T260&lt;=78),VLOOKUP(H260,'WritingVocab Look Up'!$I$13:$J$21,2,TRUE),IF(AND(T260&gt;=79),VLOOKUP(H260,'WritingVocab Look Up'!$M$13:$N$21,2,TRUE),"")))))</f>
        <v/>
      </c>
      <c r="T260" s="222" t="str">
        <f t="shared" si="3"/>
        <v/>
      </c>
    </row>
    <row r="261" spans="1:20" s="108" customFormat="1" ht="15.75">
      <c r="A261" s="119"/>
      <c r="B261" s="120"/>
      <c r="C261" s="111"/>
      <c r="D261" s="111"/>
      <c r="E261" s="121"/>
      <c r="F261" s="121"/>
      <c r="G261" s="113"/>
      <c r="H261" s="219"/>
      <c r="I261" s="200" t="str">
        <f>IF(E261="","",IF(AND(T261&lt;=66),VLOOKUP(H261,'WritingVocab Look Up'!$A$13:$B$21,2,TRUE),IF(AND(T261&gt;=67,T261&lt;=72),VLOOKUP(H261,'WritingVocab Look Up'!$E$13:$F$21,2,TRUE),IF(AND(T261&gt;=73,T261&lt;=78),VLOOKUP(H261,'WritingVocab Look Up'!$I$13:$J$21,2,TRUE),IF(AND(T261&gt;=79),VLOOKUP(H261,'WritingVocab Look Up'!$M$13:$N$21,2,TRUE),"")))))</f>
        <v/>
      </c>
      <c r="T261" s="222" t="str">
        <f t="shared" si="3"/>
        <v/>
      </c>
    </row>
    <row r="262" spans="1:20" s="108" customFormat="1" ht="15.75">
      <c r="A262" s="119"/>
      <c r="B262" s="120"/>
      <c r="C262" s="111"/>
      <c r="D262" s="111"/>
      <c r="E262" s="121"/>
      <c r="F262" s="121"/>
      <c r="G262" s="113"/>
      <c r="H262" s="219"/>
      <c r="I262" s="200" t="str">
        <f>IF(E262="","",IF(AND(T262&lt;=66),VLOOKUP(H262,'WritingVocab Look Up'!$A$13:$B$21,2,TRUE),IF(AND(T262&gt;=67,T262&lt;=72),VLOOKUP(H262,'WritingVocab Look Up'!$E$13:$F$21,2,TRUE),IF(AND(T262&gt;=73,T262&lt;=78),VLOOKUP(H262,'WritingVocab Look Up'!$I$13:$J$21,2,TRUE),IF(AND(T262&gt;=79),VLOOKUP(H262,'WritingVocab Look Up'!$M$13:$N$21,2,TRUE),"")))))</f>
        <v/>
      </c>
      <c r="T262" s="222" t="str">
        <f t="shared" ref="T262:T325" si="4">IF(E262="","",DATEDIF(B262,A262,"m"))</f>
        <v/>
      </c>
    </row>
    <row r="263" spans="1:20" s="108" customFormat="1" ht="15.75">
      <c r="A263" s="119"/>
      <c r="B263" s="120"/>
      <c r="C263" s="111"/>
      <c r="D263" s="111"/>
      <c r="E263" s="121"/>
      <c r="F263" s="121"/>
      <c r="G263" s="113"/>
      <c r="H263" s="219"/>
      <c r="I263" s="200" t="str">
        <f>IF(E263="","",IF(AND(T263&lt;=66),VLOOKUP(H263,'WritingVocab Look Up'!$A$13:$B$21,2,TRUE),IF(AND(T263&gt;=67,T263&lt;=72),VLOOKUP(H263,'WritingVocab Look Up'!$E$13:$F$21,2,TRUE),IF(AND(T263&gt;=73,T263&lt;=78),VLOOKUP(H263,'WritingVocab Look Up'!$I$13:$J$21,2,TRUE),IF(AND(T263&gt;=79),VLOOKUP(H263,'WritingVocab Look Up'!$M$13:$N$21,2,TRUE),"")))))</f>
        <v/>
      </c>
      <c r="T263" s="222" t="str">
        <f t="shared" si="4"/>
        <v/>
      </c>
    </row>
    <row r="264" spans="1:20" s="108" customFormat="1" ht="15.75">
      <c r="A264" s="119"/>
      <c r="B264" s="120"/>
      <c r="C264" s="111"/>
      <c r="D264" s="111"/>
      <c r="E264" s="121"/>
      <c r="F264" s="121"/>
      <c r="G264" s="113"/>
      <c r="H264" s="219"/>
      <c r="I264" s="200" t="str">
        <f>IF(E264="","",IF(AND(T264&lt;=66),VLOOKUP(H264,'WritingVocab Look Up'!$A$13:$B$21,2,TRUE),IF(AND(T264&gt;=67,T264&lt;=72),VLOOKUP(H264,'WritingVocab Look Up'!$E$13:$F$21,2,TRUE),IF(AND(T264&gt;=73,T264&lt;=78),VLOOKUP(H264,'WritingVocab Look Up'!$I$13:$J$21,2,TRUE),IF(AND(T264&gt;=79),VLOOKUP(H264,'WritingVocab Look Up'!$M$13:$N$21,2,TRUE),"")))))</f>
        <v/>
      </c>
      <c r="T264" s="222" t="str">
        <f t="shared" si="4"/>
        <v/>
      </c>
    </row>
    <row r="265" spans="1:20" s="108" customFormat="1" ht="15.75">
      <c r="A265" s="119"/>
      <c r="B265" s="120"/>
      <c r="C265" s="111"/>
      <c r="D265" s="111"/>
      <c r="E265" s="121"/>
      <c r="F265" s="121"/>
      <c r="G265" s="113"/>
      <c r="H265" s="219"/>
      <c r="I265" s="200" t="str">
        <f>IF(E265="","",IF(AND(T265&lt;=66),VLOOKUP(H265,'WritingVocab Look Up'!$A$13:$B$21,2,TRUE),IF(AND(T265&gt;=67,T265&lt;=72),VLOOKUP(H265,'WritingVocab Look Up'!$E$13:$F$21,2,TRUE),IF(AND(T265&gt;=73,T265&lt;=78),VLOOKUP(H265,'WritingVocab Look Up'!$I$13:$J$21,2,TRUE),IF(AND(T265&gt;=79),VLOOKUP(H265,'WritingVocab Look Up'!$M$13:$N$21,2,TRUE),"")))))</f>
        <v/>
      </c>
      <c r="T265" s="222" t="str">
        <f t="shared" si="4"/>
        <v/>
      </c>
    </row>
    <row r="266" spans="1:20" s="108" customFormat="1" ht="15.75">
      <c r="A266" s="119"/>
      <c r="B266" s="120"/>
      <c r="C266" s="111"/>
      <c r="D266" s="111"/>
      <c r="E266" s="121"/>
      <c r="F266" s="121"/>
      <c r="G266" s="113"/>
      <c r="H266" s="219"/>
      <c r="I266" s="200" t="str">
        <f>IF(E266="","",IF(AND(T266&lt;=66),VLOOKUP(H266,'WritingVocab Look Up'!$A$13:$B$21,2,TRUE),IF(AND(T266&gt;=67,T266&lt;=72),VLOOKUP(H266,'WritingVocab Look Up'!$E$13:$F$21,2,TRUE),IF(AND(T266&gt;=73,T266&lt;=78),VLOOKUP(H266,'WritingVocab Look Up'!$I$13:$J$21,2,TRUE),IF(AND(T266&gt;=79),VLOOKUP(H266,'WritingVocab Look Up'!$M$13:$N$21,2,TRUE),"")))))</f>
        <v/>
      </c>
      <c r="T266" s="222" t="str">
        <f t="shared" si="4"/>
        <v/>
      </c>
    </row>
    <row r="267" spans="1:20" s="108" customFormat="1" ht="15.75">
      <c r="A267" s="119"/>
      <c r="B267" s="120"/>
      <c r="C267" s="111"/>
      <c r="D267" s="111"/>
      <c r="E267" s="121"/>
      <c r="F267" s="121"/>
      <c r="G267" s="113"/>
      <c r="H267" s="219"/>
      <c r="I267" s="200" t="str">
        <f>IF(E267="","",IF(AND(T267&lt;=66),VLOOKUP(H267,'WritingVocab Look Up'!$A$13:$B$21,2,TRUE),IF(AND(T267&gt;=67,T267&lt;=72),VLOOKUP(H267,'WritingVocab Look Up'!$E$13:$F$21,2,TRUE),IF(AND(T267&gt;=73,T267&lt;=78),VLOOKUP(H267,'WritingVocab Look Up'!$I$13:$J$21,2,TRUE),IF(AND(T267&gt;=79),VLOOKUP(H267,'WritingVocab Look Up'!$M$13:$N$21,2,TRUE),"")))))</f>
        <v/>
      </c>
      <c r="T267" s="222" t="str">
        <f t="shared" si="4"/>
        <v/>
      </c>
    </row>
    <row r="268" spans="1:20" s="108" customFormat="1" ht="15.75">
      <c r="A268" s="119"/>
      <c r="B268" s="120"/>
      <c r="C268" s="111"/>
      <c r="D268" s="111"/>
      <c r="E268" s="121"/>
      <c r="F268" s="121"/>
      <c r="G268" s="113"/>
      <c r="H268" s="219"/>
      <c r="I268" s="200" t="str">
        <f>IF(E268="","",IF(AND(T268&lt;=66),VLOOKUP(H268,'WritingVocab Look Up'!$A$13:$B$21,2,TRUE),IF(AND(T268&gt;=67,T268&lt;=72),VLOOKUP(H268,'WritingVocab Look Up'!$E$13:$F$21,2,TRUE),IF(AND(T268&gt;=73,T268&lt;=78),VLOOKUP(H268,'WritingVocab Look Up'!$I$13:$J$21,2,TRUE),IF(AND(T268&gt;=79),VLOOKUP(H268,'WritingVocab Look Up'!$M$13:$N$21,2,TRUE),"")))))</f>
        <v/>
      </c>
      <c r="T268" s="222" t="str">
        <f t="shared" si="4"/>
        <v/>
      </c>
    </row>
    <row r="269" spans="1:20" s="108" customFormat="1" ht="15.75">
      <c r="A269" s="119"/>
      <c r="B269" s="120"/>
      <c r="C269" s="111"/>
      <c r="D269" s="111"/>
      <c r="E269" s="121"/>
      <c r="F269" s="121"/>
      <c r="G269" s="113"/>
      <c r="H269" s="219"/>
      <c r="I269" s="200" t="str">
        <f>IF(E269="","",IF(AND(T269&lt;=66),VLOOKUP(H269,'WritingVocab Look Up'!$A$13:$B$21,2,TRUE),IF(AND(T269&gt;=67,T269&lt;=72),VLOOKUP(H269,'WritingVocab Look Up'!$E$13:$F$21,2,TRUE),IF(AND(T269&gt;=73,T269&lt;=78),VLOOKUP(H269,'WritingVocab Look Up'!$I$13:$J$21,2,TRUE),IF(AND(T269&gt;=79),VLOOKUP(H269,'WritingVocab Look Up'!$M$13:$N$21,2,TRUE),"")))))</f>
        <v/>
      </c>
      <c r="T269" s="222" t="str">
        <f t="shared" si="4"/>
        <v/>
      </c>
    </row>
    <row r="270" spans="1:20" s="108" customFormat="1" ht="15.75">
      <c r="A270" s="119"/>
      <c r="B270" s="120"/>
      <c r="C270" s="111"/>
      <c r="D270" s="111"/>
      <c r="E270" s="121"/>
      <c r="F270" s="121"/>
      <c r="G270" s="113"/>
      <c r="H270" s="219"/>
      <c r="I270" s="200" t="str">
        <f>IF(E270="","",IF(AND(T270&lt;=66),VLOOKUP(H270,'WritingVocab Look Up'!$A$13:$B$21,2,TRUE),IF(AND(T270&gt;=67,T270&lt;=72),VLOOKUP(H270,'WritingVocab Look Up'!$E$13:$F$21,2,TRUE),IF(AND(T270&gt;=73,T270&lt;=78),VLOOKUP(H270,'WritingVocab Look Up'!$I$13:$J$21,2,TRUE),IF(AND(T270&gt;=79),VLOOKUP(H270,'WritingVocab Look Up'!$M$13:$N$21,2,TRUE),"")))))</f>
        <v/>
      </c>
      <c r="T270" s="222" t="str">
        <f t="shared" si="4"/>
        <v/>
      </c>
    </row>
    <row r="271" spans="1:20" s="108" customFormat="1" ht="15.75">
      <c r="A271" s="119"/>
      <c r="B271" s="120"/>
      <c r="C271" s="111"/>
      <c r="D271" s="111"/>
      <c r="E271" s="121"/>
      <c r="F271" s="121"/>
      <c r="G271" s="113"/>
      <c r="H271" s="219"/>
      <c r="I271" s="200" t="str">
        <f>IF(E271="","",IF(AND(T271&lt;=66),VLOOKUP(H271,'WritingVocab Look Up'!$A$13:$B$21,2,TRUE),IF(AND(T271&gt;=67,T271&lt;=72),VLOOKUP(H271,'WritingVocab Look Up'!$E$13:$F$21,2,TRUE),IF(AND(T271&gt;=73,T271&lt;=78),VLOOKUP(H271,'WritingVocab Look Up'!$I$13:$J$21,2,TRUE),IF(AND(T271&gt;=79),VLOOKUP(H271,'WritingVocab Look Up'!$M$13:$N$21,2,TRUE),"")))))</f>
        <v/>
      </c>
      <c r="T271" s="222" t="str">
        <f t="shared" si="4"/>
        <v/>
      </c>
    </row>
    <row r="272" spans="1:20" s="108" customFormat="1" ht="15.75">
      <c r="A272" s="119"/>
      <c r="B272" s="120"/>
      <c r="C272" s="111"/>
      <c r="D272" s="111"/>
      <c r="E272" s="121"/>
      <c r="F272" s="121"/>
      <c r="G272" s="113"/>
      <c r="H272" s="219"/>
      <c r="I272" s="200" t="str">
        <f>IF(E272="","",IF(AND(T272&lt;=66),VLOOKUP(H272,'WritingVocab Look Up'!$A$13:$B$21,2,TRUE),IF(AND(T272&gt;=67,T272&lt;=72),VLOOKUP(H272,'WritingVocab Look Up'!$E$13:$F$21,2,TRUE),IF(AND(T272&gt;=73,T272&lt;=78),VLOOKUP(H272,'WritingVocab Look Up'!$I$13:$J$21,2,TRUE),IF(AND(T272&gt;=79),VLOOKUP(H272,'WritingVocab Look Up'!$M$13:$N$21,2,TRUE),"")))))</f>
        <v/>
      </c>
      <c r="T272" s="222" t="str">
        <f t="shared" si="4"/>
        <v/>
      </c>
    </row>
    <row r="273" spans="1:20" s="108" customFormat="1" ht="15.75">
      <c r="A273" s="119"/>
      <c r="B273" s="120"/>
      <c r="C273" s="111"/>
      <c r="D273" s="111"/>
      <c r="E273" s="121"/>
      <c r="F273" s="121"/>
      <c r="G273" s="113"/>
      <c r="H273" s="219"/>
      <c r="I273" s="200" t="str">
        <f>IF(E273="","",IF(AND(T273&lt;=66),VLOOKUP(H273,'WritingVocab Look Up'!$A$13:$B$21,2,TRUE),IF(AND(T273&gt;=67,T273&lt;=72),VLOOKUP(H273,'WritingVocab Look Up'!$E$13:$F$21,2,TRUE),IF(AND(T273&gt;=73,T273&lt;=78),VLOOKUP(H273,'WritingVocab Look Up'!$I$13:$J$21,2,TRUE),IF(AND(T273&gt;=79),VLOOKUP(H273,'WritingVocab Look Up'!$M$13:$N$21,2,TRUE),"")))))</f>
        <v/>
      </c>
      <c r="T273" s="222" t="str">
        <f t="shared" si="4"/>
        <v/>
      </c>
    </row>
    <row r="274" spans="1:20" s="108" customFormat="1" ht="15.75">
      <c r="A274" s="119"/>
      <c r="B274" s="120"/>
      <c r="C274" s="111"/>
      <c r="D274" s="111"/>
      <c r="E274" s="121"/>
      <c r="F274" s="121"/>
      <c r="G274" s="113"/>
      <c r="H274" s="219"/>
      <c r="I274" s="200" t="str">
        <f>IF(E274="","",IF(AND(T274&lt;=66),VLOOKUP(H274,'WritingVocab Look Up'!$A$13:$B$21,2,TRUE),IF(AND(T274&gt;=67,T274&lt;=72),VLOOKUP(H274,'WritingVocab Look Up'!$E$13:$F$21,2,TRUE),IF(AND(T274&gt;=73,T274&lt;=78),VLOOKUP(H274,'WritingVocab Look Up'!$I$13:$J$21,2,TRUE),IF(AND(T274&gt;=79),VLOOKUP(H274,'WritingVocab Look Up'!$M$13:$N$21,2,TRUE),"")))))</f>
        <v/>
      </c>
      <c r="T274" s="222" t="str">
        <f t="shared" si="4"/>
        <v/>
      </c>
    </row>
    <row r="275" spans="1:20" s="108" customFormat="1" ht="15.75">
      <c r="A275" s="119"/>
      <c r="B275" s="120"/>
      <c r="C275" s="111"/>
      <c r="D275" s="111"/>
      <c r="E275" s="121"/>
      <c r="F275" s="121"/>
      <c r="G275" s="113"/>
      <c r="H275" s="219"/>
      <c r="I275" s="200" t="str">
        <f>IF(E275="","",IF(AND(T275&lt;=66),VLOOKUP(H275,'WritingVocab Look Up'!$A$13:$B$21,2,TRUE),IF(AND(T275&gt;=67,T275&lt;=72),VLOOKUP(H275,'WritingVocab Look Up'!$E$13:$F$21,2,TRUE),IF(AND(T275&gt;=73,T275&lt;=78),VLOOKUP(H275,'WritingVocab Look Up'!$I$13:$J$21,2,TRUE),IF(AND(T275&gt;=79),VLOOKUP(H275,'WritingVocab Look Up'!$M$13:$N$21,2,TRUE),"")))))</f>
        <v/>
      </c>
      <c r="T275" s="222" t="str">
        <f t="shared" si="4"/>
        <v/>
      </c>
    </row>
    <row r="276" spans="1:20" s="108" customFormat="1" ht="15.75">
      <c r="A276" s="119"/>
      <c r="B276" s="120"/>
      <c r="C276" s="111"/>
      <c r="D276" s="111"/>
      <c r="E276" s="121"/>
      <c r="F276" s="121"/>
      <c r="G276" s="113"/>
      <c r="H276" s="219"/>
      <c r="I276" s="200" t="str">
        <f>IF(E276="","",IF(AND(T276&lt;=66),VLOOKUP(H276,'WritingVocab Look Up'!$A$13:$B$21,2,TRUE),IF(AND(T276&gt;=67,T276&lt;=72),VLOOKUP(H276,'WritingVocab Look Up'!$E$13:$F$21,2,TRUE),IF(AND(T276&gt;=73,T276&lt;=78),VLOOKUP(H276,'WritingVocab Look Up'!$I$13:$J$21,2,TRUE),IF(AND(T276&gt;=79),VLOOKUP(H276,'WritingVocab Look Up'!$M$13:$N$21,2,TRUE),"")))))</f>
        <v/>
      </c>
      <c r="T276" s="222" t="str">
        <f t="shared" si="4"/>
        <v/>
      </c>
    </row>
    <row r="277" spans="1:20" s="108" customFormat="1" ht="15.75">
      <c r="A277" s="119"/>
      <c r="B277" s="120"/>
      <c r="C277" s="111"/>
      <c r="D277" s="111"/>
      <c r="E277" s="121"/>
      <c r="F277" s="121"/>
      <c r="G277" s="113"/>
      <c r="H277" s="219"/>
      <c r="I277" s="200" t="str">
        <f>IF(E277="","",IF(AND(T277&lt;=66),VLOOKUP(H277,'WritingVocab Look Up'!$A$13:$B$21,2,TRUE),IF(AND(T277&gt;=67,T277&lt;=72),VLOOKUP(H277,'WritingVocab Look Up'!$E$13:$F$21,2,TRUE),IF(AND(T277&gt;=73,T277&lt;=78),VLOOKUP(H277,'WritingVocab Look Up'!$I$13:$J$21,2,TRUE),IF(AND(T277&gt;=79),VLOOKUP(H277,'WritingVocab Look Up'!$M$13:$N$21,2,TRUE),"")))))</f>
        <v/>
      </c>
      <c r="T277" s="222" t="str">
        <f t="shared" si="4"/>
        <v/>
      </c>
    </row>
    <row r="278" spans="1:20" s="108" customFormat="1" ht="15.75">
      <c r="A278" s="119"/>
      <c r="B278" s="120"/>
      <c r="C278" s="111"/>
      <c r="D278" s="111"/>
      <c r="E278" s="121"/>
      <c r="F278" s="121"/>
      <c r="G278" s="113"/>
      <c r="H278" s="219"/>
      <c r="I278" s="200" t="str">
        <f>IF(E278="","",IF(AND(T278&lt;=66),VLOOKUP(H278,'WritingVocab Look Up'!$A$13:$B$21,2,TRUE),IF(AND(T278&gt;=67,T278&lt;=72),VLOOKUP(H278,'WritingVocab Look Up'!$E$13:$F$21,2,TRUE),IF(AND(T278&gt;=73,T278&lt;=78),VLOOKUP(H278,'WritingVocab Look Up'!$I$13:$J$21,2,TRUE),IF(AND(T278&gt;=79),VLOOKUP(H278,'WritingVocab Look Up'!$M$13:$N$21,2,TRUE),"")))))</f>
        <v/>
      </c>
      <c r="T278" s="222" t="str">
        <f t="shared" si="4"/>
        <v/>
      </c>
    </row>
    <row r="279" spans="1:20" s="108" customFormat="1" ht="15.75">
      <c r="A279" s="119"/>
      <c r="B279" s="120"/>
      <c r="C279" s="111"/>
      <c r="D279" s="111"/>
      <c r="E279" s="121"/>
      <c r="F279" s="121"/>
      <c r="G279" s="113"/>
      <c r="H279" s="219"/>
      <c r="I279" s="200" t="str">
        <f>IF(E279="","",IF(AND(T279&lt;=66),VLOOKUP(H279,'WritingVocab Look Up'!$A$13:$B$21,2,TRUE),IF(AND(T279&gt;=67,T279&lt;=72),VLOOKUP(H279,'WritingVocab Look Up'!$E$13:$F$21,2,TRUE),IF(AND(T279&gt;=73,T279&lt;=78),VLOOKUP(H279,'WritingVocab Look Up'!$I$13:$J$21,2,TRUE),IF(AND(T279&gt;=79),VLOOKUP(H279,'WritingVocab Look Up'!$M$13:$N$21,2,TRUE),"")))))</f>
        <v/>
      </c>
      <c r="T279" s="222" t="str">
        <f t="shared" si="4"/>
        <v/>
      </c>
    </row>
    <row r="280" spans="1:20" s="108" customFormat="1" ht="15.75">
      <c r="A280" s="119"/>
      <c r="B280" s="120"/>
      <c r="C280" s="111"/>
      <c r="D280" s="111"/>
      <c r="E280" s="121"/>
      <c r="F280" s="121"/>
      <c r="G280" s="113"/>
      <c r="H280" s="219"/>
      <c r="I280" s="200" t="str">
        <f>IF(E280="","",IF(AND(T280&lt;=66),VLOOKUP(H280,'WritingVocab Look Up'!$A$13:$B$21,2,TRUE),IF(AND(T280&gt;=67,T280&lt;=72),VLOOKUP(H280,'WritingVocab Look Up'!$E$13:$F$21,2,TRUE),IF(AND(T280&gt;=73,T280&lt;=78),VLOOKUP(H280,'WritingVocab Look Up'!$I$13:$J$21,2,TRUE),IF(AND(T280&gt;=79),VLOOKUP(H280,'WritingVocab Look Up'!$M$13:$N$21,2,TRUE),"")))))</f>
        <v/>
      </c>
      <c r="T280" s="222" t="str">
        <f t="shared" si="4"/>
        <v/>
      </c>
    </row>
    <row r="281" spans="1:20" s="108" customFormat="1" ht="15.75">
      <c r="A281" s="119"/>
      <c r="B281" s="120"/>
      <c r="C281" s="111"/>
      <c r="D281" s="111"/>
      <c r="E281" s="121"/>
      <c r="F281" s="121"/>
      <c r="G281" s="113"/>
      <c r="H281" s="219"/>
      <c r="I281" s="200" t="str">
        <f>IF(E281="","",IF(AND(T281&lt;=66),VLOOKUP(H281,'WritingVocab Look Up'!$A$13:$B$21,2,TRUE),IF(AND(T281&gt;=67,T281&lt;=72),VLOOKUP(H281,'WritingVocab Look Up'!$E$13:$F$21,2,TRUE),IF(AND(T281&gt;=73,T281&lt;=78),VLOOKUP(H281,'WritingVocab Look Up'!$I$13:$J$21,2,TRUE),IF(AND(T281&gt;=79),VLOOKUP(H281,'WritingVocab Look Up'!$M$13:$N$21,2,TRUE),"")))))</f>
        <v/>
      </c>
      <c r="T281" s="222" t="str">
        <f t="shared" si="4"/>
        <v/>
      </c>
    </row>
    <row r="282" spans="1:20" s="108" customFormat="1" ht="15.75">
      <c r="A282" s="119"/>
      <c r="B282" s="120"/>
      <c r="C282" s="111"/>
      <c r="D282" s="111"/>
      <c r="E282" s="121"/>
      <c r="F282" s="121"/>
      <c r="G282" s="113"/>
      <c r="H282" s="219"/>
      <c r="I282" s="200" t="str">
        <f>IF(E282="","",IF(AND(T282&lt;=66),VLOOKUP(H282,'WritingVocab Look Up'!$A$13:$B$21,2,TRUE),IF(AND(T282&gt;=67,T282&lt;=72),VLOOKUP(H282,'WritingVocab Look Up'!$E$13:$F$21,2,TRUE),IF(AND(T282&gt;=73,T282&lt;=78),VLOOKUP(H282,'WritingVocab Look Up'!$I$13:$J$21,2,TRUE),IF(AND(T282&gt;=79),VLOOKUP(H282,'WritingVocab Look Up'!$M$13:$N$21,2,TRUE),"")))))</f>
        <v/>
      </c>
      <c r="T282" s="222" t="str">
        <f t="shared" si="4"/>
        <v/>
      </c>
    </row>
    <row r="283" spans="1:20" s="108" customFormat="1" ht="15.75">
      <c r="A283" s="119"/>
      <c r="B283" s="120"/>
      <c r="C283" s="111"/>
      <c r="D283" s="111"/>
      <c r="E283" s="121"/>
      <c r="F283" s="121"/>
      <c r="G283" s="113"/>
      <c r="H283" s="219"/>
      <c r="I283" s="200" t="str">
        <f>IF(E283="","",IF(AND(T283&lt;=66),VLOOKUP(H283,'WritingVocab Look Up'!$A$13:$B$21,2,TRUE),IF(AND(T283&gt;=67,T283&lt;=72),VLOOKUP(H283,'WritingVocab Look Up'!$E$13:$F$21,2,TRUE),IF(AND(T283&gt;=73,T283&lt;=78),VLOOKUP(H283,'WritingVocab Look Up'!$I$13:$J$21,2,TRUE),IF(AND(T283&gt;=79),VLOOKUP(H283,'WritingVocab Look Up'!$M$13:$N$21,2,TRUE),"")))))</f>
        <v/>
      </c>
      <c r="T283" s="222" t="str">
        <f t="shared" si="4"/>
        <v/>
      </c>
    </row>
    <row r="284" spans="1:20" s="108" customFormat="1" ht="15.75">
      <c r="A284" s="119"/>
      <c r="B284" s="120"/>
      <c r="C284" s="111"/>
      <c r="D284" s="111"/>
      <c r="E284" s="121"/>
      <c r="F284" s="121"/>
      <c r="G284" s="113"/>
      <c r="H284" s="219"/>
      <c r="I284" s="200" t="str">
        <f>IF(E284="","",IF(AND(T284&lt;=66),VLOOKUP(H284,'WritingVocab Look Up'!$A$13:$B$21,2,TRUE),IF(AND(T284&gt;=67,T284&lt;=72),VLOOKUP(H284,'WritingVocab Look Up'!$E$13:$F$21,2,TRUE),IF(AND(T284&gt;=73,T284&lt;=78),VLOOKUP(H284,'WritingVocab Look Up'!$I$13:$J$21,2,TRUE),IF(AND(T284&gt;=79),VLOOKUP(H284,'WritingVocab Look Up'!$M$13:$N$21,2,TRUE),"")))))</f>
        <v/>
      </c>
      <c r="T284" s="222" t="str">
        <f t="shared" si="4"/>
        <v/>
      </c>
    </row>
    <row r="285" spans="1:20" s="108" customFormat="1" ht="15.75">
      <c r="A285" s="119"/>
      <c r="B285" s="120"/>
      <c r="C285" s="111"/>
      <c r="D285" s="111"/>
      <c r="E285" s="121"/>
      <c r="F285" s="121"/>
      <c r="G285" s="113"/>
      <c r="H285" s="219"/>
      <c r="I285" s="200" t="str">
        <f>IF(E285="","",IF(AND(T285&lt;=66),VLOOKUP(H285,'WritingVocab Look Up'!$A$13:$B$21,2,TRUE),IF(AND(T285&gt;=67,T285&lt;=72),VLOOKUP(H285,'WritingVocab Look Up'!$E$13:$F$21,2,TRUE),IF(AND(T285&gt;=73,T285&lt;=78),VLOOKUP(H285,'WritingVocab Look Up'!$I$13:$J$21,2,TRUE),IF(AND(T285&gt;=79),VLOOKUP(H285,'WritingVocab Look Up'!$M$13:$N$21,2,TRUE),"")))))</f>
        <v/>
      </c>
      <c r="T285" s="222" t="str">
        <f t="shared" si="4"/>
        <v/>
      </c>
    </row>
    <row r="286" spans="1:20" s="108" customFormat="1" ht="15.75">
      <c r="A286" s="119"/>
      <c r="B286" s="120"/>
      <c r="C286" s="111"/>
      <c r="D286" s="111"/>
      <c r="E286" s="121"/>
      <c r="F286" s="121"/>
      <c r="G286" s="113"/>
      <c r="H286" s="219"/>
      <c r="I286" s="200" t="str">
        <f>IF(E286="","",IF(AND(T286&lt;=66),VLOOKUP(H286,'WritingVocab Look Up'!$A$13:$B$21,2,TRUE),IF(AND(T286&gt;=67,T286&lt;=72),VLOOKUP(H286,'WritingVocab Look Up'!$E$13:$F$21,2,TRUE),IF(AND(T286&gt;=73,T286&lt;=78),VLOOKUP(H286,'WritingVocab Look Up'!$I$13:$J$21,2,TRUE),IF(AND(T286&gt;=79),VLOOKUP(H286,'WritingVocab Look Up'!$M$13:$N$21,2,TRUE),"")))))</f>
        <v/>
      </c>
      <c r="T286" s="222" t="str">
        <f t="shared" si="4"/>
        <v/>
      </c>
    </row>
    <row r="287" spans="1:20" s="108" customFormat="1" ht="15.75">
      <c r="A287" s="119"/>
      <c r="B287" s="120"/>
      <c r="C287" s="111"/>
      <c r="D287" s="111"/>
      <c r="E287" s="121"/>
      <c r="F287" s="121"/>
      <c r="G287" s="113"/>
      <c r="H287" s="219"/>
      <c r="I287" s="200" t="str">
        <f>IF(E287="","",IF(AND(T287&lt;=66),VLOOKUP(H287,'WritingVocab Look Up'!$A$13:$B$21,2,TRUE),IF(AND(T287&gt;=67,T287&lt;=72),VLOOKUP(H287,'WritingVocab Look Up'!$E$13:$F$21,2,TRUE),IF(AND(T287&gt;=73,T287&lt;=78),VLOOKUP(H287,'WritingVocab Look Up'!$I$13:$J$21,2,TRUE),IF(AND(T287&gt;=79),VLOOKUP(H287,'WritingVocab Look Up'!$M$13:$N$21,2,TRUE),"")))))</f>
        <v/>
      </c>
      <c r="T287" s="222" t="str">
        <f t="shared" si="4"/>
        <v/>
      </c>
    </row>
    <row r="288" spans="1:20" s="108" customFormat="1" ht="15.75">
      <c r="A288" s="119"/>
      <c r="B288" s="120"/>
      <c r="C288" s="111"/>
      <c r="D288" s="111"/>
      <c r="E288" s="121"/>
      <c r="F288" s="121"/>
      <c r="G288" s="113"/>
      <c r="H288" s="219"/>
      <c r="I288" s="200" t="str">
        <f>IF(E288="","",IF(AND(T288&lt;=66),VLOOKUP(H288,'WritingVocab Look Up'!$A$13:$B$21,2,TRUE),IF(AND(T288&gt;=67,T288&lt;=72),VLOOKUP(H288,'WritingVocab Look Up'!$E$13:$F$21,2,TRUE),IF(AND(T288&gt;=73,T288&lt;=78),VLOOKUP(H288,'WritingVocab Look Up'!$I$13:$J$21,2,TRUE),IF(AND(T288&gt;=79),VLOOKUP(H288,'WritingVocab Look Up'!$M$13:$N$21,2,TRUE),"")))))</f>
        <v/>
      </c>
      <c r="T288" s="222" t="str">
        <f t="shared" si="4"/>
        <v/>
      </c>
    </row>
    <row r="289" spans="1:20" s="108" customFormat="1" ht="15.75">
      <c r="A289" s="119"/>
      <c r="B289" s="120"/>
      <c r="C289" s="111"/>
      <c r="D289" s="111"/>
      <c r="E289" s="121"/>
      <c r="F289" s="121"/>
      <c r="G289" s="113"/>
      <c r="H289" s="219"/>
      <c r="I289" s="200" t="str">
        <f>IF(E289="","",IF(AND(T289&lt;=66),VLOOKUP(H289,'WritingVocab Look Up'!$A$13:$B$21,2,TRUE),IF(AND(T289&gt;=67,T289&lt;=72),VLOOKUP(H289,'WritingVocab Look Up'!$E$13:$F$21,2,TRUE),IF(AND(T289&gt;=73,T289&lt;=78),VLOOKUP(H289,'WritingVocab Look Up'!$I$13:$J$21,2,TRUE),IF(AND(T289&gt;=79),VLOOKUP(H289,'WritingVocab Look Up'!$M$13:$N$21,2,TRUE),"")))))</f>
        <v/>
      </c>
      <c r="T289" s="222" t="str">
        <f t="shared" si="4"/>
        <v/>
      </c>
    </row>
    <row r="290" spans="1:20" s="108" customFormat="1" ht="15.75">
      <c r="A290" s="119"/>
      <c r="B290" s="120"/>
      <c r="C290" s="111"/>
      <c r="D290" s="111"/>
      <c r="E290" s="121"/>
      <c r="F290" s="121"/>
      <c r="G290" s="113"/>
      <c r="H290" s="219"/>
      <c r="I290" s="200" t="str">
        <f>IF(E290="","",IF(AND(T290&lt;=66),VLOOKUP(H290,'WritingVocab Look Up'!$A$13:$B$21,2,TRUE),IF(AND(T290&gt;=67,T290&lt;=72),VLOOKUP(H290,'WritingVocab Look Up'!$E$13:$F$21,2,TRUE),IF(AND(T290&gt;=73,T290&lt;=78),VLOOKUP(H290,'WritingVocab Look Up'!$I$13:$J$21,2,TRUE),IF(AND(T290&gt;=79),VLOOKUP(H290,'WritingVocab Look Up'!$M$13:$N$21,2,TRUE),"")))))</f>
        <v/>
      </c>
      <c r="T290" s="222" t="str">
        <f t="shared" si="4"/>
        <v/>
      </c>
    </row>
    <row r="291" spans="1:20" s="108" customFormat="1" ht="15.75">
      <c r="A291" s="119"/>
      <c r="B291" s="120"/>
      <c r="C291" s="111"/>
      <c r="D291" s="111"/>
      <c r="E291" s="121"/>
      <c r="F291" s="121"/>
      <c r="G291" s="113"/>
      <c r="H291" s="219"/>
      <c r="I291" s="200" t="str">
        <f>IF(E291="","",IF(AND(T291&lt;=66),VLOOKUP(H291,'WritingVocab Look Up'!$A$13:$B$21,2,TRUE),IF(AND(T291&gt;=67,T291&lt;=72),VLOOKUP(H291,'WritingVocab Look Up'!$E$13:$F$21,2,TRUE),IF(AND(T291&gt;=73,T291&lt;=78),VLOOKUP(H291,'WritingVocab Look Up'!$I$13:$J$21,2,TRUE),IF(AND(T291&gt;=79),VLOOKUP(H291,'WritingVocab Look Up'!$M$13:$N$21,2,TRUE),"")))))</f>
        <v/>
      </c>
      <c r="T291" s="222" t="str">
        <f t="shared" si="4"/>
        <v/>
      </c>
    </row>
    <row r="292" spans="1:20" s="108" customFormat="1" ht="15.75">
      <c r="A292" s="119"/>
      <c r="B292" s="120"/>
      <c r="C292" s="111"/>
      <c r="D292" s="111"/>
      <c r="E292" s="121"/>
      <c r="F292" s="121"/>
      <c r="G292" s="113"/>
      <c r="H292" s="219"/>
      <c r="I292" s="200" t="str">
        <f>IF(E292="","",IF(AND(T292&lt;=66),VLOOKUP(H292,'WritingVocab Look Up'!$A$13:$B$21,2,TRUE),IF(AND(T292&gt;=67,T292&lt;=72),VLOOKUP(H292,'WritingVocab Look Up'!$E$13:$F$21,2,TRUE),IF(AND(T292&gt;=73,T292&lt;=78),VLOOKUP(H292,'WritingVocab Look Up'!$I$13:$J$21,2,TRUE),IF(AND(T292&gt;=79),VLOOKUP(H292,'WritingVocab Look Up'!$M$13:$N$21,2,TRUE),"")))))</f>
        <v/>
      </c>
      <c r="T292" s="222" t="str">
        <f t="shared" si="4"/>
        <v/>
      </c>
    </row>
    <row r="293" spans="1:20" s="108" customFormat="1" ht="15.75">
      <c r="A293" s="119"/>
      <c r="B293" s="120"/>
      <c r="C293" s="111"/>
      <c r="D293" s="111"/>
      <c r="E293" s="121"/>
      <c r="F293" s="121"/>
      <c r="G293" s="113"/>
      <c r="H293" s="219"/>
      <c r="I293" s="200" t="str">
        <f>IF(E293="","",IF(AND(T293&lt;=66),VLOOKUP(H293,'WritingVocab Look Up'!$A$13:$B$21,2,TRUE),IF(AND(T293&gt;=67,T293&lt;=72),VLOOKUP(H293,'WritingVocab Look Up'!$E$13:$F$21,2,TRUE),IF(AND(T293&gt;=73,T293&lt;=78),VLOOKUP(H293,'WritingVocab Look Up'!$I$13:$J$21,2,TRUE),IF(AND(T293&gt;=79),VLOOKUP(H293,'WritingVocab Look Up'!$M$13:$N$21,2,TRUE),"")))))</f>
        <v/>
      </c>
      <c r="T293" s="222" t="str">
        <f t="shared" si="4"/>
        <v/>
      </c>
    </row>
    <row r="294" spans="1:20" s="108" customFormat="1" ht="15.75">
      <c r="A294" s="119"/>
      <c r="B294" s="120"/>
      <c r="C294" s="111"/>
      <c r="D294" s="111"/>
      <c r="E294" s="121"/>
      <c r="F294" s="121"/>
      <c r="G294" s="113"/>
      <c r="H294" s="219"/>
      <c r="I294" s="200" t="str">
        <f>IF(E294="","",IF(AND(T294&lt;=66),VLOOKUP(H294,'WritingVocab Look Up'!$A$13:$B$21,2,TRUE),IF(AND(T294&gt;=67,T294&lt;=72),VLOOKUP(H294,'WritingVocab Look Up'!$E$13:$F$21,2,TRUE),IF(AND(T294&gt;=73,T294&lt;=78),VLOOKUP(H294,'WritingVocab Look Up'!$I$13:$J$21,2,TRUE),IF(AND(T294&gt;=79),VLOOKUP(H294,'WritingVocab Look Up'!$M$13:$N$21,2,TRUE),"")))))</f>
        <v/>
      </c>
      <c r="T294" s="222" t="str">
        <f t="shared" si="4"/>
        <v/>
      </c>
    </row>
    <row r="295" spans="1:20" s="108" customFormat="1" ht="15.75">
      <c r="A295" s="119"/>
      <c r="B295" s="120"/>
      <c r="C295" s="111"/>
      <c r="D295" s="111"/>
      <c r="E295" s="121"/>
      <c r="F295" s="121"/>
      <c r="G295" s="113"/>
      <c r="H295" s="219"/>
      <c r="I295" s="200" t="str">
        <f>IF(E295="","",IF(AND(T295&lt;=66),VLOOKUP(H295,'WritingVocab Look Up'!$A$13:$B$21,2,TRUE),IF(AND(T295&gt;=67,T295&lt;=72),VLOOKUP(H295,'WritingVocab Look Up'!$E$13:$F$21,2,TRUE),IF(AND(T295&gt;=73,T295&lt;=78),VLOOKUP(H295,'WritingVocab Look Up'!$I$13:$J$21,2,TRUE),IF(AND(T295&gt;=79),VLOOKUP(H295,'WritingVocab Look Up'!$M$13:$N$21,2,TRUE),"")))))</f>
        <v/>
      </c>
      <c r="T295" s="222" t="str">
        <f t="shared" si="4"/>
        <v/>
      </c>
    </row>
    <row r="296" spans="1:20" s="108" customFormat="1" ht="15.75">
      <c r="A296" s="119"/>
      <c r="B296" s="120"/>
      <c r="C296" s="111"/>
      <c r="D296" s="111"/>
      <c r="E296" s="121"/>
      <c r="F296" s="121"/>
      <c r="G296" s="113"/>
      <c r="H296" s="219"/>
      <c r="I296" s="200" t="str">
        <f>IF(E296="","",IF(AND(T296&lt;=66),VLOOKUP(H296,'WritingVocab Look Up'!$A$13:$B$21,2,TRUE),IF(AND(T296&gt;=67,T296&lt;=72),VLOOKUP(H296,'WritingVocab Look Up'!$E$13:$F$21,2,TRUE),IF(AND(T296&gt;=73,T296&lt;=78),VLOOKUP(H296,'WritingVocab Look Up'!$I$13:$J$21,2,TRUE),IF(AND(T296&gt;=79),VLOOKUP(H296,'WritingVocab Look Up'!$M$13:$N$21,2,TRUE),"")))))</f>
        <v/>
      </c>
      <c r="T296" s="222" t="str">
        <f t="shared" si="4"/>
        <v/>
      </c>
    </row>
    <row r="297" spans="1:20" s="108" customFormat="1" ht="15.75">
      <c r="A297" s="119"/>
      <c r="B297" s="120"/>
      <c r="C297" s="111"/>
      <c r="D297" s="111"/>
      <c r="E297" s="121"/>
      <c r="F297" s="121"/>
      <c r="G297" s="113"/>
      <c r="H297" s="219"/>
      <c r="I297" s="200" t="str">
        <f>IF(E297="","",IF(AND(T297&lt;=66),VLOOKUP(H297,'WritingVocab Look Up'!$A$13:$B$21,2,TRUE),IF(AND(T297&gt;=67,T297&lt;=72),VLOOKUP(H297,'WritingVocab Look Up'!$E$13:$F$21,2,TRUE),IF(AND(T297&gt;=73,T297&lt;=78),VLOOKUP(H297,'WritingVocab Look Up'!$I$13:$J$21,2,TRUE),IF(AND(T297&gt;=79),VLOOKUP(H297,'WritingVocab Look Up'!$M$13:$N$21,2,TRUE),"")))))</f>
        <v/>
      </c>
      <c r="T297" s="222" t="str">
        <f t="shared" si="4"/>
        <v/>
      </c>
    </row>
    <row r="298" spans="1:20" s="108" customFormat="1" ht="15.75">
      <c r="A298" s="119"/>
      <c r="B298" s="120"/>
      <c r="C298" s="111"/>
      <c r="D298" s="111"/>
      <c r="E298" s="121"/>
      <c r="F298" s="121"/>
      <c r="G298" s="113"/>
      <c r="H298" s="219"/>
      <c r="I298" s="200" t="str">
        <f>IF(E298="","",IF(AND(T298&lt;=66),VLOOKUP(H298,'WritingVocab Look Up'!$A$13:$B$21,2,TRUE),IF(AND(T298&gt;=67,T298&lt;=72),VLOOKUP(H298,'WritingVocab Look Up'!$E$13:$F$21,2,TRUE),IF(AND(T298&gt;=73,T298&lt;=78),VLOOKUP(H298,'WritingVocab Look Up'!$I$13:$J$21,2,TRUE),IF(AND(T298&gt;=79),VLOOKUP(H298,'WritingVocab Look Up'!$M$13:$N$21,2,TRUE),"")))))</f>
        <v/>
      </c>
      <c r="T298" s="222" t="str">
        <f t="shared" si="4"/>
        <v/>
      </c>
    </row>
    <row r="299" spans="1:20" s="108" customFormat="1" ht="15.75">
      <c r="A299" s="119"/>
      <c r="B299" s="120"/>
      <c r="C299" s="111"/>
      <c r="D299" s="111"/>
      <c r="E299" s="121"/>
      <c r="F299" s="121"/>
      <c r="G299" s="113"/>
      <c r="H299" s="219"/>
      <c r="I299" s="200" t="str">
        <f>IF(E299="","",IF(AND(T299&lt;=66),VLOOKUP(H299,'WritingVocab Look Up'!$A$13:$B$21,2,TRUE),IF(AND(T299&gt;=67,T299&lt;=72),VLOOKUP(H299,'WritingVocab Look Up'!$E$13:$F$21,2,TRUE),IF(AND(T299&gt;=73,T299&lt;=78),VLOOKUP(H299,'WritingVocab Look Up'!$I$13:$J$21,2,TRUE),IF(AND(T299&gt;=79),VLOOKUP(H299,'WritingVocab Look Up'!$M$13:$N$21,2,TRUE),"")))))</f>
        <v/>
      </c>
      <c r="T299" s="222" t="str">
        <f t="shared" si="4"/>
        <v/>
      </c>
    </row>
    <row r="300" spans="1:20" s="108" customFormat="1" ht="15.75">
      <c r="A300" s="119"/>
      <c r="B300" s="120"/>
      <c r="C300" s="111"/>
      <c r="D300" s="111"/>
      <c r="E300" s="121"/>
      <c r="F300" s="121"/>
      <c r="G300" s="113"/>
      <c r="H300" s="219"/>
      <c r="I300" s="200" t="str">
        <f>IF(E300="","",IF(AND(T300&lt;=66),VLOOKUP(H300,'WritingVocab Look Up'!$A$13:$B$21,2,TRUE),IF(AND(T300&gt;=67,T300&lt;=72),VLOOKUP(H300,'WritingVocab Look Up'!$E$13:$F$21,2,TRUE),IF(AND(T300&gt;=73,T300&lt;=78),VLOOKUP(H300,'WritingVocab Look Up'!$I$13:$J$21,2,TRUE),IF(AND(T300&gt;=79),VLOOKUP(H300,'WritingVocab Look Up'!$M$13:$N$21,2,TRUE),"")))))</f>
        <v/>
      </c>
      <c r="T300" s="222" t="str">
        <f t="shared" si="4"/>
        <v/>
      </c>
    </row>
    <row r="301" spans="1:20" s="108" customFormat="1" ht="15.75">
      <c r="A301" s="119"/>
      <c r="B301" s="120"/>
      <c r="C301" s="111"/>
      <c r="D301" s="111"/>
      <c r="E301" s="121"/>
      <c r="F301" s="121"/>
      <c r="G301" s="113"/>
      <c r="H301" s="219"/>
      <c r="I301" s="200" t="str">
        <f>IF(E301="","",IF(AND(T301&lt;=66),VLOOKUP(H301,'WritingVocab Look Up'!$A$13:$B$21,2,TRUE),IF(AND(T301&gt;=67,T301&lt;=72),VLOOKUP(H301,'WritingVocab Look Up'!$E$13:$F$21,2,TRUE),IF(AND(T301&gt;=73,T301&lt;=78),VLOOKUP(H301,'WritingVocab Look Up'!$I$13:$J$21,2,TRUE),IF(AND(T301&gt;=79),VLOOKUP(H301,'WritingVocab Look Up'!$M$13:$N$21,2,TRUE),"")))))</f>
        <v/>
      </c>
      <c r="T301" s="222" t="str">
        <f t="shared" si="4"/>
        <v/>
      </c>
    </row>
    <row r="302" spans="1:20" s="108" customFormat="1" ht="15.75">
      <c r="A302" s="119"/>
      <c r="B302" s="120"/>
      <c r="C302" s="111"/>
      <c r="D302" s="111"/>
      <c r="E302" s="121"/>
      <c r="F302" s="121"/>
      <c r="G302" s="113"/>
      <c r="H302" s="219"/>
      <c r="I302" s="200" t="str">
        <f>IF(E302="","",IF(AND(T302&lt;=66),VLOOKUP(H302,'WritingVocab Look Up'!$A$13:$B$21,2,TRUE),IF(AND(T302&gt;=67,T302&lt;=72),VLOOKUP(H302,'WritingVocab Look Up'!$E$13:$F$21,2,TRUE),IF(AND(T302&gt;=73,T302&lt;=78),VLOOKUP(H302,'WritingVocab Look Up'!$I$13:$J$21,2,TRUE),IF(AND(T302&gt;=79),VLOOKUP(H302,'WritingVocab Look Up'!$M$13:$N$21,2,TRUE),"")))))</f>
        <v/>
      </c>
      <c r="T302" s="222" t="str">
        <f t="shared" si="4"/>
        <v/>
      </c>
    </row>
    <row r="303" spans="1:20" s="108" customFormat="1" ht="15.75">
      <c r="A303" s="119"/>
      <c r="B303" s="120"/>
      <c r="C303" s="111"/>
      <c r="D303" s="111"/>
      <c r="E303" s="121"/>
      <c r="F303" s="121"/>
      <c r="G303" s="113"/>
      <c r="H303" s="219"/>
      <c r="I303" s="200" t="str">
        <f>IF(E303="","",IF(AND(T303&lt;=66),VLOOKUP(H303,'WritingVocab Look Up'!$A$13:$B$21,2,TRUE),IF(AND(T303&gt;=67,T303&lt;=72),VLOOKUP(H303,'WritingVocab Look Up'!$E$13:$F$21,2,TRUE),IF(AND(T303&gt;=73,T303&lt;=78),VLOOKUP(H303,'WritingVocab Look Up'!$I$13:$J$21,2,TRUE),IF(AND(T303&gt;=79),VLOOKUP(H303,'WritingVocab Look Up'!$M$13:$N$21,2,TRUE),"")))))</f>
        <v/>
      </c>
      <c r="T303" s="222" t="str">
        <f t="shared" si="4"/>
        <v/>
      </c>
    </row>
    <row r="304" spans="1:20" s="108" customFormat="1" ht="15.75">
      <c r="A304" s="119"/>
      <c r="B304" s="120"/>
      <c r="C304" s="111"/>
      <c r="D304" s="111"/>
      <c r="E304" s="121"/>
      <c r="F304" s="121"/>
      <c r="G304" s="113"/>
      <c r="H304" s="219"/>
      <c r="I304" s="200" t="str">
        <f>IF(E304="","",IF(AND(T304&lt;=66),VLOOKUP(H304,'WritingVocab Look Up'!$A$13:$B$21,2,TRUE),IF(AND(T304&gt;=67,T304&lt;=72),VLOOKUP(H304,'WritingVocab Look Up'!$E$13:$F$21,2,TRUE),IF(AND(T304&gt;=73,T304&lt;=78),VLOOKUP(H304,'WritingVocab Look Up'!$I$13:$J$21,2,TRUE),IF(AND(T304&gt;=79),VLOOKUP(H304,'WritingVocab Look Up'!$M$13:$N$21,2,TRUE),"")))))</f>
        <v/>
      </c>
      <c r="T304" s="222" t="str">
        <f t="shared" si="4"/>
        <v/>
      </c>
    </row>
    <row r="305" spans="1:20" s="108" customFormat="1" ht="15.75">
      <c r="A305" s="119"/>
      <c r="B305" s="120"/>
      <c r="C305" s="111"/>
      <c r="D305" s="111"/>
      <c r="E305" s="121"/>
      <c r="F305" s="121"/>
      <c r="G305" s="113"/>
      <c r="H305" s="219"/>
      <c r="I305" s="200" t="str">
        <f>IF(E305="","",IF(AND(T305&lt;=66),VLOOKUP(H305,'WritingVocab Look Up'!$A$13:$B$21,2,TRUE),IF(AND(T305&gt;=67,T305&lt;=72),VLOOKUP(H305,'WritingVocab Look Up'!$E$13:$F$21,2,TRUE),IF(AND(T305&gt;=73,T305&lt;=78),VLOOKUP(H305,'WritingVocab Look Up'!$I$13:$J$21,2,TRUE),IF(AND(T305&gt;=79),VLOOKUP(H305,'WritingVocab Look Up'!$M$13:$N$21,2,TRUE),"")))))</f>
        <v/>
      </c>
      <c r="T305" s="222" t="str">
        <f t="shared" si="4"/>
        <v/>
      </c>
    </row>
    <row r="306" spans="1:20" s="108" customFormat="1" ht="15.75">
      <c r="A306" s="119"/>
      <c r="B306" s="120"/>
      <c r="C306" s="111"/>
      <c r="D306" s="111"/>
      <c r="E306" s="121"/>
      <c r="F306" s="121"/>
      <c r="G306" s="113"/>
      <c r="H306" s="219"/>
      <c r="I306" s="200" t="str">
        <f>IF(E306="","",IF(AND(T306&lt;=66),VLOOKUP(H306,'WritingVocab Look Up'!$A$13:$B$21,2,TRUE),IF(AND(T306&gt;=67,T306&lt;=72),VLOOKUP(H306,'WritingVocab Look Up'!$E$13:$F$21,2,TRUE),IF(AND(T306&gt;=73,T306&lt;=78),VLOOKUP(H306,'WritingVocab Look Up'!$I$13:$J$21,2,TRUE),IF(AND(T306&gt;=79),VLOOKUP(H306,'WritingVocab Look Up'!$M$13:$N$21,2,TRUE),"")))))</f>
        <v/>
      </c>
      <c r="T306" s="222" t="str">
        <f t="shared" si="4"/>
        <v/>
      </c>
    </row>
    <row r="307" spans="1:20" s="108" customFormat="1" ht="15.75">
      <c r="A307" s="119"/>
      <c r="B307" s="120"/>
      <c r="C307" s="111"/>
      <c r="D307" s="111"/>
      <c r="E307" s="121"/>
      <c r="F307" s="121"/>
      <c r="G307" s="113"/>
      <c r="H307" s="219"/>
      <c r="I307" s="200" t="str">
        <f>IF(E307="","",IF(AND(T307&lt;=66),VLOOKUP(H307,'WritingVocab Look Up'!$A$13:$B$21,2,TRUE),IF(AND(T307&gt;=67,T307&lt;=72),VLOOKUP(H307,'WritingVocab Look Up'!$E$13:$F$21,2,TRUE),IF(AND(T307&gt;=73,T307&lt;=78),VLOOKUP(H307,'WritingVocab Look Up'!$I$13:$J$21,2,TRUE),IF(AND(T307&gt;=79),VLOOKUP(H307,'WritingVocab Look Up'!$M$13:$N$21,2,TRUE),"")))))</f>
        <v/>
      </c>
      <c r="T307" s="222" t="str">
        <f t="shared" si="4"/>
        <v/>
      </c>
    </row>
    <row r="308" spans="1:20" s="108" customFormat="1" ht="15.75">
      <c r="A308" s="119"/>
      <c r="B308" s="120"/>
      <c r="C308" s="111"/>
      <c r="D308" s="111"/>
      <c r="E308" s="121"/>
      <c r="F308" s="121"/>
      <c r="G308" s="113"/>
      <c r="H308" s="219"/>
      <c r="I308" s="200" t="str">
        <f>IF(E308="","",IF(AND(T308&lt;=66),VLOOKUP(H308,'WritingVocab Look Up'!$A$13:$B$21,2,TRUE),IF(AND(T308&gt;=67,T308&lt;=72),VLOOKUP(H308,'WritingVocab Look Up'!$E$13:$F$21,2,TRUE),IF(AND(T308&gt;=73,T308&lt;=78),VLOOKUP(H308,'WritingVocab Look Up'!$I$13:$J$21,2,TRUE),IF(AND(T308&gt;=79),VLOOKUP(H308,'WritingVocab Look Up'!$M$13:$N$21,2,TRUE),"")))))</f>
        <v/>
      </c>
      <c r="T308" s="222" t="str">
        <f t="shared" si="4"/>
        <v/>
      </c>
    </row>
    <row r="309" spans="1:20" s="108" customFormat="1" ht="15.75">
      <c r="A309" s="119"/>
      <c r="B309" s="120"/>
      <c r="C309" s="111"/>
      <c r="D309" s="111"/>
      <c r="E309" s="121"/>
      <c r="F309" s="121"/>
      <c r="G309" s="113"/>
      <c r="H309" s="219"/>
      <c r="I309" s="200" t="str">
        <f>IF(E309="","",IF(AND(T309&lt;=66),VLOOKUP(H309,'WritingVocab Look Up'!$A$13:$B$21,2,TRUE),IF(AND(T309&gt;=67,T309&lt;=72),VLOOKUP(H309,'WritingVocab Look Up'!$E$13:$F$21,2,TRUE),IF(AND(T309&gt;=73,T309&lt;=78),VLOOKUP(H309,'WritingVocab Look Up'!$I$13:$J$21,2,TRUE),IF(AND(T309&gt;=79),VLOOKUP(H309,'WritingVocab Look Up'!$M$13:$N$21,2,TRUE),"")))))</f>
        <v/>
      </c>
      <c r="T309" s="222" t="str">
        <f t="shared" si="4"/>
        <v/>
      </c>
    </row>
    <row r="310" spans="1:20" s="108" customFormat="1" ht="15.75">
      <c r="A310" s="119"/>
      <c r="B310" s="120"/>
      <c r="C310" s="111"/>
      <c r="D310" s="111"/>
      <c r="E310" s="121"/>
      <c r="F310" s="121"/>
      <c r="G310" s="113"/>
      <c r="H310" s="219"/>
      <c r="I310" s="200" t="str">
        <f>IF(E310="","",IF(AND(T310&lt;=66),VLOOKUP(H310,'WritingVocab Look Up'!$A$13:$B$21,2,TRUE),IF(AND(T310&gt;=67,T310&lt;=72),VLOOKUP(H310,'WritingVocab Look Up'!$E$13:$F$21,2,TRUE),IF(AND(T310&gt;=73,T310&lt;=78),VLOOKUP(H310,'WritingVocab Look Up'!$I$13:$J$21,2,TRUE),IF(AND(T310&gt;=79),VLOOKUP(H310,'WritingVocab Look Up'!$M$13:$N$21,2,TRUE),"")))))</f>
        <v/>
      </c>
      <c r="T310" s="222" t="str">
        <f t="shared" si="4"/>
        <v/>
      </c>
    </row>
    <row r="311" spans="1:20" s="108" customFormat="1" ht="15.75">
      <c r="A311" s="119"/>
      <c r="B311" s="120"/>
      <c r="C311" s="111"/>
      <c r="D311" s="111"/>
      <c r="E311" s="121"/>
      <c r="F311" s="121"/>
      <c r="G311" s="113"/>
      <c r="H311" s="219"/>
      <c r="I311" s="200" t="str">
        <f>IF(E311="","",IF(AND(T311&lt;=66),VLOOKUP(H311,'WritingVocab Look Up'!$A$13:$B$21,2,TRUE),IF(AND(T311&gt;=67,T311&lt;=72),VLOOKUP(H311,'WritingVocab Look Up'!$E$13:$F$21,2,TRUE),IF(AND(T311&gt;=73,T311&lt;=78),VLOOKUP(H311,'WritingVocab Look Up'!$I$13:$J$21,2,TRUE),IF(AND(T311&gt;=79),VLOOKUP(H311,'WritingVocab Look Up'!$M$13:$N$21,2,TRUE),"")))))</f>
        <v/>
      </c>
      <c r="T311" s="222" t="str">
        <f t="shared" si="4"/>
        <v/>
      </c>
    </row>
    <row r="312" spans="1:20" s="108" customFormat="1" ht="15.75">
      <c r="A312" s="119"/>
      <c r="B312" s="120"/>
      <c r="C312" s="111"/>
      <c r="D312" s="111"/>
      <c r="E312" s="121"/>
      <c r="F312" s="121"/>
      <c r="G312" s="113"/>
      <c r="H312" s="219"/>
      <c r="I312" s="200" t="str">
        <f>IF(E312="","",IF(AND(T312&lt;=66),VLOOKUP(H312,'WritingVocab Look Up'!$A$13:$B$21,2,TRUE),IF(AND(T312&gt;=67,T312&lt;=72),VLOOKUP(H312,'WritingVocab Look Up'!$E$13:$F$21,2,TRUE),IF(AND(T312&gt;=73,T312&lt;=78),VLOOKUP(H312,'WritingVocab Look Up'!$I$13:$J$21,2,TRUE),IF(AND(T312&gt;=79),VLOOKUP(H312,'WritingVocab Look Up'!$M$13:$N$21,2,TRUE),"")))))</f>
        <v/>
      </c>
      <c r="T312" s="222" t="str">
        <f t="shared" si="4"/>
        <v/>
      </c>
    </row>
    <row r="313" spans="1:20" s="108" customFormat="1" ht="15.75">
      <c r="A313" s="119"/>
      <c r="B313" s="120"/>
      <c r="C313" s="111"/>
      <c r="D313" s="111"/>
      <c r="E313" s="121"/>
      <c r="F313" s="121"/>
      <c r="G313" s="113"/>
      <c r="H313" s="219"/>
      <c r="I313" s="200" t="str">
        <f>IF(E313="","",IF(AND(T313&lt;=66),VLOOKUP(H313,'WritingVocab Look Up'!$A$13:$B$21,2,TRUE),IF(AND(T313&gt;=67,T313&lt;=72),VLOOKUP(H313,'WritingVocab Look Up'!$E$13:$F$21,2,TRUE),IF(AND(T313&gt;=73,T313&lt;=78),VLOOKUP(H313,'WritingVocab Look Up'!$I$13:$J$21,2,TRUE),IF(AND(T313&gt;=79),VLOOKUP(H313,'WritingVocab Look Up'!$M$13:$N$21,2,TRUE),"")))))</f>
        <v/>
      </c>
      <c r="T313" s="222" t="str">
        <f t="shared" si="4"/>
        <v/>
      </c>
    </row>
    <row r="314" spans="1:20" s="108" customFormat="1" ht="15.75">
      <c r="A314" s="119"/>
      <c r="B314" s="120"/>
      <c r="C314" s="111"/>
      <c r="D314" s="111"/>
      <c r="E314" s="121"/>
      <c r="F314" s="121"/>
      <c r="G314" s="113"/>
      <c r="H314" s="219"/>
      <c r="I314" s="200" t="str">
        <f>IF(E314="","",IF(AND(T314&lt;=66),VLOOKUP(H314,'WritingVocab Look Up'!$A$13:$B$21,2,TRUE),IF(AND(T314&gt;=67,T314&lt;=72),VLOOKUP(H314,'WritingVocab Look Up'!$E$13:$F$21,2,TRUE),IF(AND(T314&gt;=73,T314&lt;=78),VLOOKUP(H314,'WritingVocab Look Up'!$I$13:$J$21,2,TRUE),IF(AND(T314&gt;=79),VLOOKUP(H314,'WritingVocab Look Up'!$M$13:$N$21,2,TRUE),"")))))</f>
        <v/>
      </c>
      <c r="T314" s="222" t="str">
        <f t="shared" si="4"/>
        <v/>
      </c>
    </row>
    <row r="315" spans="1:20" s="108" customFormat="1" ht="15.75">
      <c r="A315" s="119"/>
      <c r="B315" s="120"/>
      <c r="C315" s="111"/>
      <c r="D315" s="111"/>
      <c r="E315" s="121"/>
      <c r="F315" s="121"/>
      <c r="G315" s="113"/>
      <c r="H315" s="219"/>
      <c r="I315" s="200" t="str">
        <f>IF(E315="","",IF(AND(T315&lt;=66),VLOOKUP(H315,'WritingVocab Look Up'!$A$13:$B$21,2,TRUE),IF(AND(T315&gt;=67,T315&lt;=72),VLOOKUP(H315,'WritingVocab Look Up'!$E$13:$F$21,2,TRUE),IF(AND(T315&gt;=73,T315&lt;=78),VLOOKUP(H315,'WritingVocab Look Up'!$I$13:$J$21,2,TRUE),IF(AND(T315&gt;=79),VLOOKUP(H315,'WritingVocab Look Up'!$M$13:$N$21,2,TRUE),"")))))</f>
        <v/>
      </c>
      <c r="T315" s="222" t="str">
        <f t="shared" si="4"/>
        <v/>
      </c>
    </row>
    <row r="316" spans="1:20" s="108" customFormat="1" ht="15.75">
      <c r="A316" s="119"/>
      <c r="B316" s="120"/>
      <c r="C316" s="111"/>
      <c r="D316" s="111"/>
      <c r="E316" s="121"/>
      <c r="F316" s="121"/>
      <c r="G316" s="113"/>
      <c r="H316" s="219"/>
      <c r="I316" s="200" t="str">
        <f>IF(E316="","",IF(AND(T316&lt;=66),VLOOKUP(H316,'WritingVocab Look Up'!$A$13:$B$21,2,TRUE),IF(AND(T316&gt;=67,T316&lt;=72),VLOOKUP(H316,'WritingVocab Look Up'!$E$13:$F$21,2,TRUE),IF(AND(T316&gt;=73,T316&lt;=78),VLOOKUP(H316,'WritingVocab Look Up'!$I$13:$J$21,2,TRUE),IF(AND(T316&gt;=79),VLOOKUP(H316,'WritingVocab Look Up'!$M$13:$N$21,2,TRUE),"")))))</f>
        <v/>
      </c>
      <c r="T316" s="222" t="str">
        <f t="shared" si="4"/>
        <v/>
      </c>
    </row>
    <row r="317" spans="1:20" s="108" customFormat="1" ht="15.75">
      <c r="A317" s="119"/>
      <c r="B317" s="120"/>
      <c r="C317" s="111"/>
      <c r="D317" s="111"/>
      <c r="E317" s="121"/>
      <c r="F317" s="121"/>
      <c r="G317" s="113"/>
      <c r="H317" s="219"/>
      <c r="I317" s="200" t="str">
        <f>IF(E317="","",IF(AND(T317&lt;=66),VLOOKUP(H317,'WritingVocab Look Up'!$A$13:$B$21,2,TRUE),IF(AND(T317&gt;=67,T317&lt;=72),VLOOKUP(H317,'WritingVocab Look Up'!$E$13:$F$21,2,TRUE),IF(AND(T317&gt;=73,T317&lt;=78),VLOOKUP(H317,'WritingVocab Look Up'!$I$13:$J$21,2,TRUE),IF(AND(T317&gt;=79),VLOOKUP(H317,'WritingVocab Look Up'!$M$13:$N$21,2,TRUE),"")))))</f>
        <v/>
      </c>
      <c r="T317" s="222" t="str">
        <f t="shared" si="4"/>
        <v/>
      </c>
    </row>
    <row r="318" spans="1:20" s="108" customFormat="1" ht="15.75">
      <c r="A318" s="119"/>
      <c r="B318" s="120"/>
      <c r="C318" s="111"/>
      <c r="D318" s="111"/>
      <c r="E318" s="121"/>
      <c r="F318" s="121"/>
      <c r="G318" s="113"/>
      <c r="H318" s="219"/>
      <c r="I318" s="200" t="str">
        <f>IF(E318="","",IF(AND(T318&lt;=66),VLOOKUP(H318,'WritingVocab Look Up'!$A$13:$B$21,2,TRUE),IF(AND(T318&gt;=67,T318&lt;=72),VLOOKUP(H318,'WritingVocab Look Up'!$E$13:$F$21,2,TRUE),IF(AND(T318&gt;=73,T318&lt;=78),VLOOKUP(H318,'WritingVocab Look Up'!$I$13:$J$21,2,TRUE),IF(AND(T318&gt;=79),VLOOKUP(H318,'WritingVocab Look Up'!$M$13:$N$21,2,TRUE),"")))))</f>
        <v/>
      </c>
      <c r="T318" s="222" t="str">
        <f t="shared" si="4"/>
        <v/>
      </c>
    </row>
    <row r="319" spans="1:20" s="108" customFormat="1" ht="15.75">
      <c r="A319" s="119"/>
      <c r="B319" s="120"/>
      <c r="C319" s="111"/>
      <c r="D319" s="111"/>
      <c r="E319" s="121"/>
      <c r="F319" s="121"/>
      <c r="G319" s="113"/>
      <c r="H319" s="219"/>
      <c r="I319" s="200" t="str">
        <f>IF(E319="","",IF(AND(T319&lt;=66),VLOOKUP(H319,'WritingVocab Look Up'!$A$13:$B$21,2,TRUE),IF(AND(T319&gt;=67,T319&lt;=72),VLOOKUP(H319,'WritingVocab Look Up'!$E$13:$F$21,2,TRUE),IF(AND(T319&gt;=73,T319&lt;=78),VLOOKUP(H319,'WritingVocab Look Up'!$I$13:$J$21,2,TRUE),IF(AND(T319&gt;=79),VLOOKUP(H319,'WritingVocab Look Up'!$M$13:$N$21,2,TRUE),"")))))</f>
        <v/>
      </c>
      <c r="T319" s="222" t="str">
        <f t="shared" si="4"/>
        <v/>
      </c>
    </row>
    <row r="320" spans="1:20" s="108" customFormat="1" ht="15.75">
      <c r="A320" s="119"/>
      <c r="B320" s="120"/>
      <c r="C320" s="111"/>
      <c r="D320" s="111"/>
      <c r="E320" s="121"/>
      <c r="F320" s="121"/>
      <c r="G320" s="113"/>
      <c r="H320" s="219"/>
      <c r="I320" s="200" t="str">
        <f>IF(E320="","",IF(AND(T320&lt;=66),VLOOKUP(H320,'WritingVocab Look Up'!$A$13:$B$21,2,TRUE),IF(AND(T320&gt;=67,T320&lt;=72),VLOOKUP(H320,'WritingVocab Look Up'!$E$13:$F$21,2,TRUE),IF(AND(T320&gt;=73,T320&lt;=78),VLOOKUP(H320,'WritingVocab Look Up'!$I$13:$J$21,2,TRUE),IF(AND(T320&gt;=79),VLOOKUP(H320,'WritingVocab Look Up'!$M$13:$N$21,2,TRUE),"")))))</f>
        <v/>
      </c>
      <c r="T320" s="222" t="str">
        <f t="shared" si="4"/>
        <v/>
      </c>
    </row>
    <row r="321" spans="1:20" s="108" customFormat="1" ht="15.75">
      <c r="A321" s="119"/>
      <c r="B321" s="120"/>
      <c r="C321" s="111"/>
      <c r="D321" s="111"/>
      <c r="E321" s="121"/>
      <c r="F321" s="121"/>
      <c r="G321" s="113"/>
      <c r="H321" s="219"/>
      <c r="I321" s="200" t="str">
        <f>IF(E321="","",IF(AND(T321&lt;=66),VLOOKUP(H321,'WritingVocab Look Up'!$A$13:$B$21,2,TRUE),IF(AND(T321&gt;=67,T321&lt;=72),VLOOKUP(H321,'WritingVocab Look Up'!$E$13:$F$21,2,TRUE),IF(AND(T321&gt;=73,T321&lt;=78),VLOOKUP(H321,'WritingVocab Look Up'!$I$13:$J$21,2,TRUE),IF(AND(T321&gt;=79),VLOOKUP(H321,'WritingVocab Look Up'!$M$13:$N$21,2,TRUE),"")))))</f>
        <v/>
      </c>
      <c r="T321" s="222" t="str">
        <f t="shared" si="4"/>
        <v/>
      </c>
    </row>
    <row r="322" spans="1:20" s="108" customFormat="1" ht="15.75">
      <c r="A322" s="119"/>
      <c r="B322" s="120"/>
      <c r="C322" s="111"/>
      <c r="D322" s="111"/>
      <c r="E322" s="121"/>
      <c r="F322" s="121"/>
      <c r="G322" s="113"/>
      <c r="H322" s="219"/>
      <c r="I322" s="200" t="str">
        <f>IF(E322="","",IF(AND(T322&lt;=66),VLOOKUP(H322,'WritingVocab Look Up'!$A$13:$B$21,2,TRUE),IF(AND(T322&gt;=67,T322&lt;=72),VLOOKUP(H322,'WritingVocab Look Up'!$E$13:$F$21,2,TRUE),IF(AND(T322&gt;=73,T322&lt;=78),VLOOKUP(H322,'WritingVocab Look Up'!$I$13:$J$21,2,TRUE),IF(AND(T322&gt;=79),VLOOKUP(H322,'WritingVocab Look Up'!$M$13:$N$21,2,TRUE),"")))))</f>
        <v/>
      </c>
      <c r="T322" s="222" t="str">
        <f t="shared" si="4"/>
        <v/>
      </c>
    </row>
    <row r="323" spans="1:20" s="108" customFormat="1" ht="15.75">
      <c r="A323" s="119"/>
      <c r="B323" s="120"/>
      <c r="C323" s="111"/>
      <c r="D323" s="111"/>
      <c r="E323" s="121"/>
      <c r="F323" s="121"/>
      <c r="G323" s="113"/>
      <c r="H323" s="219"/>
      <c r="I323" s="200" t="str">
        <f>IF(E323="","",IF(AND(T323&lt;=66),VLOOKUP(H323,'WritingVocab Look Up'!$A$13:$B$21,2,TRUE),IF(AND(T323&gt;=67,T323&lt;=72),VLOOKUP(H323,'WritingVocab Look Up'!$E$13:$F$21,2,TRUE),IF(AND(T323&gt;=73,T323&lt;=78),VLOOKUP(H323,'WritingVocab Look Up'!$I$13:$J$21,2,TRUE),IF(AND(T323&gt;=79),VLOOKUP(H323,'WritingVocab Look Up'!$M$13:$N$21,2,TRUE),"")))))</f>
        <v/>
      </c>
      <c r="T323" s="222" t="str">
        <f t="shared" si="4"/>
        <v/>
      </c>
    </row>
    <row r="324" spans="1:20" s="108" customFormat="1" ht="15.75">
      <c r="A324" s="119"/>
      <c r="B324" s="120"/>
      <c r="C324" s="111"/>
      <c r="D324" s="111"/>
      <c r="E324" s="121"/>
      <c r="F324" s="121"/>
      <c r="G324" s="113"/>
      <c r="H324" s="219"/>
      <c r="I324" s="200" t="str">
        <f>IF(E324="","",IF(AND(T324&lt;=66),VLOOKUP(H324,'WritingVocab Look Up'!$A$13:$B$21,2,TRUE),IF(AND(T324&gt;=67,T324&lt;=72),VLOOKUP(H324,'WritingVocab Look Up'!$E$13:$F$21,2,TRUE),IF(AND(T324&gt;=73,T324&lt;=78),VLOOKUP(H324,'WritingVocab Look Up'!$I$13:$J$21,2,TRUE),IF(AND(T324&gt;=79),VLOOKUP(H324,'WritingVocab Look Up'!$M$13:$N$21,2,TRUE),"")))))</f>
        <v/>
      </c>
      <c r="T324" s="222" t="str">
        <f t="shared" si="4"/>
        <v/>
      </c>
    </row>
    <row r="325" spans="1:20" s="108" customFormat="1" ht="15.75">
      <c r="A325" s="119"/>
      <c r="B325" s="120"/>
      <c r="C325" s="111"/>
      <c r="D325" s="111"/>
      <c r="E325" s="121"/>
      <c r="F325" s="121"/>
      <c r="G325" s="113"/>
      <c r="H325" s="219"/>
      <c r="I325" s="200" t="str">
        <f>IF(E325="","",IF(AND(T325&lt;=66),VLOOKUP(H325,'WritingVocab Look Up'!$A$13:$B$21,2,TRUE),IF(AND(T325&gt;=67,T325&lt;=72),VLOOKUP(H325,'WritingVocab Look Up'!$E$13:$F$21,2,TRUE),IF(AND(T325&gt;=73,T325&lt;=78),VLOOKUP(H325,'WritingVocab Look Up'!$I$13:$J$21,2,TRUE),IF(AND(T325&gt;=79),VLOOKUP(H325,'WritingVocab Look Up'!$M$13:$N$21,2,TRUE),"")))))</f>
        <v/>
      </c>
      <c r="T325" s="222" t="str">
        <f t="shared" si="4"/>
        <v/>
      </c>
    </row>
    <row r="326" spans="1:20" s="108" customFormat="1" ht="15.75">
      <c r="A326" s="119"/>
      <c r="B326" s="120"/>
      <c r="C326" s="111"/>
      <c r="D326" s="111"/>
      <c r="E326" s="121"/>
      <c r="F326" s="121"/>
      <c r="G326" s="113"/>
      <c r="H326" s="219"/>
      <c r="I326" s="200" t="str">
        <f>IF(E326="","",IF(AND(T326&lt;=66),VLOOKUP(H326,'WritingVocab Look Up'!$A$13:$B$21,2,TRUE),IF(AND(T326&gt;=67,T326&lt;=72),VLOOKUP(H326,'WritingVocab Look Up'!$E$13:$F$21,2,TRUE),IF(AND(T326&gt;=73,T326&lt;=78),VLOOKUP(H326,'WritingVocab Look Up'!$I$13:$J$21,2,TRUE),IF(AND(T326&gt;=79),VLOOKUP(H326,'WritingVocab Look Up'!$M$13:$N$21,2,TRUE),"")))))</f>
        <v/>
      </c>
      <c r="T326" s="222" t="str">
        <f t="shared" ref="T326:T389" si="5">IF(E326="","",DATEDIF(B326,A326,"m"))</f>
        <v/>
      </c>
    </row>
    <row r="327" spans="1:20" s="108" customFormat="1" ht="15.75">
      <c r="A327" s="119"/>
      <c r="B327" s="120"/>
      <c r="C327" s="111"/>
      <c r="D327" s="111"/>
      <c r="E327" s="121"/>
      <c r="F327" s="121"/>
      <c r="G327" s="113"/>
      <c r="H327" s="219"/>
      <c r="I327" s="200" t="str">
        <f>IF(E327="","",IF(AND(T327&lt;=66),VLOOKUP(H327,'WritingVocab Look Up'!$A$13:$B$21,2,TRUE),IF(AND(T327&gt;=67,T327&lt;=72),VLOOKUP(H327,'WritingVocab Look Up'!$E$13:$F$21,2,TRUE),IF(AND(T327&gt;=73,T327&lt;=78),VLOOKUP(H327,'WritingVocab Look Up'!$I$13:$J$21,2,TRUE),IF(AND(T327&gt;=79),VLOOKUP(H327,'WritingVocab Look Up'!$M$13:$N$21,2,TRUE),"")))))</f>
        <v/>
      </c>
      <c r="T327" s="222" t="str">
        <f t="shared" si="5"/>
        <v/>
      </c>
    </row>
    <row r="328" spans="1:20" s="108" customFormat="1" ht="15.75">
      <c r="A328" s="119"/>
      <c r="B328" s="120"/>
      <c r="C328" s="111"/>
      <c r="D328" s="111"/>
      <c r="E328" s="121"/>
      <c r="F328" s="121"/>
      <c r="G328" s="113"/>
      <c r="H328" s="219"/>
      <c r="I328" s="200" t="str">
        <f>IF(E328="","",IF(AND(T328&lt;=66),VLOOKUP(H328,'WritingVocab Look Up'!$A$13:$B$21,2,TRUE),IF(AND(T328&gt;=67,T328&lt;=72),VLOOKUP(H328,'WritingVocab Look Up'!$E$13:$F$21,2,TRUE),IF(AND(T328&gt;=73,T328&lt;=78),VLOOKUP(H328,'WritingVocab Look Up'!$I$13:$J$21,2,TRUE),IF(AND(T328&gt;=79),VLOOKUP(H328,'WritingVocab Look Up'!$M$13:$N$21,2,TRUE),"")))))</f>
        <v/>
      </c>
      <c r="T328" s="222" t="str">
        <f t="shared" si="5"/>
        <v/>
      </c>
    </row>
    <row r="329" spans="1:20" s="108" customFormat="1" ht="15.75">
      <c r="A329" s="119"/>
      <c r="B329" s="120"/>
      <c r="C329" s="111"/>
      <c r="D329" s="111"/>
      <c r="E329" s="121"/>
      <c r="F329" s="121"/>
      <c r="G329" s="113"/>
      <c r="H329" s="219"/>
      <c r="I329" s="200" t="str">
        <f>IF(E329="","",IF(AND(T329&lt;=66),VLOOKUP(H329,'WritingVocab Look Up'!$A$13:$B$21,2,TRUE),IF(AND(T329&gt;=67,T329&lt;=72),VLOOKUP(H329,'WritingVocab Look Up'!$E$13:$F$21,2,TRUE),IF(AND(T329&gt;=73,T329&lt;=78),VLOOKUP(H329,'WritingVocab Look Up'!$I$13:$J$21,2,TRUE),IF(AND(T329&gt;=79),VLOOKUP(H329,'WritingVocab Look Up'!$M$13:$N$21,2,TRUE),"")))))</f>
        <v/>
      </c>
      <c r="T329" s="222" t="str">
        <f t="shared" si="5"/>
        <v/>
      </c>
    </row>
    <row r="330" spans="1:20" s="108" customFormat="1" ht="15.75">
      <c r="A330" s="119"/>
      <c r="B330" s="120"/>
      <c r="C330" s="111"/>
      <c r="D330" s="111"/>
      <c r="E330" s="121"/>
      <c r="F330" s="121"/>
      <c r="G330" s="113"/>
      <c r="H330" s="219"/>
      <c r="I330" s="200" t="str">
        <f>IF(E330="","",IF(AND(T330&lt;=66),VLOOKUP(H330,'WritingVocab Look Up'!$A$13:$B$21,2,TRUE),IF(AND(T330&gt;=67,T330&lt;=72),VLOOKUP(H330,'WritingVocab Look Up'!$E$13:$F$21,2,TRUE),IF(AND(T330&gt;=73,T330&lt;=78),VLOOKUP(H330,'WritingVocab Look Up'!$I$13:$J$21,2,TRUE),IF(AND(T330&gt;=79),VLOOKUP(H330,'WritingVocab Look Up'!$M$13:$N$21,2,TRUE),"")))))</f>
        <v/>
      </c>
      <c r="T330" s="222" t="str">
        <f t="shared" si="5"/>
        <v/>
      </c>
    </row>
    <row r="331" spans="1:20" s="108" customFormat="1" ht="15.75">
      <c r="A331" s="119"/>
      <c r="B331" s="120"/>
      <c r="C331" s="111"/>
      <c r="D331" s="111"/>
      <c r="E331" s="121"/>
      <c r="F331" s="121"/>
      <c r="G331" s="113"/>
      <c r="H331" s="219"/>
      <c r="I331" s="200" t="str">
        <f>IF(E331="","",IF(AND(T331&lt;=66),VLOOKUP(H331,'WritingVocab Look Up'!$A$13:$B$21,2,TRUE),IF(AND(T331&gt;=67,T331&lt;=72),VLOOKUP(H331,'WritingVocab Look Up'!$E$13:$F$21,2,TRUE),IF(AND(T331&gt;=73,T331&lt;=78),VLOOKUP(H331,'WritingVocab Look Up'!$I$13:$J$21,2,TRUE),IF(AND(T331&gt;=79),VLOOKUP(H331,'WritingVocab Look Up'!$M$13:$N$21,2,TRUE),"")))))</f>
        <v/>
      </c>
      <c r="T331" s="222" t="str">
        <f t="shared" si="5"/>
        <v/>
      </c>
    </row>
    <row r="332" spans="1:20" s="108" customFormat="1" ht="15.75">
      <c r="A332" s="119"/>
      <c r="B332" s="120"/>
      <c r="C332" s="111"/>
      <c r="D332" s="111"/>
      <c r="E332" s="121"/>
      <c r="F332" s="121"/>
      <c r="G332" s="113"/>
      <c r="H332" s="219"/>
      <c r="I332" s="200" t="str">
        <f>IF(E332="","",IF(AND(T332&lt;=66),VLOOKUP(H332,'WritingVocab Look Up'!$A$13:$B$21,2,TRUE),IF(AND(T332&gt;=67,T332&lt;=72),VLOOKUP(H332,'WritingVocab Look Up'!$E$13:$F$21,2,TRUE),IF(AND(T332&gt;=73,T332&lt;=78),VLOOKUP(H332,'WritingVocab Look Up'!$I$13:$J$21,2,TRUE),IF(AND(T332&gt;=79),VLOOKUP(H332,'WritingVocab Look Up'!$M$13:$N$21,2,TRUE),"")))))</f>
        <v/>
      </c>
      <c r="T332" s="222" t="str">
        <f t="shared" si="5"/>
        <v/>
      </c>
    </row>
    <row r="333" spans="1:20" s="108" customFormat="1" ht="15.75">
      <c r="A333" s="119"/>
      <c r="B333" s="120"/>
      <c r="C333" s="111"/>
      <c r="D333" s="111"/>
      <c r="E333" s="121"/>
      <c r="F333" s="121"/>
      <c r="G333" s="113"/>
      <c r="H333" s="219"/>
      <c r="I333" s="200" t="str">
        <f>IF(E333="","",IF(AND(T333&lt;=66),VLOOKUP(H333,'WritingVocab Look Up'!$A$13:$B$21,2,TRUE),IF(AND(T333&gt;=67,T333&lt;=72),VLOOKUP(H333,'WritingVocab Look Up'!$E$13:$F$21,2,TRUE),IF(AND(T333&gt;=73,T333&lt;=78),VLOOKUP(H333,'WritingVocab Look Up'!$I$13:$J$21,2,TRUE),IF(AND(T333&gt;=79),VLOOKUP(H333,'WritingVocab Look Up'!$M$13:$N$21,2,TRUE),"")))))</f>
        <v/>
      </c>
      <c r="T333" s="222" t="str">
        <f t="shared" si="5"/>
        <v/>
      </c>
    </row>
    <row r="334" spans="1:20" s="108" customFormat="1" ht="15.75">
      <c r="A334" s="119"/>
      <c r="B334" s="120"/>
      <c r="C334" s="111"/>
      <c r="D334" s="111"/>
      <c r="E334" s="121"/>
      <c r="F334" s="121"/>
      <c r="G334" s="113"/>
      <c r="H334" s="219"/>
      <c r="I334" s="200" t="str">
        <f>IF(E334="","",IF(AND(T334&lt;=66),VLOOKUP(H334,'WritingVocab Look Up'!$A$13:$B$21,2,TRUE),IF(AND(T334&gt;=67,T334&lt;=72),VLOOKUP(H334,'WritingVocab Look Up'!$E$13:$F$21,2,TRUE),IF(AND(T334&gt;=73,T334&lt;=78),VLOOKUP(H334,'WritingVocab Look Up'!$I$13:$J$21,2,TRUE),IF(AND(T334&gt;=79),VLOOKUP(H334,'WritingVocab Look Up'!$M$13:$N$21,2,TRUE),"")))))</f>
        <v/>
      </c>
      <c r="T334" s="222" t="str">
        <f t="shared" si="5"/>
        <v/>
      </c>
    </row>
    <row r="335" spans="1:20" s="108" customFormat="1" ht="15.75">
      <c r="A335" s="119"/>
      <c r="B335" s="120"/>
      <c r="C335" s="111"/>
      <c r="D335" s="111"/>
      <c r="E335" s="121"/>
      <c r="F335" s="121"/>
      <c r="G335" s="113"/>
      <c r="H335" s="219"/>
      <c r="I335" s="200" t="str">
        <f>IF(E335="","",IF(AND(T335&lt;=66),VLOOKUP(H335,'WritingVocab Look Up'!$A$13:$B$21,2,TRUE),IF(AND(T335&gt;=67,T335&lt;=72),VLOOKUP(H335,'WritingVocab Look Up'!$E$13:$F$21,2,TRUE),IF(AND(T335&gt;=73,T335&lt;=78),VLOOKUP(H335,'WritingVocab Look Up'!$I$13:$J$21,2,TRUE),IF(AND(T335&gt;=79),VLOOKUP(H335,'WritingVocab Look Up'!$M$13:$N$21,2,TRUE),"")))))</f>
        <v/>
      </c>
      <c r="T335" s="222" t="str">
        <f t="shared" si="5"/>
        <v/>
      </c>
    </row>
    <row r="336" spans="1:20" s="108" customFormat="1" ht="15.75">
      <c r="A336" s="119"/>
      <c r="B336" s="120"/>
      <c r="C336" s="111"/>
      <c r="D336" s="111"/>
      <c r="E336" s="121"/>
      <c r="F336" s="121"/>
      <c r="G336" s="113"/>
      <c r="H336" s="219"/>
      <c r="I336" s="200" t="str">
        <f>IF(E336="","",IF(AND(T336&lt;=66),VLOOKUP(H336,'WritingVocab Look Up'!$A$13:$B$21,2,TRUE),IF(AND(T336&gt;=67,T336&lt;=72),VLOOKUP(H336,'WritingVocab Look Up'!$E$13:$F$21,2,TRUE),IF(AND(T336&gt;=73,T336&lt;=78),VLOOKUP(H336,'WritingVocab Look Up'!$I$13:$J$21,2,TRUE),IF(AND(T336&gt;=79),VLOOKUP(H336,'WritingVocab Look Up'!$M$13:$N$21,2,TRUE),"")))))</f>
        <v/>
      </c>
      <c r="T336" s="222" t="str">
        <f t="shared" si="5"/>
        <v/>
      </c>
    </row>
    <row r="337" spans="1:20" s="108" customFormat="1" ht="15.75">
      <c r="A337" s="119"/>
      <c r="B337" s="120"/>
      <c r="C337" s="111"/>
      <c r="D337" s="111"/>
      <c r="E337" s="121"/>
      <c r="F337" s="121"/>
      <c r="G337" s="113"/>
      <c r="H337" s="219"/>
      <c r="I337" s="200" t="str">
        <f>IF(E337="","",IF(AND(T337&lt;=66),VLOOKUP(H337,'WritingVocab Look Up'!$A$13:$B$21,2,TRUE),IF(AND(T337&gt;=67,T337&lt;=72),VLOOKUP(H337,'WritingVocab Look Up'!$E$13:$F$21,2,TRUE),IF(AND(T337&gt;=73,T337&lt;=78),VLOOKUP(H337,'WritingVocab Look Up'!$I$13:$J$21,2,TRUE),IF(AND(T337&gt;=79),VLOOKUP(H337,'WritingVocab Look Up'!$M$13:$N$21,2,TRUE),"")))))</f>
        <v/>
      </c>
      <c r="T337" s="222" t="str">
        <f t="shared" si="5"/>
        <v/>
      </c>
    </row>
    <row r="338" spans="1:20" s="108" customFormat="1" ht="15.75">
      <c r="A338" s="119"/>
      <c r="B338" s="120"/>
      <c r="C338" s="111"/>
      <c r="D338" s="111"/>
      <c r="E338" s="121"/>
      <c r="F338" s="121"/>
      <c r="G338" s="113"/>
      <c r="H338" s="219"/>
      <c r="I338" s="200" t="str">
        <f>IF(E338="","",IF(AND(T338&lt;=66),VLOOKUP(H338,'WritingVocab Look Up'!$A$13:$B$21,2,TRUE),IF(AND(T338&gt;=67,T338&lt;=72),VLOOKUP(H338,'WritingVocab Look Up'!$E$13:$F$21,2,TRUE),IF(AND(T338&gt;=73,T338&lt;=78),VLOOKUP(H338,'WritingVocab Look Up'!$I$13:$J$21,2,TRUE),IF(AND(T338&gt;=79),VLOOKUP(H338,'WritingVocab Look Up'!$M$13:$N$21,2,TRUE),"")))))</f>
        <v/>
      </c>
      <c r="T338" s="222" t="str">
        <f t="shared" si="5"/>
        <v/>
      </c>
    </row>
    <row r="339" spans="1:20" s="108" customFormat="1" ht="15.75">
      <c r="A339" s="119"/>
      <c r="B339" s="120"/>
      <c r="C339" s="111"/>
      <c r="D339" s="111"/>
      <c r="E339" s="121"/>
      <c r="F339" s="121"/>
      <c r="G339" s="113"/>
      <c r="H339" s="219"/>
      <c r="I339" s="200" t="str">
        <f>IF(E339="","",IF(AND(T339&lt;=66),VLOOKUP(H339,'WritingVocab Look Up'!$A$13:$B$21,2,TRUE),IF(AND(T339&gt;=67,T339&lt;=72),VLOOKUP(H339,'WritingVocab Look Up'!$E$13:$F$21,2,TRUE),IF(AND(T339&gt;=73,T339&lt;=78),VLOOKUP(H339,'WritingVocab Look Up'!$I$13:$J$21,2,TRUE),IF(AND(T339&gt;=79),VLOOKUP(H339,'WritingVocab Look Up'!$M$13:$N$21,2,TRUE),"")))))</f>
        <v/>
      </c>
      <c r="T339" s="222" t="str">
        <f t="shared" si="5"/>
        <v/>
      </c>
    </row>
    <row r="340" spans="1:20" s="108" customFormat="1" ht="15.75">
      <c r="A340" s="119"/>
      <c r="B340" s="120"/>
      <c r="C340" s="111"/>
      <c r="D340" s="111"/>
      <c r="E340" s="121"/>
      <c r="F340" s="121"/>
      <c r="G340" s="113"/>
      <c r="H340" s="219"/>
      <c r="I340" s="200" t="str">
        <f>IF(E340="","",IF(AND(T340&lt;=66),VLOOKUP(H340,'WritingVocab Look Up'!$A$13:$B$21,2,TRUE),IF(AND(T340&gt;=67,T340&lt;=72),VLOOKUP(H340,'WritingVocab Look Up'!$E$13:$F$21,2,TRUE),IF(AND(T340&gt;=73,T340&lt;=78),VLOOKUP(H340,'WritingVocab Look Up'!$I$13:$J$21,2,TRUE),IF(AND(T340&gt;=79),VLOOKUP(H340,'WritingVocab Look Up'!$M$13:$N$21,2,TRUE),"")))))</f>
        <v/>
      </c>
      <c r="T340" s="222" t="str">
        <f t="shared" si="5"/>
        <v/>
      </c>
    </row>
    <row r="341" spans="1:20" s="108" customFormat="1" ht="15.75">
      <c r="A341" s="119"/>
      <c r="B341" s="120"/>
      <c r="C341" s="111"/>
      <c r="D341" s="111"/>
      <c r="E341" s="121"/>
      <c r="F341" s="121"/>
      <c r="G341" s="113"/>
      <c r="H341" s="219"/>
      <c r="I341" s="200" t="str">
        <f>IF(E341="","",IF(AND(T341&lt;=66),VLOOKUP(H341,'WritingVocab Look Up'!$A$13:$B$21,2,TRUE),IF(AND(T341&gt;=67,T341&lt;=72),VLOOKUP(H341,'WritingVocab Look Up'!$E$13:$F$21,2,TRUE),IF(AND(T341&gt;=73,T341&lt;=78),VLOOKUP(H341,'WritingVocab Look Up'!$I$13:$J$21,2,TRUE),IF(AND(T341&gt;=79),VLOOKUP(H341,'WritingVocab Look Up'!$M$13:$N$21,2,TRUE),"")))))</f>
        <v/>
      </c>
      <c r="T341" s="222" t="str">
        <f t="shared" si="5"/>
        <v/>
      </c>
    </row>
    <row r="342" spans="1:20" s="108" customFormat="1" ht="15.75">
      <c r="A342" s="119"/>
      <c r="B342" s="120"/>
      <c r="C342" s="111"/>
      <c r="D342" s="111"/>
      <c r="E342" s="121"/>
      <c r="F342" s="121"/>
      <c r="G342" s="113"/>
      <c r="H342" s="219"/>
      <c r="I342" s="200" t="str">
        <f>IF(E342="","",IF(AND(T342&lt;=66),VLOOKUP(H342,'WritingVocab Look Up'!$A$13:$B$21,2,TRUE),IF(AND(T342&gt;=67,T342&lt;=72),VLOOKUP(H342,'WritingVocab Look Up'!$E$13:$F$21,2,TRUE),IF(AND(T342&gt;=73,T342&lt;=78),VLOOKUP(H342,'WritingVocab Look Up'!$I$13:$J$21,2,TRUE),IF(AND(T342&gt;=79),VLOOKUP(H342,'WritingVocab Look Up'!$M$13:$N$21,2,TRUE),"")))))</f>
        <v/>
      </c>
      <c r="T342" s="222" t="str">
        <f t="shared" si="5"/>
        <v/>
      </c>
    </row>
    <row r="343" spans="1:20" s="108" customFormat="1" ht="15.75">
      <c r="A343" s="119"/>
      <c r="B343" s="120"/>
      <c r="C343" s="111"/>
      <c r="D343" s="111"/>
      <c r="E343" s="121"/>
      <c r="F343" s="121"/>
      <c r="G343" s="113"/>
      <c r="H343" s="219"/>
      <c r="I343" s="200" t="str">
        <f>IF(E343="","",IF(AND(T343&lt;=66),VLOOKUP(H343,'WritingVocab Look Up'!$A$13:$B$21,2,TRUE),IF(AND(T343&gt;=67,T343&lt;=72),VLOOKUP(H343,'WritingVocab Look Up'!$E$13:$F$21,2,TRUE),IF(AND(T343&gt;=73,T343&lt;=78),VLOOKUP(H343,'WritingVocab Look Up'!$I$13:$J$21,2,TRUE),IF(AND(T343&gt;=79),VLOOKUP(H343,'WritingVocab Look Up'!$M$13:$N$21,2,TRUE),"")))))</f>
        <v/>
      </c>
      <c r="T343" s="222" t="str">
        <f t="shared" si="5"/>
        <v/>
      </c>
    </row>
    <row r="344" spans="1:20" s="108" customFormat="1" ht="15.75">
      <c r="A344" s="119"/>
      <c r="B344" s="120"/>
      <c r="C344" s="111"/>
      <c r="D344" s="111"/>
      <c r="E344" s="121"/>
      <c r="F344" s="121"/>
      <c r="G344" s="113"/>
      <c r="H344" s="219"/>
      <c r="I344" s="200" t="str">
        <f>IF(E344="","",IF(AND(T344&lt;=66),VLOOKUP(H344,'WritingVocab Look Up'!$A$13:$B$21,2,TRUE),IF(AND(T344&gt;=67,T344&lt;=72),VLOOKUP(H344,'WritingVocab Look Up'!$E$13:$F$21,2,TRUE),IF(AND(T344&gt;=73,T344&lt;=78),VLOOKUP(H344,'WritingVocab Look Up'!$I$13:$J$21,2,TRUE),IF(AND(T344&gt;=79),VLOOKUP(H344,'WritingVocab Look Up'!$M$13:$N$21,2,TRUE),"")))))</f>
        <v/>
      </c>
      <c r="T344" s="222" t="str">
        <f t="shared" si="5"/>
        <v/>
      </c>
    </row>
    <row r="345" spans="1:20" s="108" customFormat="1" ht="15.75">
      <c r="A345" s="119"/>
      <c r="B345" s="120"/>
      <c r="C345" s="111"/>
      <c r="D345" s="111"/>
      <c r="E345" s="121"/>
      <c r="F345" s="121"/>
      <c r="G345" s="113"/>
      <c r="H345" s="219"/>
      <c r="I345" s="200" t="str">
        <f>IF(E345="","",IF(AND(T345&lt;=66),VLOOKUP(H345,'WritingVocab Look Up'!$A$13:$B$21,2,TRUE),IF(AND(T345&gt;=67,T345&lt;=72),VLOOKUP(H345,'WritingVocab Look Up'!$E$13:$F$21,2,TRUE),IF(AND(T345&gt;=73,T345&lt;=78),VLOOKUP(H345,'WritingVocab Look Up'!$I$13:$J$21,2,TRUE),IF(AND(T345&gt;=79),VLOOKUP(H345,'WritingVocab Look Up'!$M$13:$N$21,2,TRUE),"")))))</f>
        <v/>
      </c>
      <c r="T345" s="222" t="str">
        <f t="shared" si="5"/>
        <v/>
      </c>
    </row>
    <row r="346" spans="1:20" s="108" customFormat="1" ht="15.75">
      <c r="A346" s="119"/>
      <c r="B346" s="120"/>
      <c r="C346" s="111"/>
      <c r="D346" s="111"/>
      <c r="E346" s="121"/>
      <c r="F346" s="121"/>
      <c r="G346" s="113"/>
      <c r="H346" s="219"/>
      <c r="I346" s="200" t="str">
        <f>IF(E346="","",IF(AND(T346&lt;=66),VLOOKUP(H346,'WritingVocab Look Up'!$A$13:$B$21,2,TRUE),IF(AND(T346&gt;=67,T346&lt;=72),VLOOKUP(H346,'WritingVocab Look Up'!$E$13:$F$21,2,TRUE),IF(AND(T346&gt;=73,T346&lt;=78),VLOOKUP(H346,'WritingVocab Look Up'!$I$13:$J$21,2,TRUE),IF(AND(T346&gt;=79),VLOOKUP(H346,'WritingVocab Look Up'!$M$13:$N$21,2,TRUE),"")))))</f>
        <v/>
      </c>
      <c r="T346" s="222" t="str">
        <f t="shared" si="5"/>
        <v/>
      </c>
    </row>
    <row r="347" spans="1:20" s="108" customFormat="1" ht="15.75">
      <c r="A347" s="119"/>
      <c r="B347" s="120"/>
      <c r="C347" s="111"/>
      <c r="D347" s="111"/>
      <c r="E347" s="121"/>
      <c r="F347" s="121"/>
      <c r="G347" s="113"/>
      <c r="H347" s="219"/>
      <c r="I347" s="200" t="str">
        <f>IF(E347="","",IF(AND(T347&lt;=66),VLOOKUP(H347,'WritingVocab Look Up'!$A$13:$B$21,2,TRUE),IF(AND(T347&gt;=67,T347&lt;=72),VLOOKUP(H347,'WritingVocab Look Up'!$E$13:$F$21,2,TRUE),IF(AND(T347&gt;=73,T347&lt;=78),VLOOKUP(H347,'WritingVocab Look Up'!$I$13:$J$21,2,TRUE),IF(AND(T347&gt;=79),VLOOKUP(H347,'WritingVocab Look Up'!$M$13:$N$21,2,TRUE),"")))))</f>
        <v/>
      </c>
      <c r="T347" s="222" t="str">
        <f t="shared" si="5"/>
        <v/>
      </c>
    </row>
    <row r="348" spans="1:20" s="108" customFormat="1" ht="15.75">
      <c r="A348" s="119"/>
      <c r="B348" s="120"/>
      <c r="C348" s="111"/>
      <c r="D348" s="111"/>
      <c r="E348" s="121"/>
      <c r="F348" s="121"/>
      <c r="G348" s="113"/>
      <c r="H348" s="219"/>
      <c r="I348" s="200" t="str">
        <f>IF(E348="","",IF(AND(T348&lt;=66),VLOOKUP(H348,'WritingVocab Look Up'!$A$13:$B$21,2,TRUE),IF(AND(T348&gt;=67,T348&lt;=72),VLOOKUP(H348,'WritingVocab Look Up'!$E$13:$F$21,2,TRUE),IF(AND(T348&gt;=73,T348&lt;=78),VLOOKUP(H348,'WritingVocab Look Up'!$I$13:$J$21,2,TRUE),IF(AND(T348&gt;=79),VLOOKUP(H348,'WritingVocab Look Up'!$M$13:$N$21,2,TRUE),"")))))</f>
        <v/>
      </c>
      <c r="T348" s="222" t="str">
        <f t="shared" si="5"/>
        <v/>
      </c>
    </row>
    <row r="349" spans="1:20" s="108" customFormat="1" ht="15.75">
      <c r="A349" s="119"/>
      <c r="B349" s="120"/>
      <c r="C349" s="111"/>
      <c r="D349" s="111"/>
      <c r="E349" s="121"/>
      <c r="F349" s="121"/>
      <c r="G349" s="113"/>
      <c r="H349" s="219"/>
      <c r="I349" s="200" t="str">
        <f>IF(E349="","",IF(AND(T349&lt;=66),VLOOKUP(H349,'WritingVocab Look Up'!$A$13:$B$21,2,TRUE),IF(AND(T349&gt;=67,T349&lt;=72),VLOOKUP(H349,'WritingVocab Look Up'!$E$13:$F$21,2,TRUE),IF(AND(T349&gt;=73,T349&lt;=78),VLOOKUP(H349,'WritingVocab Look Up'!$I$13:$J$21,2,TRUE),IF(AND(T349&gt;=79),VLOOKUP(H349,'WritingVocab Look Up'!$M$13:$N$21,2,TRUE),"")))))</f>
        <v/>
      </c>
      <c r="T349" s="222" t="str">
        <f t="shared" si="5"/>
        <v/>
      </c>
    </row>
    <row r="350" spans="1:20" s="108" customFormat="1" ht="15.75">
      <c r="A350" s="119"/>
      <c r="B350" s="120"/>
      <c r="C350" s="111"/>
      <c r="D350" s="111"/>
      <c r="E350" s="121"/>
      <c r="F350" s="121"/>
      <c r="G350" s="113"/>
      <c r="H350" s="219"/>
      <c r="I350" s="200" t="str">
        <f>IF(E350="","",IF(AND(T350&lt;=66),VLOOKUP(H350,'WritingVocab Look Up'!$A$13:$B$21,2,TRUE),IF(AND(T350&gt;=67,T350&lt;=72),VLOOKUP(H350,'WritingVocab Look Up'!$E$13:$F$21,2,TRUE),IF(AND(T350&gt;=73,T350&lt;=78),VLOOKUP(H350,'WritingVocab Look Up'!$I$13:$J$21,2,TRUE),IF(AND(T350&gt;=79),VLOOKUP(H350,'WritingVocab Look Up'!$M$13:$N$21,2,TRUE),"")))))</f>
        <v/>
      </c>
      <c r="T350" s="222" t="str">
        <f t="shared" si="5"/>
        <v/>
      </c>
    </row>
    <row r="351" spans="1:20" s="108" customFormat="1" ht="15.75">
      <c r="A351" s="119"/>
      <c r="B351" s="120"/>
      <c r="C351" s="111"/>
      <c r="D351" s="111"/>
      <c r="E351" s="121"/>
      <c r="F351" s="121"/>
      <c r="G351" s="113"/>
      <c r="H351" s="219"/>
      <c r="I351" s="200" t="str">
        <f>IF(E351="","",IF(AND(T351&lt;=66),VLOOKUP(H351,'WritingVocab Look Up'!$A$13:$B$21,2,TRUE),IF(AND(T351&gt;=67,T351&lt;=72),VLOOKUP(H351,'WritingVocab Look Up'!$E$13:$F$21,2,TRUE),IF(AND(T351&gt;=73,T351&lt;=78),VLOOKUP(H351,'WritingVocab Look Up'!$I$13:$J$21,2,TRUE),IF(AND(T351&gt;=79),VLOOKUP(H351,'WritingVocab Look Up'!$M$13:$N$21,2,TRUE),"")))))</f>
        <v/>
      </c>
      <c r="T351" s="222" t="str">
        <f t="shared" si="5"/>
        <v/>
      </c>
    </row>
    <row r="352" spans="1:20" s="108" customFormat="1" ht="15.75">
      <c r="A352" s="119"/>
      <c r="B352" s="120"/>
      <c r="C352" s="111"/>
      <c r="D352" s="111"/>
      <c r="E352" s="121"/>
      <c r="F352" s="121"/>
      <c r="G352" s="113"/>
      <c r="H352" s="219"/>
      <c r="I352" s="200" t="str">
        <f>IF(E352="","",IF(AND(T352&lt;=66),VLOOKUP(H352,'WritingVocab Look Up'!$A$13:$B$21,2,TRUE),IF(AND(T352&gt;=67,T352&lt;=72),VLOOKUP(H352,'WritingVocab Look Up'!$E$13:$F$21,2,TRUE),IF(AND(T352&gt;=73,T352&lt;=78),VLOOKUP(H352,'WritingVocab Look Up'!$I$13:$J$21,2,TRUE),IF(AND(T352&gt;=79),VLOOKUP(H352,'WritingVocab Look Up'!$M$13:$N$21,2,TRUE),"")))))</f>
        <v/>
      </c>
      <c r="T352" s="222" t="str">
        <f t="shared" si="5"/>
        <v/>
      </c>
    </row>
    <row r="353" spans="1:20" s="108" customFormat="1" ht="15.75">
      <c r="A353" s="119"/>
      <c r="B353" s="120"/>
      <c r="C353" s="111"/>
      <c r="D353" s="111"/>
      <c r="E353" s="121"/>
      <c r="F353" s="121"/>
      <c r="G353" s="113"/>
      <c r="H353" s="219"/>
      <c r="I353" s="200" t="str">
        <f>IF(E353="","",IF(AND(T353&lt;=66),VLOOKUP(H353,'WritingVocab Look Up'!$A$13:$B$21,2,TRUE),IF(AND(T353&gt;=67,T353&lt;=72),VLOOKUP(H353,'WritingVocab Look Up'!$E$13:$F$21,2,TRUE),IF(AND(T353&gt;=73,T353&lt;=78),VLOOKUP(H353,'WritingVocab Look Up'!$I$13:$J$21,2,TRUE),IF(AND(T353&gt;=79),VLOOKUP(H353,'WritingVocab Look Up'!$M$13:$N$21,2,TRUE),"")))))</f>
        <v/>
      </c>
      <c r="T353" s="222" t="str">
        <f t="shared" si="5"/>
        <v/>
      </c>
    </row>
    <row r="354" spans="1:20" s="108" customFormat="1" ht="15.75">
      <c r="A354" s="119"/>
      <c r="B354" s="120"/>
      <c r="C354" s="111"/>
      <c r="D354" s="111"/>
      <c r="E354" s="121"/>
      <c r="F354" s="121"/>
      <c r="G354" s="113"/>
      <c r="H354" s="219"/>
      <c r="I354" s="200" t="str">
        <f>IF(E354="","",IF(AND(T354&lt;=66),VLOOKUP(H354,'WritingVocab Look Up'!$A$13:$B$21,2,TRUE),IF(AND(T354&gt;=67,T354&lt;=72),VLOOKUP(H354,'WritingVocab Look Up'!$E$13:$F$21,2,TRUE),IF(AND(T354&gt;=73,T354&lt;=78),VLOOKUP(H354,'WritingVocab Look Up'!$I$13:$J$21,2,TRUE),IF(AND(T354&gt;=79),VLOOKUP(H354,'WritingVocab Look Up'!$M$13:$N$21,2,TRUE),"")))))</f>
        <v/>
      </c>
      <c r="T354" s="222" t="str">
        <f t="shared" si="5"/>
        <v/>
      </c>
    </row>
    <row r="355" spans="1:20" s="108" customFormat="1" ht="15.75">
      <c r="A355" s="119"/>
      <c r="B355" s="120"/>
      <c r="C355" s="111"/>
      <c r="D355" s="111"/>
      <c r="E355" s="121"/>
      <c r="F355" s="121"/>
      <c r="G355" s="113"/>
      <c r="H355" s="219"/>
      <c r="I355" s="200" t="str">
        <f>IF(E355="","",IF(AND(T355&lt;=66),VLOOKUP(H355,'WritingVocab Look Up'!$A$13:$B$21,2,TRUE),IF(AND(T355&gt;=67,T355&lt;=72),VLOOKUP(H355,'WritingVocab Look Up'!$E$13:$F$21,2,TRUE),IF(AND(T355&gt;=73,T355&lt;=78),VLOOKUP(H355,'WritingVocab Look Up'!$I$13:$J$21,2,TRUE),IF(AND(T355&gt;=79),VLOOKUP(H355,'WritingVocab Look Up'!$M$13:$N$21,2,TRUE),"")))))</f>
        <v/>
      </c>
      <c r="T355" s="222" t="str">
        <f t="shared" si="5"/>
        <v/>
      </c>
    </row>
    <row r="356" spans="1:20" s="108" customFormat="1" ht="15.75">
      <c r="A356" s="119"/>
      <c r="B356" s="120"/>
      <c r="C356" s="111"/>
      <c r="D356" s="111"/>
      <c r="E356" s="121"/>
      <c r="F356" s="121"/>
      <c r="G356" s="113"/>
      <c r="H356" s="219"/>
      <c r="I356" s="200" t="str">
        <f>IF(E356="","",IF(AND(T356&lt;=66),VLOOKUP(H356,'WritingVocab Look Up'!$A$13:$B$21,2,TRUE),IF(AND(T356&gt;=67,T356&lt;=72),VLOOKUP(H356,'WritingVocab Look Up'!$E$13:$F$21,2,TRUE),IF(AND(T356&gt;=73,T356&lt;=78),VLOOKUP(H356,'WritingVocab Look Up'!$I$13:$J$21,2,TRUE),IF(AND(T356&gt;=79),VLOOKUP(H356,'WritingVocab Look Up'!$M$13:$N$21,2,TRUE),"")))))</f>
        <v/>
      </c>
      <c r="T356" s="222" t="str">
        <f t="shared" si="5"/>
        <v/>
      </c>
    </row>
    <row r="357" spans="1:20" s="108" customFormat="1" ht="15.75">
      <c r="A357" s="119"/>
      <c r="B357" s="120"/>
      <c r="C357" s="111"/>
      <c r="D357" s="111"/>
      <c r="E357" s="121"/>
      <c r="F357" s="121"/>
      <c r="G357" s="113"/>
      <c r="H357" s="219"/>
      <c r="I357" s="200" t="str">
        <f>IF(E357="","",IF(AND(T357&lt;=66),VLOOKUP(H357,'WritingVocab Look Up'!$A$13:$B$21,2,TRUE),IF(AND(T357&gt;=67,T357&lt;=72),VLOOKUP(H357,'WritingVocab Look Up'!$E$13:$F$21,2,TRUE),IF(AND(T357&gt;=73,T357&lt;=78),VLOOKUP(H357,'WritingVocab Look Up'!$I$13:$J$21,2,TRUE),IF(AND(T357&gt;=79),VLOOKUP(H357,'WritingVocab Look Up'!$M$13:$N$21,2,TRUE),"")))))</f>
        <v/>
      </c>
      <c r="T357" s="222" t="str">
        <f t="shared" si="5"/>
        <v/>
      </c>
    </row>
    <row r="358" spans="1:20" s="108" customFormat="1" ht="15.75">
      <c r="A358" s="119"/>
      <c r="B358" s="120"/>
      <c r="C358" s="111"/>
      <c r="D358" s="111"/>
      <c r="E358" s="121"/>
      <c r="F358" s="121"/>
      <c r="G358" s="113"/>
      <c r="H358" s="219"/>
      <c r="I358" s="200" t="str">
        <f>IF(E358="","",IF(AND(T358&lt;=66),VLOOKUP(H358,'WritingVocab Look Up'!$A$13:$B$21,2,TRUE),IF(AND(T358&gt;=67,T358&lt;=72),VLOOKUP(H358,'WritingVocab Look Up'!$E$13:$F$21,2,TRUE),IF(AND(T358&gt;=73,T358&lt;=78),VLOOKUP(H358,'WritingVocab Look Up'!$I$13:$J$21,2,TRUE),IF(AND(T358&gt;=79),VLOOKUP(H358,'WritingVocab Look Up'!$M$13:$N$21,2,TRUE),"")))))</f>
        <v/>
      </c>
      <c r="T358" s="222" t="str">
        <f t="shared" si="5"/>
        <v/>
      </c>
    </row>
    <row r="359" spans="1:20" s="108" customFormat="1" ht="15.75">
      <c r="A359" s="119"/>
      <c r="B359" s="120"/>
      <c r="C359" s="111"/>
      <c r="D359" s="111"/>
      <c r="E359" s="121"/>
      <c r="F359" s="121"/>
      <c r="G359" s="113"/>
      <c r="H359" s="219"/>
      <c r="I359" s="200" t="str">
        <f>IF(E359="","",IF(AND(T359&lt;=66),VLOOKUP(H359,'WritingVocab Look Up'!$A$13:$B$21,2,TRUE),IF(AND(T359&gt;=67,T359&lt;=72),VLOOKUP(H359,'WritingVocab Look Up'!$E$13:$F$21,2,TRUE),IF(AND(T359&gt;=73,T359&lt;=78),VLOOKUP(H359,'WritingVocab Look Up'!$I$13:$J$21,2,TRUE),IF(AND(T359&gt;=79),VLOOKUP(H359,'WritingVocab Look Up'!$M$13:$N$21,2,TRUE),"")))))</f>
        <v/>
      </c>
      <c r="T359" s="222" t="str">
        <f t="shared" si="5"/>
        <v/>
      </c>
    </row>
    <row r="360" spans="1:20" s="108" customFormat="1" ht="15.75">
      <c r="A360" s="119"/>
      <c r="B360" s="120"/>
      <c r="C360" s="111"/>
      <c r="D360" s="111"/>
      <c r="E360" s="121"/>
      <c r="F360" s="121"/>
      <c r="G360" s="113"/>
      <c r="H360" s="219"/>
      <c r="I360" s="200" t="str">
        <f>IF(E360="","",IF(AND(T360&lt;=66),VLOOKUP(H360,'WritingVocab Look Up'!$A$13:$B$21,2,TRUE),IF(AND(T360&gt;=67,T360&lt;=72),VLOOKUP(H360,'WritingVocab Look Up'!$E$13:$F$21,2,TRUE),IF(AND(T360&gt;=73,T360&lt;=78),VLOOKUP(H360,'WritingVocab Look Up'!$I$13:$J$21,2,TRUE),IF(AND(T360&gt;=79),VLOOKUP(H360,'WritingVocab Look Up'!$M$13:$N$21,2,TRUE),"")))))</f>
        <v/>
      </c>
      <c r="T360" s="222" t="str">
        <f t="shared" si="5"/>
        <v/>
      </c>
    </row>
    <row r="361" spans="1:20" s="108" customFormat="1" ht="15.75">
      <c r="A361" s="119"/>
      <c r="B361" s="120"/>
      <c r="C361" s="111"/>
      <c r="D361" s="111"/>
      <c r="E361" s="121"/>
      <c r="F361" s="121"/>
      <c r="G361" s="113"/>
      <c r="H361" s="219"/>
      <c r="I361" s="200" t="str">
        <f>IF(E361="","",IF(AND(T361&lt;=66),VLOOKUP(H361,'WritingVocab Look Up'!$A$13:$B$21,2,TRUE),IF(AND(T361&gt;=67,T361&lt;=72),VLOOKUP(H361,'WritingVocab Look Up'!$E$13:$F$21,2,TRUE),IF(AND(T361&gt;=73,T361&lt;=78),VLOOKUP(H361,'WritingVocab Look Up'!$I$13:$J$21,2,TRUE),IF(AND(T361&gt;=79),VLOOKUP(H361,'WritingVocab Look Up'!$M$13:$N$21,2,TRUE),"")))))</f>
        <v/>
      </c>
      <c r="T361" s="222" t="str">
        <f t="shared" si="5"/>
        <v/>
      </c>
    </row>
    <row r="362" spans="1:20" s="108" customFormat="1" ht="15.75">
      <c r="A362" s="119"/>
      <c r="B362" s="120"/>
      <c r="C362" s="111"/>
      <c r="D362" s="111"/>
      <c r="E362" s="121"/>
      <c r="F362" s="121"/>
      <c r="G362" s="113"/>
      <c r="H362" s="219"/>
      <c r="I362" s="200" t="str">
        <f>IF(E362="","",IF(AND(T362&lt;=66),VLOOKUP(H362,'WritingVocab Look Up'!$A$13:$B$21,2,TRUE),IF(AND(T362&gt;=67,T362&lt;=72),VLOOKUP(H362,'WritingVocab Look Up'!$E$13:$F$21,2,TRUE),IF(AND(T362&gt;=73,T362&lt;=78),VLOOKUP(H362,'WritingVocab Look Up'!$I$13:$J$21,2,TRUE),IF(AND(T362&gt;=79),VLOOKUP(H362,'WritingVocab Look Up'!$M$13:$N$21,2,TRUE),"")))))</f>
        <v/>
      </c>
      <c r="T362" s="222" t="str">
        <f t="shared" si="5"/>
        <v/>
      </c>
    </row>
    <row r="363" spans="1:20" s="108" customFormat="1" ht="15.75">
      <c r="A363" s="119"/>
      <c r="B363" s="120"/>
      <c r="C363" s="111"/>
      <c r="D363" s="111"/>
      <c r="E363" s="121"/>
      <c r="F363" s="121"/>
      <c r="G363" s="113"/>
      <c r="H363" s="219"/>
      <c r="I363" s="200" t="str">
        <f>IF(E363="","",IF(AND(T363&lt;=66),VLOOKUP(H363,'WritingVocab Look Up'!$A$13:$B$21,2,TRUE),IF(AND(T363&gt;=67,T363&lt;=72),VLOOKUP(H363,'WritingVocab Look Up'!$E$13:$F$21,2,TRUE),IF(AND(T363&gt;=73,T363&lt;=78),VLOOKUP(H363,'WritingVocab Look Up'!$I$13:$J$21,2,TRUE),IF(AND(T363&gt;=79),VLOOKUP(H363,'WritingVocab Look Up'!$M$13:$N$21,2,TRUE),"")))))</f>
        <v/>
      </c>
      <c r="T363" s="222" t="str">
        <f t="shared" si="5"/>
        <v/>
      </c>
    </row>
    <row r="364" spans="1:20" s="108" customFormat="1" ht="15.75">
      <c r="A364" s="119"/>
      <c r="B364" s="120"/>
      <c r="C364" s="111"/>
      <c r="D364" s="111"/>
      <c r="E364" s="121"/>
      <c r="F364" s="121"/>
      <c r="G364" s="113"/>
      <c r="H364" s="219"/>
      <c r="I364" s="200" t="str">
        <f>IF(E364="","",IF(AND(T364&lt;=66),VLOOKUP(H364,'WritingVocab Look Up'!$A$13:$B$21,2,TRUE),IF(AND(T364&gt;=67,T364&lt;=72),VLOOKUP(H364,'WritingVocab Look Up'!$E$13:$F$21,2,TRUE),IF(AND(T364&gt;=73,T364&lt;=78),VLOOKUP(H364,'WritingVocab Look Up'!$I$13:$J$21,2,TRUE),IF(AND(T364&gt;=79),VLOOKUP(H364,'WritingVocab Look Up'!$M$13:$N$21,2,TRUE),"")))))</f>
        <v/>
      </c>
      <c r="T364" s="222" t="str">
        <f t="shared" si="5"/>
        <v/>
      </c>
    </row>
    <row r="365" spans="1:20" s="108" customFormat="1" ht="15.75">
      <c r="A365" s="119"/>
      <c r="B365" s="120"/>
      <c r="C365" s="111"/>
      <c r="D365" s="111"/>
      <c r="E365" s="121"/>
      <c r="F365" s="121"/>
      <c r="G365" s="113"/>
      <c r="H365" s="219"/>
      <c r="I365" s="200" t="str">
        <f>IF(E365="","",IF(AND(T365&lt;=66),VLOOKUP(H365,'WritingVocab Look Up'!$A$13:$B$21,2,TRUE),IF(AND(T365&gt;=67,T365&lt;=72),VLOOKUP(H365,'WritingVocab Look Up'!$E$13:$F$21,2,TRUE),IF(AND(T365&gt;=73,T365&lt;=78),VLOOKUP(H365,'WritingVocab Look Up'!$I$13:$J$21,2,TRUE),IF(AND(T365&gt;=79),VLOOKUP(H365,'WritingVocab Look Up'!$M$13:$N$21,2,TRUE),"")))))</f>
        <v/>
      </c>
      <c r="T365" s="222" t="str">
        <f t="shared" si="5"/>
        <v/>
      </c>
    </row>
    <row r="366" spans="1:20" s="108" customFormat="1" ht="15.75">
      <c r="A366" s="119"/>
      <c r="B366" s="120"/>
      <c r="C366" s="111"/>
      <c r="D366" s="111"/>
      <c r="E366" s="121"/>
      <c r="F366" s="121"/>
      <c r="G366" s="113"/>
      <c r="H366" s="219"/>
      <c r="I366" s="200" t="str">
        <f>IF(E366="","",IF(AND(T366&lt;=66),VLOOKUP(H366,'WritingVocab Look Up'!$A$13:$B$21,2,TRUE),IF(AND(T366&gt;=67,T366&lt;=72),VLOOKUP(H366,'WritingVocab Look Up'!$E$13:$F$21,2,TRUE),IF(AND(T366&gt;=73,T366&lt;=78),VLOOKUP(H366,'WritingVocab Look Up'!$I$13:$J$21,2,TRUE),IF(AND(T366&gt;=79),VLOOKUP(H366,'WritingVocab Look Up'!$M$13:$N$21,2,TRUE),"")))))</f>
        <v/>
      </c>
      <c r="T366" s="222" t="str">
        <f t="shared" si="5"/>
        <v/>
      </c>
    </row>
    <row r="367" spans="1:20" s="108" customFormat="1" ht="15.75">
      <c r="A367" s="119"/>
      <c r="B367" s="120"/>
      <c r="C367" s="111"/>
      <c r="D367" s="111"/>
      <c r="E367" s="121"/>
      <c r="F367" s="121"/>
      <c r="G367" s="113"/>
      <c r="H367" s="219"/>
      <c r="I367" s="200" t="str">
        <f>IF(E367="","",IF(AND(T367&lt;=66),VLOOKUP(H367,'WritingVocab Look Up'!$A$13:$B$21,2,TRUE),IF(AND(T367&gt;=67,T367&lt;=72),VLOOKUP(H367,'WritingVocab Look Up'!$E$13:$F$21,2,TRUE),IF(AND(T367&gt;=73,T367&lt;=78),VLOOKUP(H367,'WritingVocab Look Up'!$I$13:$J$21,2,TRUE),IF(AND(T367&gt;=79),VLOOKUP(H367,'WritingVocab Look Up'!$M$13:$N$21,2,TRUE),"")))))</f>
        <v/>
      </c>
      <c r="T367" s="222" t="str">
        <f t="shared" si="5"/>
        <v/>
      </c>
    </row>
    <row r="368" spans="1:20" s="108" customFormat="1" ht="15.75">
      <c r="A368" s="119"/>
      <c r="B368" s="120"/>
      <c r="C368" s="111"/>
      <c r="D368" s="111"/>
      <c r="E368" s="121"/>
      <c r="F368" s="121"/>
      <c r="G368" s="113"/>
      <c r="H368" s="219"/>
      <c r="I368" s="200" t="str">
        <f>IF(E368="","",IF(AND(T368&lt;=66),VLOOKUP(H368,'WritingVocab Look Up'!$A$13:$B$21,2,TRUE),IF(AND(T368&gt;=67,T368&lt;=72),VLOOKUP(H368,'WritingVocab Look Up'!$E$13:$F$21,2,TRUE),IF(AND(T368&gt;=73,T368&lt;=78),VLOOKUP(H368,'WritingVocab Look Up'!$I$13:$J$21,2,TRUE),IF(AND(T368&gt;=79),VLOOKUP(H368,'WritingVocab Look Up'!$M$13:$N$21,2,TRUE),"")))))</f>
        <v/>
      </c>
      <c r="T368" s="222" t="str">
        <f t="shared" si="5"/>
        <v/>
      </c>
    </row>
    <row r="369" spans="1:20" s="108" customFormat="1" ht="15.75">
      <c r="A369" s="119"/>
      <c r="B369" s="120"/>
      <c r="C369" s="111"/>
      <c r="D369" s="111"/>
      <c r="E369" s="121"/>
      <c r="F369" s="121"/>
      <c r="G369" s="113"/>
      <c r="H369" s="219"/>
      <c r="I369" s="200" t="str">
        <f>IF(E369="","",IF(AND(T369&lt;=66),VLOOKUP(H369,'WritingVocab Look Up'!$A$13:$B$21,2,TRUE),IF(AND(T369&gt;=67,T369&lt;=72),VLOOKUP(H369,'WritingVocab Look Up'!$E$13:$F$21,2,TRUE),IF(AND(T369&gt;=73,T369&lt;=78),VLOOKUP(H369,'WritingVocab Look Up'!$I$13:$J$21,2,TRUE),IF(AND(T369&gt;=79),VLOOKUP(H369,'WritingVocab Look Up'!$M$13:$N$21,2,TRUE),"")))))</f>
        <v/>
      </c>
      <c r="T369" s="222" t="str">
        <f t="shared" si="5"/>
        <v/>
      </c>
    </row>
    <row r="370" spans="1:20" s="108" customFormat="1" ht="15.75">
      <c r="A370" s="119"/>
      <c r="B370" s="120"/>
      <c r="C370" s="111"/>
      <c r="D370" s="111"/>
      <c r="E370" s="121"/>
      <c r="F370" s="121"/>
      <c r="G370" s="113"/>
      <c r="H370" s="219"/>
      <c r="I370" s="200" t="str">
        <f>IF(E370="","",IF(AND(T370&lt;=66),VLOOKUP(H370,'WritingVocab Look Up'!$A$13:$B$21,2,TRUE),IF(AND(T370&gt;=67,T370&lt;=72),VLOOKUP(H370,'WritingVocab Look Up'!$E$13:$F$21,2,TRUE),IF(AND(T370&gt;=73,T370&lt;=78),VLOOKUP(H370,'WritingVocab Look Up'!$I$13:$J$21,2,TRUE),IF(AND(T370&gt;=79),VLOOKUP(H370,'WritingVocab Look Up'!$M$13:$N$21,2,TRUE),"")))))</f>
        <v/>
      </c>
      <c r="T370" s="222" t="str">
        <f t="shared" si="5"/>
        <v/>
      </c>
    </row>
    <row r="371" spans="1:20" s="108" customFormat="1" ht="15.75">
      <c r="A371" s="119"/>
      <c r="B371" s="120"/>
      <c r="C371" s="111"/>
      <c r="D371" s="111"/>
      <c r="E371" s="121"/>
      <c r="F371" s="121"/>
      <c r="G371" s="113"/>
      <c r="H371" s="219"/>
      <c r="I371" s="200" t="str">
        <f>IF(E371="","",IF(AND(T371&lt;=66),VLOOKUP(H371,'WritingVocab Look Up'!$A$13:$B$21,2,TRUE),IF(AND(T371&gt;=67,T371&lt;=72),VLOOKUP(H371,'WritingVocab Look Up'!$E$13:$F$21,2,TRUE),IF(AND(T371&gt;=73,T371&lt;=78),VLOOKUP(H371,'WritingVocab Look Up'!$I$13:$J$21,2,TRUE),IF(AND(T371&gt;=79),VLOOKUP(H371,'WritingVocab Look Up'!$M$13:$N$21,2,TRUE),"")))))</f>
        <v/>
      </c>
      <c r="T371" s="222" t="str">
        <f t="shared" si="5"/>
        <v/>
      </c>
    </row>
    <row r="372" spans="1:20" s="108" customFormat="1" ht="15.75">
      <c r="A372" s="119"/>
      <c r="B372" s="120"/>
      <c r="C372" s="111"/>
      <c r="D372" s="111"/>
      <c r="E372" s="121"/>
      <c r="F372" s="121"/>
      <c r="G372" s="113"/>
      <c r="H372" s="219"/>
      <c r="I372" s="200" t="str">
        <f>IF(E372="","",IF(AND(T372&lt;=66),VLOOKUP(H372,'WritingVocab Look Up'!$A$13:$B$21,2,TRUE),IF(AND(T372&gt;=67,T372&lt;=72),VLOOKUP(H372,'WritingVocab Look Up'!$E$13:$F$21,2,TRUE),IF(AND(T372&gt;=73,T372&lt;=78),VLOOKUP(H372,'WritingVocab Look Up'!$I$13:$J$21,2,TRUE),IF(AND(T372&gt;=79),VLOOKUP(H372,'WritingVocab Look Up'!$M$13:$N$21,2,TRUE),"")))))</f>
        <v/>
      </c>
      <c r="T372" s="222" t="str">
        <f t="shared" si="5"/>
        <v/>
      </c>
    </row>
    <row r="373" spans="1:20" s="108" customFormat="1" ht="15.75">
      <c r="A373" s="119"/>
      <c r="B373" s="120"/>
      <c r="C373" s="111"/>
      <c r="D373" s="111"/>
      <c r="E373" s="121"/>
      <c r="F373" s="121"/>
      <c r="G373" s="113"/>
      <c r="H373" s="219"/>
      <c r="I373" s="200" t="str">
        <f>IF(E373="","",IF(AND(T373&lt;=66),VLOOKUP(H373,'WritingVocab Look Up'!$A$13:$B$21,2,TRUE),IF(AND(T373&gt;=67,T373&lt;=72),VLOOKUP(H373,'WritingVocab Look Up'!$E$13:$F$21,2,TRUE),IF(AND(T373&gt;=73,T373&lt;=78),VLOOKUP(H373,'WritingVocab Look Up'!$I$13:$J$21,2,TRUE),IF(AND(T373&gt;=79),VLOOKUP(H373,'WritingVocab Look Up'!$M$13:$N$21,2,TRUE),"")))))</f>
        <v/>
      </c>
      <c r="T373" s="222" t="str">
        <f t="shared" si="5"/>
        <v/>
      </c>
    </row>
    <row r="374" spans="1:20" s="108" customFormat="1" ht="15.75">
      <c r="A374" s="119"/>
      <c r="B374" s="120"/>
      <c r="C374" s="111"/>
      <c r="D374" s="111"/>
      <c r="E374" s="121"/>
      <c r="F374" s="121"/>
      <c r="G374" s="113"/>
      <c r="H374" s="219"/>
      <c r="I374" s="200" t="str">
        <f>IF(E374="","",IF(AND(T374&lt;=66),VLOOKUP(H374,'WritingVocab Look Up'!$A$13:$B$21,2,TRUE),IF(AND(T374&gt;=67,T374&lt;=72),VLOOKUP(H374,'WritingVocab Look Up'!$E$13:$F$21,2,TRUE),IF(AND(T374&gt;=73,T374&lt;=78),VLOOKUP(H374,'WritingVocab Look Up'!$I$13:$J$21,2,TRUE),IF(AND(T374&gt;=79),VLOOKUP(H374,'WritingVocab Look Up'!$M$13:$N$21,2,TRUE),"")))))</f>
        <v/>
      </c>
      <c r="T374" s="222" t="str">
        <f t="shared" si="5"/>
        <v/>
      </c>
    </row>
    <row r="375" spans="1:20" s="108" customFormat="1" ht="15.75">
      <c r="A375" s="119"/>
      <c r="B375" s="120"/>
      <c r="C375" s="111"/>
      <c r="D375" s="111"/>
      <c r="E375" s="121"/>
      <c r="F375" s="121"/>
      <c r="G375" s="113"/>
      <c r="H375" s="219"/>
      <c r="I375" s="200" t="str">
        <f>IF(E375="","",IF(AND(T375&lt;=66),VLOOKUP(H375,'WritingVocab Look Up'!$A$13:$B$21,2,TRUE),IF(AND(T375&gt;=67,T375&lt;=72),VLOOKUP(H375,'WritingVocab Look Up'!$E$13:$F$21,2,TRUE),IF(AND(T375&gt;=73,T375&lt;=78),VLOOKUP(H375,'WritingVocab Look Up'!$I$13:$J$21,2,TRUE),IF(AND(T375&gt;=79),VLOOKUP(H375,'WritingVocab Look Up'!$M$13:$N$21,2,TRUE),"")))))</f>
        <v/>
      </c>
      <c r="T375" s="222" t="str">
        <f t="shared" si="5"/>
        <v/>
      </c>
    </row>
    <row r="376" spans="1:20" s="108" customFormat="1" ht="15.75">
      <c r="A376" s="119"/>
      <c r="B376" s="120"/>
      <c r="C376" s="111"/>
      <c r="D376" s="111"/>
      <c r="E376" s="121"/>
      <c r="F376" s="121"/>
      <c r="G376" s="113"/>
      <c r="H376" s="219"/>
      <c r="I376" s="200" t="str">
        <f>IF(E376="","",IF(AND(T376&lt;=66),VLOOKUP(H376,'WritingVocab Look Up'!$A$13:$B$21,2,TRUE),IF(AND(T376&gt;=67,T376&lt;=72),VLOOKUP(H376,'WritingVocab Look Up'!$E$13:$F$21,2,TRUE),IF(AND(T376&gt;=73,T376&lt;=78),VLOOKUP(H376,'WritingVocab Look Up'!$I$13:$J$21,2,TRUE),IF(AND(T376&gt;=79),VLOOKUP(H376,'WritingVocab Look Up'!$M$13:$N$21,2,TRUE),"")))))</f>
        <v/>
      </c>
      <c r="T376" s="222" t="str">
        <f t="shared" si="5"/>
        <v/>
      </c>
    </row>
    <row r="377" spans="1:20" s="108" customFormat="1" ht="15.75">
      <c r="A377" s="119"/>
      <c r="B377" s="120"/>
      <c r="C377" s="111"/>
      <c r="D377" s="111"/>
      <c r="E377" s="121"/>
      <c r="F377" s="121"/>
      <c r="G377" s="113"/>
      <c r="H377" s="219"/>
      <c r="I377" s="200" t="str">
        <f>IF(E377="","",IF(AND(T377&lt;=66),VLOOKUP(H377,'WritingVocab Look Up'!$A$13:$B$21,2,TRUE),IF(AND(T377&gt;=67,T377&lt;=72),VLOOKUP(H377,'WritingVocab Look Up'!$E$13:$F$21,2,TRUE),IF(AND(T377&gt;=73,T377&lt;=78),VLOOKUP(H377,'WritingVocab Look Up'!$I$13:$J$21,2,TRUE),IF(AND(T377&gt;=79),VLOOKUP(H377,'WritingVocab Look Up'!$M$13:$N$21,2,TRUE),"")))))</f>
        <v/>
      </c>
      <c r="T377" s="222" t="str">
        <f t="shared" si="5"/>
        <v/>
      </c>
    </row>
    <row r="378" spans="1:20" s="108" customFormat="1" ht="15.75">
      <c r="A378" s="119"/>
      <c r="B378" s="120"/>
      <c r="C378" s="111"/>
      <c r="D378" s="111"/>
      <c r="E378" s="121"/>
      <c r="F378" s="121"/>
      <c r="G378" s="113"/>
      <c r="H378" s="219"/>
      <c r="I378" s="200" t="str">
        <f>IF(E378="","",IF(AND(T378&lt;=66),VLOOKUP(H378,'WritingVocab Look Up'!$A$13:$B$21,2,TRUE),IF(AND(T378&gt;=67,T378&lt;=72),VLOOKUP(H378,'WritingVocab Look Up'!$E$13:$F$21,2,TRUE),IF(AND(T378&gt;=73,T378&lt;=78),VLOOKUP(H378,'WritingVocab Look Up'!$I$13:$J$21,2,TRUE),IF(AND(T378&gt;=79),VLOOKUP(H378,'WritingVocab Look Up'!$M$13:$N$21,2,TRUE),"")))))</f>
        <v/>
      </c>
      <c r="T378" s="222" t="str">
        <f t="shared" si="5"/>
        <v/>
      </c>
    </row>
    <row r="379" spans="1:20" s="108" customFormat="1" ht="15.75">
      <c r="A379" s="119"/>
      <c r="B379" s="120"/>
      <c r="C379" s="111"/>
      <c r="D379" s="111"/>
      <c r="E379" s="121"/>
      <c r="F379" s="121"/>
      <c r="G379" s="113"/>
      <c r="H379" s="219"/>
      <c r="I379" s="200" t="str">
        <f>IF(E379="","",IF(AND(T379&lt;=66),VLOOKUP(H379,'WritingVocab Look Up'!$A$13:$B$21,2,TRUE),IF(AND(T379&gt;=67,T379&lt;=72),VLOOKUP(H379,'WritingVocab Look Up'!$E$13:$F$21,2,TRUE),IF(AND(T379&gt;=73,T379&lt;=78),VLOOKUP(H379,'WritingVocab Look Up'!$I$13:$J$21,2,TRUE),IF(AND(T379&gt;=79),VLOOKUP(H379,'WritingVocab Look Up'!$M$13:$N$21,2,TRUE),"")))))</f>
        <v/>
      </c>
      <c r="T379" s="222" t="str">
        <f t="shared" si="5"/>
        <v/>
      </c>
    </row>
    <row r="380" spans="1:20" s="108" customFormat="1" ht="15.75">
      <c r="A380" s="119"/>
      <c r="B380" s="120"/>
      <c r="C380" s="111"/>
      <c r="D380" s="111"/>
      <c r="E380" s="121"/>
      <c r="F380" s="121"/>
      <c r="G380" s="113"/>
      <c r="H380" s="219"/>
      <c r="I380" s="200" t="str">
        <f>IF(E380="","",IF(AND(T380&lt;=66),VLOOKUP(H380,'WritingVocab Look Up'!$A$13:$B$21,2,TRUE),IF(AND(T380&gt;=67,T380&lt;=72),VLOOKUP(H380,'WritingVocab Look Up'!$E$13:$F$21,2,TRUE),IF(AND(T380&gt;=73,T380&lt;=78),VLOOKUP(H380,'WritingVocab Look Up'!$I$13:$J$21,2,TRUE),IF(AND(T380&gt;=79),VLOOKUP(H380,'WritingVocab Look Up'!$M$13:$N$21,2,TRUE),"")))))</f>
        <v/>
      </c>
      <c r="T380" s="222" t="str">
        <f t="shared" si="5"/>
        <v/>
      </c>
    </row>
    <row r="381" spans="1:20" s="108" customFormat="1" ht="15.75">
      <c r="A381" s="119"/>
      <c r="B381" s="120"/>
      <c r="C381" s="111"/>
      <c r="D381" s="111"/>
      <c r="E381" s="121"/>
      <c r="F381" s="121"/>
      <c r="G381" s="113"/>
      <c r="H381" s="219"/>
      <c r="I381" s="200" t="str">
        <f>IF(E381="","",IF(AND(T381&lt;=66),VLOOKUP(H381,'WritingVocab Look Up'!$A$13:$B$21,2,TRUE),IF(AND(T381&gt;=67,T381&lt;=72),VLOOKUP(H381,'WritingVocab Look Up'!$E$13:$F$21,2,TRUE),IF(AND(T381&gt;=73,T381&lt;=78),VLOOKUP(H381,'WritingVocab Look Up'!$I$13:$J$21,2,TRUE),IF(AND(T381&gt;=79),VLOOKUP(H381,'WritingVocab Look Up'!$M$13:$N$21,2,TRUE),"")))))</f>
        <v/>
      </c>
      <c r="T381" s="222" t="str">
        <f t="shared" si="5"/>
        <v/>
      </c>
    </row>
    <row r="382" spans="1:20" s="108" customFormat="1" ht="15.75">
      <c r="A382" s="119"/>
      <c r="B382" s="120"/>
      <c r="C382" s="111"/>
      <c r="D382" s="111"/>
      <c r="E382" s="121"/>
      <c r="F382" s="121"/>
      <c r="G382" s="113"/>
      <c r="H382" s="219"/>
      <c r="I382" s="200" t="str">
        <f>IF(E382="","",IF(AND(T382&lt;=66),VLOOKUP(H382,'WritingVocab Look Up'!$A$13:$B$21,2,TRUE),IF(AND(T382&gt;=67,T382&lt;=72),VLOOKUP(H382,'WritingVocab Look Up'!$E$13:$F$21,2,TRUE),IF(AND(T382&gt;=73,T382&lt;=78),VLOOKUP(H382,'WritingVocab Look Up'!$I$13:$J$21,2,TRUE),IF(AND(T382&gt;=79),VLOOKUP(H382,'WritingVocab Look Up'!$M$13:$N$21,2,TRUE),"")))))</f>
        <v/>
      </c>
      <c r="T382" s="222" t="str">
        <f t="shared" si="5"/>
        <v/>
      </c>
    </row>
    <row r="383" spans="1:20" s="108" customFormat="1" ht="15.75">
      <c r="A383" s="119"/>
      <c r="B383" s="120"/>
      <c r="C383" s="111"/>
      <c r="D383" s="111"/>
      <c r="E383" s="121"/>
      <c r="F383" s="121"/>
      <c r="G383" s="113"/>
      <c r="H383" s="219"/>
      <c r="I383" s="200" t="str">
        <f>IF(E383="","",IF(AND(T383&lt;=66),VLOOKUP(H383,'WritingVocab Look Up'!$A$13:$B$21,2,TRUE),IF(AND(T383&gt;=67,T383&lt;=72),VLOOKUP(H383,'WritingVocab Look Up'!$E$13:$F$21,2,TRUE),IF(AND(T383&gt;=73,T383&lt;=78),VLOOKUP(H383,'WritingVocab Look Up'!$I$13:$J$21,2,TRUE),IF(AND(T383&gt;=79),VLOOKUP(H383,'WritingVocab Look Up'!$M$13:$N$21,2,TRUE),"")))))</f>
        <v/>
      </c>
      <c r="T383" s="222" t="str">
        <f t="shared" si="5"/>
        <v/>
      </c>
    </row>
    <row r="384" spans="1:20" s="108" customFormat="1" ht="15.75">
      <c r="A384" s="119"/>
      <c r="B384" s="120"/>
      <c r="C384" s="111"/>
      <c r="D384" s="111"/>
      <c r="E384" s="121"/>
      <c r="F384" s="121"/>
      <c r="G384" s="113"/>
      <c r="H384" s="219"/>
      <c r="I384" s="200" t="str">
        <f>IF(E384="","",IF(AND(T384&lt;=66),VLOOKUP(H384,'WritingVocab Look Up'!$A$13:$B$21,2,TRUE),IF(AND(T384&gt;=67,T384&lt;=72),VLOOKUP(H384,'WritingVocab Look Up'!$E$13:$F$21,2,TRUE),IF(AND(T384&gt;=73,T384&lt;=78),VLOOKUP(H384,'WritingVocab Look Up'!$I$13:$J$21,2,TRUE),IF(AND(T384&gt;=79),VLOOKUP(H384,'WritingVocab Look Up'!$M$13:$N$21,2,TRUE),"")))))</f>
        <v/>
      </c>
      <c r="T384" s="222" t="str">
        <f t="shared" si="5"/>
        <v/>
      </c>
    </row>
    <row r="385" spans="1:20" s="108" customFormat="1" ht="15.75">
      <c r="A385" s="119"/>
      <c r="B385" s="120"/>
      <c r="C385" s="111"/>
      <c r="D385" s="111"/>
      <c r="E385" s="121"/>
      <c r="F385" s="121"/>
      <c r="G385" s="113"/>
      <c r="H385" s="219"/>
      <c r="I385" s="200" t="str">
        <f>IF(E385="","",IF(AND(T385&lt;=66),VLOOKUP(H385,'WritingVocab Look Up'!$A$13:$B$21,2,TRUE),IF(AND(T385&gt;=67,T385&lt;=72),VLOOKUP(H385,'WritingVocab Look Up'!$E$13:$F$21,2,TRUE),IF(AND(T385&gt;=73,T385&lt;=78),VLOOKUP(H385,'WritingVocab Look Up'!$I$13:$J$21,2,TRUE),IF(AND(T385&gt;=79),VLOOKUP(H385,'WritingVocab Look Up'!$M$13:$N$21,2,TRUE),"")))))</f>
        <v/>
      </c>
      <c r="T385" s="222" t="str">
        <f t="shared" si="5"/>
        <v/>
      </c>
    </row>
    <row r="386" spans="1:20" s="108" customFormat="1" ht="15.75">
      <c r="A386" s="119"/>
      <c r="B386" s="120"/>
      <c r="C386" s="111"/>
      <c r="D386" s="111"/>
      <c r="E386" s="121"/>
      <c r="F386" s="121"/>
      <c r="G386" s="113"/>
      <c r="H386" s="219"/>
      <c r="I386" s="200" t="str">
        <f>IF(E386="","",IF(AND(T386&lt;=66),VLOOKUP(H386,'WritingVocab Look Up'!$A$13:$B$21,2,TRUE),IF(AND(T386&gt;=67,T386&lt;=72),VLOOKUP(H386,'WritingVocab Look Up'!$E$13:$F$21,2,TRUE),IF(AND(T386&gt;=73,T386&lt;=78),VLOOKUP(H386,'WritingVocab Look Up'!$I$13:$J$21,2,TRUE),IF(AND(T386&gt;=79),VLOOKUP(H386,'WritingVocab Look Up'!$M$13:$N$21,2,TRUE),"")))))</f>
        <v/>
      </c>
      <c r="T386" s="222" t="str">
        <f t="shared" si="5"/>
        <v/>
      </c>
    </row>
    <row r="387" spans="1:20" s="108" customFormat="1" ht="15.75">
      <c r="A387" s="119"/>
      <c r="B387" s="120"/>
      <c r="C387" s="111"/>
      <c r="D387" s="111"/>
      <c r="E387" s="121"/>
      <c r="F387" s="121"/>
      <c r="G387" s="113"/>
      <c r="H387" s="219"/>
      <c r="I387" s="200" t="str">
        <f>IF(E387="","",IF(AND(T387&lt;=66),VLOOKUP(H387,'WritingVocab Look Up'!$A$13:$B$21,2,TRUE),IF(AND(T387&gt;=67,T387&lt;=72),VLOOKUP(H387,'WritingVocab Look Up'!$E$13:$F$21,2,TRUE),IF(AND(T387&gt;=73,T387&lt;=78),VLOOKUP(H387,'WritingVocab Look Up'!$I$13:$J$21,2,TRUE),IF(AND(T387&gt;=79),VLOOKUP(H387,'WritingVocab Look Up'!$M$13:$N$21,2,TRUE),"")))))</f>
        <v/>
      </c>
      <c r="T387" s="222" t="str">
        <f t="shared" si="5"/>
        <v/>
      </c>
    </row>
    <row r="388" spans="1:20" s="108" customFormat="1" ht="15.75">
      <c r="A388" s="119"/>
      <c r="B388" s="120"/>
      <c r="C388" s="111"/>
      <c r="D388" s="111"/>
      <c r="E388" s="121"/>
      <c r="F388" s="121"/>
      <c r="G388" s="113"/>
      <c r="H388" s="219"/>
      <c r="I388" s="200" t="str">
        <f>IF(E388="","",IF(AND(T388&lt;=66),VLOOKUP(H388,'WritingVocab Look Up'!$A$13:$B$21,2,TRUE),IF(AND(T388&gt;=67,T388&lt;=72),VLOOKUP(H388,'WritingVocab Look Up'!$E$13:$F$21,2,TRUE),IF(AND(T388&gt;=73,T388&lt;=78),VLOOKUP(H388,'WritingVocab Look Up'!$I$13:$J$21,2,TRUE),IF(AND(T388&gt;=79),VLOOKUP(H388,'WritingVocab Look Up'!$M$13:$N$21,2,TRUE),"")))))</f>
        <v/>
      </c>
      <c r="T388" s="222" t="str">
        <f t="shared" si="5"/>
        <v/>
      </c>
    </row>
    <row r="389" spans="1:20" s="108" customFormat="1" ht="15.75">
      <c r="A389" s="119"/>
      <c r="B389" s="120"/>
      <c r="C389" s="111"/>
      <c r="D389" s="111"/>
      <c r="E389" s="121"/>
      <c r="F389" s="121"/>
      <c r="G389" s="113"/>
      <c r="H389" s="219"/>
      <c r="I389" s="200" t="str">
        <f>IF(E389="","",IF(AND(T389&lt;=66),VLOOKUP(H389,'WritingVocab Look Up'!$A$13:$B$21,2,TRUE),IF(AND(T389&gt;=67,T389&lt;=72),VLOOKUP(H389,'WritingVocab Look Up'!$E$13:$F$21,2,TRUE),IF(AND(T389&gt;=73,T389&lt;=78),VLOOKUP(H389,'WritingVocab Look Up'!$I$13:$J$21,2,TRUE),IF(AND(T389&gt;=79),VLOOKUP(H389,'WritingVocab Look Up'!$M$13:$N$21,2,TRUE),"")))))</f>
        <v/>
      </c>
      <c r="T389" s="222" t="str">
        <f t="shared" si="5"/>
        <v/>
      </c>
    </row>
    <row r="390" spans="1:20" s="108" customFormat="1" ht="15.75">
      <c r="A390" s="119"/>
      <c r="B390" s="120"/>
      <c r="C390" s="111"/>
      <c r="D390" s="111"/>
      <c r="E390" s="121"/>
      <c r="F390" s="121"/>
      <c r="G390" s="113"/>
      <c r="H390" s="219"/>
      <c r="I390" s="200" t="str">
        <f>IF(E390="","",IF(AND(T390&lt;=66),VLOOKUP(H390,'WritingVocab Look Up'!$A$13:$B$21,2,TRUE),IF(AND(T390&gt;=67,T390&lt;=72),VLOOKUP(H390,'WritingVocab Look Up'!$E$13:$F$21,2,TRUE),IF(AND(T390&gt;=73,T390&lt;=78),VLOOKUP(H390,'WritingVocab Look Up'!$I$13:$J$21,2,TRUE),IF(AND(T390&gt;=79),VLOOKUP(H390,'WritingVocab Look Up'!$M$13:$N$21,2,TRUE),"")))))</f>
        <v/>
      </c>
      <c r="T390" s="222" t="str">
        <f t="shared" ref="T390:T453" si="6">IF(E390="","",DATEDIF(B390,A390,"m"))</f>
        <v/>
      </c>
    </row>
    <row r="391" spans="1:20" s="108" customFormat="1" ht="15.75">
      <c r="A391" s="119"/>
      <c r="B391" s="120"/>
      <c r="C391" s="111"/>
      <c r="D391" s="111"/>
      <c r="E391" s="121"/>
      <c r="F391" s="121"/>
      <c r="G391" s="113"/>
      <c r="H391" s="219"/>
      <c r="I391" s="200" t="str">
        <f>IF(E391="","",IF(AND(T391&lt;=66),VLOOKUP(H391,'WritingVocab Look Up'!$A$13:$B$21,2,TRUE),IF(AND(T391&gt;=67,T391&lt;=72),VLOOKUP(H391,'WritingVocab Look Up'!$E$13:$F$21,2,TRUE),IF(AND(T391&gt;=73,T391&lt;=78),VLOOKUP(H391,'WritingVocab Look Up'!$I$13:$J$21,2,TRUE),IF(AND(T391&gt;=79),VLOOKUP(H391,'WritingVocab Look Up'!$M$13:$N$21,2,TRUE),"")))))</f>
        <v/>
      </c>
      <c r="T391" s="222" t="str">
        <f t="shared" si="6"/>
        <v/>
      </c>
    </row>
    <row r="392" spans="1:20" s="108" customFormat="1" ht="15.75">
      <c r="A392" s="119"/>
      <c r="B392" s="120"/>
      <c r="C392" s="111"/>
      <c r="D392" s="111"/>
      <c r="E392" s="121"/>
      <c r="F392" s="121"/>
      <c r="G392" s="113"/>
      <c r="H392" s="219"/>
      <c r="I392" s="200" t="str">
        <f>IF(E392="","",IF(AND(T392&lt;=66),VLOOKUP(H392,'WritingVocab Look Up'!$A$13:$B$21,2,TRUE),IF(AND(T392&gt;=67,T392&lt;=72),VLOOKUP(H392,'WritingVocab Look Up'!$E$13:$F$21,2,TRUE),IF(AND(T392&gt;=73,T392&lt;=78),VLOOKUP(H392,'WritingVocab Look Up'!$I$13:$J$21,2,TRUE),IF(AND(T392&gt;=79),VLOOKUP(H392,'WritingVocab Look Up'!$M$13:$N$21,2,TRUE),"")))))</f>
        <v/>
      </c>
      <c r="T392" s="222" t="str">
        <f t="shared" si="6"/>
        <v/>
      </c>
    </row>
    <row r="393" spans="1:20" s="108" customFormat="1" ht="15.75">
      <c r="A393" s="119"/>
      <c r="B393" s="120"/>
      <c r="C393" s="111"/>
      <c r="D393" s="111"/>
      <c r="E393" s="121"/>
      <c r="F393" s="121"/>
      <c r="G393" s="113"/>
      <c r="H393" s="219"/>
      <c r="I393" s="200" t="str">
        <f>IF(E393="","",IF(AND(T393&lt;=66),VLOOKUP(H393,'WritingVocab Look Up'!$A$13:$B$21,2,TRUE),IF(AND(T393&gt;=67,T393&lt;=72),VLOOKUP(H393,'WritingVocab Look Up'!$E$13:$F$21,2,TRUE),IF(AND(T393&gt;=73,T393&lt;=78),VLOOKUP(H393,'WritingVocab Look Up'!$I$13:$J$21,2,TRUE),IF(AND(T393&gt;=79),VLOOKUP(H393,'WritingVocab Look Up'!$M$13:$N$21,2,TRUE),"")))))</f>
        <v/>
      </c>
      <c r="T393" s="222" t="str">
        <f t="shared" si="6"/>
        <v/>
      </c>
    </row>
    <row r="394" spans="1:20" s="108" customFormat="1" ht="15.75">
      <c r="A394" s="119"/>
      <c r="B394" s="120"/>
      <c r="C394" s="111"/>
      <c r="D394" s="111"/>
      <c r="E394" s="121"/>
      <c r="F394" s="121"/>
      <c r="G394" s="113"/>
      <c r="H394" s="219"/>
      <c r="I394" s="200" t="str">
        <f>IF(E394="","",IF(AND(T394&lt;=66),VLOOKUP(H394,'WritingVocab Look Up'!$A$13:$B$21,2,TRUE),IF(AND(T394&gt;=67,T394&lt;=72),VLOOKUP(H394,'WritingVocab Look Up'!$E$13:$F$21,2,TRUE),IF(AND(T394&gt;=73,T394&lt;=78),VLOOKUP(H394,'WritingVocab Look Up'!$I$13:$J$21,2,TRUE),IF(AND(T394&gt;=79),VLOOKUP(H394,'WritingVocab Look Up'!$M$13:$N$21,2,TRUE),"")))))</f>
        <v/>
      </c>
      <c r="T394" s="222" t="str">
        <f t="shared" si="6"/>
        <v/>
      </c>
    </row>
    <row r="395" spans="1:20" s="108" customFormat="1" ht="15.75">
      <c r="A395" s="119"/>
      <c r="B395" s="120"/>
      <c r="C395" s="111"/>
      <c r="D395" s="111"/>
      <c r="E395" s="121"/>
      <c r="F395" s="121"/>
      <c r="G395" s="113"/>
      <c r="H395" s="219"/>
      <c r="I395" s="200" t="str">
        <f>IF(E395="","",IF(AND(T395&lt;=66),VLOOKUP(H395,'WritingVocab Look Up'!$A$13:$B$21,2,TRUE),IF(AND(T395&gt;=67,T395&lt;=72),VLOOKUP(H395,'WritingVocab Look Up'!$E$13:$F$21,2,TRUE),IF(AND(T395&gt;=73,T395&lt;=78),VLOOKUP(H395,'WritingVocab Look Up'!$I$13:$J$21,2,TRUE),IF(AND(T395&gt;=79),VLOOKUP(H395,'WritingVocab Look Up'!$M$13:$N$21,2,TRUE),"")))))</f>
        <v/>
      </c>
      <c r="T395" s="222" t="str">
        <f t="shared" si="6"/>
        <v/>
      </c>
    </row>
    <row r="396" spans="1:20" s="108" customFormat="1" ht="15.75">
      <c r="A396" s="119"/>
      <c r="B396" s="120"/>
      <c r="C396" s="111"/>
      <c r="D396" s="111"/>
      <c r="E396" s="121"/>
      <c r="F396" s="121"/>
      <c r="G396" s="113"/>
      <c r="H396" s="219"/>
      <c r="I396" s="200" t="str">
        <f>IF(E396="","",IF(AND(T396&lt;=66),VLOOKUP(H396,'WritingVocab Look Up'!$A$13:$B$21,2,TRUE),IF(AND(T396&gt;=67,T396&lt;=72),VLOOKUP(H396,'WritingVocab Look Up'!$E$13:$F$21,2,TRUE),IF(AND(T396&gt;=73,T396&lt;=78),VLOOKUP(H396,'WritingVocab Look Up'!$I$13:$J$21,2,TRUE),IF(AND(T396&gt;=79),VLOOKUP(H396,'WritingVocab Look Up'!$M$13:$N$21,2,TRUE),"")))))</f>
        <v/>
      </c>
      <c r="T396" s="222" t="str">
        <f t="shared" si="6"/>
        <v/>
      </c>
    </row>
    <row r="397" spans="1:20" s="108" customFormat="1" ht="15.75">
      <c r="A397" s="119"/>
      <c r="B397" s="120"/>
      <c r="C397" s="111"/>
      <c r="D397" s="111"/>
      <c r="E397" s="121"/>
      <c r="F397" s="121"/>
      <c r="G397" s="113"/>
      <c r="H397" s="219"/>
      <c r="I397" s="200" t="str">
        <f>IF(E397="","",IF(AND(T397&lt;=66),VLOOKUP(H397,'WritingVocab Look Up'!$A$13:$B$21,2,TRUE),IF(AND(T397&gt;=67,T397&lt;=72),VLOOKUP(H397,'WritingVocab Look Up'!$E$13:$F$21,2,TRUE),IF(AND(T397&gt;=73,T397&lt;=78),VLOOKUP(H397,'WritingVocab Look Up'!$I$13:$J$21,2,TRUE),IF(AND(T397&gt;=79),VLOOKUP(H397,'WritingVocab Look Up'!$M$13:$N$21,2,TRUE),"")))))</f>
        <v/>
      </c>
      <c r="T397" s="222" t="str">
        <f t="shared" si="6"/>
        <v/>
      </c>
    </row>
    <row r="398" spans="1:20" s="108" customFormat="1" ht="15.75">
      <c r="A398" s="119"/>
      <c r="B398" s="120"/>
      <c r="C398" s="111"/>
      <c r="D398" s="111"/>
      <c r="E398" s="121"/>
      <c r="F398" s="121"/>
      <c r="G398" s="113"/>
      <c r="H398" s="219"/>
      <c r="I398" s="200" t="str">
        <f>IF(E398="","",IF(AND(T398&lt;=66),VLOOKUP(H398,'WritingVocab Look Up'!$A$13:$B$21,2,TRUE),IF(AND(T398&gt;=67,T398&lt;=72),VLOOKUP(H398,'WritingVocab Look Up'!$E$13:$F$21,2,TRUE),IF(AND(T398&gt;=73,T398&lt;=78),VLOOKUP(H398,'WritingVocab Look Up'!$I$13:$J$21,2,TRUE),IF(AND(T398&gt;=79),VLOOKUP(H398,'WritingVocab Look Up'!$M$13:$N$21,2,TRUE),"")))))</f>
        <v/>
      </c>
      <c r="T398" s="222" t="str">
        <f t="shared" si="6"/>
        <v/>
      </c>
    </row>
    <row r="399" spans="1:20" s="108" customFormat="1" ht="15.75">
      <c r="A399" s="119"/>
      <c r="B399" s="120"/>
      <c r="C399" s="111"/>
      <c r="D399" s="111"/>
      <c r="E399" s="121"/>
      <c r="F399" s="121"/>
      <c r="G399" s="113"/>
      <c r="H399" s="219"/>
      <c r="I399" s="200" t="str">
        <f>IF(E399="","",IF(AND(T399&lt;=66),VLOOKUP(H399,'WritingVocab Look Up'!$A$13:$B$21,2,TRUE),IF(AND(T399&gt;=67,T399&lt;=72),VLOOKUP(H399,'WritingVocab Look Up'!$E$13:$F$21,2,TRUE),IF(AND(T399&gt;=73,T399&lt;=78),VLOOKUP(H399,'WritingVocab Look Up'!$I$13:$J$21,2,TRUE),IF(AND(T399&gt;=79),VLOOKUP(H399,'WritingVocab Look Up'!$M$13:$N$21,2,TRUE),"")))))</f>
        <v/>
      </c>
      <c r="T399" s="222" t="str">
        <f t="shared" si="6"/>
        <v/>
      </c>
    </row>
    <row r="400" spans="1:20" s="108" customFormat="1" ht="15.75">
      <c r="A400" s="119"/>
      <c r="B400" s="120"/>
      <c r="C400" s="111"/>
      <c r="D400" s="111"/>
      <c r="E400" s="121"/>
      <c r="F400" s="121"/>
      <c r="G400" s="113"/>
      <c r="H400" s="219"/>
      <c r="I400" s="200" t="str">
        <f>IF(E400="","",IF(AND(T400&lt;=66),VLOOKUP(H400,'WritingVocab Look Up'!$A$13:$B$21,2,TRUE),IF(AND(T400&gt;=67,T400&lt;=72),VLOOKUP(H400,'WritingVocab Look Up'!$E$13:$F$21,2,TRUE),IF(AND(T400&gt;=73,T400&lt;=78),VLOOKUP(H400,'WritingVocab Look Up'!$I$13:$J$21,2,TRUE),IF(AND(T400&gt;=79),VLOOKUP(H400,'WritingVocab Look Up'!$M$13:$N$21,2,TRUE),"")))))</f>
        <v/>
      </c>
      <c r="T400" s="222" t="str">
        <f t="shared" si="6"/>
        <v/>
      </c>
    </row>
    <row r="401" spans="1:20" s="108" customFormat="1" ht="15.75">
      <c r="A401" s="119"/>
      <c r="B401" s="120"/>
      <c r="C401" s="111"/>
      <c r="D401" s="111"/>
      <c r="E401" s="121"/>
      <c r="F401" s="121"/>
      <c r="G401" s="113"/>
      <c r="H401" s="219"/>
      <c r="I401" s="200" t="str">
        <f>IF(E401="","",IF(AND(T401&lt;=66),VLOOKUP(H401,'WritingVocab Look Up'!$A$13:$B$21,2,TRUE),IF(AND(T401&gt;=67,T401&lt;=72),VLOOKUP(H401,'WritingVocab Look Up'!$E$13:$F$21,2,TRUE),IF(AND(T401&gt;=73,T401&lt;=78),VLOOKUP(H401,'WritingVocab Look Up'!$I$13:$J$21,2,TRUE),IF(AND(T401&gt;=79),VLOOKUP(H401,'WritingVocab Look Up'!$M$13:$N$21,2,TRUE),"")))))</f>
        <v/>
      </c>
      <c r="T401" s="222" t="str">
        <f t="shared" si="6"/>
        <v/>
      </c>
    </row>
    <row r="402" spans="1:20" s="108" customFormat="1" ht="15.75">
      <c r="A402" s="119"/>
      <c r="B402" s="120"/>
      <c r="C402" s="111"/>
      <c r="D402" s="111"/>
      <c r="E402" s="121"/>
      <c r="F402" s="121"/>
      <c r="G402" s="113"/>
      <c r="H402" s="219"/>
      <c r="I402" s="200" t="str">
        <f>IF(E402="","",IF(AND(T402&lt;=66),VLOOKUP(H402,'WritingVocab Look Up'!$A$13:$B$21,2,TRUE),IF(AND(T402&gt;=67,T402&lt;=72),VLOOKUP(H402,'WritingVocab Look Up'!$E$13:$F$21,2,TRUE),IF(AND(T402&gt;=73,T402&lt;=78),VLOOKUP(H402,'WritingVocab Look Up'!$I$13:$J$21,2,TRUE),IF(AND(T402&gt;=79),VLOOKUP(H402,'WritingVocab Look Up'!$M$13:$N$21,2,TRUE),"")))))</f>
        <v/>
      </c>
      <c r="T402" s="222" t="str">
        <f t="shared" si="6"/>
        <v/>
      </c>
    </row>
    <row r="403" spans="1:20" s="108" customFormat="1" ht="15.75">
      <c r="A403" s="119"/>
      <c r="B403" s="120"/>
      <c r="C403" s="111"/>
      <c r="D403" s="111"/>
      <c r="E403" s="121"/>
      <c r="F403" s="121"/>
      <c r="G403" s="113"/>
      <c r="H403" s="219"/>
      <c r="I403" s="200" t="str">
        <f>IF(E403="","",IF(AND(T403&lt;=66),VLOOKUP(H403,'WritingVocab Look Up'!$A$13:$B$21,2,TRUE),IF(AND(T403&gt;=67,T403&lt;=72),VLOOKUP(H403,'WritingVocab Look Up'!$E$13:$F$21,2,TRUE),IF(AND(T403&gt;=73,T403&lt;=78),VLOOKUP(H403,'WritingVocab Look Up'!$I$13:$J$21,2,TRUE),IF(AND(T403&gt;=79),VLOOKUP(H403,'WritingVocab Look Up'!$M$13:$N$21,2,TRUE),"")))))</f>
        <v/>
      </c>
      <c r="T403" s="222" t="str">
        <f t="shared" si="6"/>
        <v/>
      </c>
    </row>
    <row r="404" spans="1:20" s="108" customFormat="1" ht="15.75">
      <c r="A404" s="119"/>
      <c r="B404" s="120"/>
      <c r="C404" s="111"/>
      <c r="D404" s="111"/>
      <c r="E404" s="121"/>
      <c r="F404" s="121"/>
      <c r="G404" s="113"/>
      <c r="H404" s="219"/>
      <c r="I404" s="200" t="str">
        <f>IF(E404="","",IF(AND(T404&lt;=66),VLOOKUP(H404,'WritingVocab Look Up'!$A$13:$B$21,2,TRUE),IF(AND(T404&gt;=67,T404&lt;=72),VLOOKUP(H404,'WritingVocab Look Up'!$E$13:$F$21,2,TRUE),IF(AND(T404&gt;=73,T404&lt;=78),VLOOKUP(H404,'WritingVocab Look Up'!$I$13:$J$21,2,TRUE),IF(AND(T404&gt;=79),VLOOKUP(H404,'WritingVocab Look Up'!$M$13:$N$21,2,TRUE),"")))))</f>
        <v/>
      </c>
      <c r="T404" s="222" t="str">
        <f t="shared" si="6"/>
        <v/>
      </c>
    </row>
    <row r="405" spans="1:20" s="108" customFormat="1" ht="15.75">
      <c r="A405" s="119"/>
      <c r="B405" s="120"/>
      <c r="C405" s="111"/>
      <c r="D405" s="111"/>
      <c r="E405" s="121"/>
      <c r="F405" s="121"/>
      <c r="G405" s="113"/>
      <c r="H405" s="219"/>
      <c r="I405" s="200" t="str">
        <f>IF(E405="","",IF(AND(T405&lt;=66),VLOOKUP(H405,'WritingVocab Look Up'!$A$13:$B$21,2,TRUE),IF(AND(T405&gt;=67,T405&lt;=72),VLOOKUP(H405,'WritingVocab Look Up'!$E$13:$F$21,2,TRUE),IF(AND(T405&gt;=73,T405&lt;=78),VLOOKUP(H405,'WritingVocab Look Up'!$I$13:$J$21,2,TRUE),IF(AND(T405&gt;=79),VLOOKUP(H405,'WritingVocab Look Up'!$M$13:$N$21,2,TRUE),"")))))</f>
        <v/>
      </c>
      <c r="T405" s="222" t="str">
        <f t="shared" si="6"/>
        <v/>
      </c>
    </row>
    <row r="406" spans="1:20" s="108" customFormat="1" ht="15.75">
      <c r="A406" s="119"/>
      <c r="B406" s="120"/>
      <c r="C406" s="111"/>
      <c r="D406" s="111"/>
      <c r="E406" s="121"/>
      <c r="F406" s="121"/>
      <c r="G406" s="113"/>
      <c r="H406" s="219"/>
      <c r="I406" s="200" t="str">
        <f>IF(E406="","",IF(AND(T406&lt;=66),VLOOKUP(H406,'WritingVocab Look Up'!$A$13:$B$21,2,TRUE),IF(AND(T406&gt;=67,T406&lt;=72),VLOOKUP(H406,'WritingVocab Look Up'!$E$13:$F$21,2,TRUE),IF(AND(T406&gt;=73,T406&lt;=78),VLOOKUP(H406,'WritingVocab Look Up'!$I$13:$J$21,2,TRUE),IF(AND(T406&gt;=79),VLOOKUP(H406,'WritingVocab Look Up'!$M$13:$N$21,2,TRUE),"")))))</f>
        <v/>
      </c>
      <c r="T406" s="222" t="str">
        <f t="shared" si="6"/>
        <v/>
      </c>
    </row>
    <row r="407" spans="1:20" s="108" customFormat="1" ht="15.75">
      <c r="A407" s="119"/>
      <c r="B407" s="120"/>
      <c r="C407" s="111"/>
      <c r="D407" s="111"/>
      <c r="E407" s="121"/>
      <c r="F407" s="121"/>
      <c r="G407" s="113"/>
      <c r="H407" s="219"/>
      <c r="I407" s="200" t="str">
        <f>IF(E407="","",IF(AND(T407&lt;=66),VLOOKUP(H407,'WritingVocab Look Up'!$A$13:$B$21,2,TRUE),IF(AND(T407&gt;=67,T407&lt;=72),VLOOKUP(H407,'WritingVocab Look Up'!$E$13:$F$21,2,TRUE),IF(AND(T407&gt;=73,T407&lt;=78),VLOOKUP(H407,'WritingVocab Look Up'!$I$13:$J$21,2,TRUE),IF(AND(T407&gt;=79),VLOOKUP(H407,'WritingVocab Look Up'!$M$13:$N$21,2,TRUE),"")))))</f>
        <v/>
      </c>
      <c r="T407" s="222" t="str">
        <f t="shared" si="6"/>
        <v/>
      </c>
    </row>
    <row r="408" spans="1:20" s="108" customFormat="1" ht="15.75">
      <c r="A408" s="119"/>
      <c r="B408" s="120"/>
      <c r="C408" s="111"/>
      <c r="D408" s="111"/>
      <c r="E408" s="121"/>
      <c r="F408" s="121"/>
      <c r="G408" s="113"/>
      <c r="H408" s="219"/>
      <c r="I408" s="200" t="str">
        <f>IF(E408="","",IF(AND(T408&lt;=66),VLOOKUP(H408,'WritingVocab Look Up'!$A$13:$B$21,2,TRUE),IF(AND(T408&gt;=67,T408&lt;=72),VLOOKUP(H408,'WritingVocab Look Up'!$E$13:$F$21,2,TRUE),IF(AND(T408&gt;=73,T408&lt;=78),VLOOKUP(H408,'WritingVocab Look Up'!$I$13:$J$21,2,TRUE),IF(AND(T408&gt;=79),VLOOKUP(H408,'WritingVocab Look Up'!$M$13:$N$21,2,TRUE),"")))))</f>
        <v/>
      </c>
      <c r="T408" s="222" t="str">
        <f t="shared" si="6"/>
        <v/>
      </c>
    </row>
    <row r="409" spans="1:20" s="108" customFormat="1" ht="15.75">
      <c r="A409" s="119"/>
      <c r="B409" s="120"/>
      <c r="C409" s="111"/>
      <c r="D409" s="111"/>
      <c r="E409" s="121"/>
      <c r="F409" s="121"/>
      <c r="G409" s="113"/>
      <c r="H409" s="219"/>
      <c r="I409" s="200" t="str">
        <f>IF(E409="","",IF(AND(T409&lt;=66),VLOOKUP(H409,'WritingVocab Look Up'!$A$13:$B$21,2,TRUE),IF(AND(T409&gt;=67,T409&lt;=72),VLOOKUP(H409,'WritingVocab Look Up'!$E$13:$F$21,2,TRUE),IF(AND(T409&gt;=73,T409&lt;=78),VLOOKUP(H409,'WritingVocab Look Up'!$I$13:$J$21,2,TRUE),IF(AND(T409&gt;=79),VLOOKUP(H409,'WritingVocab Look Up'!$M$13:$N$21,2,TRUE),"")))))</f>
        <v/>
      </c>
      <c r="T409" s="222" t="str">
        <f t="shared" si="6"/>
        <v/>
      </c>
    </row>
    <row r="410" spans="1:20" s="108" customFormat="1" ht="15.75">
      <c r="A410" s="119"/>
      <c r="B410" s="120"/>
      <c r="C410" s="111"/>
      <c r="D410" s="111"/>
      <c r="E410" s="121"/>
      <c r="F410" s="121"/>
      <c r="G410" s="113"/>
      <c r="H410" s="219"/>
      <c r="I410" s="200" t="str">
        <f>IF(E410="","",IF(AND(T410&lt;=66),VLOOKUP(H410,'WritingVocab Look Up'!$A$13:$B$21,2,TRUE),IF(AND(T410&gt;=67,T410&lt;=72),VLOOKUP(H410,'WritingVocab Look Up'!$E$13:$F$21,2,TRUE),IF(AND(T410&gt;=73,T410&lt;=78),VLOOKUP(H410,'WritingVocab Look Up'!$I$13:$J$21,2,TRUE),IF(AND(T410&gt;=79),VLOOKUP(H410,'WritingVocab Look Up'!$M$13:$N$21,2,TRUE),"")))))</f>
        <v/>
      </c>
      <c r="T410" s="222" t="str">
        <f t="shared" si="6"/>
        <v/>
      </c>
    </row>
    <row r="411" spans="1:20" s="108" customFormat="1" ht="15.75">
      <c r="A411" s="119"/>
      <c r="B411" s="120"/>
      <c r="C411" s="111"/>
      <c r="D411" s="111"/>
      <c r="E411" s="121"/>
      <c r="F411" s="121"/>
      <c r="G411" s="113"/>
      <c r="H411" s="219"/>
      <c r="I411" s="200" t="str">
        <f>IF(E411="","",IF(AND(T411&lt;=66),VLOOKUP(H411,'WritingVocab Look Up'!$A$13:$B$21,2,TRUE),IF(AND(T411&gt;=67,T411&lt;=72),VLOOKUP(H411,'WritingVocab Look Up'!$E$13:$F$21,2,TRUE),IF(AND(T411&gt;=73,T411&lt;=78),VLOOKUP(H411,'WritingVocab Look Up'!$I$13:$J$21,2,TRUE),IF(AND(T411&gt;=79),VLOOKUP(H411,'WritingVocab Look Up'!$M$13:$N$21,2,TRUE),"")))))</f>
        <v/>
      </c>
      <c r="T411" s="222" t="str">
        <f t="shared" si="6"/>
        <v/>
      </c>
    </row>
    <row r="412" spans="1:20" s="108" customFormat="1" ht="15.75">
      <c r="A412" s="119"/>
      <c r="B412" s="120"/>
      <c r="C412" s="111"/>
      <c r="D412" s="111"/>
      <c r="E412" s="121"/>
      <c r="F412" s="121"/>
      <c r="G412" s="113"/>
      <c r="H412" s="219"/>
      <c r="I412" s="200" t="str">
        <f>IF(E412="","",IF(AND(T412&lt;=66),VLOOKUP(H412,'WritingVocab Look Up'!$A$13:$B$21,2,TRUE),IF(AND(T412&gt;=67,T412&lt;=72),VLOOKUP(H412,'WritingVocab Look Up'!$E$13:$F$21,2,TRUE),IF(AND(T412&gt;=73,T412&lt;=78),VLOOKUP(H412,'WritingVocab Look Up'!$I$13:$J$21,2,TRUE),IF(AND(T412&gt;=79),VLOOKUP(H412,'WritingVocab Look Up'!$M$13:$N$21,2,TRUE),"")))))</f>
        <v/>
      </c>
      <c r="T412" s="222" t="str">
        <f t="shared" si="6"/>
        <v/>
      </c>
    </row>
    <row r="413" spans="1:20" s="108" customFormat="1" ht="15.75">
      <c r="A413" s="119"/>
      <c r="B413" s="120"/>
      <c r="C413" s="111"/>
      <c r="D413" s="111"/>
      <c r="E413" s="121"/>
      <c r="F413" s="121"/>
      <c r="G413" s="113"/>
      <c r="H413" s="219"/>
      <c r="I413" s="200" t="str">
        <f>IF(E413="","",IF(AND(T413&lt;=66),VLOOKUP(H413,'WritingVocab Look Up'!$A$13:$B$21,2,TRUE),IF(AND(T413&gt;=67,T413&lt;=72),VLOOKUP(H413,'WritingVocab Look Up'!$E$13:$F$21,2,TRUE),IF(AND(T413&gt;=73,T413&lt;=78),VLOOKUP(H413,'WritingVocab Look Up'!$I$13:$J$21,2,TRUE),IF(AND(T413&gt;=79),VLOOKUP(H413,'WritingVocab Look Up'!$M$13:$N$21,2,TRUE),"")))))</f>
        <v/>
      </c>
      <c r="T413" s="222" t="str">
        <f t="shared" si="6"/>
        <v/>
      </c>
    </row>
    <row r="414" spans="1:20" s="108" customFormat="1" ht="15.75">
      <c r="A414" s="119"/>
      <c r="B414" s="120"/>
      <c r="C414" s="111"/>
      <c r="D414" s="111"/>
      <c r="E414" s="121"/>
      <c r="F414" s="121"/>
      <c r="G414" s="113"/>
      <c r="H414" s="219"/>
      <c r="I414" s="200" t="str">
        <f>IF(E414="","",IF(AND(T414&lt;=66),VLOOKUP(H414,'WritingVocab Look Up'!$A$13:$B$21,2,TRUE),IF(AND(T414&gt;=67,T414&lt;=72),VLOOKUP(H414,'WritingVocab Look Up'!$E$13:$F$21,2,TRUE),IF(AND(T414&gt;=73,T414&lt;=78),VLOOKUP(H414,'WritingVocab Look Up'!$I$13:$J$21,2,TRUE),IF(AND(T414&gt;=79),VLOOKUP(H414,'WritingVocab Look Up'!$M$13:$N$21,2,TRUE),"")))))</f>
        <v/>
      </c>
      <c r="T414" s="222" t="str">
        <f t="shared" si="6"/>
        <v/>
      </c>
    </row>
    <row r="415" spans="1:20" s="108" customFormat="1" ht="15.75">
      <c r="A415" s="119"/>
      <c r="B415" s="120"/>
      <c r="C415" s="111"/>
      <c r="D415" s="111"/>
      <c r="E415" s="121"/>
      <c r="F415" s="121"/>
      <c r="G415" s="113"/>
      <c r="H415" s="219"/>
      <c r="I415" s="200" t="str">
        <f>IF(E415="","",IF(AND(T415&lt;=66),VLOOKUP(H415,'WritingVocab Look Up'!$A$13:$B$21,2,TRUE),IF(AND(T415&gt;=67,T415&lt;=72),VLOOKUP(H415,'WritingVocab Look Up'!$E$13:$F$21,2,TRUE),IF(AND(T415&gt;=73,T415&lt;=78),VLOOKUP(H415,'WritingVocab Look Up'!$I$13:$J$21,2,TRUE),IF(AND(T415&gt;=79),VLOOKUP(H415,'WritingVocab Look Up'!$M$13:$N$21,2,TRUE),"")))))</f>
        <v/>
      </c>
      <c r="T415" s="222" t="str">
        <f t="shared" si="6"/>
        <v/>
      </c>
    </row>
    <row r="416" spans="1:20" s="108" customFormat="1" ht="15.75">
      <c r="A416" s="119"/>
      <c r="B416" s="120"/>
      <c r="C416" s="111"/>
      <c r="D416" s="111"/>
      <c r="E416" s="121"/>
      <c r="F416" s="121"/>
      <c r="G416" s="113"/>
      <c r="H416" s="219"/>
      <c r="I416" s="200" t="str">
        <f>IF(E416="","",IF(AND(T416&lt;=66),VLOOKUP(H416,'WritingVocab Look Up'!$A$13:$B$21,2,TRUE),IF(AND(T416&gt;=67,T416&lt;=72),VLOOKUP(H416,'WritingVocab Look Up'!$E$13:$F$21,2,TRUE),IF(AND(T416&gt;=73,T416&lt;=78),VLOOKUP(H416,'WritingVocab Look Up'!$I$13:$J$21,2,TRUE),IF(AND(T416&gt;=79),VLOOKUP(H416,'WritingVocab Look Up'!$M$13:$N$21,2,TRUE),"")))))</f>
        <v/>
      </c>
      <c r="T416" s="222" t="str">
        <f t="shared" si="6"/>
        <v/>
      </c>
    </row>
    <row r="417" spans="1:20" s="108" customFormat="1" ht="15.75">
      <c r="A417" s="119"/>
      <c r="B417" s="120"/>
      <c r="C417" s="111"/>
      <c r="D417" s="111"/>
      <c r="E417" s="121"/>
      <c r="F417" s="121"/>
      <c r="G417" s="113"/>
      <c r="H417" s="219"/>
      <c r="I417" s="200" t="str">
        <f>IF(E417="","",IF(AND(T417&lt;=66),VLOOKUP(H417,'WritingVocab Look Up'!$A$13:$B$21,2,TRUE),IF(AND(T417&gt;=67,T417&lt;=72),VLOOKUP(H417,'WritingVocab Look Up'!$E$13:$F$21,2,TRUE),IF(AND(T417&gt;=73,T417&lt;=78),VLOOKUP(H417,'WritingVocab Look Up'!$I$13:$J$21,2,TRUE),IF(AND(T417&gt;=79),VLOOKUP(H417,'WritingVocab Look Up'!$M$13:$N$21,2,TRUE),"")))))</f>
        <v/>
      </c>
      <c r="T417" s="222" t="str">
        <f t="shared" si="6"/>
        <v/>
      </c>
    </row>
    <row r="418" spans="1:20" s="108" customFormat="1" ht="15.75">
      <c r="A418" s="119"/>
      <c r="B418" s="120"/>
      <c r="C418" s="111"/>
      <c r="D418" s="111"/>
      <c r="E418" s="121"/>
      <c r="F418" s="121"/>
      <c r="G418" s="113"/>
      <c r="H418" s="219"/>
      <c r="I418" s="200" t="str">
        <f>IF(E418="","",IF(AND(T418&lt;=66),VLOOKUP(H418,'WritingVocab Look Up'!$A$13:$B$21,2,TRUE),IF(AND(T418&gt;=67,T418&lt;=72),VLOOKUP(H418,'WritingVocab Look Up'!$E$13:$F$21,2,TRUE),IF(AND(T418&gt;=73,T418&lt;=78),VLOOKUP(H418,'WritingVocab Look Up'!$I$13:$J$21,2,TRUE),IF(AND(T418&gt;=79),VLOOKUP(H418,'WritingVocab Look Up'!$M$13:$N$21,2,TRUE),"")))))</f>
        <v/>
      </c>
      <c r="T418" s="222" t="str">
        <f t="shared" si="6"/>
        <v/>
      </c>
    </row>
    <row r="419" spans="1:20" s="108" customFormat="1" ht="15.75">
      <c r="A419" s="119"/>
      <c r="B419" s="120"/>
      <c r="C419" s="111"/>
      <c r="D419" s="111"/>
      <c r="E419" s="121"/>
      <c r="F419" s="121"/>
      <c r="G419" s="113"/>
      <c r="H419" s="219"/>
      <c r="I419" s="200" t="str">
        <f>IF(E419="","",IF(AND(T419&lt;=66),VLOOKUP(H419,'WritingVocab Look Up'!$A$13:$B$21,2,TRUE),IF(AND(T419&gt;=67,T419&lt;=72),VLOOKUP(H419,'WritingVocab Look Up'!$E$13:$F$21,2,TRUE),IF(AND(T419&gt;=73,T419&lt;=78),VLOOKUP(H419,'WritingVocab Look Up'!$I$13:$J$21,2,TRUE),IF(AND(T419&gt;=79),VLOOKUP(H419,'WritingVocab Look Up'!$M$13:$N$21,2,TRUE),"")))))</f>
        <v/>
      </c>
      <c r="T419" s="222" t="str">
        <f t="shared" si="6"/>
        <v/>
      </c>
    </row>
    <row r="420" spans="1:20" s="108" customFormat="1" ht="15.75">
      <c r="A420" s="119"/>
      <c r="B420" s="120"/>
      <c r="C420" s="111"/>
      <c r="D420" s="111"/>
      <c r="E420" s="121"/>
      <c r="F420" s="121"/>
      <c r="G420" s="113"/>
      <c r="H420" s="219"/>
      <c r="I420" s="200" t="str">
        <f>IF(E420="","",IF(AND(T420&lt;=66),VLOOKUP(H420,'WritingVocab Look Up'!$A$13:$B$21,2,TRUE),IF(AND(T420&gt;=67,T420&lt;=72),VLOOKUP(H420,'WritingVocab Look Up'!$E$13:$F$21,2,TRUE),IF(AND(T420&gt;=73,T420&lt;=78),VLOOKUP(H420,'WritingVocab Look Up'!$I$13:$J$21,2,TRUE),IF(AND(T420&gt;=79),VLOOKUP(H420,'WritingVocab Look Up'!$M$13:$N$21,2,TRUE),"")))))</f>
        <v/>
      </c>
      <c r="T420" s="222" t="str">
        <f t="shared" si="6"/>
        <v/>
      </c>
    </row>
    <row r="421" spans="1:20" s="108" customFormat="1" ht="15.75">
      <c r="A421" s="119"/>
      <c r="B421" s="120"/>
      <c r="C421" s="111"/>
      <c r="D421" s="111"/>
      <c r="E421" s="121"/>
      <c r="F421" s="121"/>
      <c r="G421" s="113"/>
      <c r="H421" s="219"/>
      <c r="I421" s="200" t="str">
        <f>IF(E421="","",IF(AND(T421&lt;=66),VLOOKUP(H421,'WritingVocab Look Up'!$A$13:$B$21,2,TRUE),IF(AND(T421&gt;=67,T421&lt;=72),VLOOKUP(H421,'WritingVocab Look Up'!$E$13:$F$21,2,TRUE),IF(AND(T421&gt;=73,T421&lt;=78),VLOOKUP(H421,'WritingVocab Look Up'!$I$13:$J$21,2,TRUE),IF(AND(T421&gt;=79),VLOOKUP(H421,'WritingVocab Look Up'!$M$13:$N$21,2,TRUE),"")))))</f>
        <v/>
      </c>
      <c r="T421" s="222" t="str">
        <f t="shared" si="6"/>
        <v/>
      </c>
    </row>
    <row r="422" spans="1:20" s="108" customFormat="1" ht="15.75">
      <c r="A422" s="119"/>
      <c r="B422" s="120"/>
      <c r="C422" s="111"/>
      <c r="D422" s="111"/>
      <c r="E422" s="121"/>
      <c r="F422" s="121"/>
      <c r="G422" s="113"/>
      <c r="H422" s="219"/>
      <c r="I422" s="200" t="str">
        <f>IF(E422="","",IF(AND(T422&lt;=66),VLOOKUP(H422,'WritingVocab Look Up'!$A$13:$B$21,2,TRUE),IF(AND(T422&gt;=67,T422&lt;=72),VLOOKUP(H422,'WritingVocab Look Up'!$E$13:$F$21,2,TRUE),IF(AND(T422&gt;=73,T422&lt;=78),VLOOKUP(H422,'WritingVocab Look Up'!$I$13:$J$21,2,TRUE),IF(AND(T422&gt;=79),VLOOKUP(H422,'WritingVocab Look Up'!$M$13:$N$21,2,TRUE),"")))))</f>
        <v/>
      </c>
      <c r="T422" s="222" t="str">
        <f t="shared" si="6"/>
        <v/>
      </c>
    </row>
    <row r="423" spans="1:20" s="108" customFormat="1" ht="15.75">
      <c r="A423" s="119"/>
      <c r="B423" s="120"/>
      <c r="C423" s="111"/>
      <c r="D423" s="111"/>
      <c r="E423" s="121"/>
      <c r="F423" s="121"/>
      <c r="G423" s="113"/>
      <c r="H423" s="219"/>
      <c r="I423" s="200" t="str">
        <f>IF(E423="","",IF(AND(T423&lt;=66),VLOOKUP(H423,'WritingVocab Look Up'!$A$13:$B$21,2,TRUE),IF(AND(T423&gt;=67,T423&lt;=72),VLOOKUP(H423,'WritingVocab Look Up'!$E$13:$F$21,2,TRUE),IF(AND(T423&gt;=73,T423&lt;=78),VLOOKUP(H423,'WritingVocab Look Up'!$I$13:$J$21,2,TRUE),IF(AND(T423&gt;=79),VLOOKUP(H423,'WritingVocab Look Up'!$M$13:$N$21,2,TRUE),"")))))</f>
        <v/>
      </c>
      <c r="T423" s="222" t="str">
        <f t="shared" si="6"/>
        <v/>
      </c>
    </row>
    <row r="424" spans="1:20" s="108" customFormat="1" ht="15.75">
      <c r="A424" s="119"/>
      <c r="B424" s="120"/>
      <c r="C424" s="111"/>
      <c r="D424" s="111"/>
      <c r="E424" s="121"/>
      <c r="F424" s="121"/>
      <c r="G424" s="113"/>
      <c r="H424" s="219"/>
      <c r="I424" s="200" t="str">
        <f>IF(E424="","",IF(AND(T424&lt;=66),VLOOKUP(H424,'WritingVocab Look Up'!$A$13:$B$21,2,TRUE),IF(AND(T424&gt;=67,T424&lt;=72),VLOOKUP(H424,'WritingVocab Look Up'!$E$13:$F$21,2,TRUE),IF(AND(T424&gt;=73,T424&lt;=78),VLOOKUP(H424,'WritingVocab Look Up'!$I$13:$J$21,2,TRUE),IF(AND(T424&gt;=79),VLOOKUP(H424,'WritingVocab Look Up'!$M$13:$N$21,2,TRUE),"")))))</f>
        <v/>
      </c>
      <c r="T424" s="222" t="str">
        <f t="shared" si="6"/>
        <v/>
      </c>
    </row>
    <row r="425" spans="1:20" s="108" customFormat="1" ht="15.75">
      <c r="A425" s="119"/>
      <c r="B425" s="120"/>
      <c r="C425" s="111"/>
      <c r="D425" s="111"/>
      <c r="E425" s="121"/>
      <c r="F425" s="121"/>
      <c r="G425" s="113"/>
      <c r="H425" s="219"/>
      <c r="I425" s="200" t="str">
        <f>IF(E425="","",IF(AND(T425&lt;=66),VLOOKUP(H425,'WritingVocab Look Up'!$A$13:$B$21,2,TRUE),IF(AND(T425&gt;=67,T425&lt;=72),VLOOKUP(H425,'WritingVocab Look Up'!$E$13:$F$21,2,TRUE),IF(AND(T425&gt;=73,T425&lt;=78),VLOOKUP(H425,'WritingVocab Look Up'!$I$13:$J$21,2,TRUE),IF(AND(T425&gt;=79),VLOOKUP(H425,'WritingVocab Look Up'!$M$13:$N$21,2,TRUE),"")))))</f>
        <v/>
      </c>
      <c r="T425" s="222" t="str">
        <f t="shared" si="6"/>
        <v/>
      </c>
    </row>
    <row r="426" spans="1:20" s="108" customFormat="1" ht="15.75">
      <c r="A426" s="119"/>
      <c r="B426" s="120"/>
      <c r="C426" s="111"/>
      <c r="D426" s="111"/>
      <c r="E426" s="121"/>
      <c r="F426" s="121"/>
      <c r="G426" s="113"/>
      <c r="H426" s="219"/>
      <c r="I426" s="200" t="str">
        <f>IF(E426="","",IF(AND(T426&lt;=66),VLOOKUP(H426,'WritingVocab Look Up'!$A$13:$B$21,2,TRUE),IF(AND(T426&gt;=67,T426&lt;=72),VLOOKUP(H426,'WritingVocab Look Up'!$E$13:$F$21,2,TRUE),IF(AND(T426&gt;=73,T426&lt;=78),VLOOKUP(H426,'WritingVocab Look Up'!$I$13:$J$21,2,TRUE),IF(AND(T426&gt;=79),VLOOKUP(H426,'WritingVocab Look Up'!$M$13:$N$21,2,TRUE),"")))))</f>
        <v/>
      </c>
      <c r="T426" s="222" t="str">
        <f t="shared" si="6"/>
        <v/>
      </c>
    </row>
    <row r="427" spans="1:20" s="108" customFormat="1" ht="15.75">
      <c r="A427" s="119"/>
      <c r="B427" s="120"/>
      <c r="C427" s="111"/>
      <c r="D427" s="111"/>
      <c r="E427" s="121"/>
      <c r="F427" s="121"/>
      <c r="G427" s="113"/>
      <c r="H427" s="219"/>
      <c r="I427" s="200" t="str">
        <f>IF(E427="","",IF(AND(T427&lt;=66),VLOOKUP(H427,'WritingVocab Look Up'!$A$13:$B$21,2,TRUE),IF(AND(T427&gt;=67,T427&lt;=72),VLOOKUP(H427,'WritingVocab Look Up'!$E$13:$F$21,2,TRUE),IF(AND(T427&gt;=73,T427&lt;=78),VLOOKUP(H427,'WritingVocab Look Up'!$I$13:$J$21,2,TRUE),IF(AND(T427&gt;=79),VLOOKUP(H427,'WritingVocab Look Up'!$M$13:$N$21,2,TRUE),"")))))</f>
        <v/>
      </c>
      <c r="T427" s="222" t="str">
        <f t="shared" si="6"/>
        <v/>
      </c>
    </row>
    <row r="428" spans="1:20" s="108" customFormat="1" ht="15.75">
      <c r="A428" s="119"/>
      <c r="B428" s="120"/>
      <c r="C428" s="111"/>
      <c r="D428" s="111"/>
      <c r="E428" s="121"/>
      <c r="F428" s="121"/>
      <c r="G428" s="113"/>
      <c r="H428" s="219"/>
      <c r="I428" s="200" t="str">
        <f>IF(E428="","",IF(AND(T428&lt;=66),VLOOKUP(H428,'WritingVocab Look Up'!$A$13:$B$21,2,TRUE),IF(AND(T428&gt;=67,T428&lt;=72),VLOOKUP(H428,'WritingVocab Look Up'!$E$13:$F$21,2,TRUE),IF(AND(T428&gt;=73,T428&lt;=78),VLOOKUP(H428,'WritingVocab Look Up'!$I$13:$J$21,2,TRUE),IF(AND(T428&gt;=79),VLOOKUP(H428,'WritingVocab Look Up'!$M$13:$N$21,2,TRUE),"")))))</f>
        <v/>
      </c>
      <c r="T428" s="222" t="str">
        <f t="shared" si="6"/>
        <v/>
      </c>
    </row>
    <row r="429" spans="1:20" s="108" customFormat="1" ht="15.75">
      <c r="A429" s="119"/>
      <c r="B429" s="120"/>
      <c r="C429" s="111"/>
      <c r="D429" s="111"/>
      <c r="E429" s="121"/>
      <c r="F429" s="121"/>
      <c r="G429" s="113"/>
      <c r="H429" s="219"/>
      <c r="I429" s="200" t="str">
        <f>IF(E429="","",IF(AND(T429&lt;=66),VLOOKUP(H429,'WritingVocab Look Up'!$A$13:$B$21,2,TRUE),IF(AND(T429&gt;=67,T429&lt;=72),VLOOKUP(H429,'WritingVocab Look Up'!$E$13:$F$21,2,TRUE),IF(AND(T429&gt;=73,T429&lt;=78),VLOOKUP(H429,'WritingVocab Look Up'!$I$13:$J$21,2,TRUE),IF(AND(T429&gt;=79),VLOOKUP(H429,'WritingVocab Look Up'!$M$13:$N$21,2,TRUE),"")))))</f>
        <v/>
      </c>
      <c r="T429" s="222" t="str">
        <f t="shared" si="6"/>
        <v/>
      </c>
    </row>
    <row r="430" spans="1:20" s="108" customFormat="1" ht="15.75">
      <c r="A430" s="119"/>
      <c r="B430" s="120"/>
      <c r="C430" s="111"/>
      <c r="D430" s="111"/>
      <c r="E430" s="121"/>
      <c r="F430" s="121"/>
      <c r="G430" s="113"/>
      <c r="H430" s="219"/>
      <c r="I430" s="200" t="str">
        <f>IF(E430="","",IF(AND(T430&lt;=66),VLOOKUP(H430,'WritingVocab Look Up'!$A$13:$B$21,2,TRUE),IF(AND(T430&gt;=67,T430&lt;=72),VLOOKUP(H430,'WritingVocab Look Up'!$E$13:$F$21,2,TRUE),IF(AND(T430&gt;=73,T430&lt;=78),VLOOKUP(H430,'WritingVocab Look Up'!$I$13:$J$21,2,TRUE),IF(AND(T430&gt;=79),VLOOKUP(H430,'WritingVocab Look Up'!$M$13:$N$21,2,TRUE),"")))))</f>
        <v/>
      </c>
      <c r="T430" s="222" t="str">
        <f t="shared" si="6"/>
        <v/>
      </c>
    </row>
    <row r="431" spans="1:20" s="108" customFormat="1" ht="15.75">
      <c r="A431" s="119"/>
      <c r="B431" s="120"/>
      <c r="C431" s="111"/>
      <c r="D431" s="111"/>
      <c r="E431" s="121"/>
      <c r="F431" s="121"/>
      <c r="G431" s="113"/>
      <c r="H431" s="219"/>
      <c r="I431" s="200" t="str">
        <f>IF(E431="","",IF(AND(T431&lt;=66),VLOOKUP(H431,'WritingVocab Look Up'!$A$13:$B$21,2,TRUE),IF(AND(T431&gt;=67,T431&lt;=72),VLOOKUP(H431,'WritingVocab Look Up'!$E$13:$F$21,2,TRUE),IF(AND(T431&gt;=73,T431&lt;=78),VLOOKUP(H431,'WritingVocab Look Up'!$I$13:$J$21,2,TRUE),IF(AND(T431&gt;=79),VLOOKUP(H431,'WritingVocab Look Up'!$M$13:$N$21,2,TRUE),"")))))</f>
        <v/>
      </c>
      <c r="T431" s="222" t="str">
        <f t="shared" si="6"/>
        <v/>
      </c>
    </row>
    <row r="432" spans="1:20" s="108" customFormat="1" ht="15.75">
      <c r="A432" s="119"/>
      <c r="B432" s="120"/>
      <c r="C432" s="111"/>
      <c r="D432" s="111"/>
      <c r="E432" s="121"/>
      <c r="F432" s="121"/>
      <c r="G432" s="113"/>
      <c r="H432" s="219"/>
      <c r="I432" s="200" t="str">
        <f>IF(E432="","",IF(AND(T432&lt;=66),VLOOKUP(H432,'WritingVocab Look Up'!$A$13:$B$21,2,TRUE),IF(AND(T432&gt;=67,T432&lt;=72),VLOOKUP(H432,'WritingVocab Look Up'!$E$13:$F$21,2,TRUE),IF(AND(T432&gt;=73,T432&lt;=78),VLOOKUP(H432,'WritingVocab Look Up'!$I$13:$J$21,2,TRUE),IF(AND(T432&gt;=79),VLOOKUP(H432,'WritingVocab Look Up'!$M$13:$N$21,2,TRUE),"")))))</f>
        <v/>
      </c>
      <c r="T432" s="222" t="str">
        <f t="shared" si="6"/>
        <v/>
      </c>
    </row>
    <row r="433" spans="1:20" s="108" customFormat="1" ht="15.75">
      <c r="A433" s="119"/>
      <c r="B433" s="120"/>
      <c r="C433" s="111"/>
      <c r="D433" s="111"/>
      <c r="E433" s="121"/>
      <c r="F433" s="121"/>
      <c r="G433" s="113"/>
      <c r="H433" s="219"/>
      <c r="I433" s="200" t="str">
        <f>IF(E433="","",IF(AND(T433&lt;=66),VLOOKUP(H433,'WritingVocab Look Up'!$A$13:$B$21,2,TRUE),IF(AND(T433&gt;=67,T433&lt;=72),VLOOKUP(H433,'WritingVocab Look Up'!$E$13:$F$21,2,TRUE),IF(AND(T433&gt;=73,T433&lt;=78),VLOOKUP(H433,'WritingVocab Look Up'!$I$13:$J$21,2,TRUE),IF(AND(T433&gt;=79),VLOOKUP(H433,'WritingVocab Look Up'!$M$13:$N$21,2,TRUE),"")))))</f>
        <v/>
      </c>
      <c r="T433" s="222" t="str">
        <f t="shared" si="6"/>
        <v/>
      </c>
    </row>
    <row r="434" spans="1:20" s="108" customFormat="1" ht="15.75">
      <c r="A434" s="119"/>
      <c r="B434" s="120"/>
      <c r="C434" s="111"/>
      <c r="D434" s="111"/>
      <c r="E434" s="121"/>
      <c r="F434" s="121"/>
      <c r="G434" s="113"/>
      <c r="H434" s="219"/>
      <c r="I434" s="200" t="str">
        <f>IF(E434="","",IF(AND(T434&lt;=66),VLOOKUP(H434,'WritingVocab Look Up'!$A$13:$B$21,2,TRUE),IF(AND(T434&gt;=67,T434&lt;=72),VLOOKUP(H434,'WritingVocab Look Up'!$E$13:$F$21,2,TRUE),IF(AND(T434&gt;=73,T434&lt;=78),VLOOKUP(H434,'WritingVocab Look Up'!$I$13:$J$21,2,TRUE),IF(AND(T434&gt;=79),VLOOKUP(H434,'WritingVocab Look Up'!$M$13:$N$21,2,TRUE),"")))))</f>
        <v/>
      </c>
      <c r="T434" s="222" t="str">
        <f t="shared" si="6"/>
        <v/>
      </c>
    </row>
    <row r="435" spans="1:20" s="108" customFormat="1" ht="15.75">
      <c r="A435" s="119"/>
      <c r="B435" s="120"/>
      <c r="C435" s="111"/>
      <c r="D435" s="111"/>
      <c r="E435" s="121"/>
      <c r="F435" s="121"/>
      <c r="G435" s="113"/>
      <c r="H435" s="219"/>
      <c r="I435" s="200" t="str">
        <f>IF(E435="","",IF(AND(T435&lt;=66),VLOOKUP(H435,'WritingVocab Look Up'!$A$13:$B$21,2,TRUE),IF(AND(T435&gt;=67,T435&lt;=72),VLOOKUP(H435,'WritingVocab Look Up'!$E$13:$F$21,2,TRUE),IF(AND(T435&gt;=73,T435&lt;=78),VLOOKUP(H435,'WritingVocab Look Up'!$I$13:$J$21,2,TRUE),IF(AND(T435&gt;=79),VLOOKUP(H435,'WritingVocab Look Up'!$M$13:$N$21,2,TRUE),"")))))</f>
        <v/>
      </c>
      <c r="T435" s="222" t="str">
        <f t="shared" si="6"/>
        <v/>
      </c>
    </row>
    <row r="436" spans="1:20" s="108" customFormat="1" ht="15.75">
      <c r="A436" s="119"/>
      <c r="B436" s="120"/>
      <c r="C436" s="111"/>
      <c r="D436" s="111"/>
      <c r="E436" s="121"/>
      <c r="F436" s="121"/>
      <c r="G436" s="113"/>
      <c r="H436" s="219"/>
      <c r="I436" s="200" t="str">
        <f>IF(E436="","",IF(AND(T436&lt;=66),VLOOKUP(H436,'WritingVocab Look Up'!$A$13:$B$21,2,TRUE),IF(AND(T436&gt;=67,T436&lt;=72),VLOOKUP(H436,'WritingVocab Look Up'!$E$13:$F$21,2,TRUE),IF(AND(T436&gt;=73,T436&lt;=78),VLOOKUP(H436,'WritingVocab Look Up'!$I$13:$J$21,2,TRUE),IF(AND(T436&gt;=79),VLOOKUP(H436,'WritingVocab Look Up'!$M$13:$N$21,2,TRUE),"")))))</f>
        <v/>
      </c>
      <c r="T436" s="222" t="str">
        <f t="shared" si="6"/>
        <v/>
      </c>
    </row>
    <row r="437" spans="1:20" s="108" customFormat="1" ht="15.75">
      <c r="A437" s="119"/>
      <c r="B437" s="120"/>
      <c r="C437" s="111"/>
      <c r="D437" s="111"/>
      <c r="E437" s="121"/>
      <c r="F437" s="121"/>
      <c r="G437" s="113"/>
      <c r="H437" s="219"/>
      <c r="I437" s="200" t="str">
        <f>IF(E437="","",IF(AND(T437&lt;=66),VLOOKUP(H437,'WritingVocab Look Up'!$A$13:$B$21,2,TRUE),IF(AND(T437&gt;=67,T437&lt;=72),VLOOKUP(H437,'WritingVocab Look Up'!$E$13:$F$21,2,TRUE),IF(AND(T437&gt;=73,T437&lt;=78),VLOOKUP(H437,'WritingVocab Look Up'!$I$13:$J$21,2,TRUE),IF(AND(T437&gt;=79),VLOOKUP(H437,'WritingVocab Look Up'!$M$13:$N$21,2,TRUE),"")))))</f>
        <v/>
      </c>
      <c r="T437" s="222" t="str">
        <f t="shared" si="6"/>
        <v/>
      </c>
    </row>
    <row r="438" spans="1:20" s="108" customFormat="1" ht="15.75">
      <c r="A438" s="119"/>
      <c r="B438" s="120"/>
      <c r="C438" s="111"/>
      <c r="D438" s="111"/>
      <c r="E438" s="121"/>
      <c r="F438" s="121"/>
      <c r="G438" s="113"/>
      <c r="H438" s="219"/>
      <c r="I438" s="200" t="str">
        <f>IF(E438="","",IF(AND(T438&lt;=66),VLOOKUP(H438,'WritingVocab Look Up'!$A$13:$B$21,2,TRUE),IF(AND(T438&gt;=67,T438&lt;=72),VLOOKUP(H438,'WritingVocab Look Up'!$E$13:$F$21,2,TRUE),IF(AND(T438&gt;=73,T438&lt;=78),VLOOKUP(H438,'WritingVocab Look Up'!$I$13:$J$21,2,TRUE),IF(AND(T438&gt;=79),VLOOKUP(H438,'WritingVocab Look Up'!$M$13:$N$21,2,TRUE),"")))))</f>
        <v/>
      </c>
      <c r="T438" s="222" t="str">
        <f t="shared" si="6"/>
        <v/>
      </c>
    </row>
    <row r="439" spans="1:20" s="108" customFormat="1" ht="15.75">
      <c r="A439" s="119"/>
      <c r="B439" s="120"/>
      <c r="C439" s="111"/>
      <c r="D439" s="111"/>
      <c r="E439" s="121"/>
      <c r="F439" s="121"/>
      <c r="G439" s="113"/>
      <c r="H439" s="219"/>
      <c r="I439" s="200" t="str">
        <f>IF(E439="","",IF(AND(T439&lt;=66),VLOOKUP(H439,'WritingVocab Look Up'!$A$13:$B$21,2,TRUE),IF(AND(T439&gt;=67,T439&lt;=72),VLOOKUP(H439,'WritingVocab Look Up'!$E$13:$F$21,2,TRUE),IF(AND(T439&gt;=73,T439&lt;=78),VLOOKUP(H439,'WritingVocab Look Up'!$I$13:$J$21,2,TRUE),IF(AND(T439&gt;=79),VLOOKUP(H439,'WritingVocab Look Up'!$M$13:$N$21,2,TRUE),"")))))</f>
        <v/>
      </c>
      <c r="T439" s="222" t="str">
        <f t="shared" si="6"/>
        <v/>
      </c>
    </row>
    <row r="440" spans="1:20" s="108" customFormat="1" ht="15.75">
      <c r="A440" s="119"/>
      <c r="B440" s="120"/>
      <c r="C440" s="111"/>
      <c r="D440" s="111"/>
      <c r="E440" s="121"/>
      <c r="F440" s="121"/>
      <c r="G440" s="113"/>
      <c r="H440" s="219"/>
      <c r="I440" s="200" t="str">
        <f>IF(E440="","",IF(AND(T440&lt;=66),VLOOKUP(H440,'WritingVocab Look Up'!$A$13:$B$21,2,TRUE),IF(AND(T440&gt;=67,T440&lt;=72),VLOOKUP(H440,'WritingVocab Look Up'!$E$13:$F$21,2,TRUE),IF(AND(T440&gt;=73,T440&lt;=78),VLOOKUP(H440,'WritingVocab Look Up'!$I$13:$J$21,2,TRUE),IF(AND(T440&gt;=79),VLOOKUP(H440,'WritingVocab Look Up'!$M$13:$N$21,2,TRUE),"")))))</f>
        <v/>
      </c>
      <c r="T440" s="222" t="str">
        <f t="shared" si="6"/>
        <v/>
      </c>
    </row>
    <row r="441" spans="1:20" s="108" customFormat="1" ht="15.75">
      <c r="A441" s="119"/>
      <c r="B441" s="120"/>
      <c r="C441" s="111"/>
      <c r="D441" s="111"/>
      <c r="E441" s="121"/>
      <c r="F441" s="121"/>
      <c r="G441" s="113"/>
      <c r="H441" s="219"/>
      <c r="I441" s="200" t="str">
        <f>IF(E441="","",IF(AND(T441&lt;=66),VLOOKUP(H441,'WritingVocab Look Up'!$A$13:$B$21,2,TRUE),IF(AND(T441&gt;=67,T441&lt;=72),VLOOKUP(H441,'WritingVocab Look Up'!$E$13:$F$21,2,TRUE),IF(AND(T441&gt;=73,T441&lt;=78),VLOOKUP(H441,'WritingVocab Look Up'!$I$13:$J$21,2,TRUE),IF(AND(T441&gt;=79),VLOOKUP(H441,'WritingVocab Look Up'!$M$13:$N$21,2,TRUE),"")))))</f>
        <v/>
      </c>
      <c r="T441" s="222" t="str">
        <f t="shared" si="6"/>
        <v/>
      </c>
    </row>
    <row r="442" spans="1:20" s="108" customFormat="1" ht="15.75">
      <c r="A442" s="119"/>
      <c r="B442" s="120"/>
      <c r="C442" s="111"/>
      <c r="D442" s="111"/>
      <c r="E442" s="121"/>
      <c r="F442" s="121"/>
      <c r="G442" s="113"/>
      <c r="H442" s="219"/>
      <c r="I442" s="200" t="str">
        <f>IF(E442="","",IF(AND(T442&lt;=66),VLOOKUP(H442,'WritingVocab Look Up'!$A$13:$B$21,2,TRUE),IF(AND(T442&gt;=67,T442&lt;=72),VLOOKUP(H442,'WritingVocab Look Up'!$E$13:$F$21,2,TRUE),IF(AND(T442&gt;=73,T442&lt;=78),VLOOKUP(H442,'WritingVocab Look Up'!$I$13:$J$21,2,TRUE),IF(AND(T442&gt;=79),VLOOKUP(H442,'WritingVocab Look Up'!$M$13:$N$21,2,TRUE),"")))))</f>
        <v/>
      </c>
      <c r="T442" s="222" t="str">
        <f t="shared" si="6"/>
        <v/>
      </c>
    </row>
    <row r="443" spans="1:20" s="108" customFormat="1" ht="15.75">
      <c r="A443" s="119"/>
      <c r="B443" s="120"/>
      <c r="C443" s="111"/>
      <c r="D443" s="111"/>
      <c r="E443" s="121"/>
      <c r="F443" s="121"/>
      <c r="G443" s="113"/>
      <c r="H443" s="219"/>
      <c r="I443" s="200" t="str">
        <f>IF(E443="","",IF(AND(T443&lt;=66),VLOOKUP(H443,'WritingVocab Look Up'!$A$13:$B$21,2,TRUE),IF(AND(T443&gt;=67,T443&lt;=72),VLOOKUP(H443,'WritingVocab Look Up'!$E$13:$F$21,2,TRUE),IF(AND(T443&gt;=73,T443&lt;=78),VLOOKUP(H443,'WritingVocab Look Up'!$I$13:$J$21,2,TRUE),IF(AND(T443&gt;=79),VLOOKUP(H443,'WritingVocab Look Up'!$M$13:$N$21,2,TRUE),"")))))</f>
        <v/>
      </c>
      <c r="T443" s="222" t="str">
        <f t="shared" si="6"/>
        <v/>
      </c>
    </row>
    <row r="444" spans="1:20" s="108" customFormat="1" ht="15.75">
      <c r="A444" s="119"/>
      <c r="B444" s="120"/>
      <c r="C444" s="111"/>
      <c r="D444" s="111"/>
      <c r="E444" s="121"/>
      <c r="F444" s="121"/>
      <c r="G444" s="113"/>
      <c r="H444" s="219"/>
      <c r="I444" s="200" t="str">
        <f>IF(E444="","",IF(AND(T444&lt;=66),VLOOKUP(H444,'WritingVocab Look Up'!$A$13:$B$21,2,TRUE),IF(AND(T444&gt;=67,T444&lt;=72),VLOOKUP(H444,'WritingVocab Look Up'!$E$13:$F$21,2,TRUE),IF(AND(T444&gt;=73,T444&lt;=78),VLOOKUP(H444,'WritingVocab Look Up'!$I$13:$J$21,2,TRUE),IF(AND(T444&gt;=79),VLOOKUP(H444,'WritingVocab Look Up'!$M$13:$N$21,2,TRUE),"")))))</f>
        <v/>
      </c>
      <c r="T444" s="222" t="str">
        <f t="shared" si="6"/>
        <v/>
      </c>
    </row>
    <row r="445" spans="1:20" s="108" customFormat="1" ht="15.75">
      <c r="A445" s="119"/>
      <c r="B445" s="120"/>
      <c r="C445" s="111"/>
      <c r="D445" s="111"/>
      <c r="E445" s="121"/>
      <c r="F445" s="121"/>
      <c r="G445" s="113"/>
      <c r="H445" s="219"/>
      <c r="I445" s="200" t="str">
        <f>IF(E445="","",IF(AND(T445&lt;=66),VLOOKUP(H445,'WritingVocab Look Up'!$A$13:$B$21,2,TRUE),IF(AND(T445&gt;=67,T445&lt;=72),VLOOKUP(H445,'WritingVocab Look Up'!$E$13:$F$21,2,TRUE),IF(AND(T445&gt;=73,T445&lt;=78),VLOOKUP(H445,'WritingVocab Look Up'!$I$13:$J$21,2,TRUE),IF(AND(T445&gt;=79),VLOOKUP(H445,'WritingVocab Look Up'!$M$13:$N$21,2,TRUE),"")))))</f>
        <v/>
      </c>
      <c r="T445" s="222" t="str">
        <f t="shared" si="6"/>
        <v/>
      </c>
    </row>
    <row r="446" spans="1:20" s="108" customFormat="1" ht="15.75">
      <c r="A446" s="119"/>
      <c r="B446" s="120"/>
      <c r="C446" s="111"/>
      <c r="D446" s="111"/>
      <c r="E446" s="121"/>
      <c r="F446" s="121"/>
      <c r="G446" s="113"/>
      <c r="H446" s="219"/>
      <c r="I446" s="200" t="str">
        <f>IF(E446="","",IF(AND(T446&lt;=66),VLOOKUP(H446,'WritingVocab Look Up'!$A$13:$B$21,2,TRUE),IF(AND(T446&gt;=67,T446&lt;=72),VLOOKUP(H446,'WritingVocab Look Up'!$E$13:$F$21,2,TRUE),IF(AND(T446&gt;=73,T446&lt;=78),VLOOKUP(H446,'WritingVocab Look Up'!$I$13:$J$21,2,TRUE),IF(AND(T446&gt;=79),VLOOKUP(H446,'WritingVocab Look Up'!$M$13:$N$21,2,TRUE),"")))))</f>
        <v/>
      </c>
      <c r="T446" s="222" t="str">
        <f t="shared" si="6"/>
        <v/>
      </c>
    </row>
    <row r="447" spans="1:20" s="108" customFormat="1" ht="15.75">
      <c r="A447" s="119"/>
      <c r="B447" s="120"/>
      <c r="C447" s="111"/>
      <c r="D447" s="111"/>
      <c r="E447" s="121"/>
      <c r="F447" s="121"/>
      <c r="G447" s="113"/>
      <c r="H447" s="219"/>
      <c r="I447" s="200" t="str">
        <f>IF(E447="","",IF(AND(T447&lt;=66),VLOOKUP(H447,'WritingVocab Look Up'!$A$13:$B$21,2,TRUE),IF(AND(T447&gt;=67,T447&lt;=72),VLOOKUP(H447,'WritingVocab Look Up'!$E$13:$F$21,2,TRUE),IF(AND(T447&gt;=73,T447&lt;=78),VLOOKUP(H447,'WritingVocab Look Up'!$I$13:$J$21,2,TRUE),IF(AND(T447&gt;=79),VLOOKUP(H447,'WritingVocab Look Up'!$M$13:$N$21,2,TRUE),"")))))</f>
        <v/>
      </c>
      <c r="T447" s="222" t="str">
        <f t="shared" si="6"/>
        <v/>
      </c>
    </row>
    <row r="448" spans="1:20" s="108" customFormat="1" ht="15.75">
      <c r="A448" s="119"/>
      <c r="B448" s="120"/>
      <c r="C448" s="111"/>
      <c r="D448" s="111"/>
      <c r="E448" s="121"/>
      <c r="F448" s="121"/>
      <c r="G448" s="113"/>
      <c r="H448" s="219"/>
      <c r="I448" s="200" t="str">
        <f>IF(E448="","",IF(AND(T448&lt;=66),VLOOKUP(H448,'WritingVocab Look Up'!$A$13:$B$21,2,TRUE),IF(AND(T448&gt;=67,T448&lt;=72),VLOOKUP(H448,'WritingVocab Look Up'!$E$13:$F$21,2,TRUE),IF(AND(T448&gt;=73,T448&lt;=78),VLOOKUP(H448,'WritingVocab Look Up'!$I$13:$J$21,2,TRUE),IF(AND(T448&gt;=79),VLOOKUP(H448,'WritingVocab Look Up'!$M$13:$N$21,2,TRUE),"")))))</f>
        <v/>
      </c>
      <c r="T448" s="222" t="str">
        <f t="shared" si="6"/>
        <v/>
      </c>
    </row>
    <row r="449" spans="1:20" s="108" customFormat="1" ht="15.75">
      <c r="A449" s="119"/>
      <c r="B449" s="120"/>
      <c r="C449" s="111"/>
      <c r="D449" s="111"/>
      <c r="E449" s="121"/>
      <c r="F449" s="121"/>
      <c r="G449" s="113"/>
      <c r="H449" s="219"/>
      <c r="I449" s="200" t="str">
        <f>IF(E449="","",IF(AND(T449&lt;=66),VLOOKUP(H449,'WritingVocab Look Up'!$A$13:$B$21,2,TRUE),IF(AND(T449&gt;=67,T449&lt;=72),VLOOKUP(H449,'WritingVocab Look Up'!$E$13:$F$21,2,TRUE),IF(AND(T449&gt;=73,T449&lt;=78),VLOOKUP(H449,'WritingVocab Look Up'!$I$13:$J$21,2,TRUE),IF(AND(T449&gt;=79),VLOOKUP(H449,'WritingVocab Look Up'!$M$13:$N$21,2,TRUE),"")))))</f>
        <v/>
      </c>
      <c r="T449" s="222" t="str">
        <f t="shared" si="6"/>
        <v/>
      </c>
    </row>
    <row r="450" spans="1:20" s="108" customFormat="1" ht="15.75">
      <c r="A450" s="119"/>
      <c r="B450" s="120"/>
      <c r="C450" s="111"/>
      <c r="D450" s="111"/>
      <c r="E450" s="121"/>
      <c r="F450" s="121"/>
      <c r="G450" s="113"/>
      <c r="H450" s="219"/>
      <c r="I450" s="200" t="str">
        <f>IF(E450="","",IF(AND(T450&lt;=66),VLOOKUP(H450,'WritingVocab Look Up'!$A$13:$B$21,2,TRUE),IF(AND(T450&gt;=67,T450&lt;=72),VLOOKUP(H450,'WritingVocab Look Up'!$E$13:$F$21,2,TRUE),IF(AND(T450&gt;=73,T450&lt;=78),VLOOKUP(H450,'WritingVocab Look Up'!$I$13:$J$21,2,TRUE),IF(AND(T450&gt;=79),VLOOKUP(H450,'WritingVocab Look Up'!$M$13:$N$21,2,TRUE),"")))))</f>
        <v/>
      </c>
      <c r="T450" s="222" t="str">
        <f t="shared" si="6"/>
        <v/>
      </c>
    </row>
    <row r="451" spans="1:20" s="108" customFormat="1" ht="15.75">
      <c r="A451" s="119"/>
      <c r="B451" s="120"/>
      <c r="C451" s="111"/>
      <c r="D451" s="111"/>
      <c r="E451" s="121"/>
      <c r="F451" s="121"/>
      <c r="G451" s="113"/>
      <c r="H451" s="219"/>
      <c r="I451" s="200" t="str">
        <f>IF(E451="","",IF(AND(T451&lt;=66),VLOOKUP(H451,'WritingVocab Look Up'!$A$13:$B$21,2,TRUE),IF(AND(T451&gt;=67,T451&lt;=72),VLOOKUP(H451,'WritingVocab Look Up'!$E$13:$F$21,2,TRUE),IF(AND(T451&gt;=73,T451&lt;=78),VLOOKUP(H451,'WritingVocab Look Up'!$I$13:$J$21,2,TRUE),IF(AND(T451&gt;=79),VLOOKUP(H451,'WritingVocab Look Up'!$M$13:$N$21,2,TRUE),"")))))</f>
        <v/>
      </c>
      <c r="T451" s="222" t="str">
        <f t="shared" si="6"/>
        <v/>
      </c>
    </row>
    <row r="452" spans="1:20" s="108" customFormat="1" ht="15.75">
      <c r="A452" s="119"/>
      <c r="B452" s="120"/>
      <c r="C452" s="111"/>
      <c r="D452" s="111"/>
      <c r="E452" s="121"/>
      <c r="F452" s="121"/>
      <c r="G452" s="113"/>
      <c r="H452" s="219"/>
      <c r="I452" s="200" t="str">
        <f>IF(E452="","",IF(AND(T452&lt;=66),VLOOKUP(H452,'WritingVocab Look Up'!$A$13:$B$21,2,TRUE),IF(AND(T452&gt;=67,T452&lt;=72),VLOOKUP(H452,'WritingVocab Look Up'!$E$13:$F$21,2,TRUE),IF(AND(T452&gt;=73,T452&lt;=78),VLOOKUP(H452,'WritingVocab Look Up'!$I$13:$J$21,2,TRUE),IF(AND(T452&gt;=79),VLOOKUP(H452,'WritingVocab Look Up'!$M$13:$N$21,2,TRUE),"")))))</f>
        <v/>
      </c>
      <c r="T452" s="222" t="str">
        <f t="shared" si="6"/>
        <v/>
      </c>
    </row>
    <row r="453" spans="1:20" s="108" customFormat="1" ht="15.75">
      <c r="A453" s="119"/>
      <c r="B453" s="120"/>
      <c r="C453" s="111"/>
      <c r="D453" s="111"/>
      <c r="E453" s="121"/>
      <c r="F453" s="121"/>
      <c r="G453" s="113"/>
      <c r="H453" s="219"/>
      <c r="I453" s="200" t="str">
        <f>IF(E453="","",IF(AND(T453&lt;=66),VLOOKUP(H453,'WritingVocab Look Up'!$A$13:$B$21,2,TRUE),IF(AND(T453&gt;=67,T453&lt;=72),VLOOKUP(H453,'WritingVocab Look Up'!$E$13:$F$21,2,TRUE),IF(AND(T453&gt;=73,T453&lt;=78),VLOOKUP(H453,'WritingVocab Look Up'!$I$13:$J$21,2,TRUE),IF(AND(T453&gt;=79),VLOOKUP(H453,'WritingVocab Look Up'!$M$13:$N$21,2,TRUE),"")))))</f>
        <v/>
      </c>
      <c r="T453" s="222" t="str">
        <f t="shared" si="6"/>
        <v/>
      </c>
    </row>
    <row r="454" spans="1:20" s="108" customFormat="1" ht="15.75">
      <c r="A454" s="119"/>
      <c r="B454" s="120"/>
      <c r="C454" s="111"/>
      <c r="D454" s="111"/>
      <c r="E454" s="121"/>
      <c r="F454" s="121"/>
      <c r="G454" s="113"/>
      <c r="H454" s="219"/>
      <c r="I454" s="200" t="str">
        <f>IF(E454="","",IF(AND(T454&lt;=66),VLOOKUP(H454,'WritingVocab Look Up'!$A$13:$B$21,2,TRUE),IF(AND(T454&gt;=67,T454&lt;=72),VLOOKUP(H454,'WritingVocab Look Up'!$E$13:$F$21,2,TRUE),IF(AND(T454&gt;=73,T454&lt;=78),VLOOKUP(H454,'WritingVocab Look Up'!$I$13:$J$21,2,TRUE),IF(AND(T454&gt;=79),VLOOKUP(H454,'WritingVocab Look Up'!$M$13:$N$21,2,TRUE),"")))))</f>
        <v/>
      </c>
      <c r="T454" s="222" t="str">
        <f t="shared" ref="T454:T500" si="7">IF(E454="","",DATEDIF(B454,A454,"m"))</f>
        <v/>
      </c>
    </row>
    <row r="455" spans="1:20" s="108" customFormat="1" ht="15.75">
      <c r="A455" s="119"/>
      <c r="B455" s="120"/>
      <c r="C455" s="111"/>
      <c r="D455" s="111"/>
      <c r="E455" s="121"/>
      <c r="F455" s="121"/>
      <c r="G455" s="113"/>
      <c r="H455" s="219"/>
      <c r="I455" s="200" t="str">
        <f>IF(E455="","",IF(AND(T455&lt;=66),VLOOKUP(H455,'WritingVocab Look Up'!$A$13:$B$21,2,TRUE),IF(AND(T455&gt;=67,T455&lt;=72),VLOOKUP(H455,'WritingVocab Look Up'!$E$13:$F$21,2,TRUE),IF(AND(T455&gt;=73,T455&lt;=78),VLOOKUP(H455,'WritingVocab Look Up'!$I$13:$J$21,2,TRUE),IF(AND(T455&gt;=79),VLOOKUP(H455,'WritingVocab Look Up'!$M$13:$N$21,2,TRUE),"")))))</f>
        <v/>
      </c>
      <c r="T455" s="222" t="str">
        <f t="shared" si="7"/>
        <v/>
      </c>
    </row>
    <row r="456" spans="1:20" s="108" customFormat="1" ht="15.75">
      <c r="A456" s="119"/>
      <c r="B456" s="120"/>
      <c r="C456" s="111"/>
      <c r="D456" s="111"/>
      <c r="E456" s="121"/>
      <c r="F456" s="121"/>
      <c r="G456" s="113"/>
      <c r="H456" s="219"/>
      <c r="I456" s="200" t="str">
        <f>IF(E456="","",IF(AND(T456&lt;=66),VLOOKUP(H456,'WritingVocab Look Up'!$A$13:$B$21,2,TRUE),IF(AND(T456&gt;=67,T456&lt;=72),VLOOKUP(H456,'WritingVocab Look Up'!$E$13:$F$21,2,TRUE),IF(AND(T456&gt;=73,T456&lt;=78),VLOOKUP(H456,'WritingVocab Look Up'!$I$13:$J$21,2,TRUE),IF(AND(T456&gt;=79),VLOOKUP(H456,'WritingVocab Look Up'!$M$13:$N$21,2,TRUE),"")))))</f>
        <v/>
      </c>
      <c r="T456" s="222" t="str">
        <f t="shared" si="7"/>
        <v/>
      </c>
    </row>
    <row r="457" spans="1:20" s="108" customFormat="1" ht="15.75">
      <c r="A457" s="119"/>
      <c r="B457" s="120"/>
      <c r="C457" s="111"/>
      <c r="D457" s="111"/>
      <c r="E457" s="121"/>
      <c r="F457" s="121"/>
      <c r="G457" s="113"/>
      <c r="H457" s="219"/>
      <c r="I457" s="200" t="str">
        <f>IF(E457="","",IF(AND(T457&lt;=66),VLOOKUP(H457,'WritingVocab Look Up'!$A$13:$B$21,2,TRUE),IF(AND(T457&gt;=67,T457&lt;=72),VLOOKUP(H457,'WritingVocab Look Up'!$E$13:$F$21,2,TRUE),IF(AND(T457&gt;=73,T457&lt;=78),VLOOKUP(H457,'WritingVocab Look Up'!$I$13:$J$21,2,TRUE),IF(AND(T457&gt;=79),VLOOKUP(H457,'WritingVocab Look Up'!$M$13:$N$21,2,TRUE),"")))))</f>
        <v/>
      </c>
      <c r="T457" s="222" t="str">
        <f t="shared" si="7"/>
        <v/>
      </c>
    </row>
    <row r="458" spans="1:20" s="108" customFormat="1" ht="15.75">
      <c r="A458" s="119"/>
      <c r="B458" s="120"/>
      <c r="C458" s="111"/>
      <c r="D458" s="111"/>
      <c r="E458" s="121"/>
      <c r="F458" s="121"/>
      <c r="G458" s="113"/>
      <c r="H458" s="219"/>
      <c r="I458" s="200" t="str">
        <f>IF(E458="","",IF(AND(T458&lt;=66),VLOOKUP(H458,'WritingVocab Look Up'!$A$13:$B$21,2,TRUE),IF(AND(T458&gt;=67,T458&lt;=72),VLOOKUP(H458,'WritingVocab Look Up'!$E$13:$F$21,2,TRUE),IF(AND(T458&gt;=73,T458&lt;=78),VLOOKUP(H458,'WritingVocab Look Up'!$I$13:$J$21,2,TRUE),IF(AND(T458&gt;=79),VLOOKUP(H458,'WritingVocab Look Up'!$M$13:$N$21,2,TRUE),"")))))</f>
        <v/>
      </c>
      <c r="T458" s="222" t="str">
        <f t="shared" si="7"/>
        <v/>
      </c>
    </row>
    <row r="459" spans="1:20" s="108" customFormat="1" ht="15.75">
      <c r="A459" s="119"/>
      <c r="B459" s="120"/>
      <c r="C459" s="111"/>
      <c r="D459" s="111"/>
      <c r="E459" s="121"/>
      <c r="F459" s="121"/>
      <c r="G459" s="113"/>
      <c r="H459" s="219"/>
      <c r="I459" s="200" t="str">
        <f>IF(E459="","",IF(AND(T459&lt;=66),VLOOKUP(H459,'WritingVocab Look Up'!$A$13:$B$21,2,TRUE),IF(AND(T459&gt;=67,T459&lt;=72),VLOOKUP(H459,'WritingVocab Look Up'!$E$13:$F$21,2,TRUE),IF(AND(T459&gt;=73,T459&lt;=78),VLOOKUP(H459,'WritingVocab Look Up'!$I$13:$J$21,2,TRUE),IF(AND(T459&gt;=79),VLOOKUP(H459,'WritingVocab Look Up'!$M$13:$N$21,2,TRUE),"")))))</f>
        <v/>
      </c>
      <c r="T459" s="222" t="str">
        <f t="shared" si="7"/>
        <v/>
      </c>
    </row>
    <row r="460" spans="1:20" s="108" customFormat="1" ht="15.75">
      <c r="A460" s="119"/>
      <c r="B460" s="120"/>
      <c r="C460" s="111"/>
      <c r="D460" s="111"/>
      <c r="E460" s="121"/>
      <c r="F460" s="121"/>
      <c r="G460" s="113"/>
      <c r="H460" s="219"/>
      <c r="I460" s="200" t="str">
        <f>IF(E460="","",IF(AND(T460&lt;=66),VLOOKUP(H460,'WritingVocab Look Up'!$A$13:$B$21,2,TRUE),IF(AND(T460&gt;=67,T460&lt;=72),VLOOKUP(H460,'WritingVocab Look Up'!$E$13:$F$21,2,TRUE),IF(AND(T460&gt;=73,T460&lt;=78),VLOOKUP(H460,'WritingVocab Look Up'!$I$13:$J$21,2,TRUE),IF(AND(T460&gt;=79),VLOOKUP(H460,'WritingVocab Look Up'!$M$13:$N$21,2,TRUE),"")))))</f>
        <v/>
      </c>
      <c r="T460" s="222" t="str">
        <f t="shared" si="7"/>
        <v/>
      </c>
    </row>
    <row r="461" spans="1:20" s="108" customFormat="1" ht="15.75">
      <c r="A461" s="119"/>
      <c r="B461" s="120"/>
      <c r="C461" s="111"/>
      <c r="D461" s="111"/>
      <c r="E461" s="121"/>
      <c r="F461" s="121"/>
      <c r="G461" s="113"/>
      <c r="H461" s="219"/>
      <c r="I461" s="200" t="str">
        <f>IF(E461="","",IF(AND(T461&lt;=66),VLOOKUP(H461,'WritingVocab Look Up'!$A$13:$B$21,2,TRUE),IF(AND(T461&gt;=67,T461&lt;=72),VLOOKUP(H461,'WritingVocab Look Up'!$E$13:$F$21,2,TRUE),IF(AND(T461&gt;=73,T461&lt;=78),VLOOKUP(H461,'WritingVocab Look Up'!$I$13:$J$21,2,TRUE),IF(AND(T461&gt;=79),VLOOKUP(H461,'WritingVocab Look Up'!$M$13:$N$21,2,TRUE),"")))))</f>
        <v/>
      </c>
      <c r="T461" s="222" t="str">
        <f t="shared" si="7"/>
        <v/>
      </c>
    </row>
    <row r="462" spans="1:20" s="108" customFormat="1" ht="15.75">
      <c r="A462" s="119"/>
      <c r="B462" s="120"/>
      <c r="C462" s="111"/>
      <c r="D462" s="111"/>
      <c r="E462" s="121"/>
      <c r="F462" s="121"/>
      <c r="G462" s="113"/>
      <c r="H462" s="219"/>
      <c r="I462" s="200" t="str">
        <f>IF(E462="","",IF(AND(T462&lt;=66),VLOOKUP(H462,'WritingVocab Look Up'!$A$13:$B$21,2,TRUE),IF(AND(T462&gt;=67,T462&lt;=72),VLOOKUP(H462,'WritingVocab Look Up'!$E$13:$F$21,2,TRUE),IF(AND(T462&gt;=73,T462&lt;=78),VLOOKUP(H462,'WritingVocab Look Up'!$I$13:$J$21,2,TRUE),IF(AND(T462&gt;=79),VLOOKUP(H462,'WritingVocab Look Up'!$M$13:$N$21,2,TRUE),"")))))</f>
        <v/>
      </c>
      <c r="T462" s="222" t="str">
        <f t="shared" si="7"/>
        <v/>
      </c>
    </row>
    <row r="463" spans="1:20" s="108" customFormat="1" ht="15.75">
      <c r="A463" s="119"/>
      <c r="B463" s="120"/>
      <c r="C463" s="111"/>
      <c r="D463" s="111"/>
      <c r="E463" s="121"/>
      <c r="F463" s="121"/>
      <c r="G463" s="113"/>
      <c r="H463" s="219"/>
      <c r="I463" s="200" t="str">
        <f>IF(E463="","",IF(AND(T463&lt;=66),VLOOKUP(H463,'WritingVocab Look Up'!$A$13:$B$21,2,TRUE),IF(AND(T463&gt;=67,T463&lt;=72),VLOOKUP(H463,'WritingVocab Look Up'!$E$13:$F$21,2,TRUE),IF(AND(T463&gt;=73,T463&lt;=78),VLOOKUP(H463,'WritingVocab Look Up'!$I$13:$J$21,2,TRUE),IF(AND(T463&gt;=79),VLOOKUP(H463,'WritingVocab Look Up'!$M$13:$N$21,2,TRUE),"")))))</f>
        <v/>
      </c>
      <c r="T463" s="222" t="str">
        <f t="shared" si="7"/>
        <v/>
      </c>
    </row>
    <row r="464" spans="1:20" s="108" customFormat="1" ht="15.75">
      <c r="A464" s="119"/>
      <c r="B464" s="120"/>
      <c r="C464" s="111"/>
      <c r="D464" s="111"/>
      <c r="E464" s="121"/>
      <c r="F464" s="121"/>
      <c r="G464" s="113"/>
      <c r="H464" s="219"/>
      <c r="I464" s="200" t="str">
        <f>IF(E464="","",IF(AND(T464&lt;=66),VLOOKUP(H464,'WritingVocab Look Up'!$A$13:$B$21,2,TRUE),IF(AND(T464&gt;=67,T464&lt;=72),VLOOKUP(H464,'WritingVocab Look Up'!$E$13:$F$21,2,TRUE),IF(AND(T464&gt;=73,T464&lt;=78),VLOOKUP(H464,'WritingVocab Look Up'!$I$13:$J$21,2,TRUE),IF(AND(T464&gt;=79),VLOOKUP(H464,'WritingVocab Look Up'!$M$13:$N$21,2,TRUE),"")))))</f>
        <v/>
      </c>
      <c r="T464" s="222" t="str">
        <f t="shared" si="7"/>
        <v/>
      </c>
    </row>
    <row r="465" spans="1:20" s="108" customFormat="1" ht="15.75">
      <c r="A465" s="119"/>
      <c r="B465" s="120"/>
      <c r="C465" s="111"/>
      <c r="D465" s="111"/>
      <c r="E465" s="121"/>
      <c r="F465" s="121"/>
      <c r="G465" s="113"/>
      <c r="H465" s="219"/>
      <c r="I465" s="200" t="str">
        <f>IF(E465="","",IF(AND(T465&lt;=66),VLOOKUP(H465,'WritingVocab Look Up'!$A$13:$B$21,2,TRUE),IF(AND(T465&gt;=67,T465&lt;=72),VLOOKUP(H465,'WritingVocab Look Up'!$E$13:$F$21,2,TRUE),IF(AND(T465&gt;=73,T465&lt;=78),VLOOKUP(H465,'WritingVocab Look Up'!$I$13:$J$21,2,TRUE),IF(AND(T465&gt;=79),VLOOKUP(H465,'WritingVocab Look Up'!$M$13:$N$21,2,TRUE),"")))))</f>
        <v/>
      </c>
      <c r="T465" s="222" t="str">
        <f t="shared" si="7"/>
        <v/>
      </c>
    </row>
    <row r="466" spans="1:20" s="108" customFormat="1" ht="15.75">
      <c r="A466" s="119"/>
      <c r="B466" s="120"/>
      <c r="C466" s="111"/>
      <c r="D466" s="111"/>
      <c r="E466" s="121"/>
      <c r="F466" s="121"/>
      <c r="G466" s="113"/>
      <c r="H466" s="219"/>
      <c r="I466" s="200" t="str">
        <f>IF(E466="","",IF(AND(T466&lt;=66),VLOOKUP(H466,'WritingVocab Look Up'!$A$13:$B$21,2,TRUE),IF(AND(T466&gt;=67,T466&lt;=72),VLOOKUP(H466,'WritingVocab Look Up'!$E$13:$F$21,2,TRUE),IF(AND(T466&gt;=73,T466&lt;=78),VLOOKUP(H466,'WritingVocab Look Up'!$I$13:$J$21,2,TRUE),IF(AND(T466&gt;=79),VLOOKUP(H466,'WritingVocab Look Up'!$M$13:$N$21,2,TRUE),"")))))</f>
        <v/>
      </c>
      <c r="T466" s="222" t="str">
        <f t="shared" si="7"/>
        <v/>
      </c>
    </row>
    <row r="467" spans="1:20" s="108" customFormat="1" ht="15.75">
      <c r="A467" s="119"/>
      <c r="B467" s="120"/>
      <c r="C467" s="111"/>
      <c r="D467" s="111"/>
      <c r="E467" s="121"/>
      <c r="F467" s="121"/>
      <c r="G467" s="113"/>
      <c r="H467" s="219"/>
      <c r="I467" s="200" t="str">
        <f>IF(E467="","",IF(AND(T467&lt;=66),VLOOKUP(H467,'WritingVocab Look Up'!$A$13:$B$21,2,TRUE),IF(AND(T467&gt;=67,T467&lt;=72),VLOOKUP(H467,'WritingVocab Look Up'!$E$13:$F$21,2,TRUE),IF(AND(T467&gt;=73,T467&lt;=78),VLOOKUP(H467,'WritingVocab Look Up'!$I$13:$J$21,2,TRUE),IF(AND(T467&gt;=79),VLOOKUP(H467,'WritingVocab Look Up'!$M$13:$N$21,2,TRUE),"")))))</f>
        <v/>
      </c>
      <c r="T467" s="222" t="str">
        <f t="shared" si="7"/>
        <v/>
      </c>
    </row>
    <row r="468" spans="1:20" s="108" customFormat="1" ht="15.75">
      <c r="A468" s="119"/>
      <c r="B468" s="120"/>
      <c r="C468" s="111"/>
      <c r="D468" s="111"/>
      <c r="E468" s="121"/>
      <c r="F468" s="121"/>
      <c r="G468" s="113"/>
      <c r="H468" s="219"/>
      <c r="I468" s="200" t="str">
        <f>IF(E468="","",IF(AND(T468&lt;=66),VLOOKUP(H468,'WritingVocab Look Up'!$A$13:$B$21,2,TRUE),IF(AND(T468&gt;=67,T468&lt;=72),VLOOKUP(H468,'WritingVocab Look Up'!$E$13:$F$21,2,TRUE),IF(AND(T468&gt;=73,T468&lt;=78),VLOOKUP(H468,'WritingVocab Look Up'!$I$13:$J$21,2,TRUE),IF(AND(T468&gt;=79),VLOOKUP(H468,'WritingVocab Look Up'!$M$13:$N$21,2,TRUE),"")))))</f>
        <v/>
      </c>
      <c r="T468" s="222" t="str">
        <f t="shared" si="7"/>
        <v/>
      </c>
    </row>
    <row r="469" spans="1:20" s="108" customFormat="1" ht="15.75">
      <c r="A469" s="119"/>
      <c r="B469" s="120"/>
      <c r="C469" s="111"/>
      <c r="D469" s="111"/>
      <c r="E469" s="121"/>
      <c r="F469" s="121"/>
      <c r="G469" s="113"/>
      <c r="H469" s="219"/>
      <c r="I469" s="200" t="str">
        <f>IF(E469="","",IF(AND(T469&lt;=66),VLOOKUP(H469,'WritingVocab Look Up'!$A$13:$B$21,2,TRUE),IF(AND(T469&gt;=67,T469&lt;=72),VLOOKUP(H469,'WritingVocab Look Up'!$E$13:$F$21,2,TRUE),IF(AND(T469&gt;=73,T469&lt;=78),VLOOKUP(H469,'WritingVocab Look Up'!$I$13:$J$21,2,TRUE),IF(AND(T469&gt;=79),VLOOKUP(H469,'WritingVocab Look Up'!$M$13:$N$21,2,TRUE),"")))))</f>
        <v/>
      </c>
      <c r="T469" s="222" t="str">
        <f t="shared" si="7"/>
        <v/>
      </c>
    </row>
    <row r="470" spans="1:20" s="108" customFormat="1" ht="15.75">
      <c r="A470" s="119"/>
      <c r="B470" s="120"/>
      <c r="C470" s="111"/>
      <c r="D470" s="111"/>
      <c r="E470" s="121"/>
      <c r="F470" s="121"/>
      <c r="G470" s="113"/>
      <c r="H470" s="219"/>
      <c r="I470" s="200" t="str">
        <f>IF(E470="","",IF(AND(T470&lt;=66),VLOOKUP(H470,'WritingVocab Look Up'!$A$13:$B$21,2,TRUE),IF(AND(T470&gt;=67,T470&lt;=72),VLOOKUP(H470,'WritingVocab Look Up'!$E$13:$F$21,2,TRUE),IF(AND(T470&gt;=73,T470&lt;=78),VLOOKUP(H470,'WritingVocab Look Up'!$I$13:$J$21,2,TRUE),IF(AND(T470&gt;=79),VLOOKUP(H470,'WritingVocab Look Up'!$M$13:$N$21,2,TRUE),"")))))</f>
        <v/>
      </c>
      <c r="T470" s="222" t="str">
        <f t="shared" si="7"/>
        <v/>
      </c>
    </row>
    <row r="471" spans="1:20" s="108" customFormat="1" ht="15.75">
      <c r="A471" s="119"/>
      <c r="B471" s="120"/>
      <c r="C471" s="111"/>
      <c r="D471" s="111"/>
      <c r="E471" s="121"/>
      <c r="F471" s="121"/>
      <c r="G471" s="113"/>
      <c r="H471" s="219"/>
      <c r="I471" s="200" t="str">
        <f>IF(E471="","",IF(AND(T471&lt;=66),VLOOKUP(H471,'WritingVocab Look Up'!$A$13:$B$21,2,TRUE),IF(AND(T471&gt;=67,T471&lt;=72),VLOOKUP(H471,'WritingVocab Look Up'!$E$13:$F$21,2,TRUE),IF(AND(T471&gt;=73,T471&lt;=78),VLOOKUP(H471,'WritingVocab Look Up'!$I$13:$J$21,2,TRUE),IF(AND(T471&gt;=79),VLOOKUP(H471,'WritingVocab Look Up'!$M$13:$N$21,2,TRUE),"")))))</f>
        <v/>
      </c>
      <c r="T471" s="222" t="str">
        <f t="shared" si="7"/>
        <v/>
      </c>
    </row>
    <row r="472" spans="1:20" s="108" customFormat="1" ht="15.75">
      <c r="A472" s="119"/>
      <c r="B472" s="120"/>
      <c r="C472" s="111"/>
      <c r="D472" s="111"/>
      <c r="E472" s="121"/>
      <c r="F472" s="121"/>
      <c r="G472" s="113"/>
      <c r="H472" s="219"/>
      <c r="I472" s="200" t="str">
        <f>IF(E472="","",IF(AND(T472&lt;=66),VLOOKUP(H472,'WritingVocab Look Up'!$A$13:$B$21,2,TRUE),IF(AND(T472&gt;=67,T472&lt;=72),VLOOKUP(H472,'WritingVocab Look Up'!$E$13:$F$21,2,TRUE),IF(AND(T472&gt;=73,T472&lt;=78),VLOOKUP(H472,'WritingVocab Look Up'!$I$13:$J$21,2,TRUE),IF(AND(T472&gt;=79),VLOOKUP(H472,'WritingVocab Look Up'!$M$13:$N$21,2,TRUE),"")))))</f>
        <v/>
      </c>
      <c r="T472" s="222" t="str">
        <f t="shared" si="7"/>
        <v/>
      </c>
    </row>
    <row r="473" spans="1:20" s="108" customFormat="1" ht="15.75">
      <c r="A473" s="119"/>
      <c r="B473" s="120"/>
      <c r="C473" s="111"/>
      <c r="D473" s="111"/>
      <c r="E473" s="121"/>
      <c r="F473" s="121"/>
      <c r="G473" s="113"/>
      <c r="H473" s="219"/>
      <c r="I473" s="200" t="str">
        <f>IF(E473="","",IF(AND(T473&lt;=66),VLOOKUP(H473,'WritingVocab Look Up'!$A$13:$B$21,2,TRUE),IF(AND(T473&gt;=67,T473&lt;=72),VLOOKUP(H473,'WritingVocab Look Up'!$E$13:$F$21,2,TRUE),IF(AND(T473&gt;=73,T473&lt;=78),VLOOKUP(H473,'WritingVocab Look Up'!$I$13:$J$21,2,TRUE),IF(AND(T473&gt;=79),VLOOKUP(H473,'WritingVocab Look Up'!$M$13:$N$21,2,TRUE),"")))))</f>
        <v/>
      </c>
      <c r="T473" s="222" t="str">
        <f t="shared" si="7"/>
        <v/>
      </c>
    </row>
    <row r="474" spans="1:20" s="108" customFormat="1" ht="15.75">
      <c r="A474" s="119"/>
      <c r="B474" s="120"/>
      <c r="C474" s="111"/>
      <c r="D474" s="111"/>
      <c r="E474" s="121"/>
      <c r="F474" s="121"/>
      <c r="G474" s="113"/>
      <c r="H474" s="219"/>
      <c r="I474" s="200" t="str">
        <f>IF(E474="","",IF(AND(T474&lt;=66),VLOOKUP(H474,'WritingVocab Look Up'!$A$13:$B$21,2,TRUE),IF(AND(T474&gt;=67,T474&lt;=72),VLOOKUP(H474,'WritingVocab Look Up'!$E$13:$F$21,2,TRUE),IF(AND(T474&gt;=73,T474&lt;=78),VLOOKUP(H474,'WritingVocab Look Up'!$I$13:$J$21,2,TRUE),IF(AND(T474&gt;=79),VLOOKUP(H474,'WritingVocab Look Up'!$M$13:$N$21,2,TRUE),"")))))</f>
        <v/>
      </c>
      <c r="T474" s="222" t="str">
        <f t="shared" si="7"/>
        <v/>
      </c>
    </row>
    <row r="475" spans="1:20" s="108" customFormat="1" ht="15.75">
      <c r="A475" s="119"/>
      <c r="B475" s="120"/>
      <c r="C475" s="111"/>
      <c r="D475" s="111"/>
      <c r="E475" s="121"/>
      <c r="F475" s="121"/>
      <c r="G475" s="113"/>
      <c r="H475" s="219"/>
      <c r="I475" s="200" t="str">
        <f>IF(E475="","",IF(AND(T475&lt;=66),VLOOKUP(H475,'WritingVocab Look Up'!$A$13:$B$21,2,TRUE),IF(AND(T475&gt;=67,T475&lt;=72),VLOOKUP(H475,'WritingVocab Look Up'!$E$13:$F$21,2,TRUE),IF(AND(T475&gt;=73,T475&lt;=78),VLOOKUP(H475,'WritingVocab Look Up'!$I$13:$J$21,2,TRUE),IF(AND(T475&gt;=79),VLOOKUP(H475,'WritingVocab Look Up'!$M$13:$N$21,2,TRUE),"")))))</f>
        <v/>
      </c>
      <c r="T475" s="222" t="str">
        <f t="shared" si="7"/>
        <v/>
      </c>
    </row>
    <row r="476" spans="1:20" s="108" customFormat="1" ht="15.75">
      <c r="A476" s="119"/>
      <c r="B476" s="120"/>
      <c r="C476" s="111"/>
      <c r="D476" s="111"/>
      <c r="E476" s="121"/>
      <c r="F476" s="121"/>
      <c r="G476" s="113"/>
      <c r="H476" s="219"/>
      <c r="I476" s="200" t="str">
        <f>IF(E476="","",IF(AND(T476&lt;=66),VLOOKUP(H476,'WritingVocab Look Up'!$A$13:$B$21,2,TRUE),IF(AND(T476&gt;=67,T476&lt;=72),VLOOKUP(H476,'WritingVocab Look Up'!$E$13:$F$21,2,TRUE),IF(AND(T476&gt;=73,T476&lt;=78),VLOOKUP(H476,'WritingVocab Look Up'!$I$13:$J$21,2,TRUE),IF(AND(T476&gt;=79),VLOOKUP(H476,'WritingVocab Look Up'!$M$13:$N$21,2,TRUE),"")))))</f>
        <v/>
      </c>
      <c r="T476" s="222" t="str">
        <f t="shared" si="7"/>
        <v/>
      </c>
    </row>
    <row r="477" spans="1:20" s="108" customFormat="1" ht="15.75">
      <c r="A477" s="119"/>
      <c r="B477" s="120"/>
      <c r="C477" s="111"/>
      <c r="D477" s="111"/>
      <c r="E477" s="121"/>
      <c r="F477" s="121"/>
      <c r="G477" s="113"/>
      <c r="H477" s="219"/>
      <c r="I477" s="200" t="str">
        <f>IF(E477="","",IF(AND(T477&lt;=66),VLOOKUP(H477,'WritingVocab Look Up'!$A$13:$B$21,2,TRUE),IF(AND(T477&gt;=67,T477&lt;=72),VLOOKUP(H477,'WritingVocab Look Up'!$E$13:$F$21,2,TRUE),IF(AND(T477&gt;=73,T477&lt;=78),VLOOKUP(H477,'WritingVocab Look Up'!$I$13:$J$21,2,TRUE),IF(AND(T477&gt;=79),VLOOKUP(H477,'WritingVocab Look Up'!$M$13:$N$21,2,TRUE),"")))))</f>
        <v/>
      </c>
      <c r="T477" s="222" t="str">
        <f t="shared" si="7"/>
        <v/>
      </c>
    </row>
    <row r="478" spans="1:20" s="108" customFormat="1" ht="15.75">
      <c r="A478" s="119"/>
      <c r="B478" s="120"/>
      <c r="C478" s="111"/>
      <c r="D478" s="111"/>
      <c r="E478" s="121"/>
      <c r="F478" s="121"/>
      <c r="G478" s="113"/>
      <c r="H478" s="219"/>
      <c r="I478" s="200" t="str">
        <f>IF(E478="","",IF(AND(T478&lt;=66),VLOOKUP(H478,'WritingVocab Look Up'!$A$13:$B$21,2,TRUE),IF(AND(T478&gt;=67,T478&lt;=72),VLOOKUP(H478,'WritingVocab Look Up'!$E$13:$F$21,2,TRUE),IF(AND(T478&gt;=73,T478&lt;=78),VLOOKUP(H478,'WritingVocab Look Up'!$I$13:$J$21,2,TRUE),IF(AND(T478&gt;=79),VLOOKUP(H478,'WritingVocab Look Up'!$M$13:$N$21,2,TRUE),"")))))</f>
        <v/>
      </c>
      <c r="T478" s="222" t="str">
        <f t="shared" si="7"/>
        <v/>
      </c>
    </row>
    <row r="479" spans="1:20" s="108" customFormat="1" ht="15.75">
      <c r="A479" s="119"/>
      <c r="B479" s="120"/>
      <c r="C479" s="111"/>
      <c r="D479" s="111"/>
      <c r="E479" s="121"/>
      <c r="F479" s="121"/>
      <c r="G479" s="113"/>
      <c r="H479" s="219"/>
      <c r="I479" s="200" t="str">
        <f>IF(E479="","",IF(AND(T479&lt;=66),VLOOKUP(H479,'WritingVocab Look Up'!$A$13:$B$21,2,TRUE),IF(AND(T479&gt;=67,T479&lt;=72),VLOOKUP(H479,'WritingVocab Look Up'!$E$13:$F$21,2,TRUE),IF(AND(T479&gt;=73,T479&lt;=78),VLOOKUP(H479,'WritingVocab Look Up'!$I$13:$J$21,2,TRUE),IF(AND(T479&gt;=79),VLOOKUP(H479,'WritingVocab Look Up'!$M$13:$N$21,2,TRUE),"")))))</f>
        <v/>
      </c>
      <c r="T479" s="222" t="str">
        <f t="shared" si="7"/>
        <v/>
      </c>
    </row>
    <row r="480" spans="1:20" s="108" customFormat="1" ht="15.75">
      <c r="A480" s="119"/>
      <c r="B480" s="120"/>
      <c r="C480" s="111"/>
      <c r="D480" s="111"/>
      <c r="E480" s="121"/>
      <c r="F480" s="121"/>
      <c r="G480" s="113"/>
      <c r="H480" s="219"/>
      <c r="I480" s="200" t="str">
        <f>IF(E480="","",IF(AND(T480&lt;=66),VLOOKUP(H480,'WritingVocab Look Up'!$A$13:$B$21,2,TRUE),IF(AND(T480&gt;=67,T480&lt;=72),VLOOKUP(H480,'WritingVocab Look Up'!$E$13:$F$21,2,TRUE),IF(AND(T480&gt;=73,T480&lt;=78),VLOOKUP(H480,'WritingVocab Look Up'!$I$13:$J$21,2,TRUE),IF(AND(T480&gt;=79),VLOOKUP(H480,'WritingVocab Look Up'!$M$13:$N$21,2,TRUE),"")))))</f>
        <v/>
      </c>
      <c r="T480" s="222" t="str">
        <f t="shared" si="7"/>
        <v/>
      </c>
    </row>
    <row r="481" spans="1:20" s="108" customFormat="1" ht="15.75">
      <c r="A481" s="119"/>
      <c r="B481" s="120"/>
      <c r="C481" s="111"/>
      <c r="D481" s="111"/>
      <c r="E481" s="121"/>
      <c r="F481" s="121"/>
      <c r="G481" s="113"/>
      <c r="H481" s="219"/>
      <c r="I481" s="200" t="str">
        <f>IF(E481="","",IF(AND(T481&lt;=66),VLOOKUP(H481,'WritingVocab Look Up'!$A$13:$B$21,2,TRUE),IF(AND(T481&gt;=67,T481&lt;=72),VLOOKUP(H481,'WritingVocab Look Up'!$E$13:$F$21,2,TRUE),IF(AND(T481&gt;=73,T481&lt;=78),VLOOKUP(H481,'WritingVocab Look Up'!$I$13:$J$21,2,TRUE),IF(AND(T481&gt;=79),VLOOKUP(H481,'WritingVocab Look Up'!$M$13:$N$21,2,TRUE),"")))))</f>
        <v/>
      </c>
      <c r="T481" s="222" t="str">
        <f t="shared" si="7"/>
        <v/>
      </c>
    </row>
    <row r="482" spans="1:20" s="108" customFormat="1" ht="15.75">
      <c r="A482" s="119"/>
      <c r="B482" s="120"/>
      <c r="C482" s="111"/>
      <c r="D482" s="111"/>
      <c r="E482" s="121"/>
      <c r="F482" s="121"/>
      <c r="G482" s="113"/>
      <c r="H482" s="219"/>
      <c r="I482" s="200" t="str">
        <f>IF(E482="","",IF(AND(T482&lt;=66),VLOOKUP(H482,'WritingVocab Look Up'!$A$13:$B$21,2,TRUE),IF(AND(T482&gt;=67,T482&lt;=72),VLOOKUP(H482,'WritingVocab Look Up'!$E$13:$F$21,2,TRUE),IF(AND(T482&gt;=73,T482&lt;=78),VLOOKUP(H482,'WritingVocab Look Up'!$I$13:$J$21,2,TRUE),IF(AND(T482&gt;=79),VLOOKUP(H482,'WritingVocab Look Up'!$M$13:$N$21,2,TRUE),"")))))</f>
        <v/>
      </c>
      <c r="T482" s="222" t="str">
        <f t="shared" si="7"/>
        <v/>
      </c>
    </row>
    <row r="483" spans="1:20" s="108" customFormat="1" ht="15.75">
      <c r="A483" s="119"/>
      <c r="B483" s="120"/>
      <c r="C483" s="111"/>
      <c r="D483" s="111"/>
      <c r="E483" s="121"/>
      <c r="F483" s="121"/>
      <c r="G483" s="113"/>
      <c r="H483" s="219"/>
      <c r="I483" s="200" t="str">
        <f>IF(E483="","",IF(AND(T483&lt;=66),VLOOKUP(H483,'WritingVocab Look Up'!$A$13:$B$21,2,TRUE),IF(AND(T483&gt;=67,T483&lt;=72),VLOOKUP(H483,'WritingVocab Look Up'!$E$13:$F$21,2,TRUE),IF(AND(T483&gt;=73,T483&lt;=78),VLOOKUP(H483,'WritingVocab Look Up'!$I$13:$J$21,2,TRUE),IF(AND(T483&gt;=79),VLOOKUP(H483,'WritingVocab Look Up'!$M$13:$N$21,2,TRUE),"")))))</f>
        <v/>
      </c>
      <c r="T483" s="222" t="str">
        <f t="shared" si="7"/>
        <v/>
      </c>
    </row>
    <row r="484" spans="1:20" s="108" customFormat="1" ht="15.75">
      <c r="A484" s="119"/>
      <c r="B484" s="120"/>
      <c r="C484" s="111"/>
      <c r="D484" s="111"/>
      <c r="E484" s="121"/>
      <c r="F484" s="121"/>
      <c r="G484" s="113"/>
      <c r="H484" s="219"/>
      <c r="I484" s="200" t="str">
        <f>IF(E484="","",IF(AND(T484&lt;=66),VLOOKUP(H484,'WritingVocab Look Up'!$A$13:$B$21,2,TRUE),IF(AND(T484&gt;=67,T484&lt;=72),VLOOKUP(H484,'WritingVocab Look Up'!$E$13:$F$21,2,TRUE),IF(AND(T484&gt;=73,T484&lt;=78),VLOOKUP(H484,'WritingVocab Look Up'!$I$13:$J$21,2,TRUE),IF(AND(T484&gt;=79),VLOOKUP(H484,'WritingVocab Look Up'!$M$13:$N$21,2,TRUE),"")))))</f>
        <v/>
      </c>
      <c r="T484" s="222" t="str">
        <f t="shared" si="7"/>
        <v/>
      </c>
    </row>
    <row r="485" spans="1:20" s="108" customFormat="1" ht="15.75">
      <c r="A485" s="119"/>
      <c r="B485" s="120"/>
      <c r="C485" s="111"/>
      <c r="D485" s="111"/>
      <c r="E485" s="121"/>
      <c r="F485" s="121"/>
      <c r="G485" s="113"/>
      <c r="H485" s="219"/>
      <c r="I485" s="200" t="str">
        <f>IF(E485="","",IF(AND(T485&lt;=66),VLOOKUP(H485,'WritingVocab Look Up'!$A$13:$B$21,2,TRUE),IF(AND(T485&gt;=67,T485&lt;=72),VLOOKUP(H485,'WritingVocab Look Up'!$E$13:$F$21,2,TRUE),IF(AND(T485&gt;=73,T485&lt;=78),VLOOKUP(H485,'WritingVocab Look Up'!$I$13:$J$21,2,TRUE),IF(AND(T485&gt;=79),VLOOKUP(H485,'WritingVocab Look Up'!$M$13:$N$21,2,TRUE),"")))))</f>
        <v/>
      </c>
      <c r="T485" s="222" t="str">
        <f t="shared" si="7"/>
        <v/>
      </c>
    </row>
    <row r="486" spans="1:20" s="108" customFormat="1" ht="15.75">
      <c r="A486" s="119"/>
      <c r="B486" s="120"/>
      <c r="C486" s="111"/>
      <c r="D486" s="111"/>
      <c r="E486" s="121"/>
      <c r="F486" s="121"/>
      <c r="G486" s="113"/>
      <c r="H486" s="219"/>
      <c r="I486" s="200" t="str">
        <f>IF(E486="","",IF(AND(T486&lt;=66),VLOOKUP(H486,'WritingVocab Look Up'!$A$13:$B$21,2,TRUE),IF(AND(T486&gt;=67,T486&lt;=72),VLOOKUP(H486,'WritingVocab Look Up'!$E$13:$F$21,2,TRUE),IF(AND(T486&gt;=73,T486&lt;=78),VLOOKUP(H486,'WritingVocab Look Up'!$I$13:$J$21,2,TRUE),IF(AND(T486&gt;=79),VLOOKUP(H486,'WritingVocab Look Up'!$M$13:$N$21,2,TRUE),"")))))</f>
        <v/>
      </c>
      <c r="T486" s="222" t="str">
        <f t="shared" si="7"/>
        <v/>
      </c>
    </row>
    <row r="487" spans="1:20" s="108" customFormat="1" ht="15.75">
      <c r="A487" s="119"/>
      <c r="B487" s="120"/>
      <c r="C487" s="111"/>
      <c r="D487" s="111"/>
      <c r="E487" s="121"/>
      <c r="F487" s="121"/>
      <c r="G487" s="113"/>
      <c r="H487" s="219"/>
      <c r="I487" s="200" t="str">
        <f>IF(E487="","",IF(AND(T487&lt;=66),VLOOKUP(H487,'WritingVocab Look Up'!$A$13:$B$21,2,TRUE),IF(AND(T487&gt;=67,T487&lt;=72),VLOOKUP(H487,'WritingVocab Look Up'!$E$13:$F$21,2,TRUE),IF(AND(T487&gt;=73,T487&lt;=78),VLOOKUP(H487,'WritingVocab Look Up'!$I$13:$J$21,2,TRUE),IF(AND(T487&gt;=79),VLOOKUP(H487,'WritingVocab Look Up'!$M$13:$N$21,2,TRUE),"")))))</f>
        <v/>
      </c>
      <c r="T487" s="222" t="str">
        <f t="shared" si="7"/>
        <v/>
      </c>
    </row>
    <row r="488" spans="1:20" s="108" customFormat="1" ht="15.75">
      <c r="A488" s="119"/>
      <c r="B488" s="120"/>
      <c r="C488" s="111"/>
      <c r="D488" s="111"/>
      <c r="E488" s="121"/>
      <c r="F488" s="121"/>
      <c r="G488" s="113"/>
      <c r="H488" s="219"/>
      <c r="I488" s="200" t="str">
        <f>IF(E488="","",IF(AND(T488&lt;=66),VLOOKUP(H488,'WritingVocab Look Up'!$A$13:$B$21,2,TRUE),IF(AND(T488&gt;=67,T488&lt;=72),VLOOKUP(H488,'WritingVocab Look Up'!$E$13:$F$21,2,TRUE),IF(AND(T488&gt;=73,T488&lt;=78),VLOOKUP(H488,'WritingVocab Look Up'!$I$13:$J$21,2,TRUE),IF(AND(T488&gt;=79),VLOOKUP(H488,'WritingVocab Look Up'!$M$13:$N$21,2,TRUE),"")))))</f>
        <v/>
      </c>
      <c r="T488" s="222" t="str">
        <f t="shared" si="7"/>
        <v/>
      </c>
    </row>
    <row r="489" spans="1:20" s="108" customFormat="1" ht="15.75">
      <c r="A489" s="119"/>
      <c r="B489" s="120"/>
      <c r="C489" s="111"/>
      <c r="D489" s="111"/>
      <c r="E489" s="121"/>
      <c r="F489" s="121"/>
      <c r="G489" s="113"/>
      <c r="H489" s="219"/>
      <c r="I489" s="200" t="str">
        <f>IF(E489="","",IF(AND(T489&lt;=66),VLOOKUP(H489,'WritingVocab Look Up'!$A$13:$B$21,2,TRUE),IF(AND(T489&gt;=67,T489&lt;=72),VLOOKUP(H489,'WritingVocab Look Up'!$E$13:$F$21,2,TRUE),IF(AND(T489&gt;=73,T489&lt;=78),VLOOKUP(H489,'WritingVocab Look Up'!$I$13:$J$21,2,TRUE),IF(AND(T489&gt;=79),VLOOKUP(H489,'WritingVocab Look Up'!$M$13:$N$21,2,TRUE),"")))))</f>
        <v/>
      </c>
      <c r="T489" s="222" t="str">
        <f t="shared" si="7"/>
        <v/>
      </c>
    </row>
    <row r="490" spans="1:20" s="108" customFormat="1" ht="15.75">
      <c r="A490" s="119"/>
      <c r="B490" s="120"/>
      <c r="C490" s="111"/>
      <c r="D490" s="111"/>
      <c r="E490" s="121"/>
      <c r="F490" s="121"/>
      <c r="G490" s="113"/>
      <c r="H490" s="219"/>
      <c r="I490" s="200" t="str">
        <f>IF(E490="","",IF(AND(T490&lt;=66),VLOOKUP(H490,'WritingVocab Look Up'!$A$13:$B$21,2,TRUE),IF(AND(T490&gt;=67,T490&lt;=72),VLOOKUP(H490,'WritingVocab Look Up'!$E$13:$F$21,2,TRUE),IF(AND(T490&gt;=73,T490&lt;=78),VLOOKUP(H490,'WritingVocab Look Up'!$I$13:$J$21,2,TRUE),IF(AND(T490&gt;=79),VLOOKUP(H490,'WritingVocab Look Up'!$M$13:$N$21,2,TRUE),"")))))</f>
        <v/>
      </c>
      <c r="T490" s="222" t="str">
        <f t="shared" si="7"/>
        <v/>
      </c>
    </row>
    <row r="491" spans="1:20" s="108" customFormat="1" ht="15.75">
      <c r="A491" s="119"/>
      <c r="B491" s="120"/>
      <c r="C491" s="111"/>
      <c r="D491" s="111"/>
      <c r="E491" s="121"/>
      <c r="F491" s="121"/>
      <c r="G491" s="113"/>
      <c r="H491" s="219"/>
      <c r="I491" s="200" t="str">
        <f>IF(E491="","",IF(AND(T491&lt;=66),VLOOKUP(H491,'WritingVocab Look Up'!$A$13:$B$21,2,TRUE),IF(AND(T491&gt;=67,T491&lt;=72),VLOOKUP(H491,'WritingVocab Look Up'!$E$13:$F$21,2,TRUE),IF(AND(T491&gt;=73,T491&lt;=78),VLOOKUP(H491,'WritingVocab Look Up'!$I$13:$J$21,2,TRUE),IF(AND(T491&gt;=79),VLOOKUP(H491,'WritingVocab Look Up'!$M$13:$N$21,2,TRUE),"")))))</f>
        <v/>
      </c>
      <c r="T491" s="222" t="str">
        <f t="shared" si="7"/>
        <v/>
      </c>
    </row>
    <row r="492" spans="1:20" s="108" customFormat="1" ht="15.75">
      <c r="A492" s="119"/>
      <c r="B492" s="120"/>
      <c r="C492" s="111"/>
      <c r="D492" s="111"/>
      <c r="E492" s="121"/>
      <c r="F492" s="121"/>
      <c r="G492" s="113"/>
      <c r="H492" s="219"/>
      <c r="I492" s="200" t="str">
        <f>IF(E492="","",IF(AND(T492&lt;=66),VLOOKUP(H492,'WritingVocab Look Up'!$A$13:$B$21,2,TRUE),IF(AND(T492&gt;=67,T492&lt;=72),VLOOKUP(H492,'WritingVocab Look Up'!$E$13:$F$21,2,TRUE),IF(AND(T492&gt;=73,T492&lt;=78),VLOOKUP(H492,'WritingVocab Look Up'!$I$13:$J$21,2,TRUE),IF(AND(T492&gt;=79),VLOOKUP(H492,'WritingVocab Look Up'!$M$13:$N$21,2,TRUE),"")))))</f>
        <v/>
      </c>
      <c r="T492" s="222" t="str">
        <f t="shared" si="7"/>
        <v/>
      </c>
    </row>
    <row r="493" spans="1:20" s="108" customFormat="1" ht="15.75">
      <c r="A493" s="119"/>
      <c r="B493" s="120"/>
      <c r="C493" s="111"/>
      <c r="D493" s="111"/>
      <c r="E493" s="121"/>
      <c r="F493" s="121"/>
      <c r="G493" s="113"/>
      <c r="H493" s="219"/>
      <c r="I493" s="200" t="str">
        <f>IF(E493="","",IF(AND(T493&lt;=66),VLOOKUP(H493,'WritingVocab Look Up'!$A$13:$B$21,2,TRUE),IF(AND(T493&gt;=67,T493&lt;=72),VLOOKUP(H493,'WritingVocab Look Up'!$E$13:$F$21,2,TRUE),IF(AND(T493&gt;=73,T493&lt;=78),VLOOKUP(H493,'WritingVocab Look Up'!$I$13:$J$21,2,TRUE),IF(AND(T493&gt;=79),VLOOKUP(H493,'WritingVocab Look Up'!$M$13:$N$21,2,TRUE),"")))))</f>
        <v/>
      </c>
      <c r="T493" s="222" t="str">
        <f t="shared" si="7"/>
        <v/>
      </c>
    </row>
    <row r="494" spans="1:20" s="108" customFormat="1" ht="15.75">
      <c r="A494" s="119"/>
      <c r="B494" s="120"/>
      <c r="C494" s="111"/>
      <c r="D494" s="111"/>
      <c r="E494" s="121"/>
      <c r="F494" s="121"/>
      <c r="G494" s="113"/>
      <c r="H494" s="219"/>
      <c r="I494" s="200" t="str">
        <f>IF(E494="","",IF(AND(T494&lt;=66),VLOOKUP(H494,'WritingVocab Look Up'!$A$13:$B$21,2,TRUE),IF(AND(T494&gt;=67,T494&lt;=72),VLOOKUP(H494,'WritingVocab Look Up'!$E$13:$F$21,2,TRUE),IF(AND(T494&gt;=73,T494&lt;=78),VLOOKUP(H494,'WritingVocab Look Up'!$I$13:$J$21,2,TRUE),IF(AND(T494&gt;=79),VLOOKUP(H494,'WritingVocab Look Up'!$M$13:$N$21,2,TRUE),"")))))</f>
        <v/>
      </c>
      <c r="T494" s="222" t="str">
        <f t="shared" si="7"/>
        <v/>
      </c>
    </row>
    <row r="495" spans="1:20" s="108" customFormat="1" ht="15.75">
      <c r="A495" s="260"/>
      <c r="B495" s="261"/>
      <c r="C495" s="262"/>
      <c r="D495" s="262"/>
      <c r="E495" s="263"/>
      <c r="F495" s="263"/>
      <c r="G495" s="264"/>
      <c r="H495" s="292"/>
      <c r="I495" s="201" t="str">
        <f>IF(E495="","",IF(AND(T495&lt;=66),VLOOKUP(H495,'WritingVocab Look Up'!$A$13:$B$21,2,TRUE),IF(AND(T495&gt;=67,T495&lt;=72),VLOOKUP(H495,'WritingVocab Look Up'!$E$13:$F$21,2,TRUE),IF(AND(T495&gt;=73,T495&lt;=78),VLOOKUP(H495,'WritingVocab Look Up'!$I$13:$J$21,2,TRUE),IF(AND(T495&gt;=79),VLOOKUP(H495,'WritingVocab Look Up'!$M$13:$N$21,2,TRUE),"")))))</f>
        <v/>
      </c>
      <c r="T495" s="222" t="str">
        <f t="shared" si="7"/>
        <v/>
      </c>
    </row>
    <row r="496" spans="1:20" s="108" customFormat="1" ht="15.75">
      <c r="A496" s="110"/>
      <c r="B496" s="110"/>
      <c r="C496" s="111"/>
      <c r="D496" s="111"/>
      <c r="E496" s="121"/>
      <c r="F496" s="121"/>
      <c r="G496" s="113"/>
      <c r="H496" s="293"/>
      <c r="I496" s="286" t="str">
        <f>IF(E496="","",IF(AND(T496&lt;=66),VLOOKUP(H496,'WritingVocab Look Up'!$A$13:$B$21,2,TRUE),IF(AND(T496&gt;=67,T496&lt;=72),VLOOKUP(H496,'WritingVocab Look Up'!$E$13:$F$21,2,TRUE),IF(AND(T496&gt;=73,T496&lt;=78),VLOOKUP(H496,'WritingVocab Look Up'!$I$13:$J$21,2,TRUE),IF(AND(T496&gt;=79),VLOOKUP(H496,'WritingVocab Look Up'!$M$13:$N$21,2,TRUE),"")))))</f>
        <v/>
      </c>
      <c r="T496" s="222" t="str">
        <f t="shared" si="7"/>
        <v/>
      </c>
    </row>
    <row r="497" spans="1:20" s="108" customFormat="1" ht="15.75">
      <c r="A497" s="110"/>
      <c r="B497" s="110"/>
      <c r="C497" s="111"/>
      <c r="D497" s="111"/>
      <c r="E497" s="121"/>
      <c r="F497" s="121"/>
      <c r="G497" s="113"/>
      <c r="H497" s="293"/>
      <c r="I497" s="286" t="str">
        <f>IF(E497="","",IF(AND(T497&lt;=66),VLOOKUP(H497,'WritingVocab Look Up'!$A$13:$B$21,2,TRUE),IF(AND(T497&gt;=67,T497&lt;=72),VLOOKUP(H497,'WritingVocab Look Up'!$E$13:$F$21,2,TRUE),IF(AND(T497&gt;=73,T497&lt;=78),VLOOKUP(H497,'WritingVocab Look Up'!$I$13:$J$21,2,TRUE),IF(AND(T497&gt;=79),VLOOKUP(H497,'WritingVocab Look Up'!$M$13:$N$21,2,TRUE),"")))))</f>
        <v/>
      </c>
      <c r="K497" s="99"/>
      <c r="T497" s="222" t="str">
        <f t="shared" si="7"/>
        <v/>
      </c>
    </row>
    <row r="498" spans="1:20" ht="15.75">
      <c r="A498" s="110"/>
      <c r="B498" s="110"/>
      <c r="C498" s="111"/>
      <c r="D498" s="111"/>
      <c r="E498" s="121"/>
      <c r="F498" s="121"/>
      <c r="G498" s="113"/>
      <c r="H498" s="293"/>
      <c r="I498" s="286" t="str">
        <f>IF(E498="","",IF(AND(T498&lt;=66),VLOOKUP(H498,'WritingVocab Look Up'!$A$13:$B$21,2,TRUE),IF(AND(T498&gt;=67,T498&lt;=72),VLOOKUP(H498,'WritingVocab Look Up'!$E$13:$F$21,2,TRUE),IF(AND(T498&gt;=73,T498&lt;=78),VLOOKUP(H498,'WritingVocab Look Up'!$I$13:$J$21,2,TRUE),IF(AND(T498&gt;=79),VLOOKUP(H498,'WritingVocab Look Up'!$M$13:$N$21,2,TRUE),"")))))</f>
        <v/>
      </c>
      <c r="T498" s="222" t="str">
        <f t="shared" si="7"/>
        <v/>
      </c>
    </row>
    <row r="499" spans="1:20" ht="15.75">
      <c r="A499" s="110"/>
      <c r="B499" s="110"/>
      <c r="C499" s="111"/>
      <c r="D499" s="111"/>
      <c r="E499" s="121"/>
      <c r="F499" s="121"/>
      <c r="G499" s="113"/>
      <c r="H499" s="293"/>
      <c r="I499" s="286" t="str">
        <f>IF(E499="","",IF(AND(T499&lt;=66),VLOOKUP(H499,'WritingVocab Look Up'!$A$13:$B$21,2,TRUE),IF(AND(T499&gt;=67,T499&lt;=72),VLOOKUP(H499,'WritingVocab Look Up'!$E$13:$F$21,2,TRUE),IF(AND(T499&gt;=73,T499&lt;=78),VLOOKUP(H499,'WritingVocab Look Up'!$I$13:$J$21,2,TRUE),IF(AND(T499&gt;=79),VLOOKUP(H499,'WritingVocab Look Up'!$M$13:$N$21,2,TRUE),"")))))</f>
        <v/>
      </c>
      <c r="T499" s="222" t="str">
        <f t="shared" si="7"/>
        <v/>
      </c>
    </row>
    <row r="500" spans="1:20" ht="16.5" thickBot="1">
      <c r="A500" s="294"/>
      <c r="B500" s="294"/>
      <c r="C500" s="126"/>
      <c r="D500" s="126"/>
      <c r="E500" s="127"/>
      <c r="F500" s="127"/>
      <c r="G500" s="128"/>
      <c r="H500" s="220"/>
      <c r="I500" s="290" t="str">
        <f>IF(E500="","",IF(AND(T500&lt;=66),VLOOKUP(H500,'WritingVocab Look Up'!$A$13:$B$21,2,TRUE),IF(AND(T500&gt;=67,T500&lt;=72),VLOOKUP(H500,'WritingVocab Look Up'!$E$13:$F$21,2,TRUE),IF(AND(T500&gt;=73,T500&lt;=78),VLOOKUP(H500,'WritingVocab Look Up'!$I$13:$J$21,2,TRUE),IF(AND(T500&gt;=79),VLOOKUP(H500,'WritingVocab Look Up'!$M$13:$N$21,2,TRUE),"")))))</f>
        <v/>
      </c>
      <c r="T500" s="222" t="str">
        <f t="shared" si="7"/>
        <v/>
      </c>
    </row>
  </sheetData>
  <mergeCells count="2">
    <mergeCell ref="F1:H1"/>
    <mergeCell ref="F3:I3"/>
  </mergeCells>
  <pageMargins left="0.7" right="0.7" top="0.75" bottom="0.75" header="0.3" footer="0.3"/>
  <pageSetup paperSize="9"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N505"/>
  <sheetViews>
    <sheetView topLeftCell="F5" workbookViewId="0">
      <selection activeCell="N3" sqref="N3"/>
    </sheetView>
  </sheetViews>
  <sheetFormatPr defaultRowHeight="15"/>
  <cols>
    <col min="1" max="1" width="38.28515625" style="1" bestFit="1" customWidth="1"/>
    <col min="2" max="2" width="17.7109375" style="1" bestFit="1" customWidth="1"/>
    <col min="5" max="5" width="38.28515625" bestFit="1" customWidth="1"/>
    <col min="6" max="6" width="17.7109375" bestFit="1" customWidth="1"/>
    <col min="7" max="8" width="9.85546875" bestFit="1" customWidth="1"/>
    <col min="9" max="9" width="38.28515625" bestFit="1" customWidth="1"/>
    <col min="10" max="10" width="17.7109375" bestFit="1" customWidth="1"/>
    <col min="13" max="13" width="38.28515625" bestFit="1" customWidth="1"/>
    <col min="14" max="14" width="17.7109375" bestFit="1" customWidth="1"/>
  </cols>
  <sheetData>
    <row r="1" spans="1:14" ht="27.75">
      <c r="A1" s="21"/>
      <c r="B1" s="21"/>
      <c r="C1" s="20"/>
      <c r="D1" s="20"/>
      <c r="E1" s="20"/>
      <c r="F1" s="20"/>
      <c r="G1" s="20"/>
      <c r="H1" s="20"/>
      <c r="I1" s="20"/>
      <c r="J1" s="20"/>
      <c r="K1" s="20"/>
      <c r="L1" s="20"/>
      <c r="M1" s="20"/>
      <c r="N1" s="20"/>
    </row>
    <row r="2" spans="1:14" ht="26.25">
      <c r="A2" s="19"/>
      <c r="B2" s="19"/>
      <c r="C2" s="10"/>
      <c r="D2" s="10"/>
      <c r="E2" s="10"/>
      <c r="F2" s="10"/>
      <c r="G2" s="10"/>
      <c r="H2" s="10"/>
      <c r="I2" s="10"/>
      <c r="J2" s="10"/>
      <c r="K2" s="10"/>
      <c r="L2" s="10"/>
      <c r="M2" s="10"/>
      <c r="N2" s="10"/>
    </row>
    <row r="3" spans="1:14">
      <c r="A3" s="16"/>
      <c r="B3" s="16"/>
      <c r="C3" s="7"/>
      <c r="D3" s="7"/>
      <c r="E3" s="7"/>
      <c r="F3" s="7"/>
      <c r="G3" s="7"/>
      <c r="H3" s="7"/>
      <c r="I3" s="7"/>
      <c r="J3" s="7"/>
      <c r="K3" s="7"/>
      <c r="L3" s="7"/>
      <c r="M3" s="7"/>
      <c r="N3" s="7"/>
    </row>
    <row r="4" spans="1:14" ht="20.25">
      <c r="A4" s="18"/>
      <c r="B4" s="18"/>
      <c r="C4" s="9"/>
      <c r="D4" s="9"/>
      <c r="E4" s="9"/>
      <c r="F4" s="9"/>
      <c r="G4" s="9"/>
      <c r="H4" s="9"/>
      <c r="I4" s="9"/>
      <c r="J4" s="9"/>
      <c r="K4" s="9"/>
      <c r="L4" s="9"/>
      <c r="M4" s="9"/>
      <c r="N4" s="9"/>
    </row>
    <row r="5" spans="1:14">
      <c r="A5" s="15"/>
      <c r="B5" s="15"/>
      <c r="C5" s="6"/>
      <c r="D5" s="6"/>
      <c r="E5" s="6"/>
      <c r="F5" s="6"/>
      <c r="G5" s="6"/>
      <c r="H5" s="6"/>
      <c r="I5" s="6"/>
      <c r="J5" s="6"/>
      <c r="K5" s="6"/>
      <c r="L5" s="6"/>
      <c r="M5" s="6"/>
      <c r="N5" s="6"/>
    </row>
    <row r="6" spans="1:14">
      <c r="A6" s="16"/>
      <c r="B6" s="16"/>
      <c r="C6" s="7"/>
      <c r="D6" s="7"/>
      <c r="E6" s="7"/>
      <c r="F6" s="7"/>
      <c r="G6" s="7"/>
      <c r="H6" s="7"/>
      <c r="I6" s="7"/>
      <c r="J6" s="7"/>
      <c r="K6" s="7"/>
      <c r="L6" s="7"/>
      <c r="M6" s="7"/>
      <c r="N6" s="7"/>
    </row>
    <row r="7" spans="1:14">
      <c r="A7" s="17"/>
      <c r="B7" s="17"/>
      <c r="C7" s="8"/>
      <c r="D7" s="8"/>
      <c r="E7" s="8"/>
      <c r="F7" s="8"/>
      <c r="G7" s="8"/>
      <c r="H7" s="8"/>
      <c r="I7" s="8"/>
      <c r="J7" s="8"/>
      <c r="K7" s="8"/>
      <c r="L7" s="8"/>
      <c r="M7" s="8"/>
      <c r="N7" s="8"/>
    </row>
    <row r="8" spans="1:14">
      <c r="A8" s="17"/>
      <c r="B8" s="17"/>
      <c r="C8" s="8"/>
      <c r="D8" s="8"/>
      <c r="E8" s="8"/>
      <c r="F8" s="8"/>
      <c r="G8" s="8"/>
      <c r="H8" s="8"/>
      <c r="I8" s="8"/>
      <c r="J8" s="8"/>
      <c r="K8" s="8"/>
      <c r="L8" s="8"/>
      <c r="M8" s="8"/>
      <c r="N8" s="8"/>
    </row>
    <row r="9" spans="1:14">
      <c r="A9" s="16" t="s">
        <v>176</v>
      </c>
      <c r="B9" s="16"/>
      <c r="C9" s="7"/>
      <c r="D9" s="7"/>
      <c r="E9" s="7"/>
      <c r="F9" s="7"/>
      <c r="G9" s="7"/>
      <c r="H9" s="7"/>
      <c r="I9" s="7"/>
      <c r="J9" s="7"/>
      <c r="K9" s="7"/>
      <c r="L9" s="7"/>
      <c r="M9" s="7"/>
      <c r="N9" s="7"/>
    </row>
    <row r="10" spans="1:14">
      <c r="A10" s="15"/>
      <c r="B10" s="15"/>
      <c r="C10" s="6"/>
      <c r="D10" s="6"/>
      <c r="E10" s="6"/>
      <c r="F10" s="6"/>
      <c r="G10" s="6"/>
      <c r="H10" s="6"/>
      <c r="I10" s="6"/>
      <c r="J10" s="6"/>
      <c r="K10" s="6"/>
      <c r="L10" s="6"/>
      <c r="M10" s="6"/>
      <c r="N10" s="6"/>
    </row>
    <row r="11" spans="1:14" ht="30.75">
      <c r="A11" s="14" t="s">
        <v>180</v>
      </c>
      <c r="B11" s="11"/>
      <c r="C11" s="2"/>
      <c r="D11" s="2"/>
      <c r="E11" s="14" t="s">
        <v>179</v>
      </c>
      <c r="F11" s="11"/>
      <c r="G11" s="5"/>
      <c r="H11" s="5"/>
      <c r="I11" s="14" t="s">
        <v>178</v>
      </c>
      <c r="J11" s="11"/>
      <c r="K11" s="5"/>
      <c r="L11" s="5"/>
      <c r="M11" s="14" t="s">
        <v>177</v>
      </c>
      <c r="N11" s="11"/>
    </row>
    <row r="12" spans="1:14" ht="15.75">
      <c r="A12" s="24" t="s">
        <v>43</v>
      </c>
      <c r="B12" s="24" t="s">
        <v>42</v>
      </c>
      <c r="C12" s="2"/>
      <c r="D12" s="2"/>
      <c r="E12" s="13" t="s">
        <v>43</v>
      </c>
      <c r="F12" s="13" t="s">
        <v>42</v>
      </c>
      <c r="G12" s="5"/>
      <c r="H12" s="5"/>
      <c r="I12" s="13" t="s">
        <v>43</v>
      </c>
      <c r="J12" s="13" t="s">
        <v>42</v>
      </c>
      <c r="K12" s="5"/>
      <c r="L12" s="5"/>
      <c r="M12" s="13" t="s">
        <v>43</v>
      </c>
      <c r="N12" s="13" t="s">
        <v>42</v>
      </c>
    </row>
    <row r="13" spans="1:14" ht="15.75">
      <c r="A13" s="3">
        <v>0</v>
      </c>
      <c r="B13" s="3">
        <v>1</v>
      </c>
      <c r="C13" s="2"/>
      <c r="D13" s="2"/>
      <c r="E13" s="3">
        <v>0</v>
      </c>
      <c r="F13" s="3">
        <v>1</v>
      </c>
      <c r="G13" s="4"/>
      <c r="H13" s="4"/>
      <c r="I13" s="23">
        <v>0</v>
      </c>
      <c r="J13" s="23">
        <v>1</v>
      </c>
      <c r="K13" s="4"/>
      <c r="L13" s="4"/>
      <c r="M13" s="23">
        <v>0</v>
      </c>
      <c r="N13" s="23">
        <v>1</v>
      </c>
    </row>
    <row r="14" spans="1:14" ht="15.75">
      <c r="A14" s="3">
        <v>1</v>
      </c>
      <c r="B14" s="3">
        <v>2</v>
      </c>
      <c r="C14" s="2"/>
      <c r="D14" s="2"/>
      <c r="E14" s="3">
        <v>3</v>
      </c>
      <c r="F14" s="3">
        <v>2</v>
      </c>
      <c r="G14" s="5"/>
      <c r="H14" s="5"/>
      <c r="I14" s="23">
        <v>5</v>
      </c>
      <c r="J14" s="23">
        <v>2</v>
      </c>
      <c r="K14" s="5"/>
      <c r="L14" s="5"/>
      <c r="M14" s="23">
        <v>9</v>
      </c>
      <c r="N14" s="23">
        <v>2</v>
      </c>
    </row>
    <row r="15" spans="1:14" ht="15.75">
      <c r="A15" s="3">
        <v>2</v>
      </c>
      <c r="B15" s="3">
        <v>3</v>
      </c>
      <c r="C15" s="2"/>
      <c r="D15" s="2"/>
      <c r="E15" s="3">
        <v>6</v>
      </c>
      <c r="F15" s="3">
        <v>3</v>
      </c>
      <c r="G15" s="5"/>
      <c r="H15" s="5"/>
      <c r="I15" s="23">
        <v>14</v>
      </c>
      <c r="J15" s="23">
        <v>3</v>
      </c>
      <c r="K15" s="5"/>
      <c r="L15" s="5"/>
      <c r="M15" s="23">
        <v>26</v>
      </c>
      <c r="N15" s="23">
        <v>3</v>
      </c>
    </row>
    <row r="16" spans="1:14" ht="15.75">
      <c r="A16" s="3">
        <v>4</v>
      </c>
      <c r="B16" s="3">
        <v>4</v>
      </c>
      <c r="C16" s="2"/>
      <c r="D16" s="2"/>
      <c r="E16" s="3">
        <v>9</v>
      </c>
      <c r="F16" s="3">
        <v>4</v>
      </c>
      <c r="G16" s="5"/>
      <c r="H16" s="5"/>
      <c r="I16" s="23">
        <v>26</v>
      </c>
      <c r="J16" s="23">
        <v>4</v>
      </c>
      <c r="K16" s="5"/>
      <c r="L16" s="5"/>
      <c r="M16" s="23">
        <v>36</v>
      </c>
      <c r="N16" s="22" t="s">
        <v>118</v>
      </c>
    </row>
    <row r="17" spans="1:14" ht="15.75">
      <c r="A17" s="3">
        <v>7</v>
      </c>
      <c r="B17" s="3">
        <v>5</v>
      </c>
      <c r="C17" s="2"/>
      <c r="D17" s="2"/>
      <c r="E17" s="3">
        <v>16</v>
      </c>
      <c r="F17" s="3">
        <v>5</v>
      </c>
      <c r="G17" s="5"/>
      <c r="H17" s="5"/>
      <c r="I17" s="23">
        <v>37</v>
      </c>
      <c r="J17" s="23">
        <v>5</v>
      </c>
      <c r="K17" s="5"/>
      <c r="L17" s="5"/>
      <c r="M17" s="23">
        <v>46</v>
      </c>
      <c r="N17" s="22" t="s">
        <v>117</v>
      </c>
    </row>
    <row r="18" spans="1:14" ht="15.75">
      <c r="A18" s="3">
        <v>12</v>
      </c>
      <c r="B18" s="3">
        <v>6</v>
      </c>
      <c r="C18" s="2"/>
      <c r="D18" s="2"/>
      <c r="E18" s="3">
        <v>27</v>
      </c>
      <c r="F18" s="3">
        <v>6</v>
      </c>
      <c r="G18" s="4"/>
      <c r="H18" s="4"/>
      <c r="I18" s="23">
        <v>50</v>
      </c>
      <c r="J18" s="23">
        <v>6</v>
      </c>
      <c r="K18" s="4"/>
      <c r="L18" s="4"/>
      <c r="M18" s="23">
        <v>57</v>
      </c>
      <c r="N18" s="23">
        <v>6</v>
      </c>
    </row>
    <row r="19" spans="1:14">
      <c r="A19" s="3">
        <v>19</v>
      </c>
      <c r="B19" s="3">
        <v>7</v>
      </c>
      <c r="C19" s="2"/>
      <c r="D19" s="2"/>
      <c r="E19" s="3">
        <v>38</v>
      </c>
      <c r="F19" s="12" t="s">
        <v>116</v>
      </c>
      <c r="G19" s="2"/>
      <c r="H19" s="2"/>
      <c r="I19" s="23">
        <v>60</v>
      </c>
      <c r="J19" s="22" t="s">
        <v>116</v>
      </c>
      <c r="K19" s="2"/>
      <c r="L19" s="2"/>
      <c r="M19" s="23">
        <v>67</v>
      </c>
      <c r="N19" s="23">
        <v>7</v>
      </c>
    </row>
    <row r="20" spans="1:14" ht="15.75">
      <c r="A20" s="3">
        <v>33</v>
      </c>
      <c r="B20" s="12" t="s">
        <v>115</v>
      </c>
      <c r="C20" s="2"/>
      <c r="D20" s="2"/>
      <c r="E20" s="3">
        <v>49</v>
      </c>
      <c r="F20" s="3">
        <v>8</v>
      </c>
      <c r="G20" s="5"/>
      <c r="H20" s="5"/>
      <c r="I20" s="40">
        <v>70</v>
      </c>
      <c r="J20" s="40">
        <v>8</v>
      </c>
      <c r="K20" s="5"/>
      <c r="L20" s="5"/>
      <c r="M20" s="23">
        <v>81</v>
      </c>
      <c r="N20" s="23">
        <v>8</v>
      </c>
    </row>
    <row r="21" spans="1:14" ht="15.75">
      <c r="A21" s="3">
        <v>49</v>
      </c>
      <c r="B21" s="3">
        <v>9</v>
      </c>
      <c r="C21" s="2"/>
      <c r="D21" s="2"/>
      <c r="E21" s="3">
        <v>59</v>
      </c>
      <c r="F21" s="3">
        <v>9</v>
      </c>
      <c r="G21" s="5"/>
      <c r="H21" s="5"/>
      <c r="I21" s="23">
        <v>84</v>
      </c>
      <c r="J21" s="23">
        <v>9</v>
      </c>
      <c r="K21" s="5"/>
      <c r="L21" s="5"/>
      <c r="M21" s="39">
        <v>100</v>
      </c>
      <c r="N21" s="39">
        <v>9</v>
      </c>
    </row>
    <row r="22" spans="1:14" ht="15.75">
      <c r="A22" s="11"/>
      <c r="B22" s="11"/>
      <c r="C22" s="2"/>
      <c r="D22" s="2"/>
      <c r="E22" s="11"/>
      <c r="F22" s="11"/>
      <c r="G22" s="4"/>
      <c r="H22" s="4"/>
      <c r="I22" s="5"/>
      <c r="J22" s="5"/>
      <c r="K22" s="4"/>
      <c r="L22" s="4"/>
      <c r="M22" s="4"/>
      <c r="N22" s="4"/>
    </row>
    <row r="23" spans="1:14" ht="15.75">
      <c r="A23" s="11"/>
      <c r="B23" s="11"/>
      <c r="C23" s="2"/>
      <c r="D23" s="2"/>
      <c r="E23" s="11"/>
      <c r="F23" s="11"/>
      <c r="G23" s="2"/>
      <c r="H23" s="2"/>
      <c r="I23" s="5"/>
      <c r="J23" s="5"/>
      <c r="K23" s="2"/>
      <c r="L23" s="2"/>
      <c r="M23" s="2"/>
      <c r="N23" s="2"/>
    </row>
    <row r="24" spans="1:14" ht="15.75">
      <c r="A24" s="11"/>
      <c r="B24" s="11"/>
      <c r="C24" s="2"/>
      <c r="D24" s="2"/>
      <c r="E24" s="11"/>
      <c r="F24" s="11"/>
      <c r="G24" s="5"/>
      <c r="H24" s="5"/>
      <c r="I24" s="4"/>
      <c r="J24" s="4"/>
      <c r="K24" s="5"/>
      <c r="L24" s="5"/>
      <c r="M24" s="5"/>
      <c r="N24" s="5"/>
    </row>
    <row r="25" spans="1:14" ht="15.75">
      <c r="A25" s="11"/>
      <c r="B25" s="11"/>
      <c r="C25" s="2"/>
      <c r="D25" s="2"/>
      <c r="E25" s="11"/>
      <c r="F25" s="11"/>
      <c r="G25" s="5"/>
      <c r="H25" s="5"/>
      <c r="I25" s="2"/>
      <c r="J25" s="2"/>
      <c r="K25" s="5"/>
      <c r="L25" s="5"/>
      <c r="M25" s="5"/>
      <c r="N25" s="5"/>
    </row>
    <row r="26" spans="1:14" ht="15.75">
      <c r="A26" s="11"/>
      <c r="B26" s="11"/>
      <c r="C26" s="2"/>
      <c r="D26" s="2"/>
      <c r="E26" s="11"/>
      <c r="F26" s="11"/>
      <c r="G26" s="4"/>
      <c r="H26" s="4"/>
      <c r="I26" s="2"/>
      <c r="J26" s="2"/>
      <c r="K26" s="4"/>
      <c r="L26" s="4"/>
      <c r="M26" s="4"/>
      <c r="N26" s="4"/>
    </row>
    <row r="27" spans="1:14">
      <c r="A27" s="11"/>
      <c r="B27" s="11"/>
      <c r="C27" s="2"/>
      <c r="D27" s="2"/>
      <c r="E27" s="11"/>
      <c r="F27" s="11"/>
      <c r="G27" s="2"/>
      <c r="H27" s="2"/>
      <c r="I27" s="2"/>
      <c r="J27" s="2"/>
      <c r="K27" s="2"/>
      <c r="L27" s="2"/>
      <c r="M27" s="2"/>
      <c r="N27" s="2"/>
    </row>
    <row r="28" spans="1:14">
      <c r="A28" s="11"/>
      <c r="B28" s="11"/>
      <c r="C28" s="2"/>
      <c r="D28" s="2"/>
      <c r="E28" s="11"/>
      <c r="F28" s="11"/>
      <c r="G28" s="2"/>
      <c r="H28" s="2"/>
      <c r="I28" s="2"/>
      <c r="J28" s="2"/>
      <c r="K28" s="2"/>
      <c r="L28" s="2"/>
      <c r="M28" s="2"/>
      <c r="N28" s="2"/>
    </row>
    <row r="29" spans="1:14">
      <c r="A29" s="11"/>
      <c r="B29" s="11"/>
      <c r="C29" s="2"/>
      <c r="D29" s="2"/>
      <c r="E29" s="11"/>
      <c r="F29" s="11"/>
      <c r="G29" s="2"/>
      <c r="H29" s="2"/>
      <c r="I29" s="2"/>
      <c r="J29" s="2"/>
      <c r="K29" s="2"/>
      <c r="L29" s="2"/>
      <c r="M29" s="2"/>
      <c r="N29" s="2"/>
    </row>
    <row r="30" spans="1:14">
      <c r="A30" s="11"/>
      <c r="B30" s="11"/>
      <c r="C30" s="2"/>
      <c r="D30" s="2"/>
      <c r="E30" s="11"/>
      <c r="F30" s="11"/>
      <c r="G30" s="2"/>
      <c r="H30" s="2"/>
      <c r="I30" s="2"/>
      <c r="J30" s="2"/>
      <c r="K30" s="2"/>
      <c r="L30" s="2"/>
      <c r="M30" s="2"/>
      <c r="N30" s="2"/>
    </row>
    <row r="31" spans="1:14">
      <c r="A31" s="11"/>
      <c r="B31" s="11"/>
      <c r="C31" s="2"/>
      <c r="D31" s="2"/>
      <c r="E31" s="11"/>
      <c r="F31" s="11"/>
      <c r="G31" s="2"/>
      <c r="H31" s="2"/>
      <c r="I31" s="2"/>
      <c r="J31" s="2"/>
      <c r="K31" s="2"/>
      <c r="L31" s="2"/>
      <c r="M31" s="2"/>
      <c r="N31" s="2"/>
    </row>
    <row r="32" spans="1:14">
      <c r="A32" s="11"/>
      <c r="B32" s="11"/>
      <c r="C32" s="2"/>
      <c r="D32" s="2"/>
      <c r="E32" s="11"/>
      <c r="F32" s="11"/>
      <c r="G32" s="2"/>
      <c r="H32" s="2"/>
      <c r="I32" s="2"/>
      <c r="J32" s="2"/>
      <c r="K32" s="2"/>
      <c r="L32" s="2"/>
      <c r="M32" s="2"/>
      <c r="N32" s="2"/>
    </row>
    <row r="33" spans="1:14">
      <c r="A33" s="11"/>
      <c r="B33" s="11"/>
      <c r="C33" s="2"/>
      <c r="D33" s="2"/>
      <c r="E33" s="11"/>
      <c r="F33" s="11"/>
      <c r="G33" s="2"/>
      <c r="H33" s="2"/>
      <c r="I33" s="2"/>
      <c r="J33" s="2"/>
      <c r="K33" s="2"/>
      <c r="L33" s="2"/>
      <c r="M33" s="2"/>
      <c r="N33" s="2"/>
    </row>
    <row r="34" spans="1:14">
      <c r="A34" s="11"/>
      <c r="B34" s="11"/>
      <c r="C34" s="2"/>
      <c r="D34" s="2"/>
      <c r="E34" s="11"/>
      <c r="F34" s="11"/>
      <c r="G34" s="2"/>
      <c r="H34" s="2"/>
      <c r="I34" s="2"/>
      <c r="J34" s="2"/>
      <c r="K34" s="2"/>
      <c r="L34" s="2"/>
      <c r="M34" s="2"/>
      <c r="N34" s="2"/>
    </row>
    <row r="35" spans="1:14">
      <c r="A35" s="11"/>
      <c r="B35" s="11"/>
      <c r="C35" s="2"/>
      <c r="D35" s="2"/>
      <c r="E35" s="11"/>
      <c r="F35" s="11"/>
      <c r="G35" s="2"/>
      <c r="H35" s="2"/>
      <c r="I35" s="2"/>
      <c r="J35" s="2"/>
      <c r="K35" s="2"/>
      <c r="L35" s="2"/>
      <c r="M35" s="2"/>
      <c r="N35" s="2"/>
    </row>
    <row r="36" spans="1:14">
      <c r="A36" s="11"/>
      <c r="B36" s="11"/>
      <c r="C36" s="2"/>
      <c r="D36" s="2"/>
      <c r="E36" s="2"/>
      <c r="F36" s="2"/>
      <c r="G36" s="2"/>
      <c r="H36" s="2"/>
      <c r="I36" s="2"/>
      <c r="J36" s="2"/>
      <c r="K36" s="2"/>
      <c r="L36" s="2"/>
      <c r="M36" s="2"/>
      <c r="N36" s="2"/>
    </row>
    <row r="37" spans="1:14">
      <c r="A37" s="11"/>
      <c r="B37" s="11"/>
      <c r="C37" s="2"/>
      <c r="D37" s="2"/>
      <c r="E37" s="2"/>
      <c r="F37" s="2"/>
      <c r="G37" s="2"/>
      <c r="H37" s="2"/>
      <c r="I37" s="2"/>
      <c r="J37" s="2"/>
      <c r="K37" s="2"/>
      <c r="L37" s="2"/>
      <c r="M37" s="2"/>
      <c r="N37" s="2"/>
    </row>
    <row r="38" spans="1:14">
      <c r="A38" s="11"/>
      <c r="B38" s="11"/>
      <c r="C38" s="2"/>
      <c r="D38" s="2"/>
      <c r="E38" s="2"/>
      <c r="F38" s="2"/>
      <c r="G38" s="2"/>
      <c r="H38" s="2"/>
      <c r="I38" s="2"/>
      <c r="J38" s="2"/>
      <c r="K38" s="2"/>
      <c r="L38" s="2"/>
      <c r="M38" s="2"/>
      <c r="N38" s="2"/>
    </row>
    <row r="39" spans="1:14">
      <c r="A39" s="11"/>
      <c r="B39" s="11"/>
      <c r="C39" s="2"/>
      <c r="D39" s="2"/>
      <c r="E39" s="2"/>
      <c r="F39" s="2"/>
      <c r="G39" s="2"/>
      <c r="H39" s="2"/>
      <c r="I39" s="2"/>
      <c r="J39" s="2"/>
      <c r="K39" s="2"/>
      <c r="L39" s="2"/>
      <c r="M39" s="2"/>
      <c r="N39" s="2"/>
    </row>
    <row r="40" spans="1:14">
      <c r="A40" s="11"/>
      <c r="B40" s="11"/>
      <c r="C40" s="2"/>
      <c r="D40" s="2"/>
      <c r="E40" s="2"/>
      <c r="F40" s="2"/>
      <c r="G40" s="2"/>
      <c r="H40" s="2"/>
      <c r="I40" s="2"/>
      <c r="J40" s="2"/>
      <c r="K40" s="2"/>
      <c r="L40" s="2"/>
      <c r="M40" s="2"/>
      <c r="N40" s="2"/>
    </row>
    <row r="41" spans="1:14">
      <c r="A41" s="11"/>
      <c r="B41" s="11"/>
      <c r="C41" s="2"/>
      <c r="D41" s="2"/>
      <c r="E41" s="2"/>
      <c r="F41" s="2"/>
      <c r="G41" s="2"/>
      <c r="H41" s="2"/>
      <c r="I41" s="2"/>
      <c r="J41" s="2"/>
      <c r="K41" s="2"/>
      <c r="L41" s="2"/>
      <c r="M41" s="2"/>
      <c r="N41" s="2"/>
    </row>
    <row r="42" spans="1:14">
      <c r="A42" s="11"/>
      <c r="B42" s="11"/>
      <c r="C42" s="2"/>
      <c r="D42" s="2"/>
      <c r="E42" s="2"/>
      <c r="F42" s="2"/>
      <c r="G42" s="2"/>
      <c r="H42" s="2"/>
      <c r="I42" s="2"/>
      <c r="J42" s="2"/>
      <c r="K42" s="2"/>
      <c r="L42" s="2"/>
      <c r="M42" s="2"/>
      <c r="N42" s="2"/>
    </row>
    <row r="43" spans="1:14">
      <c r="A43" s="11"/>
      <c r="B43" s="11"/>
      <c r="C43" s="2"/>
      <c r="D43" s="2"/>
      <c r="E43" s="2"/>
      <c r="F43" s="2"/>
      <c r="G43" s="2"/>
      <c r="H43" s="2"/>
      <c r="I43" s="2"/>
      <c r="J43" s="2"/>
      <c r="K43" s="2"/>
      <c r="L43" s="2"/>
      <c r="M43" s="2"/>
      <c r="N43" s="2"/>
    </row>
    <row r="44" spans="1:14">
      <c r="A44" s="11"/>
      <c r="B44" s="11"/>
      <c r="C44" s="2"/>
      <c r="D44" s="2"/>
      <c r="E44" s="2"/>
      <c r="F44" s="2"/>
      <c r="G44" s="2"/>
      <c r="H44" s="2"/>
      <c r="I44" s="2"/>
      <c r="J44" s="2"/>
      <c r="K44" s="2"/>
      <c r="L44" s="2"/>
      <c r="M44" s="2"/>
      <c r="N44" s="2"/>
    </row>
    <row r="45" spans="1:14">
      <c r="A45" s="11"/>
      <c r="B45" s="11"/>
      <c r="C45" s="2"/>
      <c r="D45" s="2"/>
      <c r="E45" s="2"/>
      <c r="F45" s="2"/>
      <c r="G45" s="2"/>
      <c r="H45" s="2"/>
      <c r="I45" s="2"/>
      <c r="J45" s="2"/>
      <c r="K45" s="2"/>
      <c r="L45" s="2"/>
      <c r="M45" s="2"/>
      <c r="N45" s="2"/>
    </row>
    <row r="46" spans="1:14">
      <c r="A46" s="11"/>
      <c r="B46" s="11"/>
      <c r="C46" s="2"/>
      <c r="D46" s="2"/>
      <c r="E46" s="2"/>
      <c r="F46" s="2"/>
      <c r="G46" s="2"/>
      <c r="H46" s="2"/>
      <c r="I46" s="2"/>
      <c r="J46" s="2"/>
      <c r="K46" s="2"/>
      <c r="L46" s="2"/>
      <c r="M46" s="2"/>
      <c r="N46" s="2"/>
    </row>
    <row r="47" spans="1:14">
      <c r="A47" s="11"/>
      <c r="B47" s="11"/>
      <c r="C47" s="2"/>
      <c r="D47" s="2"/>
      <c r="E47" s="2"/>
      <c r="F47" s="2"/>
      <c r="G47" s="2"/>
      <c r="H47" s="2"/>
      <c r="I47" s="2"/>
      <c r="J47" s="2"/>
      <c r="K47" s="2"/>
      <c r="L47" s="2"/>
      <c r="M47" s="2"/>
      <c r="N47" s="2"/>
    </row>
    <row r="48" spans="1:14">
      <c r="A48" s="11"/>
      <c r="B48" s="11"/>
      <c r="C48" s="2"/>
      <c r="D48" s="2"/>
      <c r="E48" s="2"/>
      <c r="F48" s="2"/>
      <c r="G48" s="2"/>
      <c r="H48" s="2"/>
      <c r="I48" s="2"/>
      <c r="J48" s="2"/>
      <c r="K48" s="2"/>
      <c r="L48" s="2"/>
      <c r="M48" s="2"/>
      <c r="N48" s="2"/>
    </row>
    <row r="49" spans="1:14">
      <c r="A49" s="11"/>
      <c r="B49" s="11"/>
      <c r="C49" s="2"/>
      <c r="D49" s="2"/>
      <c r="E49" s="2"/>
      <c r="F49" s="2"/>
      <c r="G49" s="2"/>
      <c r="H49" s="2"/>
      <c r="I49" s="2"/>
      <c r="J49" s="2"/>
      <c r="K49" s="2"/>
      <c r="L49" s="2"/>
      <c r="M49" s="2"/>
      <c r="N49" s="2"/>
    </row>
    <row r="50" spans="1:14">
      <c r="A50" s="11"/>
      <c r="B50" s="11"/>
      <c r="C50" s="2"/>
      <c r="D50" s="2"/>
      <c r="E50" s="2"/>
      <c r="F50" s="2"/>
      <c r="G50" s="2"/>
      <c r="H50" s="2"/>
      <c r="I50" s="2"/>
      <c r="J50" s="2"/>
      <c r="K50" s="2"/>
      <c r="L50" s="2"/>
      <c r="M50" s="2"/>
      <c r="N50" s="2"/>
    </row>
    <row r="51" spans="1:14">
      <c r="A51" s="11"/>
      <c r="B51" s="11"/>
      <c r="C51" s="2"/>
      <c r="D51" s="2"/>
      <c r="E51" s="2"/>
      <c r="F51" s="2"/>
      <c r="G51" s="2"/>
      <c r="H51" s="2"/>
      <c r="I51" s="2"/>
      <c r="J51" s="2"/>
      <c r="K51" s="2"/>
      <c r="L51" s="2"/>
      <c r="M51" s="2"/>
      <c r="N51" s="2"/>
    </row>
    <row r="52" spans="1:14">
      <c r="A52" s="11"/>
      <c r="B52" s="11"/>
      <c r="C52" s="2"/>
      <c r="D52" s="2"/>
      <c r="E52" s="2"/>
      <c r="F52" s="2"/>
      <c r="G52" s="2"/>
      <c r="H52" s="2"/>
      <c r="I52" s="2"/>
      <c r="J52" s="2"/>
      <c r="K52" s="2"/>
      <c r="L52" s="2"/>
      <c r="M52" s="2"/>
      <c r="N52" s="2"/>
    </row>
    <row r="53" spans="1:14">
      <c r="A53" s="11"/>
      <c r="B53" s="11"/>
      <c r="C53" s="2"/>
      <c r="D53" s="2"/>
      <c r="E53" s="2"/>
      <c r="F53" s="2"/>
      <c r="G53" s="2"/>
      <c r="H53" s="2"/>
      <c r="I53" s="2"/>
      <c r="J53" s="2"/>
      <c r="K53" s="2"/>
      <c r="L53" s="2"/>
      <c r="M53" s="2"/>
      <c r="N53" s="2"/>
    </row>
    <row r="54" spans="1:14">
      <c r="A54" s="11"/>
      <c r="B54" s="11"/>
      <c r="C54" s="2"/>
      <c r="D54" s="2"/>
      <c r="E54" s="2"/>
      <c r="F54" s="2"/>
      <c r="G54" s="2"/>
      <c r="H54" s="2"/>
      <c r="I54" s="2"/>
      <c r="J54" s="2"/>
      <c r="K54" s="2"/>
      <c r="L54" s="2"/>
      <c r="M54" s="2"/>
      <c r="N54" s="2"/>
    </row>
    <row r="55" spans="1:14">
      <c r="A55" s="11"/>
      <c r="B55" s="11"/>
      <c r="C55" s="2"/>
      <c r="D55" s="2"/>
      <c r="E55" s="2"/>
      <c r="F55" s="2"/>
      <c r="G55" s="2"/>
      <c r="H55" s="2"/>
      <c r="I55" s="2"/>
      <c r="J55" s="2"/>
      <c r="K55" s="2"/>
      <c r="L55" s="2"/>
      <c r="M55" s="2"/>
      <c r="N55" s="2"/>
    </row>
    <row r="56" spans="1:14">
      <c r="A56" s="11"/>
      <c r="B56" s="11"/>
      <c r="C56" s="2"/>
      <c r="D56" s="2"/>
      <c r="E56" s="2"/>
      <c r="F56" s="2"/>
      <c r="G56" s="2"/>
      <c r="H56" s="2"/>
      <c r="I56" s="2"/>
      <c r="J56" s="2"/>
      <c r="K56" s="2"/>
      <c r="L56" s="2"/>
      <c r="M56" s="2"/>
      <c r="N56" s="2"/>
    </row>
    <row r="57" spans="1:14">
      <c r="A57" s="11"/>
      <c r="B57" s="11"/>
      <c r="C57" s="2"/>
      <c r="D57" s="2"/>
      <c r="E57" s="2"/>
      <c r="F57" s="2"/>
      <c r="G57" s="2"/>
      <c r="H57" s="2"/>
      <c r="I57" s="2"/>
      <c r="J57" s="2"/>
      <c r="K57" s="2"/>
      <c r="L57" s="2"/>
      <c r="M57" s="2"/>
      <c r="N57" s="2"/>
    </row>
    <row r="58" spans="1:14">
      <c r="A58" s="11"/>
      <c r="B58" s="11"/>
      <c r="C58" s="2"/>
      <c r="D58" s="2"/>
      <c r="E58" s="2"/>
      <c r="F58" s="2"/>
      <c r="G58" s="2"/>
      <c r="H58" s="2"/>
      <c r="I58" s="2"/>
      <c r="J58" s="2"/>
      <c r="K58" s="2"/>
      <c r="L58" s="2"/>
      <c r="M58" s="2"/>
      <c r="N58" s="2"/>
    </row>
    <row r="59" spans="1:14">
      <c r="A59" s="11"/>
      <c r="B59" s="11"/>
      <c r="C59" s="2"/>
      <c r="D59" s="2"/>
      <c r="E59" s="2"/>
      <c r="F59" s="2"/>
      <c r="G59" s="2"/>
      <c r="H59" s="2"/>
      <c r="I59" s="2"/>
      <c r="J59" s="2"/>
      <c r="K59" s="2"/>
      <c r="L59" s="2"/>
      <c r="M59" s="2"/>
      <c r="N59" s="2"/>
    </row>
    <row r="60" spans="1:14">
      <c r="A60" s="11"/>
      <c r="B60" s="11"/>
      <c r="C60" s="2"/>
      <c r="D60" s="2"/>
      <c r="E60" s="2"/>
      <c r="F60" s="2"/>
      <c r="G60" s="2"/>
      <c r="H60" s="2"/>
      <c r="I60" s="2"/>
      <c r="J60" s="2"/>
      <c r="K60" s="2"/>
      <c r="L60" s="2"/>
      <c r="M60" s="2"/>
      <c r="N60" s="2"/>
    </row>
    <row r="61" spans="1:14">
      <c r="A61" s="11"/>
      <c r="B61" s="11"/>
      <c r="C61" s="2"/>
      <c r="D61" s="2"/>
      <c r="E61" s="2"/>
      <c r="F61" s="2"/>
      <c r="G61" s="2"/>
      <c r="H61" s="2"/>
      <c r="I61" s="2"/>
      <c r="J61" s="2"/>
      <c r="K61" s="2"/>
      <c r="L61" s="2"/>
      <c r="M61" s="2"/>
      <c r="N61" s="2"/>
    </row>
    <row r="62" spans="1:14">
      <c r="A62" s="11"/>
      <c r="B62" s="11"/>
      <c r="C62" s="2"/>
      <c r="D62" s="2"/>
      <c r="E62" s="2"/>
      <c r="F62" s="2"/>
      <c r="G62" s="2"/>
      <c r="H62" s="2"/>
      <c r="I62" s="2"/>
      <c r="J62" s="2"/>
      <c r="K62" s="2"/>
      <c r="L62" s="2"/>
      <c r="M62" s="2"/>
      <c r="N62" s="2"/>
    </row>
    <row r="63" spans="1:14">
      <c r="A63" s="11"/>
      <c r="B63" s="11"/>
      <c r="C63" s="2"/>
      <c r="D63" s="2"/>
      <c r="E63" s="2"/>
      <c r="F63" s="2"/>
      <c r="G63" s="2"/>
      <c r="H63" s="2"/>
      <c r="I63" s="2"/>
      <c r="J63" s="2"/>
      <c r="K63" s="2"/>
      <c r="L63" s="2"/>
      <c r="M63" s="2"/>
      <c r="N63" s="2"/>
    </row>
    <row r="64" spans="1:14">
      <c r="A64" s="11"/>
      <c r="B64" s="11"/>
      <c r="C64" s="2"/>
      <c r="D64" s="2"/>
      <c r="E64" s="2"/>
      <c r="F64" s="2"/>
      <c r="G64" s="2"/>
      <c r="H64" s="2"/>
      <c r="I64" s="2"/>
      <c r="J64" s="2"/>
      <c r="K64" s="2"/>
      <c r="L64" s="2"/>
      <c r="M64" s="2"/>
      <c r="N64" s="2"/>
    </row>
    <row r="65" spans="1:14">
      <c r="A65" s="11"/>
      <c r="B65" s="11"/>
      <c r="C65" s="2"/>
      <c r="D65" s="2"/>
      <c r="E65" s="2"/>
      <c r="F65" s="2"/>
      <c r="G65" s="2"/>
      <c r="H65" s="2"/>
      <c r="I65" s="2"/>
      <c r="J65" s="2"/>
      <c r="K65" s="2"/>
      <c r="L65" s="2"/>
      <c r="M65" s="2"/>
      <c r="N65" s="2"/>
    </row>
    <row r="66" spans="1:14">
      <c r="A66" s="11"/>
      <c r="B66" s="11"/>
      <c r="C66" s="2"/>
      <c r="D66" s="2"/>
      <c r="E66" s="2"/>
      <c r="F66" s="2"/>
      <c r="G66" s="2"/>
      <c r="H66" s="2"/>
      <c r="I66" s="2"/>
      <c r="J66" s="2"/>
      <c r="K66" s="2"/>
      <c r="L66" s="2"/>
      <c r="M66" s="2"/>
      <c r="N66" s="2"/>
    </row>
    <row r="67" spans="1:14">
      <c r="A67" s="11"/>
      <c r="B67" s="11"/>
      <c r="C67" s="2"/>
      <c r="D67" s="2"/>
      <c r="E67" s="2"/>
      <c r="F67" s="2"/>
      <c r="G67" s="2"/>
      <c r="H67" s="2"/>
      <c r="I67" s="2"/>
      <c r="J67" s="2"/>
      <c r="K67" s="2"/>
      <c r="L67" s="2"/>
      <c r="M67" s="2"/>
      <c r="N67" s="2"/>
    </row>
    <row r="68" spans="1:14">
      <c r="A68" s="11"/>
      <c r="B68" s="11"/>
      <c r="C68" s="2"/>
      <c r="D68" s="2"/>
      <c r="E68" s="2"/>
      <c r="F68" s="2"/>
      <c r="G68" s="2"/>
      <c r="H68" s="2"/>
      <c r="I68" s="2"/>
      <c r="J68" s="2"/>
      <c r="K68" s="2"/>
      <c r="L68" s="2"/>
      <c r="M68" s="2"/>
      <c r="N68" s="2"/>
    </row>
    <row r="69" spans="1:14">
      <c r="A69" s="11"/>
      <c r="B69" s="11"/>
      <c r="C69" s="2"/>
      <c r="D69" s="2"/>
      <c r="E69" s="2"/>
      <c r="F69" s="2"/>
      <c r="G69" s="2"/>
      <c r="H69" s="2"/>
      <c r="I69" s="2"/>
      <c r="J69" s="2"/>
      <c r="K69" s="2"/>
      <c r="L69" s="2"/>
      <c r="M69" s="2"/>
      <c r="N69" s="2"/>
    </row>
    <row r="70" spans="1:14">
      <c r="A70" s="11"/>
      <c r="B70" s="11"/>
      <c r="C70" s="2"/>
      <c r="D70" s="2"/>
      <c r="E70" s="2"/>
      <c r="F70" s="2"/>
      <c r="G70" s="2"/>
      <c r="H70" s="2"/>
      <c r="I70" s="2"/>
      <c r="J70" s="2"/>
      <c r="K70" s="2"/>
      <c r="L70" s="2"/>
      <c r="M70" s="2"/>
      <c r="N70" s="2"/>
    </row>
    <row r="71" spans="1:14">
      <c r="A71" s="11"/>
      <c r="B71" s="11"/>
      <c r="C71" s="2"/>
      <c r="D71" s="2"/>
      <c r="E71" s="2"/>
      <c r="F71" s="2"/>
      <c r="G71" s="2"/>
      <c r="H71" s="2"/>
      <c r="I71" s="2"/>
      <c r="J71" s="2"/>
      <c r="K71" s="2"/>
      <c r="L71" s="2"/>
      <c r="M71" s="2"/>
      <c r="N71" s="2"/>
    </row>
    <row r="72" spans="1:14">
      <c r="A72" s="11"/>
      <c r="B72" s="11"/>
      <c r="C72" s="2"/>
      <c r="D72" s="2"/>
      <c r="E72" s="2"/>
      <c r="F72" s="2"/>
      <c r="G72" s="2"/>
      <c r="H72" s="2"/>
      <c r="I72" s="2"/>
      <c r="J72" s="2"/>
      <c r="K72" s="2"/>
      <c r="L72" s="2"/>
      <c r="M72" s="2"/>
      <c r="N72" s="2"/>
    </row>
    <row r="73" spans="1:14">
      <c r="A73" s="11"/>
      <c r="B73" s="11"/>
      <c r="C73" s="2"/>
      <c r="D73" s="2"/>
      <c r="E73" s="2"/>
      <c r="F73" s="2"/>
      <c r="G73" s="2"/>
      <c r="H73" s="2"/>
      <c r="I73" s="2"/>
      <c r="J73" s="2"/>
      <c r="K73" s="2"/>
      <c r="L73" s="2"/>
      <c r="M73" s="2"/>
      <c r="N73" s="2"/>
    </row>
    <row r="74" spans="1:14">
      <c r="A74" s="11"/>
      <c r="B74" s="11"/>
      <c r="C74" s="2"/>
      <c r="D74" s="2"/>
      <c r="E74" s="2"/>
      <c r="F74" s="2"/>
      <c r="G74" s="2"/>
      <c r="H74" s="2"/>
      <c r="I74" s="2"/>
      <c r="J74" s="2"/>
      <c r="K74" s="2"/>
      <c r="L74" s="2"/>
      <c r="M74" s="2"/>
      <c r="N74" s="2"/>
    </row>
    <row r="75" spans="1:14">
      <c r="A75" s="11"/>
      <c r="B75" s="11"/>
      <c r="C75" s="2"/>
      <c r="D75" s="2"/>
      <c r="E75" s="2"/>
      <c r="F75" s="2"/>
      <c r="G75" s="2"/>
      <c r="H75" s="2"/>
      <c r="I75" s="2"/>
      <c r="J75" s="2"/>
      <c r="K75" s="2"/>
      <c r="L75" s="2"/>
      <c r="M75" s="2"/>
      <c r="N75" s="2"/>
    </row>
    <row r="76" spans="1:14">
      <c r="A76" s="11"/>
      <c r="B76" s="11"/>
      <c r="C76" s="2"/>
      <c r="D76" s="2"/>
      <c r="E76" s="2"/>
      <c r="F76" s="2"/>
      <c r="G76" s="2"/>
      <c r="H76" s="2"/>
      <c r="I76" s="2"/>
      <c r="J76" s="2"/>
      <c r="K76" s="2"/>
      <c r="L76" s="2"/>
      <c r="M76" s="2"/>
      <c r="N76" s="2"/>
    </row>
    <row r="77" spans="1:14">
      <c r="A77" s="11"/>
      <c r="B77" s="11"/>
      <c r="C77" s="2"/>
      <c r="D77" s="2"/>
      <c r="E77" s="2"/>
      <c r="F77" s="2"/>
      <c r="G77" s="2"/>
      <c r="H77" s="2"/>
      <c r="I77" s="2"/>
      <c r="J77" s="2"/>
      <c r="K77" s="2"/>
      <c r="L77" s="2"/>
      <c r="M77" s="2"/>
      <c r="N77" s="2"/>
    </row>
    <row r="78" spans="1:14">
      <c r="A78" s="11"/>
      <c r="B78" s="11"/>
      <c r="C78" s="2"/>
      <c r="D78" s="2"/>
      <c r="E78" s="2"/>
      <c r="F78" s="2"/>
      <c r="G78" s="2"/>
      <c r="H78" s="2"/>
      <c r="I78" s="2"/>
      <c r="J78" s="2"/>
      <c r="K78" s="2"/>
      <c r="L78" s="2"/>
      <c r="M78" s="2"/>
      <c r="N78" s="2"/>
    </row>
    <row r="79" spans="1:14">
      <c r="A79" s="11"/>
      <c r="B79" s="11"/>
      <c r="C79" s="2"/>
      <c r="D79" s="2"/>
      <c r="E79" s="2"/>
      <c r="F79" s="2"/>
      <c r="G79" s="2"/>
      <c r="H79" s="2"/>
      <c r="I79" s="2"/>
      <c r="J79" s="2"/>
      <c r="K79" s="2"/>
      <c r="L79" s="2"/>
      <c r="M79" s="2"/>
      <c r="N79" s="2"/>
    </row>
    <row r="80" spans="1:14">
      <c r="A80" s="11"/>
      <c r="B80" s="11"/>
      <c r="C80" s="2"/>
      <c r="D80" s="2"/>
      <c r="E80" s="2"/>
      <c r="F80" s="2"/>
      <c r="G80" s="2"/>
      <c r="H80" s="2"/>
      <c r="I80" s="2"/>
      <c r="J80" s="2"/>
      <c r="K80" s="2"/>
      <c r="L80" s="2"/>
      <c r="M80" s="2"/>
      <c r="N80" s="2"/>
    </row>
    <row r="81" spans="1:14">
      <c r="A81" s="11"/>
      <c r="B81" s="11"/>
      <c r="C81" s="2"/>
      <c r="D81" s="2"/>
      <c r="E81" s="2"/>
      <c r="F81" s="2"/>
      <c r="G81" s="2"/>
      <c r="H81" s="2"/>
      <c r="I81" s="2"/>
      <c r="J81" s="2"/>
      <c r="K81" s="2"/>
      <c r="L81" s="2"/>
      <c r="M81" s="2"/>
      <c r="N81" s="2"/>
    </row>
    <row r="82" spans="1:14">
      <c r="A82" s="11"/>
      <c r="B82" s="11"/>
      <c r="C82" s="2"/>
      <c r="D82" s="2"/>
      <c r="E82" s="2"/>
      <c r="F82" s="2"/>
      <c r="G82" s="2"/>
      <c r="H82" s="2"/>
      <c r="I82" s="2"/>
      <c r="J82" s="2"/>
      <c r="K82" s="2"/>
      <c r="L82" s="2"/>
      <c r="M82" s="2"/>
      <c r="N82" s="2"/>
    </row>
    <row r="83" spans="1:14">
      <c r="A83" s="11"/>
      <c r="B83" s="11"/>
      <c r="C83" s="2"/>
      <c r="D83" s="2"/>
      <c r="E83" s="2"/>
      <c r="F83" s="2"/>
      <c r="G83" s="2"/>
      <c r="H83" s="2"/>
      <c r="I83" s="2"/>
      <c r="J83" s="2"/>
      <c r="K83" s="2"/>
      <c r="L83" s="2"/>
      <c r="M83" s="2"/>
      <c r="N83" s="2"/>
    </row>
    <row r="84" spans="1:14">
      <c r="A84" s="11"/>
      <c r="B84" s="11"/>
      <c r="C84" s="2"/>
      <c r="D84" s="2"/>
      <c r="E84" s="2"/>
      <c r="F84" s="2"/>
      <c r="G84" s="2"/>
      <c r="H84" s="2"/>
      <c r="I84" s="2"/>
      <c r="J84" s="2"/>
      <c r="K84" s="2"/>
      <c r="L84" s="2"/>
      <c r="M84" s="2"/>
      <c r="N84" s="2"/>
    </row>
    <row r="85" spans="1:14">
      <c r="A85" s="11"/>
      <c r="B85" s="11"/>
      <c r="C85" s="2"/>
      <c r="D85" s="2"/>
      <c r="E85" s="2"/>
      <c r="F85" s="2"/>
      <c r="G85" s="2"/>
      <c r="H85" s="2"/>
      <c r="I85" s="2"/>
      <c r="J85" s="2"/>
      <c r="K85" s="2"/>
      <c r="L85" s="2"/>
      <c r="M85" s="2"/>
      <c r="N85" s="2"/>
    </row>
    <row r="86" spans="1:14">
      <c r="A86" s="11"/>
      <c r="B86" s="11"/>
      <c r="C86" s="2"/>
      <c r="D86" s="2"/>
      <c r="E86" s="2"/>
      <c r="F86" s="2"/>
      <c r="G86" s="2"/>
      <c r="H86" s="2"/>
      <c r="I86" s="2"/>
      <c r="J86" s="2"/>
      <c r="K86" s="2"/>
      <c r="L86" s="2"/>
      <c r="M86" s="2"/>
      <c r="N86" s="2"/>
    </row>
    <row r="87" spans="1:14">
      <c r="A87" s="11"/>
      <c r="B87" s="11"/>
      <c r="C87" s="2"/>
      <c r="D87" s="2"/>
      <c r="E87" s="2"/>
      <c r="F87" s="2"/>
      <c r="G87" s="2"/>
      <c r="H87" s="2"/>
      <c r="I87" s="2"/>
      <c r="J87" s="2"/>
      <c r="K87" s="2"/>
      <c r="L87" s="2"/>
      <c r="M87" s="2"/>
      <c r="N87" s="2"/>
    </row>
    <row r="88" spans="1:14">
      <c r="A88" s="11"/>
      <c r="B88" s="11"/>
      <c r="C88" s="2"/>
      <c r="D88" s="2"/>
      <c r="E88" s="2"/>
      <c r="F88" s="2"/>
      <c r="G88" s="2"/>
      <c r="H88" s="2"/>
      <c r="I88" s="2"/>
      <c r="J88" s="2"/>
      <c r="K88" s="2"/>
      <c r="L88" s="2"/>
      <c r="M88" s="2"/>
      <c r="N88" s="2"/>
    </row>
    <row r="89" spans="1:14">
      <c r="A89" s="11"/>
      <c r="B89" s="11"/>
      <c r="C89" s="2"/>
      <c r="D89" s="2"/>
      <c r="E89" s="2"/>
      <c r="F89" s="2"/>
      <c r="G89" s="2"/>
      <c r="H89" s="2"/>
      <c r="I89" s="2"/>
      <c r="J89" s="2"/>
      <c r="K89" s="2"/>
      <c r="L89" s="2"/>
      <c r="M89" s="2"/>
      <c r="N89" s="2"/>
    </row>
    <row r="90" spans="1:14">
      <c r="A90" s="11"/>
      <c r="B90" s="11"/>
      <c r="C90" s="2"/>
      <c r="D90" s="2"/>
      <c r="E90" s="2"/>
      <c r="F90" s="2"/>
      <c r="G90" s="2"/>
      <c r="H90" s="2"/>
      <c r="I90" s="2"/>
      <c r="J90" s="2"/>
      <c r="K90" s="2"/>
      <c r="L90" s="2"/>
      <c r="M90" s="2"/>
      <c r="N90" s="2"/>
    </row>
    <row r="91" spans="1:14">
      <c r="A91" s="11"/>
      <c r="B91" s="11"/>
      <c r="C91" s="2"/>
      <c r="D91" s="2"/>
      <c r="E91" s="2"/>
      <c r="F91" s="2"/>
      <c r="G91" s="2"/>
      <c r="H91" s="2"/>
      <c r="I91" s="2"/>
      <c r="J91" s="2"/>
      <c r="K91" s="2"/>
      <c r="L91" s="2"/>
      <c r="M91" s="2"/>
      <c r="N91" s="2"/>
    </row>
    <row r="92" spans="1:14">
      <c r="A92" s="11"/>
      <c r="B92" s="11"/>
      <c r="C92" s="2"/>
      <c r="D92" s="2"/>
      <c r="E92" s="2"/>
      <c r="F92" s="2"/>
      <c r="G92" s="2"/>
      <c r="H92" s="2"/>
      <c r="I92" s="2"/>
      <c r="J92" s="2"/>
      <c r="K92" s="2"/>
      <c r="L92" s="2"/>
      <c r="M92" s="2"/>
      <c r="N92" s="2"/>
    </row>
    <row r="93" spans="1:14">
      <c r="A93" s="11"/>
      <c r="B93" s="11"/>
      <c r="C93" s="2"/>
      <c r="D93" s="2"/>
      <c r="E93" s="2"/>
      <c r="F93" s="2"/>
      <c r="G93" s="2"/>
      <c r="H93" s="2"/>
      <c r="I93" s="2"/>
      <c r="J93" s="2"/>
      <c r="K93" s="2"/>
      <c r="L93" s="2"/>
      <c r="M93" s="2"/>
      <c r="N93" s="2"/>
    </row>
    <row r="94" spans="1:14">
      <c r="A94" s="11"/>
      <c r="B94" s="11"/>
      <c r="C94" s="2"/>
      <c r="D94" s="2"/>
      <c r="E94" s="2"/>
      <c r="F94" s="2"/>
      <c r="G94" s="2"/>
      <c r="H94" s="2"/>
      <c r="I94" s="2"/>
      <c r="J94" s="2"/>
      <c r="K94" s="2"/>
      <c r="L94" s="2"/>
      <c r="M94" s="2"/>
      <c r="N94" s="2"/>
    </row>
    <row r="95" spans="1:14">
      <c r="A95" s="11"/>
      <c r="B95" s="11"/>
      <c r="C95" s="2"/>
      <c r="D95" s="2"/>
      <c r="E95" s="2"/>
      <c r="F95" s="2"/>
      <c r="G95" s="2"/>
      <c r="H95" s="2"/>
      <c r="I95" s="2"/>
      <c r="J95" s="2"/>
      <c r="K95" s="2"/>
      <c r="L95" s="2"/>
      <c r="M95" s="2"/>
      <c r="N95" s="2"/>
    </row>
    <row r="96" spans="1:14">
      <c r="A96" s="11"/>
      <c r="B96" s="11"/>
      <c r="C96" s="2"/>
      <c r="D96" s="2"/>
      <c r="E96" s="2"/>
      <c r="F96" s="2"/>
      <c r="G96" s="2"/>
      <c r="H96" s="2"/>
      <c r="I96" s="2"/>
      <c r="J96" s="2"/>
      <c r="K96" s="2"/>
      <c r="L96" s="2"/>
      <c r="M96" s="2"/>
      <c r="N96" s="2"/>
    </row>
    <row r="97" spans="1:14">
      <c r="A97" s="11"/>
      <c r="B97" s="11"/>
      <c r="C97" s="2"/>
      <c r="D97" s="2"/>
      <c r="E97" s="2"/>
      <c r="F97" s="2"/>
      <c r="G97" s="2"/>
      <c r="H97" s="2"/>
      <c r="I97" s="2"/>
      <c r="J97" s="2"/>
      <c r="K97" s="2"/>
      <c r="L97" s="2"/>
      <c r="M97" s="2"/>
      <c r="N97" s="2"/>
    </row>
    <row r="98" spans="1:14">
      <c r="A98" s="11"/>
      <c r="B98" s="11"/>
      <c r="C98" s="2"/>
      <c r="D98" s="2"/>
      <c r="E98" s="2"/>
      <c r="F98" s="2"/>
      <c r="G98" s="2"/>
      <c r="H98" s="2"/>
      <c r="I98" s="2"/>
      <c r="J98" s="2"/>
      <c r="K98" s="2"/>
      <c r="L98" s="2"/>
      <c r="M98" s="2"/>
      <c r="N98" s="2"/>
    </row>
    <row r="99" spans="1:14">
      <c r="A99" s="11"/>
      <c r="B99" s="11"/>
      <c r="C99" s="2"/>
      <c r="D99" s="2"/>
      <c r="E99" s="2"/>
      <c r="F99" s="2"/>
      <c r="G99" s="2"/>
      <c r="H99" s="2"/>
      <c r="I99" s="2"/>
      <c r="J99" s="2"/>
      <c r="K99" s="2"/>
      <c r="L99" s="2"/>
      <c r="M99" s="2"/>
      <c r="N99" s="2"/>
    </row>
    <row r="100" spans="1:14">
      <c r="A100" s="11"/>
      <c r="B100" s="11"/>
      <c r="C100" s="2"/>
      <c r="D100" s="2"/>
      <c r="E100" s="2"/>
      <c r="F100" s="2"/>
      <c r="G100" s="2"/>
      <c r="H100" s="2"/>
      <c r="I100" s="2"/>
      <c r="J100" s="2"/>
      <c r="K100" s="2"/>
      <c r="L100" s="2"/>
      <c r="M100" s="2"/>
      <c r="N100" s="2"/>
    </row>
    <row r="101" spans="1:14">
      <c r="A101" s="11"/>
      <c r="B101" s="11"/>
      <c r="C101" s="2"/>
      <c r="D101" s="2"/>
      <c r="E101" s="2"/>
      <c r="F101" s="2"/>
      <c r="G101" s="2"/>
      <c r="H101" s="2"/>
      <c r="I101" s="2"/>
      <c r="J101" s="2"/>
      <c r="K101" s="2"/>
      <c r="L101" s="2"/>
      <c r="M101" s="2"/>
      <c r="N101" s="2"/>
    </row>
    <row r="102" spans="1:14">
      <c r="A102" s="11"/>
      <c r="B102" s="11"/>
      <c r="C102" s="2"/>
      <c r="D102" s="2"/>
      <c r="E102" s="2"/>
      <c r="F102" s="2"/>
      <c r="G102" s="2"/>
      <c r="H102" s="2"/>
      <c r="I102" s="2"/>
      <c r="J102" s="2"/>
      <c r="K102" s="2"/>
      <c r="L102" s="2"/>
      <c r="M102" s="2"/>
      <c r="N102" s="2"/>
    </row>
    <row r="103" spans="1:14">
      <c r="A103" s="11"/>
      <c r="B103" s="11"/>
      <c r="C103" s="2"/>
      <c r="D103" s="2"/>
      <c r="E103" s="2"/>
      <c r="F103" s="2"/>
      <c r="G103" s="2"/>
      <c r="H103" s="2"/>
      <c r="I103" s="2"/>
      <c r="J103" s="2"/>
      <c r="K103" s="2"/>
      <c r="L103" s="2"/>
      <c r="M103" s="2"/>
      <c r="N103" s="2"/>
    </row>
    <row r="104" spans="1:14">
      <c r="A104" s="11"/>
      <c r="B104" s="11"/>
      <c r="C104" s="2"/>
      <c r="D104" s="2"/>
      <c r="E104" s="2"/>
      <c r="F104" s="2"/>
      <c r="G104" s="2"/>
      <c r="H104" s="2"/>
      <c r="I104" s="2"/>
      <c r="J104" s="2"/>
      <c r="K104" s="2"/>
      <c r="L104" s="2"/>
      <c r="M104" s="2"/>
      <c r="N104" s="2"/>
    </row>
    <row r="105" spans="1:14">
      <c r="A105" s="11"/>
      <c r="B105" s="11"/>
      <c r="C105" s="2"/>
      <c r="D105" s="2"/>
      <c r="E105" s="2"/>
      <c r="F105" s="2"/>
      <c r="G105" s="2"/>
      <c r="H105" s="2"/>
      <c r="I105" s="2"/>
      <c r="J105" s="2"/>
      <c r="K105" s="2"/>
      <c r="L105" s="2"/>
      <c r="M105" s="2"/>
      <c r="N105" s="2"/>
    </row>
    <row r="106" spans="1:14">
      <c r="A106" s="11"/>
      <c r="B106" s="11"/>
      <c r="C106" s="2"/>
      <c r="D106" s="2"/>
      <c r="E106" s="2"/>
      <c r="F106" s="2"/>
      <c r="G106" s="2"/>
      <c r="H106" s="2"/>
      <c r="I106" s="2"/>
      <c r="J106" s="2"/>
      <c r="K106" s="2"/>
      <c r="L106" s="2"/>
      <c r="M106" s="2"/>
      <c r="N106" s="2"/>
    </row>
    <row r="107" spans="1:14">
      <c r="A107" s="11"/>
      <c r="B107" s="11"/>
      <c r="C107" s="2"/>
      <c r="D107" s="2"/>
      <c r="E107" s="2"/>
      <c r="F107" s="2"/>
      <c r="G107" s="2"/>
      <c r="H107" s="2"/>
      <c r="I107" s="2"/>
      <c r="J107" s="2"/>
      <c r="K107" s="2"/>
      <c r="L107" s="2"/>
      <c r="M107" s="2"/>
      <c r="N107" s="2"/>
    </row>
    <row r="108" spans="1:14">
      <c r="A108" s="11"/>
      <c r="B108" s="11"/>
      <c r="C108" s="2"/>
      <c r="D108" s="2"/>
      <c r="E108" s="2"/>
      <c r="F108" s="2"/>
      <c r="G108" s="2"/>
      <c r="H108" s="2"/>
      <c r="I108" s="2"/>
      <c r="J108" s="2"/>
      <c r="K108" s="2"/>
      <c r="L108" s="2"/>
      <c r="M108" s="2"/>
      <c r="N108" s="2"/>
    </row>
    <row r="109" spans="1:14">
      <c r="A109" s="11"/>
      <c r="B109" s="11"/>
      <c r="C109" s="2"/>
      <c r="D109" s="2"/>
      <c r="E109" s="2"/>
      <c r="F109" s="2"/>
      <c r="G109" s="2"/>
      <c r="H109" s="2"/>
      <c r="I109" s="2"/>
      <c r="J109" s="2"/>
      <c r="K109" s="2"/>
      <c r="L109" s="2"/>
      <c r="M109" s="2"/>
      <c r="N109" s="2"/>
    </row>
    <row r="110" spans="1:14">
      <c r="A110" s="11"/>
      <c r="B110" s="11"/>
      <c r="C110" s="2"/>
      <c r="D110" s="2"/>
      <c r="E110" s="2"/>
      <c r="F110" s="2"/>
      <c r="G110" s="2"/>
      <c r="H110" s="2"/>
      <c r="I110" s="2"/>
      <c r="J110" s="2"/>
      <c r="K110" s="2"/>
      <c r="L110" s="2"/>
      <c r="M110" s="2"/>
      <c r="N110" s="2"/>
    </row>
    <row r="111" spans="1:14">
      <c r="A111" s="11"/>
      <c r="B111" s="11"/>
      <c r="C111" s="2"/>
      <c r="D111" s="2"/>
      <c r="E111" s="2"/>
      <c r="F111" s="2"/>
      <c r="G111" s="2"/>
      <c r="H111" s="2"/>
      <c r="I111" s="2"/>
      <c r="J111" s="2"/>
      <c r="K111" s="2"/>
      <c r="L111" s="2"/>
      <c r="M111" s="2"/>
      <c r="N111" s="2"/>
    </row>
    <row r="112" spans="1:14">
      <c r="A112" s="11"/>
      <c r="B112" s="11"/>
      <c r="C112" s="2"/>
      <c r="D112" s="2"/>
      <c r="E112" s="2"/>
      <c r="F112" s="2"/>
      <c r="G112" s="2"/>
      <c r="H112" s="2"/>
      <c r="I112" s="2"/>
      <c r="J112" s="2"/>
      <c r="K112" s="2"/>
      <c r="L112" s="2"/>
      <c r="M112" s="2"/>
      <c r="N112" s="2"/>
    </row>
    <row r="113" spans="1:14">
      <c r="A113" s="11"/>
      <c r="B113" s="11"/>
      <c r="C113" s="2"/>
      <c r="D113" s="2"/>
      <c r="E113" s="2"/>
      <c r="F113" s="2"/>
      <c r="G113" s="2"/>
      <c r="H113" s="2"/>
      <c r="I113" s="2"/>
      <c r="J113" s="2"/>
      <c r="K113" s="2"/>
      <c r="L113" s="2"/>
      <c r="M113" s="2"/>
      <c r="N113" s="2"/>
    </row>
    <row r="114" spans="1:14">
      <c r="A114" s="11"/>
      <c r="B114" s="11"/>
      <c r="C114" s="2"/>
      <c r="D114" s="2"/>
      <c r="E114" s="2"/>
      <c r="F114" s="2"/>
      <c r="G114" s="2"/>
      <c r="H114" s="2"/>
      <c r="I114" s="2"/>
      <c r="J114" s="2"/>
      <c r="K114" s="2"/>
      <c r="L114" s="2"/>
      <c r="M114" s="2"/>
      <c r="N114" s="2"/>
    </row>
    <row r="115" spans="1:14">
      <c r="A115" s="11"/>
      <c r="B115" s="11"/>
      <c r="C115" s="2"/>
      <c r="D115" s="2"/>
      <c r="E115" s="2"/>
      <c r="F115" s="2"/>
      <c r="G115" s="2"/>
      <c r="H115" s="2"/>
      <c r="I115" s="2"/>
      <c r="J115" s="2"/>
      <c r="K115" s="2"/>
      <c r="L115" s="2"/>
      <c r="M115" s="2"/>
      <c r="N115" s="2"/>
    </row>
    <row r="116" spans="1:14">
      <c r="A116" s="11"/>
      <c r="B116" s="11"/>
      <c r="C116" s="2"/>
      <c r="D116" s="2"/>
      <c r="E116" s="2"/>
      <c r="F116" s="2"/>
      <c r="G116" s="2"/>
      <c r="H116" s="2"/>
      <c r="I116" s="2"/>
      <c r="J116" s="2"/>
      <c r="K116" s="2"/>
      <c r="L116" s="2"/>
      <c r="M116" s="2"/>
      <c r="N116" s="2"/>
    </row>
    <row r="117" spans="1:14">
      <c r="A117" s="11"/>
      <c r="B117" s="11"/>
      <c r="C117" s="2"/>
      <c r="D117" s="2"/>
      <c r="E117" s="2"/>
      <c r="F117" s="2"/>
      <c r="G117" s="2"/>
      <c r="H117" s="2"/>
      <c r="I117" s="2"/>
      <c r="J117" s="2"/>
      <c r="K117" s="2"/>
      <c r="L117" s="2"/>
      <c r="M117" s="2"/>
      <c r="N117" s="2"/>
    </row>
    <row r="118" spans="1:14">
      <c r="A118" s="11"/>
      <c r="B118" s="11"/>
      <c r="C118" s="2"/>
      <c r="D118" s="2"/>
      <c r="E118" s="2"/>
      <c r="F118" s="2"/>
      <c r="G118" s="2"/>
      <c r="H118" s="2"/>
      <c r="I118" s="2"/>
      <c r="J118" s="2"/>
      <c r="K118" s="2"/>
      <c r="L118" s="2"/>
      <c r="M118" s="2"/>
      <c r="N118" s="2"/>
    </row>
    <row r="119" spans="1:14">
      <c r="A119" s="11"/>
      <c r="B119" s="11"/>
      <c r="C119" s="2"/>
      <c r="D119" s="2"/>
      <c r="E119" s="2"/>
      <c r="F119" s="2"/>
      <c r="G119" s="2"/>
      <c r="H119" s="2"/>
      <c r="I119" s="2"/>
      <c r="J119" s="2"/>
      <c r="K119" s="2"/>
      <c r="L119" s="2"/>
      <c r="M119" s="2"/>
      <c r="N119" s="2"/>
    </row>
    <row r="120" spans="1:14">
      <c r="A120" s="11"/>
      <c r="B120" s="11"/>
      <c r="C120" s="2"/>
      <c r="D120" s="2"/>
      <c r="E120" s="2"/>
      <c r="F120" s="2"/>
      <c r="G120" s="2"/>
      <c r="H120" s="2"/>
      <c r="I120" s="2"/>
      <c r="J120" s="2"/>
      <c r="K120" s="2"/>
      <c r="L120" s="2"/>
      <c r="M120" s="2"/>
      <c r="N120" s="2"/>
    </row>
    <row r="121" spans="1:14">
      <c r="A121" s="11"/>
      <c r="B121" s="11"/>
      <c r="C121" s="2"/>
      <c r="D121" s="2"/>
      <c r="E121" s="2"/>
      <c r="F121" s="2"/>
      <c r="G121" s="2"/>
      <c r="H121" s="2"/>
      <c r="I121" s="2"/>
      <c r="J121" s="2"/>
      <c r="K121" s="2"/>
      <c r="L121" s="2"/>
      <c r="M121" s="2"/>
      <c r="N121" s="2"/>
    </row>
    <row r="122" spans="1:14">
      <c r="A122" s="11"/>
      <c r="B122" s="11"/>
      <c r="C122" s="2"/>
      <c r="D122" s="2"/>
      <c r="E122" s="2"/>
      <c r="F122" s="2"/>
      <c r="G122" s="2"/>
      <c r="H122" s="2"/>
      <c r="I122" s="2"/>
      <c r="J122" s="2"/>
      <c r="K122" s="2"/>
      <c r="L122" s="2"/>
      <c r="M122" s="2"/>
      <c r="N122" s="2"/>
    </row>
    <row r="123" spans="1:14">
      <c r="A123" s="11"/>
      <c r="B123" s="11"/>
      <c r="C123" s="2"/>
      <c r="D123" s="2"/>
      <c r="E123" s="2"/>
      <c r="F123" s="2"/>
      <c r="G123" s="2"/>
      <c r="H123" s="2"/>
      <c r="I123" s="2"/>
      <c r="J123" s="2"/>
      <c r="K123" s="2"/>
      <c r="L123" s="2"/>
      <c r="M123" s="2"/>
      <c r="N123" s="2"/>
    </row>
    <row r="124" spans="1:14">
      <c r="A124" s="11"/>
      <c r="B124" s="11"/>
      <c r="C124" s="2"/>
      <c r="D124" s="2"/>
      <c r="E124" s="2"/>
      <c r="F124" s="2"/>
      <c r="G124" s="2"/>
      <c r="H124" s="2"/>
      <c r="I124" s="2"/>
      <c r="J124" s="2"/>
      <c r="K124" s="2"/>
      <c r="L124" s="2"/>
      <c r="M124" s="2"/>
      <c r="N124" s="2"/>
    </row>
    <row r="125" spans="1:14">
      <c r="A125" s="11"/>
      <c r="B125" s="11"/>
      <c r="C125" s="2"/>
      <c r="D125" s="2"/>
      <c r="E125" s="2"/>
      <c r="F125" s="2"/>
      <c r="G125" s="2"/>
      <c r="H125" s="2"/>
      <c r="I125" s="2"/>
      <c r="J125" s="2"/>
      <c r="K125" s="2"/>
      <c r="L125" s="2"/>
      <c r="M125" s="2"/>
      <c r="N125" s="2"/>
    </row>
    <row r="126" spans="1:14">
      <c r="A126" s="11"/>
      <c r="B126" s="11"/>
      <c r="C126" s="2"/>
      <c r="D126" s="2"/>
      <c r="E126" s="2"/>
      <c r="F126" s="2"/>
      <c r="G126" s="2"/>
      <c r="H126" s="2"/>
      <c r="I126" s="2"/>
      <c r="J126" s="2"/>
      <c r="K126" s="2"/>
      <c r="L126" s="2"/>
      <c r="M126" s="2"/>
      <c r="N126" s="2"/>
    </row>
    <row r="127" spans="1:14">
      <c r="A127" s="11"/>
      <c r="B127" s="11"/>
      <c r="C127" s="2"/>
      <c r="D127" s="2"/>
      <c r="E127" s="2"/>
      <c r="F127" s="2"/>
      <c r="G127" s="2"/>
      <c r="H127" s="2"/>
      <c r="I127" s="2"/>
      <c r="J127" s="2"/>
      <c r="K127" s="2"/>
      <c r="L127" s="2"/>
      <c r="M127" s="2"/>
      <c r="N127" s="2"/>
    </row>
    <row r="128" spans="1:14">
      <c r="A128" s="11"/>
      <c r="B128" s="11"/>
      <c r="C128" s="2"/>
      <c r="D128" s="2"/>
      <c r="E128" s="2"/>
      <c r="F128" s="2"/>
      <c r="G128" s="2"/>
      <c r="H128" s="2"/>
      <c r="I128" s="2"/>
      <c r="J128" s="2"/>
      <c r="K128" s="2"/>
      <c r="L128" s="2"/>
      <c r="M128" s="2"/>
      <c r="N128" s="2"/>
    </row>
    <row r="129" spans="1:14">
      <c r="A129" s="11"/>
      <c r="B129" s="11"/>
      <c r="C129" s="2"/>
      <c r="D129" s="2"/>
      <c r="E129" s="2"/>
      <c r="F129" s="2"/>
      <c r="G129" s="2"/>
      <c r="H129" s="2"/>
      <c r="I129" s="2"/>
      <c r="J129" s="2"/>
      <c r="K129" s="2"/>
      <c r="L129" s="2"/>
      <c r="M129" s="2"/>
      <c r="N129" s="2"/>
    </row>
    <row r="130" spans="1:14">
      <c r="A130" s="11"/>
      <c r="B130" s="11"/>
      <c r="C130" s="2"/>
      <c r="D130" s="2"/>
      <c r="E130" s="2"/>
      <c r="F130" s="2"/>
      <c r="G130" s="2"/>
      <c r="H130" s="2"/>
      <c r="I130" s="2"/>
      <c r="J130" s="2"/>
      <c r="K130" s="2"/>
      <c r="L130" s="2"/>
      <c r="M130" s="2"/>
      <c r="N130" s="2"/>
    </row>
    <row r="131" spans="1:14">
      <c r="A131" s="11"/>
      <c r="B131" s="11"/>
      <c r="C131" s="2"/>
      <c r="D131" s="2"/>
      <c r="E131" s="2"/>
      <c r="F131" s="2"/>
      <c r="G131" s="2"/>
      <c r="H131" s="2"/>
      <c r="I131" s="2"/>
      <c r="J131" s="2"/>
      <c r="K131" s="2"/>
      <c r="L131" s="2"/>
      <c r="M131" s="2"/>
      <c r="N131" s="2"/>
    </row>
    <row r="132" spans="1:14">
      <c r="A132" s="11"/>
      <c r="B132" s="11"/>
      <c r="C132" s="2"/>
      <c r="D132" s="2"/>
      <c r="E132" s="2"/>
      <c r="F132" s="2"/>
      <c r="G132" s="2"/>
      <c r="H132" s="2"/>
      <c r="I132" s="2"/>
      <c r="J132" s="2"/>
      <c r="K132" s="2"/>
      <c r="L132" s="2"/>
      <c r="M132" s="2"/>
      <c r="N132" s="2"/>
    </row>
    <row r="133" spans="1:14">
      <c r="A133" s="11"/>
      <c r="B133" s="11"/>
      <c r="C133" s="2"/>
      <c r="D133" s="2"/>
      <c r="E133" s="2"/>
      <c r="F133" s="2"/>
      <c r="G133" s="2"/>
      <c r="H133" s="2"/>
      <c r="I133" s="2"/>
      <c r="J133" s="2"/>
      <c r="K133" s="2"/>
      <c r="L133" s="2"/>
      <c r="M133" s="2"/>
      <c r="N133" s="2"/>
    </row>
    <row r="134" spans="1:14">
      <c r="A134" s="11"/>
      <c r="B134" s="11"/>
      <c r="C134" s="2"/>
      <c r="D134" s="2"/>
      <c r="E134" s="2"/>
      <c r="F134" s="2"/>
      <c r="G134" s="2"/>
      <c r="H134" s="2"/>
      <c r="I134" s="2"/>
      <c r="J134" s="2"/>
      <c r="K134" s="2"/>
      <c r="L134" s="2"/>
      <c r="M134" s="2"/>
      <c r="N134" s="2"/>
    </row>
    <row r="135" spans="1:14">
      <c r="A135" s="11"/>
      <c r="B135" s="11"/>
      <c r="C135" s="2"/>
      <c r="D135" s="2"/>
      <c r="E135" s="2"/>
      <c r="F135" s="2"/>
      <c r="G135" s="2"/>
      <c r="H135" s="2"/>
      <c r="I135" s="2"/>
      <c r="J135" s="2"/>
      <c r="K135" s="2"/>
      <c r="L135" s="2"/>
      <c r="M135" s="2"/>
      <c r="N135" s="2"/>
    </row>
    <row r="136" spans="1:14">
      <c r="A136" s="11"/>
      <c r="B136" s="11"/>
      <c r="C136" s="2"/>
      <c r="D136" s="2"/>
      <c r="E136" s="2"/>
      <c r="F136" s="2"/>
      <c r="G136" s="2"/>
      <c r="H136" s="2"/>
      <c r="I136" s="2"/>
      <c r="J136" s="2"/>
      <c r="K136" s="2"/>
      <c r="L136" s="2"/>
      <c r="M136" s="2"/>
      <c r="N136" s="2"/>
    </row>
    <row r="137" spans="1:14">
      <c r="A137" s="11"/>
      <c r="B137" s="11"/>
      <c r="C137" s="2"/>
      <c r="D137" s="2"/>
      <c r="E137" s="2"/>
      <c r="F137" s="2"/>
      <c r="G137" s="2"/>
      <c r="H137" s="2"/>
      <c r="I137" s="2"/>
      <c r="J137" s="2"/>
      <c r="K137" s="2"/>
      <c r="L137" s="2"/>
      <c r="M137" s="2"/>
      <c r="N137" s="2"/>
    </row>
    <row r="138" spans="1:14">
      <c r="A138" s="11"/>
      <c r="B138" s="11"/>
      <c r="C138" s="2"/>
      <c r="D138" s="2"/>
      <c r="E138" s="2"/>
      <c r="F138" s="2"/>
      <c r="G138" s="2"/>
      <c r="H138" s="2"/>
      <c r="I138" s="2"/>
      <c r="J138" s="2"/>
      <c r="K138" s="2"/>
      <c r="L138" s="2"/>
      <c r="M138" s="2"/>
      <c r="N138" s="2"/>
    </row>
    <row r="139" spans="1:14">
      <c r="A139" s="11"/>
      <c r="B139" s="11"/>
      <c r="C139" s="2"/>
      <c r="D139" s="2"/>
      <c r="E139" s="2"/>
      <c r="F139" s="2"/>
      <c r="G139" s="2"/>
      <c r="H139" s="2"/>
      <c r="I139" s="2"/>
      <c r="J139" s="2"/>
      <c r="K139" s="2"/>
      <c r="L139" s="2"/>
      <c r="M139" s="2"/>
      <c r="N139" s="2"/>
    </row>
    <row r="140" spans="1:14">
      <c r="A140" s="11"/>
      <c r="B140" s="11"/>
      <c r="C140" s="2"/>
      <c r="D140" s="2"/>
      <c r="E140" s="2"/>
      <c r="F140" s="2"/>
      <c r="G140" s="2"/>
      <c r="H140" s="2"/>
      <c r="I140" s="2"/>
      <c r="J140" s="2"/>
      <c r="K140" s="2"/>
      <c r="L140" s="2"/>
      <c r="M140" s="2"/>
      <c r="N140" s="2"/>
    </row>
    <row r="141" spans="1:14">
      <c r="A141" s="11"/>
      <c r="B141" s="11"/>
      <c r="C141" s="2"/>
      <c r="D141" s="2"/>
      <c r="E141" s="2"/>
      <c r="F141" s="2"/>
      <c r="G141" s="2"/>
      <c r="H141" s="2"/>
      <c r="I141" s="2"/>
      <c r="J141" s="2"/>
      <c r="K141" s="2"/>
      <c r="L141" s="2"/>
      <c r="M141" s="2"/>
      <c r="N141" s="2"/>
    </row>
    <row r="142" spans="1:14">
      <c r="A142" s="11"/>
      <c r="B142" s="11"/>
      <c r="C142" s="2"/>
      <c r="D142" s="2"/>
      <c r="E142" s="2"/>
      <c r="F142" s="2"/>
      <c r="G142" s="2"/>
      <c r="H142" s="2"/>
      <c r="I142" s="2"/>
      <c r="J142" s="2"/>
      <c r="K142" s="2"/>
      <c r="L142" s="2"/>
      <c r="M142" s="2"/>
      <c r="N142" s="2"/>
    </row>
    <row r="143" spans="1:14">
      <c r="A143" s="11"/>
      <c r="B143" s="11"/>
      <c r="C143" s="2"/>
      <c r="D143" s="2"/>
      <c r="E143" s="2"/>
      <c r="F143" s="2"/>
      <c r="G143" s="2"/>
      <c r="H143" s="2"/>
      <c r="I143" s="2"/>
      <c r="J143" s="2"/>
      <c r="K143" s="2"/>
      <c r="L143" s="2"/>
      <c r="M143" s="2"/>
      <c r="N143" s="2"/>
    </row>
    <row r="144" spans="1:14">
      <c r="A144" s="11"/>
      <c r="B144" s="11"/>
      <c r="C144" s="2"/>
      <c r="D144" s="2"/>
      <c r="E144" s="2"/>
      <c r="F144" s="2"/>
      <c r="G144" s="2"/>
      <c r="H144" s="2"/>
      <c r="I144" s="2"/>
      <c r="J144" s="2"/>
      <c r="K144" s="2"/>
      <c r="L144" s="2"/>
      <c r="M144" s="2"/>
      <c r="N144" s="2"/>
    </row>
    <row r="145" spans="1:14">
      <c r="A145" s="11"/>
      <c r="B145" s="11"/>
      <c r="C145" s="2"/>
      <c r="D145" s="2"/>
      <c r="E145" s="2"/>
      <c r="F145" s="2"/>
      <c r="G145" s="2"/>
      <c r="H145" s="2"/>
      <c r="I145" s="2"/>
      <c r="J145" s="2"/>
      <c r="K145" s="2"/>
      <c r="L145" s="2"/>
      <c r="M145" s="2"/>
      <c r="N145" s="2"/>
    </row>
    <row r="146" spans="1:14">
      <c r="A146" s="11"/>
      <c r="B146" s="11"/>
      <c r="C146" s="2"/>
      <c r="D146" s="2"/>
      <c r="E146" s="2"/>
      <c r="F146" s="2"/>
      <c r="G146" s="2"/>
      <c r="H146" s="2"/>
      <c r="I146" s="2"/>
      <c r="J146" s="2"/>
      <c r="K146" s="2"/>
      <c r="L146" s="2"/>
      <c r="M146" s="2"/>
      <c r="N146" s="2"/>
    </row>
    <row r="147" spans="1:14">
      <c r="A147" s="11"/>
      <c r="B147" s="11"/>
      <c r="C147" s="2"/>
      <c r="D147" s="2"/>
      <c r="E147" s="2"/>
      <c r="F147" s="2"/>
      <c r="G147" s="2"/>
      <c r="H147" s="2"/>
      <c r="I147" s="2"/>
      <c r="J147" s="2"/>
      <c r="K147" s="2"/>
      <c r="L147" s="2"/>
      <c r="M147" s="2"/>
      <c r="N147" s="2"/>
    </row>
    <row r="148" spans="1:14">
      <c r="A148" s="11"/>
      <c r="B148" s="11"/>
      <c r="C148" s="2"/>
      <c r="D148" s="2"/>
      <c r="E148" s="2"/>
      <c r="F148" s="2"/>
      <c r="G148" s="2"/>
      <c r="H148" s="2"/>
      <c r="I148" s="2"/>
      <c r="J148" s="2"/>
      <c r="K148" s="2"/>
      <c r="L148" s="2"/>
      <c r="M148" s="2"/>
      <c r="N148" s="2"/>
    </row>
    <row r="149" spans="1:14">
      <c r="A149" s="11"/>
      <c r="B149" s="11"/>
      <c r="C149" s="2"/>
      <c r="D149" s="2"/>
      <c r="E149" s="2"/>
      <c r="F149" s="2"/>
      <c r="G149" s="2"/>
      <c r="H149" s="2"/>
      <c r="I149" s="2"/>
      <c r="J149" s="2"/>
      <c r="K149" s="2"/>
      <c r="L149" s="2"/>
      <c r="M149" s="2"/>
      <c r="N149" s="2"/>
    </row>
    <row r="150" spans="1:14">
      <c r="A150" s="11"/>
      <c r="B150" s="11"/>
      <c r="C150" s="2"/>
      <c r="D150" s="2"/>
      <c r="E150" s="2"/>
      <c r="F150" s="2"/>
      <c r="G150" s="2"/>
      <c r="H150" s="2"/>
      <c r="I150" s="2"/>
      <c r="J150" s="2"/>
      <c r="K150" s="2"/>
      <c r="L150" s="2"/>
      <c r="M150" s="2"/>
      <c r="N150" s="2"/>
    </row>
    <row r="151" spans="1:14">
      <c r="A151" s="11"/>
      <c r="B151" s="11"/>
      <c r="C151" s="2"/>
      <c r="D151" s="2"/>
      <c r="E151" s="2"/>
      <c r="F151" s="2"/>
      <c r="G151" s="2"/>
      <c r="H151" s="2"/>
      <c r="I151" s="2"/>
      <c r="J151" s="2"/>
      <c r="K151" s="2"/>
      <c r="L151" s="2"/>
      <c r="M151" s="2"/>
      <c r="N151" s="2"/>
    </row>
    <row r="152" spans="1:14">
      <c r="A152" s="11"/>
      <c r="B152" s="11"/>
      <c r="C152" s="2"/>
      <c r="D152" s="2"/>
      <c r="E152" s="2"/>
      <c r="F152" s="2"/>
      <c r="G152" s="2"/>
      <c r="H152" s="2"/>
      <c r="I152" s="2"/>
      <c r="J152" s="2"/>
      <c r="K152" s="2"/>
      <c r="L152" s="2"/>
      <c r="M152" s="2"/>
      <c r="N152" s="2"/>
    </row>
    <row r="153" spans="1:14">
      <c r="A153" s="11"/>
      <c r="B153" s="11"/>
      <c r="C153" s="2"/>
      <c r="D153" s="2"/>
      <c r="E153" s="2"/>
      <c r="F153" s="2"/>
      <c r="G153" s="2"/>
      <c r="H153" s="2"/>
      <c r="I153" s="2"/>
      <c r="J153" s="2"/>
      <c r="K153" s="2"/>
      <c r="L153" s="2"/>
      <c r="M153" s="2"/>
      <c r="N153" s="2"/>
    </row>
    <row r="154" spans="1:14">
      <c r="A154" s="11"/>
      <c r="B154" s="11"/>
      <c r="C154" s="2"/>
      <c r="D154" s="2"/>
      <c r="E154" s="2"/>
      <c r="F154" s="2"/>
      <c r="G154" s="2"/>
      <c r="H154" s="2"/>
      <c r="I154" s="2"/>
      <c r="J154" s="2"/>
      <c r="K154" s="2"/>
      <c r="L154" s="2"/>
      <c r="M154" s="2"/>
      <c r="N154" s="2"/>
    </row>
    <row r="155" spans="1:14">
      <c r="A155" s="11"/>
      <c r="B155" s="11"/>
      <c r="C155" s="2"/>
      <c r="D155" s="2"/>
      <c r="E155" s="2"/>
      <c r="F155" s="2"/>
      <c r="G155" s="2"/>
      <c r="H155" s="2"/>
      <c r="I155" s="2"/>
      <c r="J155" s="2"/>
      <c r="K155" s="2"/>
      <c r="L155" s="2"/>
      <c r="M155" s="2"/>
      <c r="N155" s="2"/>
    </row>
    <row r="156" spans="1:14">
      <c r="A156" s="11"/>
      <c r="B156" s="11"/>
      <c r="C156" s="2"/>
      <c r="D156" s="2"/>
      <c r="E156" s="2"/>
      <c r="F156" s="2"/>
      <c r="G156" s="2"/>
      <c r="H156" s="2"/>
      <c r="I156" s="2"/>
      <c r="J156" s="2"/>
      <c r="K156" s="2"/>
      <c r="L156" s="2"/>
      <c r="M156" s="2"/>
      <c r="N156" s="2"/>
    </row>
    <row r="157" spans="1:14">
      <c r="A157" s="11"/>
      <c r="B157" s="11"/>
      <c r="C157" s="2"/>
      <c r="D157" s="2"/>
      <c r="E157" s="2"/>
      <c r="F157" s="2"/>
      <c r="G157" s="2"/>
      <c r="H157" s="2"/>
      <c r="I157" s="2"/>
      <c r="J157" s="2"/>
      <c r="K157" s="2"/>
      <c r="L157" s="2"/>
      <c r="M157" s="2"/>
      <c r="N157" s="2"/>
    </row>
    <row r="158" spans="1:14">
      <c r="A158" s="11"/>
      <c r="B158" s="11"/>
      <c r="C158" s="2"/>
      <c r="D158" s="2"/>
      <c r="E158" s="2"/>
      <c r="F158" s="2"/>
      <c r="G158" s="2"/>
      <c r="H158" s="2"/>
      <c r="I158" s="2"/>
      <c r="J158" s="2"/>
      <c r="K158" s="2"/>
      <c r="L158" s="2"/>
      <c r="M158" s="2"/>
      <c r="N158" s="2"/>
    </row>
    <row r="159" spans="1:14">
      <c r="A159" s="11"/>
      <c r="B159" s="11"/>
      <c r="C159" s="2"/>
      <c r="D159" s="2"/>
      <c r="E159" s="2"/>
      <c r="F159" s="2"/>
      <c r="G159" s="2"/>
      <c r="H159" s="2"/>
      <c r="I159" s="2"/>
      <c r="J159" s="2"/>
      <c r="K159" s="2"/>
      <c r="L159" s="2"/>
      <c r="M159" s="2"/>
      <c r="N159" s="2"/>
    </row>
    <row r="160" spans="1:14">
      <c r="A160" s="11"/>
      <c r="B160" s="11"/>
      <c r="C160" s="2"/>
      <c r="D160" s="2"/>
      <c r="E160" s="2"/>
      <c r="F160" s="2"/>
      <c r="G160" s="2"/>
      <c r="H160" s="2"/>
      <c r="I160" s="2"/>
      <c r="J160" s="2"/>
      <c r="K160" s="2"/>
      <c r="L160" s="2"/>
      <c r="M160" s="2"/>
      <c r="N160" s="2"/>
    </row>
    <row r="161" spans="1:14">
      <c r="A161" s="11"/>
      <c r="B161" s="11"/>
      <c r="C161" s="2"/>
      <c r="D161" s="2"/>
      <c r="E161" s="2"/>
      <c r="F161" s="2"/>
      <c r="G161" s="2"/>
      <c r="H161" s="2"/>
      <c r="I161" s="2"/>
      <c r="J161" s="2"/>
      <c r="K161" s="2"/>
      <c r="L161" s="2"/>
      <c r="M161" s="2"/>
      <c r="N161" s="2"/>
    </row>
    <row r="162" spans="1:14">
      <c r="A162" s="11"/>
      <c r="B162" s="11"/>
      <c r="C162" s="2"/>
      <c r="D162" s="2"/>
      <c r="E162" s="2"/>
      <c r="F162" s="2"/>
      <c r="G162" s="2"/>
      <c r="H162" s="2"/>
      <c r="I162" s="2"/>
      <c r="J162" s="2"/>
      <c r="K162" s="2"/>
      <c r="L162" s="2"/>
      <c r="M162" s="2"/>
      <c r="N162" s="2"/>
    </row>
    <row r="163" spans="1:14">
      <c r="A163" s="11"/>
      <c r="B163" s="11"/>
      <c r="C163" s="2"/>
      <c r="D163" s="2"/>
      <c r="E163" s="2"/>
      <c r="F163" s="2"/>
      <c r="G163" s="2"/>
      <c r="H163" s="2"/>
      <c r="I163" s="2"/>
      <c r="J163" s="2"/>
      <c r="K163" s="2"/>
      <c r="L163" s="2"/>
      <c r="M163" s="2"/>
      <c r="N163" s="2"/>
    </row>
    <row r="164" spans="1:14">
      <c r="A164" s="11"/>
      <c r="B164" s="11"/>
      <c r="C164" s="2"/>
      <c r="D164" s="2"/>
      <c r="E164" s="2"/>
      <c r="F164" s="2"/>
      <c r="G164" s="2"/>
      <c r="H164" s="2"/>
      <c r="I164" s="2"/>
      <c r="J164" s="2"/>
      <c r="K164" s="2"/>
      <c r="L164" s="2"/>
      <c r="M164" s="2"/>
      <c r="N164" s="2"/>
    </row>
    <row r="165" spans="1:14">
      <c r="A165" s="11"/>
      <c r="B165" s="11"/>
      <c r="C165" s="2"/>
      <c r="D165" s="2"/>
      <c r="E165" s="2"/>
      <c r="F165" s="2"/>
      <c r="G165" s="2"/>
      <c r="H165" s="2"/>
      <c r="I165" s="2"/>
      <c r="J165" s="2"/>
      <c r="K165" s="2"/>
      <c r="L165" s="2"/>
      <c r="M165" s="2"/>
      <c r="N165" s="2"/>
    </row>
    <row r="166" spans="1:14">
      <c r="A166" s="11"/>
      <c r="B166" s="11"/>
      <c r="C166" s="2"/>
      <c r="D166" s="2"/>
      <c r="E166" s="2"/>
      <c r="F166" s="2"/>
      <c r="G166" s="2"/>
      <c r="H166" s="2"/>
      <c r="I166" s="2"/>
      <c r="J166" s="2"/>
      <c r="K166" s="2"/>
      <c r="L166" s="2"/>
      <c r="M166" s="2"/>
      <c r="N166" s="2"/>
    </row>
    <row r="167" spans="1:14">
      <c r="A167" s="11"/>
      <c r="B167" s="11"/>
      <c r="C167" s="2"/>
      <c r="D167" s="2"/>
      <c r="E167" s="2"/>
      <c r="F167" s="2"/>
      <c r="G167" s="2"/>
      <c r="H167" s="2"/>
      <c r="I167" s="2"/>
      <c r="J167" s="2"/>
      <c r="K167" s="2"/>
      <c r="L167" s="2"/>
      <c r="M167" s="2"/>
      <c r="N167" s="2"/>
    </row>
    <row r="168" spans="1:14">
      <c r="A168" s="11"/>
      <c r="B168" s="11"/>
      <c r="C168" s="2"/>
      <c r="D168" s="2"/>
      <c r="E168" s="2"/>
      <c r="F168" s="2"/>
      <c r="G168" s="2"/>
      <c r="H168" s="2"/>
      <c r="I168" s="2"/>
      <c r="J168" s="2"/>
      <c r="K168" s="2"/>
      <c r="L168" s="2"/>
      <c r="M168" s="2"/>
      <c r="N168" s="2"/>
    </row>
    <row r="169" spans="1:14">
      <c r="A169" s="11"/>
      <c r="B169" s="11"/>
      <c r="C169" s="2"/>
      <c r="D169" s="2"/>
      <c r="E169" s="2"/>
      <c r="F169" s="2"/>
      <c r="G169" s="2"/>
      <c r="H169" s="2"/>
      <c r="I169" s="2"/>
      <c r="J169" s="2"/>
      <c r="K169" s="2"/>
      <c r="L169" s="2"/>
      <c r="M169" s="2"/>
      <c r="N169" s="2"/>
    </row>
    <row r="170" spans="1:14">
      <c r="A170" s="11"/>
      <c r="B170" s="11"/>
      <c r="C170" s="2"/>
      <c r="D170" s="2"/>
      <c r="E170" s="2"/>
      <c r="F170" s="2"/>
      <c r="G170" s="2"/>
      <c r="H170" s="2"/>
      <c r="I170" s="2"/>
      <c r="J170" s="2"/>
      <c r="K170" s="2"/>
      <c r="L170" s="2"/>
      <c r="M170" s="2"/>
      <c r="N170" s="2"/>
    </row>
    <row r="171" spans="1:14">
      <c r="A171" s="11"/>
      <c r="B171" s="11"/>
      <c r="C171" s="2"/>
      <c r="D171" s="2"/>
      <c r="E171" s="2"/>
      <c r="F171" s="2"/>
      <c r="G171" s="2"/>
      <c r="H171" s="2"/>
      <c r="I171" s="2"/>
      <c r="J171" s="2"/>
      <c r="K171" s="2"/>
      <c r="L171" s="2"/>
      <c r="M171" s="2"/>
      <c r="N171" s="2"/>
    </row>
    <row r="172" spans="1:14">
      <c r="A172" s="11"/>
      <c r="B172" s="11"/>
      <c r="C172" s="2"/>
      <c r="D172" s="2"/>
      <c r="E172" s="2"/>
      <c r="F172" s="2"/>
      <c r="G172" s="2"/>
      <c r="H172" s="2"/>
      <c r="I172" s="2"/>
      <c r="J172" s="2"/>
      <c r="K172" s="2"/>
      <c r="L172" s="2"/>
      <c r="M172" s="2"/>
      <c r="N172" s="2"/>
    </row>
    <row r="173" spans="1:14">
      <c r="A173" s="11"/>
      <c r="B173" s="11"/>
      <c r="C173" s="2"/>
      <c r="D173" s="2"/>
      <c r="E173" s="2"/>
      <c r="F173" s="2"/>
      <c r="G173" s="2"/>
      <c r="H173" s="2"/>
      <c r="I173" s="2"/>
      <c r="J173" s="2"/>
      <c r="K173" s="2"/>
      <c r="L173" s="2"/>
      <c r="M173" s="2"/>
      <c r="N173" s="2"/>
    </row>
    <row r="174" spans="1:14">
      <c r="A174" s="11"/>
      <c r="B174" s="11"/>
      <c r="C174" s="2"/>
      <c r="D174" s="2"/>
      <c r="E174" s="2"/>
      <c r="F174" s="2"/>
      <c r="G174" s="2"/>
      <c r="H174" s="2"/>
      <c r="I174" s="2"/>
      <c r="J174" s="2"/>
      <c r="K174" s="2"/>
      <c r="L174" s="2"/>
      <c r="M174" s="2"/>
      <c r="N174" s="2"/>
    </row>
    <row r="175" spans="1:14">
      <c r="A175" s="11"/>
      <c r="B175" s="11"/>
      <c r="C175" s="2"/>
      <c r="D175" s="2"/>
      <c r="E175" s="2"/>
      <c r="F175" s="2"/>
      <c r="G175" s="2"/>
      <c r="H175" s="2"/>
      <c r="I175" s="2"/>
      <c r="J175" s="2"/>
      <c r="K175" s="2"/>
      <c r="L175" s="2"/>
      <c r="M175" s="2"/>
      <c r="N175" s="2"/>
    </row>
    <row r="176" spans="1:14">
      <c r="A176" s="11"/>
      <c r="B176" s="11"/>
      <c r="C176" s="2"/>
      <c r="D176" s="2"/>
      <c r="E176" s="2"/>
      <c r="F176" s="2"/>
      <c r="G176" s="2"/>
      <c r="H176" s="2"/>
      <c r="I176" s="2"/>
      <c r="J176" s="2"/>
      <c r="K176" s="2"/>
      <c r="L176" s="2"/>
      <c r="M176" s="2"/>
      <c r="N176" s="2"/>
    </row>
    <row r="177" spans="1:14">
      <c r="A177" s="11"/>
      <c r="B177" s="11"/>
      <c r="C177" s="2"/>
      <c r="D177" s="2"/>
      <c r="E177" s="2"/>
      <c r="F177" s="2"/>
      <c r="G177" s="2"/>
      <c r="H177" s="2"/>
      <c r="I177" s="2"/>
      <c r="J177" s="2"/>
      <c r="K177" s="2"/>
      <c r="L177" s="2"/>
      <c r="M177" s="2"/>
      <c r="N177" s="2"/>
    </row>
    <row r="178" spans="1:14">
      <c r="A178" s="11"/>
      <c r="B178" s="11"/>
      <c r="C178" s="2"/>
      <c r="D178" s="2"/>
      <c r="E178" s="2"/>
      <c r="F178" s="2"/>
      <c r="G178" s="2"/>
      <c r="H178" s="2"/>
      <c r="I178" s="2"/>
      <c r="J178" s="2"/>
      <c r="K178" s="2"/>
      <c r="L178" s="2"/>
      <c r="M178" s="2"/>
      <c r="N178" s="2"/>
    </row>
    <row r="179" spans="1:14">
      <c r="A179" s="11"/>
      <c r="B179" s="11"/>
      <c r="C179" s="2"/>
      <c r="D179" s="2"/>
      <c r="E179" s="2"/>
      <c r="F179" s="2"/>
      <c r="G179" s="2"/>
      <c r="H179" s="2"/>
      <c r="I179" s="2"/>
      <c r="J179" s="2"/>
      <c r="K179" s="2"/>
      <c r="L179" s="2"/>
      <c r="M179" s="2"/>
      <c r="N179" s="2"/>
    </row>
    <row r="180" spans="1:14">
      <c r="A180" s="11"/>
      <c r="B180" s="11"/>
      <c r="C180" s="2"/>
      <c r="D180" s="2"/>
      <c r="E180" s="2"/>
      <c r="F180" s="2"/>
      <c r="G180" s="2"/>
      <c r="H180" s="2"/>
      <c r="I180" s="2"/>
      <c r="J180" s="2"/>
      <c r="K180" s="2"/>
      <c r="L180" s="2"/>
      <c r="M180" s="2"/>
      <c r="N180" s="2"/>
    </row>
    <row r="181" spans="1:14">
      <c r="A181" s="11"/>
      <c r="B181" s="11"/>
      <c r="C181" s="2"/>
      <c r="D181" s="2"/>
      <c r="E181" s="2"/>
      <c r="F181" s="2"/>
      <c r="G181" s="2"/>
      <c r="H181" s="2"/>
      <c r="I181" s="2"/>
      <c r="J181" s="2"/>
      <c r="K181" s="2"/>
      <c r="L181" s="2"/>
      <c r="M181" s="2"/>
      <c r="N181" s="2"/>
    </row>
    <row r="182" spans="1:14">
      <c r="A182" s="11"/>
      <c r="B182" s="11"/>
      <c r="C182" s="2"/>
      <c r="D182" s="2"/>
      <c r="E182" s="2"/>
      <c r="F182" s="2"/>
      <c r="G182" s="2"/>
      <c r="H182" s="2"/>
      <c r="I182" s="2"/>
      <c r="J182" s="2"/>
      <c r="K182" s="2"/>
      <c r="L182" s="2"/>
      <c r="M182" s="2"/>
      <c r="N182" s="2"/>
    </row>
    <row r="183" spans="1:14">
      <c r="A183" s="11"/>
      <c r="B183" s="11"/>
      <c r="C183" s="2"/>
      <c r="D183" s="2"/>
      <c r="E183" s="2"/>
      <c r="F183" s="2"/>
      <c r="G183" s="2"/>
      <c r="H183" s="2"/>
      <c r="I183" s="2"/>
      <c r="J183" s="2"/>
      <c r="K183" s="2"/>
      <c r="L183" s="2"/>
      <c r="M183" s="2"/>
      <c r="N183" s="2"/>
    </row>
    <row r="184" spans="1:14">
      <c r="A184" s="11"/>
      <c r="B184" s="11"/>
      <c r="C184" s="2"/>
      <c r="D184" s="2"/>
      <c r="E184" s="2"/>
      <c r="F184" s="2"/>
      <c r="G184" s="2"/>
      <c r="H184" s="2"/>
      <c r="I184" s="2"/>
      <c r="J184" s="2"/>
      <c r="K184" s="2"/>
      <c r="L184" s="2"/>
      <c r="M184" s="2"/>
      <c r="N184" s="2"/>
    </row>
    <row r="185" spans="1:14">
      <c r="A185" s="11"/>
      <c r="B185" s="11"/>
      <c r="C185" s="2"/>
      <c r="D185" s="2"/>
      <c r="E185" s="2"/>
      <c r="F185" s="2"/>
      <c r="G185" s="2"/>
      <c r="H185" s="2"/>
      <c r="I185" s="2"/>
      <c r="J185" s="2"/>
      <c r="K185" s="2"/>
      <c r="L185" s="2"/>
      <c r="M185" s="2"/>
      <c r="N185" s="2"/>
    </row>
    <row r="186" spans="1:14">
      <c r="A186" s="11"/>
      <c r="B186" s="11"/>
      <c r="C186" s="2"/>
      <c r="D186" s="2"/>
      <c r="E186" s="2"/>
      <c r="F186" s="2"/>
      <c r="G186" s="2"/>
      <c r="H186" s="2"/>
      <c r="I186" s="2"/>
      <c r="J186" s="2"/>
      <c r="K186" s="2"/>
      <c r="L186" s="2"/>
      <c r="M186" s="2"/>
      <c r="N186" s="2"/>
    </row>
    <row r="187" spans="1:14">
      <c r="A187" s="11"/>
      <c r="B187" s="11"/>
      <c r="C187" s="2"/>
      <c r="D187" s="2"/>
      <c r="E187" s="2"/>
      <c r="F187" s="2"/>
      <c r="G187" s="2"/>
      <c r="H187" s="2"/>
      <c r="I187" s="2"/>
      <c r="J187" s="2"/>
      <c r="K187" s="2"/>
      <c r="L187" s="2"/>
      <c r="M187" s="2"/>
      <c r="N187" s="2"/>
    </row>
    <row r="188" spans="1:14">
      <c r="A188" s="11"/>
      <c r="B188" s="11"/>
      <c r="C188" s="2"/>
      <c r="D188" s="2"/>
      <c r="E188" s="2"/>
      <c r="F188" s="2"/>
      <c r="G188" s="2"/>
      <c r="H188" s="2"/>
      <c r="I188" s="2"/>
      <c r="J188" s="2"/>
      <c r="K188" s="2"/>
      <c r="L188" s="2"/>
      <c r="M188" s="2"/>
      <c r="N188" s="2"/>
    </row>
    <row r="189" spans="1:14">
      <c r="A189" s="11"/>
      <c r="B189" s="11"/>
      <c r="C189" s="2"/>
      <c r="D189" s="2"/>
      <c r="E189" s="2"/>
      <c r="F189" s="2"/>
      <c r="G189" s="2"/>
      <c r="H189" s="2"/>
      <c r="I189" s="2"/>
      <c r="J189" s="2"/>
      <c r="K189" s="2"/>
      <c r="L189" s="2"/>
      <c r="M189" s="2"/>
      <c r="N189" s="2"/>
    </row>
    <row r="190" spans="1:14">
      <c r="A190" s="11"/>
      <c r="B190" s="11"/>
      <c r="C190" s="2"/>
      <c r="D190" s="2"/>
      <c r="E190" s="2"/>
      <c r="F190" s="2"/>
      <c r="G190" s="2"/>
      <c r="H190" s="2"/>
      <c r="I190" s="2"/>
      <c r="J190" s="2"/>
      <c r="K190" s="2"/>
      <c r="L190" s="2"/>
      <c r="M190" s="2"/>
      <c r="N190" s="2"/>
    </row>
    <row r="191" spans="1:14">
      <c r="A191" s="11"/>
      <c r="B191" s="11"/>
      <c r="C191" s="2"/>
      <c r="D191" s="2"/>
      <c r="E191" s="2"/>
      <c r="F191" s="2"/>
      <c r="G191" s="2"/>
      <c r="H191" s="2"/>
      <c r="I191" s="2"/>
      <c r="J191" s="2"/>
      <c r="K191" s="2"/>
      <c r="L191" s="2"/>
      <c r="M191" s="2"/>
      <c r="N191" s="2"/>
    </row>
    <row r="192" spans="1:14">
      <c r="A192" s="11"/>
      <c r="B192" s="11"/>
      <c r="C192" s="2"/>
      <c r="D192" s="2"/>
      <c r="E192" s="2"/>
      <c r="F192" s="2"/>
      <c r="G192" s="2"/>
      <c r="H192" s="2"/>
      <c r="I192" s="2"/>
      <c r="J192" s="2"/>
      <c r="K192" s="2"/>
      <c r="L192" s="2"/>
      <c r="M192" s="2"/>
      <c r="N192" s="2"/>
    </row>
    <row r="193" spans="1:14">
      <c r="A193" s="11"/>
      <c r="B193" s="11"/>
      <c r="C193" s="2"/>
      <c r="D193" s="2"/>
      <c r="E193" s="2"/>
      <c r="F193" s="2"/>
      <c r="G193" s="2"/>
      <c r="H193" s="2"/>
      <c r="I193" s="2"/>
      <c r="J193" s="2"/>
      <c r="K193" s="2"/>
      <c r="L193" s="2"/>
      <c r="M193" s="2"/>
      <c r="N193" s="2"/>
    </row>
    <row r="194" spans="1:14">
      <c r="A194" s="11"/>
      <c r="B194" s="11"/>
      <c r="C194" s="2"/>
      <c r="D194" s="2"/>
      <c r="E194" s="2"/>
      <c r="F194" s="2"/>
      <c r="G194" s="2"/>
      <c r="H194" s="2"/>
      <c r="I194" s="2"/>
      <c r="J194" s="2"/>
      <c r="K194" s="2"/>
      <c r="L194" s="2"/>
      <c r="M194" s="2"/>
      <c r="N194" s="2"/>
    </row>
    <row r="195" spans="1:14">
      <c r="A195" s="11"/>
      <c r="B195" s="11"/>
      <c r="C195" s="2"/>
      <c r="D195" s="2"/>
      <c r="E195" s="2"/>
      <c r="F195" s="2"/>
      <c r="G195" s="2"/>
      <c r="H195" s="2"/>
      <c r="I195" s="2"/>
      <c r="J195" s="2"/>
      <c r="K195" s="2"/>
      <c r="L195" s="2"/>
      <c r="M195" s="2"/>
      <c r="N195" s="2"/>
    </row>
    <row r="196" spans="1:14">
      <c r="A196" s="11"/>
      <c r="B196" s="11"/>
      <c r="C196" s="2"/>
      <c r="D196" s="2"/>
      <c r="E196" s="2"/>
      <c r="F196" s="2"/>
      <c r="G196" s="2"/>
      <c r="H196" s="2"/>
      <c r="I196" s="2"/>
      <c r="J196" s="2"/>
      <c r="K196" s="2"/>
      <c r="L196" s="2"/>
      <c r="M196" s="2"/>
      <c r="N196" s="2"/>
    </row>
    <row r="197" spans="1:14">
      <c r="A197" s="11"/>
      <c r="B197" s="11"/>
      <c r="C197" s="2"/>
      <c r="D197" s="2"/>
      <c r="E197" s="2"/>
      <c r="F197" s="2"/>
      <c r="G197" s="2"/>
      <c r="H197" s="2"/>
      <c r="I197" s="2"/>
      <c r="J197" s="2"/>
      <c r="K197" s="2"/>
      <c r="L197" s="2"/>
      <c r="M197" s="2"/>
      <c r="N197" s="2"/>
    </row>
    <row r="198" spans="1:14">
      <c r="A198" s="11"/>
      <c r="B198" s="11"/>
      <c r="C198" s="2"/>
      <c r="D198" s="2"/>
      <c r="E198" s="2"/>
      <c r="F198" s="2"/>
      <c r="G198" s="2"/>
      <c r="H198" s="2"/>
      <c r="I198" s="2"/>
      <c r="J198" s="2"/>
      <c r="K198" s="2"/>
      <c r="L198" s="2"/>
      <c r="M198" s="2"/>
      <c r="N198" s="2"/>
    </row>
    <row r="199" spans="1:14">
      <c r="A199" s="11"/>
      <c r="B199" s="11"/>
      <c r="C199" s="2"/>
      <c r="D199" s="2"/>
      <c r="E199" s="2"/>
      <c r="F199" s="2"/>
      <c r="G199" s="2"/>
      <c r="H199" s="2"/>
      <c r="I199" s="2"/>
      <c r="J199" s="2"/>
      <c r="K199" s="2"/>
      <c r="L199" s="2"/>
      <c r="M199" s="2"/>
      <c r="N199" s="2"/>
    </row>
    <row r="200" spans="1:14">
      <c r="A200" s="11"/>
      <c r="B200" s="11"/>
      <c r="C200" s="2"/>
      <c r="D200" s="2"/>
      <c r="E200" s="2"/>
      <c r="F200" s="2"/>
      <c r="G200" s="2"/>
      <c r="H200" s="2"/>
      <c r="I200" s="2"/>
      <c r="J200" s="2"/>
      <c r="K200" s="2"/>
      <c r="L200" s="2"/>
      <c r="M200" s="2"/>
      <c r="N200" s="2"/>
    </row>
    <row r="201" spans="1:14">
      <c r="A201" s="11"/>
      <c r="B201" s="11"/>
      <c r="C201" s="2"/>
      <c r="D201" s="2"/>
      <c r="E201" s="2"/>
      <c r="F201" s="2"/>
      <c r="G201" s="2"/>
      <c r="H201" s="2"/>
      <c r="I201" s="2"/>
      <c r="J201" s="2"/>
      <c r="K201" s="2"/>
      <c r="L201" s="2"/>
      <c r="M201" s="2"/>
      <c r="N201" s="2"/>
    </row>
    <row r="202" spans="1:14">
      <c r="A202" s="11"/>
      <c r="B202" s="11"/>
      <c r="C202" s="2"/>
      <c r="D202" s="2"/>
      <c r="E202" s="2"/>
      <c r="F202" s="2"/>
      <c r="G202" s="2"/>
      <c r="H202" s="2"/>
      <c r="I202" s="2"/>
      <c r="J202" s="2"/>
      <c r="K202" s="2"/>
      <c r="L202" s="2"/>
      <c r="M202" s="2"/>
      <c r="N202" s="2"/>
    </row>
    <row r="203" spans="1:14">
      <c r="A203" s="11"/>
      <c r="B203" s="11"/>
      <c r="C203" s="2"/>
      <c r="D203" s="2"/>
      <c r="E203" s="2"/>
      <c r="F203" s="2"/>
      <c r="G203" s="2"/>
      <c r="H203" s="2"/>
      <c r="I203" s="2"/>
      <c r="J203" s="2"/>
      <c r="K203" s="2"/>
      <c r="L203" s="2"/>
      <c r="M203" s="2"/>
      <c r="N203" s="2"/>
    </row>
    <row r="204" spans="1:14">
      <c r="A204" s="11"/>
      <c r="B204" s="11"/>
      <c r="C204" s="2"/>
      <c r="D204" s="2"/>
      <c r="E204" s="2"/>
      <c r="F204" s="2"/>
      <c r="G204" s="2"/>
      <c r="H204" s="2"/>
      <c r="I204" s="2"/>
      <c r="J204" s="2"/>
      <c r="K204" s="2"/>
      <c r="L204" s="2"/>
      <c r="M204" s="2"/>
      <c r="N204" s="2"/>
    </row>
    <row r="205" spans="1:14">
      <c r="A205" s="11"/>
      <c r="B205" s="11"/>
      <c r="C205" s="2"/>
      <c r="D205" s="2"/>
      <c r="E205" s="2"/>
      <c r="F205" s="2"/>
      <c r="G205" s="2"/>
      <c r="H205" s="2"/>
      <c r="I205" s="2"/>
      <c r="J205" s="2"/>
      <c r="K205" s="2"/>
      <c r="L205" s="2"/>
      <c r="M205" s="2"/>
      <c r="N205" s="2"/>
    </row>
    <row r="206" spans="1:14">
      <c r="A206" s="11"/>
      <c r="B206" s="11"/>
      <c r="C206" s="2"/>
      <c r="D206" s="2"/>
      <c r="E206" s="2"/>
      <c r="F206" s="2"/>
      <c r="G206" s="2"/>
      <c r="H206" s="2"/>
      <c r="I206" s="2"/>
      <c r="J206" s="2"/>
      <c r="K206" s="2"/>
      <c r="L206" s="2"/>
      <c r="M206" s="2"/>
      <c r="N206" s="2"/>
    </row>
    <row r="207" spans="1:14">
      <c r="A207" s="11"/>
      <c r="B207" s="11"/>
      <c r="C207" s="2"/>
      <c r="D207" s="2"/>
      <c r="E207" s="2"/>
      <c r="F207" s="2"/>
      <c r="G207" s="2"/>
      <c r="H207" s="2"/>
      <c r="I207" s="2"/>
      <c r="J207" s="2"/>
      <c r="K207" s="2"/>
      <c r="L207" s="2"/>
      <c r="M207" s="2"/>
      <c r="N207" s="2"/>
    </row>
    <row r="208" spans="1:14">
      <c r="A208" s="11"/>
      <c r="B208" s="11"/>
      <c r="C208" s="2"/>
      <c r="D208" s="2"/>
      <c r="E208" s="2"/>
      <c r="F208" s="2"/>
      <c r="G208" s="2"/>
      <c r="H208" s="2"/>
      <c r="I208" s="2"/>
      <c r="J208" s="2"/>
      <c r="K208" s="2"/>
      <c r="L208" s="2"/>
      <c r="M208" s="2"/>
      <c r="N208" s="2"/>
    </row>
    <row r="209" spans="1:14">
      <c r="A209" s="11"/>
      <c r="B209" s="11"/>
      <c r="C209" s="2"/>
      <c r="D209" s="2"/>
      <c r="E209" s="2"/>
      <c r="F209" s="2"/>
      <c r="G209" s="2"/>
      <c r="H209" s="2"/>
      <c r="I209" s="2"/>
      <c r="J209" s="2"/>
      <c r="K209" s="2"/>
      <c r="L209" s="2"/>
      <c r="M209" s="2"/>
      <c r="N209" s="2"/>
    </row>
    <row r="210" spans="1:14">
      <c r="A210" s="11"/>
      <c r="B210" s="11"/>
      <c r="C210" s="2"/>
      <c r="D210" s="2"/>
      <c r="E210" s="2"/>
      <c r="F210" s="2"/>
      <c r="G210" s="2"/>
      <c r="H210" s="2"/>
      <c r="I210" s="2"/>
      <c r="J210" s="2"/>
      <c r="K210" s="2"/>
      <c r="L210" s="2"/>
      <c r="M210" s="2"/>
      <c r="N210" s="2"/>
    </row>
    <row r="211" spans="1:14">
      <c r="A211" s="11"/>
      <c r="B211" s="11"/>
      <c r="C211" s="2"/>
      <c r="D211" s="2"/>
      <c r="E211" s="2"/>
      <c r="F211" s="2"/>
      <c r="G211" s="2"/>
      <c r="H211" s="2"/>
      <c r="I211" s="2"/>
      <c r="J211" s="2"/>
      <c r="K211" s="2"/>
      <c r="L211" s="2"/>
      <c r="M211" s="2"/>
      <c r="N211" s="2"/>
    </row>
    <row r="212" spans="1:14">
      <c r="A212" s="11"/>
      <c r="B212" s="11"/>
      <c r="C212" s="2"/>
      <c r="D212" s="2"/>
      <c r="E212" s="2"/>
      <c r="F212" s="2"/>
      <c r="G212" s="2"/>
      <c r="H212" s="2"/>
      <c r="I212" s="2"/>
      <c r="J212" s="2"/>
      <c r="K212" s="2"/>
      <c r="L212" s="2"/>
      <c r="M212" s="2"/>
      <c r="N212" s="2"/>
    </row>
    <row r="213" spans="1:14">
      <c r="A213" s="11"/>
      <c r="B213" s="11"/>
      <c r="C213" s="2"/>
      <c r="D213" s="2"/>
      <c r="E213" s="2"/>
      <c r="F213" s="2"/>
      <c r="G213" s="2"/>
      <c r="H213" s="2"/>
      <c r="I213" s="2"/>
      <c r="J213" s="2"/>
      <c r="K213" s="2"/>
      <c r="L213" s="2"/>
      <c r="M213" s="2"/>
      <c r="N213" s="2"/>
    </row>
    <row r="214" spans="1:14">
      <c r="A214" s="11"/>
      <c r="B214" s="11"/>
      <c r="C214" s="2"/>
      <c r="D214" s="2"/>
      <c r="E214" s="2"/>
      <c r="F214" s="2"/>
      <c r="G214" s="2"/>
      <c r="H214" s="2"/>
      <c r="I214" s="2"/>
      <c r="J214" s="2"/>
      <c r="K214" s="2"/>
      <c r="L214" s="2"/>
      <c r="M214" s="2"/>
      <c r="N214" s="2"/>
    </row>
    <row r="215" spans="1:14">
      <c r="A215" s="11"/>
      <c r="B215" s="11"/>
      <c r="C215" s="2"/>
      <c r="D215" s="2"/>
      <c r="E215" s="2"/>
      <c r="F215" s="2"/>
      <c r="G215" s="2"/>
      <c r="H215" s="2"/>
      <c r="I215" s="2"/>
      <c r="J215" s="2"/>
      <c r="K215" s="2"/>
      <c r="L215" s="2"/>
      <c r="M215" s="2"/>
      <c r="N215" s="2"/>
    </row>
    <row r="216" spans="1:14">
      <c r="A216" s="11"/>
      <c r="B216" s="11"/>
      <c r="C216" s="2"/>
      <c r="D216" s="2"/>
      <c r="E216" s="2"/>
      <c r="F216" s="2"/>
      <c r="G216" s="2"/>
      <c r="H216" s="2"/>
      <c r="I216" s="2"/>
      <c r="J216" s="2"/>
      <c r="K216" s="2"/>
      <c r="L216" s="2"/>
      <c r="M216" s="2"/>
      <c r="N216" s="2"/>
    </row>
    <row r="217" spans="1:14">
      <c r="A217" s="11"/>
      <c r="B217" s="11"/>
      <c r="C217" s="2"/>
      <c r="D217" s="2"/>
      <c r="E217" s="2"/>
      <c r="F217" s="2"/>
      <c r="G217" s="2"/>
      <c r="H217" s="2"/>
      <c r="I217" s="2"/>
      <c r="J217" s="2"/>
      <c r="K217" s="2"/>
      <c r="L217" s="2"/>
      <c r="M217" s="2"/>
      <c r="N217" s="2"/>
    </row>
    <row r="218" spans="1:14">
      <c r="A218" s="11"/>
      <c r="B218" s="11"/>
      <c r="C218" s="2"/>
      <c r="D218" s="2"/>
      <c r="E218" s="2"/>
      <c r="F218" s="2"/>
      <c r="G218" s="2"/>
      <c r="H218" s="2"/>
      <c r="I218" s="2"/>
      <c r="J218" s="2"/>
      <c r="K218" s="2"/>
      <c r="L218" s="2"/>
      <c r="M218" s="2"/>
      <c r="N218" s="2"/>
    </row>
    <row r="219" spans="1:14">
      <c r="A219" s="11"/>
      <c r="B219" s="11"/>
      <c r="C219" s="2"/>
      <c r="D219" s="2"/>
      <c r="E219" s="2"/>
      <c r="F219" s="2"/>
      <c r="G219" s="2"/>
      <c r="H219" s="2"/>
      <c r="I219" s="2"/>
      <c r="J219" s="2"/>
      <c r="K219" s="2"/>
      <c r="L219" s="2"/>
      <c r="M219" s="2"/>
      <c r="N219" s="2"/>
    </row>
    <row r="220" spans="1:14">
      <c r="A220" s="11"/>
      <c r="B220" s="11"/>
      <c r="C220" s="2"/>
      <c r="D220" s="2"/>
      <c r="E220" s="2"/>
      <c r="F220" s="2"/>
      <c r="G220" s="2"/>
      <c r="H220" s="2"/>
      <c r="I220" s="2"/>
      <c r="J220" s="2"/>
      <c r="K220" s="2"/>
      <c r="L220" s="2"/>
      <c r="M220" s="2"/>
      <c r="N220" s="2"/>
    </row>
    <row r="221" spans="1:14">
      <c r="A221" s="11"/>
      <c r="B221" s="11"/>
      <c r="C221" s="2"/>
      <c r="D221" s="2"/>
      <c r="E221" s="2"/>
      <c r="F221" s="2"/>
      <c r="G221" s="2"/>
      <c r="H221" s="2"/>
      <c r="I221" s="2"/>
      <c r="J221" s="2"/>
      <c r="K221" s="2"/>
      <c r="L221" s="2"/>
      <c r="M221" s="2"/>
      <c r="N221" s="2"/>
    </row>
    <row r="222" spans="1:14">
      <c r="A222" s="11"/>
      <c r="B222" s="11"/>
      <c r="C222" s="2"/>
      <c r="D222" s="2"/>
      <c r="E222" s="2"/>
      <c r="F222" s="2"/>
      <c r="G222" s="2"/>
      <c r="H222" s="2"/>
      <c r="I222" s="2"/>
      <c r="J222" s="2"/>
      <c r="K222" s="2"/>
      <c r="L222" s="2"/>
      <c r="M222" s="2"/>
      <c r="N222" s="2"/>
    </row>
    <row r="223" spans="1:14">
      <c r="A223" s="11"/>
      <c r="B223" s="11"/>
      <c r="C223" s="2"/>
      <c r="D223" s="2"/>
      <c r="E223" s="2"/>
      <c r="F223" s="2"/>
      <c r="G223" s="2"/>
      <c r="H223" s="2"/>
      <c r="I223" s="2"/>
      <c r="J223" s="2"/>
      <c r="K223" s="2"/>
      <c r="L223" s="2"/>
      <c r="M223" s="2"/>
      <c r="N223" s="2"/>
    </row>
    <row r="224" spans="1:14">
      <c r="A224" s="11"/>
      <c r="B224" s="11"/>
      <c r="C224" s="2"/>
      <c r="D224" s="2"/>
      <c r="E224" s="2"/>
      <c r="F224" s="2"/>
      <c r="G224" s="2"/>
      <c r="H224" s="2"/>
      <c r="I224" s="2"/>
      <c r="J224" s="2"/>
      <c r="K224" s="2"/>
      <c r="L224" s="2"/>
      <c r="M224" s="2"/>
      <c r="N224" s="2"/>
    </row>
    <row r="225" spans="1:14">
      <c r="A225" s="11"/>
      <c r="B225" s="11"/>
      <c r="C225" s="2"/>
      <c r="D225" s="2"/>
      <c r="E225" s="2"/>
      <c r="F225" s="2"/>
      <c r="G225" s="2"/>
      <c r="H225" s="2"/>
      <c r="I225" s="2"/>
      <c r="J225" s="2"/>
      <c r="K225" s="2"/>
      <c r="L225" s="2"/>
      <c r="M225" s="2"/>
      <c r="N225" s="2"/>
    </row>
    <row r="226" spans="1:14">
      <c r="A226" s="11"/>
      <c r="B226" s="11"/>
      <c r="C226" s="2"/>
      <c r="D226" s="2"/>
      <c r="E226" s="2"/>
      <c r="F226" s="2"/>
      <c r="G226" s="2"/>
      <c r="H226" s="2"/>
      <c r="I226" s="2"/>
      <c r="J226" s="2"/>
      <c r="K226" s="2"/>
      <c r="L226" s="2"/>
      <c r="M226" s="2"/>
      <c r="N226" s="2"/>
    </row>
    <row r="227" spans="1:14">
      <c r="A227" s="11"/>
      <c r="B227" s="11"/>
      <c r="C227" s="2"/>
      <c r="D227" s="2"/>
      <c r="E227" s="2"/>
      <c r="F227" s="2"/>
      <c r="G227" s="2"/>
      <c r="H227" s="2"/>
      <c r="I227" s="2"/>
      <c r="J227" s="2"/>
      <c r="K227" s="2"/>
      <c r="L227" s="2"/>
      <c r="M227" s="2"/>
      <c r="N227" s="2"/>
    </row>
    <row r="228" spans="1:14">
      <c r="A228" s="11"/>
      <c r="B228" s="11"/>
      <c r="C228" s="2"/>
      <c r="D228" s="2"/>
      <c r="E228" s="2"/>
      <c r="F228" s="2"/>
      <c r="G228" s="2"/>
      <c r="H228" s="2"/>
      <c r="I228" s="2"/>
      <c r="J228" s="2"/>
      <c r="K228" s="2"/>
      <c r="L228" s="2"/>
      <c r="M228" s="2"/>
      <c r="N228" s="2"/>
    </row>
    <row r="229" spans="1:14">
      <c r="A229" s="11"/>
      <c r="B229" s="11"/>
      <c r="C229" s="2"/>
      <c r="D229" s="2"/>
      <c r="E229" s="2"/>
      <c r="F229" s="2"/>
      <c r="G229" s="2"/>
      <c r="H229" s="2"/>
      <c r="I229" s="2"/>
      <c r="J229" s="2"/>
      <c r="K229" s="2"/>
      <c r="L229" s="2"/>
      <c r="M229" s="2"/>
      <c r="N229" s="2"/>
    </row>
    <row r="230" spans="1:14">
      <c r="A230" s="11"/>
      <c r="B230" s="11"/>
      <c r="C230" s="2"/>
      <c r="D230" s="2"/>
      <c r="E230" s="2"/>
      <c r="F230" s="2"/>
      <c r="G230" s="2"/>
      <c r="H230" s="2"/>
      <c r="I230" s="2"/>
      <c r="J230" s="2"/>
      <c r="K230" s="2"/>
      <c r="L230" s="2"/>
      <c r="M230" s="2"/>
      <c r="N230" s="2"/>
    </row>
    <row r="231" spans="1:14">
      <c r="A231" s="11"/>
      <c r="B231" s="11"/>
      <c r="C231" s="2"/>
      <c r="D231" s="2"/>
      <c r="E231" s="2"/>
      <c r="F231" s="2"/>
      <c r="G231" s="2"/>
      <c r="H231" s="2"/>
      <c r="I231" s="2"/>
      <c r="J231" s="2"/>
      <c r="K231" s="2"/>
      <c r="L231" s="2"/>
      <c r="M231" s="2"/>
      <c r="N231" s="2"/>
    </row>
    <row r="232" spans="1:14">
      <c r="A232" s="11"/>
      <c r="B232" s="11"/>
      <c r="C232" s="2"/>
      <c r="D232" s="2"/>
      <c r="E232" s="2"/>
      <c r="F232" s="2"/>
      <c r="G232" s="2"/>
      <c r="H232" s="2"/>
      <c r="I232" s="2"/>
      <c r="J232" s="2"/>
      <c r="K232" s="2"/>
      <c r="L232" s="2"/>
      <c r="M232" s="2"/>
      <c r="N232" s="2"/>
    </row>
    <row r="233" spans="1:14">
      <c r="A233" s="11"/>
      <c r="B233" s="11"/>
      <c r="C233" s="2"/>
      <c r="D233" s="2"/>
      <c r="E233" s="2"/>
      <c r="F233" s="2"/>
      <c r="G233" s="2"/>
      <c r="H233" s="2"/>
      <c r="I233" s="2"/>
      <c r="J233" s="2"/>
      <c r="K233" s="2"/>
      <c r="L233" s="2"/>
      <c r="M233" s="2"/>
      <c r="N233" s="2"/>
    </row>
    <row r="234" spans="1:14">
      <c r="A234" s="11"/>
      <c r="B234" s="11"/>
      <c r="C234" s="2"/>
      <c r="D234" s="2"/>
      <c r="E234" s="2"/>
      <c r="F234" s="2"/>
      <c r="G234" s="2"/>
      <c r="H234" s="2"/>
      <c r="I234" s="2"/>
      <c r="J234" s="2"/>
      <c r="K234" s="2"/>
      <c r="L234" s="2"/>
      <c r="M234" s="2"/>
      <c r="N234" s="2"/>
    </row>
    <row r="235" spans="1:14">
      <c r="A235" s="11"/>
      <c r="B235" s="11"/>
      <c r="C235" s="2"/>
      <c r="D235" s="2"/>
      <c r="E235" s="2"/>
      <c r="F235" s="2"/>
      <c r="G235" s="2"/>
      <c r="H235" s="2"/>
      <c r="I235" s="2"/>
      <c r="J235" s="2"/>
      <c r="K235" s="2"/>
      <c r="L235" s="2"/>
      <c r="M235" s="2"/>
      <c r="N235" s="2"/>
    </row>
    <row r="236" spans="1:14">
      <c r="A236" s="11"/>
      <c r="B236" s="11"/>
      <c r="C236" s="2"/>
      <c r="D236" s="2"/>
      <c r="E236" s="2"/>
      <c r="F236" s="2"/>
      <c r="G236" s="2"/>
      <c r="H236" s="2"/>
      <c r="I236" s="2"/>
      <c r="J236" s="2"/>
      <c r="K236" s="2"/>
      <c r="L236" s="2"/>
      <c r="M236" s="2"/>
      <c r="N236" s="2"/>
    </row>
    <row r="237" spans="1:14">
      <c r="A237" s="11"/>
      <c r="B237" s="11"/>
      <c r="C237" s="2"/>
      <c r="D237" s="2"/>
      <c r="E237" s="2"/>
      <c r="F237" s="2"/>
      <c r="G237" s="2"/>
      <c r="H237" s="2"/>
      <c r="I237" s="2"/>
      <c r="J237" s="2"/>
      <c r="K237" s="2"/>
      <c r="L237" s="2"/>
      <c r="M237" s="2"/>
      <c r="N237" s="2"/>
    </row>
    <row r="238" spans="1:14">
      <c r="A238" s="11"/>
      <c r="B238" s="11"/>
      <c r="C238" s="2"/>
      <c r="D238" s="2"/>
      <c r="E238" s="2"/>
      <c r="F238" s="2"/>
      <c r="G238" s="2"/>
      <c r="H238" s="2"/>
      <c r="I238" s="2"/>
      <c r="J238" s="2"/>
      <c r="K238" s="2"/>
      <c r="L238" s="2"/>
      <c r="M238" s="2"/>
      <c r="N238" s="2"/>
    </row>
    <row r="239" spans="1:14">
      <c r="A239" s="11"/>
      <c r="B239" s="11"/>
      <c r="C239" s="2"/>
      <c r="D239" s="2"/>
      <c r="E239" s="2"/>
      <c r="F239" s="2"/>
      <c r="G239" s="2"/>
      <c r="H239" s="2"/>
      <c r="I239" s="2"/>
      <c r="J239" s="2"/>
      <c r="K239" s="2"/>
      <c r="L239" s="2"/>
      <c r="M239" s="2"/>
      <c r="N239" s="2"/>
    </row>
    <row r="240" spans="1:14">
      <c r="A240" s="11"/>
      <c r="B240" s="11"/>
      <c r="C240" s="2"/>
      <c r="D240" s="2"/>
      <c r="E240" s="2"/>
      <c r="F240" s="2"/>
      <c r="G240" s="2"/>
      <c r="H240" s="2"/>
      <c r="I240" s="2"/>
      <c r="J240" s="2"/>
      <c r="K240" s="2"/>
      <c r="L240" s="2"/>
      <c r="M240" s="2"/>
      <c r="N240" s="2"/>
    </row>
    <row r="241" spans="1:14">
      <c r="A241" s="11"/>
      <c r="B241" s="11"/>
      <c r="C241" s="2"/>
      <c r="D241" s="2"/>
      <c r="E241" s="2"/>
      <c r="F241" s="2"/>
      <c r="G241" s="2"/>
      <c r="H241" s="2"/>
      <c r="I241" s="2"/>
      <c r="J241" s="2"/>
      <c r="K241" s="2"/>
      <c r="L241" s="2"/>
      <c r="M241" s="2"/>
      <c r="N241" s="2"/>
    </row>
    <row r="242" spans="1:14">
      <c r="A242" s="11"/>
      <c r="B242" s="11"/>
      <c r="C242" s="2"/>
      <c r="D242" s="2"/>
      <c r="E242" s="2"/>
      <c r="F242" s="2"/>
      <c r="G242" s="2"/>
      <c r="H242" s="2"/>
      <c r="I242" s="2"/>
      <c r="J242" s="2"/>
      <c r="K242" s="2"/>
      <c r="L242" s="2"/>
      <c r="M242" s="2"/>
      <c r="N242" s="2"/>
    </row>
    <row r="243" spans="1:14">
      <c r="A243" s="11"/>
      <c r="B243" s="11"/>
      <c r="C243" s="2"/>
      <c r="D243" s="2"/>
      <c r="E243" s="2"/>
      <c r="F243" s="2"/>
      <c r="G243" s="2"/>
      <c r="H243" s="2"/>
      <c r="I243" s="2"/>
      <c r="J243" s="2"/>
      <c r="K243" s="2"/>
      <c r="L243" s="2"/>
      <c r="M243" s="2"/>
      <c r="N243" s="2"/>
    </row>
    <row r="244" spans="1:14">
      <c r="A244" s="11"/>
      <c r="B244" s="11"/>
      <c r="C244" s="2"/>
      <c r="D244" s="2"/>
      <c r="E244" s="2"/>
      <c r="F244" s="2"/>
      <c r="G244" s="2"/>
      <c r="H244" s="2"/>
      <c r="I244" s="2"/>
      <c r="J244" s="2"/>
      <c r="K244" s="2"/>
      <c r="L244" s="2"/>
      <c r="M244" s="2"/>
      <c r="N244" s="2"/>
    </row>
    <row r="245" spans="1:14">
      <c r="A245" s="11"/>
      <c r="B245" s="11"/>
      <c r="C245" s="2"/>
      <c r="D245" s="2"/>
      <c r="E245" s="2"/>
      <c r="F245" s="2"/>
      <c r="G245" s="2"/>
      <c r="H245" s="2"/>
      <c r="I245" s="2"/>
      <c r="J245" s="2"/>
      <c r="K245" s="2"/>
      <c r="L245" s="2"/>
      <c r="M245" s="2"/>
      <c r="N245" s="2"/>
    </row>
    <row r="246" spans="1:14">
      <c r="A246" s="11"/>
      <c r="B246" s="11"/>
      <c r="C246" s="2"/>
      <c r="D246" s="2"/>
      <c r="E246" s="2"/>
      <c r="F246" s="2"/>
      <c r="G246" s="2"/>
      <c r="H246" s="2"/>
      <c r="I246" s="2"/>
      <c r="J246" s="2"/>
      <c r="K246" s="2"/>
      <c r="L246" s="2"/>
      <c r="M246" s="2"/>
      <c r="N246" s="2"/>
    </row>
    <row r="247" spans="1:14">
      <c r="A247" s="11"/>
      <c r="B247" s="11"/>
      <c r="C247" s="2"/>
      <c r="D247" s="2"/>
      <c r="E247" s="2"/>
      <c r="F247" s="2"/>
      <c r="G247" s="2"/>
      <c r="H247" s="2"/>
      <c r="I247" s="2"/>
      <c r="J247" s="2"/>
      <c r="K247" s="2"/>
      <c r="L247" s="2"/>
      <c r="M247" s="2"/>
      <c r="N247" s="2"/>
    </row>
    <row r="248" spans="1:14">
      <c r="A248" s="11"/>
      <c r="B248" s="11"/>
      <c r="C248" s="2"/>
      <c r="D248" s="2"/>
      <c r="E248" s="2"/>
      <c r="F248" s="2"/>
      <c r="G248" s="2"/>
      <c r="H248" s="2"/>
      <c r="I248" s="2"/>
      <c r="J248" s="2"/>
      <c r="K248" s="2"/>
      <c r="L248" s="2"/>
      <c r="M248" s="2"/>
      <c r="N248" s="2"/>
    </row>
    <row r="249" spans="1:14">
      <c r="A249" s="11"/>
      <c r="B249" s="11"/>
      <c r="C249" s="2"/>
      <c r="D249" s="2"/>
      <c r="E249" s="2"/>
      <c r="F249" s="2"/>
      <c r="G249" s="2"/>
      <c r="H249" s="2"/>
      <c r="I249" s="2"/>
      <c r="J249" s="2"/>
      <c r="K249" s="2"/>
      <c r="L249" s="2"/>
      <c r="M249" s="2"/>
      <c r="N249" s="2"/>
    </row>
    <row r="250" spans="1:14">
      <c r="A250" s="11"/>
      <c r="B250" s="11"/>
      <c r="C250" s="2"/>
      <c r="D250" s="2"/>
      <c r="E250" s="2"/>
      <c r="F250" s="2"/>
      <c r="G250" s="2"/>
      <c r="H250" s="2"/>
      <c r="I250" s="2"/>
      <c r="J250" s="2"/>
      <c r="K250" s="2"/>
      <c r="L250" s="2"/>
      <c r="M250" s="2"/>
      <c r="N250" s="2"/>
    </row>
    <row r="251" spans="1:14">
      <c r="A251" s="11"/>
      <c r="B251" s="11"/>
      <c r="C251" s="2"/>
      <c r="D251" s="2"/>
      <c r="E251" s="2"/>
      <c r="F251" s="2"/>
      <c r="G251" s="2"/>
      <c r="H251" s="2"/>
      <c r="I251" s="2"/>
      <c r="J251" s="2"/>
      <c r="K251" s="2"/>
      <c r="L251" s="2"/>
      <c r="M251" s="2"/>
      <c r="N251" s="2"/>
    </row>
    <row r="252" spans="1:14">
      <c r="A252" s="11"/>
      <c r="B252" s="11"/>
      <c r="C252" s="2"/>
      <c r="D252" s="2"/>
      <c r="E252" s="2"/>
      <c r="F252" s="2"/>
      <c r="G252" s="2"/>
      <c r="H252" s="2"/>
      <c r="I252" s="2"/>
      <c r="J252" s="2"/>
      <c r="K252" s="2"/>
      <c r="L252" s="2"/>
      <c r="M252" s="2"/>
      <c r="N252" s="2"/>
    </row>
    <row r="253" spans="1:14">
      <c r="A253" s="11"/>
      <c r="B253" s="11"/>
      <c r="C253" s="2"/>
      <c r="D253" s="2"/>
      <c r="E253" s="2"/>
      <c r="F253" s="2"/>
      <c r="G253" s="2"/>
      <c r="H253" s="2"/>
      <c r="I253" s="2"/>
      <c r="J253" s="2"/>
      <c r="K253" s="2"/>
      <c r="L253" s="2"/>
      <c r="M253" s="2"/>
      <c r="N253" s="2"/>
    </row>
    <row r="254" spans="1:14">
      <c r="A254" s="11"/>
      <c r="B254" s="11"/>
      <c r="C254" s="2"/>
      <c r="D254" s="2"/>
      <c r="E254" s="2"/>
      <c r="F254" s="2"/>
      <c r="G254" s="2"/>
      <c r="H254" s="2"/>
      <c r="I254" s="2"/>
      <c r="J254" s="2"/>
      <c r="K254" s="2"/>
      <c r="L254" s="2"/>
      <c r="M254" s="2"/>
      <c r="N254" s="2"/>
    </row>
    <row r="255" spans="1:14">
      <c r="A255" s="11"/>
      <c r="B255" s="11"/>
      <c r="C255" s="2"/>
      <c r="D255" s="2"/>
      <c r="E255" s="2"/>
      <c r="F255" s="2"/>
      <c r="G255" s="2"/>
      <c r="H255" s="2"/>
      <c r="I255" s="2"/>
      <c r="J255" s="2"/>
      <c r="K255" s="2"/>
      <c r="L255" s="2"/>
      <c r="M255" s="2"/>
      <c r="N255" s="2"/>
    </row>
    <row r="256" spans="1:14">
      <c r="A256" s="11"/>
      <c r="B256" s="11"/>
      <c r="C256" s="2"/>
      <c r="D256" s="2"/>
      <c r="E256" s="2"/>
      <c r="F256" s="2"/>
      <c r="G256" s="2"/>
      <c r="H256" s="2"/>
      <c r="I256" s="2"/>
      <c r="J256" s="2"/>
      <c r="K256" s="2"/>
      <c r="L256" s="2"/>
      <c r="M256" s="2"/>
      <c r="N256" s="2"/>
    </row>
    <row r="257" spans="1:14">
      <c r="A257" s="11"/>
      <c r="B257" s="11"/>
      <c r="C257" s="2"/>
      <c r="D257" s="2"/>
      <c r="E257" s="2"/>
      <c r="F257" s="2"/>
      <c r="G257" s="2"/>
      <c r="H257" s="2"/>
      <c r="I257" s="2"/>
      <c r="J257" s="2"/>
      <c r="K257" s="2"/>
      <c r="L257" s="2"/>
      <c r="M257" s="2"/>
      <c r="N257" s="2"/>
    </row>
    <row r="258" spans="1:14">
      <c r="A258" s="11"/>
      <c r="B258" s="11"/>
      <c r="C258" s="2"/>
      <c r="D258" s="2"/>
      <c r="E258" s="2"/>
      <c r="F258" s="2"/>
      <c r="G258" s="2"/>
      <c r="H258" s="2"/>
      <c r="I258" s="2"/>
      <c r="J258" s="2"/>
      <c r="K258" s="2"/>
      <c r="L258" s="2"/>
      <c r="M258" s="2"/>
      <c r="N258" s="2"/>
    </row>
    <row r="259" spans="1:14">
      <c r="A259" s="11"/>
      <c r="B259" s="11"/>
      <c r="C259" s="2"/>
      <c r="D259" s="2"/>
      <c r="E259" s="2"/>
      <c r="F259" s="2"/>
      <c r="G259" s="2"/>
      <c r="H259" s="2"/>
      <c r="I259" s="2"/>
      <c r="J259" s="2"/>
      <c r="K259" s="2"/>
      <c r="L259" s="2"/>
      <c r="M259" s="2"/>
      <c r="N259" s="2"/>
    </row>
    <row r="260" spans="1:14">
      <c r="A260" s="11"/>
      <c r="B260" s="11"/>
      <c r="C260" s="2"/>
      <c r="D260" s="2"/>
      <c r="E260" s="2"/>
      <c r="F260" s="2"/>
      <c r="G260" s="2"/>
      <c r="H260" s="2"/>
      <c r="I260" s="2"/>
      <c r="J260" s="2"/>
      <c r="K260" s="2"/>
      <c r="L260" s="2"/>
      <c r="M260" s="2"/>
      <c r="N260" s="2"/>
    </row>
    <row r="261" spans="1:14">
      <c r="A261" s="11"/>
      <c r="B261" s="11"/>
      <c r="C261" s="2"/>
      <c r="D261" s="2"/>
      <c r="E261" s="2"/>
      <c r="F261" s="2"/>
      <c r="G261" s="2"/>
      <c r="H261" s="2"/>
      <c r="I261" s="2"/>
      <c r="J261" s="2"/>
      <c r="K261" s="2"/>
      <c r="L261" s="2"/>
      <c r="M261" s="2"/>
      <c r="N261" s="2"/>
    </row>
    <row r="262" spans="1:14">
      <c r="A262" s="11"/>
      <c r="B262" s="11"/>
      <c r="C262" s="2"/>
      <c r="D262" s="2"/>
      <c r="E262" s="2"/>
      <c r="F262" s="2"/>
      <c r="G262" s="2"/>
      <c r="H262" s="2"/>
      <c r="I262" s="2"/>
      <c r="J262" s="2"/>
      <c r="K262" s="2"/>
      <c r="L262" s="2"/>
      <c r="M262" s="2"/>
      <c r="N262" s="2"/>
    </row>
    <row r="263" spans="1:14">
      <c r="A263" s="11"/>
      <c r="B263" s="11"/>
      <c r="C263" s="2"/>
      <c r="D263" s="2"/>
      <c r="E263" s="2"/>
      <c r="F263" s="2"/>
      <c r="G263" s="2"/>
      <c r="H263" s="2"/>
      <c r="I263" s="2"/>
      <c r="J263" s="2"/>
      <c r="K263" s="2"/>
      <c r="L263" s="2"/>
      <c r="M263" s="2"/>
      <c r="N263" s="2"/>
    </row>
    <row r="264" spans="1:14">
      <c r="A264" s="11"/>
      <c r="B264" s="11"/>
      <c r="C264" s="2"/>
      <c r="D264" s="2"/>
      <c r="E264" s="2"/>
      <c r="F264" s="2"/>
      <c r="G264" s="2"/>
      <c r="H264" s="2"/>
      <c r="I264" s="2"/>
      <c r="J264" s="2"/>
      <c r="K264" s="2"/>
      <c r="L264" s="2"/>
      <c r="M264" s="2"/>
      <c r="N264" s="2"/>
    </row>
    <row r="265" spans="1:14">
      <c r="A265" s="11"/>
      <c r="B265" s="11"/>
      <c r="C265" s="2"/>
      <c r="D265" s="2"/>
      <c r="E265" s="2"/>
      <c r="F265" s="2"/>
      <c r="G265" s="2"/>
      <c r="H265" s="2"/>
      <c r="I265" s="2"/>
      <c r="J265" s="2"/>
      <c r="K265" s="2"/>
      <c r="L265" s="2"/>
      <c r="M265" s="2"/>
      <c r="N265" s="2"/>
    </row>
    <row r="266" spans="1:14">
      <c r="A266" s="11"/>
      <c r="B266" s="11"/>
      <c r="C266" s="2"/>
      <c r="D266" s="2"/>
      <c r="E266" s="2"/>
      <c r="F266" s="2"/>
      <c r="G266" s="2"/>
      <c r="H266" s="2"/>
      <c r="I266" s="2"/>
      <c r="J266" s="2"/>
      <c r="K266" s="2"/>
      <c r="L266" s="2"/>
      <c r="M266" s="2"/>
      <c r="N266" s="2"/>
    </row>
    <row r="267" spans="1:14">
      <c r="A267" s="11"/>
      <c r="B267" s="11"/>
      <c r="C267" s="2"/>
      <c r="D267" s="2"/>
      <c r="E267" s="2"/>
      <c r="F267" s="2"/>
      <c r="G267" s="2"/>
      <c r="H267" s="2"/>
      <c r="I267" s="2"/>
      <c r="J267" s="2"/>
      <c r="K267" s="2"/>
      <c r="L267" s="2"/>
      <c r="M267" s="2"/>
      <c r="N267" s="2"/>
    </row>
    <row r="268" spans="1:14">
      <c r="A268" s="11"/>
      <c r="B268" s="11"/>
      <c r="C268" s="2"/>
      <c r="D268" s="2"/>
      <c r="E268" s="2"/>
      <c r="F268" s="2"/>
      <c r="G268" s="2"/>
      <c r="H268" s="2"/>
      <c r="I268" s="2"/>
      <c r="J268" s="2"/>
      <c r="K268" s="2"/>
      <c r="L268" s="2"/>
      <c r="M268" s="2"/>
      <c r="N268" s="2"/>
    </row>
    <row r="269" spans="1:14">
      <c r="A269" s="11"/>
      <c r="B269" s="11"/>
      <c r="C269" s="2"/>
      <c r="D269" s="2"/>
      <c r="E269" s="2"/>
      <c r="F269" s="2"/>
      <c r="G269" s="2"/>
      <c r="H269" s="2"/>
      <c r="I269" s="2"/>
      <c r="J269" s="2"/>
      <c r="K269" s="2"/>
      <c r="L269" s="2"/>
      <c r="M269" s="2"/>
      <c r="N269" s="2"/>
    </row>
    <row r="270" spans="1:14">
      <c r="A270" s="11"/>
      <c r="B270" s="11"/>
      <c r="C270" s="2"/>
      <c r="D270" s="2"/>
      <c r="E270" s="2"/>
      <c r="F270" s="2"/>
      <c r="G270" s="2"/>
      <c r="H270" s="2"/>
      <c r="I270" s="2"/>
      <c r="J270" s="2"/>
      <c r="K270" s="2"/>
      <c r="L270" s="2"/>
      <c r="M270" s="2"/>
      <c r="N270" s="2"/>
    </row>
    <row r="271" spans="1:14">
      <c r="A271" s="11"/>
      <c r="B271" s="11"/>
      <c r="C271" s="2"/>
      <c r="D271" s="2"/>
      <c r="E271" s="2"/>
      <c r="F271" s="2"/>
      <c r="G271" s="2"/>
      <c r="H271" s="2"/>
      <c r="I271" s="2"/>
      <c r="J271" s="2"/>
      <c r="K271" s="2"/>
      <c r="L271" s="2"/>
      <c r="M271" s="2"/>
      <c r="N271" s="2"/>
    </row>
    <row r="272" spans="1:14">
      <c r="A272" s="11"/>
      <c r="B272" s="11"/>
      <c r="C272" s="2"/>
      <c r="D272" s="2"/>
      <c r="E272" s="2"/>
      <c r="F272" s="2"/>
      <c r="G272" s="2"/>
      <c r="H272" s="2"/>
      <c r="I272" s="2"/>
      <c r="J272" s="2"/>
      <c r="K272" s="2"/>
      <c r="L272" s="2"/>
      <c r="M272" s="2"/>
      <c r="N272" s="2"/>
    </row>
    <row r="273" spans="1:14">
      <c r="A273" s="11"/>
      <c r="B273" s="11"/>
      <c r="C273" s="2"/>
      <c r="D273" s="2"/>
      <c r="E273" s="2"/>
      <c r="F273" s="2"/>
      <c r="G273" s="2"/>
      <c r="H273" s="2"/>
      <c r="I273" s="2"/>
      <c r="J273" s="2"/>
      <c r="K273" s="2"/>
      <c r="L273" s="2"/>
      <c r="M273" s="2"/>
      <c r="N273" s="2"/>
    </row>
    <row r="274" spans="1:14">
      <c r="A274" s="11"/>
      <c r="B274" s="11"/>
      <c r="C274" s="2"/>
      <c r="D274" s="2"/>
      <c r="E274" s="2"/>
      <c r="F274" s="2"/>
      <c r="G274" s="2"/>
      <c r="H274" s="2"/>
      <c r="I274" s="2"/>
      <c r="J274" s="2"/>
      <c r="K274" s="2"/>
      <c r="L274" s="2"/>
      <c r="M274" s="2"/>
      <c r="N274" s="2"/>
    </row>
    <row r="275" spans="1:14">
      <c r="A275" s="11"/>
      <c r="B275" s="11"/>
      <c r="C275" s="2"/>
      <c r="D275" s="2"/>
      <c r="E275" s="2"/>
      <c r="F275" s="2"/>
      <c r="G275" s="2"/>
      <c r="H275" s="2"/>
      <c r="I275" s="2"/>
      <c r="J275" s="2"/>
      <c r="K275" s="2"/>
      <c r="L275" s="2"/>
      <c r="M275" s="2"/>
      <c r="N275" s="2"/>
    </row>
    <row r="276" spans="1:14">
      <c r="A276" s="11"/>
      <c r="B276" s="11"/>
      <c r="C276" s="2"/>
      <c r="D276" s="2"/>
      <c r="E276" s="2"/>
      <c r="F276" s="2"/>
      <c r="G276" s="2"/>
      <c r="H276" s="2"/>
      <c r="I276" s="2"/>
      <c r="J276" s="2"/>
      <c r="K276" s="2"/>
      <c r="L276" s="2"/>
      <c r="M276" s="2"/>
      <c r="N276" s="2"/>
    </row>
    <row r="277" spans="1:14">
      <c r="A277" s="11"/>
      <c r="B277" s="11"/>
      <c r="C277" s="2"/>
      <c r="D277" s="2"/>
      <c r="E277" s="2"/>
      <c r="F277" s="2"/>
      <c r="G277" s="2"/>
      <c r="H277" s="2"/>
      <c r="I277" s="2"/>
      <c r="J277" s="2"/>
      <c r="K277" s="2"/>
      <c r="L277" s="2"/>
      <c r="M277" s="2"/>
      <c r="N277" s="2"/>
    </row>
    <row r="278" spans="1:14">
      <c r="A278" s="11"/>
      <c r="B278" s="11"/>
      <c r="C278" s="2"/>
      <c r="D278" s="2"/>
      <c r="E278" s="2"/>
      <c r="F278" s="2"/>
      <c r="G278" s="2"/>
      <c r="H278" s="2"/>
      <c r="I278" s="2"/>
      <c r="J278" s="2"/>
      <c r="K278" s="2"/>
      <c r="L278" s="2"/>
      <c r="M278" s="2"/>
      <c r="N278" s="2"/>
    </row>
    <row r="279" spans="1:14">
      <c r="A279" s="11"/>
      <c r="B279" s="11"/>
      <c r="C279" s="2"/>
      <c r="D279" s="2"/>
      <c r="E279" s="2"/>
      <c r="F279" s="2"/>
      <c r="G279" s="2"/>
      <c r="H279" s="2"/>
      <c r="I279" s="2"/>
      <c r="J279" s="2"/>
      <c r="K279" s="2"/>
      <c r="L279" s="2"/>
      <c r="M279" s="2"/>
      <c r="N279" s="2"/>
    </row>
    <row r="280" spans="1:14">
      <c r="A280" s="11"/>
      <c r="B280" s="11"/>
      <c r="C280" s="2"/>
      <c r="D280" s="2"/>
      <c r="E280" s="2"/>
      <c r="F280" s="2"/>
      <c r="G280" s="2"/>
      <c r="H280" s="2"/>
      <c r="I280" s="2"/>
      <c r="J280" s="2"/>
      <c r="K280" s="2"/>
      <c r="L280" s="2"/>
      <c r="M280" s="2"/>
      <c r="N280" s="2"/>
    </row>
    <row r="281" spans="1:14">
      <c r="A281" s="11"/>
      <c r="B281" s="11"/>
      <c r="C281" s="2"/>
      <c r="D281" s="2"/>
      <c r="E281" s="2"/>
      <c r="F281" s="2"/>
      <c r="G281" s="2"/>
      <c r="H281" s="2"/>
      <c r="I281" s="2"/>
      <c r="J281" s="2"/>
      <c r="K281" s="2"/>
      <c r="L281" s="2"/>
      <c r="M281" s="2"/>
      <c r="N281" s="2"/>
    </row>
    <row r="282" spans="1:14">
      <c r="A282" s="11"/>
      <c r="B282" s="11"/>
      <c r="C282" s="2"/>
      <c r="D282" s="2"/>
      <c r="E282" s="2"/>
      <c r="F282" s="2"/>
      <c r="G282" s="2"/>
      <c r="H282" s="2"/>
      <c r="I282" s="2"/>
      <c r="J282" s="2"/>
      <c r="K282" s="2"/>
      <c r="L282" s="2"/>
      <c r="M282" s="2"/>
      <c r="N282" s="2"/>
    </row>
    <row r="283" spans="1:14">
      <c r="A283" s="11"/>
      <c r="B283" s="11"/>
      <c r="C283" s="2"/>
      <c r="D283" s="2"/>
      <c r="E283" s="2"/>
      <c r="F283" s="2"/>
      <c r="G283" s="2"/>
      <c r="H283" s="2"/>
      <c r="I283" s="2"/>
      <c r="J283" s="2"/>
      <c r="K283" s="2"/>
      <c r="L283" s="2"/>
      <c r="M283" s="2"/>
      <c r="N283" s="2"/>
    </row>
    <row r="284" spans="1:14">
      <c r="A284" s="11"/>
      <c r="B284" s="11"/>
      <c r="C284" s="2"/>
      <c r="D284" s="2"/>
      <c r="E284" s="2"/>
      <c r="F284" s="2"/>
      <c r="G284" s="2"/>
      <c r="H284" s="2"/>
      <c r="I284" s="2"/>
      <c r="J284" s="2"/>
      <c r="K284" s="2"/>
      <c r="L284" s="2"/>
      <c r="M284" s="2"/>
      <c r="N284" s="2"/>
    </row>
    <row r="285" spans="1:14">
      <c r="A285" s="11"/>
      <c r="B285" s="11"/>
      <c r="C285" s="2"/>
      <c r="D285" s="2"/>
      <c r="E285" s="2"/>
      <c r="F285" s="2"/>
      <c r="G285" s="2"/>
      <c r="H285" s="2"/>
      <c r="I285" s="2"/>
      <c r="J285" s="2"/>
      <c r="K285" s="2"/>
      <c r="L285" s="2"/>
      <c r="M285" s="2"/>
      <c r="N285" s="2"/>
    </row>
    <row r="286" spans="1:14">
      <c r="A286" s="11"/>
      <c r="B286" s="11"/>
      <c r="C286" s="2"/>
      <c r="D286" s="2"/>
      <c r="E286" s="2"/>
      <c r="F286" s="2"/>
      <c r="G286" s="2"/>
      <c r="H286" s="2"/>
      <c r="I286" s="2"/>
      <c r="J286" s="2"/>
      <c r="K286" s="2"/>
      <c r="L286" s="2"/>
      <c r="M286" s="2"/>
      <c r="N286" s="2"/>
    </row>
    <row r="287" spans="1:14">
      <c r="A287" s="11"/>
      <c r="B287" s="11"/>
      <c r="C287" s="2"/>
      <c r="D287" s="2"/>
      <c r="E287" s="2"/>
      <c r="F287" s="2"/>
      <c r="G287" s="2"/>
      <c r="H287" s="2"/>
      <c r="I287" s="2"/>
      <c r="J287" s="2"/>
      <c r="K287" s="2"/>
      <c r="L287" s="2"/>
      <c r="M287" s="2"/>
      <c r="N287" s="2"/>
    </row>
    <row r="288" spans="1:14">
      <c r="A288" s="11"/>
      <c r="B288" s="11"/>
      <c r="C288" s="2"/>
      <c r="D288" s="2"/>
      <c r="E288" s="2"/>
      <c r="F288" s="2"/>
      <c r="G288" s="2"/>
      <c r="H288" s="2"/>
      <c r="I288" s="2"/>
      <c r="J288" s="2"/>
      <c r="K288" s="2"/>
      <c r="L288" s="2"/>
      <c r="M288" s="2"/>
      <c r="N288" s="2"/>
    </row>
    <row r="289" spans="1:14">
      <c r="A289" s="11"/>
      <c r="B289" s="11"/>
      <c r="C289" s="2"/>
      <c r="D289" s="2"/>
      <c r="E289" s="2"/>
      <c r="F289" s="2"/>
      <c r="G289" s="2"/>
      <c r="H289" s="2"/>
      <c r="I289" s="2"/>
      <c r="J289" s="2"/>
      <c r="K289" s="2"/>
      <c r="L289" s="2"/>
      <c r="M289" s="2"/>
      <c r="N289" s="2"/>
    </row>
    <row r="290" spans="1:14">
      <c r="A290" s="11"/>
      <c r="B290" s="11"/>
      <c r="C290" s="2"/>
      <c r="D290" s="2"/>
      <c r="E290" s="2"/>
      <c r="F290" s="2"/>
      <c r="G290" s="2"/>
      <c r="H290" s="2"/>
      <c r="I290" s="2"/>
      <c r="J290" s="2"/>
      <c r="K290" s="2"/>
      <c r="L290" s="2"/>
      <c r="M290" s="2"/>
      <c r="N290" s="2"/>
    </row>
    <row r="291" spans="1:14">
      <c r="A291" s="11"/>
      <c r="B291" s="11"/>
      <c r="C291" s="2"/>
      <c r="D291" s="2"/>
      <c r="E291" s="2"/>
      <c r="F291" s="2"/>
      <c r="G291" s="2"/>
      <c r="H291" s="2"/>
      <c r="I291" s="2"/>
      <c r="J291" s="2"/>
      <c r="K291" s="2"/>
      <c r="L291" s="2"/>
      <c r="M291" s="2"/>
      <c r="N291" s="2"/>
    </row>
    <row r="292" spans="1:14">
      <c r="A292" s="11"/>
      <c r="B292" s="11"/>
      <c r="C292" s="2"/>
      <c r="D292" s="2"/>
      <c r="E292" s="2"/>
      <c r="F292" s="2"/>
      <c r="G292" s="2"/>
      <c r="H292" s="2"/>
      <c r="I292" s="2"/>
      <c r="J292" s="2"/>
      <c r="K292" s="2"/>
      <c r="L292" s="2"/>
      <c r="M292" s="2"/>
      <c r="N292" s="2"/>
    </row>
    <row r="293" spans="1:14">
      <c r="A293" s="11"/>
      <c r="B293" s="11"/>
      <c r="C293" s="2"/>
      <c r="D293" s="2"/>
      <c r="E293" s="2"/>
      <c r="F293" s="2"/>
      <c r="G293" s="2"/>
      <c r="H293" s="2"/>
      <c r="I293" s="2"/>
      <c r="J293" s="2"/>
      <c r="K293" s="2"/>
      <c r="L293" s="2"/>
      <c r="M293" s="2"/>
      <c r="N293" s="2"/>
    </row>
    <row r="294" spans="1:14">
      <c r="A294" s="11"/>
      <c r="B294" s="11"/>
      <c r="C294" s="2"/>
      <c r="D294" s="2"/>
      <c r="E294" s="2"/>
      <c r="F294" s="2"/>
      <c r="G294" s="2"/>
      <c r="H294" s="2"/>
      <c r="I294" s="2"/>
      <c r="J294" s="2"/>
      <c r="K294" s="2"/>
      <c r="L294" s="2"/>
      <c r="M294" s="2"/>
      <c r="N294" s="2"/>
    </row>
    <row r="295" spans="1:14">
      <c r="A295" s="11"/>
      <c r="B295" s="11"/>
      <c r="C295" s="2"/>
      <c r="D295" s="2"/>
      <c r="E295" s="2"/>
      <c r="F295" s="2"/>
      <c r="G295" s="2"/>
      <c r="H295" s="2"/>
      <c r="I295" s="2"/>
      <c r="J295" s="2"/>
      <c r="K295" s="2"/>
      <c r="L295" s="2"/>
      <c r="M295" s="2"/>
      <c r="N295" s="2"/>
    </row>
    <row r="296" spans="1:14">
      <c r="A296" s="11"/>
      <c r="B296" s="11"/>
      <c r="C296" s="2"/>
      <c r="D296" s="2"/>
      <c r="E296" s="2"/>
      <c r="F296" s="2"/>
      <c r="G296" s="2"/>
      <c r="H296" s="2"/>
      <c r="I296" s="2"/>
      <c r="J296" s="2"/>
      <c r="K296" s="2"/>
      <c r="L296" s="2"/>
      <c r="M296" s="2"/>
      <c r="N296" s="2"/>
    </row>
    <row r="297" spans="1:14">
      <c r="A297" s="11"/>
      <c r="B297" s="11"/>
      <c r="C297" s="2"/>
      <c r="D297" s="2"/>
      <c r="E297" s="2"/>
      <c r="F297" s="2"/>
      <c r="G297" s="2"/>
      <c r="H297" s="2"/>
      <c r="I297" s="2"/>
      <c r="J297" s="2"/>
      <c r="K297" s="2"/>
      <c r="L297" s="2"/>
      <c r="M297" s="2"/>
      <c r="N297" s="2"/>
    </row>
    <row r="298" spans="1:14">
      <c r="A298" s="11"/>
      <c r="B298" s="11"/>
      <c r="C298" s="2"/>
      <c r="D298" s="2"/>
      <c r="E298" s="2"/>
      <c r="F298" s="2"/>
      <c r="G298" s="2"/>
      <c r="H298" s="2"/>
      <c r="I298" s="2"/>
      <c r="J298" s="2"/>
      <c r="K298" s="2"/>
      <c r="L298" s="2"/>
      <c r="M298" s="2"/>
      <c r="N298" s="2"/>
    </row>
    <row r="299" spans="1:14">
      <c r="A299" s="11"/>
      <c r="B299" s="11"/>
      <c r="C299" s="2"/>
      <c r="D299" s="2"/>
      <c r="E299" s="2"/>
      <c r="F299" s="2"/>
      <c r="G299" s="2"/>
      <c r="H299" s="2"/>
      <c r="I299" s="2"/>
      <c r="J299" s="2"/>
      <c r="K299" s="2"/>
      <c r="L299" s="2"/>
      <c r="M299" s="2"/>
      <c r="N299" s="2"/>
    </row>
    <row r="300" spans="1:14">
      <c r="A300" s="11"/>
      <c r="B300" s="11"/>
      <c r="C300" s="2"/>
      <c r="D300" s="2"/>
      <c r="E300" s="2"/>
      <c r="F300" s="2"/>
      <c r="G300" s="2"/>
      <c r="H300" s="2"/>
      <c r="I300" s="2"/>
      <c r="J300" s="2"/>
      <c r="K300" s="2"/>
      <c r="L300" s="2"/>
      <c r="M300" s="2"/>
      <c r="N300" s="2"/>
    </row>
    <row r="301" spans="1:14">
      <c r="A301" s="11"/>
      <c r="B301" s="11"/>
      <c r="C301" s="2"/>
      <c r="D301" s="2"/>
      <c r="E301" s="2"/>
      <c r="F301" s="2"/>
      <c r="G301" s="2"/>
      <c r="H301" s="2"/>
      <c r="I301" s="2"/>
      <c r="J301" s="2"/>
      <c r="K301" s="2"/>
      <c r="L301" s="2"/>
      <c r="M301" s="2"/>
      <c r="N301" s="2"/>
    </row>
    <row r="302" spans="1:14">
      <c r="A302" s="11"/>
      <c r="B302" s="11"/>
      <c r="C302" s="2"/>
      <c r="D302" s="2"/>
      <c r="E302" s="2"/>
      <c r="F302" s="2"/>
      <c r="G302" s="2"/>
      <c r="H302" s="2"/>
      <c r="I302" s="2"/>
      <c r="J302" s="2"/>
      <c r="K302" s="2"/>
      <c r="L302" s="2"/>
      <c r="M302" s="2"/>
      <c r="N302" s="2"/>
    </row>
    <row r="303" spans="1:14">
      <c r="A303" s="11"/>
      <c r="B303" s="11"/>
      <c r="C303" s="2"/>
      <c r="D303" s="2"/>
      <c r="E303" s="2"/>
      <c r="F303" s="2"/>
      <c r="G303" s="2"/>
      <c r="H303" s="2"/>
      <c r="I303" s="2"/>
      <c r="J303" s="2"/>
      <c r="K303" s="2"/>
      <c r="L303" s="2"/>
      <c r="M303" s="2"/>
      <c r="N303" s="2"/>
    </row>
    <row r="304" spans="1:14">
      <c r="A304" s="11"/>
      <c r="B304" s="11"/>
      <c r="C304" s="2"/>
      <c r="D304" s="2"/>
      <c r="E304" s="2"/>
      <c r="F304" s="2"/>
      <c r="G304" s="2"/>
      <c r="H304" s="2"/>
      <c r="I304" s="2"/>
      <c r="J304" s="2"/>
      <c r="K304" s="2"/>
      <c r="L304" s="2"/>
      <c r="M304" s="2"/>
      <c r="N304" s="2"/>
    </row>
    <row r="305" spans="1:14">
      <c r="A305" s="11"/>
      <c r="B305" s="11"/>
      <c r="C305" s="2"/>
      <c r="D305" s="2"/>
      <c r="E305" s="2"/>
      <c r="F305" s="2"/>
      <c r="G305" s="2"/>
      <c r="H305" s="2"/>
      <c r="I305" s="2"/>
      <c r="J305" s="2"/>
      <c r="K305" s="2"/>
      <c r="L305" s="2"/>
      <c r="M305" s="2"/>
      <c r="N305" s="2"/>
    </row>
    <row r="306" spans="1:14">
      <c r="A306" s="11"/>
      <c r="B306" s="11"/>
      <c r="C306" s="2"/>
      <c r="D306" s="2"/>
      <c r="E306" s="2"/>
      <c r="F306" s="2"/>
      <c r="G306" s="2"/>
      <c r="H306" s="2"/>
      <c r="I306" s="2"/>
      <c r="J306" s="2"/>
      <c r="K306" s="2"/>
      <c r="L306" s="2"/>
      <c r="M306" s="2"/>
      <c r="N306" s="2"/>
    </row>
    <row r="307" spans="1:14">
      <c r="A307" s="11"/>
      <c r="B307" s="11"/>
      <c r="C307" s="2"/>
      <c r="D307" s="2"/>
      <c r="E307" s="2"/>
      <c r="F307" s="2"/>
      <c r="G307" s="2"/>
      <c r="H307" s="2"/>
      <c r="I307" s="2"/>
      <c r="J307" s="2"/>
      <c r="K307" s="2"/>
      <c r="L307" s="2"/>
      <c r="M307" s="2"/>
      <c r="N307" s="2"/>
    </row>
    <row r="308" spans="1:14">
      <c r="A308" s="11"/>
      <c r="B308" s="11"/>
      <c r="C308" s="2"/>
      <c r="D308" s="2"/>
      <c r="E308" s="2"/>
      <c r="F308" s="2"/>
      <c r="G308" s="2"/>
      <c r="H308" s="2"/>
      <c r="I308" s="2"/>
      <c r="J308" s="2"/>
      <c r="K308" s="2"/>
      <c r="L308" s="2"/>
      <c r="M308" s="2"/>
      <c r="N308" s="2"/>
    </row>
    <row r="309" spans="1:14">
      <c r="A309" s="11"/>
      <c r="B309" s="11"/>
      <c r="C309" s="2"/>
      <c r="D309" s="2"/>
      <c r="E309" s="2"/>
      <c r="F309" s="2"/>
      <c r="G309" s="2"/>
      <c r="H309" s="2"/>
      <c r="I309" s="2"/>
      <c r="J309" s="2"/>
      <c r="K309" s="2"/>
      <c r="L309" s="2"/>
      <c r="M309" s="2"/>
      <c r="N309" s="2"/>
    </row>
    <row r="310" spans="1:14">
      <c r="A310" s="11"/>
      <c r="B310" s="11"/>
      <c r="C310" s="2"/>
      <c r="D310" s="2"/>
      <c r="E310" s="2"/>
      <c r="F310" s="2"/>
      <c r="G310" s="2"/>
      <c r="H310" s="2"/>
      <c r="I310" s="2"/>
      <c r="J310" s="2"/>
      <c r="K310" s="2"/>
      <c r="L310" s="2"/>
      <c r="M310" s="2"/>
      <c r="N310" s="2"/>
    </row>
    <row r="311" spans="1:14">
      <c r="A311" s="11"/>
      <c r="B311" s="11"/>
      <c r="C311" s="2"/>
      <c r="D311" s="2"/>
      <c r="E311" s="2"/>
      <c r="F311" s="2"/>
      <c r="G311" s="2"/>
      <c r="H311" s="2"/>
      <c r="I311" s="2"/>
      <c r="J311" s="2"/>
      <c r="K311" s="2"/>
      <c r="L311" s="2"/>
      <c r="M311" s="2"/>
      <c r="N311" s="2"/>
    </row>
    <row r="312" spans="1:14">
      <c r="A312" s="11"/>
      <c r="B312" s="11"/>
      <c r="C312" s="2"/>
      <c r="D312" s="2"/>
      <c r="E312" s="2"/>
      <c r="F312" s="2"/>
      <c r="G312" s="2"/>
      <c r="H312" s="2"/>
      <c r="I312" s="2"/>
      <c r="J312" s="2"/>
      <c r="K312" s="2"/>
      <c r="L312" s="2"/>
      <c r="M312" s="2"/>
      <c r="N312" s="2"/>
    </row>
    <row r="313" spans="1:14">
      <c r="A313" s="11"/>
      <c r="B313" s="11"/>
      <c r="C313" s="2"/>
      <c r="D313" s="2"/>
      <c r="E313" s="2"/>
      <c r="F313" s="2"/>
      <c r="G313" s="2"/>
      <c r="H313" s="2"/>
      <c r="I313" s="2"/>
      <c r="J313" s="2"/>
      <c r="K313" s="2"/>
      <c r="L313" s="2"/>
      <c r="M313" s="2"/>
      <c r="N313" s="2"/>
    </row>
    <row r="314" spans="1:14">
      <c r="A314" s="11"/>
      <c r="B314" s="11"/>
      <c r="C314" s="2"/>
      <c r="D314" s="2"/>
      <c r="E314" s="2"/>
      <c r="F314" s="2"/>
      <c r="G314" s="2"/>
      <c r="H314" s="2"/>
      <c r="I314" s="2"/>
      <c r="J314" s="2"/>
      <c r="K314" s="2"/>
      <c r="L314" s="2"/>
      <c r="M314" s="2"/>
      <c r="N314" s="2"/>
    </row>
    <row r="315" spans="1:14">
      <c r="A315" s="11"/>
      <c r="B315" s="11"/>
      <c r="C315" s="2"/>
      <c r="D315" s="2"/>
      <c r="E315" s="2"/>
      <c r="F315" s="2"/>
      <c r="G315" s="2"/>
      <c r="H315" s="2"/>
      <c r="I315" s="2"/>
      <c r="J315" s="2"/>
      <c r="K315" s="2"/>
      <c r="L315" s="2"/>
      <c r="M315" s="2"/>
      <c r="N315" s="2"/>
    </row>
    <row r="316" spans="1:14">
      <c r="A316" s="11"/>
      <c r="B316" s="11"/>
      <c r="C316" s="2"/>
      <c r="D316" s="2"/>
      <c r="E316" s="2"/>
      <c r="F316" s="2"/>
      <c r="G316" s="2"/>
      <c r="H316" s="2"/>
      <c r="I316" s="2"/>
      <c r="J316" s="2"/>
      <c r="K316" s="2"/>
      <c r="L316" s="2"/>
      <c r="M316" s="2"/>
      <c r="N316" s="2"/>
    </row>
    <row r="317" spans="1:14">
      <c r="A317" s="11"/>
      <c r="B317" s="11"/>
      <c r="C317" s="2"/>
      <c r="D317" s="2"/>
      <c r="E317" s="2"/>
      <c r="F317" s="2"/>
      <c r="G317" s="2"/>
      <c r="H317" s="2"/>
      <c r="I317" s="2"/>
      <c r="J317" s="2"/>
      <c r="K317" s="2"/>
      <c r="L317" s="2"/>
      <c r="M317" s="2"/>
      <c r="N317" s="2"/>
    </row>
    <row r="318" spans="1:14">
      <c r="A318" s="11"/>
      <c r="B318" s="11"/>
      <c r="C318" s="2"/>
      <c r="D318" s="2"/>
      <c r="E318" s="2"/>
      <c r="F318" s="2"/>
      <c r="G318" s="2"/>
      <c r="H318" s="2"/>
      <c r="I318" s="2"/>
      <c r="J318" s="2"/>
      <c r="K318" s="2"/>
      <c r="L318" s="2"/>
      <c r="M318" s="2"/>
      <c r="N318" s="2"/>
    </row>
    <row r="319" spans="1:14">
      <c r="A319" s="11"/>
      <c r="B319" s="11"/>
      <c r="C319" s="2"/>
      <c r="D319" s="2"/>
      <c r="E319" s="2"/>
      <c r="F319" s="2"/>
      <c r="G319" s="2"/>
      <c r="H319" s="2"/>
      <c r="I319" s="2"/>
      <c r="J319" s="2"/>
      <c r="K319" s="2"/>
      <c r="L319" s="2"/>
      <c r="M319" s="2"/>
      <c r="N319" s="2"/>
    </row>
    <row r="320" spans="1:14">
      <c r="A320" s="11"/>
      <c r="B320" s="11"/>
      <c r="C320" s="2"/>
      <c r="D320" s="2"/>
      <c r="E320" s="2"/>
      <c r="F320" s="2"/>
      <c r="G320" s="2"/>
      <c r="H320" s="2"/>
      <c r="I320" s="2"/>
      <c r="J320" s="2"/>
      <c r="K320" s="2"/>
      <c r="L320" s="2"/>
      <c r="M320" s="2"/>
      <c r="N320" s="2"/>
    </row>
    <row r="321" spans="1:14">
      <c r="A321" s="11"/>
      <c r="B321" s="11"/>
      <c r="C321" s="2"/>
      <c r="D321" s="2"/>
      <c r="E321" s="2"/>
      <c r="F321" s="2"/>
      <c r="G321" s="2"/>
      <c r="H321" s="2"/>
      <c r="I321" s="2"/>
      <c r="J321" s="2"/>
      <c r="K321" s="2"/>
      <c r="L321" s="2"/>
      <c r="M321" s="2"/>
      <c r="N321" s="2"/>
    </row>
    <row r="322" spans="1:14">
      <c r="A322" s="11"/>
      <c r="B322" s="11"/>
      <c r="C322" s="2"/>
      <c r="D322" s="2"/>
      <c r="E322" s="2"/>
      <c r="F322" s="2"/>
      <c r="G322" s="2"/>
      <c r="H322" s="2"/>
      <c r="I322" s="2"/>
      <c r="J322" s="2"/>
      <c r="K322" s="2"/>
      <c r="L322" s="2"/>
      <c r="M322" s="2"/>
      <c r="N322" s="2"/>
    </row>
    <row r="323" spans="1:14">
      <c r="A323" s="11"/>
      <c r="B323" s="11"/>
      <c r="C323" s="2"/>
      <c r="D323" s="2"/>
      <c r="E323" s="2"/>
      <c r="F323" s="2"/>
      <c r="G323" s="2"/>
      <c r="H323" s="2"/>
      <c r="I323" s="2"/>
      <c r="J323" s="2"/>
      <c r="K323" s="2"/>
      <c r="L323" s="2"/>
      <c r="M323" s="2"/>
      <c r="N323" s="2"/>
    </row>
    <row r="324" spans="1:14">
      <c r="A324" s="11"/>
      <c r="B324" s="11"/>
      <c r="C324" s="2"/>
      <c r="D324" s="2"/>
      <c r="E324" s="2"/>
      <c r="F324" s="2"/>
      <c r="G324" s="2"/>
      <c r="H324" s="2"/>
      <c r="I324" s="2"/>
      <c r="J324" s="2"/>
      <c r="K324" s="2"/>
      <c r="L324" s="2"/>
      <c r="M324" s="2"/>
      <c r="N324" s="2"/>
    </row>
    <row r="325" spans="1:14">
      <c r="A325" s="11"/>
      <c r="B325" s="11"/>
      <c r="C325" s="2"/>
      <c r="D325" s="2"/>
      <c r="E325" s="2"/>
      <c r="F325" s="2"/>
      <c r="G325" s="2"/>
      <c r="H325" s="2"/>
      <c r="I325" s="2"/>
      <c r="J325" s="2"/>
      <c r="K325" s="2"/>
      <c r="L325" s="2"/>
      <c r="M325" s="2"/>
      <c r="N325" s="2"/>
    </row>
    <row r="326" spans="1:14">
      <c r="A326" s="11"/>
      <c r="B326" s="11"/>
      <c r="C326" s="2"/>
      <c r="D326" s="2"/>
      <c r="E326" s="2"/>
      <c r="F326" s="2"/>
      <c r="G326" s="2"/>
      <c r="H326" s="2"/>
      <c r="I326" s="2"/>
      <c r="J326" s="2"/>
      <c r="K326" s="2"/>
      <c r="L326" s="2"/>
      <c r="M326" s="2"/>
      <c r="N326" s="2"/>
    </row>
    <row r="327" spans="1:14">
      <c r="A327" s="11"/>
      <c r="B327" s="11"/>
      <c r="C327" s="2"/>
      <c r="D327" s="2"/>
      <c r="E327" s="2"/>
      <c r="F327" s="2"/>
      <c r="G327" s="2"/>
      <c r="H327" s="2"/>
      <c r="I327" s="2"/>
      <c r="J327" s="2"/>
      <c r="K327" s="2"/>
      <c r="L327" s="2"/>
      <c r="M327" s="2"/>
      <c r="N327" s="2"/>
    </row>
    <row r="328" spans="1:14">
      <c r="A328" s="11"/>
      <c r="B328" s="11"/>
      <c r="C328" s="2"/>
      <c r="D328" s="2"/>
      <c r="E328" s="2"/>
      <c r="F328" s="2"/>
      <c r="G328" s="2"/>
      <c r="H328" s="2"/>
      <c r="I328" s="2"/>
      <c r="J328" s="2"/>
      <c r="K328" s="2"/>
      <c r="L328" s="2"/>
      <c r="M328" s="2"/>
      <c r="N328" s="2"/>
    </row>
    <row r="329" spans="1:14">
      <c r="A329" s="11"/>
      <c r="B329" s="11"/>
      <c r="C329" s="2"/>
      <c r="D329" s="2"/>
      <c r="E329" s="2"/>
      <c r="F329" s="2"/>
      <c r="G329" s="2"/>
      <c r="H329" s="2"/>
      <c r="I329" s="2"/>
      <c r="J329" s="2"/>
      <c r="K329" s="2"/>
      <c r="L329" s="2"/>
      <c r="M329" s="2"/>
      <c r="N329" s="2"/>
    </row>
    <row r="330" spans="1:14">
      <c r="A330" s="11"/>
      <c r="B330" s="11"/>
      <c r="C330" s="2"/>
      <c r="D330" s="2"/>
      <c r="E330" s="2"/>
      <c r="F330" s="2"/>
      <c r="G330" s="2"/>
      <c r="H330" s="2"/>
      <c r="I330" s="2"/>
      <c r="J330" s="2"/>
      <c r="K330" s="2"/>
      <c r="L330" s="2"/>
      <c r="M330" s="2"/>
      <c r="N330" s="2"/>
    </row>
    <row r="331" spans="1:14">
      <c r="A331" s="11"/>
      <c r="B331" s="11"/>
      <c r="C331" s="2"/>
      <c r="D331" s="2"/>
      <c r="E331" s="2"/>
      <c r="F331" s="2"/>
      <c r="G331" s="2"/>
      <c r="H331" s="2"/>
      <c r="I331" s="2"/>
      <c r="J331" s="2"/>
      <c r="K331" s="2"/>
      <c r="L331" s="2"/>
      <c r="M331" s="2"/>
      <c r="N331" s="2"/>
    </row>
    <row r="332" spans="1:14">
      <c r="A332" s="11"/>
      <c r="B332" s="11"/>
      <c r="C332" s="2"/>
      <c r="D332" s="2"/>
      <c r="E332" s="2"/>
      <c r="F332" s="2"/>
      <c r="G332" s="2"/>
      <c r="H332" s="2"/>
      <c r="I332" s="2"/>
      <c r="J332" s="2"/>
      <c r="K332" s="2"/>
      <c r="L332" s="2"/>
      <c r="M332" s="2"/>
      <c r="N332" s="2"/>
    </row>
    <row r="333" spans="1:14">
      <c r="A333" s="11"/>
      <c r="B333" s="11"/>
      <c r="C333" s="2"/>
      <c r="D333" s="2"/>
      <c r="E333" s="2"/>
      <c r="F333" s="2"/>
      <c r="G333" s="2"/>
      <c r="H333" s="2"/>
      <c r="I333" s="2"/>
      <c r="J333" s="2"/>
      <c r="K333" s="2"/>
      <c r="L333" s="2"/>
      <c r="M333" s="2"/>
      <c r="N333" s="2"/>
    </row>
    <row r="334" spans="1:14">
      <c r="A334" s="11"/>
      <c r="B334" s="11"/>
      <c r="C334" s="2"/>
      <c r="D334" s="2"/>
      <c r="E334" s="2"/>
      <c r="F334" s="2"/>
      <c r="G334" s="2"/>
      <c r="H334" s="2"/>
      <c r="I334" s="2"/>
      <c r="J334" s="2"/>
      <c r="K334" s="2"/>
      <c r="L334" s="2"/>
      <c r="M334" s="2"/>
      <c r="N334" s="2"/>
    </row>
    <row r="335" spans="1:14">
      <c r="A335" s="11"/>
      <c r="B335" s="11"/>
      <c r="C335" s="2"/>
      <c r="D335" s="2"/>
      <c r="E335" s="2"/>
      <c r="F335" s="2"/>
      <c r="G335" s="2"/>
      <c r="H335" s="2"/>
      <c r="I335" s="2"/>
      <c r="J335" s="2"/>
      <c r="K335" s="2"/>
      <c r="L335" s="2"/>
      <c r="M335" s="2"/>
      <c r="N335" s="2"/>
    </row>
    <row r="336" spans="1:14">
      <c r="A336" s="11"/>
      <c r="B336" s="11"/>
      <c r="C336" s="2"/>
      <c r="D336" s="2"/>
      <c r="E336" s="2"/>
      <c r="F336" s="2"/>
      <c r="G336" s="2"/>
      <c r="H336" s="2"/>
      <c r="I336" s="2"/>
      <c r="J336" s="2"/>
      <c r="K336" s="2"/>
      <c r="L336" s="2"/>
      <c r="M336" s="2"/>
      <c r="N336" s="2"/>
    </row>
    <row r="337" spans="1:14">
      <c r="A337" s="11"/>
      <c r="B337" s="11"/>
      <c r="C337" s="2"/>
      <c r="D337" s="2"/>
      <c r="E337" s="2"/>
      <c r="F337" s="2"/>
      <c r="G337" s="2"/>
      <c r="H337" s="2"/>
      <c r="I337" s="2"/>
      <c r="J337" s="2"/>
      <c r="K337" s="2"/>
      <c r="L337" s="2"/>
      <c r="M337" s="2"/>
      <c r="N337" s="2"/>
    </row>
    <row r="338" spans="1:14">
      <c r="A338" s="11"/>
      <c r="B338" s="11"/>
      <c r="C338" s="2"/>
      <c r="D338" s="2"/>
      <c r="E338" s="2"/>
      <c r="F338" s="2"/>
      <c r="G338" s="2"/>
      <c r="H338" s="2"/>
      <c r="I338" s="2"/>
      <c r="J338" s="2"/>
      <c r="K338" s="2"/>
      <c r="L338" s="2"/>
      <c r="M338" s="2"/>
      <c r="N338" s="2"/>
    </row>
    <row r="339" spans="1:14">
      <c r="A339" s="11"/>
      <c r="B339" s="11"/>
      <c r="C339" s="2"/>
      <c r="D339" s="2"/>
      <c r="E339" s="2"/>
      <c r="F339" s="2"/>
      <c r="G339" s="2"/>
      <c r="H339" s="2"/>
      <c r="I339" s="2"/>
      <c r="J339" s="2"/>
      <c r="K339" s="2"/>
      <c r="L339" s="2"/>
      <c r="M339" s="2"/>
      <c r="N339" s="2"/>
    </row>
    <row r="340" spans="1:14">
      <c r="A340" s="11"/>
      <c r="B340" s="11"/>
      <c r="C340" s="2"/>
      <c r="D340" s="2"/>
      <c r="E340" s="2"/>
      <c r="F340" s="2"/>
      <c r="G340" s="2"/>
      <c r="H340" s="2"/>
      <c r="I340" s="2"/>
      <c r="J340" s="2"/>
      <c r="K340" s="2"/>
      <c r="L340" s="2"/>
      <c r="M340" s="2"/>
      <c r="N340" s="2"/>
    </row>
    <row r="341" spans="1:14">
      <c r="A341" s="11"/>
      <c r="B341" s="11"/>
      <c r="C341" s="2"/>
      <c r="D341" s="2"/>
      <c r="E341" s="2"/>
      <c r="F341" s="2"/>
      <c r="G341" s="2"/>
      <c r="H341" s="2"/>
      <c r="I341" s="2"/>
      <c r="J341" s="2"/>
      <c r="K341" s="2"/>
      <c r="L341" s="2"/>
      <c r="M341" s="2"/>
      <c r="N341" s="2"/>
    </row>
    <row r="342" spans="1:14">
      <c r="A342" s="11"/>
      <c r="B342" s="11"/>
      <c r="C342" s="2"/>
      <c r="D342" s="2"/>
      <c r="E342" s="2"/>
      <c r="F342" s="2"/>
      <c r="G342" s="2"/>
      <c r="H342" s="2"/>
      <c r="I342" s="2"/>
      <c r="J342" s="2"/>
      <c r="K342" s="2"/>
      <c r="L342" s="2"/>
      <c r="M342" s="2"/>
      <c r="N342" s="2"/>
    </row>
    <row r="343" spans="1:14">
      <c r="A343" s="11"/>
      <c r="B343" s="11"/>
      <c r="C343" s="2"/>
      <c r="D343" s="2"/>
      <c r="E343" s="2"/>
      <c r="F343" s="2"/>
      <c r="G343" s="2"/>
      <c r="H343" s="2"/>
      <c r="I343" s="2"/>
      <c r="J343" s="2"/>
      <c r="K343" s="2"/>
      <c r="L343" s="2"/>
      <c r="M343" s="2"/>
      <c r="N343" s="2"/>
    </row>
    <row r="344" spans="1:14">
      <c r="A344" s="11"/>
      <c r="B344" s="11"/>
      <c r="C344" s="2"/>
      <c r="D344" s="2"/>
      <c r="E344" s="2"/>
      <c r="F344" s="2"/>
      <c r="G344" s="2"/>
      <c r="H344" s="2"/>
      <c r="I344" s="2"/>
      <c r="J344" s="2"/>
      <c r="K344" s="2"/>
      <c r="L344" s="2"/>
      <c r="M344" s="2"/>
      <c r="N344" s="2"/>
    </row>
    <row r="345" spans="1:14">
      <c r="A345" s="11"/>
      <c r="B345" s="11"/>
      <c r="C345" s="2"/>
      <c r="D345" s="2"/>
      <c r="E345" s="2"/>
      <c r="F345" s="2"/>
      <c r="G345" s="2"/>
      <c r="H345" s="2"/>
      <c r="I345" s="2"/>
      <c r="J345" s="2"/>
      <c r="K345" s="2"/>
      <c r="L345" s="2"/>
      <c r="M345" s="2"/>
      <c r="N345" s="2"/>
    </row>
    <row r="346" spans="1:14">
      <c r="A346" s="11"/>
      <c r="B346" s="11"/>
      <c r="C346" s="2"/>
      <c r="D346" s="2"/>
      <c r="E346" s="2"/>
      <c r="F346" s="2"/>
      <c r="G346" s="2"/>
      <c r="H346" s="2"/>
      <c r="I346" s="2"/>
      <c r="J346" s="2"/>
      <c r="K346" s="2"/>
      <c r="L346" s="2"/>
      <c r="M346" s="2"/>
      <c r="N346" s="2"/>
    </row>
    <row r="347" spans="1:14">
      <c r="A347" s="11"/>
      <c r="B347" s="11"/>
      <c r="C347" s="2"/>
      <c r="D347" s="2"/>
      <c r="E347" s="2"/>
      <c r="F347" s="2"/>
      <c r="G347" s="2"/>
      <c r="H347" s="2"/>
      <c r="I347" s="2"/>
      <c r="J347" s="2"/>
      <c r="K347" s="2"/>
      <c r="L347" s="2"/>
      <c r="M347" s="2"/>
      <c r="N347" s="2"/>
    </row>
    <row r="348" spans="1:14">
      <c r="A348" s="11"/>
      <c r="B348" s="11"/>
      <c r="C348" s="2"/>
      <c r="D348" s="2"/>
      <c r="E348" s="2"/>
      <c r="F348" s="2"/>
      <c r="G348" s="2"/>
      <c r="H348" s="2"/>
      <c r="I348" s="2"/>
      <c r="J348" s="2"/>
      <c r="K348" s="2"/>
      <c r="L348" s="2"/>
      <c r="M348" s="2"/>
      <c r="N348" s="2"/>
    </row>
    <row r="349" spans="1:14">
      <c r="A349" s="11"/>
      <c r="B349" s="11"/>
      <c r="C349" s="2"/>
      <c r="D349" s="2"/>
      <c r="E349" s="2"/>
      <c r="F349" s="2"/>
      <c r="G349" s="2"/>
      <c r="H349" s="2"/>
      <c r="I349" s="2"/>
      <c r="J349" s="2"/>
      <c r="K349" s="2"/>
      <c r="L349" s="2"/>
      <c r="M349" s="2"/>
      <c r="N349" s="2"/>
    </row>
    <row r="350" spans="1:14">
      <c r="A350" s="11"/>
      <c r="B350" s="11"/>
      <c r="C350" s="2"/>
      <c r="D350" s="2"/>
      <c r="E350" s="2"/>
      <c r="F350" s="2"/>
      <c r="G350" s="2"/>
      <c r="H350" s="2"/>
      <c r="I350" s="2"/>
      <c r="J350" s="2"/>
      <c r="K350" s="2"/>
      <c r="L350" s="2"/>
      <c r="M350" s="2"/>
      <c r="N350" s="2"/>
    </row>
    <row r="351" spans="1:14">
      <c r="A351" s="11"/>
      <c r="B351" s="11"/>
      <c r="C351" s="2"/>
      <c r="D351" s="2"/>
      <c r="E351" s="2"/>
      <c r="F351" s="2"/>
      <c r="G351" s="2"/>
      <c r="H351" s="2"/>
      <c r="I351" s="2"/>
      <c r="J351" s="2"/>
      <c r="K351" s="2"/>
      <c r="L351" s="2"/>
      <c r="M351" s="2"/>
      <c r="N351" s="2"/>
    </row>
    <row r="352" spans="1:14">
      <c r="A352" s="11"/>
      <c r="B352" s="11"/>
      <c r="C352" s="2"/>
      <c r="D352" s="2"/>
      <c r="E352" s="2"/>
      <c r="F352" s="2"/>
      <c r="G352" s="2"/>
      <c r="H352" s="2"/>
      <c r="I352" s="2"/>
      <c r="J352" s="2"/>
      <c r="K352" s="2"/>
      <c r="L352" s="2"/>
      <c r="M352" s="2"/>
      <c r="N352" s="2"/>
    </row>
    <row r="353" spans="1:14">
      <c r="A353" s="11"/>
      <c r="B353" s="11"/>
      <c r="C353" s="2"/>
      <c r="D353" s="2"/>
      <c r="E353" s="2"/>
      <c r="F353" s="2"/>
      <c r="G353" s="2"/>
      <c r="H353" s="2"/>
      <c r="I353" s="2"/>
      <c r="J353" s="2"/>
      <c r="K353" s="2"/>
      <c r="L353" s="2"/>
      <c r="M353" s="2"/>
      <c r="N353" s="2"/>
    </row>
    <row r="354" spans="1:14">
      <c r="A354" s="11"/>
      <c r="B354" s="11"/>
      <c r="C354" s="2"/>
      <c r="D354" s="2"/>
      <c r="E354" s="2"/>
      <c r="F354" s="2"/>
      <c r="G354" s="2"/>
      <c r="H354" s="2"/>
      <c r="I354" s="2"/>
      <c r="J354" s="2"/>
      <c r="K354" s="2"/>
      <c r="L354" s="2"/>
      <c r="M354" s="2"/>
      <c r="N354" s="2"/>
    </row>
    <row r="355" spans="1:14">
      <c r="A355" s="11"/>
      <c r="B355" s="11"/>
      <c r="C355" s="2"/>
      <c r="D355" s="2"/>
      <c r="E355" s="2"/>
      <c r="F355" s="2"/>
      <c r="G355" s="2"/>
      <c r="H355" s="2"/>
      <c r="I355" s="2"/>
      <c r="J355" s="2"/>
      <c r="K355" s="2"/>
      <c r="L355" s="2"/>
      <c r="M355" s="2"/>
      <c r="N355" s="2"/>
    </row>
    <row r="356" spans="1:14">
      <c r="A356" s="11"/>
      <c r="B356" s="11"/>
      <c r="C356" s="2"/>
      <c r="D356" s="2"/>
      <c r="E356" s="2"/>
      <c r="F356" s="2"/>
      <c r="G356" s="2"/>
      <c r="H356" s="2"/>
      <c r="I356" s="2"/>
      <c r="J356" s="2"/>
      <c r="K356" s="2"/>
      <c r="L356" s="2"/>
      <c r="M356" s="2"/>
      <c r="N356" s="2"/>
    </row>
    <row r="357" spans="1:14">
      <c r="A357" s="11"/>
      <c r="B357" s="11"/>
      <c r="C357" s="2"/>
      <c r="D357" s="2"/>
      <c r="E357" s="2"/>
      <c r="F357" s="2"/>
      <c r="G357" s="2"/>
      <c r="H357" s="2"/>
      <c r="I357" s="2"/>
      <c r="J357" s="2"/>
      <c r="K357" s="2"/>
      <c r="L357" s="2"/>
      <c r="M357" s="2"/>
      <c r="N357" s="2"/>
    </row>
    <row r="358" spans="1:14">
      <c r="A358" s="11"/>
      <c r="B358" s="11"/>
      <c r="C358" s="2"/>
      <c r="D358" s="2"/>
      <c r="E358" s="2"/>
      <c r="F358" s="2"/>
      <c r="G358" s="2"/>
      <c r="H358" s="2"/>
      <c r="I358" s="2"/>
      <c r="J358" s="2"/>
      <c r="K358" s="2"/>
      <c r="L358" s="2"/>
      <c r="M358" s="2"/>
      <c r="N358" s="2"/>
    </row>
    <row r="359" spans="1:14">
      <c r="A359" s="11"/>
      <c r="B359" s="11"/>
      <c r="C359" s="2"/>
      <c r="D359" s="2"/>
      <c r="E359" s="2"/>
      <c r="F359" s="2"/>
      <c r="G359" s="2"/>
      <c r="H359" s="2"/>
      <c r="I359" s="2"/>
      <c r="J359" s="2"/>
      <c r="K359" s="2"/>
      <c r="L359" s="2"/>
      <c r="M359" s="2"/>
      <c r="N359" s="2"/>
    </row>
    <row r="360" spans="1:14">
      <c r="A360" s="11"/>
      <c r="B360" s="11"/>
      <c r="C360" s="2"/>
      <c r="D360" s="2"/>
      <c r="E360" s="2"/>
      <c r="F360" s="2"/>
      <c r="G360" s="2"/>
      <c r="H360" s="2"/>
      <c r="I360" s="2"/>
      <c r="J360" s="2"/>
      <c r="K360" s="2"/>
      <c r="L360" s="2"/>
      <c r="M360" s="2"/>
      <c r="N360" s="2"/>
    </row>
    <row r="361" spans="1:14">
      <c r="A361" s="11"/>
      <c r="B361" s="11"/>
      <c r="C361" s="2"/>
      <c r="D361" s="2"/>
      <c r="E361" s="2"/>
      <c r="F361" s="2"/>
      <c r="G361" s="2"/>
      <c r="H361" s="2"/>
      <c r="I361" s="2"/>
      <c r="J361" s="2"/>
      <c r="K361" s="2"/>
      <c r="L361" s="2"/>
      <c r="M361" s="2"/>
      <c r="N361" s="2"/>
    </row>
    <row r="362" spans="1:14">
      <c r="A362" s="11"/>
      <c r="B362" s="11"/>
      <c r="C362" s="2"/>
      <c r="D362" s="2"/>
      <c r="E362" s="2"/>
      <c r="F362" s="2"/>
      <c r="G362" s="2"/>
      <c r="H362" s="2"/>
      <c r="I362" s="2"/>
      <c r="J362" s="2"/>
      <c r="K362" s="2"/>
      <c r="L362" s="2"/>
      <c r="M362" s="2"/>
      <c r="N362" s="2"/>
    </row>
    <row r="363" spans="1:14">
      <c r="A363" s="11"/>
      <c r="B363" s="11"/>
      <c r="C363" s="2"/>
      <c r="D363" s="2"/>
      <c r="E363" s="2"/>
      <c r="F363" s="2"/>
      <c r="G363" s="2"/>
      <c r="H363" s="2"/>
      <c r="I363" s="2"/>
      <c r="J363" s="2"/>
      <c r="K363" s="2"/>
      <c r="L363" s="2"/>
      <c r="M363" s="2"/>
      <c r="N363" s="2"/>
    </row>
    <row r="364" spans="1:14">
      <c r="A364" s="11"/>
      <c r="B364" s="11"/>
      <c r="C364" s="2"/>
      <c r="D364" s="2"/>
      <c r="E364" s="2"/>
      <c r="F364" s="2"/>
      <c r="G364" s="2"/>
      <c r="H364" s="2"/>
      <c r="I364" s="2"/>
      <c r="J364" s="2"/>
      <c r="K364" s="2"/>
      <c r="L364" s="2"/>
      <c r="M364" s="2"/>
      <c r="N364" s="2"/>
    </row>
    <row r="365" spans="1:14">
      <c r="A365" s="11"/>
      <c r="B365" s="11"/>
      <c r="C365" s="2"/>
      <c r="D365" s="2"/>
      <c r="E365" s="2"/>
      <c r="F365" s="2"/>
      <c r="G365" s="2"/>
      <c r="H365" s="2"/>
      <c r="I365" s="2"/>
      <c r="J365" s="2"/>
      <c r="K365" s="2"/>
      <c r="L365" s="2"/>
      <c r="M365" s="2"/>
      <c r="N365" s="2"/>
    </row>
    <row r="366" spans="1:14">
      <c r="A366" s="11"/>
      <c r="B366" s="11"/>
      <c r="C366" s="2"/>
      <c r="D366" s="2"/>
      <c r="E366" s="2"/>
      <c r="F366" s="2"/>
      <c r="G366" s="2"/>
      <c r="H366" s="2"/>
      <c r="I366" s="2"/>
      <c r="J366" s="2"/>
      <c r="K366" s="2"/>
      <c r="L366" s="2"/>
      <c r="M366" s="2"/>
      <c r="N366" s="2"/>
    </row>
    <row r="367" spans="1:14">
      <c r="A367" s="11"/>
      <c r="B367" s="11"/>
      <c r="C367" s="2"/>
      <c r="D367" s="2"/>
      <c r="E367" s="2"/>
      <c r="F367" s="2"/>
      <c r="G367" s="2"/>
      <c r="H367" s="2"/>
      <c r="I367" s="2"/>
      <c r="J367" s="2"/>
      <c r="K367" s="2"/>
      <c r="L367" s="2"/>
      <c r="M367" s="2"/>
      <c r="N367" s="2"/>
    </row>
    <row r="368" spans="1:14">
      <c r="A368" s="11"/>
      <c r="B368" s="11"/>
      <c r="C368" s="2"/>
      <c r="D368" s="2"/>
      <c r="E368" s="2"/>
      <c r="F368" s="2"/>
      <c r="G368" s="2"/>
      <c r="H368" s="2"/>
      <c r="I368" s="2"/>
      <c r="J368" s="2"/>
      <c r="K368" s="2"/>
      <c r="L368" s="2"/>
      <c r="M368" s="2"/>
      <c r="N368" s="2"/>
    </row>
    <row r="369" spans="1:14">
      <c r="A369" s="11"/>
      <c r="B369" s="11"/>
      <c r="C369" s="2"/>
      <c r="D369" s="2"/>
      <c r="E369" s="2"/>
      <c r="F369" s="2"/>
      <c r="G369" s="2"/>
      <c r="H369" s="2"/>
      <c r="I369" s="2"/>
      <c r="J369" s="2"/>
      <c r="K369" s="2"/>
      <c r="L369" s="2"/>
      <c r="M369" s="2"/>
      <c r="N369" s="2"/>
    </row>
    <row r="370" spans="1:14">
      <c r="A370" s="11"/>
      <c r="B370" s="11"/>
      <c r="C370" s="2"/>
      <c r="D370" s="2"/>
      <c r="E370" s="2"/>
      <c r="F370" s="2"/>
      <c r="G370" s="2"/>
      <c r="H370" s="2"/>
      <c r="I370" s="2"/>
      <c r="J370" s="2"/>
      <c r="K370" s="2"/>
      <c r="L370" s="2"/>
      <c r="M370" s="2"/>
      <c r="N370" s="2"/>
    </row>
    <row r="371" spans="1:14">
      <c r="A371" s="11"/>
      <c r="B371" s="11"/>
      <c r="C371" s="2"/>
      <c r="D371" s="2"/>
      <c r="E371" s="2"/>
      <c r="F371" s="2"/>
      <c r="G371" s="2"/>
      <c r="H371" s="2"/>
      <c r="I371" s="2"/>
      <c r="J371" s="2"/>
      <c r="K371" s="2"/>
      <c r="L371" s="2"/>
      <c r="M371" s="2"/>
      <c r="N371" s="2"/>
    </row>
    <row r="372" spans="1:14">
      <c r="A372" s="11"/>
      <c r="B372" s="11"/>
      <c r="C372" s="2"/>
      <c r="D372" s="2"/>
      <c r="E372" s="2"/>
      <c r="F372" s="2"/>
      <c r="G372" s="2"/>
      <c r="H372" s="2"/>
      <c r="I372" s="2"/>
      <c r="J372" s="2"/>
      <c r="K372" s="2"/>
      <c r="L372" s="2"/>
      <c r="M372" s="2"/>
      <c r="N372" s="2"/>
    </row>
    <row r="373" spans="1:14">
      <c r="A373" s="11"/>
      <c r="B373" s="11"/>
      <c r="C373" s="2"/>
      <c r="D373" s="2"/>
      <c r="E373" s="2"/>
      <c r="F373" s="2"/>
      <c r="G373" s="2"/>
      <c r="H373" s="2"/>
      <c r="I373" s="2"/>
      <c r="J373" s="2"/>
      <c r="K373" s="2"/>
      <c r="L373" s="2"/>
      <c r="M373" s="2"/>
      <c r="N373" s="2"/>
    </row>
    <row r="374" spans="1:14">
      <c r="A374" s="11"/>
      <c r="B374" s="11"/>
      <c r="C374" s="2"/>
      <c r="D374" s="2"/>
      <c r="E374" s="2"/>
      <c r="F374" s="2"/>
      <c r="G374" s="2"/>
      <c r="H374" s="2"/>
      <c r="I374" s="2"/>
      <c r="J374" s="2"/>
      <c r="K374" s="2"/>
      <c r="L374" s="2"/>
      <c r="M374" s="2"/>
      <c r="N374" s="2"/>
    </row>
    <row r="375" spans="1:14">
      <c r="A375" s="11"/>
      <c r="B375" s="11"/>
      <c r="C375" s="2"/>
      <c r="D375" s="2"/>
      <c r="E375" s="2"/>
      <c r="F375" s="2"/>
      <c r="G375" s="2"/>
      <c r="H375" s="2"/>
      <c r="I375" s="2"/>
      <c r="J375" s="2"/>
      <c r="K375" s="2"/>
      <c r="L375" s="2"/>
      <c r="M375" s="2"/>
      <c r="N375" s="2"/>
    </row>
    <row r="376" spans="1:14">
      <c r="A376" s="11"/>
      <c r="B376" s="11"/>
      <c r="C376" s="2"/>
      <c r="D376" s="2"/>
      <c r="E376" s="2"/>
      <c r="F376" s="2"/>
      <c r="G376" s="2"/>
      <c r="H376" s="2"/>
      <c r="I376" s="2"/>
      <c r="J376" s="2"/>
      <c r="K376" s="2"/>
      <c r="L376" s="2"/>
      <c r="M376" s="2"/>
      <c r="N376" s="2"/>
    </row>
    <row r="377" spans="1:14">
      <c r="A377" s="11"/>
      <c r="B377" s="11"/>
      <c r="C377" s="2"/>
      <c r="D377" s="2"/>
      <c r="E377" s="2"/>
      <c r="F377" s="2"/>
      <c r="G377" s="2"/>
      <c r="H377" s="2"/>
      <c r="I377" s="2"/>
      <c r="J377" s="2"/>
      <c r="K377" s="2"/>
      <c r="L377" s="2"/>
      <c r="M377" s="2"/>
      <c r="N377" s="2"/>
    </row>
    <row r="378" spans="1:14">
      <c r="A378" s="11"/>
      <c r="B378" s="11"/>
      <c r="C378" s="2"/>
      <c r="D378" s="2"/>
      <c r="E378" s="2"/>
      <c r="F378" s="2"/>
      <c r="G378" s="2"/>
      <c r="H378" s="2"/>
      <c r="I378" s="2"/>
      <c r="J378" s="2"/>
      <c r="K378" s="2"/>
      <c r="L378" s="2"/>
      <c r="M378" s="2"/>
      <c r="N378" s="2"/>
    </row>
    <row r="379" spans="1:14">
      <c r="A379" s="11"/>
      <c r="B379" s="11"/>
      <c r="C379" s="2"/>
      <c r="D379" s="2"/>
      <c r="E379" s="2"/>
      <c r="F379" s="2"/>
      <c r="G379" s="2"/>
      <c r="H379" s="2"/>
      <c r="I379" s="2"/>
      <c r="J379" s="2"/>
      <c r="K379" s="2"/>
      <c r="L379" s="2"/>
      <c r="M379" s="2"/>
      <c r="N379" s="2"/>
    </row>
    <row r="380" spans="1:14">
      <c r="A380" s="11"/>
      <c r="B380" s="11"/>
      <c r="C380" s="2"/>
      <c r="D380" s="2"/>
      <c r="E380" s="2"/>
      <c r="F380" s="2"/>
      <c r="G380" s="2"/>
      <c r="H380" s="2"/>
      <c r="I380" s="2"/>
      <c r="J380" s="2"/>
      <c r="K380" s="2"/>
      <c r="L380" s="2"/>
      <c r="M380" s="2"/>
      <c r="N380" s="2"/>
    </row>
    <row r="381" spans="1:14">
      <c r="A381" s="11"/>
      <c r="B381" s="11"/>
      <c r="C381" s="2"/>
      <c r="D381" s="2"/>
      <c r="E381" s="2"/>
      <c r="F381" s="2"/>
      <c r="G381" s="2"/>
      <c r="H381" s="2"/>
      <c r="I381" s="2"/>
      <c r="J381" s="2"/>
      <c r="K381" s="2"/>
      <c r="L381" s="2"/>
      <c r="M381" s="2"/>
      <c r="N381" s="2"/>
    </row>
    <row r="382" spans="1:14">
      <c r="A382" s="11"/>
      <c r="B382" s="11"/>
      <c r="C382" s="2"/>
      <c r="D382" s="2"/>
      <c r="E382" s="2"/>
      <c r="F382" s="2"/>
      <c r="G382" s="2"/>
      <c r="H382" s="2"/>
      <c r="I382" s="2"/>
      <c r="J382" s="2"/>
      <c r="K382" s="2"/>
      <c r="L382" s="2"/>
      <c r="M382" s="2"/>
      <c r="N382" s="2"/>
    </row>
    <row r="383" spans="1:14">
      <c r="A383" s="11"/>
      <c r="B383" s="11"/>
      <c r="C383" s="2"/>
      <c r="D383" s="2"/>
      <c r="E383" s="2"/>
      <c r="F383" s="2"/>
      <c r="G383" s="2"/>
      <c r="H383" s="2"/>
      <c r="I383" s="2"/>
      <c r="J383" s="2"/>
      <c r="K383" s="2"/>
      <c r="L383" s="2"/>
      <c r="M383" s="2"/>
      <c r="N383" s="2"/>
    </row>
    <row r="384" spans="1:14">
      <c r="A384" s="11"/>
      <c r="B384" s="11"/>
      <c r="C384" s="2"/>
      <c r="D384" s="2"/>
      <c r="E384" s="2"/>
      <c r="F384" s="2"/>
      <c r="G384" s="2"/>
      <c r="H384" s="2"/>
      <c r="I384" s="2"/>
      <c r="J384" s="2"/>
      <c r="K384" s="2"/>
      <c r="L384" s="2"/>
      <c r="M384" s="2"/>
      <c r="N384" s="2"/>
    </row>
    <row r="385" spans="1:14">
      <c r="A385" s="11"/>
      <c r="B385" s="11"/>
      <c r="C385" s="2"/>
      <c r="D385" s="2"/>
      <c r="E385" s="2"/>
      <c r="F385" s="2"/>
      <c r="G385" s="2"/>
      <c r="H385" s="2"/>
      <c r="I385" s="2"/>
      <c r="J385" s="2"/>
      <c r="K385" s="2"/>
      <c r="L385" s="2"/>
      <c r="M385" s="2"/>
      <c r="N385" s="2"/>
    </row>
    <row r="386" spans="1:14">
      <c r="A386" s="11"/>
      <c r="B386" s="11"/>
      <c r="C386" s="2"/>
      <c r="D386" s="2"/>
      <c r="E386" s="2"/>
      <c r="F386" s="2"/>
      <c r="G386" s="2"/>
      <c r="H386" s="2"/>
      <c r="I386" s="2"/>
      <c r="J386" s="2"/>
      <c r="K386" s="2"/>
      <c r="L386" s="2"/>
      <c r="M386" s="2"/>
      <c r="N386" s="2"/>
    </row>
    <row r="387" spans="1:14">
      <c r="A387" s="11"/>
      <c r="B387" s="11"/>
      <c r="C387" s="2"/>
      <c r="D387" s="2"/>
      <c r="E387" s="2"/>
      <c r="F387" s="2"/>
      <c r="G387" s="2"/>
      <c r="H387" s="2"/>
      <c r="I387" s="2"/>
      <c r="J387" s="2"/>
      <c r="K387" s="2"/>
      <c r="L387" s="2"/>
      <c r="M387" s="2"/>
      <c r="N387" s="2"/>
    </row>
    <row r="388" spans="1:14">
      <c r="A388" s="11"/>
      <c r="B388" s="11"/>
      <c r="C388" s="2"/>
      <c r="D388" s="2"/>
      <c r="E388" s="2"/>
      <c r="F388" s="2"/>
      <c r="G388" s="2"/>
      <c r="H388" s="2"/>
      <c r="I388" s="2"/>
      <c r="J388" s="2"/>
      <c r="K388" s="2"/>
      <c r="L388" s="2"/>
      <c r="M388" s="2"/>
      <c r="N388" s="2"/>
    </row>
    <row r="389" spans="1:14">
      <c r="A389" s="11"/>
      <c r="B389" s="11"/>
      <c r="C389" s="2"/>
      <c r="D389" s="2"/>
      <c r="E389" s="2"/>
      <c r="F389" s="2"/>
      <c r="G389" s="2"/>
      <c r="H389" s="2"/>
      <c r="I389" s="2"/>
      <c r="J389" s="2"/>
      <c r="K389" s="2"/>
      <c r="L389" s="2"/>
      <c r="M389" s="2"/>
      <c r="N389" s="2"/>
    </row>
    <row r="390" spans="1:14">
      <c r="A390" s="11"/>
      <c r="B390" s="11"/>
      <c r="C390" s="2"/>
      <c r="D390" s="2"/>
      <c r="E390" s="2"/>
      <c r="F390" s="2"/>
      <c r="G390" s="2"/>
      <c r="H390" s="2"/>
      <c r="I390" s="2"/>
      <c r="J390" s="2"/>
      <c r="K390" s="2"/>
      <c r="L390" s="2"/>
      <c r="M390" s="2"/>
      <c r="N390" s="2"/>
    </row>
    <row r="391" spans="1:14">
      <c r="A391" s="11"/>
      <c r="B391" s="11"/>
      <c r="C391" s="2"/>
      <c r="D391" s="2"/>
      <c r="E391" s="2"/>
      <c r="F391" s="2"/>
      <c r="G391" s="2"/>
      <c r="H391" s="2"/>
      <c r="I391" s="2"/>
      <c r="J391" s="2"/>
      <c r="K391" s="2"/>
      <c r="L391" s="2"/>
      <c r="M391" s="2"/>
      <c r="N391" s="2"/>
    </row>
    <row r="392" spans="1:14">
      <c r="A392" s="11"/>
      <c r="B392" s="11"/>
      <c r="C392" s="2"/>
      <c r="D392" s="2"/>
      <c r="E392" s="2"/>
      <c r="F392" s="2"/>
      <c r="G392" s="2"/>
      <c r="H392" s="2"/>
      <c r="I392" s="2"/>
      <c r="J392" s="2"/>
      <c r="K392" s="2"/>
      <c r="L392" s="2"/>
      <c r="M392" s="2"/>
      <c r="N392" s="2"/>
    </row>
    <row r="393" spans="1:14">
      <c r="A393" s="11"/>
      <c r="B393" s="11"/>
      <c r="C393" s="2"/>
      <c r="D393" s="2"/>
      <c r="E393" s="2"/>
      <c r="F393" s="2"/>
      <c r="G393" s="2"/>
      <c r="H393" s="2"/>
      <c r="I393" s="2"/>
      <c r="J393" s="2"/>
      <c r="K393" s="2"/>
      <c r="L393" s="2"/>
      <c r="M393" s="2"/>
      <c r="N393" s="2"/>
    </row>
    <row r="394" spans="1:14">
      <c r="A394" s="11"/>
      <c r="B394" s="11"/>
      <c r="C394" s="2"/>
      <c r="D394" s="2"/>
      <c r="E394" s="2"/>
      <c r="F394" s="2"/>
      <c r="G394" s="2"/>
      <c r="H394" s="2"/>
      <c r="I394" s="2"/>
      <c r="J394" s="2"/>
      <c r="K394" s="2"/>
      <c r="L394" s="2"/>
      <c r="M394" s="2"/>
      <c r="N394" s="2"/>
    </row>
    <row r="395" spans="1:14">
      <c r="A395" s="11"/>
      <c r="B395" s="11"/>
      <c r="C395" s="2"/>
      <c r="D395" s="2"/>
      <c r="E395" s="2"/>
      <c r="F395" s="2"/>
      <c r="G395" s="2"/>
      <c r="H395" s="2"/>
      <c r="I395" s="2"/>
      <c r="J395" s="2"/>
      <c r="K395" s="2"/>
      <c r="L395" s="2"/>
      <c r="M395" s="2"/>
      <c r="N395" s="2"/>
    </row>
    <row r="396" spans="1:14">
      <c r="A396" s="11"/>
      <c r="B396" s="11"/>
      <c r="C396" s="2"/>
      <c r="D396" s="2"/>
      <c r="E396" s="2"/>
      <c r="F396" s="2"/>
      <c r="G396" s="2"/>
      <c r="H396" s="2"/>
      <c r="I396" s="2"/>
      <c r="J396" s="2"/>
      <c r="K396" s="2"/>
      <c r="L396" s="2"/>
      <c r="M396" s="2"/>
      <c r="N396" s="2"/>
    </row>
    <row r="397" spans="1:14">
      <c r="A397" s="11"/>
      <c r="B397" s="11"/>
      <c r="C397" s="2"/>
      <c r="D397" s="2"/>
      <c r="E397" s="2"/>
      <c r="F397" s="2"/>
      <c r="G397" s="2"/>
      <c r="H397" s="2"/>
      <c r="I397" s="2"/>
      <c r="J397" s="2"/>
      <c r="K397" s="2"/>
      <c r="L397" s="2"/>
      <c r="M397" s="2"/>
      <c r="N397" s="2"/>
    </row>
    <row r="398" spans="1:14">
      <c r="A398" s="11"/>
      <c r="B398" s="11"/>
      <c r="C398" s="2"/>
      <c r="D398" s="2"/>
      <c r="E398" s="2"/>
      <c r="F398" s="2"/>
      <c r="G398" s="2"/>
      <c r="H398" s="2"/>
      <c r="I398" s="2"/>
      <c r="J398" s="2"/>
      <c r="K398" s="2"/>
      <c r="L398" s="2"/>
      <c r="M398" s="2"/>
      <c r="N398" s="2"/>
    </row>
    <row r="399" spans="1:14">
      <c r="A399" s="11"/>
      <c r="B399" s="11"/>
      <c r="C399" s="2"/>
      <c r="D399" s="2"/>
      <c r="E399" s="2"/>
      <c r="F399" s="2"/>
      <c r="G399" s="2"/>
      <c r="H399" s="2"/>
      <c r="I399" s="2"/>
      <c r="J399" s="2"/>
      <c r="K399" s="2"/>
      <c r="L399" s="2"/>
      <c r="M399" s="2"/>
      <c r="N399" s="2"/>
    </row>
    <row r="400" spans="1:14">
      <c r="A400" s="11"/>
      <c r="B400" s="11"/>
      <c r="C400" s="2"/>
      <c r="D400" s="2"/>
      <c r="E400" s="2"/>
      <c r="F400" s="2"/>
      <c r="G400" s="2"/>
      <c r="H400" s="2"/>
      <c r="I400" s="2"/>
      <c r="J400" s="2"/>
      <c r="K400" s="2"/>
      <c r="L400" s="2"/>
      <c r="M400" s="2"/>
      <c r="N400" s="2"/>
    </row>
    <row r="401" spans="1:14">
      <c r="A401" s="11"/>
      <c r="B401" s="11"/>
      <c r="C401" s="2"/>
      <c r="D401" s="2"/>
      <c r="E401" s="2"/>
      <c r="F401" s="2"/>
      <c r="G401" s="2"/>
      <c r="H401" s="2"/>
      <c r="I401" s="2"/>
      <c r="J401" s="2"/>
      <c r="K401" s="2"/>
      <c r="L401" s="2"/>
      <c r="M401" s="2"/>
      <c r="N401" s="2"/>
    </row>
    <row r="402" spans="1:14">
      <c r="A402" s="11"/>
      <c r="B402" s="11"/>
      <c r="C402" s="2"/>
      <c r="D402" s="2"/>
      <c r="E402" s="2"/>
      <c r="F402" s="2"/>
      <c r="G402" s="2"/>
      <c r="H402" s="2"/>
      <c r="I402" s="2"/>
      <c r="J402" s="2"/>
      <c r="K402" s="2"/>
      <c r="L402" s="2"/>
      <c r="M402" s="2"/>
      <c r="N402" s="2"/>
    </row>
    <row r="403" spans="1:14">
      <c r="A403" s="11"/>
      <c r="B403" s="11"/>
      <c r="C403" s="2"/>
      <c r="D403" s="2"/>
      <c r="E403" s="2"/>
      <c r="F403" s="2"/>
      <c r="G403" s="2"/>
      <c r="H403" s="2"/>
      <c r="I403" s="2"/>
      <c r="J403" s="2"/>
      <c r="K403" s="2"/>
      <c r="L403" s="2"/>
      <c r="M403" s="2"/>
      <c r="N403" s="2"/>
    </row>
    <row r="404" spans="1:14">
      <c r="A404" s="11"/>
      <c r="B404" s="11"/>
      <c r="C404" s="2"/>
      <c r="D404" s="2"/>
      <c r="E404" s="2"/>
      <c r="F404" s="2"/>
      <c r="G404" s="2"/>
      <c r="H404" s="2"/>
      <c r="I404" s="2"/>
      <c r="J404" s="2"/>
      <c r="K404" s="2"/>
      <c r="L404" s="2"/>
      <c r="M404" s="2"/>
      <c r="N404" s="2"/>
    </row>
    <row r="405" spans="1:14">
      <c r="A405" s="11"/>
      <c r="B405" s="11"/>
      <c r="C405" s="2"/>
      <c r="D405" s="2"/>
      <c r="E405" s="2"/>
      <c r="F405" s="2"/>
      <c r="G405" s="2"/>
      <c r="H405" s="2"/>
      <c r="I405" s="2"/>
      <c r="J405" s="2"/>
      <c r="K405" s="2"/>
      <c r="L405" s="2"/>
      <c r="M405" s="2"/>
      <c r="N405" s="2"/>
    </row>
    <row r="406" spans="1:14">
      <c r="A406" s="11"/>
      <c r="B406" s="11"/>
      <c r="C406" s="2"/>
      <c r="D406" s="2"/>
      <c r="E406" s="2"/>
      <c r="F406" s="2"/>
      <c r="G406" s="2"/>
      <c r="H406" s="2"/>
      <c r="I406" s="2"/>
      <c r="J406" s="2"/>
      <c r="K406" s="2"/>
      <c r="L406" s="2"/>
      <c r="M406" s="2"/>
      <c r="N406" s="2"/>
    </row>
    <row r="407" spans="1:14">
      <c r="A407" s="11"/>
      <c r="B407" s="11"/>
      <c r="C407" s="2"/>
      <c r="D407" s="2"/>
      <c r="E407" s="2"/>
      <c r="F407" s="2"/>
      <c r="G407" s="2"/>
      <c r="H407" s="2"/>
      <c r="I407" s="2"/>
      <c r="J407" s="2"/>
      <c r="K407" s="2"/>
      <c r="L407" s="2"/>
      <c r="M407" s="2"/>
      <c r="N407" s="2"/>
    </row>
    <row r="408" spans="1:14">
      <c r="A408" s="11"/>
      <c r="B408" s="11"/>
      <c r="C408" s="2"/>
      <c r="D408" s="2"/>
      <c r="E408" s="2"/>
      <c r="F408" s="2"/>
      <c r="G408" s="2"/>
      <c r="H408" s="2"/>
      <c r="I408" s="2"/>
      <c r="J408" s="2"/>
      <c r="K408" s="2"/>
      <c r="L408" s="2"/>
      <c r="M408" s="2"/>
      <c r="N408" s="2"/>
    </row>
    <row r="409" spans="1:14">
      <c r="A409" s="11"/>
      <c r="B409" s="11"/>
      <c r="C409" s="2"/>
      <c r="D409" s="2"/>
      <c r="E409" s="2"/>
      <c r="F409" s="2"/>
      <c r="G409" s="2"/>
      <c r="H409" s="2"/>
      <c r="I409" s="2"/>
      <c r="J409" s="2"/>
      <c r="K409" s="2"/>
      <c r="L409" s="2"/>
      <c r="M409" s="2"/>
      <c r="N409" s="2"/>
    </row>
    <row r="410" spans="1:14">
      <c r="A410" s="11"/>
      <c r="B410" s="11"/>
      <c r="C410" s="2"/>
      <c r="D410" s="2"/>
      <c r="E410" s="2"/>
      <c r="F410" s="2"/>
      <c r="G410" s="2"/>
      <c r="H410" s="2"/>
      <c r="I410" s="2"/>
      <c r="J410" s="2"/>
      <c r="K410" s="2"/>
      <c r="L410" s="2"/>
      <c r="M410" s="2"/>
      <c r="N410" s="2"/>
    </row>
    <row r="411" spans="1:14">
      <c r="A411" s="11"/>
      <c r="B411" s="11"/>
      <c r="C411" s="2"/>
      <c r="D411" s="2"/>
      <c r="E411" s="2"/>
      <c r="F411" s="2"/>
      <c r="G411" s="2"/>
      <c r="H411" s="2"/>
      <c r="I411" s="2"/>
      <c r="J411" s="2"/>
      <c r="K411" s="2"/>
      <c r="L411" s="2"/>
      <c r="M411" s="2"/>
      <c r="N411" s="2"/>
    </row>
    <row r="412" spans="1:14">
      <c r="A412" s="11"/>
      <c r="B412" s="11"/>
      <c r="C412" s="2"/>
      <c r="D412" s="2"/>
      <c r="E412" s="2"/>
      <c r="F412" s="2"/>
      <c r="G412" s="2"/>
      <c r="H412" s="2"/>
      <c r="I412" s="2"/>
      <c r="J412" s="2"/>
      <c r="K412" s="2"/>
      <c r="L412" s="2"/>
      <c r="M412" s="2"/>
      <c r="N412" s="2"/>
    </row>
    <row r="413" spans="1:14">
      <c r="A413" s="11"/>
      <c r="B413" s="11"/>
      <c r="C413" s="2"/>
      <c r="D413" s="2"/>
      <c r="E413" s="2"/>
      <c r="F413" s="2"/>
      <c r="G413" s="2"/>
      <c r="H413" s="2"/>
      <c r="I413" s="2"/>
      <c r="J413" s="2"/>
      <c r="K413" s="2"/>
      <c r="L413" s="2"/>
      <c r="M413" s="2"/>
      <c r="N413" s="2"/>
    </row>
    <row r="414" spans="1:14">
      <c r="A414" s="11"/>
      <c r="B414" s="11"/>
      <c r="C414" s="2"/>
      <c r="D414" s="2"/>
      <c r="E414" s="2"/>
      <c r="F414" s="2"/>
      <c r="G414" s="2"/>
      <c r="H414" s="2"/>
      <c r="I414" s="2"/>
      <c r="J414" s="2"/>
      <c r="K414" s="2"/>
      <c r="L414" s="2"/>
      <c r="M414" s="2"/>
      <c r="N414" s="2"/>
    </row>
    <row r="415" spans="1:14">
      <c r="A415" s="11"/>
      <c r="B415" s="11"/>
      <c r="C415" s="2"/>
      <c r="D415" s="2"/>
      <c r="E415" s="2"/>
      <c r="F415" s="2"/>
      <c r="G415" s="2"/>
      <c r="H415" s="2"/>
      <c r="I415" s="2"/>
      <c r="J415" s="2"/>
      <c r="K415" s="2"/>
      <c r="L415" s="2"/>
      <c r="M415" s="2"/>
      <c r="N415" s="2"/>
    </row>
    <row r="416" spans="1:14">
      <c r="A416" s="11"/>
      <c r="B416" s="11"/>
      <c r="C416" s="2"/>
      <c r="D416" s="2"/>
      <c r="E416" s="2"/>
      <c r="F416" s="2"/>
      <c r="G416" s="2"/>
      <c r="H416" s="2"/>
      <c r="I416" s="2"/>
      <c r="J416" s="2"/>
      <c r="K416" s="2"/>
      <c r="L416" s="2"/>
      <c r="M416" s="2"/>
      <c r="N416" s="2"/>
    </row>
    <row r="417" spans="1:14">
      <c r="A417" s="11"/>
      <c r="B417" s="11"/>
      <c r="C417" s="2"/>
      <c r="D417" s="2"/>
      <c r="E417" s="2"/>
      <c r="F417" s="2"/>
      <c r="G417" s="2"/>
      <c r="H417" s="2"/>
      <c r="I417" s="2"/>
      <c r="J417" s="2"/>
      <c r="K417" s="2"/>
      <c r="L417" s="2"/>
      <c r="M417" s="2"/>
      <c r="N417" s="2"/>
    </row>
    <row r="418" spans="1:14">
      <c r="A418" s="11"/>
      <c r="B418" s="11"/>
      <c r="C418" s="2"/>
      <c r="D418" s="2"/>
      <c r="E418" s="2"/>
      <c r="F418" s="2"/>
      <c r="G418" s="2"/>
      <c r="H418" s="2"/>
      <c r="I418" s="2"/>
      <c r="J418" s="2"/>
      <c r="K418" s="2"/>
      <c r="L418" s="2"/>
      <c r="M418" s="2"/>
      <c r="N418" s="2"/>
    </row>
    <row r="419" spans="1:14">
      <c r="A419" s="11"/>
      <c r="B419" s="11"/>
      <c r="C419" s="2"/>
      <c r="D419" s="2"/>
      <c r="E419" s="2"/>
      <c r="F419" s="2"/>
      <c r="G419" s="2"/>
      <c r="H419" s="2"/>
      <c r="I419" s="2"/>
      <c r="J419" s="2"/>
      <c r="K419" s="2"/>
      <c r="L419" s="2"/>
      <c r="M419" s="2"/>
      <c r="N419" s="2"/>
    </row>
    <row r="420" spans="1:14">
      <c r="A420" s="11"/>
      <c r="B420" s="11"/>
      <c r="C420" s="2"/>
      <c r="D420" s="2"/>
      <c r="E420" s="2"/>
      <c r="F420" s="2"/>
      <c r="G420" s="2"/>
      <c r="H420" s="2"/>
      <c r="I420" s="2"/>
      <c r="J420" s="2"/>
      <c r="K420" s="2"/>
      <c r="L420" s="2"/>
      <c r="M420" s="2"/>
      <c r="N420" s="2"/>
    </row>
    <row r="421" spans="1:14">
      <c r="A421" s="11"/>
      <c r="B421" s="11"/>
      <c r="C421" s="2"/>
      <c r="D421" s="2"/>
      <c r="E421" s="2"/>
      <c r="F421" s="2"/>
      <c r="G421" s="2"/>
      <c r="H421" s="2"/>
      <c r="I421" s="2"/>
      <c r="J421" s="2"/>
      <c r="K421" s="2"/>
      <c r="L421" s="2"/>
      <c r="M421" s="2"/>
      <c r="N421" s="2"/>
    </row>
    <row r="422" spans="1:14">
      <c r="A422" s="11"/>
      <c r="B422" s="11"/>
      <c r="C422" s="2"/>
      <c r="D422" s="2"/>
      <c r="E422" s="2"/>
      <c r="F422" s="2"/>
      <c r="G422" s="2"/>
      <c r="H422" s="2"/>
      <c r="I422" s="2"/>
      <c r="J422" s="2"/>
      <c r="K422" s="2"/>
      <c r="L422" s="2"/>
      <c r="M422" s="2"/>
      <c r="N422" s="2"/>
    </row>
    <row r="423" spans="1:14">
      <c r="A423" s="11"/>
      <c r="B423" s="11"/>
      <c r="C423" s="2"/>
      <c r="D423" s="2"/>
      <c r="E423" s="2"/>
      <c r="F423" s="2"/>
      <c r="G423" s="2"/>
      <c r="H423" s="2"/>
      <c r="I423" s="2"/>
      <c r="J423" s="2"/>
      <c r="K423" s="2"/>
      <c r="L423" s="2"/>
      <c r="M423" s="2"/>
      <c r="N423" s="2"/>
    </row>
    <row r="424" spans="1:14">
      <c r="A424" s="11"/>
      <c r="B424" s="11"/>
      <c r="C424" s="2"/>
      <c r="D424" s="2"/>
      <c r="E424" s="2"/>
      <c r="F424" s="2"/>
      <c r="G424" s="2"/>
      <c r="H424" s="2"/>
      <c r="I424" s="2"/>
      <c r="J424" s="2"/>
      <c r="K424" s="2"/>
      <c r="L424" s="2"/>
      <c r="M424" s="2"/>
      <c r="N424" s="2"/>
    </row>
    <row r="425" spans="1:14">
      <c r="A425" s="11"/>
      <c r="B425" s="11"/>
      <c r="C425" s="2"/>
      <c r="D425" s="2"/>
      <c r="E425" s="2"/>
      <c r="F425" s="2"/>
      <c r="G425" s="2"/>
      <c r="H425" s="2"/>
      <c r="I425" s="2"/>
      <c r="J425" s="2"/>
      <c r="K425" s="2"/>
      <c r="L425" s="2"/>
      <c r="M425" s="2"/>
      <c r="N425" s="2"/>
    </row>
    <row r="426" spans="1:14">
      <c r="A426" s="11"/>
      <c r="B426" s="11"/>
      <c r="C426" s="2"/>
      <c r="D426" s="2"/>
      <c r="E426" s="2"/>
      <c r="F426" s="2"/>
      <c r="G426" s="2"/>
      <c r="H426" s="2"/>
      <c r="I426" s="2"/>
      <c r="J426" s="2"/>
      <c r="K426" s="2"/>
      <c r="L426" s="2"/>
      <c r="M426" s="2"/>
      <c r="N426" s="2"/>
    </row>
    <row r="427" spans="1:14">
      <c r="A427" s="11"/>
      <c r="B427" s="11"/>
      <c r="C427" s="2"/>
      <c r="D427" s="2"/>
      <c r="E427" s="2"/>
      <c r="F427" s="2"/>
      <c r="G427" s="2"/>
      <c r="H427" s="2"/>
      <c r="I427" s="2"/>
      <c r="J427" s="2"/>
      <c r="K427" s="2"/>
      <c r="L427" s="2"/>
      <c r="M427" s="2"/>
      <c r="N427" s="2"/>
    </row>
    <row r="428" spans="1:14">
      <c r="A428" s="11"/>
      <c r="B428" s="11"/>
      <c r="C428" s="2"/>
      <c r="D428" s="2"/>
      <c r="E428" s="2"/>
      <c r="F428" s="2"/>
      <c r="G428" s="2"/>
      <c r="H428" s="2"/>
      <c r="I428" s="2"/>
      <c r="J428" s="2"/>
      <c r="K428" s="2"/>
      <c r="L428" s="2"/>
      <c r="M428" s="2"/>
      <c r="N428" s="2"/>
    </row>
    <row r="429" spans="1:14">
      <c r="A429" s="11"/>
      <c r="B429" s="11"/>
      <c r="C429" s="2"/>
      <c r="D429" s="2"/>
      <c r="E429" s="2"/>
      <c r="F429" s="2"/>
      <c r="G429" s="2"/>
      <c r="H429" s="2"/>
      <c r="I429" s="2"/>
      <c r="J429" s="2"/>
      <c r="K429" s="2"/>
      <c r="L429" s="2"/>
      <c r="M429" s="2"/>
      <c r="N429" s="2"/>
    </row>
    <row r="430" spans="1:14">
      <c r="A430" s="11"/>
      <c r="B430" s="11"/>
      <c r="C430" s="2"/>
      <c r="D430" s="2"/>
      <c r="E430" s="2"/>
      <c r="F430" s="2"/>
      <c r="G430" s="2"/>
      <c r="H430" s="2"/>
      <c r="I430" s="2"/>
      <c r="J430" s="2"/>
      <c r="K430" s="2"/>
      <c r="L430" s="2"/>
      <c r="M430" s="2"/>
      <c r="N430" s="2"/>
    </row>
    <row r="431" spans="1:14">
      <c r="A431" s="11"/>
      <c r="B431" s="11"/>
      <c r="C431" s="2"/>
      <c r="D431" s="2"/>
      <c r="E431" s="2"/>
      <c r="F431" s="2"/>
      <c r="G431" s="2"/>
      <c r="H431" s="2"/>
      <c r="I431" s="2"/>
      <c r="J431" s="2"/>
      <c r="K431" s="2"/>
      <c r="L431" s="2"/>
      <c r="M431" s="2"/>
      <c r="N431" s="2"/>
    </row>
    <row r="432" spans="1:14">
      <c r="A432" s="11"/>
      <c r="B432" s="11"/>
      <c r="C432" s="2"/>
      <c r="D432" s="2"/>
      <c r="E432" s="2"/>
      <c r="F432" s="2"/>
      <c r="G432" s="2"/>
      <c r="H432" s="2"/>
      <c r="I432" s="2"/>
      <c r="J432" s="2"/>
      <c r="K432" s="2"/>
      <c r="L432" s="2"/>
      <c r="M432" s="2"/>
      <c r="N432" s="2"/>
    </row>
    <row r="433" spans="1:14">
      <c r="A433" s="11"/>
      <c r="B433" s="11"/>
      <c r="C433" s="2"/>
      <c r="D433" s="2"/>
      <c r="E433" s="2"/>
      <c r="F433" s="2"/>
      <c r="G433" s="2"/>
      <c r="H433" s="2"/>
      <c r="I433" s="2"/>
      <c r="J433" s="2"/>
      <c r="K433" s="2"/>
      <c r="L433" s="2"/>
      <c r="M433" s="2"/>
      <c r="N433" s="2"/>
    </row>
    <row r="434" spans="1:14">
      <c r="A434" s="11"/>
      <c r="B434" s="11"/>
      <c r="C434" s="2"/>
      <c r="D434" s="2"/>
      <c r="E434" s="2"/>
      <c r="F434" s="2"/>
      <c r="G434" s="2"/>
      <c r="H434" s="2"/>
      <c r="I434" s="2"/>
      <c r="J434" s="2"/>
      <c r="K434" s="2"/>
      <c r="L434" s="2"/>
      <c r="M434" s="2"/>
      <c r="N434" s="2"/>
    </row>
    <row r="435" spans="1:14">
      <c r="A435" s="11"/>
      <c r="B435" s="11"/>
      <c r="C435" s="2"/>
      <c r="D435" s="2"/>
      <c r="E435" s="2"/>
      <c r="F435" s="2"/>
      <c r="G435" s="2"/>
      <c r="H435" s="2"/>
      <c r="I435" s="2"/>
      <c r="J435" s="2"/>
      <c r="K435" s="2"/>
      <c r="L435" s="2"/>
      <c r="M435" s="2"/>
      <c r="N435" s="2"/>
    </row>
    <row r="436" spans="1:14">
      <c r="A436" s="11"/>
      <c r="B436" s="11"/>
      <c r="C436" s="2"/>
      <c r="D436" s="2"/>
      <c r="E436" s="2"/>
      <c r="F436" s="2"/>
      <c r="G436" s="2"/>
      <c r="H436" s="2"/>
      <c r="I436" s="2"/>
      <c r="J436" s="2"/>
      <c r="K436" s="2"/>
      <c r="L436" s="2"/>
      <c r="M436" s="2"/>
      <c r="N436" s="2"/>
    </row>
    <row r="437" spans="1:14">
      <c r="A437" s="11"/>
      <c r="B437" s="11"/>
      <c r="C437" s="2"/>
      <c r="D437" s="2"/>
      <c r="E437" s="2"/>
      <c r="F437" s="2"/>
      <c r="G437" s="2"/>
      <c r="H437" s="2"/>
      <c r="I437" s="2"/>
      <c r="J437" s="2"/>
      <c r="K437" s="2"/>
      <c r="L437" s="2"/>
      <c r="M437" s="2"/>
      <c r="N437" s="2"/>
    </row>
    <row r="438" spans="1:14">
      <c r="A438" s="11"/>
      <c r="B438" s="11"/>
      <c r="C438" s="2"/>
      <c r="D438" s="2"/>
      <c r="E438" s="2"/>
      <c r="F438" s="2"/>
      <c r="G438" s="2"/>
      <c r="H438" s="2"/>
      <c r="I438" s="2"/>
      <c r="J438" s="2"/>
      <c r="K438" s="2"/>
      <c r="L438" s="2"/>
      <c r="M438" s="2"/>
      <c r="N438" s="2"/>
    </row>
    <row r="439" spans="1:14">
      <c r="A439" s="11"/>
      <c r="B439" s="11"/>
      <c r="C439" s="2"/>
      <c r="D439" s="2"/>
      <c r="E439" s="2"/>
      <c r="F439" s="2"/>
      <c r="G439" s="2"/>
      <c r="H439" s="2"/>
      <c r="I439" s="2"/>
      <c r="J439" s="2"/>
      <c r="K439" s="2"/>
      <c r="L439" s="2"/>
      <c r="M439" s="2"/>
      <c r="N439" s="2"/>
    </row>
    <row r="440" spans="1:14">
      <c r="A440" s="11"/>
      <c r="B440" s="11"/>
      <c r="C440" s="2"/>
      <c r="D440" s="2"/>
      <c r="E440" s="2"/>
      <c r="F440" s="2"/>
      <c r="G440" s="2"/>
      <c r="H440" s="2"/>
      <c r="I440" s="2"/>
      <c r="J440" s="2"/>
      <c r="K440" s="2"/>
      <c r="L440" s="2"/>
      <c r="M440" s="2"/>
      <c r="N440" s="2"/>
    </row>
    <row r="441" spans="1:14">
      <c r="A441" s="11"/>
      <c r="B441" s="11"/>
      <c r="C441" s="2"/>
      <c r="D441" s="2"/>
      <c r="E441" s="2"/>
      <c r="F441" s="2"/>
      <c r="G441" s="2"/>
      <c r="H441" s="2"/>
      <c r="I441" s="2"/>
      <c r="J441" s="2"/>
      <c r="K441" s="2"/>
      <c r="L441" s="2"/>
      <c r="M441" s="2"/>
      <c r="N441" s="2"/>
    </row>
    <row r="442" spans="1:14">
      <c r="A442" s="11"/>
      <c r="B442" s="11"/>
      <c r="C442" s="2"/>
      <c r="D442" s="2"/>
      <c r="E442" s="2"/>
      <c r="F442" s="2"/>
      <c r="G442" s="2"/>
      <c r="H442" s="2"/>
      <c r="I442" s="2"/>
      <c r="J442" s="2"/>
      <c r="K442" s="2"/>
      <c r="L442" s="2"/>
      <c r="M442" s="2"/>
      <c r="N442" s="2"/>
    </row>
    <row r="443" spans="1:14">
      <c r="A443" s="11"/>
      <c r="B443" s="11"/>
      <c r="C443" s="2"/>
      <c r="D443" s="2"/>
      <c r="E443" s="2"/>
      <c r="F443" s="2"/>
      <c r="G443" s="2"/>
      <c r="H443" s="2"/>
      <c r="I443" s="2"/>
      <c r="J443" s="2"/>
      <c r="K443" s="2"/>
      <c r="L443" s="2"/>
      <c r="M443" s="2"/>
      <c r="N443" s="2"/>
    </row>
    <row r="444" spans="1:14">
      <c r="A444" s="11"/>
      <c r="B444" s="11"/>
      <c r="C444" s="2"/>
      <c r="D444" s="2"/>
      <c r="E444" s="2"/>
      <c r="F444" s="2"/>
      <c r="G444" s="2"/>
      <c r="H444" s="2"/>
      <c r="I444" s="2"/>
      <c r="J444" s="2"/>
      <c r="K444" s="2"/>
      <c r="L444" s="2"/>
      <c r="M444" s="2"/>
      <c r="N444" s="2"/>
    </row>
    <row r="445" spans="1:14">
      <c r="A445" s="11"/>
      <c r="B445" s="11"/>
      <c r="C445" s="2"/>
      <c r="D445" s="2"/>
      <c r="E445" s="2"/>
      <c r="F445" s="2"/>
      <c r="G445" s="2"/>
      <c r="H445" s="2"/>
      <c r="I445" s="2"/>
      <c r="J445" s="2"/>
      <c r="K445" s="2"/>
      <c r="L445" s="2"/>
      <c r="M445" s="2"/>
      <c r="N445" s="2"/>
    </row>
    <row r="446" spans="1:14">
      <c r="A446" s="11"/>
      <c r="B446" s="11"/>
      <c r="C446" s="2"/>
      <c r="D446" s="2"/>
      <c r="E446" s="2"/>
      <c r="F446" s="2"/>
      <c r="G446" s="2"/>
      <c r="H446" s="2"/>
      <c r="I446" s="2"/>
      <c r="J446" s="2"/>
      <c r="K446" s="2"/>
      <c r="L446" s="2"/>
      <c r="M446" s="2"/>
      <c r="N446" s="2"/>
    </row>
    <row r="447" spans="1:14">
      <c r="A447" s="11"/>
      <c r="B447" s="11"/>
      <c r="C447" s="2"/>
      <c r="D447" s="2"/>
      <c r="E447" s="2"/>
      <c r="F447" s="2"/>
      <c r="G447" s="2"/>
      <c r="H447" s="2"/>
      <c r="I447" s="2"/>
      <c r="J447" s="2"/>
      <c r="K447" s="2"/>
      <c r="L447" s="2"/>
      <c r="M447" s="2"/>
      <c r="N447" s="2"/>
    </row>
    <row r="448" spans="1:14">
      <c r="A448" s="11"/>
      <c r="B448" s="11"/>
      <c r="C448" s="2"/>
      <c r="D448" s="2"/>
      <c r="E448" s="2"/>
      <c r="F448" s="2"/>
      <c r="G448" s="2"/>
      <c r="H448" s="2"/>
      <c r="I448" s="2"/>
      <c r="J448" s="2"/>
      <c r="K448" s="2"/>
      <c r="L448" s="2"/>
      <c r="M448" s="2"/>
      <c r="N448" s="2"/>
    </row>
    <row r="449" spans="1:14">
      <c r="A449" s="11"/>
      <c r="B449" s="11"/>
      <c r="C449" s="2"/>
      <c r="D449" s="2"/>
      <c r="E449" s="2"/>
      <c r="F449" s="2"/>
      <c r="G449" s="2"/>
      <c r="H449" s="2"/>
      <c r="I449" s="2"/>
      <c r="J449" s="2"/>
      <c r="K449" s="2"/>
      <c r="L449" s="2"/>
      <c r="M449" s="2"/>
      <c r="N449" s="2"/>
    </row>
    <row r="450" spans="1:14">
      <c r="A450" s="11"/>
      <c r="B450" s="11"/>
      <c r="C450" s="2"/>
      <c r="D450" s="2"/>
      <c r="E450" s="2"/>
      <c r="F450" s="2"/>
      <c r="G450" s="2"/>
      <c r="H450" s="2"/>
      <c r="I450" s="2"/>
      <c r="J450" s="2"/>
      <c r="K450" s="2"/>
      <c r="L450" s="2"/>
      <c r="M450" s="2"/>
      <c r="N450" s="2"/>
    </row>
    <row r="451" spans="1:14">
      <c r="A451" s="11"/>
      <c r="B451" s="11"/>
      <c r="C451" s="2"/>
      <c r="D451" s="2"/>
      <c r="E451" s="2"/>
      <c r="F451" s="2"/>
      <c r="G451" s="2"/>
      <c r="H451" s="2"/>
      <c r="I451" s="2"/>
      <c r="J451" s="2"/>
      <c r="K451" s="2"/>
      <c r="L451" s="2"/>
      <c r="M451" s="2"/>
      <c r="N451" s="2"/>
    </row>
    <row r="452" spans="1:14">
      <c r="A452" s="11"/>
      <c r="B452" s="11"/>
      <c r="C452" s="2"/>
      <c r="D452" s="2"/>
      <c r="E452" s="2"/>
      <c r="F452" s="2"/>
      <c r="G452" s="2"/>
      <c r="H452" s="2"/>
      <c r="I452" s="2"/>
      <c r="J452" s="2"/>
      <c r="K452" s="2"/>
      <c r="L452" s="2"/>
      <c r="M452" s="2"/>
      <c r="N452" s="2"/>
    </row>
    <row r="453" spans="1:14">
      <c r="A453" s="11"/>
      <c r="B453" s="11"/>
      <c r="C453" s="2"/>
      <c r="D453" s="2"/>
      <c r="E453" s="2"/>
      <c r="F453" s="2"/>
      <c r="G453" s="2"/>
      <c r="H453" s="2"/>
      <c r="I453" s="2"/>
      <c r="J453" s="2"/>
      <c r="K453" s="2"/>
      <c r="L453" s="2"/>
      <c r="M453" s="2"/>
      <c r="N453" s="2"/>
    </row>
    <row r="454" spans="1:14">
      <c r="A454" s="11"/>
      <c r="B454" s="11"/>
      <c r="C454" s="2"/>
      <c r="D454" s="2"/>
      <c r="E454" s="2"/>
      <c r="F454" s="2"/>
      <c r="G454" s="2"/>
      <c r="H454" s="2"/>
      <c r="I454" s="2"/>
      <c r="J454" s="2"/>
      <c r="K454" s="2"/>
      <c r="L454" s="2"/>
      <c r="M454" s="2"/>
      <c r="N454" s="2"/>
    </row>
    <row r="455" spans="1:14">
      <c r="A455" s="11"/>
      <c r="B455" s="11"/>
      <c r="C455" s="2"/>
      <c r="D455" s="2"/>
      <c r="E455" s="2"/>
      <c r="F455" s="2"/>
      <c r="G455" s="2"/>
      <c r="H455" s="2"/>
      <c r="I455" s="2"/>
      <c r="J455" s="2"/>
      <c r="K455" s="2"/>
      <c r="L455" s="2"/>
      <c r="M455" s="2"/>
      <c r="N455" s="2"/>
    </row>
    <row r="456" spans="1:14">
      <c r="A456" s="11"/>
      <c r="B456" s="11"/>
      <c r="C456" s="2"/>
      <c r="D456" s="2"/>
      <c r="E456" s="2"/>
      <c r="F456" s="2"/>
      <c r="G456" s="2"/>
      <c r="H456" s="2"/>
      <c r="I456" s="2"/>
      <c r="J456" s="2"/>
      <c r="K456" s="2"/>
      <c r="L456" s="2"/>
      <c r="M456" s="2"/>
      <c r="N456" s="2"/>
    </row>
    <row r="457" spans="1:14">
      <c r="A457" s="11"/>
      <c r="B457" s="11"/>
      <c r="C457" s="2"/>
      <c r="D457" s="2"/>
      <c r="E457" s="2"/>
      <c r="F457" s="2"/>
      <c r="G457" s="2"/>
      <c r="H457" s="2"/>
      <c r="I457" s="2"/>
      <c r="J457" s="2"/>
      <c r="K457" s="2"/>
      <c r="L457" s="2"/>
      <c r="M457" s="2"/>
      <c r="N457" s="2"/>
    </row>
    <row r="458" spans="1:14">
      <c r="A458" s="11"/>
      <c r="B458" s="11"/>
      <c r="C458" s="2"/>
      <c r="D458" s="2"/>
      <c r="E458" s="2"/>
      <c r="F458" s="2"/>
      <c r="G458" s="2"/>
      <c r="H458" s="2"/>
      <c r="I458" s="2"/>
      <c r="J458" s="2"/>
      <c r="K458" s="2"/>
      <c r="L458" s="2"/>
      <c r="M458" s="2"/>
      <c r="N458" s="2"/>
    </row>
    <row r="459" spans="1:14">
      <c r="A459" s="11"/>
      <c r="B459" s="11"/>
      <c r="C459" s="2"/>
      <c r="D459" s="2"/>
      <c r="E459" s="2"/>
      <c r="F459" s="2"/>
      <c r="G459" s="2"/>
      <c r="H459" s="2"/>
      <c r="I459" s="2"/>
      <c r="J459" s="2"/>
      <c r="K459" s="2"/>
      <c r="L459" s="2"/>
      <c r="M459" s="2"/>
      <c r="N459" s="2"/>
    </row>
    <row r="460" spans="1:14">
      <c r="A460" s="11"/>
      <c r="B460" s="11"/>
      <c r="C460" s="2"/>
      <c r="D460" s="2"/>
      <c r="E460" s="2"/>
      <c r="F460" s="2"/>
      <c r="G460" s="2"/>
      <c r="H460" s="2"/>
      <c r="I460" s="2"/>
      <c r="J460" s="2"/>
      <c r="K460" s="2"/>
      <c r="L460" s="2"/>
      <c r="M460" s="2"/>
      <c r="N460" s="2"/>
    </row>
    <row r="461" spans="1:14">
      <c r="A461" s="11"/>
      <c r="B461" s="11"/>
      <c r="C461" s="2"/>
      <c r="D461" s="2"/>
      <c r="E461" s="2"/>
      <c r="F461" s="2"/>
      <c r="G461" s="2"/>
      <c r="H461" s="2"/>
      <c r="I461" s="2"/>
      <c r="J461" s="2"/>
      <c r="K461" s="2"/>
      <c r="L461" s="2"/>
      <c r="M461" s="2"/>
      <c r="N461" s="2"/>
    </row>
    <row r="462" spans="1:14">
      <c r="A462" s="11"/>
      <c r="B462" s="11"/>
      <c r="C462" s="2"/>
      <c r="D462" s="2"/>
      <c r="E462" s="2"/>
      <c r="F462" s="2"/>
      <c r="G462" s="2"/>
      <c r="H462" s="2"/>
      <c r="I462" s="2"/>
      <c r="J462" s="2"/>
      <c r="K462" s="2"/>
      <c r="L462" s="2"/>
      <c r="M462" s="2"/>
      <c r="N462" s="2"/>
    </row>
    <row r="463" spans="1:14">
      <c r="A463" s="11"/>
      <c r="B463" s="11"/>
      <c r="C463" s="2"/>
      <c r="D463" s="2"/>
      <c r="E463" s="2"/>
      <c r="F463" s="2"/>
      <c r="G463" s="2"/>
      <c r="H463" s="2"/>
      <c r="I463" s="2"/>
      <c r="J463" s="2"/>
      <c r="K463" s="2"/>
      <c r="L463" s="2"/>
      <c r="M463" s="2"/>
      <c r="N463" s="2"/>
    </row>
    <row r="464" spans="1:14">
      <c r="A464" s="11"/>
      <c r="B464" s="11"/>
      <c r="C464" s="2"/>
      <c r="D464" s="2"/>
      <c r="E464" s="2"/>
      <c r="F464" s="2"/>
      <c r="G464" s="2"/>
      <c r="H464" s="2"/>
      <c r="I464" s="2"/>
      <c r="J464" s="2"/>
      <c r="K464" s="2"/>
      <c r="L464" s="2"/>
      <c r="M464" s="2"/>
      <c r="N464" s="2"/>
    </row>
    <row r="465" spans="1:14">
      <c r="A465" s="11"/>
      <c r="B465" s="11"/>
      <c r="C465" s="2"/>
      <c r="D465" s="2"/>
      <c r="E465" s="2"/>
      <c r="F465" s="2"/>
      <c r="G465" s="2"/>
      <c r="H465" s="2"/>
      <c r="I465" s="2"/>
      <c r="J465" s="2"/>
      <c r="K465" s="2"/>
      <c r="L465" s="2"/>
      <c r="M465" s="2"/>
      <c r="N465" s="2"/>
    </row>
    <row r="466" spans="1:14">
      <c r="A466" s="11"/>
      <c r="B466" s="11"/>
      <c r="C466" s="2"/>
      <c r="D466" s="2"/>
      <c r="E466" s="2"/>
      <c r="F466" s="2"/>
      <c r="G466" s="2"/>
      <c r="H466" s="2"/>
      <c r="I466" s="2"/>
      <c r="J466" s="2"/>
      <c r="K466" s="2"/>
      <c r="L466" s="2"/>
      <c r="M466" s="2"/>
      <c r="N466" s="2"/>
    </row>
    <row r="467" spans="1:14">
      <c r="A467" s="11"/>
      <c r="B467" s="11"/>
      <c r="C467" s="2"/>
      <c r="D467" s="2"/>
      <c r="E467" s="2"/>
      <c r="F467" s="2"/>
      <c r="G467" s="2"/>
      <c r="H467" s="2"/>
      <c r="I467" s="2"/>
      <c r="J467" s="2"/>
      <c r="K467" s="2"/>
      <c r="L467" s="2"/>
      <c r="M467" s="2"/>
      <c r="N467" s="2"/>
    </row>
    <row r="468" spans="1:14">
      <c r="A468" s="11"/>
      <c r="B468" s="11"/>
      <c r="C468" s="2"/>
      <c r="D468" s="2"/>
      <c r="E468" s="2"/>
      <c r="F468" s="2"/>
      <c r="G468" s="2"/>
      <c r="H468" s="2"/>
      <c r="I468" s="2"/>
      <c r="J468" s="2"/>
      <c r="K468" s="2"/>
      <c r="L468" s="2"/>
      <c r="M468" s="2"/>
      <c r="N468" s="2"/>
    </row>
    <row r="469" spans="1:14">
      <c r="A469" s="11"/>
      <c r="B469" s="11"/>
      <c r="C469" s="2"/>
      <c r="D469" s="2"/>
      <c r="E469" s="2"/>
      <c r="F469" s="2"/>
      <c r="G469" s="2"/>
      <c r="H469" s="2"/>
      <c r="I469" s="2"/>
      <c r="J469" s="2"/>
      <c r="K469" s="2"/>
      <c r="L469" s="2"/>
      <c r="M469" s="2"/>
      <c r="N469" s="2"/>
    </row>
    <row r="470" spans="1:14">
      <c r="A470" s="11"/>
      <c r="B470" s="11"/>
      <c r="C470" s="2"/>
      <c r="D470" s="2"/>
      <c r="E470" s="2"/>
      <c r="F470" s="2"/>
      <c r="G470" s="2"/>
      <c r="H470" s="2"/>
      <c r="I470" s="2"/>
      <c r="J470" s="2"/>
      <c r="K470" s="2"/>
      <c r="L470" s="2"/>
      <c r="M470" s="2"/>
      <c r="N470" s="2"/>
    </row>
    <row r="471" spans="1:14">
      <c r="A471" s="11"/>
      <c r="B471" s="11"/>
      <c r="C471" s="2"/>
      <c r="D471" s="2"/>
      <c r="E471" s="2"/>
      <c r="F471" s="2"/>
      <c r="G471" s="2"/>
      <c r="H471" s="2"/>
      <c r="I471" s="2"/>
      <c r="J471" s="2"/>
      <c r="K471" s="2"/>
      <c r="L471" s="2"/>
      <c r="M471" s="2"/>
      <c r="N471" s="2"/>
    </row>
    <row r="472" spans="1:14">
      <c r="A472" s="11"/>
      <c r="B472" s="11"/>
      <c r="C472" s="2"/>
      <c r="D472" s="2"/>
      <c r="E472" s="2"/>
      <c r="F472" s="2"/>
      <c r="G472" s="2"/>
      <c r="H472" s="2"/>
      <c r="I472" s="2"/>
      <c r="J472" s="2"/>
      <c r="K472" s="2"/>
      <c r="L472" s="2"/>
      <c r="M472" s="2"/>
      <c r="N472" s="2"/>
    </row>
    <row r="473" spans="1:14">
      <c r="A473" s="11"/>
      <c r="B473" s="11"/>
      <c r="C473" s="2"/>
      <c r="D473" s="2"/>
      <c r="E473" s="2"/>
      <c r="F473" s="2"/>
      <c r="G473" s="2"/>
      <c r="H473" s="2"/>
      <c r="I473" s="2"/>
      <c r="J473" s="2"/>
      <c r="K473" s="2"/>
      <c r="L473" s="2"/>
      <c r="M473" s="2"/>
      <c r="N473" s="2"/>
    </row>
    <row r="474" spans="1:14">
      <c r="A474" s="11"/>
      <c r="B474" s="11"/>
      <c r="C474" s="2"/>
      <c r="D474" s="2"/>
      <c r="E474" s="2"/>
      <c r="F474" s="2"/>
      <c r="G474" s="2"/>
      <c r="H474" s="2"/>
      <c r="I474" s="2"/>
      <c r="J474" s="2"/>
      <c r="K474" s="2"/>
      <c r="L474" s="2"/>
      <c r="M474" s="2"/>
      <c r="N474" s="2"/>
    </row>
    <row r="475" spans="1:14">
      <c r="A475" s="11"/>
      <c r="B475" s="11"/>
      <c r="C475" s="2"/>
      <c r="D475" s="2"/>
      <c r="E475" s="2"/>
      <c r="F475" s="2"/>
      <c r="G475" s="2"/>
      <c r="H475" s="2"/>
      <c r="I475" s="2"/>
      <c r="J475" s="2"/>
      <c r="K475" s="2"/>
      <c r="L475" s="2"/>
      <c r="M475" s="2"/>
      <c r="N475" s="2"/>
    </row>
    <row r="476" spans="1:14">
      <c r="A476" s="11"/>
      <c r="B476" s="11"/>
      <c r="C476" s="2"/>
      <c r="D476" s="2"/>
      <c r="E476" s="2"/>
      <c r="F476" s="2"/>
      <c r="G476" s="2"/>
      <c r="H476" s="2"/>
      <c r="I476" s="2"/>
      <c r="J476" s="2"/>
      <c r="K476" s="2"/>
      <c r="L476" s="2"/>
      <c r="M476" s="2"/>
      <c r="N476" s="2"/>
    </row>
    <row r="477" spans="1:14">
      <c r="A477" s="11"/>
      <c r="B477" s="11"/>
      <c r="C477" s="2"/>
      <c r="D477" s="2"/>
      <c r="E477" s="2"/>
      <c r="F477" s="2"/>
      <c r="G477" s="2"/>
      <c r="H477" s="2"/>
      <c r="I477" s="2"/>
      <c r="J477" s="2"/>
      <c r="K477" s="2"/>
      <c r="L477" s="2"/>
      <c r="M477" s="2"/>
      <c r="N477" s="2"/>
    </row>
    <row r="478" spans="1:14">
      <c r="A478" s="11"/>
      <c r="B478" s="11"/>
      <c r="C478" s="2"/>
      <c r="D478" s="2"/>
      <c r="E478" s="2"/>
      <c r="F478" s="2"/>
      <c r="G478" s="2"/>
      <c r="H478" s="2"/>
      <c r="I478" s="2"/>
      <c r="J478" s="2"/>
      <c r="K478" s="2"/>
      <c r="L478" s="2"/>
      <c r="M478" s="2"/>
      <c r="N478" s="2"/>
    </row>
    <row r="479" spans="1:14">
      <c r="A479" s="11"/>
      <c r="B479" s="11"/>
      <c r="C479" s="2"/>
      <c r="D479" s="2"/>
      <c r="E479" s="2"/>
      <c r="F479" s="2"/>
      <c r="G479" s="2"/>
      <c r="H479" s="2"/>
      <c r="I479" s="2"/>
      <c r="J479" s="2"/>
      <c r="K479" s="2"/>
      <c r="L479" s="2"/>
      <c r="M479" s="2"/>
      <c r="N479" s="2"/>
    </row>
    <row r="480" spans="1:14">
      <c r="A480" s="11"/>
      <c r="B480" s="11"/>
      <c r="C480" s="2"/>
      <c r="D480" s="2"/>
      <c r="E480" s="2"/>
      <c r="F480" s="2"/>
      <c r="G480" s="2"/>
      <c r="H480" s="2"/>
      <c r="I480" s="2"/>
      <c r="J480" s="2"/>
      <c r="K480" s="2"/>
      <c r="L480" s="2"/>
      <c r="M480" s="2"/>
      <c r="N480" s="2"/>
    </row>
    <row r="481" spans="1:14">
      <c r="A481" s="11"/>
      <c r="B481" s="11"/>
      <c r="C481" s="2"/>
      <c r="D481" s="2"/>
      <c r="E481" s="2"/>
      <c r="F481" s="2"/>
      <c r="G481" s="2"/>
      <c r="H481" s="2"/>
      <c r="I481" s="2"/>
      <c r="J481" s="2"/>
      <c r="K481" s="2"/>
      <c r="L481" s="2"/>
      <c r="M481" s="2"/>
      <c r="N481" s="2"/>
    </row>
    <row r="482" spans="1:14">
      <c r="A482" s="11"/>
      <c r="B482" s="11"/>
      <c r="C482" s="2"/>
      <c r="D482" s="2"/>
      <c r="E482" s="2"/>
      <c r="F482" s="2"/>
      <c r="G482" s="2"/>
      <c r="H482" s="2"/>
      <c r="I482" s="2"/>
      <c r="J482" s="2"/>
      <c r="K482" s="2"/>
      <c r="L482" s="2"/>
      <c r="M482" s="2"/>
      <c r="N482" s="2"/>
    </row>
    <row r="483" spans="1:14">
      <c r="A483" s="11"/>
      <c r="B483" s="11"/>
      <c r="C483" s="2"/>
      <c r="D483" s="2"/>
      <c r="E483" s="2"/>
      <c r="F483" s="2"/>
      <c r="G483" s="2"/>
      <c r="H483" s="2"/>
      <c r="I483" s="2"/>
      <c r="J483" s="2"/>
      <c r="K483" s="2"/>
      <c r="L483" s="2"/>
      <c r="M483" s="2"/>
      <c r="N483" s="2"/>
    </row>
    <row r="484" spans="1:14">
      <c r="A484" s="11"/>
      <c r="B484" s="11"/>
      <c r="C484" s="2"/>
      <c r="D484" s="2"/>
      <c r="E484" s="2"/>
      <c r="F484" s="2"/>
      <c r="G484" s="2"/>
      <c r="H484" s="2"/>
      <c r="I484" s="2"/>
      <c r="J484" s="2"/>
      <c r="K484" s="2"/>
      <c r="L484" s="2"/>
      <c r="M484" s="2"/>
      <c r="N484" s="2"/>
    </row>
    <row r="485" spans="1:14">
      <c r="A485" s="11"/>
      <c r="B485" s="11"/>
      <c r="C485" s="2"/>
      <c r="D485" s="2"/>
      <c r="E485" s="2"/>
      <c r="F485" s="2"/>
      <c r="G485" s="2"/>
      <c r="H485" s="2"/>
      <c r="I485" s="2"/>
      <c r="J485" s="2"/>
      <c r="K485" s="2"/>
      <c r="L485" s="2"/>
      <c r="M485" s="2"/>
      <c r="N485" s="2"/>
    </row>
    <row r="486" spans="1:14">
      <c r="A486" s="11"/>
      <c r="B486" s="11"/>
      <c r="C486" s="2"/>
      <c r="D486" s="2"/>
      <c r="E486" s="2"/>
      <c r="F486" s="2"/>
      <c r="G486" s="2"/>
      <c r="H486" s="2"/>
      <c r="I486" s="2"/>
      <c r="J486" s="2"/>
      <c r="K486" s="2"/>
      <c r="L486" s="2"/>
      <c r="M486" s="2"/>
      <c r="N486" s="2"/>
    </row>
    <row r="487" spans="1:14">
      <c r="A487" s="11"/>
      <c r="B487" s="11"/>
      <c r="C487" s="2"/>
      <c r="D487" s="2"/>
      <c r="E487" s="2"/>
      <c r="F487" s="2"/>
      <c r="G487" s="2"/>
      <c r="H487" s="2"/>
      <c r="I487" s="2"/>
      <c r="J487" s="2"/>
      <c r="K487" s="2"/>
      <c r="L487" s="2"/>
      <c r="M487" s="2"/>
      <c r="N487" s="2"/>
    </row>
    <row r="488" spans="1:14">
      <c r="A488" s="11"/>
      <c r="B488" s="11"/>
      <c r="C488" s="2"/>
      <c r="D488" s="2"/>
      <c r="E488" s="2"/>
      <c r="F488" s="2"/>
      <c r="G488" s="2"/>
      <c r="H488" s="2"/>
      <c r="I488" s="2"/>
      <c r="J488" s="2"/>
      <c r="K488" s="2"/>
      <c r="L488" s="2"/>
      <c r="M488" s="2"/>
      <c r="N488" s="2"/>
    </row>
    <row r="489" spans="1:14">
      <c r="A489" s="11"/>
      <c r="B489" s="11"/>
      <c r="C489" s="2"/>
      <c r="D489" s="2"/>
      <c r="E489" s="2"/>
      <c r="F489" s="2"/>
      <c r="G489" s="2"/>
      <c r="H489" s="2"/>
      <c r="I489" s="2"/>
      <c r="J489" s="2"/>
      <c r="K489" s="2"/>
      <c r="L489" s="2"/>
      <c r="M489" s="2"/>
      <c r="N489" s="2"/>
    </row>
    <row r="490" spans="1:14">
      <c r="A490" s="11"/>
      <c r="B490" s="11"/>
      <c r="C490" s="2"/>
      <c r="D490" s="2"/>
      <c r="E490" s="2"/>
      <c r="F490" s="2"/>
      <c r="G490" s="2"/>
      <c r="H490" s="2"/>
      <c r="I490" s="2"/>
      <c r="J490" s="2"/>
      <c r="K490" s="2"/>
      <c r="L490" s="2"/>
      <c r="M490" s="2"/>
      <c r="N490" s="2"/>
    </row>
    <row r="491" spans="1:14">
      <c r="A491" s="11"/>
      <c r="B491" s="11"/>
      <c r="C491" s="2"/>
      <c r="D491" s="2"/>
      <c r="E491" s="2"/>
      <c r="F491" s="2"/>
      <c r="G491" s="2"/>
      <c r="H491" s="2"/>
      <c r="I491" s="2"/>
      <c r="J491" s="2"/>
      <c r="K491" s="2"/>
      <c r="L491" s="2"/>
      <c r="M491" s="2"/>
      <c r="N491" s="2"/>
    </row>
    <row r="492" spans="1:14">
      <c r="A492" s="11"/>
      <c r="B492" s="11"/>
      <c r="C492" s="2"/>
      <c r="D492" s="2"/>
      <c r="E492" s="2"/>
      <c r="F492" s="2"/>
      <c r="G492" s="2"/>
      <c r="H492" s="2"/>
      <c r="I492" s="2"/>
      <c r="J492" s="2"/>
      <c r="K492" s="2"/>
      <c r="L492" s="2"/>
      <c r="M492" s="2"/>
      <c r="N492" s="2"/>
    </row>
    <row r="493" spans="1:14">
      <c r="A493" s="11"/>
      <c r="B493" s="11"/>
      <c r="C493" s="2"/>
      <c r="D493" s="2"/>
      <c r="E493" s="2"/>
      <c r="F493" s="2"/>
      <c r="G493" s="2"/>
      <c r="H493" s="2"/>
      <c r="I493" s="2"/>
      <c r="J493" s="2"/>
      <c r="K493" s="2"/>
      <c r="L493" s="2"/>
      <c r="M493" s="2"/>
      <c r="N493" s="2"/>
    </row>
    <row r="494" spans="1:14">
      <c r="A494" s="11"/>
      <c r="B494" s="11"/>
      <c r="C494" s="2"/>
      <c r="D494" s="2"/>
      <c r="E494" s="2"/>
      <c r="F494" s="2"/>
      <c r="G494" s="2"/>
      <c r="H494" s="2"/>
      <c r="I494" s="2"/>
      <c r="J494" s="2"/>
      <c r="K494" s="2"/>
      <c r="L494" s="2"/>
      <c r="M494" s="2"/>
      <c r="N494" s="2"/>
    </row>
    <row r="495" spans="1:14">
      <c r="A495" s="11"/>
      <c r="B495" s="11"/>
      <c r="C495" s="2"/>
      <c r="D495" s="2"/>
      <c r="E495" s="2"/>
      <c r="F495" s="2"/>
      <c r="G495" s="2"/>
      <c r="H495" s="2"/>
      <c r="I495" s="2"/>
      <c r="J495" s="2"/>
      <c r="K495" s="2"/>
      <c r="L495" s="2"/>
      <c r="M495" s="2"/>
      <c r="N495" s="2"/>
    </row>
    <row r="496" spans="1:14">
      <c r="A496" s="11"/>
      <c r="B496" s="11"/>
      <c r="C496" s="2"/>
      <c r="D496" s="2"/>
      <c r="E496" s="2"/>
      <c r="F496" s="2"/>
      <c r="G496" s="2"/>
      <c r="H496" s="2"/>
      <c r="I496" s="2"/>
      <c r="J496" s="2"/>
      <c r="K496" s="2"/>
      <c r="L496" s="2"/>
      <c r="M496" s="2"/>
      <c r="N496" s="2"/>
    </row>
    <row r="497" spans="1:14">
      <c r="A497" s="11"/>
      <c r="B497" s="11"/>
      <c r="C497" s="2"/>
      <c r="D497" s="2"/>
      <c r="E497" s="2"/>
      <c r="F497" s="2"/>
      <c r="G497" s="2"/>
      <c r="H497" s="2"/>
      <c r="I497" s="2"/>
      <c r="J497" s="2"/>
      <c r="K497" s="2"/>
      <c r="L497" s="2"/>
      <c r="M497" s="2"/>
      <c r="N497" s="2"/>
    </row>
    <row r="498" spans="1:14">
      <c r="A498" s="11"/>
      <c r="B498" s="11"/>
      <c r="C498" s="2"/>
      <c r="D498" s="2"/>
      <c r="E498" s="2"/>
      <c r="F498" s="2"/>
      <c r="G498" s="2"/>
      <c r="H498" s="2"/>
      <c r="I498" s="2"/>
      <c r="J498" s="2"/>
      <c r="K498" s="2"/>
      <c r="L498" s="2"/>
      <c r="M498" s="2"/>
      <c r="N498" s="2"/>
    </row>
    <row r="499" spans="1:14">
      <c r="A499" s="11"/>
      <c r="B499" s="11"/>
      <c r="C499" s="2"/>
      <c r="D499" s="2"/>
      <c r="E499" s="2"/>
      <c r="F499" s="2"/>
      <c r="G499" s="2"/>
      <c r="H499" s="2"/>
      <c r="I499" s="2"/>
      <c r="J499" s="2"/>
      <c r="K499" s="2"/>
      <c r="L499" s="2"/>
      <c r="M499" s="2"/>
      <c r="N499" s="2"/>
    </row>
    <row r="500" spans="1:14">
      <c r="A500" s="11"/>
      <c r="B500" s="11"/>
      <c r="C500" s="2"/>
      <c r="D500" s="2"/>
      <c r="E500" s="2"/>
      <c r="F500" s="2"/>
      <c r="G500" s="2"/>
      <c r="H500" s="2"/>
      <c r="I500" s="2"/>
      <c r="J500" s="2"/>
      <c r="K500" s="2"/>
      <c r="L500" s="2"/>
      <c r="M500" s="2"/>
      <c r="N500" s="2"/>
    </row>
    <row r="501" spans="1:14">
      <c r="A501" s="11"/>
      <c r="B501" s="11"/>
      <c r="C501" s="2"/>
      <c r="D501" s="2"/>
      <c r="E501" s="2"/>
      <c r="F501" s="2"/>
      <c r="G501" s="2"/>
      <c r="H501" s="2"/>
      <c r="I501" s="2"/>
      <c r="J501" s="2"/>
      <c r="K501" s="2"/>
      <c r="L501" s="2"/>
      <c r="M501" s="2"/>
      <c r="N501" s="2"/>
    </row>
    <row r="502" spans="1:14">
      <c r="A502" s="11"/>
      <c r="B502" s="11"/>
      <c r="C502" s="2"/>
      <c r="D502" s="2"/>
      <c r="E502" s="2"/>
      <c r="F502" s="2"/>
      <c r="G502" s="2"/>
      <c r="H502" s="2"/>
      <c r="I502" s="2"/>
      <c r="J502" s="2"/>
      <c r="K502" s="2"/>
      <c r="L502" s="2"/>
      <c r="M502" s="2"/>
      <c r="N502" s="2"/>
    </row>
    <row r="503" spans="1:14">
      <c r="A503" s="11"/>
      <c r="B503" s="11"/>
      <c r="C503" s="2"/>
      <c r="D503" s="2"/>
      <c r="E503" s="2"/>
      <c r="F503" s="2"/>
      <c r="G503" s="2"/>
      <c r="H503" s="2"/>
      <c r="I503" s="2"/>
      <c r="J503" s="2"/>
      <c r="K503" s="2"/>
      <c r="L503" s="2"/>
      <c r="M503" s="2"/>
      <c r="N503" s="2"/>
    </row>
    <row r="504" spans="1:14">
      <c r="A504" s="11"/>
      <c r="B504" s="11"/>
      <c r="C504" s="2"/>
      <c r="D504" s="2"/>
      <c r="G504" s="2"/>
      <c r="H504" s="2"/>
      <c r="K504" s="2"/>
      <c r="L504" s="2"/>
      <c r="M504" s="2"/>
      <c r="N504" s="2"/>
    </row>
    <row r="505" spans="1:14">
      <c r="C505" s="2"/>
      <c r="D505" s="2"/>
      <c r="G505" s="2"/>
      <c r="H505" s="2"/>
      <c r="K505" s="2"/>
      <c r="L505" s="2"/>
      <c r="M505" s="2"/>
      <c r="N5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Main Menu</vt:lpstr>
      <vt:lpstr>Concepts of Print</vt:lpstr>
      <vt:lpstr>COP Look Up</vt:lpstr>
      <vt:lpstr>Letter ID</vt:lpstr>
      <vt:lpstr>LetterID Look Up</vt:lpstr>
      <vt:lpstr>Hearing &amp; Recording Sounds</vt:lpstr>
      <vt:lpstr>H&amp;R Look Up</vt:lpstr>
      <vt:lpstr>Word_Reading_List A</vt:lpstr>
      <vt:lpstr>Word_Reading_List B</vt:lpstr>
      <vt:lpstr>Word_Reading_List C</vt:lpstr>
      <vt:lpstr>WordRead Look Up</vt:lpstr>
      <vt:lpstr>Writing Vocab</vt:lpstr>
      <vt:lpstr>WritingVocab Look Up</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dc:creator>
  <cp:lastModifiedBy>Paddy Mac</cp:lastModifiedBy>
  <dcterms:created xsi:type="dcterms:W3CDTF">2013-10-09T03:09:28Z</dcterms:created>
  <dcterms:modified xsi:type="dcterms:W3CDTF">2025-11-25T11:03:17Z</dcterms:modified>
</cp:coreProperties>
</file>