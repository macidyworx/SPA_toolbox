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SPAhub\SPAhub_repo\ZZSample_Files\Test_Files\"/>
    </mc:Choice>
  </mc:AlternateContent>
  <xr:revisionPtr revIDLastSave="0" documentId="13_ncr:1_{FDF057AB-94A6-494C-B277-FE07723880D5}" xr6:coauthVersionLast="47" xr6:coauthVersionMax="47" xr10:uidLastSave="{00000000-0000-0000-0000-000000000000}"/>
  <bookViews>
    <workbookView xWindow="-26550" yWindow="405" windowWidth="23925" windowHeight="14460" activeTab="8" xr2:uid="{00000000-000D-0000-FFFF-FFFF00000000}"/>
  </bookViews>
  <sheets>
    <sheet name="Main Menu" sheetId="18" r:id="rId1"/>
    <sheet name="Foundation" sheetId="17" r:id="rId2"/>
    <sheet name="Year 1" sheetId="16" r:id="rId3"/>
    <sheet name="Year 2" sheetId="15" r:id="rId4"/>
    <sheet name="Year 3" sheetId="19" r:id="rId5"/>
    <sheet name="Year 4" sheetId="20" r:id="rId6"/>
    <sheet name="Year 5" sheetId="21" r:id="rId7"/>
    <sheet name="Year 6" sheetId="22" r:id="rId8"/>
    <sheet name="Year 7" sheetId="23" r:id="rId9"/>
    <sheet name="Year 8" sheetId="24" r:id="rId10"/>
  </sheets>
  <definedNames>
    <definedName name="_xlnm.Print_Area" localSheetId="1">Foundation!$C$1:$H$27</definedName>
    <definedName name="_xlnm.Print_Area" localSheetId="2">'Year 1'!$C$1:$H$27</definedName>
    <definedName name="_xlnm.Print_Area" localSheetId="3">'Year 2'!$C$1:$H$27</definedName>
    <definedName name="_xlnm.Print_Area" localSheetId="4">'Year 3'!$C$1:$H$27</definedName>
    <definedName name="_xlnm.Print_Area" localSheetId="5">'Year 4'!$C$1:$H$27</definedName>
    <definedName name="_xlnm.Print_Area" localSheetId="6">'Year 5'!$C$1:$H$27</definedName>
    <definedName name="_xlnm.Print_Area" localSheetId="7">'Year 6'!$C$1:$H$27</definedName>
    <definedName name="_xlnm.Print_Area" localSheetId="8">'Year 7'!$C$1:$H$27</definedName>
    <definedName name="_xlnm.Print_Area" localSheetId="9">'Year 8'!$C$1:$H$27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22" l="1"/>
  <c r="O19" i="22"/>
  <c r="O20" i="22"/>
  <c r="O21" i="22"/>
  <c r="O22" i="22"/>
  <c r="O23" i="22"/>
  <c r="O24" i="22"/>
  <c r="O25" i="22"/>
  <c r="O26" i="22"/>
  <c r="O27" i="22"/>
  <c r="O28" i="22"/>
  <c r="O29" i="22"/>
  <c r="O30" i="22"/>
  <c r="O31" i="22"/>
  <c r="O32" i="22"/>
  <c r="O33" i="22"/>
  <c r="O34" i="22"/>
  <c r="O35" i="22"/>
  <c r="O36" i="22"/>
  <c r="O37" i="22"/>
  <c r="O38" i="22"/>
  <c r="O39" i="22"/>
  <c r="O40" i="22"/>
  <c r="O41" i="22"/>
  <c r="O42" i="22"/>
  <c r="O43" i="22"/>
  <c r="O44" i="22"/>
  <c r="O45" i="22"/>
  <c r="O46" i="22"/>
  <c r="O47" i="22"/>
  <c r="O48" i="22"/>
  <c r="O49" i="22"/>
  <c r="O50" i="22"/>
  <c r="O51" i="22"/>
  <c r="O52" i="22"/>
  <c r="O53" i="22"/>
  <c r="O54" i="22"/>
  <c r="O55" i="22"/>
  <c r="O56" i="22"/>
  <c r="O57" i="22"/>
  <c r="O58" i="22"/>
  <c r="O59" i="22"/>
  <c r="O60" i="22"/>
  <c r="O61" i="22"/>
  <c r="O62" i="22"/>
  <c r="O63" i="22"/>
  <c r="O64" i="22"/>
  <c r="O65" i="22"/>
  <c r="O66" i="22"/>
  <c r="O67" i="22"/>
  <c r="O68" i="22"/>
  <c r="O69" i="22"/>
  <c r="O70" i="22"/>
  <c r="O71" i="22"/>
  <c r="O72" i="22"/>
  <c r="O73" i="22"/>
  <c r="O74" i="22"/>
  <c r="O75" i="22"/>
  <c r="O76" i="22"/>
  <c r="O77" i="22"/>
  <c r="O78" i="22"/>
  <c r="O79" i="22"/>
  <c r="O80" i="22"/>
  <c r="O81" i="22"/>
  <c r="O82" i="22"/>
  <c r="O83" i="22"/>
  <c r="O84" i="22"/>
  <c r="O85" i="22"/>
  <c r="O86" i="22"/>
  <c r="O87" i="22"/>
  <c r="O88" i="22"/>
  <c r="O89" i="22"/>
  <c r="O90" i="22"/>
  <c r="O91" i="22"/>
  <c r="O92" i="22"/>
  <c r="O93" i="22"/>
  <c r="O94" i="22"/>
  <c r="O95" i="22"/>
  <c r="O96" i="22"/>
  <c r="O97" i="22"/>
  <c r="O98" i="22"/>
  <c r="O99" i="22"/>
  <c r="O100" i="22"/>
  <c r="O101" i="22"/>
  <c r="O102" i="22"/>
  <c r="O103" i="22"/>
  <c r="O104" i="22"/>
  <c r="O105" i="22"/>
  <c r="O106" i="22"/>
  <c r="O107" i="22"/>
  <c r="O108" i="22"/>
  <c r="O109" i="22"/>
  <c r="O110" i="22"/>
  <c r="O111" i="22"/>
  <c r="O112" i="22"/>
  <c r="O113" i="22"/>
  <c r="O114" i="22"/>
  <c r="O115" i="22"/>
  <c r="O116" i="22"/>
  <c r="O117" i="22"/>
  <c r="O118" i="22"/>
  <c r="O119" i="22"/>
  <c r="O120" i="22"/>
  <c r="O121" i="22"/>
  <c r="O122" i="22"/>
  <c r="O123" i="22"/>
  <c r="O124" i="22"/>
  <c r="O125" i="22"/>
  <c r="O126" i="22"/>
  <c r="O127" i="22"/>
  <c r="O128" i="22"/>
  <c r="O129" i="22"/>
  <c r="O130" i="22"/>
  <c r="O131" i="22"/>
  <c r="O132" i="22"/>
  <c r="O133" i="22"/>
  <c r="O134" i="22"/>
  <c r="O135" i="22"/>
  <c r="O136" i="22"/>
  <c r="O137" i="22"/>
  <c r="O138" i="22"/>
  <c r="O139" i="22"/>
  <c r="O140" i="22"/>
  <c r="O141" i="22"/>
  <c r="O142" i="22"/>
  <c r="O143" i="22"/>
  <c r="O144" i="22"/>
  <c r="O145" i="22"/>
  <c r="O146" i="22"/>
  <c r="O147" i="22"/>
  <c r="O148" i="22"/>
  <c r="O149" i="22"/>
  <c r="O150" i="22"/>
  <c r="O151" i="22"/>
  <c r="O152" i="22"/>
  <c r="O153" i="22"/>
  <c r="O154" i="22"/>
  <c r="O155" i="22"/>
  <c r="O156" i="22"/>
  <c r="O157" i="22"/>
  <c r="O158" i="22"/>
  <c r="O159" i="22"/>
  <c r="O160" i="22"/>
  <c r="O161" i="22"/>
  <c r="O162" i="22"/>
  <c r="O163" i="22"/>
  <c r="O164" i="22"/>
  <c r="O165" i="22"/>
  <c r="O166" i="22"/>
  <c r="O167" i="22"/>
  <c r="O168" i="22"/>
  <c r="O169" i="22"/>
  <c r="O170" i="22"/>
  <c r="O171" i="22"/>
  <c r="O172" i="22"/>
  <c r="O173" i="22"/>
  <c r="O174" i="22"/>
  <c r="O175" i="22"/>
  <c r="O176" i="22"/>
  <c r="O177" i="22"/>
  <c r="O178" i="22"/>
  <c r="O179" i="22"/>
  <c r="O180" i="22"/>
  <c r="O181" i="22"/>
  <c r="O182" i="22"/>
  <c r="O183" i="22"/>
  <c r="O184" i="22"/>
  <c r="O185" i="22"/>
  <c r="O186" i="22"/>
  <c r="O187" i="22"/>
  <c r="O188" i="22"/>
  <c r="O189" i="22"/>
  <c r="O190" i="22"/>
  <c r="O191" i="22"/>
  <c r="O192" i="22"/>
  <c r="O193" i="22"/>
  <c r="O194" i="22"/>
  <c r="O195" i="22"/>
  <c r="O196" i="22"/>
  <c r="O197" i="22"/>
  <c r="O198" i="22"/>
  <c r="O199" i="22"/>
  <c r="O200" i="22"/>
  <c r="O201" i="22"/>
  <c r="O202" i="22"/>
  <c r="O203" i="22"/>
  <c r="O204" i="22"/>
  <c r="O205" i="22"/>
  <c r="O206" i="22"/>
  <c r="O207" i="22"/>
  <c r="O208" i="22"/>
  <c r="O209" i="22"/>
  <c r="O210" i="22"/>
  <c r="O211" i="22"/>
  <c r="O212" i="22"/>
  <c r="O213" i="22"/>
  <c r="O214" i="22"/>
  <c r="O215" i="22"/>
  <c r="O216" i="22"/>
  <c r="O217" i="22"/>
  <c r="O218" i="22"/>
  <c r="O219" i="22"/>
  <c r="O220" i="22"/>
  <c r="O221" i="22"/>
  <c r="O222" i="22"/>
  <c r="O223" i="22"/>
  <c r="O224" i="22"/>
  <c r="O225" i="22"/>
  <c r="O226" i="22"/>
  <c r="O227" i="22"/>
  <c r="O228" i="22"/>
  <c r="O229" i="22"/>
  <c r="O230" i="22"/>
  <c r="O231" i="22"/>
  <c r="O232" i="22"/>
  <c r="O233" i="22"/>
  <c r="O234" i="22"/>
  <c r="O235" i="22"/>
  <c r="O236" i="22"/>
  <c r="O237" i="22"/>
  <c r="O238" i="22"/>
  <c r="O239" i="22"/>
  <c r="O240" i="22"/>
  <c r="O241" i="22"/>
  <c r="O242" i="22"/>
  <c r="O243" i="22"/>
  <c r="O244" i="22"/>
  <c r="O245" i="22"/>
  <c r="O246" i="22"/>
  <c r="O247" i="22"/>
  <c r="O248" i="22"/>
  <c r="O249" i="22"/>
  <c r="O250" i="22"/>
  <c r="O251" i="22"/>
  <c r="O252" i="22"/>
  <c r="O253" i="22"/>
  <c r="O254" i="22"/>
  <c r="O255" i="22"/>
  <c r="O256" i="22"/>
  <c r="O257" i="22"/>
  <c r="O258" i="22"/>
  <c r="O259" i="22"/>
  <c r="O260" i="22"/>
  <c r="O261" i="22"/>
  <c r="O262" i="22"/>
  <c r="O263" i="22"/>
  <c r="O264" i="22"/>
  <c r="O265" i="22"/>
  <c r="O266" i="22"/>
  <c r="O267" i="22"/>
  <c r="O268" i="22"/>
  <c r="O269" i="22"/>
  <c r="O270" i="22"/>
  <c r="O271" i="22"/>
  <c r="O272" i="22"/>
  <c r="O273" i="22"/>
  <c r="O274" i="22"/>
  <c r="O275" i="22"/>
  <c r="O276" i="22"/>
  <c r="O277" i="22"/>
  <c r="O278" i="22"/>
  <c r="O279" i="22"/>
  <c r="O280" i="22"/>
  <c r="O281" i="22"/>
  <c r="O282" i="22"/>
  <c r="O283" i="22"/>
  <c r="O284" i="22"/>
  <c r="O285" i="22"/>
  <c r="O286" i="22"/>
  <c r="O287" i="22"/>
  <c r="O288" i="22"/>
  <c r="O289" i="22"/>
  <c r="O290" i="22"/>
  <c r="O291" i="22"/>
  <c r="O292" i="22"/>
  <c r="O293" i="22"/>
  <c r="O294" i="22"/>
  <c r="O295" i="22"/>
  <c r="O296" i="22"/>
  <c r="O297" i="22"/>
  <c r="O298" i="22"/>
  <c r="O299" i="22"/>
  <c r="O300" i="22"/>
  <c r="O301" i="22"/>
  <c r="O302" i="22"/>
  <c r="O303" i="22"/>
  <c r="O304" i="22"/>
  <c r="O305" i="22"/>
  <c r="O306" i="22"/>
  <c r="O307" i="22"/>
  <c r="O308" i="22"/>
  <c r="O309" i="22"/>
  <c r="O310" i="22"/>
  <c r="O311" i="22"/>
  <c r="O312" i="22"/>
  <c r="O313" i="22"/>
  <c r="O314" i="22"/>
  <c r="O315" i="22"/>
  <c r="O316" i="22"/>
  <c r="O317" i="22"/>
  <c r="O318" i="22"/>
  <c r="O319" i="22"/>
  <c r="O320" i="22"/>
  <c r="O321" i="22"/>
  <c r="O322" i="22"/>
  <c r="O323" i="22"/>
  <c r="O324" i="22"/>
  <c r="O325" i="22"/>
  <c r="O326" i="22"/>
  <c r="O327" i="22"/>
  <c r="O328" i="22"/>
  <c r="O329" i="22"/>
  <c r="O330" i="22"/>
  <c r="O331" i="22"/>
  <c r="O332" i="22"/>
  <c r="O333" i="22"/>
  <c r="O334" i="22"/>
  <c r="O335" i="22"/>
  <c r="O336" i="22"/>
  <c r="O337" i="22"/>
  <c r="O338" i="22"/>
  <c r="O339" i="22"/>
  <c r="O340" i="22"/>
  <c r="O341" i="22"/>
  <c r="O342" i="22"/>
  <c r="O343" i="22"/>
  <c r="O344" i="22"/>
  <c r="O345" i="22"/>
  <c r="O346" i="22"/>
  <c r="O347" i="22"/>
  <c r="O348" i="22"/>
  <c r="O349" i="22"/>
  <c r="O350" i="22"/>
  <c r="O351" i="22"/>
  <c r="O352" i="22"/>
  <c r="O353" i="22"/>
  <c r="O354" i="22"/>
  <c r="O355" i="22"/>
  <c r="O356" i="22"/>
  <c r="O357" i="22"/>
  <c r="O358" i="22"/>
  <c r="O359" i="22"/>
  <c r="O360" i="22"/>
  <c r="O361" i="22"/>
  <c r="O362" i="22"/>
  <c r="O363" i="22"/>
  <c r="O364" i="22"/>
  <c r="O365" i="22"/>
  <c r="O366" i="22"/>
  <c r="O367" i="22"/>
  <c r="O368" i="22"/>
  <c r="O369" i="22"/>
  <c r="O370" i="22"/>
  <c r="O371" i="22"/>
  <c r="O372" i="22"/>
  <c r="O373" i="22"/>
  <c r="O374" i="22"/>
  <c r="O375" i="22"/>
  <c r="O376" i="22"/>
  <c r="O377" i="22"/>
  <c r="O378" i="22"/>
  <c r="O379" i="22"/>
  <c r="O380" i="22"/>
  <c r="O381" i="22"/>
  <c r="O382" i="22"/>
  <c r="O383" i="22"/>
  <c r="O384" i="22"/>
  <c r="O385" i="22"/>
  <c r="O386" i="22"/>
  <c r="O387" i="22"/>
  <c r="O388" i="22"/>
  <c r="O389" i="22"/>
  <c r="O390" i="22"/>
  <c r="O391" i="22"/>
  <c r="O392" i="22"/>
  <c r="O393" i="22"/>
  <c r="O394" i="22"/>
  <c r="O395" i="22"/>
  <c r="O396" i="22"/>
  <c r="O397" i="22"/>
  <c r="O398" i="22"/>
  <c r="O399" i="22"/>
  <c r="O400" i="22"/>
  <c r="O401" i="22"/>
  <c r="O402" i="22"/>
  <c r="O403" i="22"/>
  <c r="O404" i="22"/>
  <c r="O405" i="22"/>
  <c r="O406" i="22"/>
  <c r="O407" i="22"/>
  <c r="O408" i="22"/>
  <c r="O409" i="22"/>
  <c r="O410" i="22"/>
  <c r="O411" i="22"/>
  <c r="O412" i="22"/>
  <c r="O413" i="22"/>
  <c r="O414" i="22"/>
  <c r="O415" i="22"/>
  <c r="O416" i="22"/>
  <c r="O417" i="22"/>
  <c r="O418" i="22"/>
  <c r="O419" i="22"/>
  <c r="O420" i="22"/>
  <c r="O421" i="22"/>
  <c r="O422" i="22"/>
  <c r="O423" i="22"/>
  <c r="O424" i="22"/>
  <c r="O425" i="22"/>
  <c r="O426" i="22"/>
  <c r="O427" i="22"/>
  <c r="O428" i="22"/>
  <c r="O429" i="22"/>
  <c r="O430" i="22"/>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O165" i="24"/>
  <c r="O166" i="24"/>
  <c r="O167" i="24"/>
  <c r="O168" i="24"/>
  <c r="O169" i="24"/>
  <c r="O170" i="24"/>
  <c r="O171" i="24"/>
  <c r="O172" i="24"/>
  <c r="O173" i="24"/>
  <c r="O174" i="24"/>
  <c r="O175" i="24"/>
  <c r="O176" i="24"/>
  <c r="O177" i="24"/>
  <c r="O178" i="24"/>
  <c r="O179" i="24"/>
  <c r="O180" i="24"/>
  <c r="O181" i="24"/>
  <c r="O182" i="24"/>
  <c r="O183" i="24"/>
  <c r="O184" i="24"/>
  <c r="O185" i="24"/>
  <c r="O186" i="24"/>
  <c r="O187" i="24"/>
  <c r="O188" i="24"/>
  <c r="O189" i="24"/>
  <c r="O190" i="24"/>
  <c r="O191" i="24"/>
  <c r="O192" i="24"/>
  <c r="O193" i="24"/>
  <c r="O194" i="24"/>
  <c r="O195" i="24"/>
  <c r="O196" i="24"/>
  <c r="O197" i="24"/>
  <c r="O198" i="24"/>
  <c r="O199" i="24"/>
  <c r="O200" i="24"/>
  <c r="O201" i="24"/>
  <c r="O202" i="24"/>
  <c r="O203" i="24"/>
  <c r="O204" i="24"/>
  <c r="O205" i="24"/>
  <c r="O206" i="24"/>
  <c r="O207" i="24"/>
  <c r="O208" i="24"/>
  <c r="O209" i="24"/>
  <c r="O210" i="24"/>
  <c r="O211" i="24"/>
  <c r="O212" i="24"/>
  <c r="O213" i="24"/>
  <c r="O214" i="24"/>
  <c r="O215" i="24"/>
  <c r="O216" i="24"/>
  <c r="O217" i="24"/>
  <c r="O218" i="24"/>
  <c r="O219" i="24"/>
  <c r="O220" i="24"/>
  <c r="O221" i="24"/>
  <c r="O222" i="24"/>
  <c r="O223" i="24"/>
  <c r="O224" i="24"/>
  <c r="O225" i="24"/>
  <c r="O226" i="24"/>
  <c r="O227" i="24"/>
  <c r="O228" i="24"/>
  <c r="O229" i="24"/>
  <c r="O230" i="24"/>
  <c r="O231" i="24"/>
  <c r="O232" i="24"/>
  <c r="O233" i="24"/>
  <c r="O234" i="24"/>
  <c r="O235" i="24"/>
  <c r="O236" i="24"/>
  <c r="O237" i="24"/>
  <c r="O238" i="24"/>
  <c r="O239" i="24"/>
  <c r="O240" i="24"/>
  <c r="O241" i="24"/>
  <c r="O242" i="24"/>
  <c r="O243" i="24"/>
  <c r="O244" i="24"/>
  <c r="O245" i="24"/>
  <c r="O246" i="24"/>
  <c r="O247" i="24"/>
  <c r="O248" i="24"/>
  <c r="O249" i="24"/>
  <c r="O250" i="24"/>
  <c r="O251" i="24"/>
  <c r="O252" i="24"/>
  <c r="O253" i="24"/>
  <c r="O254" i="24"/>
  <c r="O255" i="24"/>
  <c r="O256" i="24"/>
  <c r="O257" i="24"/>
  <c r="O258" i="24"/>
  <c r="O259" i="24"/>
  <c r="O260" i="24"/>
  <c r="O261" i="24"/>
  <c r="O262" i="24"/>
  <c r="O263" i="24"/>
  <c r="O264" i="24"/>
  <c r="O265" i="24"/>
  <c r="O266" i="24"/>
  <c r="O267" i="24"/>
  <c r="O268" i="24"/>
  <c r="O269" i="24"/>
  <c r="O270" i="24"/>
  <c r="O271" i="24"/>
  <c r="O272" i="24"/>
  <c r="O273" i="24"/>
  <c r="O274" i="24"/>
  <c r="O275" i="24"/>
  <c r="O276" i="24"/>
  <c r="O277" i="24"/>
  <c r="O278" i="24"/>
  <c r="O279" i="24"/>
  <c r="O280" i="24"/>
  <c r="O281" i="24"/>
  <c r="O282" i="24"/>
  <c r="O283" i="24"/>
  <c r="O284" i="24"/>
  <c r="O285" i="24"/>
  <c r="O286" i="24"/>
  <c r="O287" i="24"/>
  <c r="O288" i="24"/>
  <c r="O289" i="24"/>
  <c r="O290" i="24"/>
  <c r="O291" i="24"/>
  <c r="O292" i="24"/>
  <c r="O293" i="24"/>
  <c r="O294" i="24"/>
  <c r="O295" i="24"/>
  <c r="O296" i="24"/>
  <c r="O297" i="24"/>
  <c r="O298" i="24"/>
  <c r="O299" i="24"/>
  <c r="O300" i="24"/>
  <c r="O301" i="24"/>
  <c r="O302" i="24"/>
  <c r="O303" i="24"/>
  <c r="O304" i="24"/>
  <c r="O305" i="24"/>
  <c r="O306" i="24"/>
  <c r="O307" i="24"/>
  <c r="O308" i="24"/>
  <c r="O309" i="24"/>
  <c r="O310" i="24"/>
  <c r="O311" i="24"/>
  <c r="O312" i="24"/>
  <c r="O313" i="24"/>
  <c r="O314" i="24"/>
  <c r="O315" i="24"/>
  <c r="O316" i="24"/>
  <c r="O317" i="24"/>
  <c r="O318" i="24"/>
  <c r="O319" i="24"/>
  <c r="O320" i="24"/>
  <c r="O321" i="24"/>
  <c r="O322" i="24"/>
  <c r="O323" i="24"/>
  <c r="O324" i="24"/>
  <c r="O325" i="24"/>
  <c r="O326" i="24"/>
  <c r="O327" i="24"/>
  <c r="O328" i="24"/>
  <c r="O329" i="24"/>
  <c r="O330" i="24"/>
  <c r="O331" i="24"/>
  <c r="O332" i="24"/>
  <c r="O333" i="24"/>
  <c r="O334" i="24"/>
  <c r="O335" i="24"/>
  <c r="O336" i="24"/>
  <c r="O337" i="24"/>
  <c r="O338" i="24"/>
  <c r="O339" i="24"/>
  <c r="O340" i="24"/>
  <c r="O341" i="24"/>
  <c r="O342" i="24"/>
  <c r="O343" i="24"/>
  <c r="O344" i="24"/>
  <c r="O345" i="24"/>
  <c r="O346" i="24"/>
  <c r="O347" i="24"/>
  <c r="O348" i="24"/>
  <c r="O349" i="24"/>
  <c r="O350" i="24"/>
  <c r="O351" i="24"/>
  <c r="O352" i="24"/>
  <c r="O353" i="24"/>
  <c r="O354" i="24"/>
  <c r="O355" i="24"/>
  <c r="O356" i="24"/>
  <c r="O357" i="24"/>
  <c r="O358" i="24"/>
  <c r="O359" i="24"/>
  <c r="O360" i="24"/>
  <c r="O361" i="24"/>
  <c r="O362" i="24"/>
  <c r="O363" i="24"/>
  <c r="O364" i="24"/>
  <c r="O365" i="24"/>
  <c r="O366" i="24"/>
  <c r="O367" i="24"/>
  <c r="O368" i="24"/>
  <c r="O369" i="24"/>
  <c r="O370" i="24"/>
  <c r="O371" i="24"/>
  <c r="O372" i="24"/>
  <c r="O373" i="24"/>
  <c r="O374" i="24"/>
  <c r="O375" i="24"/>
  <c r="O376" i="24"/>
  <c r="O377" i="24"/>
  <c r="O378" i="24"/>
  <c r="O379" i="24"/>
  <c r="O380" i="24"/>
  <c r="O381" i="24"/>
  <c r="O382" i="24"/>
  <c r="O383" i="24"/>
  <c r="O384" i="24"/>
  <c r="O385" i="24"/>
  <c r="O386" i="24"/>
  <c r="O387" i="24"/>
  <c r="O388" i="24"/>
  <c r="O389" i="24"/>
  <c r="O390" i="24"/>
  <c r="O391" i="24"/>
  <c r="O392" i="24"/>
  <c r="O393" i="24"/>
  <c r="O394" i="24"/>
  <c r="O395" i="24"/>
  <c r="O396" i="24"/>
  <c r="O397" i="24"/>
  <c r="O398" i="24"/>
  <c r="O399" i="24"/>
  <c r="O400" i="24"/>
  <c r="O401" i="24"/>
  <c r="O402" i="24"/>
  <c r="O403" i="24"/>
  <c r="O404" i="24"/>
  <c r="O405" i="24"/>
  <c r="O406" i="24"/>
  <c r="O407" i="24"/>
  <c r="O408" i="24"/>
  <c r="O409" i="24"/>
  <c r="O410" i="24"/>
  <c r="O411" i="24"/>
  <c r="O412" i="24"/>
  <c r="O413" i="24"/>
  <c r="O414" i="24"/>
  <c r="O415" i="24"/>
  <c r="O416" i="24"/>
  <c r="O417" i="24"/>
  <c r="O418" i="24"/>
  <c r="O419" i="24"/>
  <c r="O420" i="24"/>
  <c r="O421" i="24"/>
  <c r="O422" i="24"/>
  <c r="O423" i="24"/>
  <c r="O424" i="24"/>
  <c r="O425" i="24"/>
  <c r="O426" i="24"/>
  <c r="O427" i="24"/>
  <c r="O428" i="24"/>
  <c r="O429" i="24"/>
  <c r="O430" i="24"/>
  <c r="O17" i="23"/>
  <c r="O18" i="23"/>
  <c r="O19" i="23"/>
  <c r="O20" i="23"/>
  <c r="O21" i="23"/>
  <c r="O22" i="23"/>
  <c r="O23" i="23"/>
  <c r="O24" i="23"/>
  <c r="O25" i="23"/>
  <c r="O26" i="23"/>
  <c r="O27" i="23"/>
  <c r="O28" i="23"/>
  <c r="O29" i="23"/>
  <c r="O30" i="23"/>
  <c r="O31" i="23"/>
  <c r="O32" i="23"/>
  <c r="O33" i="23"/>
  <c r="O34" i="23"/>
  <c r="O35" i="23"/>
  <c r="O36" i="23"/>
  <c r="O37" i="23"/>
  <c r="O38" i="23"/>
  <c r="O39" i="23"/>
  <c r="O40" i="23"/>
  <c r="O41" i="23"/>
  <c r="O42" i="23"/>
  <c r="O43" i="23"/>
  <c r="O44" i="23"/>
  <c r="O45" i="23"/>
  <c r="O46" i="23"/>
  <c r="O47" i="23"/>
  <c r="O48" i="23"/>
  <c r="O49" i="23"/>
  <c r="O50" i="23"/>
  <c r="O51" i="23"/>
  <c r="O52" i="23"/>
  <c r="O53" i="23"/>
  <c r="O54" i="23"/>
  <c r="O55" i="23"/>
  <c r="O56" i="23"/>
  <c r="O57" i="23"/>
  <c r="O58" i="23"/>
  <c r="O59" i="23"/>
  <c r="O60" i="23"/>
  <c r="O61" i="23"/>
  <c r="O62" i="23"/>
  <c r="O63" i="23"/>
  <c r="O64" i="23"/>
  <c r="O65" i="23"/>
  <c r="O66" i="23"/>
  <c r="O67" i="23"/>
  <c r="O68" i="23"/>
  <c r="O69" i="23"/>
  <c r="O70" i="23"/>
  <c r="O71" i="23"/>
  <c r="O72" i="23"/>
  <c r="O73" i="23"/>
  <c r="O74" i="23"/>
  <c r="O75" i="23"/>
  <c r="O76" i="23"/>
  <c r="O77" i="23"/>
  <c r="O78" i="23"/>
  <c r="O79" i="23"/>
  <c r="O80" i="23"/>
  <c r="O81" i="23"/>
  <c r="O82" i="23"/>
  <c r="O83" i="23"/>
  <c r="O84" i="23"/>
  <c r="O85" i="23"/>
  <c r="O86" i="23"/>
  <c r="O87" i="23"/>
  <c r="O88" i="23"/>
  <c r="O89" i="23"/>
  <c r="O90" i="23"/>
  <c r="O91" i="23"/>
  <c r="O92" i="23"/>
  <c r="O93" i="23"/>
  <c r="O94" i="23"/>
  <c r="O95" i="23"/>
  <c r="O96" i="23"/>
  <c r="O97" i="23"/>
  <c r="O98" i="23"/>
  <c r="O99" i="23"/>
  <c r="O100" i="23"/>
  <c r="O101" i="23"/>
  <c r="O102" i="23"/>
  <c r="O103" i="23"/>
  <c r="O104" i="23"/>
  <c r="O105" i="23"/>
  <c r="O106" i="23"/>
  <c r="O107" i="23"/>
  <c r="O108" i="23"/>
  <c r="O109" i="23"/>
  <c r="O110" i="23"/>
  <c r="O111" i="23"/>
  <c r="O112" i="23"/>
  <c r="O113" i="23"/>
  <c r="O114" i="23"/>
  <c r="O115" i="23"/>
  <c r="O116" i="23"/>
  <c r="O117" i="23"/>
  <c r="O118" i="23"/>
  <c r="O119" i="23"/>
  <c r="O120" i="23"/>
  <c r="O121" i="23"/>
  <c r="O122" i="23"/>
  <c r="O123" i="23"/>
  <c r="O124" i="23"/>
  <c r="O125" i="23"/>
  <c r="O126" i="23"/>
  <c r="O127" i="23"/>
  <c r="O128" i="23"/>
  <c r="O129" i="23"/>
  <c r="O130" i="23"/>
  <c r="O131" i="23"/>
  <c r="O132" i="23"/>
  <c r="O133" i="23"/>
  <c r="O134" i="23"/>
  <c r="O135" i="23"/>
  <c r="O136" i="23"/>
  <c r="O137" i="23"/>
  <c r="O138" i="23"/>
  <c r="O139" i="23"/>
  <c r="O140" i="23"/>
  <c r="O141" i="23"/>
  <c r="O142" i="23"/>
  <c r="O143" i="23"/>
  <c r="O144" i="23"/>
  <c r="O145" i="23"/>
  <c r="O146" i="23"/>
  <c r="O147" i="23"/>
  <c r="O148" i="23"/>
  <c r="O149" i="23"/>
  <c r="O150" i="23"/>
  <c r="O151" i="23"/>
  <c r="O152" i="23"/>
  <c r="O153" i="23"/>
  <c r="O154" i="23"/>
  <c r="O155" i="23"/>
  <c r="O156" i="23"/>
  <c r="O157" i="23"/>
  <c r="O158" i="23"/>
  <c r="O159" i="23"/>
  <c r="O160" i="23"/>
  <c r="O161" i="23"/>
  <c r="O162" i="23"/>
  <c r="O163" i="23"/>
  <c r="O164" i="23"/>
  <c r="O165" i="23"/>
  <c r="O166" i="23"/>
  <c r="O167" i="23"/>
  <c r="O168" i="23"/>
  <c r="O169" i="23"/>
  <c r="O170" i="23"/>
  <c r="O171" i="23"/>
  <c r="O172" i="23"/>
  <c r="O173" i="23"/>
  <c r="O174" i="23"/>
  <c r="O175" i="23"/>
  <c r="O176" i="23"/>
  <c r="O177" i="23"/>
  <c r="O178" i="23"/>
  <c r="O179" i="23"/>
  <c r="O180" i="23"/>
  <c r="O181" i="23"/>
  <c r="O182" i="23"/>
  <c r="O183" i="23"/>
  <c r="O184" i="23"/>
  <c r="O185" i="23"/>
  <c r="O186" i="23"/>
  <c r="O187" i="23"/>
  <c r="O188" i="23"/>
  <c r="O189" i="23"/>
  <c r="O190" i="23"/>
  <c r="O191" i="23"/>
  <c r="O192" i="23"/>
  <c r="O193" i="23"/>
  <c r="O194" i="23"/>
  <c r="O195" i="23"/>
  <c r="O196" i="23"/>
  <c r="O197" i="23"/>
  <c r="O198" i="23"/>
  <c r="O199" i="23"/>
  <c r="O200" i="23"/>
  <c r="O201" i="23"/>
  <c r="O202" i="23"/>
  <c r="O203" i="23"/>
  <c r="O204" i="23"/>
  <c r="O205" i="23"/>
  <c r="O206" i="23"/>
  <c r="O207" i="23"/>
  <c r="O208" i="23"/>
  <c r="O209" i="23"/>
  <c r="O210" i="23"/>
  <c r="O211" i="23"/>
  <c r="O212" i="23"/>
  <c r="O213" i="23"/>
  <c r="O214" i="23"/>
  <c r="O215" i="23"/>
  <c r="O216" i="23"/>
  <c r="O217" i="23"/>
  <c r="O218" i="23"/>
  <c r="O219" i="23"/>
  <c r="O220" i="23"/>
  <c r="O221" i="23"/>
  <c r="O222" i="23"/>
  <c r="O223" i="23"/>
  <c r="O224" i="23"/>
  <c r="O225" i="23"/>
  <c r="O226" i="23"/>
  <c r="O227" i="23"/>
  <c r="O228" i="23"/>
  <c r="O229" i="23"/>
  <c r="O230" i="23"/>
  <c r="O231" i="23"/>
  <c r="O232" i="23"/>
  <c r="O233" i="23"/>
  <c r="O234" i="23"/>
  <c r="O235" i="23"/>
  <c r="O236" i="23"/>
  <c r="O237" i="23"/>
  <c r="O238" i="23"/>
  <c r="O239" i="23"/>
  <c r="O240" i="23"/>
  <c r="O241" i="23"/>
  <c r="O242" i="23"/>
  <c r="O243" i="23"/>
  <c r="O244" i="23"/>
  <c r="O245" i="23"/>
  <c r="O246" i="23"/>
  <c r="O247" i="23"/>
  <c r="O248" i="23"/>
  <c r="O249" i="23"/>
  <c r="O250" i="23"/>
  <c r="O251" i="23"/>
  <c r="O252" i="23"/>
  <c r="O253" i="23"/>
  <c r="O254" i="23"/>
  <c r="O255" i="23"/>
  <c r="O256" i="23"/>
  <c r="O257" i="23"/>
  <c r="O258" i="23"/>
  <c r="O259" i="23"/>
  <c r="O260" i="23"/>
  <c r="O261" i="23"/>
  <c r="O262" i="23"/>
  <c r="O263" i="23"/>
  <c r="O264" i="23"/>
  <c r="O265" i="23"/>
  <c r="O266" i="23"/>
  <c r="O267" i="23"/>
  <c r="O268" i="23"/>
  <c r="O269" i="23"/>
  <c r="O270" i="23"/>
  <c r="O271" i="23"/>
  <c r="O272" i="23"/>
  <c r="O273" i="23"/>
  <c r="O274" i="23"/>
  <c r="O275" i="23"/>
  <c r="O276" i="23"/>
  <c r="O277" i="23"/>
  <c r="O278" i="23"/>
  <c r="O279" i="23"/>
  <c r="O280" i="23"/>
  <c r="O281" i="23"/>
  <c r="O282" i="23"/>
  <c r="O283" i="23"/>
  <c r="O284" i="23"/>
  <c r="O285" i="23"/>
  <c r="O286" i="23"/>
  <c r="O287" i="23"/>
  <c r="O288" i="23"/>
  <c r="O289" i="23"/>
  <c r="O290" i="23"/>
  <c r="O291" i="23"/>
  <c r="O292" i="23"/>
  <c r="O293" i="23"/>
  <c r="O294" i="23"/>
  <c r="O295" i="23"/>
  <c r="O296" i="23"/>
  <c r="O297" i="23"/>
  <c r="O298" i="23"/>
  <c r="O299" i="23"/>
  <c r="O300" i="23"/>
  <c r="O301" i="23"/>
  <c r="O302" i="23"/>
  <c r="O303" i="23"/>
  <c r="O304" i="23"/>
  <c r="O305" i="23"/>
  <c r="O306" i="23"/>
  <c r="O307" i="23"/>
  <c r="O308" i="23"/>
  <c r="O309" i="23"/>
  <c r="O310" i="23"/>
  <c r="O311" i="23"/>
  <c r="O312" i="23"/>
  <c r="O313" i="23"/>
  <c r="O314" i="23"/>
  <c r="O315" i="23"/>
  <c r="O316" i="23"/>
  <c r="O317" i="23"/>
  <c r="O318" i="23"/>
  <c r="O319" i="23"/>
  <c r="O320" i="23"/>
  <c r="O321" i="23"/>
  <c r="O322" i="23"/>
  <c r="O323" i="23"/>
  <c r="O324" i="23"/>
  <c r="O325" i="23"/>
  <c r="O326" i="23"/>
  <c r="O327" i="23"/>
  <c r="O328" i="23"/>
  <c r="O329" i="23"/>
  <c r="O330" i="23"/>
  <c r="O331" i="23"/>
  <c r="O332" i="23"/>
  <c r="O333" i="23"/>
  <c r="O334" i="23"/>
  <c r="O335" i="23"/>
  <c r="O336" i="23"/>
  <c r="O337" i="23"/>
  <c r="O338" i="23"/>
  <c r="O339" i="23"/>
  <c r="O340" i="23"/>
  <c r="O341" i="23"/>
  <c r="O342" i="23"/>
  <c r="O343" i="23"/>
  <c r="O344" i="23"/>
  <c r="O345" i="23"/>
  <c r="O346" i="23"/>
  <c r="O347" i="23"/>
  <c r="O348" i="23"/>
  <c r="O349" i="23"/>
  <c r="O350" i="23"/>
  <c r="O351" i="23"/>
  <c r="O352" i="23"/>
  <c r="O353" i="23"/>
  <c r="O354" i="23"/>
  <c r="O355" i="23"/>
  <c r="O356" i="23"/>
  <c r="O357" i="23"/>
  <c r="O358" i="23"/>
  <c r="O359" i="23"/>
  <c r="O360" i="23"/>
  <c r="O361" i="23"/>
  <c r="O362" i="23"/>
  <c r="O363" i="23"/>
  <c r="O364" i="23"/>
  <c r="O365" i="23"/>
  <c r="O366" i="23"/>
  <c r="O367" i="23"/>
  <c r="O368" i="23"/>
  <c r="O369" i="23"/>
  <c r="O370" i="23"/>
  <c r="O371" i="23"/>
  <c r="O372" i="23"/>
  <c r="O373" i="23"/>
  <c r="O374" i="23"/>
  <c r="O375" i="23"/>
  <c r="O376" i="23"/>
  <c r="O377" i="23"/>
  <c r="O378" i="23"/>
  <c r="O379" i="23"/>
  <c r="O380" i="23"/>
  <c r="O381" i="23"/>
  <c r="O382" i="23"/>
  <c r="O383" i="23"/>
  <c r="O384" i="23"/>
  <c r="O385" i="23"/>
  <c r="O386" i="23"/>
  <c r="O387" i="23"/>
  <c r="O388" i="23"/>
  <c r="O389" i="23"/>
  <c r="O390" i="23"/>
  <c r="O391" i="23"/>
  <c r="O392" i="23"/>
  <c r="O393" i="23"/>
  <c r="O394" i="23"/>
  <c r="O395" i="23"/>
  <c r="O396" i="23"/>
  <c r="O397" i="23"/>
  <c r="O398" i="23"/>
  <c r="O399" i="23"/>
  <c r="O400" i="23"/>
  <c r="O401" i="23"/>
  <c r="O402" i="23"/>
  <c r="O403" i="23"/>
  <c r="O404" i="23"/>
  <c r="O405" i="23"/>
  <c r="O406" i="23"/>
  <c r="O407" i="23"/>
  <c r="O408" i="23"/>
  <c r="O409" i="23"/>
  <c r="O410" i="23"/>
  <c r="O411" i="23"/>
  <c r="O412" i="23"/>
  <c r="O413" i="23"/>
  <c r="O414" i="23"/>
  <c r="O415" i="23"/>
  <c r="O416" i="23"/>
  <c r="O417" i="23"/>
  <c r="O418" i="23"/>
  <c r="O419" i="23"/>
  <c r="O420" i="23"/>
  <c r="O421" i="23"/>
  <c r="O422" i="23"/>
  <c r="O423" i="23"/>
  <c r="O424" i="23"/>
  <c r="O425" i="23"/>
  <c r="O426" i="23"/>
  <c r="O427" i="23"/>
  <c r="O428" i="23"/>
  <c r="O429" i="23"/>
  <c r="O430" i="23"/>
  <c r="O17" i="21"/>
  <c r="O18" i="21"/>
  <c r="O19" i="21"/>
  <c r="O20" i="21"/>
  <c r="O21" i="21"/>
  <c r="O22" i="21"/>
  <c r="O23" i="21"/>
  <c r="O24" i="21"/>
  <c r="O25" i="21"/>
  <c r="O26" i="21"/>
  <c r="O27" i="21"/>
  <c r="O28" i="21"/>
  <c r="O29" i="21"/>
  <c r="O30" i="21"/>
  <c r="O31" i="21"/>
  <c r="O32" i="21"/>
  <c r="O33" i="21"/>
  <c r="O34" i="21"/>
  <c r="O35" i="21"/>
  <c r="O36" i="21"/>
  <c r="O37" i="21"/>
  <c r="O38" i="21"/>
  <c r="O39" i="21"/>
  <c r="O40" i="21"/>
  <c r="O41" i="21"/>
  <c r="O42" i="21"/>
  <c r="O43" i="21"/>
  <c r="O44" i="21"/>
  <c r="O45" i="21"/>
  <c r="O46" i="21"/>
  <c r="O47" i="21"/>
  <c r="O48" i="21"/>
  <c r="O49" i="21"/>
  <c r="O50" i="21"/>
  <c r="O51" i="21"/>
  <c r="O52" i="21"/>
  <c r="O53" i="21"/>
  <c r="O54" i="21"/>
  <c r="O55" i="21"/>
  <c r="O56" i="21"/>
  <c r="O57" i="21"/>
  <c r="O58" i="21"/>
  <c r="O59" i="21"/>
  <c r="O60" i="21"/>
  <c r="O61" i="21"/>
  <c r="O62" i="21"/>
  <c r="O63" i="21"/>
  <c r="O64" i="21"/>
  <c r="O65" i="21"/>
  <c r="O66" i="21"/>
  <c r="O67" i="21"/>
  <c r="O68" i="21"/>
  <c r="O69" i="21"/>
  <c r="O70" i="21"/>
  <c r="O71" i="21"/>
  <c r="O72" i="21"/>
  <c r="O73" i="21"/>
  <c r="O74" i="21"/>
  <c r="O75" i="21"/>
  <c r="O76" i="21"/>
  <c r="O77" i="21"/>
  <c r="O78" i="21"/>
  <c r="O79" i="21"/>
  <c r="O80" i="21"/>
  <c r="O81" i="21"/>
  <c r="O82" i="21"/>
  <c r="O83" i="21"/>
  <c r="O84" i="21"/>
  <c r="O85" i="21"/>
  <c r="O86" i="21"/>
  <c r="O87" i="21"/>
  <c r="O88" i="21"/>
  <c r="O89" i="21"/>
  <c r="O90" i="21"/>
  <c r="O91" i="21"/>
  <c r="O92" i="21"/>
  <c r="O93" i="21"/>
  <c r="O94" i="21"/>
  <c r="O95" i="21"/>
  <c r="O96" i="21"/>
  <c r="O97" i="21"/>
  <c r="O98" i="21"/>
  <c r="O99" i="21"/>
  <c r="O100" i="21"/>
  <c r="O101" i="21"/>
  <c r="O102" i="21"/>
  <c r="O103" i="21"/>
  <c r="O104" i="21"/>
  <c r="O105" i="21"/>
  <c r="O106" i="21"/>
  <c r="O107" i="21"/>
  <c r="O108" i="21"/>
  <c r="O109" i="21"/>
  <c r="O110" i="21"/>
  <c r="O111" i="21"/>
  <c r="O112" i="21"/>
  <c r="O113" i="21"/>
  <c r="O114" i="21"/>
  <c r="O115" i="21"/>
  <c r="O116" i="21"/>
  <c r="O117" i="21"/>
  <c r="O118" i="21"/>
  <c r="O119" i="21"/>
  <c r="O120" i="21"/>
  <c r="O121" i="21"/>
  <c r="O122" i="21"/>
  <c r="O123" i="21"/>
  <c r="O124" i="21"/>
  <c r="O125" i="21"/>
  <c r="O126" i="21"/>
  <c r="O127" i="21"/>
  <c r="O128" i="21"/>
  <c r="O129" i="21"/>
  <c r="O130" i="21"/>
  <c r="O131" i="21"/>
  <c r="O132" i="21"/>
  <c r="O133" i="21"/>
  <c r="O134" i="21"/>
  <c r="O135" i="21"/>
  <c r="O136" i="21"/>
  <c r="O137" i="21"/>
  <c r="O138" i="21"/>
  <c r="O139" i="21"/>
  <c r="O140" i="21"/>
  <c r="O141" i="21"/>
  <c r="O142" i="21"/>
  <c r="O143" i="21"/>
  <c r="O144" i="21"/>
  <c r="O145" i="21"/>
  <c r="O146" i="21"/>
  <c r="O147" i="21"/>
  <c r="O148" i="21"/>
  <c r="O149" i="21"/>
  <c r="O150" i="21"/>
  <c r="O151" i="21"/>
  <c r="O152" i="21"/>
  <c r="O153" i="21"/>
  <c r="O154" i="21"/>
  <c r="O155" i="21"/>
  <c r="O156" i="21"/>
  <c r="O157" i="21"/>
  <c r="O158" i="21"/>
  <c r="O159" i="21"/>
  <c r="O160" i="21"/>
  <c r="O161" i="21"/>
  <c r="O162" i="21"/>
  <c r="O163" i="21"/>
  <c r="O164" i="21"/>
  <c r="O165" i="21"/>
  <c r="O166" i="21"/>
  <c r="O167" i="21"/>
  <c r="O168" i="21"/>
  <c r="O169" i="21"/>
  <c r="O170" i="21"/>
  <c r="O171" i="21"/>
  <c r="O172" i="21"/>
  <c r="O173" i="21"/>
  <c r="O174" i="21"/>
  <c r="O175" i="21"/>
  <c r="O176" i="21"/>
  <c r="O177" i="21"/>
  <c r="O178" i="21"/>
  <c r="O179" i="21"/>
  <c r="O180" i="21"/>
  <c r="O181" i="21"/>
  <c r="O182" i="21"/>
  <c r="O183" i="21"/>
  <c r="O184" i="21"/>
  <c r="O185" i="21"/>
  <c r="O186" i="21"/>
  <c r="O187" i="21"/>
  <c r="O188" i="21"/>
  <c r="O189" i="21"/>
  <c r="O190" i="21"/>
  <c r="O191" i="21"/>
  <c r="O192" i="21"/>
  <c r="O193" i="21"/>
  <c r="O194" i="21"/>
  <c r="O195" i="21"/>
  <c r="O196" i="21"/>
  <c r="O197" i="21"/>
  <c r="O198" i="21"/>
  <c r="O199" i="21"/>
  <c r="O200" i="21"/>
  <c r="O201" i="21"/>
  <c r="O202" i="21"/>
  <c r="O203" i="21"/>
  <c r="O204" i="21"/>
  <c r="O205" i="21"/>
  <c r="O206" i="21"/>
  <c r="O207" i="21"/>
  <c r="O208" i="21"/>
  <c r="O209" i="21"/>
  <c r="O210" i="21"/>
  <c r="O211" i="21"/>
  <c r="O212" i="21"/>
  <c r="O213" i="21"/>
  <c r="O214" i="21"/>
  <c r="O215" i="21"/>
  <c r="O216" i="21"/>
  <c r="O217" i="21"/>
  <c r="O218" i="21"/>
  <c r="O219" i="21"/>
  <c r="O220" i="21"/>
  <c r="O221" i="21"/>
  <c r="O222" i="21"/>
  <c r="O223" i="21"/>
  <c r="O224" i="21"/>
  <c r="O225" i="21"/>
  <c r="O226" i="21"/>
  <c r="O227" i="21"/>
  <c r="O228" i="21"/>
  <c r="O229" i="21"/>
  <c r="O230" i="21"/>
  <c r="O231" i="21"/>
  <c r="O232" i="21"/>
  <c r="O233" i="21"/>
  <c r="O234" i="21"/>
  <c r="O235" i="21"/>
  <c r="O236" i="21"/>
  <c r="O237" i="21"/>
  <c r="O238" i="21"/>
  <c r="O239" i="21"/>
  <c r="O240" i="21"/>
  <c r="O241" i="21"/>
  <c r="O242" i="21"/>
  <c r="O243" i="21"/>
  <c r="O244" i="21"/>
  <c r="O245" i="21"/>
  <c r="O246" i="21"/>
  <c r="O247" i="21"/>
  <c r="O248" i="21"/>
  <c r="O249" i="21"/>
  <c r="O250" i="21"/>
  <c r="O251" i="21"/>
  <c r="O252" i="21"/>
  <c r="O253" i="21"/>
  <c r="O254" i="21"/>
  <c r="O255" i="21"/>
  <c r="O256" i="21"/>
  <c r="O257" i="21"/>
  <c r="O258" i="21"/>
  <c r="O259" i="21"/>
  <c r="O260" i="21"/>
  <c r="O261" i="21"/>
  <c r="O262" i="21"/>
  <c r="O263" i="21"/>
  <c r="O264" i="21"/>
  <c r="O265" i="21"/>
  <c r="O266" i="21"/>
  <c r="O267" i="21"/>
  <c r="O268" i="21"/>
  <c r="O269" i="21"/>
  <c r="O270" i="21"/>
  <c r="O271" i="21"/>
  <c r="O272" i="21"/>
  <c r="O273" i="21"/>
  <c r="O274" i="21"/>
  <c r="O275" i="21"/>
  <c r="O276" i="21"/>
  <c r="O277" i="21"/>
  <c r="O278" i="21"/>
  <c r="O279" i="21"/>
  <c r="O280" i="21"/>
  <c r="O281" i="21"/>
  <c r="O282" i="21"/>
  <c r="O283" i="21"/>
  <c r="O284" i="21"/>
  <c r="O285" i="21"/>
  <c r="O286" i="21"/>
  <c r="O287" i="21"/>
  <c r="O288" i="21"/>
  <c r="O289" i="21"/>
  <c r="O290" i="21"/>
  <c r="O291" i="21"/>
  <c r="O292" i="21"/>
  <c r="O293" i="21"/>
  <c r="O294" i="21"/>
  <c r="O295" i="21"/>
  <c r="O296" i="21"/>
  <c r="O297" i="21"/>
  <c r="O298" i="21"/>
  <c r="O299" i="21"/>
  <c r="O300" i="21"/>
  <c r="O301" i="21"/>
  <c r="O302" i="21"/>
  <c r="O303" i="21"/>
  <c r="O304" i="21"/>
  <c r="O305" i="21"/>
  <c r="O306" i="21"/>
  <c r="O307" i="21"/>
  <c r="O308" i="21"/>
  <c r="O309" i="21"/>
  <c r="O310" i="21"/>
  <c r="O311" i="21"/>
  <c r="O312" i="21"/>
  <c r="O313" i="21"/>
  <c r="O314" i="21"/>
  <c r="O315" i="21"/>
  <c r="O316" i="21"/>
  <c r="O317" i="21"/>
  <c r="O318" i="21"/>
  <c r="O319" i="21"/>
  <c r="O320" i="21"/>
  <c r="O321" i="21"/>
  <c r="O322" i="21"/>
  <c r="O323" i="21"/>
  <c r="O324" i="21"/>
  <c r="O325" i="21"/>
  <c r="O326" i="21"/>
  <c r="O327" i="21"/>
  <c r="O328" i="21"/>
  <c r="O329" i="21"/>
  <c r="O330" i="21"/>
  <c r="O331" i="21"/>
  <c r="O332" i="21"/>
  <c r="O333" i="21"/>
  <c r="O334" i="21"/>
  <c r="O335" i="21"/>
  <c r="O336" i="21"/>
  <c r="O337" i="21"/>
  <c r="O338" i="21"/>
  <c r="O339" i="21"/>
  <c r="O340" i="21"/>
  <c r="O341" i="21"/>
  <c r="O342" i="21"/>
  <c r="O343" i="21"/>
  <c r="O344" i="21"/>
  <c r="O345" i="21"/>
  <c r="O346" i="21"/>
  <c r="O347" i="21"/>
  <c r="O348" i="21"/>
  <c r="O349" i="21"/>
  <c r="O350" i="21"/>
  <c r="O351" i="21"/>
  <c r="O352" i="21"/>
  <c r="O353" i="21"/>
  <c r="O354" i="21"/>
  <c r="O355" i="21"/>
  <c r="O356" i="21"/>
  <c r="O357" i="21"/>
  <c r="O358" i="21"/>
  <c r="O359" i="21"/>
  <c r="O360" i="21"/>
  <c r="O361" i="21"/>
  <c r="O362" i="21"/>
  <c r="O363" i="21"/>
  <c r="O364" i="21"/>
  <c r="O365" i="21"/>
  <c r="O366" i="21"/>
  <c r="O367" i="21"/>
  <c r="O368" i="21"/>
  <c r="O369" i="21"/>
  <c r="O370" i="21"/>
  <c r="O371" i="21"/>
  <c r="O372" i="21"/>
  <c r="O373" i="21"/>
  <c r="O374" i="21"/>
  <c r="O375" i="21"/>
  <c r="O376" i="21"/>
  <c r="O377" i="21"/>
  <c r="O378" i="21"/>
  <c r="O379" i="21"/>
  <c r="O380" i="21"/>
  <c r="O381" i="21"/>
  <c r="O382" i="21"/>
  <c r="O383" i="21"/>
  <c r="O384" i="21"/>
  <c r="O385" i="21"/>
  <c r="O386" i="21"/>
  <c r="O387" i="21"/>
  <c r="O388" i="21"/>
  <c r="O389" i="21"/>
  <c r="O390" i="21"/>
  <c r="O391" i="21"/>
  <c r="O392" i="21"/>
  <c r="O393" i="21"/>
  <c r="O394" i="21"/>
  <c r="O395" i="21"/>
  <c r="O396" i="21"/>
  <c r="O397" i="21"/>
  <c r="O398" i="21"/>
  <c r="O399" i="21"/>
  <c r="O400" i="21"/>
  <c r="O401" i="21"/>
  <c r="O402" i="21"/>
  <c r="O403" i="21"/>
  <c r="O404" i="21"/>
  <c r="O405" i="21"/>
  <c r="O406" i="21"/>
  <c r="O407" i="21"/>
  <c r="O408" i="21"/>
  <c r="O409" i="21"/>
  <c r="O410" i="21"/>
  <c r="O411" i="21"/>
  <c r="O412" i="21"/>
  <c r="O413" i="21"/>
  <c r="O414" i="21"/>
  <c r="O415" i="21"/>
  <c r="O416" i="21"/>
  <c r="O417" i="21"/>
  <c r="O418" i="21"/>
  <c r="O419" i="21"/>
  <c r="O420" i="21"/>
  <c r="O421" i="21"/>
  <c r="O422" i="21"/>
  <c r="O423" i="21"/>
  <c r="O424" i="21"/>
  <c r="O425" i="21"/>
  <c r="O426" i="21"/>
  <c r="O427" i="21"/>
  <c r="O428" i="21"/>
  <c r="O429" i="21"/>
  <c r="O430" i="21"/>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6" i="20"/>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R261" i="19"/>
  <c r="R262" i="19"/>
  <c r="R263" i="19"/>
  <c r="R264" i="19"/>
  <c r="R265" i="19"/>
  <c r="R266" i="19"/>
  <c r="R267" i="19"/>
  <c r="R268" i="19"/>
  <c r="R269" i="19"/>
  <c r="R270" i="19"/>
  <c r="R271" i="19"/>
  <c r="R272" i="19"/>
  <c r="R273" i="19"/>
  <c r="R274" i="19"/>
  <c r="R275" i="19"/>
  <c r="R276" i="19"/>
  <c r="R277" i="19"/>
  <c r="R278" i="19"/>
  <c r="R279" i="19"/>
  <c r="R280" i="19"/>
  <c r="R281" i="19"/>
  <c r="R282" i="19"/>
  <c r="R283" i="19"/>
  <c r="R284" i="19"/>
  <c r="R285" i="19"/>
  <c r="R286" i="19"/>
  <c r="R287" i="19"/>
  <c r="R288" i="19"/>
  <c r="R289" i="19"/>
  <c r="R290" i="19"/>
  <c r="R291" i="19"/>
  <c r="R292" i="19"/>
  <c r="R293" i="19"/>
  <c r="R294" i="19"/>
  <c r="R295" i="19"/>
  <c r="R296" i="19"/>
  <c r="R297" i="19"/>
  <c r="R298" i="19"/>
  <c r="R299" i="19"/>
  <c r="R300" i="19"/>
  <c r="R301" i="19"/>
  <c r="R302" i="19"/>
  <c r="R303" i="19"/>
  <c r="R304" i="19"/>
  <c r="R305" i="19"/>
  <c r="R306" i="19"/>
  <c r="R307" i="19"/>
  <c r="R308" i="19"/>
  <c r="R309" i="19"/>
  <c r="R310" i="19"/>
  <c r="R311" i="19"/>
  <c r="R312" i="19"/>
  <c r="R313" i="19"/>
  <c r="R314" i="19"/>
  <c r="R315" i="19"/>
  <c r="R316" i="19"/>
  <c r="R317" i="19"/>
  <c r="R318" i="19"/>
  <c r="R319" i="19"/>
  <c r="R320" i="19"/>
  <c r="R321" i="19"/>
  <c r="R322" i="19"/>
  <c r="R323" i="19"/>
  <c r="R324" i="19"/>
  <c r="R325" i="19"/>
  <c r="R326" i="19"/>
  <c r="R327" i="19"/>
  <c r="R328" i="19"/>
  <c r="R329" i="19"/>
  <c r="R330" i="19"/>
  <c r="R331" i="19"/>
  <c r="R332" i="19"/>
  <c r="R333" i="19"/>
  <c r="R334" i="19"/>
  <c r="R335" i="19"/>
  <c r="R336" i="19"/>
  <c r="R337" i="19"/>
  <c r="R338" i="19"/>
  <c r="R339" i="19"/>
  <c r="R340" i="19"/>
  <c r="R341" i="19"/>
  <c r="R342" i="19"/>
  <c r="R343" i="19"/>
  <c r="R344" i="19"/>
  <c r="R345" i="19"/>
  <c r="R346" i="19"/>
  <c r="R347" i="19"/>
  <c r="R348" i="19"/>
  <c r="R349" i="19"/>
  <c r="R350" i="19"/>
  <c r="R351" i="19"/>
  <c r="R352" i="19"/>
  <c r="R353" i="19"/>
  <c r="R354" i="19"/>
  <c r="R355" i="19"/>
  <c r="R356" i="19"/>
  <c r="R357" i="19"/>
  <c r="R358" i="19"/>
  <c r="R359" i="19"/>
  <c r="R360" i="19"/>
  <c r="R361" i="19"/>
  <c r="R362" i="19"/>
  <c r="R363" i="19"/>
  <c r="R364" i="19"/>
  <c r="R365" i="19"/>
  <c r="R366" i="19"/>
  <c r="R367" i="19"/>
  <c r="R368" i="19"/>
  <c r="R369" i="19"/>
  <c r="R370" i="19"/>
  <c r="R371" i="19"/>
  <c r="R372" i="19"/>
  <c r="R373" i="19"/>
  <c r="R374" i="19"/>
  <c r="R375" i="19"/>
  <c r="R376" i="19"/>
  <c r="R377" i="19"/>
  <c r="R378" i="19"/>
  <c r="R379" i="19"/>
  <c r="R380" i="19"/>
  <c r="R381" i="19"/>
  <c r="R382" i="19"/>
  <c r="R383" i="19"/>
  <c r="R384" i="19"/>
  <c r="R385" i="19"/>
  <c r="R386" i="19"/>
  <c r="R387" i="19"/>
  <c r="R388" i="19"/>
  <c r="R389" i="19"/>
  <c r="R390" i="19"/>
  <c r="R391" i="19"/>
  <c r="R392" i="19"/>
  <c r="R393" i="19"/>
  <c r="R394" i="19"/>
  <c r="R395" i="19"/>
  <c r="R396" i="19"/>
  <c r="R397" i="19"/>
  <c r="R398" i="19"/>
  <c r="R399" i="19"/>
  <c r="R400" i="19"/>
  <c r="R401" i="19"/>
  <c r="R402" i="19"/>
  <c r="R403" i="19"/>
  <c r="R404" i="19"/>
  <c r="R405" i="19"/>
  <c r="R406" i="19"/>
  <c r="R407" i="19"/>
  <c r="R408" i="19"/>
  <c r="R409" i="19"/>
  <c r="R410" i="19"/>
  <c r="R411" i="19"/>
  <c r="R412" i="19"/>
  <c r="R413" i="19"/>
  <c r="R414" i="19"/>
  <c r="R415" i="19"/>
  <c r="R416" i="19"/>
  <c r="R417" i="19"/>
  <c r="R418" i="19"/>
  <c r="R419" i="19"/>
  <c r="R420" i="19"/>
  <c r="R421" i="19"/>
  <c r="R422" i="19"/>
  <c r="R423" i="19"/>
  <c r="R424" i="19"/>
  <c r="R425" i="19"/>
  <c r="R426" i="19"/>
  <c r="R427" i="19"/>
  <c r="R428" i="19"/>
  <c r="R429" i="19"/>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Q177" i="16"/>
  <c r="Q178" i="16"/>
  <c r="Q179" i="16"/>
  <c r="Q180" i="16"/>
  <c r="Q181" i="16"/>
  <c r="Q182" i="16"/>
  <c r="Q183" i="16"/>
  <c r="Q184" i="16"/>
  <c r="Q185" i="16"/>
  <c r="Q186" i="16"/>
  <c r="Q187" i="16"/>
  <c r="Q188" i="16"/>
  <c r="Q189" i="16"/>
  <c r="Q190" i="16"/>
  <c r="Q191" i="16"/>
  <c r="Q192" i="16"/>
  <c r="Q193" i="16"/>
  <c r="Q194" i="16"/>
  <c r="Q195" i="16"/>
  <c r="Q196" i="16"/>
  <c r="Q197" i="16"/>
  <c r="Q198" i="16"/>
  <c r="Q199" i="16"/>
  <c r="Q200" i="16"/>
  <c r="Q201" i="16"/>
  <c r="Q202" i="16"/>
  <c r="Q203" i="16"/>
  <c r="Q204" i="16"/>
  <c r="Q205" i="16"/>
  <c r="Q206" i="16"/>
  <c r="Q207" i="16"/>
  <c r="Q208" i="16"/>
  <c r="Q209" i="16"/>
  <c r="Q210" i="16"/>
  <c r="Q211" i="16"/>
  <c r="Q212" i="16"/>
  <c r="Q213" i="16"/>
  <c r="Q214" i="16"/>
  <c r="Q215" i="16"/>
  <c r="Q216" i="16"/>
  <c r="Q217" i="16"/>
  <c r="Q218" i="16"/>
  <c r="Q219" i="16"/>
  <c r="Q220" i="16"/>
  <c r="Q221" i="16"/>
  <c r="Q222" i="16"/>
  <c r="Q223" i="16"/>
  <c r="Q224" i="16"/>
  <c r="Q225" i="16"/>
  <c r="Q226" i="16"/>
  <c r="Q227" i="16"/>
  <c r="Q228" i="16"/>
  <c r="Q229" i="16"/>
  <c r="Q230" i="16"/>
  <c r="Q231" i="16"/>
  <c r="Q232" i="16"/>
  <c r="Q233" i="16"/>
  <c r="Q234" i="16"/>
  <c r="Q235" i="16"/>
  <c r="Q236" i="16"/>
  <c r="Q237" i="16"/>
  <c r="Q238" i="16"/>
  <c r="Q239" i="16"/>
  <c r="Q240" i="16"/>
  <c r="Q241" i="16"/>
  <c r="Q242" i="16"/>
  <c r="Q243" i="16"/>
  <c r="Q244" i="16"/>
  <c r="Q245" i="16"/>
  <c r="Q246" i="16"/>
  <c r="Q247" i="16"/>
  <c r="Q248" i="16"/>
  <c r="Q249" i="16"/>
  <c r="Q250" i="16"/>
  <c r="Q251" i="16"/>
  <c r="Q252" i="16"/>
  <c r="Q253" i="16"/>
  <c r="Q254" i="16"/>
  <c r="Q255" i="16"/>
  <c r="Q256" i="16"/>
  <c r="Q257" i="16"/>
  <c r="Q258" i="16"/>
  <c r="Q259" i="16"/>
  <c r="Q260" i="16"/>
  <c r="Q261" i="16"/>
  <c r="Q262" i="16"/>
  <c r="Q263" i="16"/>
  <c r="Q264" i="16"/>
  <c r="Q265" i="16"/>
  <c r="Q266" i="16"/>
  <c r="Q267" i="16"/>
  <c r="Q268" i="16"/>
  <c r="Q269" i="16"/>
  <c r="Q270" i="16"/>
  <c r="Q271" i="16"/>
  <c r="Q272" i="16"/>
  <c r="Q273" i="16"/>
  <c r="Q274" i="16"/>
  <c r="Q275" i="16"/>
  <c r="Q276" i="16"/>
  <c r="Q277" i="16"/>
  <c r="Q278" i="16"/>
  <c r="Q279" i="16"/>
  <c r="Q280" i="16"/>
  <c r="Q281" i="16"/>
  <c r="Q282" i="16"/>
  <c r="Q283" i="16"/>
  <c r="Q284" i="16"/>
  <c r="Q285" i="16"/>
  <c r="Q286" i="16"/>
  <c r="Q287" i="16"/>
  <c r="Q288" i="16"/>
  <c r="Q289" i="16"/>
  <c r="Q290" i="16"/>
  <c r="Q291" i="16"/>
  <c r="Q292" i="16"/>
  <c r="Q293" i="16"/>
  <c r="Q294" i="16"/>
  <c r="Q295" i="16"/>
  <c r="Q296" i="16"/>
  <c r="Q297" i="16"/>
  <c r="Q298" i="16"/>
  <c r="Q299" i="16"/>
  <c r="Q300" i="16"/>
  <c r="Q301" i="16"/>
  <c r="Q302" i="16"/>
  <c r="Q303" i="16"/>
  <c r="Q304" i="16"/>
  <c r="Q305" i="16"/>
  <c r="Q306" i="16"/>
  <c r="Q307" i="16"/>
  <c r="Q308" i="16"/>
  <c r="Q309" i="16"/>
  <c r="Q310" i="16"/>
  <c r="Q311" i="16"/>
  <c r="Q312" i="16"/>
  <c r="Q313" i="16"/>
  <c r="Q314" i="16"/>
  <c r="Q315" i="16"/>
  <c r="Q316" i="16"/>
  <c r="Q317" i="16"/>
  <c r="Q318" i="16"/>
  <c r="Q319" i="16"/>
  <c r="Q320" i="16"/>
  <c r="Q321" i="16"/>
  <c r="Q322" i="16"/>
  <c r="Q323" i="16"/>
  <c r="Q324" i="16"/>
  <c r="Q325" i="16"/>
  <c r="Q326" i="16"/>
  <c r="Q327" i="16"/>
  <c r="Q328" i="16"/>
  <c r="Q329" i="16"/>
  <c r="Q330" i="16"/>
  <c r="Q331" i="16"/>
  <c r="Q332" i="16"/>
  <c r="Q333" i="16"/>
  <c r="Q334" i="16"/>
  <c r="Q335" i="16"/>
  <c r="Q336" i="16"/>
  <c r="Q337" i="16"/>
  <c r="Q338" i="16"/>
  <c r="Q339" i="16"/>
  <c r="Q340" i="16"/>
  <c r="Q341" i="16"/>
  <c r="Q342" i="16"/>
  <c r="Q343" i="16"/>
  <c r="Q344" i="16"/>
  <c r="Q345" i="16"/>
  <c r="Q346" i="16"/>
  <c r="Q347" i="16"/>
  <c r="Q348" i="16"/>
  <c r="Q349" i="16"/>
  <c r="Q350" i="16"/>
  <c r="Q351" i="16"/>
  <c r="Q352" i="16"/>
  <c r="Q353" i="16"/>
  <c r="Q354" i="16"/>
  <c r="Q355" i="16"/>
  <c r="Q356" i="16"/>
  <c r="Q357" i="16"/>
  <c r="Q358" i="16"/>
  <c r="Q359" i="16"/>
  <c r="Q360" i="16"/>
  <c r="Q361" i="16"/>
  <c r="Q362" i="16"/>
  <c r="Q363" i="16"/>
  <c r="Q364" i="16"/>
  <c r="Q365" i="16"/>
  <c r="Q366" i="16"/>
  <c r="Q367" i="16"/>
  <c r="Q368" i="16"/>
  <c r="Q369" i="16"/>
  <c r="Q370" i="16"/>
  <c r="Q371" i="16"/>
  <c r="Q372" i="16"/>
  <c r="Q373" i="16"/>
  <c r="Q374" i="16"/>
  <c r="Q375" i="16"/>
  <c r="Q376" i="16"/>
  <c r="Q377" i="16"/>
  <c r="Q378" i="16"/>
  <c r="Q379" i="16"/>
  <c r="Q380" i="16"/>
  <c r="Q381" i="16"/>
  <c r="Q382" i="16"/>
  <c r="Q383" i="16"/>
  <c r="Q384" i="16"/>
  <c r="Q385" i="16"/>
  <c r="Q386" i="16"/>
  <c r="Q387" i="16"/>
  <c r="Q388" i="16"/>
  <c r="Q389" i="16"/>
  <c r="Q390" i="16"/>
  <c r="Q391" i="16"/>
  <c r="Q392" i="16"/>
  <c r="Q393" i="16"/>
  <c r="Q394" i="16"/>
  <c r="Q395" i="16"/>
  <c r="Q396" i="16"/>
  <c r="Q397" i="16"/>
  <c r="Q398" i="16"/>
  <c r="Q399" i="16"/>
  <c r="Q400" i="16"/>
  <c r="Q401" i="16"/>
  <c r="Q402" i="16"/>
  <c r="Q403" i="16"/>
  <c r="Q404" i="16"/>
  <c r="Q405" i="16"/>
  <c r="Q406" i="16"/>
  <c r="Q407" i="16"/>
  <c r="Q408" i="16"/>
  <c r="Q409" i="16"/>
  <c r="Q410" i="16"/>
  <c r="Q411" i="16"/>
  <c r="Q412" i="16"/>
  <c r="Q413" i="16"/>
  <c r="Q414" i="16"/>
  <c r="Q415" i="16"/>
  <c r="Q416" i="16"/>
  <c r="Q417" i="16"/>
  <c r="Q418" i="16"/>
  <c r="Q419" i="16"/>
  <c r="Q420" i="16"/>
  <c r="Q421" i="16"/>
  <c r="Q422" i="16"/>
  <c r="Q423" i="16"/>
  <c r="Q424" i="16"/>
  <c r="Q425" i="16"/>
  <c r="Q426" i="16"/>
  <c r="Q427" i="16"/>
  <c r="Q428" i="16"/>
  <c r="Q429" i="16"/>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38" i="24" l="1"/>
  <c r="N6" i="24"/>
  <c r="N45" i="23"/>
  <c r="N11" i="23"/>
  <c r="R11" i="23" s="1"/>
  <c r="K6" i="23"/>
  <c r="N87" i="22"/>
  <c r="N20" i="22"/>
  <c r="N6" i="22"/>
  <c r="R6" i="22" s="1"/>
  <c r="N43" i="21"/>
  <c r="N27" i="21"/>
  <c r="N6" i="21"/>
  <c r="R6" i="21" s="1"/>
  <c r="P37" i="16"/>
  <c r="P25" i="16"/>
  <c r="P6" i="16"/>
  <c r="X6" i="16" s="1"/>
  <c r="K7" i="22"/>
  <c r="K8" i="22"/>
  <c r="Q8" i="22" s="1"/>
  <c r="K9" i="22"/>
  <c r="K10" i="22"/>
  <c r="K11" i="22"/>
  <c r="K12" i="22"/>
  <c r="Q12" i="22" s="1"/>
  <c r="K13" i="22"/>
  <c r="Q13" i="22" s="1"/>
  <c r="K14" i="22"/>
  <c r="Q14" i="22" s="1"/>
  <c r="K15" i="22"/>
  <c r="K16" i="22"/>
  <c r="Q16" i="22" s="1"/>
  <c r="K17" i="22"/>
  <c r="K18" i="22"/>
  <c r="K19" i="22"/>
  <c r="K20" i="22"/>
  <c r="K21" i="22"/>
  <c r="K22" i="22"/>
  <c r="K23" i="22"/>
  <c r="K24" i="22"/>
  <c r="K25" i="22"/>
  <c r="K26" i="22"/>
  <c r="K27" i="22"/>
  <c r="K28" i="22"/>
  <c r="K29" i="22"/>
  <c r="K30" i="22"/>
  <c r="K31" i="22"/>
  <c r="K32" i="22"/>
  <c r="K33" i="22"/>
  <c r="K34" i="22"/>
  <c r="K35" i="22"/>
  <c r="K36" i="22"/>
  <c r="K37" i="22"/>
  <c r="K38" i="22"/>
  <c r="K39" i="22"/>
  <c r="K40" i="22"/>
  <c r="K41" i="22"/>
  <c r="K42" i="22"/>
  <c r="K43" i="22"/>
  <c r="K44" i="22"/>
  <c r="K45" i="22"/>
  <c r="K46" i="22"/>
  <c r="K47" i="22"/>
  <c r="K48" i="22"/>
  <c r="K49" i="22"/>
  <c r="K50" i="22"/>
  <c r="K51" i="22"/>
  <c r="K52" i="22"/>
  <c r="K53" i="22"/>
  <c r="K54" i="22"/>
  <c r="K55" i="22"/>
  <c r="K56" i="22"/>
  <c r="K57" i="22"/>
  <c r="K58" i="22"/>
  <c r="K59" i="22"/>
  <c r="K60" i="22"/>
  <c r="K61" i="22"/>
  <c r="K62" i="22"/>
  <c r="K63" i="22"/>
  <c r="K64" i="22"/>
  <c r="K65" i="22"/>
  <c r="K66" i="22"/>
  <c r="K67" i="22"/>
  <c r="K68" i="22"/>
  <c r="K69" i="22"/>
  <c r="K70" i="22"/>
  <c r="K71" i="22"/>
  <c r="K72" i="22"/>
  <c r="K73" i="22"/>
  <c r="K74" i="22"/>
  <c r="K75" i="22"/>
  <c r="K76" i="22"/>
  <c r="K77" i="22"/>
  <c r="K78" i="22"/>
  <c r="K79" i="22"/>
  <c r="K80" i="22"/>
  <c r="K81" i="22"/>
  <c r="K82" i="22"/>
  <c r="K83" i="22"/>
  <c r="K84" i="22"/>
  <c r="K85" i="22"/>
  <c r="K86" i="22"/>
  <c r="K87" i="22"/>
  <c r="K88" i="22"/>
  <c r="K89" i="22"/>
  <c r="K90" i="22"/>
  <c r="K91" i="22"/>
  <c r="K92" i="22"/>
  <c r="K93" i="22"/>
  <c r="K94" i="22"/>
  <c r="K95" i="22"/>
  <c r="K96" i="22"/>
  <c r="K97" i="22"/>
  <c r="K98" i="22"/>
  <c r="K99" i="22"/>
  <c r="K100" i="22"/>
  <c r="K101" i="22"/>
  <c r="K102" i="22"/>
  <c r="K103" i="22"/>
  <c r="K104" i="22"/>
  <c r="K105" i="22"/>
  <c r="K106" i="22"/>
  <c r="K107" i="22"/>
  <c r="K108" i="22"/>
  <c r="K109" i="22"/>
  <c r="K110" i="22"/>
  <c r="K111" i="22"/>
  <c r="K112" i="22"/>
  <c r="K113" i="22"/>
  <c r="K114" i="22"/>
  <c r="K115" i="22"/>
  <c r="K116" i="22"/>
  <c r="K117" i="22"/>
  <c r="K118" i="22"/>
  <c r="K119" i="22"/>
  <c r="K120" i="22"/>
  <c r="K121"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6" i="22"/>
  <c r="K147" i="22"/>
  <c r="K148" i="22"/>
  <c r="K149" i="22"/>
  <c r="K150" i="22"/>
  <c r="K151" i="22"/>
  <c r="K152" i="22"/>
  <c r="K153" i="22"/>
  <c r="K154" i="22"/>
  <c r="K155" i="22"/>
  <c r="K156"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213" i="22"/>
  <c r="K214" i="22"/>
  <c r="K215" i="22"/>
  <c r="K216" i="22"/>
  <c r="K217" i="22"/>
  <c r="K218" i="22"/>
  <c r="K219" i="22"/>
  <c r="K220" i="22"/>
  <c r="K221" i="22"/>
  <c r="K222" i="22"/>
  <c r="K223" i="22"/>
  <c r="K224" i="22"/>
  <c r="K225" i="22"/>
  <c r="K226" i="22"/>
  <c r="K227" i="22"/>
  <c r="K228" i="22"/>
  <c r="K229" i="22"/>
  <c r="K230" i="22"/>
  <c r="K231" i="22"/>
  <c r="K232" i="22"/>
  <c r="K233" i="22"/>
  <c r="K234" i="22"/>
  <c r="K235" i="22"/>
  <c r="K236" i="22"/>
  <c r="K237" i="22"/>
  <c r="K238" i="22"/>
  <c r="K239" i="22"/>
  <c r="K240" i="22"/>
  <c r="K241" i="22"/>
  <c r="K242" i="22"/>
  <c r="K243" i="22"/>
  <c r="K244" i="22"/>
  <c r="K245" i="22"/>
  <c r="K246" i="22"/>
  <c r="K247" i="22"/>
  <c r="K248" i="22"/>
  <c r="K249" i="22"/>
  <c r="K250" i="22"/>
  <c r="K251" i="22"/>
  <c r="K252" i="22"/>
  <c r="K253" i="22"/>
  <c r="K254" i="22"/>
  <c r="K255" i="22"/>
  <c r="K256" i="22"/>
  <c r="K257" i="22"/>
  <c r="K258" i="22"/>
  <c r="K259" i="22"/>
  <c r="K260" i="22"/>
  <c r="K261" i="22"/>
  <c r="K262" i="22"/>
  <c r="K263" i="22"/>
  <c r="K264" i="22"/>
  <c r="K265" i="22"/>
  <c r="K266" i="22"/>
  <c r="K267" i="22"/>
  <c r="K268" i="22"/>
  <c r="K269" i="22"/>
  <c r="K270" i="22"/>
  <c r="K271" i="22"/>
  <c r="K272" i="22"/>
  <c r="K273" i="22"/>
  <c r="K274" i="22"/>
  <c r="K275" i="22"/>
  <c r="K276" i="22"/>
  <c r="K277" i="22"/>
  <c r="K278" i="22"/>
  <c r="K279" i="22"/>
  <c r="K280" i="22"/>
  <c r="K281" i="22"/>
  <c r="K282" i="22"/>
  <c r="K283" i="22"/>
  <c r="K284" i="22"/>
  <c r="K285" i="22"/>
  <c r="K286" i="22"/>
  <c r="K287" i="22"/>
  <c r="K288" i="22"/>
  <c r="K289" i="22"/>
  <c r="K290" i="22"/>
  <c r="K291" i="22"/>
  <c r="K292" i="22"/>
  <c r="K293" i="22"/>
  <c r="K294" i="22"/>
  <c r="K295" i="22"/>
  <c r="K296" i="22"/>
  <c r="K297" i="22"/>
  <c r="K298" i="22"/>
  <c r="K299" i="22"/>
  <c r="K300" i="22"/>
  <c r="K301" i="22"/>
  <c r="K302" i="22"/>
  <c r="K303" i="22"/>
  <c r="K304" i="22"/>
  <c r="K305" i="22"/>
  <c r="K306" i="22"/>
  <c r="K307" i="22"/>
  <c r="K308" i="22"/>
  <c r="K309" i="22"/>
  <c r="K310" i="22"/>
  <c r="K311" i="22"/>
  <c r="K312" i="22"/>
  <c r="K313" i="22"/>
  <c r="K314" i="22"/>
  <c r="K315" i="22"/>
  <c r="K316" i="22"/>
  <c r="K317" i="22"/>
  <c r="K318" i="22"/>
  <c r="K319" i="22"/>
  <c r="K320" i="22"/>
  <c r="K321" i="22"/>
  <c r="K322" i="22"/>
  <c r="K323" i="22"/>
  <c r="K324" i="22"/>
  <c r="K325" i="22"/>
  <c r="K326" i="22"/>
  <c r="K327" i="22"/>
  <c r="K328" i="22"/>
  <c r="K329" i="22"/>
  <c r="K330" i="22"/>
  <c r="K331" i="22"/>
  <c r="K332" i="22"/>
  <c r="K333" i="22"/>
  <c r="K334" i="22"/>
  <c r="K335" i="22"/>
  <c r="K336" i="22"/>
  <c r="K337" i="22"/>
  <c r="K338" i="22"/>
  <c r="K339" i="22"/>
  <c r="K340" i="22"/>
  <c r="K341" i="22"/>
  <c r="K342" i="22"/>
  <c r="K343" i="22"/>
  <c r="K344" i="22"/>
  <c r="K345" i="22"/>
  <c r="K346" i="22"/>
  <c r="K347" i="22"/>
  <c r="K348" i="22"/>
  <c r="K349" i="22"/>
  <c r="K350" i="22"/>
  <c r="K351" i="22"/>
  <c r="K352" i="22"/>
  <c r="K353" i="22"/>
  <c r="K354" i="22"/>
  <c r="K355" i="22"/>
  <c r="K356" i="22"/>
  <c r="K357" i="22"/>
  <c r="K358" i="22"/>
  <c r="K359" i="22"/>
  <c r="K360" i="22"/>
  <c r="K361" i="22"/>
  <c r="K362" i="22"/>
  <c r="K363" i="22"/>
  <c r="K364" i="22"/>
  <c r="K365" i="22"/>
  <c r="K366" i="22"/>
  <c r="K367" i="22"/>
  <c r="K368" i="22"/>
  <c r="K369" i="22"/>
  <c r="K370" i="22"/>
  <c r="K371" i="22"/>
  <c r="K372" i="22"/>
  <c r="K373" i="22"/>
  <c r="K374" i="22"/>
  <c r="K375" i="22"/>
  <c r="K376" i="22"/>
  <c r="K377" i="22"/>
  <c r="K378" i="22"/>
  <c r="K379" i="22"/>
  <c r="K380" i="22"/>
  <c r="K381" i="22"/>
  <c r="K382" i="22"/>
  <c r="K383" i="22"/>
  <c r="K384" i="22"/>
  <c r="K385" i="22"/>
  <c r="K386" i="22"/>
  <c r="K387" i="22"/>
  <c r="K388" i="22"/>
  <c r="K389" i="22"/>
  <c r="K390" i="22"/>
  <c r="K391" i="22"/>
  <c r="K392" i="22"/>
  <c r="K393" i="22"/>
  <c r="K394" i="22"/>
  <c r="K395" i="22"/>
  <c r="K396" i="22"/>
  <c r="K397" i="22"/>
  <c r="K398" i="22"/>
  <c r="K399" i="22"/>
  <c r="K400" i="22"/>
  <c r="K401" i="22"/>
  <c r="K402" i="22"/>
  <c r="K403" i="22"/>
  <c r="K404" i="22"/>
  <c r="K405" i="22"/>
  <c r="K406" i="22"/>
  <c r="K407" i="22"/>
  <c r="K408" i="22"/>
  <c r="K409" i="22"/>
  <c r="K410" i="22"/>
  <c r="K411" i="22"/>
  <c r="K412" i="22"/>
  <c r="K413" i="22"/>
  <c r="K414" i="22"/>
  <c r="K415" i="22"/>
  <c r="K416" i="22"/>
  <c r="K417" i="22"/>
  <c r="K418" i="22"/>
  <c r="K419" i="22"/>
  <c r="K420" i="22"/>
  <c r="K421" i="22"/>
  <c r="K422" i="22"/>
  <c r="K423" i="22"/>
  <c r="K424" i="22"/>
  <c r="K425" i="22"/>
  <c r="K426" i="22"/>
  <c r="K427" i="22"/>
  <c r="K428" i="22"/>
  <c r="K429" i="22"/>
  <c r="K430" i="22"/>
  <c r="N26" i="21"/>
  <c r="N7" i="21"/>
  <c r="K7" i="21"/>
  <c r="K8" i="21"/>
  <c r="K9" i="21"/>
  <c r="Q9" i="21" s="1"/>
  <c r="K10" i="21"/>
  <c r="Q10" i="21" s="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7" i="20"/>
  <c r="K8" i="20"/>
  <c r="K9" i="20"/>
  <c r="K10" i="20"/>
  <c r="K11" i="20"/>
  <c r="Q11" i="20" s="1"/>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N6" i="19"/>
  <c r="N42" i="24"/>
  <c r="N23" i="24"/>
  <c r="K42" i="24"/>
  <c r="K26" i="24"/>
  <c r="K6" i="24"/>
  <c r="Q6" i="24" s="1"/>
  <c r="N48" i="23"/>
  <c r="N39" i="23"/>
  <c r="N22" i="23"/>
  <c r="N7" i="23"/>
  <c r="K40" i="23"/>
  <c r="K25" i="23"/>
  <c r="N37" i="22"/>
  <c r="N24" i="22"/>
  <c r="K6" i="22"/>
  <c r="N44" i="21"/>
  <c r="K6" i="21"/>
  <c r="K6" i="20"/>
  <c r="N41" i="20"/>
  <c r="N24" i="20"/>
  <c r="N6" i="20"/>
  <c r="Q39" i="15"/>
  <c r="Q21" i="15"/>
  <c r="Q6" i="15"/>
  <c r="X6" i="15" s="1"/>
  <c r="N40" i="15"/>
  <c r="N26" i="15"/>
  <c r="N6" i="15"/>
  <c r="P39" i="16"/>
  <c r="P27" i="16"/>
  <c r="N40" i="19"/>
  <c r="N37" i="19"/>
  <c r="N24" i="19"/>
  <c r="N7" i="19"/>
  <c r="Q38" i="19"/>
  <c r="Q14" i="19"/>
  <c r="Q7" i="19"/>
  <c r="Q8" i="19"/>
  <c r="Q9" i="19"/>
  <c r="Q10" i="19"/>
  <c r="Q11" i="19"/>
  <c r="X11" i="19" s="1"/>
  <c r="Q12" i="19"/>
  <c r="Q13" i="19"/>
  <c r="Q15" i="19"/>
  <c r="X15" i="19" s="1"/>
  <c r="Q16" i="19"/>
  <c r="X16" i="19" s="1"/>
  <c r="Q17" i="19"/>
  <c r="Q18" i="19"/>
  <c r="Q19" i="19"/>
  <c r="Q20" i="19"/>
  <c r="Q21" i="19"/>
  <c r="Q22" i="19"/>
  <c r="Q23" i="19"/>
  <c r="Q24" i="19"/>
  <c r="Q25" i="19"/>
  <c r="Q26" i="19"/>
  <c r="Q27" i="19"/>
  <c r="Q28" i="19"/>
  <c r="Q29" i="19"/>
  <c r="Q30" i="19"/>
  <c r="Q31" i="19"/>
  <c r="Q32" i="19"/>
  <c r="Q33" i="19"/>
  <c r="Q34" i="19"/>
  <c r="Q35" i="19"/>
  <c r="Q36" i="19"/>
  <c r="Q37"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Q140" i="19"/>
  <c r="Q141" i="19"/>
  <c r="Q142" i="19"/>
  <c r="Q143" i="19"/>
  <c r="Q144" i="19"/>
  <c r="Q145" i="19"/>
  <c r="Q146" i="19"/>
  <c r="Q147" i="19"/>
  <c r="Q148" i="19"/>
  <c r="Q149" i="19"/>
  <c r="Q150" i="19"/>
  <c r="Q151" i="19"/>
  <c r="Q152" i="19"/>
  <c r="Q153" i="19"/>
  <c r="Q154" i="19"/>
  <c r="Q155" i="19"/>
  <c r="Q156" i="19"/>
  <c r="Q157" i="19"/>
  <c r="Q158" i="19"/>
  <c r="Q159" i="19"/>
  <c r="Q160" i="19"/>
  <c r="Q161" i="19"/>
  <c r="Q162" i="19"/>
  <c r="Q163" i="19"/>
  <c r="Q164" i="19"/>
  <c r="Q165" i="19"/>
  <c r="Q166" i="19"/>
  <c r="Q167" i="19"/>
  <c r="Q168" i="19"/>
  <c r="Q169" i="19"/>
  <c r="Q170" i="19"/>
  <c r="Q171" i="19"/>
  <c r="Q172" i="19"/>
  <c r="Q173" i="19"/>
  <c r="Q174" i="19"/>
  <c r="Q175" i="19"/>
  <c r="Q176" i="19"/>
  <c r="Q177" i="19"/>
  <c r="Q178" i="19"/>
  <c r="Q179" i="19"/>
  <c r="Q180" i="19"/>
  <c r="Q181" i="19"/>
  <c r="Q182" i="19"/>
  <c r="Q183" i="19"/>
  <c r="Q184" i="19"/>
  <c r="Q185" i="19"/>
  <c r="Q186" i="19"/>
  <c r="Q187" i="19"/>
  <c r="Q188" i="19"/>
  <c r="Q189" i="19"/>
  <c r="Q190" i="19"/>
  <c r="Q191" i="19"/>
  <c r="Q192" i="19"/>
  <c r="Q193" i="19"/>
  <c r="Q194" i="19"/>
  <c r="Q195" i="19"/>
  <c r="Q196" i="19"/>
  <c r="Q197" i="19"/>
  <c r="Q198" i="19"/>
  <c r="Q199" i="19"/>
  <c r="Q200" i="19"/>
  <c r="Q201" i="19"/>
  <c r="Q202" i="19"/>
  <c r="Q203" i="19"/>
  <c r="Q204" i="19"/>
  <c r="Q205" i="19"/>
  <c r="Q206" i="19"/>
  <c r="Q207" i="19"/>
  <c r="Q208" i="19"/>
  <c r="Q209" i="19"/>
  <c r="Q210" i="19"/>
  <c r="Q211" i="19"/>
  <c r="Q212" i="19"/>
  <c r="Q213" i="19"/>
  <c r="Q214" i="19"/>
  <c r="Q215" i="19"/>
  <c r="Q216" i="19"/>
  <c r="Q217" i="19"/>
  <c r="Q218" i="19"/>
  <c r="Q219" i="19"/>
  <c r="Q220" i="19"/>
  <c r="Q221" i="19"/>
  <c r="Q222" i="19"/>
  <c r="Q223" i="19"/>
  <c r="Q224" i="19"/>
  <c r="Q225" i="19"/>
  <c r="Q226" i="19"/>
  <c r="Q227" i="19"/>
  <c r="Q228" i="19"/>
  <c r="Q229" i="19"/>
  <c r="Q230" i="19"/>
  <c r="Q231" i="19"/>
  <c r="Q232" i="19"/>
  <c r="Q233" i="19"/>
  <c r="Q234" i="19"/>
  <c r="Q235" i="19"/>
  <c r="Q236" i="19"/>
  <c r="Q237" i="19"/>
  <c r="Q238" i="19"/>
  <c r="Q239" i="19"/>
  <c r="Q240" i="19"/>
  <c r="Q241" i="19"/>
  <c r="Q242" i="19"/>
  <c r="Q243" i="19"/>
  <c r="Q244" i="19"/>
  <c r="Q245" i="19"/>
  <c r="Q246" i="19"/>
  <c r="Q247" i="19"/>
  <c r="Q248" i="19"/>
  <c r="Q249" i="19"/>
  <c r="Q250" i="19"/>
  <c r="Q251" i="19"/>
  <c r="Q252" i="19"/>
  <c r="Q253" i="19"/>
  <c r="Q254" i="19"/>
  <c r="Q255" i="19"/>
  <c r="Q256" i="19"/>
  <c r="Q257" i="19"/>
  <c r="Q258" i="19"/>
  <c r="Q259" i="19"/>
  <c r="Q260" i="19"/>
  <c r="Q261" i="19"/>
  <c r="Q262" i="19"/>
  <c r="Q263" i="19"/>
  <c r="Q264" i="19"/>
  <c r="Q265" i="19"/>
  <c r="Q266" i="19"/>
  <c r="Q267" i="19"/>
  <c r="Q268" i="19"/>
  <c r="Q269" i="19"/>
  <c r="Q270" i="19"/>
  <c r="Q271" i="19"/>
  <c r="Q272" i="19"/>
  <c r="Q273" i="19"/>
  <c r="Q274" i="19"/>
  <c r="Q275" i="19"/>
  <c r="Q276" i="19"/>
  <c r="Q277" i="19"/>
  <c r="Q278" i="19"/>
  <c r="Q279" i="19"/>
  <c r="Q280" i="19"/>
  <c r="Q281" i="19"/>
  <c r="Q282" i="19"/>
  <c r="Q283" i="19"/>
  <c r="Q284" i="19"/>
  <c r="Q285" i="19"/>
  <c r="Q286" i="19"/>
  <c r="Q287" i="19"/>
  <c r="Q288" i="19"/>
  <c r="Q289" i="19"/>
  <c r="Q290" i="19"/>
  <c r="Q291" i="19"/>
  <c r="Q292" i="19"/>
  <c r="Q293" i="19"/>
  <c r="Q294" i="19"/>
  <c r="Q295" i="19"/>
  <c r="Q296" i="19"/>
  <c r="Q297" i="19"/>
  <c r="Q298" i="19"/>
  <c r="Q299" i="19"/>
  <c r="Q300" i="19"/>
  <c r="Q301" i="19"/>
  <c r="Q302" i="19"/>
  <c r="Q303" i="19"/>
  <c r="Q304" i="19"/>
  <c r="Q305" i="19"/>
  <c r="Q306" i="19"/>
  <c r="Q307" i="19"/>
  <c r="Q308" i="19"/>
  <c r="Q309" i="19"/>
  <c r="Q310" i="19"/>
  <c r="Q311" i="19"/>
  <c r="Q312" i="19"/>
  <c r="Q313" i="19"/>
  <c r="Q314" i="19"/>
  <c r="Q315" i="19"/>
  <c r="Q316" i="19"/>
  <c r="Q317" i="19"/>
  <c r="Q318" i="19"/>
  <c r="Q319" i="19"/>
  <c r="Q320" i="19"/>
  <c r="Q321" i="19"/>
  <c r="Q322" i="19"/>
  <c r="Q323" i="19"/>
  <c r="Q324" i="19"/>
  <c r="Q325" i="19"/>
  <c r="Q326" i="19"/>
  <c r="Q327" i="19"/>
  <c r="Q328" i="19"/>
  <c r="Q329" i="19"/>
  <c r="Q330" i="19"/>
  <c r="Q331" i="19"/>
  <c r="Q332" i="19"/>
  <c r="Q333" i="19"/>
  <c r="Q334" i="19"/>
  <c r="Q335" i="19"/>
  <c r="Q336" i="19"/>
  <c r="Q337" i="19"/>
  <c r="Q338" i="19"/>
  <c r="Q339" i="19"/>
  <c r="Q340" i="19"/>
  <c r="Q341" i="19"/>
  <c r="Q342" i="19"/>
  <c r="Q343" i="19"/>
  <c r="Q344" i="19"/>
  <c r="Q345" i="19"/>
  <c r="Q346" i="19"/>
  <c r="Q347" i="19"/>
  <c r="Q348" i="19"/>
  <c r="Q349" i="19"/>
  <c r="Q350" i="19"/>
  <c r="Q351" i="19"/>
  <c r="Q352" i="19"/>
  <c r="Q353" i="19"/>
  <c r="Q354" i="19"/>
  <c r="Q355" i="19"/>
  <c r="Q356" i="19"/>
  <c r="Q357" i="19"/>
  <c r="Q358" i="19"/>
  <c r="Q359" i="19"/>
  <c r="Q360" i="19"/>
  <c r="Q361" i="19"/>
  <c r="Q362" i="19"/>
  <c r="Q363" i="19"/>
  <c r="Q364" i="19"/>
  <c r="Q365" i="19"/>
  <c r="Q366" i="19"/>
  <c r="Q367" i="19"/>
  <c r="Q368" i="19"/>
  <c r="Q369" i="19"/>
  <c r="Q370" i="19"/>
  <c r="Q371" i="19"/>
  <c r="Q372" i="19"/>
  <c r="Q373" i="19"/>
  <c r="Q374" i="19"/>
  <c r="Q375" i="19"/>
  <c r="Q376" i="19"/>
  <c r="Q377" i="19"/>
  <c r="Q378" i="19"/>
  <c r="Q379" i="19"/>
  <c r="Q380" i="19"/>
  <c r="Q381" i="19"/>
  <c r="Q382" i="19"/>
  <c r="Q383" i="19"/>
  <c r="Q384" i="19"/>
  <c r="Q385" i="19"/>
  <c r="Q386" i="19"/>
  <c r="Q387" i="19"/>
  <c r="Q388" i="19"/>
  <c r="Q389" i="19"/>
  <c r="Q390" i="19"/>
  <c r="Q391" i="19"/>
  <c r="Q392" i="19"/>
  <c r="Q393" i="19"/>
  <c r="Q394" i="19"/>
  <c r="Q395" i="19"/>
  <c r="Q396" i="19"/>
  <c r="Q397" i="19"/>
  <c r="Q398" i="19"/>
  <c r="Q399" i="19"/>
  <c r="Q400" i="19"/>
  <c r="Q401" i="19"/>
  <c r="Q402" i="19"/>
  <c r="Q403" i="19"/>
  <c r="Q404" i="19"/>
  <c r="Q405" i="19"/>
  <c r="Q406" i="19"/>
  <c r="Q407" i="19"/>
  <c r="Q408" i="19"/>
  <c r="Q409" i="19"/>
  <c r="Q410" i="19"/>
  <c r="Q411" i="19"/>
  <c r="Q412" i="19"/>
  <c r="Q413" i="19"/>
  <c r="Q414" i="19"/>
  <c r="Q415" i="19"/>
  <c r="Q416" i="19"/>
  <c r="Q417" i="19"/>
  <c r="Q418" i="19"/>
  <c r="Q419" i="19"/>
  <c r="Q420" i="19"/>
  <c r="Q421" i="19"/>
  <c r="Q422" i="19"/>
  <c r="Q423" i="19"/>
  <c r="Q424" i="19"/>
  <c r="Q425" i="19"/>
  <c r="Q426" i="19"/>
  <c r="Q427" i="19"/>
  <c r="Q428" i="19"/>
  <c r="Q429" i="19"/>
  <c r="Q430" i="19"/>
  <c r="Q6" i="19"/>
  <c r="O7" i="17"/>
  <c r="N7" i="17" s="1"/>
  <c r="P7" i="17"/>
  <c r="Q7" i="17"/>
  <c r="R7" i="17"/>
  <c r="S7" i="17"/>
  <c r="O8" i="17"/>
  <c r="N8" i="17" s="1"/>
  <c r="P8" i="17"/>
  <c r="Q8" i="17"/>
  <c r="R8" i="17"/>
  <c r="S8" i="17"/>
  <c r="O9" i="17"/>
  <c r="N9" i="17" s="1"/>
  <c r="P9" i="17"/>
  <c r="Q9" i="17"/>
  <c r="R9" i="17"/>
  <c r="S9" i="17"/>
  <c r="O10" i="17"/>
  <c r="N10" i="17" s="1"/>
  <c r="P10" i="17"/>
  <c r="Q10" i="17"/>
  <c r="R10" i="17"/>
  <c r="S10" i="17"/>
  <c r="O11" i="17"/>
  <c r="N11" i="17" s="1"/>
  <c r="P11" i="17"/>
  <c r="Q11" i="17"/>
  <c r="R11" i="17"/>
  <c r="S11" i="17"/>
  <c r="O12" i="17"/>
  <c r="P12" i="17"/>
  <c r="Q12" i="17"/>
  <c r="R12" i="17"/>
  <c r="S12" i="17"/>
  <c r="O13" i="17"/>
  <c r="P13" i="17"/>
  <c r="Q13" i="17"/>
  <c r="R13" i="17"/>
  <c r="S13" i="17"/>
  <c r="O14" i="17"/>
  <c r="P14" i="17"/>
  <c r="Q14" i="17"/>
  <c r="R14" i="17"/>
  <c r="S14" i="17"/>
  <c r="O15" i="17"/>
  <c r="P15" i="17"/>
  <c r="Q15" i="17"/>
  <c r="R15" i="17"/>
  <c r="S15" i="17"/>
  <c r="O16" i="17"/>
  <c r="P16" i="17"/>
  <c r="Q16" i="17"/>
  <c r="R16" i="17"/>
  <c r="S16" i="17"/>
  <c r="O17" i="17"/>
  <c r="P17" i="17"/>
  <c r="Q17" i="17"/>
  <c r="R17" i="17"/>
  <c r="S17" i="17"/>
  <c r="O18" i="17"/>
  <c r="P18" i="17"/>
  <c r="Q18" i="17"/>
  <c r="R18" i="17"/>
  <c r="S18" i="17"/>
  <c r="O19" i="17"/>
  <c r="P19" i="17"/>
  <c r="Q19" i="17"/>
  <c r="R19" i="17"/>
  <c r="S19" i="17"/>
  <c r="O20" i="17"/>
  <c r="P20" i="17"/>
  <c r="Q20" i="17"/>
  <c r="R20" i="17"/>
  <c r="S20" i="17"/>
  <c r="O21" i="17"/>
  <c r="P21" i="17"/>
  <c r="Q21" i="17"/>
  <c r="R21" i="17"/>
  <c r="S21" i="17"/>
  <c r="O22" i="17"/>
  <c r="P22" i="17"/>
  <c r="Q22" i="17"/>
  <c r="R22" i="17"/>
  <c r="S22" i="17"/>
  <c r="O23" i="17"/>
  <c r="P23" i="17"/>
  <c r="Q23" i="17"/>
  <c r="R23" i="17"/>
  <c r="S23" i="17"/>
  <c r="O24" i="17"/>
  <c r="P24" i="17"/>
  <c r="Q24" i="17"/>
  <c r="R24" i="17"/>
  <c r="S24" i="17"/>
  <c r="O25" i="17"/>
  <c r="P25" i="17"/>
  <c r="Q25" i="17"/>
  <c r="R25" i="17"/>
  <c r="S25" i="17"/>
  <c r="O26" i="17"/>
  <c r="P26" i="17"/>
  <c r="Q26" i="17"/>
  <c r="R26" i="17"/>
  <c r="S26" i="17"/>
  <c r="O27" i="17"/>
  <c r="P27" i="17"/>
  <c r="Q27" i="17"/>
  <c r="R27" i="17"/>
  <c r="S27" i="17"/>
  <c r="O28" i="17"/>
  <c r="P28" i="17"/>
  <c r="Q28" i="17"/>
  <c r="R28" i="17"/>
  <c r="S28" i="17"/>
  <c r="O29" i="17"/>
  <c r="P29" i="17"/>
  <c r="Q29" i="17"/>
  <c r="R29" i="17"/>
  <c r="S29" i="17"/>
  <c r="O30" i="17"/>
  <c r="P30" i="17"/>
  <c r="Q30" i="17"/>
  <c r="R30" i="17"/>
  <c r="S30" i="17"/>
  <c r="O31" i="17"/>
  <c r="P31" i="17"/>
  <c r="Q31" i="17"/>
  <c r="R31" i="17"/>
  <c r="S31" i="17"/>
  <c r="O32" i="17"/>
  <c r="P32" i="17"/>
  <c r="Q32" i="17"/>
  <c r="R32" i="17"/>
  <c r="S32" i="17"/>
  <c r="O33" i="17"/>
  <c r="P33" i="17"/>
  <c r="Q33" i="17"/>
  <c r="R33" i="17"/>
  <c r="S33" i="17"/>
  <c r="O34" i="17"/>
  <c r="P34" i="17"/>
  <c r="Q34" i="17"/>
  <c r="R34" i="17"/>
  <c r="S34" i="17"/>
  <c r="O35" i="17"/>
  <c r="P35" i="17"/>
  <c r="Q35" i="17"/>
  <c r="R35" i="17"/>
  <c r="S35" i="17"/>
  <c r="O36" i="17"/>
  <c r="P36" i="17"/>
  <c r="Q36" i="17"/>
  <c r="R36" i="17"/>
  <c r="S36" i="17"/>
  <c r="O37" i="17"/>
  <c r="P37" i="17"/>
  <c r="Q37" i="17"/>
  <c r="R37" i="17"/>
  <c r="S37" i="17"/>
  <c r="O38" i="17"/>
  <c r="P38" i="17"/>
  <c r="Q38" i="17"/>
  <c r="R38" i="17"/>
  <c r="S38" i="17"/>
  <c r="O39" i="17"/>
  <c r="P39" i="17"/>
  <c r="Q39" i="17"/>
  <c r="R39" i="17"/>
  <c r="S39" i="17"/>
  <c r="O40" i="17"/>
  <c r="P40" i="17"/>
  <c r="Q40" i="17"/>
  <c r="R40" i="17"/>
  <c r="S40" i="17"/>
  <c r="O41" i="17"/>
  <c r="P41" i="17"/>
  <c r="Q41" i="17"/>
  <c r="R41" i="17"/>
  <c r="S41" i="17"/>
  <c r="O42" i="17"/>
  <c r="P42" i="17"/>
  <c r="Q42" i="17"/>
  <c r="R42" i="17"/>
  <c r="S42" i="17"/>
  <c r="O43" i="17"/>
  <c r="P43" i="17"/>
  <c r="Q43" i="17"/>
  <c r="R43" i="17"/>
  <c r="S43" i="17"/>
  <c r="O44" i="17"/>
  <c r="P44" i="17"/>
  <c r="Q44" i="17"/>
  <c r="R44" i="17"/>
  <c r="S44" i="17"/>
  <c r="O45" i="17"/>
  <c r="P45" i="17"/>
  <c r="Q45" i="17"/>
  <c r="R45" i="17"/>
  <c r="S45" i="17"/>
  <c r="O46" i="17"/>
  <c r="P46" i="17"/>
  <c r="Q46" i="17"/>
  <c r="R46" i="17"/>
  <c r="S46" i="17"/>
  <c r="O47" i="17"/>
  <c r="P47" i="17"/>
  <c r="Q47" i="17"/>
  <c r="R47" i="17"/>
  <c r="S47" i="17"/>
  <c r="O48" i="17"/>
  <c r="P48" i="17"/>
  <c r="Q48" i="17"/>
  <c r="R48" i="17"/>
  <c r="S48" i="17"/>
  <c r="O49" i="17"/>
  <c r="P49" i="17"/>
  <c r="Q49" i="17"/>
  <c r="R49" i="17"/>
  <c r="S49" i="17"/>
  <c r="O50" i="17"/>
  <c r="P50" i="17"/>
  <c r="Q50" i="17"/>
  <c r="R50" i="17"/>
  <c r="S50" i="17"/>
  <c r="O51" i="17"/>
  <c r="P51" i="17"/>
  <c r="Q51" i="17"/>
  <c r="R51" i="17"/>
  <c r="S51" i="17"/>
  <c r="O52" i="17"/>
  <c r="P52" i="17"/>
  <c r="Q52" i="17"/>
  <c r="R52" i="17"/>
  <c r="S52" i="17"/>
  <c r="O53" i="17"/>
  <c r="P53" i="17"/>
  <c r="Q53" i="17"/>
  <c r="R53" i="17"/>
  <c r="S53" i="17"/>
  <c r="O54" i="17"/>
  <c r="P54" i="17"/>
  <c r="Q54" i="17"/>
  <c r="R54" i="17"/>
  <c r="S54" i="17"/>
  <c r="O55" i="17"/>
  <c r="P55" i="17"/>
  <c r="Q55" i="17"/>
  <c r="R55" i="17"/>
  <c r="S55" i="17"/>
  <c r="O56" i="17"/>
  <c r="P56" i="17"/>
  <c r="Q56" i="17"/>
  <c r="R56" i="17"/>
  <c r="S56" i="17"/>
  <c r="O57" i="17"/>
  <c r="P57" i="17"/>
  <c r="Q57" i="17"/>
  <c r="R57" i="17"/>
  <c r="S57" i="17"/>
  <c r="O58" i="17"/>
  <c r="P58" i="17"/>
  <c r="Q58" i="17"/>
  <c r="R58" i="17"/>
  <c r="S58" i="17"/>
  <c r="O59" i="17"/>
  <c r="P59" i="17"/>
  <c r="Q59" i="17"/>
  <c r="R59" i="17"/>
  <c r="S59" i="17"/>
  <c r="O60" i="17"/>
  <c r="P60" i="17"/>
  <c r="Q60" i="17"/>
  <c r="R60" i="17"/>
  <c r="S60" i="17"/>
  <c r="O61" i="17"/>
  <c r="P61" i="17"/>
  <c r="Q61" i="17"/>
  <c r="R61" i="17"/>
  <c r="S61" i="17"/>
  <c r="O62" i="17"/>
  <c r="P62" i="17"/>
  <c r="Q62" i="17"/>
  <c r="R62" i="17"/>
  <c r="S62" i="17"/>
  <c r="O63" i="17"/>
  <c r="P63" i="17"/>
  <c r="Q63" i="17"/>
  <c r="R63" i="17"/>
  <c r="S63" i="17"/>
  <c r="O64" i="17"/>
  <c r="P64" i="17"/>
  <c r="Q64" i="17"/>
  <c r="R64" i="17"/>
  <c r="S64" i="17"/>
  <c r="O65" i="17"/>
  <c r="P65" i="17"/>
  <c r="Q65" i="17"/>
  <c r="R65" i="17"/>
  <c r="S65" i="17"/>
  <c r="O66" i="17"/>
  <c r="P66" i="17"/>
  <c r="Q66" i="17"/>
  <c r="R66" i="17"/>
  <c r="S66" i="17"/>
  <c r="O67" i="17"/>
  <c r="P67" i="17"/>
  <c r="Q67" i="17"/>
  <c r="R67" i="17"/>
  <c r="S67" i="17"/>
  <c r="O68" i="17"/>
  <c r="P68" i="17"/>
  <c r="Q68" i="17"/>
  <c r="R68" i="17"/>
  <c r="S68" i="17"/>
  <c r="O69" i="17"/>
  <c r="P69" i="17"/>
  <c r="Q69" i="17"/>
  <c r="R69" i="17"/>
  <c r="S69" i="17"/>
  <c r="O70" i="17"/>
  <c r="P70" i="17"/>
  <c r="Q70" i="17"/>
  <c r="R70" i="17"/>
  <c r="S70" i="17"/>
  <c r="O71" i="17"/>
  <c r="P71" i="17"/>
  <c r="Q71" i="17"/>
  <c r="R71" i="17"/>
  <c r="S71" i="17"/>
  <c r="O72" i="17"/>
  <c r="P72" i="17"/>
  <c r="Q72" i="17"/>
  <c r="R72" i="17"/>
  <c r="S72" i="17"/>
  <c r="O73" i="17"/>
  <c r="P73" i="17"/>
  <c r="Q73" i="17"/>
  <c r="R73" i="17"/>
  <c r="S73" i="17"/>
  <c r="O74" i="17"/>
  <c r="P74" i="17"/>
  <c r="Q74" i="17"/>
  <c r="R74" i="17"/>
  <c r="S74" i="17"/>
  <c r="O75" i="17"/>
  <c r="P75" i="17"/>
  <c r="Q75" i="17"/>
  <c r="R75" i="17"/>
  <c r="S75" i="17"/>
  <c r="O76" i="17"/>
  <c r="P76" i="17"/>
  <c r="Q76" i="17"/>
  <c r="R76" i="17"/>
  <c r="S76" i="17"/>
  <c r="O77" i="17"/>
  <c r="P77" i="17"/>
  <c r="Q77" i="17"/>
  <c r="R77" i="17"/>
  <c r="S77" i="17"/>
  <c r="O78" i="17"/>
  <c r="P78" i="17"/>
  <c r="Q78" i="17"/>
  <c r="R78" i="17"/>
  <c r="S78" i="17"/>
  <c r="O79" i="17"/>
  <c r="P79" i="17"/>
  <c r="Q79" i="17"/>
  <c r="R79" i="17"/>
  <c r="S79" i="17"/>
  <c r="O80" i="17"/>
  <c r="P80" i="17"/>
  <c r="Q80" i="17"/>
  <c r="R80" i="17"/>
  <c r="S80" i="17"/>
  <c r="O81" i="17"/>
  <c r="P81" i="17"/>
  <c r="Q81" i="17"/>
  <c r="R81" i="17"/>
  <c r="S81" i="17"/>
  <c r="O82" i="17"/>
  <c r="P82" i="17"/>
  <c r="Q82" i="17"/>
  <c r="R82" i="17"/>
  <c r="S82" i="17"/>
  <c r="O83" i="17"/>
  <c r="P83" i="17"/>
  <c r="Q83" i="17"/>
  <c r="R83" i="17"/>
  <c r="S83" i="17"/>
  <c r="O84" i="17"/>
  <c r="P84" i="17"/>
  <c r="Q84" i="17"/>
  <c r="R84" i="17"/>
  <c r="S84" i="17"/>
  <c r="O85" i="17"/>
  <c r="P85" i="17"/>
  <c r="Q85" i="17"/>
  <c r="R85" i="17"/>
  <c r="S85" i="17"/>
  <c r="O86" i="17"/>
  <c r="P86" i="17"/>
  <c r="Q86" i="17"/>
  <c r="R86" i="17"/>
  <c r="S86" i="17"/>
  <c r="O87" i="17"/>
  <c r="P87" i="17"/>
  <c r="Q87" i="17"/>
  <c r="R87" i="17"/>
  <c r="S87" i="17"/>
  <c r="O88" i="17"/>
  <c r="P88" i="17"/>
  <c r="Q88" i="17"/>
  <c r="R88" i="17"/>
  <c r="S88" i="17"/>
  <c r="O89" i="17"/>
  <c r="P89" i="17"/>
  <c r="Q89" i="17"/>
  <c r="R89" i="17"/>
  <c r="S89" i="17"/>
  <c r="O90" i="17"/>
  <c r="P90" i="17"/>
  <c r="Q90" i="17"/>
  <c r="R90" i="17"/>
  <c r="S90" i="17"/>
  <c r="O91" i="17"/>
  <c r="P91" i="17"/>
  <c r="Q91" i="17"/>
  <c r="R91" i="17"/>
  <c r="S91" i="17"/>
  <c r="O92" i="17"/>
  <c r="P92" i="17"/>
  <c r="Q92" i="17"/>
  <c r="R92" i="17"/>
  <c r="S92" i="17"/>
  <c r="O93" i="17"/>
  <c r="P93" i="17"/>
  <c r="Q93" i="17"/>
  <c r="R93" i="17"/>
  <c r="S93" i="17"/>
  <c r="O94" i="17"/>
  <c r="P94" i="17"/>
  <c r="Q94" i="17"/>
  <c r="R94" i="17"/>
  <c r="S94" i="17"/>
  <c r="O95" i="17"/>
  <c r="P95" i="17"/>
  <c r="Q95" i="17"/>
  <c r="R95" i="17"/>
  <c r="S95" i="17"/>
  <c r="O96" i="17"/>
  <c r="P96" i="17"/>
  <c r="Q96" i="17"/>
  <c r="R96" i="17"/>
  <c r="S96" i="17"/>
  <c r="O97" i="17"/>
  <c r="P97" i="17"/>
  <c r="Q97" i="17"/>
  <c r="R97" i="17"/>
  <c r="S97" i="17"/>
  <c r="O98" i="17"/>
  <c r="P98" i="17"/>
  <c r="Q98" i="17"/>
  <c r="R98" i="17"/>
  <c r="S98" i="17"/>
  <c r="O99" i="17"/>
  <c r="P99" i="17"/>
  <c r="Q99" i="17"/>
  <c r="R99" i="17"/>
  <c r="S99" i="17"/>
  <c r="O100" i="17"/>
  <c r="P100" i="17"/>
  <c r="Q100" i="17"/>
  <c r="R100" i="17"/>
  <c r="S100" i="17"/>
  <c r="O101" i="17"/>
  <c r="P101" i="17"/>
  <c r="Q101" i="17"/>
  <c r="R101" i="17"/>
  <c r="S101" i="17"/>
  <c r="O102" i="17"/>
  <c r="P102" i="17"/>
  <c r="Q102" i="17"/>
  <c r="R102" i="17"/>
  <c r="S102" i="17"/>
  <c r="O103" i="17"/>
  <c r="P103" i="17"/>
  <c r="Q103" i="17"/>
  <c r="R103" i="17"/>
  <c r="S103" i="17"/>
  <c r="O104" i="17"/>
  <c r="P104" i="17"/>
  <c r="Q104" i="17"/>
  <c r="R104" i="17"/>
  <c r="S104" i="17"/>
  <c r="O105" i="17"/>
  <c r="P105" i="17"/>
  <c r="Q105" i="17"/>
  <c r="R105" i="17"/>
  <c r="S105" i="17"/>
  <c r="O106" i="17"/>
  <c r="P106" i="17"/>
  <c r="Q106" i="17"/>
  <c r="R106" i="17"/>
  <c r="S106" i="17"/>
  <c r="O107" i="17"/>
  <c r="P107" i="17"/>
  <c r="Q107" i="17"/>
  <c r="R107" i="17"/>
  <c r="S107" i="17"/>
  <c r="O108" i="17"/>
  <c r="P108" i="17"/>
  <c r="Q108" i="17"/>
  <c r="R108" i="17"/>
  <c r="S108" i="17"/>
  <c r="O109" i="17"/>
  <c r="P109" i="17"/>
  <c r="Q109" i="17"/>
  <c r="R109" i="17"/>
  <c r="S109" i="17"/>
  <c r="O110" i="17"/>
  <c r="P110" i="17"/>
  <c r="Q110" i="17"/>
  <c r="R110" i="17"/>
  <c r="S110" i="17"/>
  <c r="O111" i="17"/>
  <c r="P111" i="17"/>
  <c r="Q111" i="17"/>
  <c r="R111" i="17"/>
  <c r="S111" i="17"/>
  <c r="O112" i="17"/>
  <c r="P112" i="17"/>
  <c r="Q112" i="17"/>
  <c r="R112" i="17"/>
  <c r="S112" i="17"/>
  <c r="O113" i="17"/>
  <c r="P113" i="17"/>
  <c r="Q113" i="17"/>
  <c r="R113" i="17"/>
  <c r="S113" i="17"/>
  <c r="O114" i="17"/>
  <c r="P114" i="17"/>
  <c r="Q114" i="17"/>
  <c r="R114" i="17"/>
  <c r="S114" i="17"/>
  <c r="O115" i="17"/>
  <c r="P115" i="17"/>
  <c r="Q115" i="17"/>
  <c r="R115" i="17"/>
  <c r="S115" i="17"/>
  <c r="O116" i="17"/>
  <c r="P116" i="17"/>
  <c r="Q116" i="17"/>
  <c r="R116" i="17"/>
  <c r="S116" i="17"/>
  <c r="O117" i="17"/>
  <c r="P117" i="17"/>
  <c r="Q117" i="17"/>
  <c r="R117" i="17"/>
  <c r="S117" i="17"/>
  <c r="O118" i="17"/>
  <c r="P118" i="17"/>
  <c r="Q118" i="17"/>
  <c r="R118" i="17"/>
  <c r="S118" i="17"/>
  <c r="O119" i="17"/>
  <c r="P119" i="17"/>
  <c r="Q119" i="17"/>
  <c r="R119" i="17"/>
  <c r="S119" i="17"/>
  <c r="O120" i="17"/>
  <c r="P120" i="17"/>
  <c r="Q120" i="17"/>
  <c r="R120" i="17"/>
  <c r="S120" i="17"/>
  <c r="O121" i="17"/>
  <c r="P121" i="17"/>
  <c r="Q121" i="17"/>
  <c r="R121" i="17"/>
  <c r="S121" i="17"/>
  <c r="O122" i="17"/>
  <c r="P122" i="17"/>
  <c r="Q122" i="17"/>
  <c r="R122" i="17"/>
  <c r="S122" i="17"/>
  <c r="O123" i="17"/>
  <c r="P123" i="17"/>
  <c r="Q123" i="17"/>
  <c r="R123" i="17"/>
  <c r="S123" i="17"/>
  <c r="O124" i="17"/>
  <c r="P124" i="17"/>
  <c r="Q124" i="17"/>
  <c r="R124" i="17"/>
  <c r="S124" i="17"/>
  <c r="O125" i="17"/>
  <c r="P125" i="17"/>
  <c r="Q125" i="17"/>
  <c r="R125" i="17"/>
  <c r="S125" i="17"/>
  <c r="O126" i="17"/>
  <c r="P126" i="17"/>
  <c r="Q126" i="17"/>
  <c r="R126" i="17"/>
  <c r="S126" i="17"/>
  <c r="O127" i="17"/>
  <c r="P127" i="17"/>
  <c r="Q127" i="17"/>
  <c r="R127" i="17"/>
  <c r="S127" i="17"/>
  <c r="O128" i="17"/>
  <c r="P128" i="17"/>
  <c r="Q128" i="17"/>
  <c r="R128" i="17"/>
  <c r="S128" i="17"/>
  <c r="O129" i="17"/>
  <c r="P129" i="17"/>
  <c r="Q129" i="17"/>
  <c r="R129" i="17"/>
  <c r="S129" i="17"/>
  <c r="O130" i="17"/>
  <c r="P130" i="17"/>
  <c r="Q130" i="17"/>
  <c r="R130" i="17"/>
  <c r="S130" i="17"/>
  <c r="O131" i="17"/>
  <c r="P131" i="17"/>
  <c r="Q131" i="17"/>
  <c r="R131" i="17"/>
  <c r="S131" i="17"/>
  <c r="O132" i="17"/>
  <c r="P132" i="17"/>
  <c r="Q132" i="17"/>
  <c r="R132" i="17"/>
  <c r="S132" i="17"/>
  <c r="O133" i="17"/>
  <c r="P133" i="17"/>
  <c r="Q133" i="17"/>
  <c r="R133" i="17"/>
  <c r="S133" i="17"/>
  <c r="O134" i="17"/>
  <c r="P134" i="17"/>
  <c r="Q134" i="17"/>
  <c r="R134" i="17"/>
  <c r="S134" i="17"/>
  <c r="O135" i="17"/>
  <c r="P135" i="17"/>
  <c r="Q135" i="17"/>
  <c r="R135" i="17"/>
  <c r="S135" i="17"/>
  <c r="O136" i="17"/>
  <c r="P136" i="17"/>
  <c r="Q136" i="17"/>
  <c r="R136" i="17"/>
  <c r="S136" i="17"/>
  <c r="O137" i="17"/>
  <c r="P137" i="17"/>
  <c r="Q137" i="17"/>
  <c r="R137" i="17"/>
  <c r="S137" i="17"/>
  <c r="O138" i="17"/>
  <c r="P138" i="17"/>
  <c r="Q138" i="17"/>
  <c r="R138" i="17"/>
  <c r="S138" i="17"/>
  <c r="O139" i="17"/>
  <c r="P139" i="17"/>
  <c r="Q139" i="17"/>
  <c r="R139" i="17"/>
  <c r="S139" i="17"/>
  <c r="O140" i="17"/>
  <c r="P140" i="17"/>
  <c r="Q140" i="17"/>
  <c r="R140" i="17"/>
  <c r="S140" i="17"/>
  <c r="O141" i="17"/>
  <c r="P141" i="17"/>
  <c r="Q141" i="17"/>
  <c r="R141" i="17"/>
  <c r="S141" i="17"/>
  <c r="O142" i="17"/>
  <c r="P142" i="17"/>
  <c r="Q142" i="17"/>
  <c r="R142" i="17"/>
  <c r="S142" i="17"/>
  <c r="O143" i="17"/>
  <c r="P143" i="17"/>
  <c r="Q143" i="17"/>
  <c r="R143" i="17"/>
  <c r="S143" i="17"/>
  <c r="O144" i="17"/>
  <c r="P144" i="17"/>
  <c r="Q144" i="17"/>
  <c r="R144" i="17"/>
  <c r="S144" i="17"/>
  <c r="O145" i="17"/>
  <c r="P145" i="17"/>
  <c r="Q145" i="17"/>
  <c r="R145" i="17"/>
  <c r="S145" i="17"/>
  <c r="O146" i="17"/>
  <c r="P146" i="17"/>
  <c r="Q146" i="17"/>
  <c r="R146" i="17"/>
  <c r="S146" i="17"/>
  <c r="O147" i="17"/>
  <c r="P147" i="17"/>
  <c r="Q147" i="17"/>
  <c r="R147" i="17"/>
  <c r="S147" i="17"/>
  <c r="O148" i="17"/>
  <c r="P148" i="17"/>
  <c r="Q148" i="17"/>
  <c r="R148" i="17"/>
  <c r="S148" i="17"/>
  <c r="O149" i="17"/>
  <c r="P149" i="17"/>
  <c r="Q149" i="17"/>
  <c r="R149" i="17"/>
  <c r="S149" i="17"/>
  <c r="O150" i="17"/>
  <c r="P150" i="17"/>
  <c r="Q150" i="17"/>
  <c r="R150" i="17"/>
  <c r="S150" i="17"/>
  <c r="O151" i="17"/>
  <c r="P151" i="17"/>
  <c r="Q151" i="17"/>
  <c r="R151" i="17"/>
  <c r="S151" i="17"/>
  <c r="O152" i="17"/>
  <c r="P152" i="17"/>
  <c r="Q152" i="17"/>
  <c r="R152" i="17"/>
  <c r="S152" i="17"/>
  <c r="O153" i="17"/>
  <c r="P153" i="17"/>
  <c r="Q153" i="17"/>
  <c r="R153" i="17"/>
  <c r="S153" i="17"/>
  <c r="O154" i="17"/>
  <c r="P154" i="17"/>
  <c r="Q154" i="17"/>
  <c r="R154" i="17"/>
  <c r="S154" i="17"/>
  <c r="O155" i="17"/>
  <c r="P155" i="17"/>
  <c r="Q155" i="17"/>
  <c r="R155" i="17"/>
  <c r="S155" i="17"/>
  <c r="O156" i="17"/>
  <c r="P156" i="17"/>
  <c r="Q156" i="17"/>
  <c r="R156" i="17"/>
  <c r="S156" i="17"/>
  <c r="O157" i="17"/>
  <c r="P157" i="17"/>
  <c r="Q157" i="17"/>
  <c r="R157" i="17"/>
  <c r="S157" i="17"/>
  <c r="O158" i="17"/>
  <c r="P158" i="17"/>
  <c r="Q158" i="17"/>
  <c r="R158" i="17"/>
  <c r="S158" i="17"/>
  <c r="O159" i="17"/>
  <c r="P159" i="17"/>
  <c r="Q159" i="17"/>
  <c r="R159" i="17"/>
  <c r="S159" i="17"/>
  <c r="O160" i="17"/>
  <c r="P160" i="17"/>
  <c r="Q160" i="17"/>
  <c r="R160" i="17"/>
  <c r="S160" i="17"/>
  <c r="O161" i="17"/>
  <c r="P161" i="17"/>
  <c r="Q161" i="17"/>
  <c r="R161" i="17"/>
  <c r="S161" i="17"/>
  <c r="O162" i="17"/>
  <c r="P162" i="17"/>
  <c r="Q162" i="17"/>
  <c r="R162" i="17"/>
  <c r="S162" i="17"/>
  <c r="O163" i="17"/>
  <c r="P163" i="17"/>
  <c r="Q163" i="17"/>
  <c r="R163" i="17"/>
  <c r="S163" i="17"/>
  <c r="O164" i="17"/>
  <c r="P164" i="17"/>
  <c r="Q164" i="17"/>
  <c r="R164" i="17"/>
  <c r="S164" i="17"/>
  <c r="O165" i="17"/>
  <c r="P165" i="17"/>
  <c r="Q165" i="17"/>
  <c r="R165" i="17"/>
  <c r="S165" i="17"/>
  <c r="O166" i="17"/>
  <c r="P166" i="17"/>
  <c r="Q166" i="17"/>
  <c r="R166" i="17"/>
  <c r="S166" i="17"/>
  <c r="O167" i="17"/>
  <c r="P167" i="17"/>
  <c r="Q167" i="17"/>
  <c r="R167" i="17"/>
  <c r="S167" i="17"/>
  <c r="O168" i="17"/>
  <c r="P168" i="17"/>
  <c r="Q168" i="17"/>
  <c r="R168" i="17"/>
  <c r="S168" i="17"/>
  <c r="O169" i="17"/>
  <c r="P169" i="17"/>
  <c r="Q169" i="17"/>
  <c r="R169" i="17"/>
  <c r="S169" i="17"/>
  <c r="O170" i="17"/>
  <c r="P170" i="17"/>
  <c r="Q170" i="17"/>
  <c r="R170" i="17"/>
  <c r="S170" i="17"/>
  <c r="O171" i="17"/>
  <c r="P171" i="17"/>
  <c r="Q171" i="17"/>
  <c r="R171" i="17"/>
  <c r="S171" i="17"/>
  <c r="O172" i="17"/>
  <c r="P172" i="17"/>
  <c r="Q172" i="17"/>
  <c r="R172" i="17"/>
  <c r="S172" i="17"/>
  <c r="O173" i="17"/>
  <c r="P173" i="17"/>
  <c r="Q173" i="17"/>
  <c r="R173" i="17"/>
  <c r="S173" i="17"/>
  <c r="O174" i="17"/>
  <c r="P174" i="17"/>
  <c r="Q174" i="17"/>
  <c r="R174" i="17"/>
  <c r="S174" i="17"/>
  <c r="O175" i="17"/>
  <c r="P175" i="17"/>
  <c r="Q175" i="17"/>
  <c r="R175" i="17"/>
  <c r="S175" i="17"/>
  <c r="O176" i="17"/>
  <c r="P176" i="17"/>
  <c r="Q176" i="17"/>
  <c r="R176" i="17"/>
  <c r="S176" i="17"/>
  <c r="O177" i="17"/>
  <c r="P177" i="17"/>
  <c r="Q177" i="17"/>
  <c r="R177" i="17"/>
  <c r="S177" i="17"/>
  <c r="O178" i="17"/>
  <c r="P178" i="17"/>
  <c r="Q178" i="17"/>
  <c r="R178" i="17"/>
  <c r="S178" i="17"/>
  <c r="O179" i="17"/>
  <c r="P179" i="17"/>
  <c r="Q179" i="17"/>
  <c r="R179" i="17"/>
  <c r="S179" i="17"/>
  <c r="O180" i="17"/>
  <c r="P180" i="17"/>
  <c r="Q180" i="17"/>
  <c r="R180" i="17"/>
  <c r="S180" i="17"/>
  <c r="O181" i="17"/>
  <c r="P181" i="17"/>
  <c r="Q181" i="17"/>
  <c r="R181" i="17"/>
  <c r="S181" i="17"/>
  <c r="O182" i="17"/>
  <c r="P182" i="17"/>
  <c r="Q182" i="17"/>
  <c r="R182" i="17"/>
  <c r="S182" i="17"/>
  <c r="O183" i="17"/>
  <c r="P183" i="17"/>
  <c r="Q183" i="17"/>
  <c r="R183" i="17"/>
  <c r="S183" i="17"/>
  <c r="O184" i="17"/>
  <c r="P184" i="17"/>
  <c r="Q184" i="17"/>
  <c r="R184" i="17"/>
  <c r="S184" i="17"/>
  <c r="O185" i="17"/>
  <c r="P185" i="17"/>
  <c r="Q185" i="17"/>
  <c r="R185" i="17"/>
  <c r="S185" i="17"/>
  <c r="O186" i="17"/>
  <c r="P186" i="17"/>
  <c r="Q186" i="17"/>
  <c r="R186" i="17"/>
  <c r="S186" i="17"/>
  <c r="O187" i="17"/>
  <c r="P187" i="17"/>
  <c r="Q187" i="17"/>
  <c r="R187" i="17"/>
  <c r="S187" i="17"/>
  <c r="O188" i="17"/>
  <c r="P188" i="17"/>
  <c r="Q188" i="17"/>
  <c r="R188" i="17"/>
  <c r="S188" i="17"/>
  <c r="O189" i="17"/>
  <c r="P189" i="17"/>
  <c r="Q189" i="17"/>
  <c r="R189" i="17"/>
  <c r="S189" i="17"/>
  <c r="O190" i="17"/>
  <c r="P190" i="17"/>
  <c r="Q190" i="17"/>
  <c r="R190" i="17"/>
  <c r="S190" i="17"/>
  <c r="O191" i="17"/>
  <c r="P191" i="17"/>
  <c r="Q191" i="17"/>
  <c r="R191" i="17"/>
  <c r="S191" i="17"/>
  <c r="O192" i="17"/>
  <c r="P192" i="17"/>
  <c r="Q192" i="17"/>
  <c r="R192" i="17"/>
  <c r="S192" i="17"/>
  <c r="O193" i="17"/>
  <c r="P193" i="17"/>
  <c r="Q193" i="17"/>
  <c r="R193" i="17"/>
  <c r="S193" i="17"/>
  <c r="O194" i="17"/>
  <c r="P194" i="17"/>
  <c r="Q194" i="17"/>
  <c r="R194" i="17"/>
  <c r="S194" i="17"/>
  <c r="O195" i="17"/>
  <c r="P195" i="17"/>
  <c r="Q195" i="17"/>
  <c r="R195" i="17"/>
  <c r="S195" i="17"/>
  <c r="O196" i="17"/>
  <c r="P196" i="17"/>
  <c r="Q196" i="17"/>
  <c r="R196" i="17"/>
  <c r="S196" i="17"/>
  <c r="O197" i="17"/>
  <c r="P197" i="17"/>
  <c r="Q197" i="17"/>
  <c r="R197" i="17"/>
  <c r="S197" i="17"/>
  <c r="O198" i="17"/>
  <c r="P198" i="17"/>
  <c r="Q198" i="17"/>
  <c r="R198" i="17"/>
  <c r="S198" i="17"/>
  <c r="O199" i="17"/>
  <c r="P199" i="17"/>
  <c r="Q199" i="17"/>
  <c r="R199" i="17"/>
  <c r="S199" i="17"/>
  <c r="O200" i="17"/>
  <c r="P200" i="17"/>
  <c r="Q200" i="17"/>
  <c r="R200" i="17"/>
  <c r="S200" i="17"/>
  <c r="O201" i="17"/>
  <c r="P201" i="17"/>
  <c r="Q201" i="17"/>
  <c r="R201" i="17"/>
  <c r="S201" i="17"/>
  <c r="O202" i="17"/>
  <c r="P202" i="17"/>
  <c r="Q202" i="17"/>
  <c r="R202" i="17"/>
  <c r="S202" i="17"/>
  <c r="O203" i="17"/>
  <c r="P203" i="17"/>
  <c r="Q203" i="17"/>
  <c r="R203" i="17"/>
  <c r="S203" i="17"/>
  <c r="O204" i="17"/>
  <c r="P204" i="17"/>
  <c r="Q204" i="17"/>
  <c r="R204" i="17"/>
  <c r="S204" i="17"/>
  <c r="O205" i="17"/>
  <c r="P205" i="17"/>
  <c r="Q205" i="17"/>
  <c r="R205" i="17"/>
  <c r="S205" i="17"/>
  <c r="O206" i="17"/>
  <c r="P206" i="17"/>
  <c r="Q206" i="17"/>
  <c r="R206" i="17"/>
  <c r="S206" i="17"/>
  <c r="O207" i="17"/>
  <c r="P207" i="17"/>
  <c r="Q207" i="17"/>
  <c r="R207" i="17"/>
  <c r="S207" i="17"/>
  <c r="O208" i="17"/>
  <c r="P208" i="17"/>
  <c r="Q208" i="17"/>
  <c r="R208" i="17"/>
  <c r="S208" i="17"/>
  <c r="O209" i="17"/>
  <c r="P209" i="17"/>
  <c r="Q209" i="17"/>
  <c r="R209" i="17"/>
  <c r="S209" i="17"/>
  <c r="O210" i="17"/>
  <c r="P210" i="17"/>
  <c r="Q210" i="17"/>
  <c r="R210" i="17"/>
  <c r="S210" i="17"/>
  <c r="O211" i="17"/>
  <c r="P211" i="17"/>
  <c r="Q211" i="17"/>
  <c r="R211" i="17"/>
  <c r="S211" i="17"/>
  <c r="O212" i="17"/>
  <c r="P212" i="17"/>
  <c r="Q212" i="17"/>
  <c r="R212" i="17"/>
  <c r="S212" i="17"/>
  <c r="O213" i="17"/>
  <c r="P213" i="17"/>
  <c r="Q213" i="17"/>
  <c r="R213" i="17"/>
  <c r="S213" i="17"/>
  <c r="O214" i="17"/>
  <c r="P214" i="17"/>
  <c r="Q214" i="17"/>
  <c r="R214" i="17"/>
  <c r="S214" i="17"/>
  <c r="O215" i="17"/>
  <c r="P215" i="17"/>
  <c r="Q215" i="17"/>
  <c r="R215" i="17"/>
  <c r="S215" i="17"/>
  <c r="O216" i="17"/>
  <c r="P216" i="17"/>
  <c r="Q216" i="17"/>
  <c r="R216" i="17"/>
  <c r="S216" i="17"/>
  <c r="O217" i="17"/>
  <c r="P217" i="17"/>
  <c r="Q217" i="17"/>
  <c r="R217" i="17"/>
  <c r="S217" i="17"/>
  <c r="O218" i="17"/>
  <c r="P218" i="17"/>
  <c r="Q218" i="17"/>
  <c r="R218" i="17"/>
  <c r="S218" i="17"/>
  <c r="O219" i="17"/>
  <c r="P219" i="17"/>
  <c r="Q219" i="17"/>
  <c r="R219" i="17"/>
  <c r="S219" i="17"/>
  <c r="O220" i="17"/>
  <c r="P220" i="17"/>
  <c r="Q220" i="17"/>
  <c r="R220" i="17"/>
  <c r="S220" i="17"/>
  <c r="O221" i="17"/>
  <c r="P221" i="17"/>
  <c r="Q221" i="17"/>
  <c r="R221" i="17"/>
  <c r="S221" i="17"/>
  <c r="O222" i="17"/>
  <c r="P222" i="17"/>
  <c r="Q222" i="17"/>
  <c r="R222" i="17"/>
  <c r="S222" i="17"/>
  <c r="O223" i="17"/>
  <c r="P223" i="17"/>
  <c r="Q223" i="17"/>
  <c r="R223" i="17"/>
  <c r="S223" i="17"/>
  <c r="O224" i="17"/>
  <c r="P224" i="17"/>
  <c r="Q224" i="17"/>
  <c r="R224" i="17"/>
  <c r="S224" i="17"/>
  <c r="O225" i="17"/>
  <c r="P225" i="17"/>
  <c r="Q225" i="17"/>
  <c r="R225" i="17"/>
  <c r="S225" i="17"/>
  <c r="O226" i="17"/>
  <c r="P226" i="17"/>
  <c r="Q226" i="17"/>
  <c r="R226" i="17"/>
  <c r="S226" i="17"/>
  <c r="O227" i="17"/>
  <c r="P227" i="17"/>
  <c r="Q227" i="17"/>
  <c r="R227" i="17"/>
  <c r="S227" i="17"/>
  <c r="O228" i="17"/>
  <c r="P228" i="17"/>
  <c r="Q228" i="17"/>
  <c r="R228" i="17"/>
  <c r="S228" i="17"/>
  <c r="O229" i="17"/>
  <c r="P229" i="17"/>
  <c r="Q229" i="17"/>
  <c r="R229" i="17"/>
  <c r="S229" i="17"/>
  <c r="O230" i="17"/>
  <c r="P230" i="17"/>
  <c r="Q230" i="17"/>
  <c r="R230" i="17"/>
  <c r="S230" i="17"/>
  <c r="O231" i="17"/>
  <c r="P231" i="17"/>
  <c r="Q231" i="17"/>
  <c r="R231" i="17"/>
  <c r="S231" i="17"/>
  <c r="O232" i="17"/>
  <c r="P232" i="17"/>
  <c r="Q232" i="17"/>
  <c r="R232" i="17"/>
  <c r="S232" i="17"/>
  <c r="O233" i="17"/>
  <c r="P233" i="17"/>
  <c r="Q233" i="17"/>
  <c r="R233" i="17"/>
  <c r="S233" i="17"/>
  <c r="O234" i="17"/>
  <c r="P234" i="17"/>
  <c r="Q234" i="17"/>
  <c r="R234" i="17"/>
  <c r="S234" i="17"/>
  <c r="O235" i="17"/>
  <c r="P235" i="17"/>
  <c r="Q235" i="17"/>
  <c r="R235" i="17"/>
  <c r="S235" i="17"/>
  <c r="O236" i="17"/>
  <c r="P236" i="17"/>
  <c r="Q236" i="17"/>
  <c r="R236" i="17"/>
  <c r="S236" i="17"/>
  <c r="O237" i="17"/>
  <c r="P237" i="17"/>
  <c r="Q237" i="17"/>
  <c r="R237" i="17"/>
  <c r="S237" i="17"/>
  <c r="O238" i="17"/>
  <c r="P238" i="17"/>
  <c r="Q238" i="17"/>
  <c r="R238" i="17"/>
  <c r="S238" i="17"/>
  <c r="O239" i="17"/>
  <c r="P239" i="17"/>
  <c r="Q239" i="17"/>
  <c r="R239" i="17"/>
  <c r="S239" i="17"/>
  <c r="O240" i="17"/>
  <c r="P240" i="17"/>
  <c r="Q240" i="17"/>
  <c r="R240" i="17"/>
  <c r="S240" i="17"/>
  <c r="O241" i="17"/>
  <c r="P241" i="17"/>
  <c r="Q241" i="17"/>
  <c r="R241" i="17"/>
  <c r="S241" i="17"/>
  <c r="O242" i="17"/>
  <c r="P242" i="17"/>
  <c r="Q242" i="17"/>
  <c r="R242" i="17"/>
  <c r="S242" i="17"/>
  <c r="O243" i="17"/>
  <c r="P243" i="17"/>
  <c r="Q243" i="17"/>
  <c r="R243" i="17"/>
  <c r="S243" i="17"/>
  <c r="O244" i="17"/>
  <c r="P244" i="17"/>
  <c r="Q244" i="17"/>
  <c r="R244" i="17"/>
  <c r="S244" i="17"/>
  <c r="O245" i="17"/>
  <c r="P245" i="17"/>
  <c r="Q245" i="17"/>
  <c r="R245" i="17"/>
  <c r="S245" i="17"/>
  <c r="O246" i="17"/>
  <c r="P246" i="17"/>
  <c r="Q246" i="17"/>
  <c r="R246" i="17"/>
  <c r="S246" i="17"/>
  <c r="O247" i="17"/>
  <c r="P247" i="17"/>
  <c r="Q247" i="17"/>
  <c r="R247" i="17"/>
  <c r="S247" i="17"/>
  <c r="O248" i="17"/>
  <c r="P248" i="17"/>
  <c r="Q248" i="17"/>
  <c r="R248" i="17"/>
  <c r="S248" i="17"/>
  <c r="O249" i="17"/>
  <c r="P249" i="17"/>
  <c r="Q249" i="17"/>
  <c r="R249" i="17"/>
  <c r="S249" i="17"/>
  <c r="O250" i="17"/>
  <c r="P250" i="17"/>
  <c r="Q250" i="17"/>
  <c r="R250" i="17"/>
  <c r="S250" i="17"/>
  <c r="O251" i="17"/>
  <c r="P251" i="17"/>
  <c r="Q251" i="17"/>
  <c r="R251" i="17"/>
  <c r="S251" i="17"/>
  <c r="O252" i="17"/>
  <c r="P252" i="17"/>
  <c r="Q252" i="17"/>
  <c r="R252" i="17"/>
  <c r="S252" i="17"/>
  <c r="O253" i="17"/>
  <c r="P253" i="17"/>
  <c r="Q253" i="17"/>
  <c r="R253" i="17"/>
  <c r="S253" i="17"/>
  <c r="O254" i="17"/>
  <c r="P254" i="17"/>
  <c r="Q254" i="17"/>
  <c r="R254" i="17"/>
  <c r="S254" i="17"/>
  <c r="O255" i="17"/>
  <c r="P255" i="17"/>
  <c r="Q255" i="17"/>
  <c r="R255" i="17"/>
  <c r="S255" i="17"/>
  <c r="O256" i="17"/>
  <c r="P256" i="17"/>
  <c r="Q256" i="17"/>
  <c r="R256" i="17"/>
  <c r="S256" i="17"/>
  <c r="O257" i="17"/>
  <c r="P257" i="17"/>
  <c r="Q257" i="17"/>
  <c r="R257" i="17"/>
  <c r="S257" i="17"/>
  <c r="O258" i="17"/>
  <c r="P258" i="17"/>
  <c r="Q258" i="17"/>
  <c r="R258" i="17"/>
  <c r="S258" i="17"/>
  <c r="O259" i="17"/>
  <c r="P259" i="17"/>
  <c r="Q259" i="17"/>
  <c r="R259" i="17"/>
  <c r="S259" i="17"/>
  <c r="O260" i="17"/>
  <c r="P260" i="17"/>
  <c r="Q260" i="17"/>
  <c r="R260" i="17"/>
  <c r="S260" i="17"/>
  <c r="O261" i="17"/>
  <c r="P261" i="17"/>
  <c r="Q261" i="17"/>
  <c r="R261" i="17"/>
  <c r="S261" i="17"/>
  <c r="O262" i="17"/>
  <c r="P262" i="17"/>
  <c r="Q262" i="17"/>
  <c r="R262" i="17"/>
  <c r="S262" i="17"/>
  <c r="O263" i="17"/>
  <c r="P263" i="17"/>
  <c r="Q263" i="17"/>
  <c r="R263" i="17"/>
  <c r="S263" i="17"/>
  <c r="O264" i="17"/>
  <c r="P264" i="17"/>
  <c r="Q264" i="17"/>
  <c r="R264" i="17"/>
  <c r="S264" i="17"/>
  <c r="O265" i="17"/>
  <c r="P265" i="17"/>
  <c r="Q265" i="17"/>
  <c r="R265" i="17"/>
  <c r="S265" i="17"/>
  <c r="O266" i="17"/>
  <c r="P266" i="17"/>
  <c r="Q266" i="17"/>
  <c r="R266" i="17"/>
  <c r="S266" i="17"/>
  <c r="O267" i="17"/>
  <c r="P267" i="17"/>
  <c r="Q267" i="17"/>
  <c r="R267" i="17"/>
  <c r="S267" i="17"/>
  <c r="O268" i="17"/>
  <c r="P268" i="17"/>
  <c r="Q268" i="17"/>
  <c r="R268" i="17"/>
  <c r="S268" i="17"/>
  <c r="O269" i="17"/>
  <c r="P269" i="17"/>
  <c r="Q269" i="17"/>
  <c r="R269" i="17"/>
  <c r="S269" i="17"/>
  <c r="O270" i="17"/>
  <c r="P270" i="17"/>
  <c r="Q270" i="17"/>
  <c r="R270" i="17"/>
  <c r="S270" i="17"/>
  <c r="O271" i="17"/>
  <c r="P271" i="17"/>
  <c r="Q271" i="17"/>
  <c r="R271" i="17"/>
  <c r="S271" i="17"/>
  <c r="O272" i="17"/>
  <c r="P272" i="17"/>
  <c r="Q272" i="17"/>
  <c r="R272" i="17"/>
  <c r="S272" i="17"/>
  <c r="O273" i="17"/>
  <c r="P273" i="17"/>
  <c r="Q273" i="17"/>
  <c r="R273" i="17"/>
  <c r="S273" i="17"/>
  <c r="O274" i="17"/>
  <c r="P274" i="17"/>
  <c r="Q274" i="17"/>
  <c r="R274" i="17"/>
  <c r="S274" i="17"/>
  <c r="O275" i="17"/>
  <c r="P275" i="17"/>
  <c r="Q275" i="17"/>
  <c r="R275" i="17"/>
  <c r="S275" i="17"/>
  <c r="O276" i="17"/>
  <c r="P276" i="17"/>
  <c r="Q276" i="17"/>
  <c r="R276" i="17"/>
  <c r="S276" i="17"/>
  <c r="O277" i="17"/>
  <c r="P277" i="17"/>
  <c r="Q277" i="17"/>
  <c r="R277" i="17"/>
  <c r="S277" i="17"/>
  <c r="O278" i="17"/>
  <c r="P278" i="17"/>
  <c r="Q278" i="17"/>
  <c r="R278" i="17"/>
  <c r="S278" i="17"/>
  <c r="O279" i="17"/>
  <c r="P279" i="17"/>
  <c r="Q279" i="17"/>
  <c r="R279" i="17"/>
  <c r="S279" i="17"/>
  <c r="O280" i="17"/>
  <c r="P280" i="17"/>
  <c r="Q280" i="17"/>
  <c r="R280" i="17"/>
  <c r="S280" i="17"/>
  <c r="O281" i="17"/>
  <c r="P281" i="17"/>
  <c r="Q281" i="17"/>
  <c r="R281" i="17"/>
  <c r="S281" i="17"/>
  <c r="O282" i="17"/>
  <c r="P282" i="17"/>
  <c r="Q282" i="17"/>
  <c r="R282" i="17"/>
  <c r="S282" i="17"/>
  <c r="O283" i="17"/>
  <c r="P283" i="17"/>
  <c r="Q283" i="17"/>
  <c r="R283" i="17"/>
  <c r="S283" i="17"/>
  <c r="O284" i="17"/>
  <c r="P284" i="17"/>
  <c r="Q284" i="17"/>
  <c r="R284" i="17"/>
  <c r="S284" i="17"/>
  <c r="O285" i="17"/>
  <c r="P285" i="17"/>
  <c r="Q285" i="17"/>
  <c r="R285" i="17"/>
  <c r="S285" i="17"/>
  <c r="O286" i="17"/>
  <c r="P286" i="17"/>
  <c r="Q286" i="17"/>
  <c r="R286" i="17"/>
  <c r="S286" i="17"/>
  <c r="O287" i="17"/>
  <c r="P287" i="17"/>
  <c r="Q287" i="17"/>
  <c r="R287" i="17"/>
  <c r="S287" i="17"/>
  <c r="O288" i="17"/>
  <c r="P288" i="17"/>
  <c r="Q288" i="17"/>
  <c r="R288" i="17"/>
  <c r="S288" i="17"/>
  <c r="O289" i="17"/>
  <c r="P289" i="17"/>
  <c r="Q289" i="17"/>
  <c r="R289" i="17"/>
  <c r="S289" i="17"/>
  <c r="O290" i="17"/>
  <c r="P290" i="17"/>
  <c r="Q290" i="17"/>
  <c r="R290" i="17"/>
  <c r="S290" i="17"/>
  <c r="O291" i="17"/>
  <c r="P291" i="17"/>
  <c r="Q291" i="17"/>
  <c r="R291" i="17"/>
  <c r="S291" i="17"/>
  <c r="O292" i="17"/>
  <c r="P292" i="17"/>
  <c r="Q292" i="17"/>
  <c r="R292" i="17"/>
  <c r="S292" i="17"/>
  <c r="O293" i="17"/>
  <c r="P293" i="17"/>
  <c r="Q293" i="17"/>
  <c r="R293" i="17"/>
  <c r="S293" i="17"/>
  <c r="O294" i="17"/>
  <c r="P294" i="17"/>
  <c r="Q294" i="17"/>
  <c r="R294" i="17"/>
  <c r="S294" i="17"/>
  <c r="O295" i="17"/>
  <c r="P295" i="17"/>
  <c r="Q295" i="17"/>
  <c r="R295" i="17"/>
  <c r="S295" i="17"/>
  <c r="O296" i="17"/>
  <c r="P296" i="17"/>
  <c r="Q296" i="17"/>
  <c r="R296" i="17"/>
  <c r="S296" i="17"/>
  <c r="O297" i="17"/>
  <c r="P297" i="17"/>
  <c r="Q297" i="17"/>
  <c r="R297" i="17"/>
  <c r="S297" i="17"/>
  <c r="O298" i="17"/>
  <c r="P298" i="17"/>
  <c r="Q298" i="17"/>
  <c r="R298" i="17"/>
  <c r="S298" i="17"/>
  <c r="O299" i="17"/>
  <c r="P299" i="17"/>
  <c r="Q299" i="17"/>
  <c r="R299" i="17"/>
  <c r="S299" i="17"/>
  <c r="O300" i="17"/>
  <c r="P300" i="17"/>
  <c r="Q300" i="17"/>
  <c r="R300" i="17"/>
  <c r="S300" i="17"/>
  <c r="O301" i="17"/>
  <c r="P301" i="17"/>
  <c r="Q301" i="17"/>
  <c r="R301" i="17"/>
  <c r="S301" i="17"/>
  <c r="O302" i="17"/>
  <c r="P302" i="17"/>
  <c r="Q302" i="17"/>
  <c r="R302" i="17"/>
  <c r="S302" i="17"/>
  <c r="O303" i="17"/>
  <c r="P303" i="17"/>
  <c r="Q303" i="17"/>
  <c r="R303" i="17"/>
  <c r="S303" i="17"/>
  <c r="O304" i="17"/>
  <c r="P304" i="17"/>
  <c r="Q304" i="17"/>
  <c r="R304" i="17"/>
  <c r="S304" i="17"/>
  <c r="O305" i="17"/>
  <c r="P305" i="17"/>
  <c r="Q305" i="17"/>
  <c r="R305" i="17"/>
  <c r="S305" i="17"/>
  <c r="O306" i="17"/>
  <c r="P306" i="17"/>
  <c r="Q306" i="17"/>
  <c r="R306" i="17"/>
  <c r="S306" i="17"/>
  <c r="O307" i="17"/>
  <c r="P307" i="17"/>
  <c r="Q307" i="17"/>
  <c r="R307" i="17"/>
  <c r="S307" i="17"/>
  <c r="O308" i="17"/>
  <c r="P308" i="17"/>
  <c r="Q308" i="17"/>
  <c r="R308" i="17"/>
  <c r="S308" i="17"/>
  <c r="O309" i="17"/>
  <c r="P309" i="17"/>
  <c r="Q309" i="17"/>
  <c r="R309" i="17"/>
  <c r="S309" i="17"/>
  <c r="O310" i="17"/>
  <c r="P310" i="17"/>
  <c r="Q310" i="17"/>
  <c r="R310" i="17"/>
  <c r="S310" i="17"/>
  <c r="O311" i="17"/>
  <c r="P311" i="17"/>
  <c r="Q311" i="17"/>
  <c r="R311" i="17"/>
  <c r="S311" i="17"/>
  <c r="O312" i="17"/>
  <c r="P312" i="17"/>
  <c r="Q312" i="17"/>
  <c r="R312" i="17"/>
  <c r="S312" i="17"/>
  <c r="O313" i="17"/>
  <c r="P313" i="17"/>
  <c r="Q313" i="17"/>
  <c r="R313" i="17"/>
  <c r="S313" i="17"/>
  <c r="O314" i="17"/>
  <c r="P314" i="17"/>
  <c r="Q314" i="17"/>
  <c r="R314" i="17"/>
  <c r="S314" i="17"/>
  <c r="O315" i="17"/>
  <c r="P315" i="17"/>
  <c r="Q315" i="17"/>
  <c r="R315" i="17"/>
  <c r="S315" i="17"/>
  <c r="O316" i="17"/>
  <c r="P316" i="17"/>
  <c r="Q316" i="17"/>
  <c r="R316" i="17"/>
  <c r="S316" i="17"/>
  <c r="O317" i="17"/>
  <c r="P317" i="17"/>
  <c r="Q317" i="17"/>
  <c r="R317" i="17"/>
  <c r="S317" i="17"/>
  <c r="O318" i="17"/>
  <c r="P318" i="17"/>
  <c r="Q318" i="17"/>
  <c r="R318" i="17"/>
  <c r="S318" i="17"/>
  <c r="O319" i="17"/>
  <c r="P319" i="17"/>
  <c r="Q319" i="17"/>
  <c r="R319" i="17"/>
  <c r="S319" i="17"/>
  <c r="O320" i="17"/>
  <c r="P320" i="17"/>
  <c r="Q320" i="17"/>
  <c r="R320" i="17"/>
  <c r="S320" i="17"/>
  <c r="O321" i="17"/>
  <c r="P321" i="17"/>
  <c r="Q321" i="17"/>
  <c r="R321" i="17"/>
  <c r="S321" i="17"/>
  <c r="O322" i="17"/>
  <c r="P322" i="17"/>
  <c r="Q322" i="17"/>
  <c r="R322" i="17"/>
  <c r="S322" i="17"/>
  <c r="O323" i="17"/>
  <c r="P323" i="17"/>
  <c r="Q323" i="17"/>
  <c r="R323" i="17"/>
  <c r="S323" i="17"/>
  <c r="O324" i="17"/>
  <c r="P324" i="17"/>
  <c r="Q324" i="17"/>
  <c r="R324" i="17"/>
  <c r="S324" i="17"/>
  <c r="O325" i="17"/>
  <c r="P325" i="17"/>
  <c r="Q325" i="17"/>
  <c r="R325" i="17"/>
  <c r="S325" i="17"/>
  <c r="O326" i="17"/>
  <c r="P326" i="17"/>
  <c r="Q326" i="17"/>
  <c r="R326" i="17"/>
  <c r="S326" i="17"/>
  <c r="O327" i="17"/>
  <c r="P327" i="17"/>
  <c r="Q327" i="17"/>
  <c r="R327" i="17"/>
  <c r="S327" i="17"/>
  <c r="O328" i="17"/>
  <c r="P328" i="17"/>
  <c r="Q328" i="17"/>
  <c r="R328" i="17"/>
  <c r="S328" i="17"/>
  <c r="O329" i="17"/>
  <c r="P329" i="17"/>
  <c r="Q329" i="17"/>
  <c r="R329" i="17"/>
  <c r="S329" i="17"/>
  <c r="O330" i="17"/>
  <c r="P330" i="17"/>
  <c r="Q330" i="17"/>
  <c r="R330" i="17"/>
  <c r="S330" i="17"/>
  <c r="O331" i="17"/>
  <c r="P331" i="17"/>
  <c r="Q331" i="17"/>
  <c r="R331" i="17"/>
  <c r="S331" i="17"/>
  <c r="O332" i="17"/>
  <c r="P332" i="17"/>
  <c r="Q332" i="17"/>
  <c r="R332" i="17"/>
  <c r="S332" i="17"/>
  <c r="O333" i="17"/>
  <c r="P333" i="17"/>
  <c r="Q333" i="17"/>
  <c r="R333" i="17"/>
  <c r="S333" i="17"/>
  <c r="O334" i="17"/>
  <c r="P334" i="17"/>
  <c r="Q334" i="17"/>
  <c r="R334" i="17"/>
  <c r="S334" i="17"/>
  <c r="O335" i="17"/>
  <c r="P335" i="17"/>
  <c r="Q335" i="17"/>
  <c r="R335" i="17"/>
  <c r="S335" i="17"/>
  <c r="O336" i="17"/>
  <c r="P336" i="17"/>
  <c r="Q336" i="17"/>
  <c r="R336" i="17"/>
  <c r="S336" i="17"/>
  <c r="O337" i="17"/>
  <c r="P337" i="17"/>
  <c r="Q337" i="17"/>
  <c r="R337" i="17"/>
  <c r="S337" i="17"/>
  <c r="O338" i="17"/>
  <c r="P338" i="17"/>
  <c r="Q338" i="17"/>
  <c r="R338" i="17"/>
  <c r="S338" i="17"/>
  <c r="O339" i="17"/>
  <c r="P339" i="17"/>
  <c r="Q339" i="17"/>
  <c r="R339" i="17"/>
  <c r="S339" i="17"/>
  <c r="O340" i="17"/>
  <c r="P340" i="17"/>
  <c r="Q340" i="17"/>
  <c r="R340" i="17"/>
  <c r="S340" i="17"/>
  <c r="O341" i="17"/>
  <c r="P341" i="17"/>
  <c r="Q341" i="17"/>
  <c r="R341" i="17"/>
  <c r="S341" i="17"/>
  <c r="O342" i="17"/>
  <c r="P342" i="17"/>
  <c r="Q342" i="17"/>
  <c r="R342" i="17"/>
  <c r="S342" i="17"/>
  <c r="O343" i="17"/>
  <c r="P343" i="17"/>
  <c r="Q343" i="17"/>
  <c r="R343" i="17"/>
  <c r="S343" i="17"/>
  <c r="O344" i="17"/>
  <c r="P344" i="17"/>
  <c r="Q344" i="17"/>
  <c r="R344" i="17"/>
  <c r="S344" i="17"/>
  <c r="O345" i="17"/>
  <c r="P345" i="17"/>
  <c r="Q345" i="17"/>
  <c r="R345" i="17"/>
  <c r="S345" i="17"/>
  <c r="O346" i="17"/>
  <c r="P346" i="17"/>
  <c r="Q346" i="17"/>
  <c r="R346" i="17"/>
  <c r="S346" i="17"/>
  <c r="O347" i="17"/>
  <c r="P347" i="17"/>
  <c r="Q347" i="17"/>
  <c r="R347" i="17"/>
  <c r="S347" i="17"/>
  <c r="O348" i="17"/>
  <c r="P348" i="17"/>
  <c r="Q348" i="17"/>
  <c r="R348" i="17"/>
  <c r="S348" i="17"/>
  <c r="O349" i="17"/>
  <c r="P349" i="17"/>
  <c r="Q349" i="17"/>
  <c r="R349" i="17"/>
  <c r="S349" i="17"/>
  <c r="O350" i="17"/>
  <c r="P350" i="17"/>
  <c r="Q350" i="17"/>
  <c r="R350" i="17"/>
  <c r="S350" i="17"/>
  <c r="O351" i="17"/>
  <c r="P351" i="17"/>
  <c r="Q351" i="17"/>
  <c r="R351" i="17"/>
  <c r="S351" i="17"/>
  <c r="O352" i="17"/>
  <c r="P352" i="17"/>
  <c r="Q352" i="17"/>
  <c r="R352" i="17"/>
  <c r="S352" i="17"/>
  <c r="O353" i="17"/>
  <c r="P353" i="17"/>
  <c r="Q353" i="17"/>
  <c r="R353" i="17"/>
  <c r="S353" i="17"/>
  <c r="O354" i="17"/>
  <c r="P354" i="17"/>
  <c r="Q354" i="17"/>
  <c r="R354" i="17"/>
  <c r="S354" i="17"/>
  <c r="O355" i="17"/>
  <c r="P355" i="17"/>
  <c r="Q355" i="17"/>
  <c r="R355" i="17"/>
  <c r="S355" i="17"/>
  <c r="O356" i="17"/>
  <c r="P356" i="17"/>
  <c r="Q356" i="17"/>
  <c r="R356" i="17"/>
  <c r="S356" i="17"/>
  <c r="O357" i="17"/>
  <c r="P357" i="17"/>
  <c r="Q357" i="17"/>
  <c r="R357" i="17"/>
  <c r="S357" i="17"/>
  <c r="O358" i="17"/>
  <c r="P358" i="17"/>
  <c r="Q358" i="17"/>
  <c r="R358" i="17"/>
  <c r="S358" i="17"/>
  <c r="O359" i="17"/>
  <c r="P359" i="17"/>
  <c r="Q359" i="17"/>
  <c r="R359" i="17"/>
  <c r="S359" i="17"/>
  <c r="O360" i="17"/>
  <c r="P360" i="17"/>
  <c r="Q360" i="17"/>
  <c r="R360" i="17"/>
  <c r="S360" i="17"/>
  <c r="O361" i="17"/>
  <c r="P361" i="17"/>
  <c r="Q361" i="17"/>
  <c r="R361" i="17"/>
  <c r="S361" i="17"/>
  <c r="O362" i="17"/>
  <c r="P362" i="17"/>
  <c r="Q362" i="17"/>
  <c r="R362" i="17"/>
  <c r="S362" i="17"/>
  <c r="O363" i="17"/>
  <c r="P363" i="17"/>
  <c r="Q363" i="17"/>
  <c r="R363" i="17"/>
  <c r="S363" i="17"/>
  <c r="O364" i="17"/>
  <c r="P364" i="17"/>
  <c r="Q364" i="17"/>
  <c r="R364" i="17"/>
  <c r="S364" i="17"/>
  <c r="O365" i="17"/>
  <c r="P365" i="17"/>
  <c r="Q365" i="17"/>
  <c r="R365" i="17"/>
  <c r="S365" i="17"/>
  <c r="O366" i="17"/>
  <c r="P366" i="17"/>
  <c r="Q366" i="17"/>
  <c r="R366" i="17"/>
  <c r="S366" i="17"/>
  <c r="O367" i="17"/>
  <c r="P367" i="17"/>
  <c r="Q367" i="17"/>
  <c r="R367" i="17"/>
  <c r="S367" i="17"/>
  <c r="O368" i="17"/>
  <c r="P368" i="17"/>
  <c r="Q368" i="17"/>
  <c r="R368" i="17"/>
  <c r="S368" i="17"/>
  <c r="O369" i="17"/>
  <c r="P369" i="17"/>
  <c r="Q369" i="17"/>
  <c r="R369" i="17"/>
  <c r="S369" i="17"/>
  <c r="O370" i="17"/>
  <c r="P370" i="17"/>
  <c r="Q370" i="17"/>
  <c r="R370" i="17"/>
  <c r="S370" i="17"/>
  <c r="O371" i="17"/>
  <c r="P371" i="17"/>
  <c r="Q371" i="17"/>
  <c r="R371" i="17"/>
  <c r="S371" i="17"/>
  <c r="O372" i="17"/>
  <c r="P372" i="17"/>
  <c r="Q372" i="17"/>
  <c r="R372" i="17"/>
  <c r="S372" i="17"/>
  <c r="O373" i="17"/>
  <c r="P373" i="17"/>
  <c r="Q373" i="17"/>
  <c r="R373" i="17"/>
  <c r="S373" i="17"/>
  <c r="O374" i="17"/>
  <c r="P374" i="17"/>
  <c r="Q374" i="17"/>
  <c r="R374" i="17"/>
  <c r="S374" i="17"/>
  <c r="O375" i="17"/>
  <c r="P375" i="17"/>
  <c r="Q375" i="17"/>
  <c r="R375" i="17"/>
  <c r="S375" i="17"/>
  <c r="O376" i="17"/>
  <c r="P376" i="17"/>
  <c r="Q376" i="17"/>
  <c r="R376" i="17"/>
  <c r="S376" i="17"/>
  <c r="O377" i="17"/>
  <c r="P377" i="17"/>
  <c r="Q377" i="17"/>
  <c r="R377" i="17"/>
  <c r="S377" i="17"/>
  <c r="O378" i="17"/>
  <c r="P378" i="17"/>
  <c r="Q378" i="17"/>
  <c r="R378" i="17"/>
  <c r="S378" i="17"/>
  <c r="O379" i="17"/>
  <c r="P379" i="17"/>
  <c r="Q379" i="17"/>
  <c r="R379" i="17"/>
  <c r="S379" i="17"/>
  <c r="O380" i="17"/>
  <c r="P380" i="17"/>
  <c r="Q380" i="17"/>
  <c r="R380" i="17"/>
  <c r="S380" i="17"/>
  <c r="O381" i="17"/>
  <c r="P381" i="17"/>
  <c r="Q381" i="17"/>
  <c r="R381" i="17"/>
  <c r="S381" i="17"/>
  <c r="O382" i="17"/>
  <c r="P382" i="17"/>
  <c r="Q382" i="17"/>
  <c r="R382" i="17"/>
  <c r="S382" i="17"/>
  <c r="O383" i="17"/>
  <c r="P383" i="17"/>
  <c r="Q383" i="17"/>
  <c r="R383" i="17"/>
  <c r="S383" i="17"/>
  <c r="O384" i="17"/>
  <c r="P384" i="17"/>
  <c r="Q384" i="17"/>
  <c r="R384" i="17"/>
  <c r="S384" i="17"/>
  <c r="O385" i="17"/>
  <c r="P385" i="17"/>
  <c r="Q385" i="17"/>
  <c r="R385" i="17"/>
  <c r="S385" i="17"/>
  <c r="O386" i="17"/>
  <c r="P386" i="17"/>
  <c r="Q386" i="17"/>
  <c r="R386" i="17"/>
  <c r="S386" i="17"/>
  <c r="O387" i="17"/>
  <c r="P387" i="17"/>
  <c r="Q387" i="17"/>
  <c r="R387" i="17"/>
  <c r="S387" i="17"/>
  <c r="O388" i="17"/>
  <c r="P388" i="17"/>
  <c r="Q388" i="17"/>
  <c r="R388" i="17"/>
  <c r="S388" i="17"/>
  <c r="O389" i="17"/>
  <c r="P389" i="17"/>
  <c r="Q389" i="17"/>
  <c r="R389" i="17"/>
  <c r="S389" i="17"/>
  <c r="O390" i="17"/>
  <c r="P390" i="17"/>
  <c r="Q390" i="17"/>
  <c r="R390" i="17"/>
  <c r="S390" i="17"/>
  <c r="O391" i="17"/>
  <c r="P391" i="17"/>
  <c r="Q391" i="17"/>
  <c r="R391" i="17"/>
  <c r="S391" i="17"/>
  <c r="O392" i="17"/>
  <c r="P392" i="17"/>
  <c r="Q392" i="17"/>
  <c r="R392" i="17"/>
  <c r="S392" i="17"/>
  <c r="O393" i="17"/>
  <c r="P393" i="17"/>
  <c r="Q393" i="17"/>
  <c r="R393" i="17"/>
  <c r="S393" i="17"/>
  <c r="O394" i="17"/>
  <c r="P394" i="17"/>
  <c r="Q394" i="17"/>
  <c r="R394" i="17"/>
  <c r="S394" i="17"/>
  <c r="O395" i="17"/>
  <c r="P395" i="17"/>
  <c r="Q395" i="17"/>
  <c r="R395" i="17"/>
  <c r="S395" i="17"/>
  <c r="O396" i="17"/>
  <c r="P396" i="17"/>
  <c r="Q396" i="17"/>
  <c r="R396" i="17"/>
  <c r="S396" i="17"/>
  <c r="O397" i="17"/>
  <c r="P397" i="17"/>
  <c r="Q397" i="17"/>
  <c r="R397" i="17"/>
  <c r="S397" i="17"/>
  <c r="O398" i="17"/>
  <c r="P398" i="17"/>
  <c r="Q398" i="17"/>
  <c r="R398" i="17"/>
  <c r="S398" i="17"/>
  <c r="O399" i="17"/>
  <c r="P399" i="17"/>
  <c r="Q399" i="17"/>
  <c r="R399" i="17"/>
  <c r="S399" i="17"/>
  <c r="O400" i="17"/>
  <c r="P400" i="17"/>
  <c r="Q400" i="17"/>
  <c r="R400" i="17"/>
  <c r="S400" i="17"/>
  <c r="O401" i="17"/>
  <c r="P401" i="17"/>
  <c r="Q401" i="17"/>
  <c r="R401" i="17"/>
  <c r="S401" i="17"/>
  <c r="O402" i="17"/>
  <c r="P402" i="17"/>
  <c r="Q402" i="17"/>
  <c r="R402" i="17"/>
  <c r="S402" i="17"/>
  <c r="O403" i="17"/>
  <c r="P403" i="17"/>
  <c r="Q403" i="17"/>
  <c r="R403" i="17"/>
  <c r="S403" i="17"/>
  <c r="O404" i="17"/>
  <c r="P404" i="17"/>
  <c r="Q404" i="17"/>
  <c r="R404" i="17"/>
  <c r="S404" i="17"/>
  <c r="O405" i="17"/>
  <c r="P405" i="17"/>
  <c r="Q405" i="17"/>
  <c r="R405" i="17"/>
  <c r="S405" i="17"/>
  <c r="O406" i="17"/>
  <c r="P406" i="17"/>
  <c r="Q406" i="17"/>
  <c r="R406" i="17"/>
  <c r="S406" i="17"/>
  <c r="O407" i="17"/>
  <c r="P407" i="17"/>
  <c r="Q407" i="17"/>
  <c r="R407" i="17"/>
  <c r="S407" i="17"/>
  <c r="O408" i="17"/>
  <c r="P408" i="17"/>
  <c r="Q408" i="17"/>
  <c r="R408" i="17"/>
  <c r="S408" i="17"/>
  <c r="O409" i="17"/>
  <c r="P409" i="17"/>
  <c r="Q409" i="17"/>
  <c r="R409" i="17"/>
  <c r="S409" i="17"/>
  <c r="O410" i="17"/>
  <c r="P410" i="17"/>
  <c r="Q410" i="17"/>
  <c r="R410" i="17"/>
  <c r="S410" i="17"/>
  <c r="O411" i="17"/>
  <c r="P411" i="17"/>
  <c r="Q411" i="17"/>
  <c r="R411" i="17"/>
  <c r="S411" i="17"/>
  <c r="O412" i="17"/>
  <c r="P412" i="17"/>
  <c r="Q412" i="17"/>
  <c r="R412" i="17"/>
  <c r="S412" i="17"/>
  <c r="O413" i="17"/>
  <c r="P413" i="17"/>
  <c r="Q413" i="17"/>
  <c r="R413" i="17"/>
  <c r="S413" i="17"/>
  <c r="O414" i="17"/>
  <c r="P414" i="17"/>
  <c r="Q414" i="17"/>
  <c r="R414" i="17"/>
  <c r="S414" i="17"/>
  <c r="O415" i="17"/>
  <c r="P415" i="17"/>
  <c r="Q415" i="17"/>
  <c r="R415" i="17"/>
  <c r="S415" i="17"/>
  <c r="O416" i="17"/>
  <c r="P416" i="17"/>
  <c r="Q416" i="17"/>
  <c r="R416" i="17"/>
  <c r="S416" i="17"/>
  <c r="O417" i="17"/>
  <c r="P417" i="17"/>
  <c r="Q417" i="17"/>
  <c r="R417" i="17"/>
  <c r="S417" i="17"/>
  <c r="O418" i="17"/>
  <c r="P418" i="17"/>
  <c r="Q418" i="17"/>
  <c r="R418" i="17"/>
  <c r="S418" i="17"/>
  <c r="O419" i="17"/>
  <c r="P419" i="17"/>
  <c r="Q419" i="17"/>
  <c r="R419" i="17"/>
  <c r="S419" i="17"/>
  <c r="O420" i="17"/>
  <c r="P420" i="17"/>
  <c r="Q420" i="17"/>
  <c r="R420" i="17"/>
  <c r="S420" i="17"/>
  <c r="O421" i="17"/>
  <c r="P421" i="17"/>
  <c r="Q421" i="17"/>
  <c r="R421" i="17"/>
  <c r="S421" i="17"/>
  <c r="O422" i="17"/>
  <c r="P422" i="17"/>
  <c r="Q422" i="17"/>
  <c r="R422" i="17"/>
  <c r="S422" i="17"/>
  <c r="O423" i="17"/>
  <c r="P423" i="17"/>
  <c r="Q423" i="17"/>
  <c r="R423" i="17"/>
  <c r="S423" i="17"/>
  <c r="O424" i="17"/>
  <c r="P424" i="17"/>
  <c r="Q424" i="17"/>
  <c r="R424" i="17"/>
  <c r="S424" i="17"/>
  <c r="O425" i="17"/>
  <c r="P425" i="17"/>
  <c r="Q425" i="17"/>
  <c r="R425" i="17"/>
  <c r="S425" i="17"/>
  <c r="O426" i="17"/>
  <c r="P426" i="17"/>
  <c r="Q426" i="17"/>
  <c r="R426" i="17"/>
  <c r="S426" i="17"/>
  <c r="O427" i="17"/>
  <c r="P427" i="17"/>
  <c r="Q427" i="17"/>
  <c r="R427" i="17"/>
  <c r="S427" i="17"/>
  <c r="O428" i="17"/>
  <c r="P428" i="17"/>
  <c r="Q428" i="17"/>
  <c r="R428" i="17"/>
  <c r="S428" i="17"/>
  <c r="O429" i="17"/>
  <c r="P429" i="17"/>
  <c r="Q429" i="17"/>
  <c r="R429" i="17"/>
  <c r="S429" i="17"/>
  <c r="O430" i="17"/>
  <c r="P430" i="17"/>
  <c r="Q430" i="17"/>
  <c r="R430" i="17"/>
  <c r="S430" i="17"/>
  <c r="S6" i="17"/>
  <c r="R6" i="17"/>
  <c r="Q6" i="17"/>
  <c r="P6" i="17"/>
  <c r="O6" i="17"/>
  <c r="R7" i="16"/>
  <c r="S7" i="16"/>
  <c r="T7" i="16"/>
  <c r="U7" i="16"/>
  <c r="V7" i="16"/>
  <c r="W7" i="16"/>
  <c r="R8" i="16"/>
  <c r="S8" i="16"/>
  <c r="T8" i="16"/>
  <c r="U8" i="16"/>
  <c r="V8" i="16"/>
  <c r="W8" i="16"/>
  <c r="R9" i="16"/>
  <c r="S9" i="16"/>
  <c r="T9" i="16"/>
  <c r="U9" i="16"/>
  <c r="V9" i="16"/>
  <c r="W9" i="16"/>
  <c r="R10" i="16"/>
  <c r="S10" i="16"/>
  <c r="T10" i="16"/>
  <c r="U10" i="16"/>
  <c r="V10" i="16"/>
  <c r="W10" i="16"/>
  <c r="R11" i="16"/>
  <c r="S11" i="16"/>
  <c r="T11" i="16"/>
  <c r="U11" i="16"/>
  <c r="V11" i="16"/>
  <c r="W11" i="16"/>
  <c r="R12" i="16"/>
  <c r="S12" i="16"/>
  <c r="T12" i="16"/>
  <c r="U12" i="16"/>
  <c r="V12" i="16"/>
  <c r="W12" i="16"/>
  <c r="R13" i="16"/>
  <c r="S13" i="16"/>
  <c r="T13" i="16"/>
  <c r="U13" i="16"/>
  <c r="V13" i="16"/>
  <c r="W13" i="16"/>
  <c r="R14" i="16"/>
  <c r="S14" i="16"/>
  <c r="T14" i="16"/>
  <c r="U14" i="16"/>
  <c r="V14" i="16"/>
  <c r="W14" i="16"/>
  <c r="R15" i="16"/>
  <c r="S15" i="16"/>
  <c r="T15" i="16"/>
  <c r="U15" i="16"/>
  <c r="V15" i="16"/>
  <c r="W15" i="16"/>
  <c r="R16" i="16"/>
  <c r="S16" i="16"/>
  <c r="T16" i="16"/>
  <c r="U16" i="16"/>
  <c r="V16" i="16"/>
  <c r="W16" i="16"/>
  <c r="R17" i="16"/>
  <c r="S17" i="16"/>
  <c r="T17" i="16"/>
  <c r="U17" i="16"/>
  <c r="V17" i="16"/>
  <c r="W17" i="16"/>
  <c r="R18" i="16"/>
  <c r="S18" i="16"/>
  <c r="T18" i="16"/>
  <c r="U18" i="16"/>
  <c r="V18" i="16"/>
  <c r="W18" i="16"/>
  <c r="X18" i="16"/>
  <c r="R19" i="16"/>
  <c r="S19" i="16"/>
  <c r="T19" i="16"/>
  <c r="U19" i="16"/>
  <c r="V19" i="16"/>
  <c r="W19" i="16"/>
  <c r="X19" i="16"/>
  <c r="R20" i="16"/>
  <c r="S20" i="16"/>
  <c r="T20" i="16"/>
  <c r="U20" i="16"/>
  <c r="V20" i="16"/>
  <c r="W20" i="16"/>
  <c r="X20" i="16"/>
  <c r="R21" i="16"/>
  <c r="S21" i="16"/>
  <c r="T21" i="16"/>
  <c r="U21" i="16"/>
  <c r="V21" i="16"/>
  <c r="W21" i="16"/>
  <c r="X21" i="16"/>
  <c r="R22" i="16"/>
  <c r="S22" i="16"/>
  <c r="T22" i="16"/>
  <c r="U22" i="16"/>
  <c r="V22" i="16"/>
  <c r="W22" i="16"/>
  <c r="X22" i="16"/>
  <c r="R23" i="16"/>
  <c r="S23" i="16"/>
  <c r="T23" i="16"/>
  <c r="U23" i="16"/>
  <c r="V23" i="16"/>
  <c r="W23" i="16"/>
  <c r="X23" i="16"/>
  <c r="R24" i="16"/>
  <c r="S24" i="16"/>
  <c r="T24" i="16"/>
  <c r="U24" i="16"/>
  <c r="V24" i="16"/>
  <c r="W24" i="16"/>
  <c r="X24" i="16"/>
  <c r="R25" i="16"/>
  <c r="S25" i="16"/>
  <c r="T25" i="16"/>
  <c r="U25" i="16"/>
  <c r="V25" i="16"/>
  <c r="W25" i="16"/>
  <c r="X25" i="16"/>
  <c r="R26" i="16"/>
  <c r="S26" i="16"/>
  <c r="T26" i="16"/>
  <c r="U26" i="16"/>
  <c r="V26" i="16"/>
  <c r="W26" i="16"/>
  <c r="X26" i="16"/>
  <c r="R27" i="16"/>
  <c r="S27" i="16"/>
  <c r="T27" i="16"/>
  <c r="U27" i="16"/>
  <c r="V27" i="16"/>
  <c r="W27" i="16"/>
  <c r="X27" i="16"/>
  <c r="R28" i="16"/>
  <c r="S28" i="16"/>
  <c r="T28" i="16"/>
  <c r="U28" i="16"/>
  <c r="V28" i="16"/>
  <c r="W28" i="16"/>
  <c r="X28" i="16"/>
  <c r="R29" i="16"/>
  <c r="S29" i="16"/>
  <c r="T29" i="16"/>
  <c r="U29" i="16"/>
  <c r="V29" i="16"/>
  <c r="W29" i="16"/>
  <c r="X29" i="16"/>
  <c r="R30" i="16"/>
  <c r="S30" i="16"/>
  <c r="T30" i="16"/>
  <c r="U30" i="16"/>
  <c r="V30" i="16"/>
  <c r="W30" i="16"/>
  <c r="X30" i="16"/>
  <c r="R31" i="16"/>
  <c r="S31" i="16"/>
  <c r="T31" i="16"/>
  <c r="U31" i="16"/>
  <c r="V31" i="16"/>
  <c r="W31" i="16"/>
  <c r="X31" i="16"/>
  <c r="R32" i="16"/>
  <c r="S32" i="16"/>
  <c r="T32" i="16"/>
  <c r="U32" i="16"/>
  <c r="V32" i="16"/>
  <c r="W32" i="16"/>
  <c r="X32" i="16"/>
  <c r="R33" i="16"/>
  <c r="S33" i="16"/>
  <c r="T33" i="16"/>
  <c r="U33" i="16"/>
  <c r="V33" i="16"/>
  <c r="W33" i="16"/>
  <c r="X33" i="16"/>
  <c r="R34" i="16"/>
  <c r="S34" i="16"/>
  <c r="T34" i="16"/>
  <c r="U34" i="16"/>
  <c r="V34" i="16"/>
  <c r="W34" i="16"/>
  <c r="X34" i="16"/>
  <c r="R35" i="16"/>
  <c r="S35" i="16"/>
  <c r="T35" i="16"/>
  <c r="U35" i="16"/>
  <c r="V35" i="16"/>
  <c r="W35" i="16"/>
  <c r="X35" i="16"/>
  <c r="R36" i="16"/>
  <c r="S36" i="16"/>
  <c r="T36" i="16"/>
  <c r="U36" i="16"/>
  <c r="V36" i="16"/>
  <c r="W36" i="16"/>
  <c r="X36" i="16"/>
  <c r="R37" i="16"/>
  <c r="S37" i="16"/>
  <c r="T37" i="16"/>
  <c r="U37" i="16"/>
  <c r="V37" i="16"/>
  <c r="W37" i="16"/>
  <c r="X37" i="16"/>
  <c r="R38" i="16"/>
  <c r="S38" i="16"/>
  <c r="T38" i="16"/>
  <c r="U38" i="16"/>
  <c r="V38" i="16"/>
  <c r="W38" i="16"/>
  <c r="X38" i="16"/>
  <c r="R39" i="16"/>
  <c r="S39" i="16"/>
  <c r="T39" i="16"/>
  <c r="U39" i="16"/>
  <c r="V39" i="16"/>
  <c r="W39" i="16"/>
  <c r="X39" i="16"/>
  <c r="R40" i="16"/>
  <c r="S40" i="16"/>
  <c r="T40" i="16"/>
  <c r="U40" i="16"/>
  <c r="V40" i="16"/>
  <c r="W40" i="16"/>
  <c r="X40" i="16"/>
  <c r="R41" i="16"/>
  <c r="S41" i="16"/>
  <c r="T41" i="16"/>
  <c r="U41" i="16"/>
  <c r="V41" i="16"/>
  <c r="W41" i="16"/>
  <c r="X41" i="16"/>
  <c r="R42" i="16"/>
  <c r="S42" i="16"/>
  <c r="T42" i="16"/>
  <c r="U42" i="16"/>
  <c r="V42" i="16"/>
  <c r="W42" i="16"/>
  <c r="X42" i="16"/>
  <c r="R43" i="16"/>
  <c r="S43" i="16"/>
  <c r="T43" i="16"/>
  <c r="U43" i="16"/>
  <c r="V43" i="16"/>
  <c r="W43" i="16"/>
  <c r="X43" i="16"/>
  <c r="R44" i="16"/>
  <c r="S44" i="16"/>
  <c r="T44" i="16"/>
  <c r="U44" i="16"/>
  <c r="V44" i="16"/>
  <c r="W44" i="16"/>
  <c r="X44" i="16"/>
  <c r="R45" i="16"/>
  <c r="S45" i="16"/>
  <c r="T45" i="16"/>
  <c r="U45" i="16"/>
  <c r="V45" i="16"/>
  <c r="W45" i="16"/>
  <c r="X45" i="16"/>
  <c r="R46" i="16"/>
  <c r="S46" i="16"/>
  <c r="T46" i="16"/>
  <c r="U46" i="16"/>
  <c r="V46" i="16"/>
  <c r="W46" i="16"/>
  <c r="X46" i="16"/>
  <c r="R47" i="16"/>
  <c r="S47" i="16"/>
  <c r="T47" i="16"/>
  <c r="U47" i="16"/>
  <c r="V47" i="16"/>
  <c r="W47" i="16"/>
  <c r="X47" i="16"/>
  <c r="R48" i="16"/>
  <c r="S48" i="16"/>
  <c r="T48" i="16"/>
  <c r="U48" i="16"/>
  <c r="V48" i="16"/>
  <c r="W48" i="16"/>
  <c r="X48" i="16"/>
  <c r="R49" i="16"/>
  <c r="S49" i="16"/>
  <c r="T49" i="16"/>
  <c r="U49" i="16"/>
  <c r="V49" i="16"/>
  <c r="W49" i="16"/>
  <c r="X49" i="16"/>
  <c r="R50" i="16"/>
  <c r="S50" i="16"/>
  <c r="T50" i="16"/>
  <c r="U50" i="16"/>
  <c r="V50" i="16"/>
  <c r="W50" i="16"/>
  <c r="X50" i="16"/>
  <c r="R51" i="16"/>
  <c r="S51" i="16"/>
  <c r="T51" i="16"/>
  <c r="U51" i="16"/>
  <c r="V51" i="16"/>
  <c r="W51" i="16"/>
  <c r="X51" i="16"/>
  <c r="R52" i="16"/>
  <c r="S52" i="16"/>
  <c r="T52" i="16"/>
  <c r="U52" i="16"/>
  <c r="V52" i="16"/>
  <c r="W52" i="16"/>
  <c r="X52" i="16"/>
  <c r="R53" i="16"/>
  <c r="S53" i="16"/>
  <c r="T53" i="16"/>
  <c r="U53" i="16"/>
  <c r="V53" i="16"/>
  <c r="W53" i="16"/>
  <c r="X53" i="16"/>
  <c r="R54" i="16"/>
  <c r="S54" i="16"/>
  <c r="T54" i="16"/>
  <c r="U54" i="16"/>
  <c r="V54" i="16"/>
  <c r="W54" i="16"/>
  <c r="X54" i="16"/>
  <c r="R55" i="16"/>
  <c r="S55" i="16"/>
  <c r="T55" i="16"/>
  <c r="U55" i="16"/>
  <c r="V55" i="16"/>
  <c r="W55" i="16"/>
  <c r="X55" i="16"/>
  <c r="R56" i="16"/>
  <c r="S56" i="16"/>
  <c r="T56" i="16"/>
  <c r="U56" i="16"/>
  <c r="V56" i="16"/>
  <c r="W56" i="16"/>
  <c r="X56" i="16"/>
  <c r="R57" i="16"/>
  <c r="S57" i="16"/>
  <c r="T57" i="16"/>
  <c r="U57" i="16"/>
  <c r="V57" i="16"/>
  <c r="W57" i="16"/>
  <c r="X57" i="16"/>
  <c r="R58" i="16"/>
  <c r="S58" i="16"/>
  <c r="T58" i="16"/>
  <c r="U58" i="16"/>
  <c r="V58" i="16"/>
  <c r="W58" i="16"/>
  <c r="X58" i="16"/>
  <c r="R59" i="16"/>
  <c r="S59" i="16"/>
  <c r="T59" i="16"/>
  <c r="U59" i="16"/>
  <c r="V59" i="16"/>
  <c r="W59" i="16"/>
  <c r="X59" i="16"/>
  <c r="R60" i="16"/>
  <c r="S60" i="16"/>
  <c r="T60" i="16"/>
  <c r="U60" i="16"/>
  <c r="V60" i="16"/>
  <c r="W60" i="16"/>
  <c r="X60" i="16"/>
  <c r="R61" i="16"/>
  <c r="S61" i="16"/>
  <c r="T61" i="16"/>
  <c r="U61" i="16"/>
  <c r="V61" i="16"/>
  <c r="W61" i="16"/>
  <c r="X61" i="16"/>
  <c r="R62" i="16"/>
  <c r="S62" i="16"/>
  <c r="T62" i="16"/>
  <c r="U62" i="16"/>
  <c r="V62" i="16"/>
  <c r="W62" i="16"/>
  <c r="X62" i="16"/>
  <c r="R63" i="16"/>
  <c r="S63" i="16"/>
  <c r="T63" i="16"/>
  <c r="U63" i="16"/>
  <c r="V63" i="16"/>
  <c r="W63" i="16"/>
  <c r="X63" i="16"/>
  <c r="R64" i="16"/>
  <c r="S64" i="16"/>
  <c r="T64" i="16"/>
  <c r="U64" i="16"/>
  <c r="V64" i="16"/>
  <c r="W64" i="16"/>
  <c r="X64" i="16"/>
  <c r="R65" i="16"/>
  <c r="S65" i="16"/>
  <c r="T65" i="16"/>
  <c r="U65" i="16"/>
  <c r="V65" i="16"/>
  <c r="W65" i="16"/>
  <c r="X65" i="16"/>
  <c r="R66" i="16"/>
  <c r="S66" i="16"/>
  <c r="T66" i="16"/>
  <c r="U66" i="16"/>
  <c r="V66" i="16"/>
  <c r="W66" i="16"/>
  <c r="X66" i="16"/>
  <c r="R67" i="16"/>
  <c r="S67" i="16"/>
  <c r="T67" i="16"/>
  <c r="U67" i="16"/>
  <c r="V67" i="16"/>
  <c r="W67" i="16"/>
  <c r="X67" i="16"/>
  <c r="R68" i="16"/>
  <c r="S68" i="16"/>
  <c r="T68" i="16"/>
  <c r="U68" i="16"/>
  <c r="V68" i="16"/>
  <c r="W68" i="16"/>
  <c r="X68" i="16"/>
  <c r="R69" i="16"/>
  <c r="S69" i="16"/>
  <c r="T69" i="16"/>
  <c r="U69" i="16"/>
  <c r="V69" i="16"/>
  <c r="W69" i="16"/>
  <c r="X69" i="16"/>
  <c r="R70" i="16"/>
  <c r="S70" i="16"/>
  <c r="T70" i="16"/>
  <c r="U70" i="16"/>
  <c r="V70" i="16"/>
  <c r="W70" i="16"/>
  <c r="X70" i="16"/>
  <c r="R71" i="16"/>
  <c r="S71" i="16"/>
  <c r="T71" i="16"/>
  <c r="U71" i="16"/>
  <c r="V71" i="16"/>
  <c r="W71" i="16"/>
  <c r="X71" i="16"/>
  <c r="R72" i="16"/>
  <c r="S72" i="16"/>
  <c r="T72" i="16"/>
  <c r="U72" i="16"/>
  <c r="V72" i="16"/>
  <c r="W72" i="16"/>
  <c r="X72" i="16"/>
  <c r="R73" i="16"/>
  <c r="S73" i="16"/>
  <c r="T73" i="16"/>
  <c r="U73" i="16"/>
  <c r="V73" i="16"/>
  <c r="W73" i="16"/>
  <c r="X73" i="16"/>
  <c r="R74" i="16"/>
  <c r="S74" i="16"/>
  <c r="T74" i="16"/>
  <c r="U74" i="16"/>
  <c r="V74" i="16"/>
  <c r="W74" i="16"/>
  <c r="X74" i="16"/>
  <c r="R75" i="16"/>
  <c r="S75" i="16"/>
  <c r="T75" i="16"/>
  <c r="U75" i="16"/>
  <c r="V75" i="16"/>
  <c r="W75" i="16"/>
  <c r="X75" i="16"/>
  <c r="R76" i="16"/>
  <c r="S76" i="16"/>
  <c r="T76" i="16"/>
  <c r="U76" i="16"/>
  <c r="V76" i="16"/>
  <c r="W76" i="16"/>
  <c r="X76" i="16"/>
  <c r="R77" i="16"/>
  <c r="S77" i="16"/>
  <c r="T77" i="16"/>
  <c r="U77" i="16"/>
  <c r="V77" i="16"/>
  <c r="W77" i="16"/>
  <c r="X77" i="16"/>
  <c r="R78" i="16"/>
  <c r="S78" i="16"/>
  <c r="T78" i="16"/>
  <c r="U78" i="16"/>
  <c r="V78" i="16"/>
  <c r="W78" i="16"/>
  <c r="X78" i="16"/>
  <c r="R79" i="16"/>
  <c r="S79" i="16"/>
  <c r="T79" i="16"/>
  <c r="U79" i="16"/>
  <c r="V79" i="16"/>
  <c r="W79" i="16"/>
  <c r="X79" i="16"/>
  <c r="R80" i="16"/>
  <c r="S80" i="16"/>
  <c r="T80" i="16"/>
  <c r="U80" i="16"/>
  <c r="V80" i="16"/>
  <c r="W80" i="16"/>
  <c r="X80" i="16"/>
  <c r="R81" i="16"/>
  <c r="S81" i="16"/>
  <c r="T81" i="16"/>
  <c r="U81" i="16"/>
  <c r="V81" i="16"/>
  <c r="W81" i="16"/>
  <c r="X81" i="16"/>
  <c r="R82" i="16"/>
  <c r="S82" i="16"/>
  <c r="T82" i="16"/>
  <c r="U82" i="16"/>
  <c r="V82" i="16"/>
  <c r="W82" i="16"/>
  <c r="X82" i="16"/>
  <c r="R83" i="16"/>
  <c r="S83" i="16"/>
  <c r="T83" i="16"/>
  <c r="U83" i="16"/>
  <c r="V83" i="16"/>
  <c r="W83" i="16"/>
  <c r="X83" i="16"/>
  <c r="R84" i="16"/>
  <c r="S84" i="16"/>
  <c r="T84" i="16"/>
  <c r="U84" i="16"/>
  <c r="V84" i="16"/>
  <c r="W84" i="16"/>
  <c r="X84" i="16"/>
  <c r="R85" i="16"/>
  <c r="S85" i="16"/>
  <c r="T85" i="16"/>
  <c r="U85" i="16"/>
  <c r="V85" i="16"/>
  <c r="W85" i="16"/>
  <c r="X85" i="16"/>
  <c r="R86" i="16"/>
  <c r="S86" i="16"/>
  <c r="T86" i="16"/>
  <c r="U86" i="16"/>
  <c r="V86" i="16"/>
  <c r="W86" i="16"/>
  <c r="X86" i="16"/>
  <c r="R87" i="16"/>
  <c r="S87" i="16"/>
  <c r="T87" i="16"/>
  <c r="U87" i="16"/>
  <c r="V87" i="16"/>
  <c r="W87" i="16"/>
  <c r="X87" i="16"/>
  <c r="R88" i="16"/>
  <c r="S88" i="16"/>
  <c r="T88" i="16"/>
  <c r="U88" i="16"/>
  <c r="V88" i="16"/>
  <c r="W88" i="16"/>
  <c r="X88" i="16"/>
  <c r="R89" i="16"/>
  <c r="S89" i="16"/>
  <c r="T89" i="16"/>
  <c r="U89" i="16"/>
  <c r="V89" i="16"/>
  <c r="W89" i="16"/>
  <c r="X89" i="16"/>
  <c r="R90" i="16"/>
  <c r="S90" i="16"/>
  <c r="T90" i="16"/>
  <c r="U90" i="16"/>
  <c r="V90" i="16"/>
  <c r="W90" i="16"/>
  <c r="X90" i="16"/>
  <c r="R91" i="16"/>
  <c r="S91" i="16"/>
  <c r="T91" i="16"/>
  <c r="U91" i="16"/>
  <c r="V91" i="16"/>
  <c r="W91" i="16"/>
  <c r="X91" i="16"/>
  <c r="R92" i="16"/>
  <c r="S92" i="16"/>
  <c r="T92" i="16"/>
  <c r="U92" i="16"/>
  <c r="V92" i="16"/>
  <c r="W92" i="16"/>
  <c r="X92" i="16"/>
  <c r="R93" i="16"/>
  <c r="S93" i="16"/>
  <c r="T93" i="16"/>
  <c r="U93" i="16"/>
  <c r="V93" i="16"/>
  <c r="W93" i="16"/>
  <c r="X93" i="16"/>
  <c r="R94" i="16"/>
  <c r="S94" i="16"/>
  <c r="T94" i="16"/>
  <c r="U94" i="16"/>
  <c r="V94" i="16"/>
  <c r="W94" i="16"/>
  <c r="X94" i="16"/>
  <c r="R95" i="16"/>
  <c r="S95" i="16"/>
  <c r="T95" i="16"/>
  <c r="U95" i="16"/>
  <c r="V95" i="16"/>
  <c r="W95" i="16"/>
  <c r="X95" i="16"/>
  <c r="R96" i="16"/>
  <c r="S96" i="16"/>
  <c r="T96" i="16"/>
  <c r="U96" i="16"/>
  <c r="V96" i="16"/>
  <c r="W96" i="16"/>
  <c r="X96" i="16"/>
  <c r="R97" i="16"/>
  <c r="S97" i="16"/>
  <c r="T97" i="16"/>
  <c r="U97" i="16"/>
  <c r="V97" i="16"/>
  <c r="W97" i="16"/>
  <c r="X97" i="16"/>
  <c r="R98" i="16"/>
  <c r="S98" i="16"/>
  <c r="T98" i="16"/>
  <c r="U98" i="16"/>
  <c r="V98" i="16"/>
  <c r="W98" i="16"/>
  <c r="X98" i="16"/>
  <c r="R99" i="16"/>
  <c r="S99" i="16"/>
  <c r="T99" i="16"/>
  <c r="U99" i="16"/>
  <c r="V99" i="16"/>
  <c r="W99" i="16"/>
  <c r="X99" i="16"/>
  <c r="R100" i="16"/>
  <c r="S100" i="16"/>
  <c r="T100" i="16"/>
  <c r="U100" i="16"/>
  <c r="V100" i="16"/>
  <c r="W100" i="16"/>
  <c r="X100" i="16"/>
  <c r="R101" i="16"/>
  <c r="S101" i="16"/>
  <c r="T101" i="16"/>
  <c r="U101" i="16"/>
  <c r="V101" i="16"/>
  <c r="W101" i="16"/>
  <c r="X101" i="16"/>
  <c r="R102" i="16"/>
  <c r="S102" i="16"/>
  <c r="T102" i="16"/>
  <c r="U102" i="16"/>
  <c r="V102" i="16"/>
  <c r="W102" i="16"/>
  <c r="X102" i="16"/>
  <c r="R103" i="16"/>
  <c r="S103" i="16"/>
  <c r="T103" i="16"/>
  <c r="U103" i="16"/>
  <c r="V103" i="16"/>
  <c r="W103" i="16"/>
  <c r="X103" i="16"/>
  <c r="R104" i="16"/>
  <c r="S104" i="16"/>
  <c r="T104" i="16"/>
  <c r="U104" i="16"/>
  <c r="V104" i="16"/>
  <c r="W104" i="16"/>
  <c r="X104" i="16"/>
  <c r="R105" i="16"/>
  <c r="S105" i="16"/>
  <c r="T105" i="16"/>
  <c r="U105" i="16"/>
  <c r="V105" i="16"/>
  <c r="W105" i="16"/>
  <c r="X105" i="16"/>
  <c r="R106" i="16"/>
  <c r="S106" i="16"/>
  <c r="T106" i="16"/>
  <c r="U106" i="16"/>
  <c r="V106" i="16"/>
  <c r="W106" i="16"/>
  <c r="X106" i="16"/>
  <c r="R107" i="16"/>
  <c r="S107" i="16"/>
  <c r="T107" i="16"/>
  <c r="U107" i="16"/>
  <c r="V107" i="16"/>
  <c r="W107" i="16"/>
  <c r="X107" i="16"/>
  <c r="R108" i="16"/>
  <c r="S108" i="16"/>
  <c r="T108" i="16"/>
  <c r="U108" i="16"/>
  <c r="V108" i="16"/>
  <c r="W108" i="16"/>
  <c r="X108" i="16"/>
  <c r="R109" i="16"/>
  <c r="S109" i="16"/>
  <c r="T109" i="16"/>
  <c r="U109" i="16"/>
  <c r="V109" i="16"/>
  <c r="W109" i="16"/>
  <c r="X109" i="16"/>
  <c r="R110" i="16"/>
  <c r="S110" i="16"/>
  <c r="T110" i="16"/>
  <c r="U110" i="16"/>
  <c r="V110" i="16"/>
  <c r="W110" i="16"/>
  <c r="X110" i="16"/>
  <c r="R111" i="16"/>
  <c r="S111" i="16"/>
  <c r="T111" i="16"/>
  <c r="U111" i="16"/>
  <c r="V111" i="16"/>
  <c r="W111" i="16"/>
  <c r="X111" i="16"/>
  <c r="R112" i="16"/>
  <c r="S112" i="16"/>
  <c r="T112" i="16"/>
  <c r="U112" i="16"/>
  <c r="V112" i="16"/>
  <c r="W112" i="16"/>
  <c r="X112" i="16"/>
  <c r="R113" i="16"/>
  <c r="S113" i="16"/>
  <c r="T113" i="16"/>
  <c r="U113" i="16"/>
  <c r="V113" i="16"/>
  <c r="W113" i="16"/>
  <c r="X113" i="16"/>
  <c r="R114" i="16"/>
  <c r="S114" i="16"/>
  <c r="T114" i="16"/>
  <c r="U114" i="16"/>
  <c r="V114" i="16"/>
  <c r="W114" i="16"/>
  <c r="X114" i="16"/>
  <c r="R115" i="16"/>
  <c r="S115" i="16"/>
  <c r="T115" i="16"/>
  <c r="U115" i="16"/>
  <c r="V115" i="16"/>
  <c r="W115" i="16"/>
  <c r="X115" i="16"/>
  <c r="R116" i="16"/>
  <c r="S116" i="16"/>
  <c r="T116" i="16"/>
  <c r="U116" i="16"/>
  <c r="V116" i="16"/>
  <c r="W116" i="16"/>
  <c r="X116" i="16"/>
  <c r="R117" i="16"/>
  <c r="S117" i="16"/>
  <c r="T117" i="16"/>
  <c r="U117" i="16"/>
  <c r="V117" i="16"/>
  <c r="W117" i="16"/>
  <c r="X117" i="16"/>
  <c r="R118" i="16"/>
  <c r="S118" i="16"/>
  <c r="T118" i="16"/>
  <c r="U118" i="16"/>
  <c r="V118" i="16"/>
  <c r="W118" i="16"/>
  <c r="X118" i="16"/>
  <c r="R119" i="16"/>
  <c r="S119" i="16"/>
  <c r="T119" i="16"/>
  <c r="U119" i="16"/>
  <c r="V119" i="16"/>
  <c r="W119" i="16"/>
  <c r="X119" i="16"/>
  <c r="R120" i="16"/>
  <c r="S120" i="16"/>
  <c r="T120" i="16"/>
  <c r="U120" i="16"/>
  <c r="V120" i="16"/>
  <c r="W120" i="16"/>
  <c r="X120" i="16"/>
  <c r="R121" i="16"/>
  <c r="S121" i="16"/>
  <c r="T121" i="16"/>
  <c r="U121" i="16"/>
  <c r="V121" i="16"/>
  <c r="W121" i="16"/>
  <c r="X121" i="16"/>
  <c r="R122" i="16"/>
  <c r="S122" i="16"/>
  <c r="T122" i="16"/>
  <c r="U122" i="16"/>
  <c r="V122" i="16"/>
  <c r="W122" i="16"/>
  <c r="X122" i="16"/>
  <c r="R123" i="16"/>
  <c r="S123" i="16"/>
  <c r="T123" i="16"/>
  <c r="U123" i="16"/>
  <c r="V123" i="16"/>
  <c r="W123" i="16"/>
  <c r="X123" i="16"/>
  <c r="R124" i="16"/>
  <c r="S124" i="16"/>
  <c r="T124" i="16"/>
  <c r="U124" i="16"/>
  <c r="V124" i="16"/>
  <c r="W124" i="16"/>
  <c r="X124" i="16"/>
  <c r="R125" i="16"/>
  <c r="S125" i="16"/>
  <c r="T125" i="16"/>
  <c r="U125" i="16"/>
  <c r="V125" i="16"/>
  <c r="W125" i="16"/>
  <c r="X125" i="16"/>
  <c r="R126" i="16"/>
  <c r="S126" i="16"/>
  <c r="T126" i="16"/>
  <c r="U126" i="16"/>
  <c r="V126" i="16"/>
  <c r="W126" i="16"/>
  <c r="X126" i="16"/>
  <c r="R127" i="16"/>
  <c r="S127" i="16"/>
  <c r="T127" i="16"/>
  <c r="U127" i="16"/>
  <c r="V127" i="16"/>
  <c r="W127" i="16"/>
  <c r="X127" i="16"/>
  <c r="R128" i="16"/>
  <c r="S128" i="16"/>
  <c r="T128" i="16"/>
  <c r="U128" i="16"/>
  <c r="V128" i="16"/>
  <c r="W128" i="16"/>
  <c r="X128" i="16"/>
  <c r="R129" i="16"/>
  <c r="S129" i="16"/>
  <c r="T129" i="16"/>
  <c r="U129" i="16"/>
  <c r="V129" i="16"/>
  <c r="W129" i="16"/>
  <c r="X129" i="16"/>
  <c r="R130" i="16"/>
  <c r="S130" i="16"/>
  <c r="T130" i="16"/>
  <c r="U130" i="16"/>
  <c r="V130" i="16"/>
  <c r="W130" i="16"/>
  <c r="X130" i="16"/>
  <c r="R131" i="16"/>
  <c r="S131" i="16"/>
  <c r="T131" i="16"/>
  <c r="U131" i="16"/>
  <c r="V131" i="16"/>
  <c r="W131" i="16"/>
  <c r="X131" i="16"/>
  <c r="R132" i="16"/>
  <c r="S132" i="16"/>
  <c r="T132" i="16"/>
  <c r="U132" i="16"/>
  <c r="V132" i="16"/>
  <c r="W132" i="16"/>
  <c r="X132" i="16"/>
  <c r="R133" i="16"/>
  <c r="S133" i="16"/>
  <c r="T133" i="16"/>
  <c r="U133" i="16"/>
  <c r="V133" i="16"/>
  <c r="W133" i="16"/>
  <c r="X133" i="16"/>
  <c r="R134" i="16"/>
  <c r="S134" i="16"/>
  <c r="T134" i="16"/>
  <c r="U134" i="16"/>
  <c r="V134" i="16"/>
  <c r="W134" i="16"/>
  <c r="X134" i="16"/>
  <c r="R135" i="16"/>
  <c r="S135" i="16"/>
  <c r="T135" i="16"/>
  <c r="U135" i="16"/>
  <c r="V135" i="16"/>
  <c r="W135" i="16"/>
  <c r="X135" i="16"/>
  <c r="R136" i="16"/>
  <c r="S136" i="16"/>
  <c r="T136" i="16"/>
  <c r="U136" i="16"/>
  <c r="V136" i="16"/>
  <c r="W136" i="16"/>
  <c r="X136" i="16"/>
  <c r="R137" i="16"/>
  <c r="S137" i="16"/>
  <c r="T137" i="16"/>
  <c r="U137" i="16"/>
  <c r="V137" i="16"/>
  <c r="W137" i="16"/>
  <c r="X137" i="16"/>
  <c r="R138" i="16"/>
  <c r="S138" i="16"/>
  <c r="T138" i="16"/>
  <c r="U138" i="16"/>
  <c r="V138" i="16"/>
  <c r="W138" i="16"/>
  <c r="X138" i="16"/>
  <c r="R139" i="16"/>
  <c r="S139" i="16"/>
  <c r="T139" i="16"/>
  <c r="U139" i="16"/>
  <c r="V139" i="16"/>
  <c r="W139" i="16"/>
  <c r="X139" i="16"/>
  <c r="R140" i="16"/>
  <c r="S140" i="16"/>
  <c r="T140" i="16"/>
  <c r="U140" i="16"/>
  <c r="V140" i="16"/>
  <c r="W140" i="16"/>
  <c r="X140" i="16"/>
  <c r="R141" i="16"/>
  <c r="S141" i="16"/>
  <c r="T141" i="16"/>
  <c r="U141" i="16"/>
  <c r="V141" i="16"/>
  <c r="W141" i="16"/>
  <c r="X141" i="16"/>
  <c r="R142" i="16"/>
  <c r="S142" i="16"/>
  <c r="T142" i="16"/>
  <c r="U142" i="16"/>
  <c r="V142" i="16"/>
  <c r="W142" i="16"/>
  <c r="X142" i="16"/>
  <c r="R143" i="16"/>
  <c r="S143" i="16"/>
  <c r="T143" i="16"/>
  <c r="U143" i="16"/>
  <c r="V143" i="16"/>
  <c r="W143" i="16"/>
  <c r="X143" i="16"/>
  <c r="R144" i="16"/>
  <c r="S144" i="16"/>
  <c r="T144" i="16"/>
  <c r="U144" i="16"/>
  <c r="V144" i="16"/>
  <c r="W144" i="16"/>
  <c r="X144" i="16"/>
  <c r="R145" i="16"/>
  <c r="S145" i="16"/>
  <c r="T145" i="16"/>
  <c r="U145" i="16"/>
  <c r="V145" i="16"/>
  <c r="W145" i="16"/>
  <c r="X145" i="16"/>
  <c r="R146" i="16"/>
  <c r="S146" i="16"/>
  <c r="T146" i="16"/>
  <c r="U146" i="16"/>
  <c r="V146" i="16"/>
  <c r="W146" i="16"/>
  <c r="X146" i="16"/>
  <c r="R147" i="16"/>
  <c r="S147" i="16"/>
  <c r="T147" i="16"/>
  <c r="U147" i="16"/>
  <c r="V147" i="16"/>
  <c r="W147" i="16"/>
  <c r="X147" i="16"/>
  <c r="R148" i="16"/>
  <c r="S148" i="16"/>
  <c r="T148" i="16"/>
  <c r="U148" i="16"/>
  <c r="V148" i="16"/>
  <c r="W148" i="16"/>
  <c r="X148" i="16"/>
  <c r="R149" i="16"/>
  <c r="S149" i="16"/>
  <c r="T149" i="16"/>
  <c r="U149" i="16"/>
  <c r="V149" i="16"/>
  <c r="W149" i="16"/>
  <c r="X149" i="16"/>
  <c r="R150" i="16"/>
  <c r="S150" i="16"/>
  <c r="T150" i="16"/>
  <c r="U150" i="16"/>
  <c r="V150" i="16"/>
  <c r="W150" i="16"/>
  <c r="X150" i="16"/>
  <c r="R151" i="16"/>
  <c r="S151" i="16"/>
  <c r="T151" i="16"/>
  <c r="U151" i="16"/>
  <c r="V151" i="16"/>
  <c r="W151" i="16"/>
  <c r="X151" i="16"/>
  <c r="R152" i="16"/>
  <c r="S152" i="16"/>
  <c r="T152" i="16"/>
  <c r="U152" i="16"/>
  <c r="V152" i="16"/>
  <c r="W152" i="16"/>
  <c r="X152" i="16"/>
  <c r="R153" i="16"/>
  <c r="S153" i="16"/>
  <c r="T153" i="16"/>
  <c r="U153" i="16"/>
  <c r="V153" i="16"/>
  <c r="W153" i="16"/>
  <c r="X153" i="16"/>
  <c r="R154" i="16"/>
  <c r="S154" i="16"/>
  <c r="T154" i="16"/>
  <c r="U154" i="16"/>
  <c r="V154" i="16"/>
  <c r="W154" i="16"/>
  <c r="X154" i="16"/>
  <c r="R155" i="16"/>
  <c r="S155" i="16"/>
  <c r="T155" i="16"/>
  <c r="U155" i="16"/>
  <c r="V155" i="16"/>
  <c r="W155" i="16"/>
  <c r="X155" i="16"/>
  <c r="R156" i="16"/>
  <c r="S156" i="16"/>
  <c r="T156" i="16"/>
  <c r="U156" i="16"/>
  <c r="V156" i="16"/>
  <c r="W156" i="16"/>
  <c r="X156" i="16"/>
  <c r="R157" i="16"/>
  <c r="S157" i="16"/>
  <c r="T157" i="16"/>
  <c r="U157" i="16"/>
  <c r="V157" i="16"/>
  <c r="W157" i="16"/>
  <c r="X157" i="16"/>
  <c r="R158" i="16"/>
  <c r="S158" i="16"/>
  <c r="T158" i="16"/>
  <c r="U158" i="16"/>
  <c r="V158" i="16"/>
  <c r="W158" i="16"/>
  <c r="X158" i="16"/>
  <c r="R159" i="16"/>
  <c r="S159" i="16"/>
  <c r="T159" i="16"/>
  <c r="U159" i="16"/>
  <c r="V159" i="16"/>
  <c r="W159" i="16"/>
  <c r="X159" i="16"/>
  <c r="R160" i="16"/>
  <c r="S160" i="16"/>
  <c r="T160" i="16"/>
  <c r="U160" i="16"/>
  <c r="V160" i="16"/>
  <c r="W160" i="16"/>
  <c r="X160" i="16"/>
  <c r="R161" i="16"/>
  <c r="S161" i="16"/>
  <c r="T161" i="16"/>
  <c r="U161" i="16"/>
  <c r="V161" i="16"/>
  <c r="W161" i="16"/>
  <c r="X161" i="16"/>
  <c r="R162" i="16"/>
  <c r="S162" i="16"/>
  <c r="T162" i="16"/>
  <c r="U162" i="16"/>
  <c r="V162" i="16"/>
  <c r="W162" i="16"/>
  <c r="X162" i="16"/>
  <c r="R163" i="16"/>
  <c r="S163" i="16"/>
  <c r="T163" i="16"/>
  <c r="U163" i="16"/>
  <c r="V163" i="16"/>
  <c r="W163" i="16"/>
  <c r="X163" i="16"/>
  <c r="R164" i="16"/>
  <c r="S164" i="16"/>
  <c r="T164" i="16"/>
  <c r="U164" i="16"/>
  <c r="V164" i="16"/>
  <c r="W164" i="16"/>
  <c r="X164" i="16"/>
  <c r="R165" i="16"/>
  <c r="S165" i="16"/>
  <c r="T165" i="16"/>
  <c r="U165" i="16"/>
  <c r="V165" i="16"/>
  <c r="W165" i="16"/>
  <c r="X165" i="16"/>
  <c r="R166" i="16"/>
  <c r="S166" i="16"/>
  <c r="T166" i="16"/>
  <c r="U166" i="16"/>
  <c r="V166" i="16"/>
  <c r="W166" i="16"/>
  <c r="X166" i="16"/>
  <c r="R167" i="16"/>
  <c r="S167" i="16"/>
  <c r="T167" i="16"/>
  <c r="U167" i="16"/>
  <c r="V167" i="16"/>
  <c r="W167" i="16"/>
  <c r="X167" i="16"/>
  <c r="R168" i="16"/>
  <c r="S168" i="16"/>
  <c r="T168" i="16"/>
  <c r="U168" i="16"/>
  <c r="V168" i="16"/>
  <c r="W168" i="16"/>
  <c r="X168" i="16"/>
  <c r="R169" i="16"/>
  <c r="S169" i="16"/>
  <c r="T169" i="16"/>
  <c r="U169" i="16"/>
  <c r="V169" i="16"/>
  <c r="W169" i="16"/>
  <c r="X169" i="16"/>
  <c r="R170" i="16"/>
  <c r="S170" i="16"/>
  <c r="T170" i="16"/>
  <c r="U170" i="16"/>
  <c r="V170" i="16"/>
  <c r="W170" i="16"/>
  <c r="X170" i="16"/>
  <c r="R171" i="16"/>
  <c r="S171" i="16"/>
  <c r="T171" i="16"/>
  <c r="U171" i="16"/>
  <c r="V171" i="16"/>
  <c r="W171" i="16"/>
  <c r="X171" i="16"/>
  <c r="R172" i="16"/>
  <c r="S172" i="16"/>
  <c r="T172" i="16"/>
  <c r="U172" i="16"/>
  <c r="V172" i="16"/>
  <c r="W172" i="16"/>
  <c r="X172" i="16"/>
  <c r="R173" i="16"/>
  <c r="S173" i="16"/>
  <c r="T173" i="16"/>
  <c r="U173" i="16"/>
  <c r="V173" i="16"/>
  <c r="W173" i="16"/>
  <c r="X173" i="16"/>
  <c r="R174" i="16"/>
  <c r="S174" i="16"/>
  <c r="T174" i="16"/>
  <c r="U174" i="16"/>
  <c r="V174" i="16"/>
  <c r="W174" i="16"/>
  <c r="X174" i="16"/>
  <c r="R175" i="16"/>
  <c r="S175" i="16"/>
  <c r="T175" i="16"/>
  <c r="U175" i="16"/>
  <c r="V175" i="16"/>
  <c r="W175" i="16"/>
  <c r="X175" i="16"/>
  <c r="R176" i="16"/>
  <c r="S176" i="16"/>
  <c r="T176" i="16"/>
  <c r="U176" i="16"/>
  <c r="V176" i="16"/>
  <c r="W176" i="16"/>
  <c r="X176" i="16"/>
  <c r="R177" i="16"/>
  <c r="S177" i="16"/>
  <c r="T177" i="16"/>
  <c r="U177" i="16"/>
  <c r="V177" i="16"/>
  <c r="W177" i="16"/>
  <c r="X177" i="16"/>
  <c r="R178" i="16"/>
  <c r="S178" i="16"/>
  <c r="T178" i="16"/>
  <c r="U178" i="16"/>
  <c r="V178" i="16"/>
  <c r="W178" i="16"/>
  <c r="X178" i="16"/>
  <c r="R179" i="16"/>
  <c r="S179" i="16"/>
  <c r="T179" i="16"/>
  <c r="U179" i="16"/>
  <c r="V179" i="16"/>
  <c r="W179" i="16"/>
  <c r="X179" i="16"/>
  <c r="R180" i="16"/>
  <c r="S180" i="16"/>
  <c r="T180" i="16"/>
  <c r="U180" i="16"/>
  <c r="V180" i="16"/>
  <c r="W180" i="16"/>
  <c r="X180" i="16"/>
  <c r="R181" i="16"/>
  <c r="S181" i="16"/>
  <c r="T181" i="16"/>
  <c r="U181" i="16"/>
  <c r="V181" i="16"/>
  <c r="W181" i="16"/>
  <c r="X181" i="16"/>
  <c r="R182" i="16"/>
  <c r="S182" i="16"/>
  <c r="T182" i="16"/>
  <c r="U182" i="16"/>
  <c r="V182" i="16"/>
  <c r="W182" i="16"/>
  <c r="X182" i="16"/>
  <c r="R183" i="16"/>
  <c r="S183" i="16"/>
  <c r="T183" i="16"/>
  <c r="U183" i="16"/>
  <c r="V183" i="16"/>
  <c r="W183" i="16"/>
  <c r="X183" i="16"/>
  <c r="R184" i="16"/>
  <c r="S184" i="16"/>
  <c r="T184" i="16"/>
  <c r="U184" i="16"/>
  <c r="V184" i="16"/>
  <c r="W184" i="16"/>
  <c r="X184" i="16"/>
  <c r="R185" i="16"/>
  <c r="S185" i="16"/>
  <c r="T185" i="16"/>
  <c r="U185" i="16"/>
  <c r="V185" i="16"/>
  <c r="W185" i="16"/>
  <c r="X185" i="16"/>
  <c r="R186" i="16"/>
  <c r="S186" i="16"/>
  <c r="T186" i="16"/>
  <c r="U186" i="16"/>
  <c r="V186" i="16"/>
  <c r="W186" i="16"/>
  <c r="X186" i="16"/>
  <c r="R187" i="16"/>
  <c r="S187" i="16"/>
  <c r="T187" i="16"/>
  <c r="U187" i="16"/>
  <c r="V187" i="16"/>
  <c r="W187" i="16"/>
  <c r="X187" i="16"/>
  <c r="R188" i="16"/>
  <c r="S188" i="16"/>
  <c r="T188" i="16"/>
  <c r="U188" i="16"/>
  <c r="V188" i="16"/>
  <c r="W188" i="16"/>
  <c r="X188" i="16"/>
  <c r="R189" i="16"/>
  <c r="S189" i="16"/>
  <c r="T189" i="16"/>
  <c r="U189" i="16"/>
  <c r="V189" i="16"/>
  <c r="W189" i="16"/>
  <c r="X189" i="16"/>
  <c r="R190" i="16"/>
  <c r="S190" i="16"/>
  <c r="T190" i="16"/>
  <c r="U190" i="16"/>
  <c r="V190" i="16"/>
  <c r="W190" i="16"/>
  <c r="X190" i="16"/>
  <c r="R191" i="16"/>
  <c r="S191" i="16"/>
  <c r="T191" i="16"/>
  <c r="U191" i="16"/>
  <c r="V191" i="16"/>
  <c r="W191" i="16"/>
  <c r="X191" i="16"/>
  <c r="R192" i="16"/>
  <c r="S192" i="16"/>
  <c r="T192" i="16"/>
  <c r="U192" i="16"/>
  <c r="V192" i="16"/>
  <c r="W192" i="16"/>
  <c r="X192" i="16"/>
  <c r="R193" i="16"/>
  <c r="S193" i="16"/>
  <c r="T193" i="16"/>
  <c r="U193" i="16"/>
  <c r="V193" i="16"/>
  <c r="W193" i="16"/>
  <c r="X193" i="16"/>
  <c r="R194" i="16"/>
  <c r="S194" i="16"/>
  <c r="T194" i="16"/>
  <c r="U194" i="16"/>
  <c r="V194" i="16"/>
  <c r="W194" i="16"/>
  <c r="X194" i="16"/>
  <c r="R195" i="16"/>
  <c r="S195" i="16"/>
  <c r="T195" i="16"/>
  <c r="U195" i="16"/>
  <c r="V195" i="16"/>
  <c r="W195" i="16"/>
  <c r="X195" i="16"/>
  <c r="R196" i="16"/>
  <c r="S196" i="16"/>
  <c r="T196" i="16"/>
  <c r="U196" i="16"/>
  <c r="V196" i="16"/>
  <c r="W196" i="16"/>
  <c r="X196" i="16"/>
  <c r="R197" i="16"/>
  <c r="S197" i="16"/>
  <c r="T197" i="16"/>
  <c r="U197" i="16"/>
  <c r="V197" i="16"/>
  <c r="W197" i="16"/>
  <c r="X197" i="16"/>
  <c r="R198" i="16"/>
  <c r="S198" i="16"/>
  <c r="T198" i="16"/>
  <c r="U198" i="16"/>
  <c r="V198" i="16"/>
  <c r="W198" i="16"/>
  <c r="X198" i="16"/>
  <c r="R199" i="16"/>
  <c r="S199" i="16"/>
  <c r="T199" i="16"/>
  <c r="U199" i="16"/>
  <c r="V199" i="16"/>
  <c r="W199" i="16"/>
  <c r="X199" i="16"/>
  <c r="R200" i="16"/>
  <c r="S200" i="16"/>
  <c r="T200" i="16"/>
  <c r="U200" i="16"/>
  <c r="V200" i="16"/>
  <c r="W200" i="16"/>
  <c r="X200" i="16"/>
  <c r="R201" i="16"/>
  <c r="S201" i="16"/>
  <c r="T201" i="16"/>
  <c r="U201" i="16"/>
  <c r="V201" i="16"/>
  <c r="W201" i="16"/>
  <c r="X201" i="16"/>
  <c r="R202" i="16"/>
  <c r="S202" i="16"/>
  <c r="T202" i="16"/>
  <c r="U202" i="16"/>
  <c r="V202" i="16"/>
  <c r="W202" i="16"/>
  <c r="X202" i="16"/>
  <c r="R203" i="16"/>
  <c r="S203" i="16"/>
  <c r="T203" i="16"/>
  <c r="U203" i="16"/>
  <c r="V203" i="16"/>
  <c r="W203" i="16"/>
  <c r="X203" i="16"/>
  <c r="R204" i="16"/>
  <c r="S204" i="16"/>
  <c r="T204" i="16"/>
  <c r="U204" i="16"/>
  <c r="V204" i="16"/>
  <c r="W204" i="16"/>
  <c r="X204" i="16"/>
  <c r="R205" i="16"/>
  <c r="S205" i="16"/>
  <c r="T205" i="16"/>
  <c r="U205" i="16"/>
  <c r="V205" i="16"/>
  <c r="W205" i="16"/>
  <c r="X205" i="16"/>
  <c r="R206" i="16"/>
  <c r="S206" i="16"/>
  <c r="T206" i="16"/>
  <c r="U206" i="16"/>
  <c r="V206" i="16"/>
  <c r="W206" i="16"/>
  <c r="X206" i="16"/>
  <c r="R207" i="16"/>
  <c r="S207" i="16"/>
  <c r="T207" i="16"/>
  <c r="U207" i="16"/>
  <c r="V207" i="16"/>
  <c r="W207" i="16"/>
  <c r="X207" i="16"/>
  <c r="R208" i="16"/>
  <c r="S208" i="16"/>
  <c r="T208" i="16"/>
  <c r="U208" i="16"/>
  <c r="V208" i="16"/>
  <c r="W208" i="16"/>
  <c r="X208" i="16"/>
  <c r="R209" i="16"/>
  <c r="S209" i="16"/>
  <c r="T209" i="16"/>
  <c r="U209" i="16"/>
  <c r="V209" i="16"/>
  <c r="W209" i="16"/>
  <c r="X209" i="16"/>
  <c r="R210" i="16"/>
  <c r="S210" i="16"/>
  <c r="T210" i="16"/>
  <c r="U210" i="16"/>
  <c r="V210" i="16"/>
  <c r="W210" i="16"/>
  <c r="X210" i="16"/>
  <c r="R211" i="16"/>
  <c r="S211" i="16"/>
  <c r="T211" i="16"/>
  <c r="U211" i="16"/>
  <c r="V211" i="16"/>
  <c r="W211" i="16"/>
  <c r="X211" i="16"/>
  <c r="R212" i="16"/>
  <c r="S212" i="16"/>
  <c r="T212" i="16"/>
  <c r="U212" i="16"/>
  <c r="V212" i="16"/>
  <c r="W212" i="16"/>
  <c r="X212" i="16"/>
  <c r="R213" i="16"/>
  <c r="S213" i="16"/>
  <c r="T213" i="16"/>
  <c r="U213" i="16"/>
  <c r="V213" i="16"/>
  <c r="W213" i="16"/>
  <c r="X213" i="16"/>
  <c r="R214" i="16"/>
  <c r="S214" i="16"/>
  <c r="T214" i="16"/>
  <c r="U214" i="16"/>
  <c r="V214" i="16"/>
  <c r="W214" i="16"/>
  <c r="X214" i="16"/>
  <c r="R215" i="16"/>
  <c r="S215" i="16"/>
  <c r="T215" i="16"/>
  <c r="U215" i="16"/>
  <c r="V215" i="16"/>
  <c r="W215" i="16"/>
  <c r="X215" i="16"/>
  <c r="R216" i="16"/>
  <c r="S216" i="16"/>
  <c r="T216" i="16"/>
  <c r="U216" i="16"/>
  <c r="V216" i="16"/>
  <c r="W216" i="16"/>
  <c r="X216" i="16"/>
  <c r="R217" i="16"/>
  <c r="S217" i="16"/>
  <c r="T217" i="16"/>
  <c r="U217" i="16"/>
  <c r="V217" i="16"/>
  <c r="W217" i="16"/>
  <c r="X217" i="16"/>
  <c r="R218" i="16"/>
  <c r="S218" i="16"/>
  <c r="T218" i="16"/>
  <c r="U218" i="16"/>
  <c r="V218" i="16"/>
  <c r="W218" i="16"/>
  <c r="X218" i="16"/>
  <c r="R219" i="16"/>
  <c r="S219" i="16"/>
  <c r="T219" i="16"/>
  <c r="U219" i="16"/>
  <c r="V219" i="16"/>
  <c r="W219" i="16"/>
  <c r="X219" i="16"/>
  <c r="R220" i="16"/>
  <c r="S220" i="16"/>
  <c r="T220" i="16"/>
  <c r="U220" i="16"/>
  <c r="V220" i="16"/>
  <c r="W220" i="16"/>
  <c r="X220" i="16"/>
  <c r="R221" i="16"/>
  <c r="S221" i="16"/>
  <c r="T221" i="16"/>
  <c r="U221" i="16"/>
  <c r="V221" i="16"/>
  <c r="W221" i="16"/>
  <c r="X221" i="16"/>
  <c r="R222" i="16"/>
  <c r="S222" i="16"/>
  <c r="T222" i="16"/>
  <c r="U222" i="16"/>
  <c r="V222" i="16"/>
  <c r="W222" i="16"/>
  <c r="X222" i="16"/>
  <c r="R223" i="16"/>
  <c r="S223" i="16"/>
  <c r="T223" i="16"/>
  <c r="U223" i="16"/>
  <c r="V223" i="16"/>
  <c r="W223" i="16"/>
  <c r="X223" i="16"/>
  <c r="R224" i="16"/>
  <c r="S224" i="16"/>
  <c r="T224" i="16"/>
  <c r="U224" i="16"/>
  <c r="V224" i="16"/>
  <c r="W224" i="16"/>
  <c r="X224" i="16"/>
  <c r="R225" i="16"/>
  <c r="S225" i="16"/>
  <c r="T225" i="16"/>
  <c r="U225" i="16"/>
  <c r="V225" i="16"/>
  <c r="W225" i="16"/>
  <c r="X225" i="16"/>
  <c r="R226" i="16"/>
  <c r="S226" i="16"/>
  <c r="T226" i="16"/>
  <c r="U226" i="16"/>
  <c r="V226" i="16"/>
  <c r="W226" i="16"/>
  <c r="X226" i="16"/>
  <c r="R227" i="16"/>
  <c r="S227" i="16"/>
  <c r="T227" i="16"/>
  <c r="U227" i="16"/>
  <c r="V227" i="16"/>
  <c r="W227" i="16"/>
  <c r="X227" i="16"/>
  <c r="R228" i="16"/>
  <c r="S228" i="16"/>
  <c r="T228" i="16"/>
  <c r="U228" i="16"/>
  <c r="V228" i="16"/>
  <c r="W228" i="16"/>
  <c r="X228" i="16"/>
  <c r="R229" i="16"/>
  <c r="S229" i="16"/>
  <c r="T229" i="16"/>
  <c r="U229" i="16"/>
  <c r="V229" i="16"/>
  <c r="W229" i="16"/>
  <c r="X229" i="16"/>
  <c r="R230" i="16"/>
  <c r="S230" i="16"/>
  <c r="T230" i="16"/>
  <c r="U230" i="16"/>
  <c r="V230" i="16"/>
  <c r="W230" i="16"/>
  <c r="X230" i="16"/>
  <c r="R231" i="16"/>
  <c r="S231" i="16"/>
  <c r="T231" i="16"/>
  <c r="U231" i="16"/>
  <c r="V231" i="16"/>
  <c r="W231" i="16"/>
  <c r="X231" i="16"/>
  <c r="R232" i="16"/>
  <c r="S232" i="16"/>
  <c r="T232" i="16"/>
  <c r="U232" i="16"/>
  <c r="V232" i="16"/>
  <c r="W232" i="16"/>
  <c r="X232" i="16"/>
  <c r="R233" i="16"/>
  <c r="S233" i="16"/>
  <c r="T233" i="16"/>
  <c r="U233" i="16"/>
  <c r="V233" i="16"/>
  <c r="W233" i="16"/>
  <c r="X233" i="16"/>
  <c r="R234" i="16"/>
  <c r="S234" i="16"/>
  <c r="T234" i="16"/>
  <c r="U234" i="16"/>
  <c r="V234" i="16"/>
  <c r="W234" i="16"/>
  <c r="X234" i="16"/>
  <c r="R235" i="16"/>
  <c r="S235" i="16"/>
  <c r="T235" i="16"/>
  <c r="U235" i="16"/>
  <c r="V235" i="16"/>
  <c r="W235" i="16"/>
  <c r="X235" i="16"/>
  <c r="R236" i="16"/>
  <c r="S236" i="16"/>
  <c r="T236" i="16"/>
  <c r="U236" i="16"/>
  <c r="V236" i="16"/>
  <c r="W236" i="16"/>
  <c r="X236" i="16"/>
  <c r="R237" i="16"/>
  <c r="S237" i="16"/>
  <c r="T237" i="16"/>
  <c r="U237" i="16"/>
  <c r="V237" i="16"/>
  <c r="W237" i="16"/>
  <c r="X237" i="16"/>
  <c r="R238" i="16"/>
  <c r="S238" i="16"/>
  <c r="T238" i="16"/>
  <c r="U238" i="16"/>
  <c r="V238" i="16"/>
  <c r="W238" i="16"/>
  <c r="X238" i="16"/>
  <c r="R239" i="16"/>
  <c r="S239" i="16"/>
  <c r="T239" i="16"/>
  <c r="U239" i="16"/>
  <c r="V239" i="16"/>
  <c r="W239" i="16"/>
  <c r="X239" i="16"/>
  <c r="R240" i="16"/>
  <c r="S240" i="16"/>
  <c r="T240" i="16"/>
  <c r="U240" i="16"/>
  <c r="V240" i="16"/>
  <c r="W240" i="16"/>
  <c r="X240" i="16"/>
  <c r="R241" i="16"/>
  <c r="S241" i="16"/>
  <c r="T241" i="16"/>
  <c r="U241" i="16"/>
  <c r="V241" i="16"/>
  <c r="W241" i="16"/>
  <c r="X241" i="16"/>
  <c r="R242" i="16"/>
  <c r="S242" i="16"/>
  <c r="T242" i="16"/>
  <c r="U242" i="16"/>
  <c r="V242" i="16"/>
  <c r="W242" i="16"/>
  <c r="X242" i="16"/>
  <c r="R243" i="16"/>
  <c r="S243" i="16"/>
  <c r="T243" i="16"/>
  <c r="U243" i="16"/>
  <c r="V243" i="16"/>
  <c r="W243" i="16"/>
  <c r="X243" i="16"/>
  <c r="R244" i="16"/>
  <c r="S244" i="16"/>
  <c r="T244" i="16"/>
  <c r="U244" i="16"/>
  <c r="V244" i="16"/>
  <c r="W244" i="16"/>
  <c r="X244" i="16"/>
  <c r="R245" i="16"/>
  <c r="S245" i="16"/>
  <c r="T245" i="16"/>
  <c r="U245" i="16"/>
  <c r="V245" i="16"/>
  <c r="W245" i="16"/>
  <c r="X245" i="16"/>
  <c r="R246" i="16"/>
  <c r="S246" i="16"/>
  <c r="T246" i="16"/>
  <c r="U246" i="16"/>
  <c r="V246" i="16"/>
  <c r="W246" i="16"/>
  <c r="X246" i="16"/>
  <c r="R247" i="16"/>
  <c r="S247" i="16"/>
  <c r="T247" i="16"/>
  <c r="U247" i="16"/>
  <c r="V247" i="16"/>
  <c r="W247" i="16"/>
  <c r="X247" i="16"/>
  <c r="R248" i="16"/>
  <c r="S248" i="16"/>
  <c r="T248" i="16"/>
  <c r="U248" i="16"/>
  <c r="V248" i="16"/>
  <c r="W248" i="16"/>
  <c r="X248" i="16"/>
  <c r="R249" i="16"/>
  <c r="S249" i="16"/>
  <c r="T249" i="16"/>
  <c r="U249" i="16"/>
  <c r="V249" i="16"/>
  <c r="W249" i="16"/>
  <c r="X249" i="16"/>
  <c r="R250" i="16"/>
  <c r="S250" i="16"/>
  <c r="T250" i="16"/>
  <c r="U250" i="16"/>
  <c r="V250" i="16"/>
  <c r="W250" i="16"/>
  <c r="X250" i="16"/>
  <c r="R251" i="16"/>
  <c r="S251" i="16"/>
  <c r="T251" i="16"/>
  <c r="U251" i="16"/>
  <c r="V251" i="16"/>
  <c r="W251" i="16"/>
  <c r="X251" i="16"/>
  <c r="R252" i="16"/>
  <c r="S252" i="16"/>
  <c r="T252" i="16"/>
  <c r="U252" i="16"/>
  <c r="V252" i="16"/>
  <c r="W252" i="16"/>
  <c r="X252" i="16"/>
  <c r="R253" i="16"/>
  <c r="S253" i="16"/>
  <c r="T253" i="16"/>
  <c r="U253" i="16"/>
  <c r="V253" i="16"/>
  <c r="W253" i="16"/>
  <c r="X253" i="16"/>
  <c r="R254" i="16"/>
  <c r="S254" i="16"/>
  <c r="T254" i="16"/>
  <c r="U254" i="16"/>
  <c r="V254" i="16"/>
  <c r="W254" i="16"/>
  <c r="X254" i="16"/>
  <c r="R255" i="16"/>
  <c r="S255" i="16"/>
  <c r="T255" i="16"/>
  <c r="U255" i="16"/>
  <c r="V255" i="16"/>
  <c r="W255" i="16"/>
  <c r="X255" i="16"/>
  <c r="R256" i="16"/>
  <c r="S256" i="16"/>
  <c r="T256" i="16"/>
  <c r="U256" i="16"/>
  <c r="V256" i="16"/>
  <c r="W256" i="16"/>
  <c r="X256" i="16"/>
  <c r="R257" i="16"/>
  <c r="S257" i="16"/>
  <c r="T257" i="16"/>
  <c r="U257" i="16"/>
  <c r="V257" i="16"/>
  <c r="W257" i="16"/>
  <c r="X257" i="16"/>
  <c r="R258" i="16"/>
  <c r="S258" i="16"/>
  <c r="T258" i="16"/>
  <c r="U258" i="16"/>
  <c r="V258" i="16"/>
  <c r="W258" i="16"/>
  <c r="X258" i="16"/>
  <c r="R259" i="16"/>
  <c r="S259" i="16"/>
  <c r="T259" i="16"/>
  <c r="U259" i="16"/>
  <c r="V259" i="16"/>
  <c r="W259" i="16"/>
  <c r="X259" i="16"/>
  <c r="R260" i="16"/>
  <c r="S260" i="16"/>
  <c r="T260" i="16"/>
  <c r="U260" i="16"/>
  <c r="V260" i="16"/>
  <c r="W260" i="16"/>
  <c r="X260" i="16"/>
  <c r="R261" i="16"/>
  <c r="S261" i="16"/>
  <c r="T261" i="16"/>
  <c r="U261" i="16"/>
  <c r="V261" i="16"/>
  <c r="W261" i="16"/>
  <c r="X261" i="16"/>
  <c r="R262" i="16"/>
  <c r="S262" i="16"/>
  <c r="T262" i="16"/>
  <c r="U262" i="16"/>
  <c r="V262" i="16"/>
  <c r="W262" i="16"/>
  <c r="X262" i="16"/>
  <c r="R263" i="16"/>
  <c r="S263" i="16"/>
  <c r="T263" i="16"/>
  <c r="U263" i="16"/>
  <c r="V263" i="16"/>
  <c r="W263" i="16"/>
  <c r="X263" i="16"/>
  <c r="R264" i="16"/>
  <c r="S264" i="16"/>
  <c r="T264" i="16"/>
  <c r="U264" i="16"/>
  <c r="V264" i="16"/>
  <c r="W264" i="16"/>
  <c r="X264" i="16"/>
  <c r="R265" i="16"/>
  <c r="S265" i="16"/>
  <c r="T265" i="16"/>
  <c r="U265" i="16"/>
  <c r="V265" i="16"/>
  <c r="W265" i="16"/>
  <c r="X265" i="16"/>
  <c r="R266" i="16"/>
  <c r="S266" i="16"/>
  <c r="T266" i="16"/>
  <c r="U266" i="16"/>
  <c r="V266" i="16"/>
  <c r="W266" i="16"/>
  <c r="X266" i="16"/>
  <c r="R267" i="16"/>
  <c r="S267" i="16"/>
  <c r="T267" i="16"/>
  <c r="U267" i="16"/>
  <c r="V267" i="16"/>
  <c r="W267" i="16"/>
  <c r="X267" i="16"/>
  <c r="R268" i="16"/>
  <c r="S268" i="16"/>
  <c r="T268" i="16"/>
  <c r="U268" i="16"/>
  <c r="V268" i="16"/>
  <c r="W268" i="16"/>
  <c r="X268" i="16"/>
  <c r="R269" i="16"/>
  <c r="S269" i="16"/>
  <c r="T269" i="16"/>
  <c r="U269" i="16"/>
  <c r="V269" i="16"/>
  <c r="W269" i="16"/>
  <c r="X269" i="16"/>
  <c r="R270" i="16"/>
  <c r="S270" i="16"/>
  <c r="T270" i="16"/>
  <c r="U270" i="16"/>
  <c r="V270" i="16"/>
  <c r="W270" i="16"/>
  <c r="X270" i="16"/>
  <c r="R271" i="16"/>
  <c r="S271" i="16"/>
  <c r="T271" i="16"/>
  <c r="U271" i="16"/>
  <c r="V271" i="16"/>
  <c r="W271" i="16"/>
  <c r="X271" i="16"/>
  <c r="R272" i="16"/>
  <c r="S272" i="16"/>
  <c r="T272" i="16"/>
  <c r="U272" i="16"/>
  <c r="V272" i="16"/>
  <c r="W272" i="16"/>
  <c r="X272" i="16"/>
  <c r="R273" i="16"/>
  <c r="S273" i="16"/>
  <c r="T273" i="16"/>
  <c r="U273" i="16"/>
  <c r="V273" i="16"/>
  <c r="W273" i="16"/>
  <c r="X273" i="16"/>
  <c r="R274" i="16"/>
  <c r="S274" i="16"/>
  <c r="T274" i="16"/>
  <c r="U274" i="16"/>
  <c r="V274" i="16"/>
  <c r="W274" i="16"/>
  <c r="X274" i="16"/>
  <c r="R275" i="16"/>
  <c r="S275" i="16"/>
  <c r="T275" i="16"/>
  <c r="U275" i="16"/>
  <c r="V275" i="16"/>
  <c r="W275" i="16"/>
  <c r="X275" i="16"/>
  <c r="R276" i="16"/>
  <c r="S276" i="16"/>
  <c r="T276" i="16"/>
  <c r="U276" i="16"/>
  <c r="V276" i="16"/>
  <c r="W276" i="16"/>
  <c r="X276" i="16"/>
  <c r="R277" i="16"/>
  <c r="S277" i="16"/>
  <c r="T277" i="16"/>
  <c r="U277" i="16"/>
  <c r="V277" i="16"/>
  <c r="W277" i="16"/>
  <c r="X277" i="16"/>
  <c r="R278" i="16"/>
  <c r="S278" i="16"/>
  <c r="T278" i="16"/>
  <c r="U278" i="16"/>
  <c r="V278" i="16"/>
  <c r="W278" i="16"/>
  <c r="X278" i="16"/>
  <c r="R279" i="16"/>
  <c r="S279" i="16"/>
  <c r="T279" i="16"/>
  <c r="U279" i="16"/>
  <c r="V279" i="16"/>
  <c r="W279" i="16"/>
  <c r="X279" i="16"/>
  <c r="R280" i="16"/>
  <c r="S280" i="16"/>
  <c r="T280" i="16"/>
  <c r="U280" i="16"/>
  <c r="V280" i="16"/>
  <c r="W280" i="16"/>
  <c r="X280" i="16"/>
  <c r="R281" i="16"/>
  <c r="S281" i="16"/>
  <c r="T281" i="16"/>
  <c r="U281" i="16"/>
  <c r="V281" i="16"/>
  <c r="W281" i="16"/>
  <c r="X281" i="16"/>
  <c r="R282" i="16"/>
  <c r="S282" i="16"/>
  <c r="T282" i="16"/>
  <c r="U282" i="16"/>
  <c r="V282" i="16"/>
  <c r="W282" i="16"/>
  <c r="X282" i="16"/>
  <c r="R283" i="16"/>
  <c r="S283" i="16"/>
  <c r="T283" i="16"/>
  <c r="U283" i="16"/>
  <c r="V283" i="16"/>
  <c r="W283" i="16"/>
  <c r="X283" i="16"/>
  <c r="R284" i="16"/>
  <c r="S284" i="16"/>
  <c r="T284" i="16"/>
  <c r="U284" i="16"/>
  <c r="V284" i="16"/>
  <c r="W284" i="16"/>
  <c r="X284" i="16"/>
  <c r="R285" i="16"/>
  <c r="S285" i="16"/>
  <c r="T285" i="16"/>
  <c r="U285" i="16"/>
  <c r="V285" i="16"/>
  <c r="W285" i="16"/>
  <c r="X285" i="16"/>
  <c r="R286" i="16"/>
  <c r="S286" i="16"/>
  <c r="T286" i="16"/>
  <c r="U286" i="16"/>
  <c r="V286" i="16"/>
  <c r="W286" i="16"/>
  <c r="X286" i="16"/>
  <c r="R287" i="16"/>
  <c r="S287" i="16"/>
  <c r="T287" i="16"/>
  <c r="U287" i="16"/>
  <c r="V287" i="16"/>
  <c r="W287" i="16"/>
  <c r="X287" i="16"/>
  <c r="R288" i="16"/>
  <c r="S288" i="16"/>
  <c r="T288" i="16"/>
  <c r="U288" i="16"/>
  <c r="V288" i="16"/>
  <c r="W288" i="16"/>
  <c r="X288" i="16"/>
  <c r="R289" i="16"/>
  <c r="S289" i="16"/>
  <c r="T289" i="16"/>
  <c r="U289" i="16"/>
  <c r="V289" i="16"/>
  <c r="W289" i="16"/>
  <c r="X289" i="16"/>
  <c r="R290" i="16"/>
  <c r="S290" i="16"/>
  <c r="T290" i="16"/>
  <c r="U290" i="16"/>
  <c r="V290" i="16"/>
  <c r="W290" i="16"/>
  <c r="X290" i="16"/>
  <c r="R291" i="16"/>
  <c r="S291" i="16"/>
  <c r="T291" i="16"/>
  <c r="U291" i="16"/>
  <c r="V291" i="16"/>
  <c r="W291" i="16"/>
  <c r="X291" i="16"/>
  <c r="R292" i="16"/>
  <c r="S292" i="16"/>
  <c r="T292" i="16"/>
  <c r="U292" i="16"/>
  <c r="V292" i="16"/>
  <c r="W292" i="16"/>
  <c r="X292" i="16"/>
  <c r="R293" i="16"/>
  <c r="S293" i="16"/>
  <c r="T293" i="16"/>
  <c r="U293" i="16"/>
  <c r="V293" i="16"/>
  <c r="W293" i="16"/>
  <c r="X293" i="16"/>
  <c r="R294" i="16"/>
  <c r="S294" i="16"/>
  <c r="T294" i="16"/>
  <c r="U294" i="16"/>
  <c r="V294" i="16"/>
  <c r="W294" i="16"/>
  <c r="X294" i="16"/>
  <c r="R295" i="16"/>
  <c r="S295" i="16"/>
  <c r="T295" i="16"/>
  <c r="U295" i="16"/>
  <c r="V295" i="16"/>
  <c r="W295" i="16"/>
  <c r="X295" i="16"/>
  <c r="R296" i="16"/>
  <c r="S296" i="16"/>
  <c r="T296" i="16"/>
  <c r="U296" i="16"/>
  <c r="V296" i="16"/>
  <c r="W296" i="16"/>
  <c r="X296" i="16"/>
  <c r="R297" i="16"/>
  <c r="S297" i="16"/>
  <c r="T297" i="16"/>
  <c r="U297" i="16"/>
  <c r="V297" i="16"/>
  <c r="W297" i="16"/>
  <c r="X297" i="16"/>
  <c r="R298" i="16"/>
  <c r="S298" i="16"/>
  <c r="T298" i="16"/>
  <c r="U298" i="16"/>
  <c r="V298" i="16"/>
  <c r="W298" i="16"/>
  <c r="X298" i="16"/>
  <c r="R299" i="16"/>
  <c r="S299" i="16"/>
  <c r="T299" i="16"/>
  <c r="U299" i="16"/>
  <c r="V299" i="16"/>
  <c r="W299" i="16"/>
  <c r="X299" i="16"/>
  <c r="R300" i="16"/>
  <c r="S300" i="16"/>
  <c r="T300" i="16"/>
  <c r="U300" i="16"/>
  <c r="V300" i="16"/>
  <c r="W300" i="16"/>
  <c r="X300" i="16"/>
  <c r="R301" i="16"/>
  <c r="S301" i="16"/>
  <c r="T301" i="16"/>
  <c r="U301" i="16"/>
  <c r="V301" i="16"/>
  <c r="W301" i="16"/>
  <c r="X301" i="16"/>
  <c r="R302" i="16"/>
  <c r="S302" i="16"/>
  <c r="T302" i="16"/>
  <c r="U302" i="16"/>
  <c r="V302" i="16"/>
  <c r="W302" i="16"/>
  <c r="X302" i="16"/>
  <c r="R303" i="16"/>
  <c r="S303" i="16"/>
  <c r="T303" i="16"/>
  <c r="U303" i="16"/>
  <c r="V303" i="16"/>
  <c r="W303" i="16"/>
  <c r="X303" i="16"/>
  <c r="R304" i="16"/>
  <c r="S304" i="16"/>
  <c r="T304" i="16"/>
  <c r="U304" i="16"/>
  <c r="V304" i="16"/>
  <c r="W304" i="16"/>
  <c r="X304" i="16"/>
  <c r="R305" i="16"/>
  <c r="S305" i="16"/>
  <c r="T305" i="16"/>
  <c r="U305" i="16"/>
  <c r="V305" i="16"/>
  <c r="W305" i="16"/>
  <c r="X305" i="16"/>
  <c r="R306" i="16"/>
  <c r="S306" i="16"/>
  <c r="T306" i="16"/>
  <c r="U306" i="16"/>
  <c r="V306" i="16"/>
  <c r="W306" i="16"/>
  <c r="X306" i="16"/>
  <c r="R307" i="16"/>
  <c r="S307" i="16"/>
  <c r="T307" i="16"/>
  <c r="U307" i="16"/>
  <c r="V307" i="16"/>
  <c r="W307" i="16"/>
  <c r="X307" i="16"/>
  <c r="R308" i="16"/>
  <c r="S308" i="16"/>
  <c r="T308" i="16"/>
  <c r="U308" i="16"/>
  <c r="V308" i="16"/>
  <c r="W308" i="16"/>
  <c r="X308" i="16"/>
  <c r="R309" i="16"/>
  <c r="S309" i="16"/>
  <c r="T309" i="16"/>
  <c r="U309" i="16"/>
  <c r="V309" i="16"/>
  <c r="W309" i="16"/>
  <c r="X309" i="16"/>
  <c r="R310" i="16"/>
  <c r="S310" i="16"/>
  <c r="T310" i="16"/>
  <c r="U310" i="16"/>
  <c r="V310" i="16"/>
  <c r="W310" i="16"/>
  <c r="X310" i="16"/>
  <c r="R311" i="16"/>
  <c r="S311" i="16"/>
  <c r="T311" i="16"/>
  <c r="U311" i="16"/>
  <c r="V311" i="16"/>
  <c r="W311" i="16"/>
  <c r="X311" i="16"/>
  <c r="R312" i="16"/>
  <c r="S312" i="16"/>
  <c r="T312" i="16"/>
  <c r="U312" i="16"/>
  <c r="V312" i="16"/>
  <c r="W312" i="16"/>
  <c r="X312" i="16"/>
  <c r="R313" i="16"/>
  <c r="S313" i="16"/>
  <c r="T313" i="16"/>
  <c r="U313" i="16"/>
  <c r="V313" i="16"/>
  <c r="W313" i="16"/>
  <c r="X313" i="16"/>
  <c r="R314" i="16"/>
  <c r="S314" i="16"/>
  <c r="T314" i="16"/>
  <c r="U314" i="16"/>
  <c r="V314" i="16"/>
  <c r="W314" i="16"/>
  <c r="X314" i="16"/>
  <c r="R315" i="16"/>
  <c r="S315" i="16"/>
  <c r="T315" i="16"/>
  <c r="U315" i="16"/>
  <c r="V315" i="16"/>
  <c r="W315" i="16"/>
  <c r="X315" i="16"/>
  <c r="R316" i="16"/>
  <c r="S316" i="16"/>
  <c r="T316" i="16"/>
  <c r="U316" i="16"/>
  <c r="V316" i="16"/>
  <c r="W316" i="16"/>
  <c r="X316" i="16"/>
  <c r="R317" i="16"/>
  <c r="S317" i="16"/>
  <c r="T317" i="16"/>
  <c r="U317" i="16"/>
  <c r="V317" i="16"/>
  <c r="W317" i="16"/>
  <c r="X317" i="16"/>
  <c r="R318" i="16"/>
  <c r="S318" i="16"/>
  <c r="T318" i="16"/>
  <c r="U318" i="16"/>
  <c r="V318" i="16"/>
  <c r="W318" i="16"/>
  <c r="X318" i="16"/>
  <c r="R319" i="16"/>
  <c r="S319" i="16"/>
  <c r="T319" i="16"/>
  <c r="U319" i="16"/>
  <c r="V319" i="16"/>
  <c r="W319" i="16"/>
  <c r="X319" i="16"/>
  <c r="R320" i="16"/>
  <c r="S320" i="16"/>
  <c r="T320" i="16"/>
  <c r="U320" i="16"/>
  <c r="V320" i="16"/>
  <c r="W320" i="16"/>
  <c r="X320" i="16"/>
  <c r="R321" i="16"/>
  <c r="S321" i="16"/>
  <c r="T321" i="16"/>
  <c r="U321" i="16"/>
  <c r="V321" i="16"/>
  <c r="W321" i="16"/>
  <c r="X321" i="16"/>
  <c r="R322" i="16"/>
  <c r="S322" i="16"/>
  <c r="T322" i="16"/>
  <c r="U322" i="16"/>
  <c r="V322" i="16"/>
  <c r="W322" i="16"/>
  <c r="X322" i="16"/>
  <c r="R323" i="16"/>
  <c r="S323" i="16"/>
  <c r="T323" i="16"/>
  <c r="U323" i="16"/>
  <c r="V323" i="16"/>
  <c r="W323" i="16"/>
  <c r="X323" i="16"/>
  <c r="R324" i="16"/>
  <c r="S324" i="16"/>
  <c r="T324" i="16"/>
  <c r="U324" i="16"/>
  <c r="V324" i="16"/>
  <c r="W324" i="16"/>
  <c r="X324" i="16"/>
  <c r="R325" i="16"/>
  <c r="S325" i="16"/>
  <c r="T325" i="16"/>
  <c r="U325" i="16"/>
  <c r="V325" i="16"/>
  <c r="W325" i="16"/>
  <c r="X325" i="16"/>
  <c r="R326" i="16"/>
  <c r="S326" i="16"/>
  <c r="T326" i="16"/>
  <c r="U326" i="16"/>
  <c r="V326" i="16"/>
  <c r="W326" i="16"/>
  <c r="X326" i="16"/>
  <c r="R327" i="16"/>
  <c r="S327" i="16"/>
  <c r="T327" i="16"/>
  <c r="U327" i="16"/>
  <c r="V327" i="16"/>
  <c r="W327" i="16"/>
  <c r="X327" i="16"/>
  <c r="R328" i="16"/>
  <c r="S328" i="16"/>
  <c r="T328" i="16"/>
  <c r="U328" i="16"/>
  <c r="V328" i="16"/>
  <c r="W328" i="16"/>
  <c r="X328" i="16"/>
  <c r="R329" i="16"/>
  <c r="S329" i="16"/>
  <c r="T329" i="16"/>
  <c r="U329" i="16"/>
  <c r="V329" i="16"/>
  <c r="W329" i="16"/>
  <c r="X329" i="16"/>
  <c r="R330" i="16"/>
  <c r="S330" i="16"/>
  <c r="T330" i="16"/>
  <c r="U330" i="16"/>
  <c r="V330" i="16"/>
  <c r="W330" i="16"/>
  <c r="X330" i="16"/>
  <c r="R331" i="16"/>
  <c r="S331" i="16"/>
  <c r="T331" i="16"/>
  <c r="U331" i="16"/>
  <c r="V331" i="16"/>
  <c r="W331" i="16"/>
  <c r="X331" i="16"/>
  <c r="R332" i="16"/>
  <c r="S332" i="16"/>
  <c r="T332" i="16"/>
  <c r="U332" i="16"/>
  <c r="V332" i="16"/>
  <c r="W332" i="16"/>
  <c r="X332" i="16"/>
  <c r="R333" i="16"/>
  <c r="S333" i="16"/>
  <c r="T333" i="16"/>
  <c r="U333" i="16"/>
  <c r="V333" i="16"/>
  <c r="W333" i="16"/>
  <c r="X333" i="16"/>
  <c r="R334" i="16"/>
  <c r="S334" i="16"/>
  <c r="T334" i="16"/>
  <c r="U334" i="16"/>
  <c r="V334" i="16"/>
  <c r="W334" i="16"/>
  <c r="X334" i="16"/>
  <c r="R335" i="16"/>
  <c r="S335" i="16"/>
  <c r="T335" i="16"/>
  <c r="U335" i="16"/>
  <c r="V335" i="16"/>
  <c r="W335" i="16"/>
  <c r="X335" i="16"/>
  <c r="R336" i="16"/>
  <c r="S336" i="16"/>
  <c r="T336" i="16"/>
  <c r="U336" i="16"/>
  <c r="V336" i="16"/>
  <c r="W336" i="16"/>
  <c r="X336" i="16"/>
  <c r="R337" i="16"/>
  <c r="S337" i="16"/>
  <c r="T337" i="16"/>
  <c r="U337" i="16"/>
  <c r="V337" i="16"/>
  <c r="W337" i="16"/>
  <c r="X337" i="16"/>
  <c r="R338" i="16"/>
  <c r="S338" i="16"/>
  <c r="T338" i="16"/>
  <c r="U338" i="16"/>
  <c r="V338" i="16"/>
  <c r="W338" i="16"/>
  <c r="X338" i="16"/>
  <c r="R339" i="16"/>
  <c r="S339" i="16"/>
  <c r="T339" i="16"/>
  <c r="U339" i="16"/>
  <c r="V339" i="16"/>
  <c r="W339" i="16"/>
  <c r="X339" i="16"/>
  <c r="R340" i="16"/>
  <c r="S340" i="16"/>
  <c r="T340" i="16"/>
  <c r="U340" i="16"/>
  <c r="V340" i="16"/>
  <c r="W340" i="16"/>
  <c r="X340" i="16"/>
  <c r="R341" i="16"/>
  <c r="S341" i="16"/>
  <c r="T341" i="16"/>
  <c r="U341" i="16"/>
  <c r="V341" i="16"/>
  <c r="W341" i="16"/>
  <c r="X341" i="16"/>
  <c r="R342" i="16"/>
  <c r="S342" i="16"/>
  <c r="T342" i="16"/>
  <c r="U342" i="16"/>
  <c r="V342" i="16"/>
  <c r="W342" i="16"/>
  <c r="X342" i="16"/>
  <c r="R343" i="16"/>
  <c r="S343" i="16"/>
  <c r="T343" i="16"/>
  <c r="U343" i="16"/>
  <c r="V343" i="16"/>
  <c r="W343" i="16"/>
  <c r="X343" i="16"/>
  <c r="R344" i="16"/>
  <c r="S344" i="16"/>
  <c r="T344" i="16"/>
  <c r="U344" i="16"/>
  <c r="V344" i="16"/>
  <c r="W344" i="16"/>
  <c r="X344" i="16"/>
  <c r="R345" i="16"/>
  <c r="S345" i="16"/>
  <c r="T345" i="16"/>
  <c r="U345" i="16"/>
  <c r="V345" i="16"/>
  <c r="W345" i="16"/>
  <c r="X345" i="16"/>
  <c r="R346" i="16"/>
  <c r="S346" i="16"/>
  <c r="T346" i="16"/>
  <c r="U346" i="16"/>
  <c r="V346" i="16"/>
  <c r="W346" i="16"/>
  <c r="X346" i="16"/>
  <c r="R347" i="16"/>
  <c r="S347" i="16"/>
  <c r="T347" i="16"/>
  <c r="U347" i="16"/>
  <c r="V347" i="16"/>
  <c r="W347" i="16"/>
  <c r="X347" i="16"/>
  <c r="R348" i="16"/>
  <c r="S348" i="16"/>
  <c r="T348" i="16"/>
  <c r="U348" i="16"/>
  <c r="V348" i="16"/>
  <c r="W348" i="16"/>
  <c r="X348" i="16"/>
  <c r="R349" i="16"/>
  <c r="S349" i="16"/>
  <c r="T349" i="16"/>
  <c r="U349" i="16"/>
  <c r="V349" i="16"/>
  <c r="W349" i="16"/>
  <c r="X349" i="16"/>
  <c r="R350" i="16"/>
  <c r="S350" i="16"/>
  <c r="T350" i="16"/>
  <c r="U350" i="16"/>
  <c r="V350" i="16"/>
  <c r="W350" i="16"/>
  <c r="X350" i="16"/>
  <c r="R351" i="16"/>
  <c r="S351" i="16"/>
  <c r="T351" i="16"/>
  <c r="U351" i="16"/>
  <c r="V351" i="16"/>
  <c r="W351" i="16"/>
  <c r="X351" i="16"/>
  <c r="R352" i="16"/>
  <c r="S352" i="16"/>
  <c r="T352" i="16"/>
  <c r="U352" i="16"/>
  <c r="V352" i="16"/>
  <c r="W352" i="16"/>
  <c r="X352" i="16"/>
  <c r="R353" i="16"/>
  <c r="S353" i="16"/>
  <c r="T353" i="16"/>
  <c r="U353" i="16"/>
  <c r="V353" i="16"/>
  <c r="W353" i="16"/>
  <c r="X353" i="16"/>
  <c r="R354" i="16"/>
  <c r="S354" i="16"/>
  <c r="T354" i="16"/>
  <c r="U354" i="16"/>
  <c r="V354" i="16"/>
  <c r="W354" i="16"/>
  <c r="X354" i="16"/>
  <c r="R355" i="16"/>
  <c r="S355" i="16"/>
  <c r="T355" i="16"/>
  <c r="U355" i="16"/>
  <c r="V355" i="16"/>
  <c r="W355" i="16"/>
  <c r="X355" i="16"/>
  <c r="R356" i="16"/>
  <c r="S356" i="16"/>
  <c r="T356" i="16"/>
  <c r="U356" i="16"/>
  <c r="V356" i="16"/>
  <c r="W356" i="16"/>
  <c r="X356" i="16"/>
  <c r="R357" i="16"/>
  <c r="S357" i="16"/>
  <c r="T357" i="16"/>
  <c r="U357" i="16"/>
  <c r="V357" i="16"/>
  <c r="W357" i="16"/>
  <c r="X357" i="16"/>
  <c r="R358" i="16"/>
  <c r="S358" i="16"/>
  <c r="T358" i="16"/>
  <c r="U358" i="16"/>
  <c r="V358" i="16"/>
  <c r="W358" i="16"/>
  <c r="X358" i="16"/>
  <c r="R359" i="16"/>
  <c r="S359" i="16"/>
  <c r="T359" i="16"/>
  <c r="U359" i="16"/>
  <c r="V359" i="16"/>
  <c r="W359" i="16"/>
  <c r="X359" i="16"/>
  <c r="R360" i="16"/>
  <c r="S360" i="16"/>
  <c r="T360" i="16"/>
  <c r="U360" i="16"/>
  <c r="V360" i="16"/>
  <c r="W360" i="16"/>
  <c r="X360" i="16"/>
  <c r="R361" i="16"/>
  <c r="S361" i="16"/>
  <c r="T361" i="16"/>
  <c r="U361" i="16"/>
  <c r="V361" i="16"/>
  <c r="W361" i="16"/>
  <c r="X361" i="16"/>
  <c r="R362" i="16"/>
  <c r="S362" i="16"/>
  <c r="T362" i="16"/>
  <c r="U362" i="16"/>
  <c r="V362" i="16"/>
  <c r="W362" i="16"/>
  <c r="X362" i="16"/>
  <c r="R363" i="16"/>
  <c r="S363" i="16"/>
  <c r="T363" i="16"/>
  <c r="U363" i="16"/>
  <c r="V363" i="16"/>
  <c r="W363" i="16"/>
  <c r="X363" i="16"/>
  <c r="R364" i="16"/>
  <c r="S364" i="16"/>
  <c r="T364" i="16"/>
  <c r="U364" i="16"/>
  <c r="V364" i="16"/>
  <c r="W364" i="16"/>
  <c r="X364" i="16"/>
  <c r="R365" i="16"/>
  <c r="S365" i="16"/>
  <c r="T365" i="16"/>
  <c r="U365" i="16"/>
  <c r="V365" i="16"/>
  <c r="W365" i="16"/>
  <c r="X365" i="16"/>
  <c r="R366" i="16"/>
  <c r="S366" i="16"/>
  <c r="T366" i="16"/>
  <c r="U366" i="16"/>
  <c r="V366" i="16"/>
  <c r="W366" i="16"/>
  <c r="X366" i="16"/>
  <c r="R367" i="16"/>
  <c r="S367" i="16"/>
  <c r="T367" i="16"/>
  <c r="U367" i="16"/>
  <c r="V367" i="16"/>
  <c r="W367" i="16"/>
  <c r="X367" i="16"/>
  <c r="R368" i="16"/>
  <c r="S368" i="16"/>
  <c r="T368" i="16"/>
  <c r="U368" i="16"/>
  <c r="V368" i="16"/>
  <c r="W368" i="16"/>
  <c r="X368" i="16"/>
  <c r="R369" i="16"/>
  <c r="S369" i="16"/>
  <c r="T369" i="16"/>
  <c r="U369" i="16"/>
  <c r="V369" i="16"/>
  <c r="W369" i="16"/>
  <c r="X369" i="16"/>
  <c r="R370" i="16"/>
  <c r="S370" i="16"/>
  <c r="T370" i="16"/>
  <c r="U370" i="16"/>
  <c r="V370" i="16"/>
  <c r="W370" i="16"/>
  <c r="X370" i="16"/>
  <c r="R371" i="16"/>
  <c r="S371" i="16"/>
  <c r="T371" i="16"/>
  <c r="U371" i="16"/>
  <c r="V371" i="16"/>
  <c r="W371" i="16"/>
  <c r="X371" i="16"/>
  <c r="R372" i="16"/>
  <c r="S372" i="16"/>
  <c r="T372" i="16"/>
  <c r="U372" i="16"/>
  <c r="V372" i="16"/>
  <c r="W372" i="16"/>
  <c r="X372" i="16"/>
  <c r="R373" i="16"/>
  <c r="S373" i="16"/>
  <c r="T373" i="16"/>
  <c r="U373" i="16"/>
  <c r="V373" i="16"/>
  <c r="W373" i="16"/>
  <c r="X373" i="16"/>
  <c r="R374" i="16"/>
  <c r="S374" i="16"/>
  <c r="T374" i="16"/>
  <c r="U374" i="16"/>
  <c r="V374" i="16"/>
  <c r="W374" i="16"/>
  <c r="X374" i="16"/>
  <c r="R375" i="16"/>
  <c r="S375" i="16"/>
  <c r="T375" i="16"/>
  <c r="U375" i="16"/>
  <c r="V375" i="16"/>
  <c r="W375" i="16"/>
  <c r="X375" i="16"/>
  <c r="R376" i="16"/>
  <c r="S376" i="16"/>
  <c r="T376" i="16"/>
  <c r="U376" i="16"/>
  <c r="V376" i="16"/>
  <c r="W376" i="16"/>
  <c r="X376" i="16"/>
  <c r="R377" i="16"/>
  <c r="S377" i="16"/>
  <c r="T377" i="16"/>
  <c r="U377" i="16"/>
  <c r="V377" i="16"/>
  <c r="W377" i="16"/>
  <c r="X377" i="16"/>
  <c r="R378" i="16"/>
  <c r="S378" i="16"/>
  <c r="T378" i="16"/>
  <c r="U378" i="16"/>
  <c r="V378" i="16"/>
  <c r="W378" i="16"/>
  <c r="X378" i="16"/>
  <c r="R379" i="16"/>
  <c r="S379" i="16"/>
  <c r="T379" i="16"/>
  <c r="U379" i="16"/>
  <c r="V379" i="16"/>
  <c r="W379" i="16"/>
  <c r="X379" i="16"/>
  <c r="R380" i="16"/>
  <c r="S380" i="16"/>
  <c r="T380" i="16"/>
  <c r="U380" i="16"/>
  <c r="V380" i="16"/>
  <c r="W380" i="16"/>
  <c r="X380" i="16"/>
  <c r="R381" i="16"/>
  <c r="S381" i="16"/>
  <c r="T381" i="16"/>
  <c r="U381" i="16"/>
  <c r="V381" i="16"/>
  <c r="W381" i="16"/>
  <c r="X381" i="16"/>
  <c r="R382" i="16"/>
  <c r="S382" i="16"/>
  <c r="T382" i="16"/>
  <c r="U382" i="16"/>
  <c r="V382" i="16"/>
  <c r="W382" i="16"/>
  <c r="X382" i="16"/>
  <c r="R383" i="16"/>
  <c r="S383" i="16"/>
  <c r="T383" i="16"/>
  <c r="U383" i="16"/>
  <c r="V383" i="16"/>
  <c r="W383" i="16"/>
  <c r="X383" i="16"/>
  <c r="R384" i="16"/>
  <c r="S384" i="16"/>
  <c r="T384" i="16"/>
  <c r="U384" i="16"/>
  <c r="V384" i="16"/>
  <c r="W384" i="16"/>
  <c r="X384" i="16"/>
  <c r="R385" i="16"/>
  <c r="S385" i="16"/>
  <c r="T385" i="16"/>
  <c r="U385" i="16"/>
  <c r="V385" i="16"/>
  <c r="W385" i="16"/>
  <c r="X385" i="16"/>
  <c r="R386" i="16"/>
  <c r="S386" i="16"/>
  <c r="T386" i="16"/>
  <c r="U386" i="16"/>
  <c r="V386" i="16"/>
  <c r="W386" i="16"/>
  <c r="X386" i="16"/>
  <c r="R387" i="16"/>
  <c r="S387" i="16"/>
  <c r="T387" i="16"/>
  <c r="U387" i="16"/>
  <c r="V387" i="16"/>
  <c r="W387" i="16"/>
  <c r="X387" i="16"/>
  <c r="R388" i="16"/>
  <c r="S388" i="16"/>
  <c r="T388" i="16"/>
  <c r="U388" i="16"/>
  <c r="V388" i="16"/>
  <c r="W388" i="16"/>
  <c r="X388" i="16"/>
  <c r="R389" i="16"/>
  <c r="S389" i="16"/>
  <c r="T389" i="16"/>
  <c r="U389" i="16"/>
  <c r="V389" i="16"/>
  <c r="W389" i="16"/>
  <c r="X389" i="16"/>
  <c r="R390" i="16"/>
  <c r="S390" i="16"/>
  <c r="T390" i="16"/>
  <c r="U390" i="16"/>
  <c r="V390" i="16"/>
  <c r="W390" i="16"/>
  <c r="X390" i="16"/>
  <c r="R391" i="16"/>
  <c r="S391" i="16"/>
  <c r="T391" i="16"/>
  <c r="U391" i="16"/>
  <c r="V391" i="16"/>
  <c r="W391" i="16"/>
  <c r="X391" i="16"/>
  <c r="R392" i="16"/>
  <c r="S392" i="16"/>
  <c r="T392" i="16"/>
  <c r="U392" i="16"/>
  <c r="V392" i="16"/>
  <c r="W392" i="16"/>
  <c r="X392" i="16"/>
  <c r="R393" i="16"/>
  <c r="S393" i="16"/>
  <c r="T393" i="16"/>
  <c r="U393" i="16"/>
  <c r="V393" i="16"/>
  <c r="W393" i="16"/>
  <c r="X393" i="16"/>
  <c r="R394" i="16"/>
  <c r="S394" i="16"/>
  <c r="T394" i="16"/>
  <c r="U394" i="16"/>
  <c r="V394" i="16"/>
  <c r="W394" i="16"/>
  <c r="X394" i="16"/>
  <c r="R395" i="16"/>
  <c r="S395" i="16"/>
  <c r="T395" i="16"/>
  <c r="U395" i="16"/>
  <c r="V395" i="16"/>
  <c r="W395" i="16"/>
  <c r="X395" i="16"/>
  <c r="R396" i="16"/>
  <c r="S396" i="16"/>
  <c r="T396" i="16"/>
  <c r="U396" i="16"/>
  <c r="V396" i="16"/>
  <c r="W396" i="16"/>
  <c r="X396" i="16"/>
  <c r="R397" i="16"/>
  <c r="S397" i="16"/>
  <c r="T397" i="16"/>
  <c r="U397" i="16"/>
  <c r="V397" i="16"/>
  <c r="W397" i="16"/>
  <c r="X397" i="16"/>
  <c r="R398" i="16"/>
  <c r="S398" i="16"/>
  <c r="T398" i="16"/>
  <c r="U398" i="16"/>
  <c r="V398" i="16"/>
  <c r="W398" i="16"/>
  <c r="X398" i="16"/>
  <c r="R399" i="16"/>
  <c r="S399" i="16"/>
  <c r="T399" i="16"/>
  <c r="U399" i="16"/>
  <c r="V399" i="16"/>
  <c r="W399" i="16"/>
  <c r="X399" i="16"/>
  <c r="R400" i="16"/>
  <c r="S400" i="16"/>
  <c r="T400" i="16"/>
  <c r="U400" i="16"/>
  <c r="V400" i="16"/>
  <c r="W400" i="16"/>
  <c r="X400" i="16"/>
  <c r="R401" i="16"/>
  <c r="S401" i="16"/>
  <c r="T401" i="16"/>
  <c r="U401" i="16"/>
  <c r="V401" i="16"/>
  <c r="W401" i="16"/>
  <c r="X401" i="16"/>
  <c r="R402" i="16"/>
  <c r="S402" i="16"/>
  <c r="T402" i="16"/>
  <c r="U402" i="16"/>
  <c r="V402" i="16"/>
  <c r="W402" i="16"/>
  <c r="X402" i="16"/>
  <c r="R403" i="16"/>
  <c r="S403" i="16"/>
  <c r="T403" i="16"/>
  <c r="U403" i="16"/>
  <c r="V403" i="16"/>
  <c r="W403" i="16"/>
  <c r="X403" i="16"/>
  <c r="R404" i="16"/>
  <c r="S404" i="16"/>
  <c r="T404" i="16"/>
  <c r="U404" i="16"/>
  <c r="V404" i="16"/>
  <c r="W404" i="16"/>
  <c r="X404" i="16"/>
  <c r="R405" i="16"/>
  <c r="S405" i="16"/>
  <c r="T405" i="16"/>
  <c r="U405" i="16"/>
  <c r="V405" i="16"/>
  <c r="W405" i="16"/>
  <c r="X405" i="16"/>
  <c r="R406" i="16"/>
  <c r="S406" i="16"/>
  <c r="T406" i="16"/>
  <c r="U406" i="16"/>
  <c r="V406" i="16"/>
  <c r="W406" i="16"/>
  <c r="X406" i="16"/>
  <c r="R407" i="16"/>
  <c r="S407" i="16"/>
  <c r="T407" i="16"/>
  <c r="U407" i="16"/>
  <c r="V407" i="16"/>
  <c r="W407" i="16"/>
  <c r="X407" i="16"/>
  <c r="R408" i="16"/>
  <c r="S408" i="16"/>
  <c r="T408" i="16"/>
  <c r="U408" i="16"/>
  <c r="V408" i="16"/>
  <c r="W408" i="16"/>
  <c r="X408" i="16"/>
  <c r="R409" i="16"/>
  <c r="S409" i="16"/>
  <c r="T409" i="16"/>
  <c r="U409" i="16"/>
  <c r="V409" i="16"/>
  <c r="W409" i="16"/>
  <c r="X409" i="16"/>
  <c r="R410" i="16"/>
  <c r="S410" i="16"/>
  <c r="T410" i="16"/>
  <c r="U410" i="16"/>
  <c r="V410" i="16"/>
  <c r="W410" i="16"/>
  <c r="X410" i="16"/>
  <c r="R411" i="16"/>
  <c r="S411" i="16"/>
  <c r="T411" i="16"/>
  <c r="U411" i="16"/>
  <c r="V411" i="16"/>
  <c r="W411" i="16"/>
  <c r="X411" i="16"/>
  <c r="R412" i="16"/>
  <c r="S412" i="16"/>
  <c r="T412" i="16"/>
  <c r="U412" i="16"/>
  <c r="V412" i="16"/>
  <c r="W412" i="16"/>
  <c r="X412" i="16"/>
  <c r="R413" i="16"/>
  <c r="S413" i="16"/>
  <c r="T413" i="16"/>
  <c r="U413" i="16"/>
  <c r="V413" i="16"/>
  <c r="W413" i="16"/>
  <c r="X413" i="16"/>
  <c r="R414" i="16"/>
  <c r="S414" i="16"/>
  <c r="T414" i="16"/>
  <c r="U414" i="16"/>
  <c r="V414" i="16"/>
  <c r="W414" i="16"/>
  <c r="X414" i="16"/>
  <c r="R415" i="16"/>
  <c r="S415" i="16"/>
  <c r="T415" i="16"/>
  <c r="U415" i="16"/>
  <c r="V415" i="16"/>
  <c r="W415" i="16"/>
  <c r="X415" i="16"/>
  <c r="R416" i="16"/>
  <c r="S416" i="16"/>
  <c r="T416" i="16"/>
  <c r="U416" i="16"/>
  <c r="V416" i="16"/>
  <c r="W416" i="16"/>
  <c r="X416" i="16"/>
  <c r="R417" i="16"/>
  <c r="S417" i="16"/>
  <c r="T417" i="16"/>
  <c r="U417" i="16"/>
  <c r="V417" i="16"/>
  <c r="W417" i="16"/>
  <c r="X417" i="16"/>
  <c r="R418" i="16"/>
  <c r="S418" i="16"/>
  <c r="T418" i="16"/>
  <c r="U418" i="16"/>
  <c r="V418" i="16"/>
  <c r="W418" i="16"/>
  <c r="X418" i="16"/>
  <c r="R419" i="16"/>
  <c r="S419" i="16"/>
  <c r="T419" i="16"/>
  <c r="U419" i="16"/>
  <c r="V419" i="16"/>
  <c r="W419" i="16"/>
  <c r="X419" i="16"/>
  <c r="R420" i="16"/>
  <c r="S420" i="16"/>
  <c r="T420" i="16"/>
  <c r="U420" i="16"/>
  <c r="V420" i="16"/>
  <c r="W420" i="16"/>
  <c r="X420" i="16"/>
  <c r="R421" i="16"/>
  <c r="S421" i="16"/>
  <c r="T421" i="16"/>
  <c r="U421" i="16"/>
  <c r="V421" i="16"/>
  <c r="W421" i="16"/>
  <c r="X421" i="16"/>
  <c r="R422" i="16"/>
  <c r="S422" i="16"/>
  <c r="T422" i="16"/>
  <c r="U422" i="16"/>
  <c r="V422" i="16"/>
  <c r="W422" i="16"/>
  <c r="X422" i="16"/>
  <c r="R423" i="16"/>
  <c r="S423" i="16"/>
  <c r="T423" i="16"/>
  <c r="U423" i="16"/>
  <c r="V423" i="16"/>
  <c r="W423" i="16"/>
  <c r="X423" i="16"/>
  <c r="R424" i="16"/>
  <c r="S424" i="16"/>
  <c r="T424" i="16"/>
  <c r="U424" i="16"/>
  <c r="V424" i="16"/>
  <c r="W424" i="16"/>
  <c r="X424" i="16"/>
  <c r="R425" i="16"/>
  <c r="S425" i="16"/>
  <c r="T425" i="16"/>
  <c r="U425" i="16"/>
  <c r="V425" i="16"/>
  <c r="W425" i="16"/>
  <c r="X425" i="16"/>
  <c r="R426" i="16"/>
  <c r="S426" i="16"/>
  <c r="T426" i="16"/>
  <c r="U426" i="16"/>
  <c r="V426" i="16"/>
  <c r="W426" i="16"/>
  <c r="X426" i="16"/>
  <c r="R427" i="16"/>
  <c r="S427" i="16"/>
  <c r="T427" i="16"/>
  <c r="U427" i="16"/>
  <c r="V427" i="16"/>
  <c r="W427" i="16"/>
  <c r="X427" i="16"/>
  <c r="R428" i="16"/>
  <c r="S428" i="16"/>
  <c r="T428" i="16"/>
  <c r="U428" i="16"/>
  <c r="V428" i="16"/>
  <c r="W428" i="16"/>
  <c r="X428" i="16"/>
  <c r="R429" i="16"/>
  <c r="S429" i="16"/>
  <c r="T429" i="16"/>
  <c r="U429" i="16"/>
  <c r="V429" i="16"/>
  <c r="W429" i="16"/>
  <c r="X429" i="16"/>
  <c r="Q430" i="16"/>
  <c r="P7" i="16"/>
  <c r="X7" i="16" s="1"/>
  <c r="P8" i="16"/>
  <c r="X8" i="16" s="1"/>
  <c r="P9" i="16"/>
  <c r="X9" i="16" s="1"/>
  <c r="P10" i="16"/>
  <c r="X10" i="16" s="1"/>
  <c r="P11" i="16"/>
  <c r="X11" i="16" s="1"/>
  <c r="P12" i="16"/>
  <c r="X12" i="16" s="1"/>
  <c r="P13" i="16"/>
  <c r="X13" i="16" s="1"/>
  <c r="P14" i="16"/>
  <c r="X14" i="16" s="1"/>
  <c r="P15" i="16"/>
  <c r="X15" i="16" s="1"/>
  <c r="P16" i="16"/>
  <c r="X16" i="16" s="1"/>
  <c r="P17" i="16"/>
  <c r="X17" i="16" s="1"/>
  <c r="P18" i="16"/>
  <c r="P19" i="16"/>
  <c r="P20" i="16"/>
  <c r="P21" i="16"/>
  <c r="P22" i="16"/>
  <c r="P23" i="16"/>
  <c r="P24" i="16"/>
  <c r="P26" i="16"/>
  <c r="P28" i="16"/>
  <c r="P29" i="16"/>
  <c r="P30" i="16"/>
  <c r="P31" i="16"/>
  <c r="P32" i="16"/>
  <c r="P33" i="16"/>
  <c r="P34" i="16"/>
  <c r="P35" i="16"/>
  <c r="P36" i="16"/>
  <c r="P38"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98" i="16"/>
  <c r="P199" i="16"/>
  <c r="P200" i="16"/>
  <c r="P201" i="16"/>
  <c r="P202" i="16"/>
  <c r="P203" i="16"/>
  <c r="P204" i="16"/>
  <c r="P205" i="16"/>
  <c r="P206" i="16"/>
  <c r="P207" i="16"/>
  <c r="P208" i="16"/>
  <c r="P209" i="16"/>
  <c r="P210" i="16"/>
  <c r="P211" i="16"/>
  <c r="P212" i="16"/>
  <c r="P213" i="16"/>
  <c r="P214" i="16"/>
  <c r="P215" i="16"/>
  <c r="P216" i="16"/>
  <c r="P217" i="16"/>
  <c r="P218" i="16"/>
  <c r="P219" i="16"/>
  <c r="P220" i="16"/>
  <c r="P221" i="16"/>
  <c r="P222" i="16"/>
  <c r="P223" i="16"/>
  <c r="P224" i="16"/>
  <c r="P225" i="16"/>
  <c r="P226" i="16"/>
  <c r="P227" i="16"/>
  <c r="P228" i="16"/>
  <c r="P229" i="16"/>
  <c r="P230" i="16"/>
  <c r="P231" i="16"/>
  <c r="P232" i="16"/>
  <c r="P233" i="16"/>
  <c r="P234" i="16"/>
  <c r="P235" i="16"/>
  <c r="P236" i="16"/>
  <c r="P237" i="16"/>
  <c r="P238" i="16"/>
  <c r="P239" i="16"/>
  <c r="P240" i="16"/>
  <c r="P241" i="16"/>
  <c r="P242" i="16"/>
  <c r="P243" i="16"/>
  <c r="P244" i="16"/>
  <c r="P245" i="16"/>
  <c r="P246" i="16"/>
  <c r="P247" i="16"/>
  <c r="P248" i="16"/>
  <c r="P249" i="16"/>
  <c r="P250" i="16"/>
  <c r="P251" i="16"/>
  <c r="P252" i="16"/>
  <c r="P253" i="16"/>
  <c r="P254" i="16"/>
  <c r="P255" i="16"/>
  <c r="P256" i="16"/>
  <c r="P257" i="16"/>
  <c r="P258" i="16"/>
  <c r="P259" i="16"/>
  <c r="P260" i="16"/>
  <c r="P261" i="16"/>
  <c r="P262" i="16"/>
  <c r="P263" i="16"/>
  <c r="P264" i="16"/>
  <c r="P265" i="16"/>
  <c r="P266" i="16"/>
  <c r="P267" i="16"/>
  <c r="P268" i="16"/>
  <c r="P269" i="16"/>
  <c r="P270" i="16"/>
  <c r="P271" i="16"/>
  <c r="P272" i="16"/>
  <c r="P273" i="16"/>
  <c r="P274" i="16"/>
  <c r="P275" i="16"/>
  <c r="P276" i="16"/>
  <c r="P277" i="16"/>
  <c r="P278" i="16"/>
  <c r="P279" i="16"/>
  <c r="P280" i="16"/>
  <c r="P281" i="16"/>
  <c r="P282" i="16"/>
  <c r="P283" i="16"/>
  <c r="P284" i="16"/>
  <c r="P285" i="16"/>
  <c r="P286" i="16"/>
  <c r="P287" i="16"/>
  <c r="P288" i="16"/>
  <c r="P289" i="16"/>
  <c r="P290" i="16"/>
  <c r="P291" i="16"/>
  <c r="P292" i="16"/>
  <c r="P293" i="16"/>
  <c r="P294" i="16"/>
  <c r="P295" i="16"/>
  <c r="P296" i="16"/>
  <c r="P297" i="16"/>
  <c r="P298" i="16"/>
  <c r="P299" i="16"/>
  <c r="P300" i="16"/>
  <c r="P301" i="16"/>
  <c r="P302" i="16"/>
  <c r="P303" i="16"/>
  <c r="P304" i="16"/>
  <c r="P305" i="16"/>
  <c r="P306" i="16"/>
  <c r="P307" i="16"/>
  <c r="P308" i="16"/>
  <c r="P309" i="16"/>
  <c r="P310" i="16"/>
  <c r="P311" i="16"/>
  <c r="P312" i="16"/>
  <c r="P313" i="16"/>
  <c r="P314" i="16"/>
  <c r="P315" i="16"/>
  <c r="P316" i="16"/>
  <c r="P317" i="16"/>
  <c r="P318" i="16"/>
  <c r="P319" i="16"/>
  <c r="P320" i="16"/>
  <c r="P321" i="16"/>
  <c r="P322" i="16"/>
  <c r="P323" i="16"/>
  <c r="P324" i="16"/>
  <c r="P325" i="16"/>
  <c r="P326" i="16"/>
  <c r="P327" i="16"/>
  <c r="P328" i="16"/>
  <c r="P329" i="16"/>
  <c r="P330" i="16"/>
  <c r="P331" i="16"/>
  <c r="P332" i="16"/>
  <c r="P333" i="16"/>
  <c r="P334" i="16"/>
  <c r="P335" i="16"/>
  <c r="P336" i="16"/>
  <c r="P337" i="16"/>
  <c r="P338" i="16"/>
  <c r="P339" i="16"/>
  <c r="P340" i="16"/>
  <c r="P341" i="16"/>
  <c r="P342" i="16"/>
  <c r="P343" i="16"/>
  <c r="P344" i="16"/>
  <c r="P345" i="16"/>
  <c r="P346" i="16"/>
  <c r="P347" i="16"/>
  <c r="P348" i="16"/>
  <c r="P349" i="16"/>
  <c r="P350" i="16"/>
  <c r="P351" i="16"/>
  <c r="P352" i="16"/>
  <c r="P353" i="16"/>
  <c r="P354" i="16"/>
  <c r="P355" i="16"/>
  <c r="P356" i="16"/>
  <c r="P357" i="16"/>
  <c r="P358" i="16"/>
  <c r="P359" i="16"/>
  <c r="P360" i="16"/>
  <c r="P361" i="16"/>
  <c r="P362" i="16"/>
  <c r="P363" i="16"/>
  <c r="P364" i="16"/>
  <c r="P365" i="16"/>
  <c r="P366" i="16"/>
  <c r="P367" i="16"/>
  <c r="P368" i="16"/>
  <c r="P369" i="16"/>
  <c r="P370" i="16"/>
  <c r="P371" i="16"/>
  <c r="P372" i="16"/>
  <c r="P373" i="16"/>
  <c r="P374" i="16"/>
  <c r="P375" i="16"/>
  <c r="P376" i="16"/>
  <c r="P377" i="16"/>
  <c r="P378" i="16"/>
  <c r="P379" i="16"/>
  <c r="P380" i="16"/>
  <c r="P381" i="16"/>
  <c r="P382" i="16"/>
  <c r="P383" i="16"/>
  <c r="P384" i="16"/>
  <c r="P385" i="16"/>
  <c r="P386" i="16"/>
  <c r="P387" i="16"/>
  <c r="P388" i="16"/>
  <c r="P389" i="16"/>
  <c r="P390" i="16"/>
  <c r="P391" i="16"/>
  <c r="P392" i="16"/>
  <c r="P393" i="16"/>
  <c r="P394" i="16"/>
  <c r="P395" i="16"/>
  <c r="P396" i="16"/>
  <c r="P397" i="16"/>
  <c r="P398" i="16"/>
  <c r="P399" i="16"/>
  <c r="P400" i="16"/>
  <c r="P401" i="16"/>
  <c r="P402" i="16"/>
  <c r="P403" i="16"/>
  <c r="P404" i="16"/>
  <c r="P405" i="16"/>
  <c r="P406" i="16"/>
  <c r="P407" i="16"/>
  <c r="P408" i="16"/>
  <c r="P409" i="16"/>
  <c r="P410" i="16"/>
  <c r="P411" i="16"/>
  <c r="P412" i="16"/>
  <c r="P413" i="16"/>
  <c r="P414" i="16"/>
  <c r="P415" i="16"/>
  <c r="P416" i="16"/>
  <c r="P417" i="16"/>
  <c r="P418" i="16"/>
  <c r="P419" i="16"/>
  <c r="P420" i="16"/>
  <c r="P421" i="16"/>
  <c r="P422" i="16"/>
  <c r="P423" i="16"/>
  <c r="P424" i="16"/>
  <c r="P425" i="16"/>
  <c r="P426" i="16"/>
  <c r="P427" i="16"/>
  <c r="P428" i="16"/>
  <c r="P429" i="16"/>
  <c r="P430" i="16"/>
  <c r="R430" i="16"/>
  <c r="S430" i="16"/>
  <c r="T430" i="16"/>
  <c r="U430" i="16"/>
  <c r="V430" i="16"/>
  <c r="W430" i="16"/>
  <c r="X430" i="16"/>
  <c r="W6" i="16"/>
  <c r="V6" i="16"/>
  <c r="U6" i="16"/>
  <c r="T6" i="16"/>
  <c r="S6" i="16"/>
  <c r="R6" i="16"/>
  <c r="S7" i="15"/>
  <c r="T7" i="15"/>
  <c r="U7" i="15"/>
  <c r="V7" i="15"/>
  <c r="S8" i="15"/>
  <c r="T8" i="15"/>
  <c r="U8" i="15"/>
  <c r="V8" i="15"/>
  <c r="S9" i="15"/>
  <c r="T9" i="15"/>
  <c r="U9" i="15"/>
  <c r="V9" i="15"/>
  <c r="S10" i="15"/>
  <c r="R10" i="15" s="1"/>
  <c r="T10" i="15"/>
  <c r="U10" i="15"/>
  <c r="V10" i="15"/>
  <c r="S11" i="15"/>
  <c r="R11" i="15" s="1"/>
  <c r="T11" i="15"/>
  <c r="U11" i="15"/>
  <c r="V11" i="15"/>
  <c r="S12" i="15"/>
  <c r="T12" i="15"/>
  <c r="U12" i="15"/>
  <c r="V12" i="15"/>
  <c r="X12" i="15"/>
  <c r="S13" i="15"/>
  <c r="T13" i="15"/>
  <c r="U13" i="15"/>
  <c r="V13" i="15"/>
  <c r="S14" i="15"/>
  <c r="T14" i="15"/>
  <c r="U14" i="15"/>
  <c r="V14" i="15"/>
  <c r="S15" i="15"/>
  <c r="T15" i="15"/>
  <c r="U15" i="15"/>
  <c r="V15" i="15"/>
  <c r="S16" i="15"/>
  <c r="T16" i="15"/>
  <c r="U16" i="15"/>
  <c r="V16" i="15"/>
  <c r="S17" i="15"/>
  <c r="T17" i="15"/>
  <c r="U17" i="15"/>
  <c r="V17" i="15"/>
  <c r="W17" i="15"/>
  <c r="X17" i="15"/>
  <c r="S18" i="15"/>
  <c r="T18" i="15"/>
  <c r="U18" i="15"/>
  <c r="V18" i="15"/>
  <c r="W18" i="15"/>
  <c r="X18" i="15"/>
  <c r="S19" i="15"/>
  <c r="T19" i="15"/>
  <c r="U19" i="15"/>
  <c r="V19" i="15"/>
  <c r="W19" i="15"/>
  <c r="X19" i="15"/>
  <c r="S20" i="15"/>
  <c r="T20" i="15"/>
  <c r="U20" i="15"/>
  <c r="V20" i="15"/>
  <c r="W20" i="15"/>
  <c r="X20" i="15"/>
  <c r="S21" i="15"/>
  <c r="T21" i="15"/>
  <c r="U21" i="15"/>
  <c r="V21" i="15"/>
  <c r="W21" i="15"/>
  <c r="X21" i="15"/>
  <c r="S22" i="15"/>
  <c r="T22" i="15"/>
  <c r="U22" i="15"/>
  <c r="V22" i="15"/>
  <c r="W22" i="15"/>
  <c r="X22" i="15"/>
  <c r="S23" i="15"/>
  <c r="T23" i="15"/>
  <c r="U23" i="15"/>
  <c r="V23" i="15"/>
  <c r="W23" i="15"/>
  <c r="X23" i="15"/>
  <c r="S24" i="15"/>
  <c r="T24" i="15"/>
  <c r="U24" i="15"/>
  <c r="V24" i="15"/>
  <c r="W24" i="15"/>
  <c r="X24" i="15"/>
  <c r="S25" i="15"/>
  <c r="T25" i="15"/>
  <c r="U25" i="15"/>
  <c r="V25" i="15"/>
  <c r="W25" i="15"/>
  <c r="X25" i="15"/>
  <c r="S26" i="15"/>
  <c r="T26" i="15"/>
  <c r="U26" i="15"/>
  <c r="V26" i="15"/>
  <c r="W26" i="15"/>
  <c r="X26" i="15"/>
  <c r="S27" i="15"/>
  <c r="T27" i="15"/>
  <c r="U27" i="15"/>
  <c r="V27" i="15"/>
  <c r="W27" i="15"/>
  <c r="X27" i="15"/>
  <c r="S28" i="15"/>
  <c r="T28" i="15"/>
  <c r="U28" i="15"/>
  <c r="V28" i="15"/>
  <c r="W28" i="15"/>
  <c r="X28" i="15"/>
  <c r="S29" i="15"/>
  <c r="T29" i="15"/>
  <c r="U29" i="15"/>
  <c r="V29" i="15"/>
  <c r="W29" i="15"/>
  <c r="X29" i="15"/>
  <c r="S30" i="15"/>
  <c r="T30" i="15"/>
  <c r="U30" i="15"/>
  <c r="V30" i="15"/>
  <c r="W30" i="15"/>
  <c r="X30" i="15"/>
  <c r="S31" i="15"/>
  <c r="T31" i="15"/>
  <c r="U31" i="15"/>
  <c r="V31" i="15"/>
  <c r="W31" i="15"/>
  <c r="X31" i="15"/>
  <c r="S32" i="15"/>
  <c r="T32" i="15"/>
  <c r="U32" i="15"/>
  <c r="V32" i="15"/>
  <c r="W32" i="15"/>
  <c r="X32" i="15"/>
  <c r="S33" i="15"/>
  <c r="T33" i="15"/>
  <c r="U33" i="15"/>
  <c r="V33" i="15"/>
  <c r="W33" i="15"/>
  <c r="X33" i="15"/>
  <c r="S34" i="15"/>
  <c r="T34" i="15"/>
  <c r="U34" i="15"/>
  <c r="V34" i="15"/>
  <c r="W34" i="15"/>
  <c r="X34" i="15"/>
  <c r="S35" i="15"/>
  <c r="T35" i="15"/>
  <c r="U35" i="15"/>
  <c r="V35" i="15"/>
  <c r="W35" i="15"/>
  <c r="X35" i="15"/>
  <c r="S36" i="15"/>
  <c r="T36" i="15"/>
  <c r="U36" i="15"/>
  <c r="V36" i="15"/>
  <c r="W36" i="15"/>
  <c r="X36" i="15"/>
  <c r="S37" i="15"/>
  <c r="T37" i="15"/>
  <c r="U37" i="15"/>
  <c r="V37" i="15"/>
  <c r="W37" i="15"/>
  <c r="X37" i="15"/>
  <c r="S38" i="15"/>
  <c r="T38" i="15"/>
  <c r="U38" i="15"/>
  <c r="V38" i="15"/>
  <c r="W38" i="15"/>
  <c r="X38" i="15"/>
  <c r="S39" i="15"/>
  <c r="T39" i="15"/>
  <c r="U39" i="15"/>
  <c r="V39" i="15"/>
  <c r="W39" i="15"/>
  <c r="X39" i="15"/>
  <c r="S40" i="15"/>
  <c r="T40" i="15"/>
  <c r="U40" i="15"/>
  <c r="V40" i="15"/>
  <c r="W40" i="15"/>
  <c r="X40" i="15"/>
  <c r="S41" i="15"/>
  <c r="T41" i="15"/>
  <c r="U41" i="15"/>
  <c r="V41" i="15"/>
  <c r="W41" i="15"/>
  <c r="X41" i="15"/>
  <c r="S42" i="15"/>
  <c r="T42" i="15"/>
  <c r="U42" i="15"/>
  <c r="V42" i="15"/>
  <c r="W42" i="15"/>
  <c r="X42" i="15"/>
  <c r="S43" i="15"/>
  <c r="T43" i="15"/>
  <c r="U43" i="15"/>
  <c r="V43" i="15"/>
  <c r="W43" i="15"/>
  <c r="X43" i="15"/>
  <c r="S44" i="15"/>
  <c r="T44" i="15"/>
  <c r="U44" i="15"/>
  <c r="V44" i="15"/>
  <c r="W44" i="15"/>
  <c r="X44" i="15"/>
  <c r="S45" i="15"/>
  <c r="T45" i="15"/>
  <c r="U45" i="15"/>
  <c r="V45" i="15"/>
  <c r="W45" i="15"/>
  <c r="X45" i="15"/>
  <c r="S46" i="15"/>
  <c r="T46" i="15"/>
  <c r="U46" i="15"/>
  <c r="V46" i="15"/>
  <c r="W46" i="15"/>
  <c r="X46" i="15"/>
  <c r="S47" i="15"/>
  <c r="T47" i="15"/>
  <c r="U47" i="15"/>
  <c r="V47" i="15"/>
  <c r="W47" i="15"/>
  <c r="X47" i="15"/>
  <c r="S48" i="15"/>
  <c r="T48" i="15"/>
  <c r="U48" i="15"/>
  <c r="V48" i="15"/>
  <c r="W48" i="15"/>
  <c r="X48" i="15"/>
  <c r="S49" i="15"/>
  <c r="T49" i="15"/>
  <c r="U49" i="15"/>
  <c r="V49" i="15"/>
  <c r="W49" i="15"/>
  <c r="X49" i="15"/>
  <c r="S50" i="15"/>
  <c r="T50" i="15"/>
  <c r="U50" i="15"/>
  <c r="V50" i="15"/>
  <c r="W50" i="15"/>
  <c r="X50" i="15"/>
  <c r="S51" i="15"/>
  <c r="T51" i="15"/>
  <c r="U51" i="15"/>
  <c r="V51" i="15"/>
  <c r="W51" i="15"/>
  <c r="X51" i="15"/>
  <c r="S52" i="15"/>
  <c r="T52" i="15"/>
  <c r="U52" i="15"/>
  <c r="V52" i="15"/>
  <c r="W52" i="15"/>
  <c r="X52" i="15"/>
  <c r="S53" i="15"/>
  <c r="T53" i="15"/>
  <c r="U53" i="15"/>
  <c r="V53" i="15"/>
  <c r="W53" i="15"/>
  <c r="X53" i="15"/>
  <c r="S54" i="15"/>
  <c r="T54" i="15"/>
  <c r="U54" i="15"/>
  <c r="V54" i="15"/>
  <c r="W54" i="15"/>
  <c r="X54" i="15"/>
  <c r="S55" i="15"/>
  <c r="T55" i="15"/>
  <c r="U55" i="15"/>
  <c r="V55" i="15"/>
  <c r="W55" i="15"/>
  <c r="X55" i="15"/>
  <c r="S56" i="15"/>
  <c r="T56" i="15"/>
  <c r="U56" i="15"/>
  <c r="V56" i="15"/>
  <c r="W56" i="15"/>
  <c r="X56" i="15"/>
  <c r="S57" i="15"/>
  <c r="T57" i="15"/>
  <c r="U57" i="15"/>
  <c r="V57" i="15"/>
  <c r="W57" i="15"/>
  <c r="X57" i="15"/>
  <c r="S58" i="15"/>
  <c r="T58" i="15"/>
  <c r="U58" i="15"/>
  <c r="V58" i="15"/>
  <c r="W58" i="15"/>
  <c r="X58" i="15"/>
  <c r="S59" i="15"/>
  <c r="T59" i="15"/>
  <c r="U59" i="15"/>
  <c r="V59" i="15"/>
  <c r="W59" i="15"/>
  <c r="X59" i="15"/>
  <c r="S60" i="15"/>
  <c r="T60" i="15"/>
  <c r="U60" i="15"/>
  <c r="V60" i="15"/>
  <c r="W60" i="15"/>
  <c r="X60" i="15"/>
  <c r="S61" i="15"/>
  <c r="T61" i="15"/>
  <c r="U61" i="15"/>
  <c r="V61" i="15"/>
  <c r="W61" i="15"/>
  <c r="X61" i="15"/>
  <c r="S62" i="15"/>
  <c r="T62" i="15"/>
  <c r="U62" i="15"/>
  <c r="V62" i="15"/>
  <c r="W62" i="15"/>
  <c r="X62" i="15"/>
  <c r="S63" i="15"/>
  <c r="T63" i="15"/>
  <c r="U63" i="15"/>
  <c r="V63" i="15"/>
  <c r="W63" i="15"/>
  <c r="X63" i="15"/>
  <c r="S64" i="15"/>
  <c r="T64" i="15"/>
  <c r="U64" i="15"/>
  <c r="V64" i="15"/>
  <c r="W64" i="15"/>
  <c r="X64" i="15"/>
  <c r="S65" i="15"/>
  <c r="T65" i="15"/>
  <c r="U65" i="15"/>
  <c r="V65" i="15"/>
  <c r="W65" i="15"/>
  <c r="X65" i="15"/>
  <c r="S66" i="15"/>
  <c r="T66" i="15"/>
  <c r="U66" i="15"/>
  <c r="V66" i="15"/>
  <c r="W66" i="15"/>
  <c r="X66" i="15"/>
  <c r="S67" i="15"/>
  <c r="T67" i="15"/>
  <c r="U67" i="15"/>
  <c r="V67" i="15"/>
  <c r="W67" i="15"/>
  <c r="X67" i="15"/>
  <c r="S68" i="15"/>
  <c r="T68" i="15"/>
  <c r="U68" i="15"/>
  <c r="V68" i="15"/>
  <c r="W68" i="15"/>
  <c r="X68" i="15"/>
  <c r="S69" i="15"/>
  <c r="T69" i="15"/>
  <c r="U69" i="15"/>
  <c r="V69" i="15"/>
  <c r="W69" i="15"/>
  <c r="X69" i="15"/>
  <c r="S70" i="15"/>
  <c r="T70" i="15"/>
  <c r="U70" i="15"/>
  <c r="V70" i="15"/>
  <c r="W70" i="15"/>
  <c r="X70" i="15"/>
  <c r="S71" i="15"/>
  <c r="T71" i="15"/>
  <c r="U71" i="15"/>
  <c r="V71" i="15"/>
  <c r="W71" i="15"/>
  <c r="X71" i="15"/>
  <c r="S72" i="15"/>
  <c r="T72" i="15"/>
  <c r="U72" i="15"/>
  <c r="V72" i="15"/>
  <c r="W72" i="15"/>
  <c r="X72" i="15"/>
  <c r="S73" i="15"/>
  <c r="T73" i="15"/>
  <c r="U73" i="15"/>
  <c r="V73" i="15"/>
  <c r="W73" i="15"/>
  <c r="X73" i="15"/>
  <c r="S74" i="15"/>
  <c r="T74" i="15"/>
  <c r="U74" i="15"/>
  <c r="V74" i="15"/>
  <c r="W74" i="15"/>
  <c r="X74" i="15"/>
  <c r="S75" i="15"/>
  <c r="T75" i="15"/>
  <c r="U75" i="15"/>
  <c r="V75" i="15"/>
  <c r="W75" i="15"/>
  <c r="X75" i="15"/>
  <c r="S76" i="15"/>
  <c r="T76" i="15"/>
  <c r="U76" i="15"/>
  <c r="V76" i="15"/>
  <c r="W76" i="15"/>
  <c r="X76" i="15"/>
  <c r="S77" i="15"/>
  <c r="T77" i="15"/>
  <c r="U77" i="15"/>
  <c r="V77" i="15"/>
  <c r="W77" i="15"/>
  <c r="X77" i="15"/>
  <c r="S78" i="15"/>
  <c r="T78" i="15"/>
  <c r="U78" i="15"/>
  <c r="V78" i="15"/>
  <c r="W78" i="15"/>
  <c r="X78" i="15"/>
  <c r="S79" i="15"/>
  <c r="T79" i="15"/>
  <c r="U79" i="15"/>
  <c r="V79" i="15"/>
  <c r="W79" i="15"/>
  <c r="X79" i="15"/>
  <c r="S80" i="15"/>
  <c r="T80" i="15"/>
  <c r="U80" i="15"/>
  <c r="V80" i="15"/>
  <c r="W80" i="15"/>
  <c r="X80" i="15"/>
  <c r="S81" i="15"/>
  <c r="T81" i="15"/>
  <c r="U81" i="15"/>
  <c r="V81" i="15"/>
  <c r="W81" i="15"/>
  <c r="X81" i="15"/>
  <c r="S82" i="15"/>
  <c r="T82" i="15"/>
  <c r="U82" i="15"/>
  <c r="V82" i="15"/>
  <c r="W82" i="15"/>
  <c r="X82" i="15"/>
  <c r="S83" i="15"/>
  <c r="T83" i="15"/>
  <c r="U83" i="15"/>
  <c r="V83" i="15"/>
  <c r="W83" i="15"/>
  <c r="X83" i="15"/>
  <c r="S84" i="15"/>
  <c r="T84" i="15"/>
  <c r="U84" i="15"/>
  <c r="V84" i="15"/>
  <c r="W84" i="15"/>
  <c r="X84" i="15"/>
  <c r="S85" i="15"/>
  <c r="T85" i="15"/>
  <c r="U85" i="15"/>
  <c r="V85" i="15"/>
  <c r="W85" i="15"/>
  <c r="X85" i="15"/>
  <c r="S86" i="15"/>
  <c r="T86" i="15"/>
  <c r="U86" i="15"/>
  <c r="V86" i="15"/>
  <c r="W86" i="15"/>
  <c r="X86" i="15"/>
  <c r="S87" i="15"/>
  <c r="T87" i="15"/>
  <c r="U87" i="15"/>
  <c r="V87" i="15"/>
  <c r="W87" i="15"/>
  <c r="X87" i="15"/>
  <c r="S88" i="15"/>
  <c r="T88" i="15"/>
  <c r="U88" i="15"/>
  <c r="V88" i="15"/>
  <c r="W88" i="15"/>
  <c r="X88" i="15"/>
  <c r="S89" i="15"/>
  <c r="T89" i="15"/>
  <c r="U89" i="15"/>
  <c r="V89" i="15"/>
  <c r="W89" i="15"/>
  <c r="X89" i="15"/>
  <c r="S90" i="15"/>
  <c r="T90" i="15"/>
  <c r="U90" i="15"/>
  <c r="V90" i="15"/>
  <c r="W90" i="15"/>
  <c r="X90" i="15"/>
  <c r="S91" i="15"/>
  <c r="T91" i="15"/>
  <c r="U91" i="15"/>
  <c r="V91" i="15"/>
  <c r="W91" i="15"/>
  <c r="X91" i="15"/>
  <c r="S92" i="15"/>
  <c r="T92" i="15"/>
  <c r="U92" i="15"/>
  <c r="V92" i="15"/>
  <c r="W92" i="15"/>
  <c r="X92" i="15"/>
  <c r="S93" i="15"/>
  <c r="T93" i="15"/>
  <c r="U93" i="15"/>
  <c r="V93" i="15"/>
  <c r="W93" i="15"/>
  <c r="X93" i="15"/>
  <c r="S94" i="15"/>
  <c r="T94" i="15"/>
  <c r="U94" i="15"/>
  <c r="V94" i="15"/>
  <c r="W94" i="15"/>
  <c r="X94" i="15"/>
  <c r="S95" i="15"/>
  <c r="T95" i="15"/>
  <c r="U95" i="15"/>
  <c r="V95" i="15"/>
  <c r="W95" i="15"/>
  <c r="X95" i="15"/>
  <c r="S96" i="15"/>
  <c r="T96" i="15"/>
  <c r="U96" i="15"/>
  <c r="V96" i="15"/>
  <c r="W96" i="15"/>
  <c r="X96" i="15"/>
  <c r="S97" i="15"/>
  <c r="T97" i="15"/>
  <c r="U97" i="15"/>
  <c r="V97" i="15"/>
  <c r="W97" i="15"/>
  <c r="X97" i="15"/>
  <c r="S98" i="15"/>
  <c r="T98" i="15"/>
  <c r="U98" i="15"/>
  <c r="V98" i="15"/>
  <c r="W98" i="15"/>
  <c r="X98" i="15"/>
  <c r="S99" i="15"/>
  <c r="T99" i="15"/>
  <c r="U99" i="15"/>
  <c r="V99" i="15"/>
  <c r="W99" i="15"/>
  <c r="X99" i="15"/>
  <c r="S100" i="15"/>
  <c r="T100" i="15"/>
  <c r="U100" i="15"/>
  <c r="V100" i="15"/>
  <c r="W100" i="15"/>
  <c r="X100" i="15"/>
  <c r="S101" i="15"/>
  <c r="T101" i="15"/>
  <c r="U101" i="15"/>
  <c r="V101" i="15"/>
  <c r="W101" i="15"/>
  <c r="X101" i="15"/>
  <c r="S102" i="15"/>
  <c r="T102" i="15"/>
  <c r="U102" i="15"/>
  <c r="V102" i="15"/>
  <c r="W102" i="15"/>
  <c r="X102" i="15"/>
  <c r="S103" i="15"/>
  <c r="T103" i="15"/>
  <c r="U103" i="15"/>
  <c r="V103" i="15"/>
  <c r="W103" i="15"/>
  <c r="X103" i="15"/>
  <c r="S104" i="15"/>
  <c r="T104" i="15"/>
  <c r="U104" i="15"/>
  <c r="V104" i="15"/>
  <c r="W104" i="15"/>
  <c r="X104" i="15"/>
  <c r="S105" i="15"/>
  <c r="T105" i="15"/>
  <c r="U105" i="15"/>
  <c r="V105" i="15"/>
  <c r="W105" i="15"/>
  <c r="X105" i="15"/>
  <c r="S106" i="15"/>
  <c r="T106" i="15"/>
  <c r="U106" i="15"/>
  <c r="V106" i="15"/>
  <c r="W106" i="15"/>
  <c r="X106" i="15"/>
  <c r="S107" i="15"/>
  <c r="T107" i="15"/>
  <c r="U107" i="15"/>
  <c r="V107" i="15"/>
  <c r="W107" i="15"/>
  <c r="X107" i="15"/>
  <c r="S108" i="15"/>
  <c r="T108" i="15"/>
  <c r="U108" i="15"/>
  <c r="V108" i="15"/>
  <c r="W108" i="15"/>
  <c r="X108" i="15"/>
  <c r="S109" i="15"/>
  <c r="T109" i="15"/>
  <c r="U109" i="15"/>
  <c r="V109" i="15"/>
  <c r="W109" i="15"/>
  <c r="X109" i="15"/>
  <c r="S110" i="15"/>
  <c r="T110" i="15"/>
  <c r="U110" i="15"/>
  <c r="V110" i="15"/>
  <c r="W110" i="15"/>
  <c r="X110" i="15"/>
  <c r="S111" i="15"/>
  <c r="T111" i="15"/>
  <c r="U111" i="15"/>
  <c r="V111" i="15"/>
  <c r="W111" i="15"/>
  <c r="X111" i="15"/>
  <c r="S112" i="15"/>
  <c r="T112" i="15"/>
  <c r="U112" i="15"/>
  <c r="V112" i="15"/>
  <c r="W112" i="15"/>
  <c r="X112" i="15"/>
  <c r="S113" i="15"/>
  <c r="T113" i="15"/>
  <c r="U113" i="15"/>
  <c r="V113" i="15"/>
  <c r="W113" i="15"/>
  <c r="X113" i="15"/>
  <c r="S114" i="15"/>
  <c r="T114" i="15"/>
  <c r="U114" i="15"/>
  <c r="V114" i="15"/>
  <c r="W114" i="15"/>
  <c r="X114" i="15"/>
  <c r="S115" i="15"/>
  <c r="T115" i="15"/>
  <c r="U115" i="15"/>
  <c r="V115" i="15"/>
  <c r="W115" i="15"/>
  <c r="X115" i="15"/>
  <c r="S116" i="15"/>
  <c r="T116" i="15"/>
  <c r="U116" i="15"/>
  <c r="V116" i="15"/>
  <c r="W116" i="15"/>
  <c r="X116" i="15"/>
  <c r="S117" i="15"/>
  <c r="T117" i="15"/>
  <c r="U117" i="15"/>
  <c r="V117" i="15"/>
  <c r="W117" i="15"/>
  <c r="X117" i="15"/>
  <c r="S118" i="15"/>
  <c r="T118" i="15"/>
  <c r="U118" i="15"/>
  <c r="V118" i="15"/>
  <c r="W118" i="15"/>
  <c r="X118" i="15"/>
  <c r="S119" i="15"/>
  <c r="T119" i="15"/>
  <c r="U119" i="15"/>
  <c r="V119" i="15"/>
  <c r="W119" i="15"/>
  <c r="X119" i="15"/>
  <c r="S120" i="15"/>
  <c r="T120" i="15"/>
  <c r="U120" i="15"/>
  <c r="V120" i="15"/>
  <c r="W120" i="15"/>
  <c r="X120" i="15"/>
  <c r="S121" i="15"/>
  <c r="T121" i="15"/>
  <c r="U121" i="15"/>
  <c r="V121" i="15"/>
  <c r="W121" i="15"/>
  <c r="X121" i="15"/>
  <c r="S122" i="15"/>
  <c r="T122" i="15"/>
  <c r="U122" i="15"/>
  <c r="V122" i="15"/>
  <c r="W122" i="15"/>
  <c r="X122" i="15"/>
  <c r="S123" i="15"/>
  <c r="T123" i="15"/>
  <c r="U123" i="15"/>
  <c r="V123" i="15"/>
  <c r="W123" i="15"/>
  <c r="X123" i="15"/>
  <c r="S124" i="15"/>
  <c r="T124" i="15"/>
  <c r="U124" i="15"/>
  <c r="V124" i="15"/>
  <c r="W124" i="15"/>
  <c r="X124" i="15"/>
  <c r="S125" i="15"/>
  <c r="T125" i="15"/>
  <c r="U125" i="15"/>
  <c r="V125" i="15"/>
  <c r="W125" i="15"/>
  <c r="X125" i="15"/>
  <c r="S126" i="15"/>
  <c r="T126" i="15"/>
  <c r="U126" i="15"/>
  <c r="V126" i="15"/>
  <c r="W126" i="15"/>
  <c r="X126" i="15"/>
  <c r="S127" i="15"/>
  <c r="T127" i="15"/>
  <c r="U127" i="15"/>
  <c r="V127" i="15"/>
  <c r="W127" i="15"/>
  <c r="X127" i="15"/>
  <c r="S128" i="15"/>
  <c r="T128" i="15"/>
  <c r="U128" i="15"/>
  <c r="V128" i="15"/>
  <c r="W128" i="15"/>
  <c r="X128" i="15"/>
  <c r="S129" i="15"/>
  <c r="T129" i="15"/>
  <c r="U129" i="15"/>
  <c r="V129" i="15"/>
  <c r="W129" i="15"/>
  <c r="X129" i="15"/>
  <c r="S130" i="15"/>
  <c r="T130" i="15"/>
  <c r="U130" i="15"/>
  <c r="V130" i="15"/>
  <c r="W130" i="15"/>
  <c r="X130" i="15"/>
  <c r="S131" i="15"/>
  <c r="T131" i="15"/>
  <c r="U131" i="15"/>
  <c r="V131" i="15"/>
  <c r="W131" i="15"/>
  <c r="X131" i="15"/>
  <c r="S132" i="15"/>
  <c r="T132" i="15"/>
  <c r="U132" i="15"/>
  <c r="V132" i="15"/>
  <c r="W132" i="15"/>
  <c r="X132" i="15"/>
  <c r="S133" i="15"/>
  <c r="T133" i="15"/>
  <c r="U133" i="15"/>
  <c r="V133" i="15"/>
  <c r="W133" i="15"/>
  <c r="X133" i="15"/>
  <c r="S134" i="15"/>
  <c r="T134" i="15"/>
  <c r="U134" i="15"/>
  <c r="V134" i="15"/>
  <c r="W134" i="15"/>
  <c r="X134" i="15"/>
  <c r="S135" i="15"/>
  <c r="T135" i="15"/>
  <c r="U135" i="15"/>
  <c r="V135" i="15"/>
  <c r="W135" i="15"/>
  <c r="X135" i="15"/>
  <c r="S136" i="15"/>
  <c r="T136" i="15"/>
  <c r="U136" i="15"/>
  <c r="V136" i="15"/>
  <c r="W136" i="15"/>
  <c r="X136" i="15"/>
  <c r="S137" i="15"/>
  <c r="T137" i="15"/>
  <c r="U137" i="15"/>
  <c r="V137" i="15"/>
  <c r="W137" i="15"/>
  <c r="X137" i="15"/>
  <c r="S138" i="15"/>
  <c r="T138" i="15"/>
  <c r="U138" i="15"/>
  <c r="V138" i="15"/>
  <c r="W138" i="15"/>
  <c r="X138" i="15"/>
  <c r="S139" i="15"/>
  <c r="T139" i="15"/>
  <c r="U139" i="15"/>
  <c r="V139" i="15"/>
  <c r="W139" i="15"/>
  <c r="X139" i="15"/>
  <c r="S140" i="15"/>
  <c r="T140" i="15"/>
  <c r="U140" i="15"/>
  <c r="V140" i="15"/>
  <c r="W140" i="15"/>
  <c r="X140" i="15"/>
  <c r="S141" i="15"/>
  <c r="T141" i="15"/>
  <c r="U141" i="15"/>
  <c r="V141" i="15"/>
  <c r="W141" i="15"/>
  <c r="X141" i="15"/>
  <c r="S142" i="15"/>
  <c r="T142" i="15"/>
  <c r="U142" i="15"/>
  <c r="V142" i="15"/>
  <c r="W142" i="15"/>
  <c r="X142" i="15"/>
  <c r="S143" i="15"/>
  <c r="T143" i="15"/>
  <c r="U143" i="15"/>
  <c r="V143" i="15"/>
  <c r="W143" i="15"/>
  <c r="X143" i="15"/>
  <c r="S144" i="15"/>
  <c r="T144" i="15"/>
  <c r="U144" i="15"/>
  <c r="V144" i="15"/>
  <c r="W144" i="15"/>
  <c r="X144" i="15"/>
  <c r="S145" i="15"/>
  <c r="T145" i="15"/>
  <c r="U145" i="15"/>
  <c r="V145" i="15"/>
  <c r="W145" i="15"/>
  <c r="X145" i="15"/>
  <c r="S146" i="15"/>
  <c r="T146" i="15"/>
  <c r="U146" i="15"/>
  <c r="V146" i="15"/>
  <c r="W146" i="15"/>
  <c r="X146" i="15"/>
  <c r="S147" i="15"/>
  <c r="T147" i="15"/>
  <c r="U147" i="15"/>
  <c r="V147" i="15"/>
  <c r="W147" i="15"/>
  <c r="X147" i="15"/>
  <c r="S148" i="15"/>
  <c r="T148" i="15"/>
  <c r="U148" i="15"/>
  <c r="V148" i="15"/>
  <c r="W148" i="15"/>
  <c r="X148" i="15"/>
  <c r="S149" i="15"/>
  <c r="T149" i="15"/>
  <c r="U149" i="15"/>
  <c r="V149" i="15"/>
  <c r="W149" i="15"/>
  <c r="X149" i="15"/>
  <c r="S150" i="15"/>
  <c r="T150" i="15"/>
  <c r="U150" i="15"/>
  <c r="V150" i="15"/>
  <c r="W150" i="15"/>
  <c r="X150" i="15"/>
  <c r="S151" i="15"/>
  <c r="T151" i="15"/>
  <c r="U151" i="15"/>
  <c r="V151" i="15"/>
  <c r="W151" i="15"/>
  <c r="X151" i="15"/>
  <c r="S152" i="15"/>
  <c r="T152" i="15"/>
  <c r="U152" i="15"/>
  <c r="V152" i="15"/>
  <c r="W152" i="15"/>
  <c r="X152" i="15"/>
  <c r="S153" i="15"/>
  <c r="T153" i="15"/>
  <c r="U153" i="15"/>
  <c r="V153" i="15"/>
  <c r="W153" i="15"/>
  <c r="X153" i="15"/>
  <c r="S154" i="15"/>
  <c r="T154" i="15"/>
  <c r="U154" i="15"/>
  <c r="V154" i="15"/>
  <c r="W154" i="15"/>
  <c r="X154" i="15"/>
  <c r="S155" i="15"/>
  <c r="T155" i="15"/>
  <c r="U155" i="15"/>
  <c r="V155" i="15"/>
  <c r="W155" i="15"/>
  <c r="X155" i="15"/>
  <c r="S156" i="15"/>
  <c r="T156" i="15"/>
  <c r="U156" i="15"/>
  <c r="V156" i="15"/>
  <c r="W156" i="15"/>
  <c r="X156" i="15"/>
  <c r="S157" i="15"/>
  <c r="T157" i="15"/>
  <c r="U157" i="15"/>
  <c r="V157" i="15"/>
  <c r="W157" i="15"/>
  <c r="X157" i="15"/>
  <c r="S158" i="15"/>
  <c r="T158" i="15"/>
  <c r="U158" i="15"/>
  <c r="V158" i="15"/>
  <c r="W158" i="15"/>
  <c r="X158" i="15"/>
  <c r="S159" i="15"/>
  <c r="T159" i="15"/>
  <c r="U159" i="15"/>
  <c r="V159" i="15"/>
  <c r="W159" i="15"/>
  <c r="X159" i="15"/>
  <c r="S160" i="15"/>
  <c r="T160" i="15"/>
  <c r="U160" i="15"/>
  <c r="V160" i="15"/>
  <c r="W160" i="15"/>
  <c r="X160" i="15"/>
  <c r="S161" i="15"/>
  <c r="T161" i="15"/>
  <c r="U161" i="15"/>
  <c r="V161" i="15"/>
  <c r="W161" i="15"/>
  <c r="X161" i="15"/>
  <c r="S162" i="15"/>
  <c r="T162" i="15"/>
  <c r="U162" i="15"/>
  <c r="V162" i="15"/>
  <c r="W162" i="15"/>
  <c r="X162" i="15"/>
  <c r="S163" i="15"/>
  <c r="T163" i="15"/>
  <c r="U163" i="15"/>
  <c r="V163" i="15"/>
  <c r="W163" i="15"/>
  <c r="X163" i="15"/>
  <c r="S164" i="15"/>
  <c r="T164" i="15"/>
  <c r="U164" i="15"/>
  <c r="V164" i="15"/>
  <c r="W164" i="15"/>
  <c r="X164" i="15"/>
  <c r="S165" i="15"/>
  <c r="T165" i="15"/>
  <c r="U165" i="15"/>
  <c r="V165" i="15"/>
  <c r="W165" i="15"/>
  <c r="X165" i="15"/>
  <c r="S166" i="15"/>
  <c r="T166" i="15"/>
  <c r="U166" i="15"/>
  <c r="V166" i="15"/>
  <c r="W166" i="15"/>
  <c r="X166" i="15"/>
  <c r="S167" i="15"/>
  <c r="T167" i="15"/>
  <c r="U167" i="15"/>
  <c r="V167" i="15"/>
  <c r="W167" i="15"/>
  <c r="X167" i="15"/>
  <c r="S168" i="15"/>
  <c r="T168" i="15"/>
  <c r="U168" i="15"/>
  <c r="V168" i="15"/>
  <c r="W168" i="15"/>
  <c r="X168" i="15"/>
  <c r="S169" i="15"/>
  <c r="T169" i="15"/>
  <c r="U169" i="15"/>
  <c r="V169" i="15"/>
  <c r="W169" i="15"/>
  <c r="X169" i="15"/>
  <c r="S170" i="15"/>
  <c r="T170" i="15"/>
  <c r="U170" i="15"/>
  <c r="V170" i="15"/>
  <c r="W170" i="15"/>
  <c r="X170" i="15"/>
  <c r="S171" i="15"/>
  <c r="T171" i="15"/>
  <c r="U171" i="15"/>
  <c r="V171" i="15"/>
  <c r="W171" i="15"/>
  <c r="X171" i="15"/>
  <c r="S172" i="15"/>
  <c r="T172" i="15"/>
  <c r="U172" i="15"/>
  <c r="V172" i="15"/>
  <c r="W172" i="15"/>
  <c r="X172" i="15"/>
  <c r="S173" i="15"/>
  <c r="T173" i="15"/>
  <c r="U173" i="15"/>
  <c r="V173" i="15"/>
  <c r="W173" i="15"/>
  <c r="X173" i="15"/>
  <c r="S174" i="15"/>
  <c r="T174" i="15"/>
  <c r="U174" i="15"/>
  <c r="V174" i="15"/>
  <c r="W174" i="15"/>
  <c r="X174" i="15"/>
  <c r="S175" i="15"/>
  <c r="T175" i="15"/>
  <c r="U175" i="15"/>
  <c r="V175" i="15"/>
  <c r="W175" i="15"/>
  <c r="X175" i="15"/>
  <c r="S176" i="15"/>
  <c r="T176" i="15"/>
  <c r="U176" i="15"/>
  <c r="V176" i="15"/>
  <c r="W176" i="15"/>
  <c r="X176" i="15"/>
  <c r="S177" i="15"/>
  <c r="T177" i="15"/>
  <c r="U177" i="15"/>
  <c r="V177" i="15"/>
  <c r="W177" i="15"/>
  <c r="X177" i="15"/>
  <c r="S178" i="15"/>
  <c r="T178" i="15"/>
  <c r="U178" i="15"/>
  <c r="V178" i="15"/>
  <c r="W178" i="15"/>
  <c r="X178" i="15"/>
  <c r="S179" i="15"/>
  <c r="T179" i="15"/>
  <c r="U179" i="15"/>
  <c r="V179" i="15"/>
  <c r="W179" i="15"/>
  <c r="X179" i="15"/>
  <c r="S180" i="15"/>
  <c r="T180" i="15"/>
  <c r="U180" i="15"/>
  <c r="V180" i="15"/>
  <c r="W180" i="15"/>
  <c r="X180" i="15"/>
  <c r="S181" i="15"/>
  <c r="T181" i="15"/>
  <c r="U181" i="15"/>
  <c r="V181" i="15"/>
  <c r="W181" i="15"/>
  <c r="X181" i="15"/>
  <c r="S182" i="15"/>
  <c r="T182" i="15"/>
  <c r="U182" i="15"/>
  <c r="V182" i="15"/>
  <c r="W182" i="15"/>
  <c r="X182" i="15"/>
  <c r="S183" i="15"/>
  <c r="T183" i="15"/>
  <c r="U183" i="15"/>
  <c r="V183" i="15"/>
  <c r="W183" i="15"/>
  <c r="X183" i="15"/>
  <c r="S184" i="15"/>
  <c r="T184" i="15"/>
  <c r="U184" i="15"/>
  <c r="V184" i="15"/>
  <c r="W184" i="15"/>
  <c r="X184" i="15"/>
  <c r="S185" i="15"/>
  <c r="T185" i="15"/>
  <c r="U185" i="15"/>
  <c r="V185" i="15"/>
  <c r="W185" i="15"/>
  <c r="X185" i="15"/>
  <c r="S186" i="15"/>
  <c r="T186" i="15"/>
  <c r="U186" i="15"/>
  <c r="V186" i="15"/>
  <c r="W186" i="15"/>
  <c r="X186" i="15"/>
  <c r="S187" i="15"/>
  <c r="T187" i="15"/>
  <c r="U187" i="15"/>
  <c r="V187" i="15"/>
  <c r="W187" i="15"/>
  <c r="X187" i="15"/>
  <c r="S188" i="15"/>
  <c r="T188" i="15"/>
  <c r="U188" i="15"/>
  <c r="V188" i="15"/>
  <c r="W188" i="15"/>
  <c r="X188" i="15"/>
  <c r="S189" i="15"/>
  <c r="T189" i="15"/>
  <c r="U189" i="15"/>
  <c r="V189" i="15"/>
  <c r="W189" i="15"/>
  <c r="X189" i="15"/>
  <c r="S190" i="15"/>
  <c r="T190" i="15"/>
  <c r="U190" i="15"/>
  <c r="V190" i="15"/>
  <c r="W190" i="15"/>
  <c r="X190" i="15"/>
  <c r="S191" i="15"/>
  <c r="T191" i="15"/>
  <c r="U191" i="15"/>
  <c r="V191" i="15"/>
  <c r="W191" i="15"/>
  <c r="X191" i="15"/>
  <c r="S192" i="15"/>
  <c r="T192" i="15"/>
  <c r="U192" i="15"/>
  <c r="V192" i="15"/>
  <c r="W192" i="15"/>
  <c r="X192" i="15"/>
  <c r="S193" i="15"/>
  <c r="T193" i="15"/>
  <c r="U193" i="15"/>
  <c r="V193" i="15"/>
  <c r="W193" i="15"/>
  <c r="X193" i="15"/>
  <c r="S194" i="15"/>
  <c r="T194" i="15"/>
  <c r="U194" i="15"/>
  <c r="V194" i="15"/>
  <c r="W194" i="15"/>
  <c r="X194" i="15"/>
  <c r="S195" i="15"/>
  <c r="T195" i="15"/>
  <c r="U195" i="15"/>
  <c r="V195" i="15"/>
  <c r="W195" i="15"/>
  <c r="X195" i="15"/>
  <c r="S196" i="15"/>
  <c r="T196" i="15"/>
  <c r="U196" i="15"/>
  <c r="V196" i="15"/>
  <c r="W196" i="15"/>
  <c r="X196" i="15"/>
  <c r="S197" i="15"/>
  <c r="T197" i="15"/>
  <c r="U197" i="15"/>
  <c r="V197" i="15"/>
  <c r="W197" i="15"/>
  <c r="X197" i="15"/>
  <c r="S198" i="15"/>
  <c r="T198" i="15"/>
  <c r="U198" i="15"/>
  <c r="V198" i="15"/>
  <c r="W198" i="15"/>
  <c r="X198" i="15"/>
  <c r="S199" i="15"/>
  <c r="T199" i="15"/>
  <c r="U199" i="15"/>
  <c r="V199" i="15"/>
  <c r="W199" i="15"/>
  <c r="X199" i="15"/>
  <c r="S200" i="15"/>
  <c r="T200" i="15"/>
  <c r="U200" i="15"/>
  <c r="V200" i="15"/>
  <c r="W200" i="15"/>
  <c r="X200" i="15"/>
  <c r="S201" i="15"/>
  <c r="T201" i="15"/>
  <c r="U201" i="15"/>
  <c r="V201" i="15"/>
  <c r="W201" i="15"/>
  <c r="X201" i="15"/>
  <c r="S202" i="15"/>
  <c r="T202" i="15"/>
  <c r="U202" i="15"/>
  <c r="V202" i="15"/>
  <c r="W202" i="15"/>
  <c r="X202" i="15"/>
  <c r="S203" i="15"/>
  <c r="T203" i="15"/>
  <c r="U203" i="15"/>
  <c r="V203" i="15"/>
  <c r="W203" i="15"/>
  <c r="X203" i="15"/>
  <c r="S204" i="15"/>
  <c r="T204" i="15"/>
  <c r="U204" i="15"/>
  <c r="V204" i="15"/>
  <c r="W204" i="15"/>
  <c r="X204" i="15"/>
  <c r="S205" i="15"/>
  <c r="T205" i="15"/>
  <c r="U205" i="15"/>
  <c r="V205" i="15"/>
  <c r="W205" i="15"/>
  <c r="X205" i="15"/>
  <c r="S206" i="15"/>
  <c r="T206" i="15"/>
  <c r="U206" i="15"/>
  <c r="V206" i="15"/>
  <c r="W206" i="15"/>
  <c r="X206" i="15"/>
  <c r="S207" i="15"/>
  <c r="T207" i="15"/>
  <c r="U207" i="15"/>
  <c r="V207" i="15"/>
  <c r="W207" i="15"/>
  <c r="X207" i="15"/>
  <c r="S208" i="15"/>
  <c r="T208" i="15"/>
  <c r="U208" i="15"/>
  <c r="V208" i="15"/>
  <c r="W208" i="15"/>
  <c r="X208" i="15"/>
  <c r="S209" i="15"/>
  <c r="T209" i="15"/>
  <c r="U209" i="15"/>
  <c r="V209" i="15"/>
  <c r="W209" i="15"/>
  <c r="X209" i="15"/>
  <c r="S210" i="15"/>
  <c r="T210" i="15"/>
  <c r="U210" i="15"/>
  <c r="V210" i="15"/>
  <c r="W210" i="15"/>
  <c r="X210" i="15"/>
  <c r="S211" i="15"/>
  <c r="T211" i="15"/>
  <c r="U211" i="15"/>
  <c r="V211" i="15"/>
  <c r="W211" i="15"/>
  <c r="X211" i="15"/>
  <c r="S212" i="15"/>
  <c r="T212" i="15"/>
  <c r="U212" i="15"/>
  <c r="V212" i="15"/>
  <c r="W212" i="15"/>
  <c r="X212" i="15"/>
  <c r="S213" i="15"/>
  <c r="T213" i="15"/>
  <c r="U213" i="15"/>
  <c r="V213" i="15"/>
  <c r="W213" i="15"/>
  <c r="X213" i="15"/>
  <c r="S214" i="15"/>
  <c r="T214" i="15"/>
  <c r="U214" i="15"/>
  <c r="V214" i="15"/>
  <c r="W214" i="15"/>
  <c r="X214" i="15"/>
  <c r="S215" i="15"/>
  <c r="T215" i="15"/>
  <c r="U215" i="15"/>
  <c r="V215" i="15"/>
  <c r="W215" i="15"/>
  <c r="X215" i="15"/>
  <c r="S216" i="15"/>
  <c r="T216" i="15"/>
  <c r="U216" i="15"/>
  <c r="V216" i="15"/>
  <c r="W216" i="15"/>
  <c r="X216" i="15"/>
  <c r="S217" i="15"/>
  <c r="T217" i="15"/>
  <c r="U217" i="15"/>
  <c r="V217" i="15"/>
  <c r="W217" i="15"/>
  <c r="X217" i="15"/>
  <c r="S218" i="15"/>
  <c r="T218" i="15"/>
  <c r="U218" i="15"/>
  <c r="V218" i="15"/>
  <c r="W218" i="15"/>
  <c r="X218" i="15"/>
  <c r="S219" i="15"/>
  <c r="T219" i="15"/>
  <c r="U219" i="15"/>
  <c r="V219" i="15"/>
  <c r="W219" i="15"/>
  <c r="X219" i="15"/>
  <c r="S220" i="15"/>
  <c r="T220" i="15"/>
  <c r="U220" i="15"/>
  <c r="V220" i="15"/>
  <c r="W220" i="15"/>
  <c r="X220" i="15"/>
  <c r="S221" i="15"/>
  <c r="T221" i="15"/>
  <c r="U221" i="15"/>
  <c r="V221" i="15"/>
  <c r="W221" i="15"/>
  <c r="X221" i="15"/>
  <c r="S222" i="15"/>
  <c r="T222" i="15"/>
  <c r="U222" i="15"/>
  <c r="V222" i="15"/>
  <c r="W222" i="15"/>
  <c r="X222" i="15"/>
  <c r="S223" i="15"/>
  <c r="T223" i="15"/>
  <c r="U223" i="15"/>
  <c r="V223" i="15"/>
  <c r="W223" i="15"/>
  <c r="X223" i="15"/>
  <c r="S224" i="15"/>
  <c r="T224" i="15"/>
  <c r="U224" i="15"/>
  <c r="V224" i="15"/>
  <c r="W224" i="15"/>
  <c r="X224" i="15"/>
  <c r="S225" i="15"/>
  <c r="T225" i="15"/>
  <c r="U225" i="15"/>
  <c r="V225" i="15"/>
  <c r="W225" i="15"/>
  <c r="X225" i="15"/>
  <c r="S226" i="15"/>
  <c r="T226" i="15"/>
  <c r="U226" i="15"/>
  <c r="V226" i="15"/>
  <c r="W226" i="15"/>
  <c r="X226" i="15"/>
  <c r="S227" i="15"/>
  <c r="T227" i="15"/>
  <c r="U227" i="15"/>
  <c r="V227" i="15"/>
  <c r="W227" i="15"/>
  <c r="X227" i="15"/>
  <c r="S228" i="15"/>
  <c r="T228" i="15"/>
  <c r="U228" i="15"/>
  <c r="V228" i="15"/>
  <c r="W228" i="15"/>
  <c r="X228" i="15"/>
  <c r="S229" i="15"/>
  <c r="T229" i="15"/>
  <c r="U229" i="15"/>
  <c r="V229" i="15"/>
  <c r="W229" i="15"/>
  <c r="X229" i="15"/>
  <c r="S230" i="15"/>
  <c r="T230" i="15"/>
  <c r="U230" i="15"/>
  <c r="V230" i="15"/>
  <c r="W230" i="15"/>
  <c r="X230" i="15"/>
  <c r="S231" i="15"/>
  <c r="T231" i="15"/>
  <c r="U231" i="15"/>
  <c r="V231" i="15"/>
  <c r="W231" i="15"/>
  <c r="X231" i="15"/>
  <c r="S232" i="15"/>
  <c r="T232" i="15"/>
  <c r="U232" i="15"/>
  <c r="V232" i="15"/>
  <c r="W232" i="15"/>
  <c r="X232" i="15"/>
  <c r="S233" i="15"/>
  <c r="T233" i="15"/>
  <c r="U233" i="15"/>
  <c r="V233" i="15"/>
  <c r="W233" i="15"/>
  <c r="X233" i="15"/>
  <c r="S234" i="15"/>
  <c r="T234" i="15"/>
  <c r="U234" i="15"/>
  <c r="V234" i="15"/>
  <c r="W234" i="15"/>
  <c r="X234" i="15"/>
  <c r="S235" i="15"/>
  <c r="T235" i="15"/>
  <c r="U235" i="15"/>
  <c r="V235" i="15"/>
  <c r="W235" i="15"/>
  <c r="X235" i="15"/>
  <c r="S236" i="15"/>
  <c r="T236" i="15"/>
  <c r="U236" i="15"/>
  <c r="V236" i="15"/>
  <c r="W236" i="15"/>
  <c r="X236" i="15"/>
  <c r="S237" i="15"/>
  <c r="T237" i="15"/>
  <c r="U237" i="15"/>
  <c r="V237" i="15"/>
  <c r="W237" i="15"/>
  <c r="X237" i="15"/>
  <c r="S238" i="15"/>
  <c r="T238" i="15"/>
  <c r="U238" i="15"/>
  <c r="V238" i="15"/>
  <c r="W238" i="15"/>
  <c r="X238" i="15"/>
  <c r="S239" i="15"/>
  <c r="T239" i="15"/>
  <c r="U239" i="15"/>
  <c r="V239" i="15"/>
  <c r="W239" i="15"/>
  <c r="X239" i="15"/>
  <c r="S240" i="15"/>
  <c r="T240" i="15"/>
  <c r="U240" i="15"/>
  <c r="V240" i="15"/>
  <c r="W240" i="15"/>
  <c r="X240" i="15"/>
  <c r="S241" i="15"/>
  <c r="T241" i="15"/>
  <c r="U241" i="15"/>
  <c r="V241" i="15"/>
  <c r="W241" i="15"/>
  <c r="X241" i="15"/>
  <c r="S242" i="15"/>
  <c r="T242" i="15"/>
  <c r="U242" i="15"/>
  <c r="V242" i="15"/>
  <c r="W242" i="15"/>
  <c r="X242" i="15"/>
  <c r="S243" i="15"/>
  <c r="T243" i="15"/>
  <c r="U243" i="15"/>
  <c r="V243" i="15"/>
  <c r="W243" i="15"/>
  <c r="X243" i="15"/>
  <c r="S244" i="15"/>
  <c r="T244" i="15"/>
  <c r="U244" i="15"/>
  <c r="V244" i="15"/>
  <c r="W244" i="15"/>
  <c r="X244" i="15"/>
  <c r="S245" i="15"/>
  <c r="T245" i="15"/>
  <c r="U245" i="15"/>
  <c r="V245" i="15"/>
  <c r="W245" i="15"/>
  <c r="X245" i="15"/>
  <c r="S246" i="15"/>
  <c r="T246" i="15"/>
  <c r="U246" i="15"/>
  <c r="V246" i="15"/>
  <c r="W246" i="15"/>
  <c r="X246" i="15"/>
  <c r="S247" i="15"/>
  <c r="T247" i="15"/>
  <c r="U247" i="15"/>
  <c r="V247" i="15"/>
  <c r="W247" i="15"/>
  <c r="X247" i="15"/>
  <c r="S248" i="15"/>
  <c r="T248" i="15"/>
  <c r="U248" i="15"/>
  <c r="V248" i="15"/>
  <c r="W248" i="15"/>
  <c r="X248" i="15"/>
  <c r="S249" i="15"/>
  <c r="T249" i="15"/>
  <c r="U249" i="15"/>
  <c r="V249" i="15"/>
  <c r="W249" i="15"/>
  <c r="X249" i="15"/>
  <c r="S250" i="15"/>
  <c r="T250" i="15"/>
  <c r="U250" i="15"/>
  <c r="V250" i="15"/>
  <c r="W250" i="15"/>
  <c r="X250" i="15"/>
  <c r="S251" i="15"/>
  <c r="T251" i="15"/>
  <c r="U251" i="15"/>
  <c r="V251" i="15"/>
  <c r="W251" i="15"/>
  <c r="X251" i="15"/>
  <c r="S252" i="15"/>
  <c r="T252" i="15"/>
  <c r="U252" i="15"/>
  <c r="V252" i="15"/>
  <c r="W252" i="15"/>
  <c r="X252" i="15"/>
  <c r="S253" i="15"/>
  <c r="T253" i="15"/>
  <c r="U253" i="15"/>
  <c r="V253" i="15"/>
  <c r="W253" i="15"/>
  <c r="X253" i="15"/>
  <c r="S254" i="15"/>
  <c r="T254" i="15"/>
  <c r="U254" i="15"/>
  <c r="V254" i="15"/>
  <c r="W254" i="15"/>
  <c r="X254" i="15"/>
  <c r="S255" i="15"/>
  <c r="T255" i="15"/>
  <c r="U255" i="15"/>
  <c r="V255" i="15"/>
  <c r="W255" i="15"/>
  <c r="X255" i="15"/>
  <c r="S256" i="15"/>
  <c r="T256" i="15"/>
  <c r="U256" i="15"/>
  <c r="V256" i="15"/>
  <c r="W256" i="15"/>
  <c r="X256" i="15"/>
  <c r="S257" i="15"/>
  <c r="T257" i="15"/>
  <c r="U257" i="15"/>
  <c r="V257" i="15"/>
  <c r="W257" i="15"/>
  <c r="X257" i="15"/>
  <c r="S258" i="15"/>
  <c r="T258" i="15"/>
  <c r="U258" i="15"/>
  <c r="V258" i="15"/>
  <c r="W258" i="15"/>
  <c r="X258" i="15"/>
  <c r="S259" i="15"/>
  <c r="T259" i="15"/>
  <c r="U259" i="15"/>
  <c r="V259" i="15"/>
  <c r="W259" i="15"/>
  <c r="X259" i="15"/>
  <c r="S260" i="15"/>
  <c r="T260" i="15"/>
  <c r="U260" i="15"/>
  <c r="V260" i="15"/>
  <c r="W260" i="15"/>
  <c r="X260" i="15"/>
  <c r="S261" i="15"/>
  <c r="T261" i="15"/>
  <c r="U261" i="15"/>
  <c r="V261" i="15"/>
  <c r="W261" i="15"/>
  <c r="X261" i="15"/>
  <c r="S262" i="15"/>
  <c r="T262" i="15"/>
  <c r="U262" i="15"/>
  <c r="V262" i="15"/>
  <c r="W262" i="15"/>
  <c r="X262" i="15"/>
  <c r="S263" i="15"/>
  <c r="T263" i="15"/>
  <c r="U263" i="15"/>
  <c r="V263" i="15"/>
  <c r="W263" i="15"/>
  <c r="X263" i="15"/>
  <c r="S264" i="15"/>
  <c r="T264" i="15"/>
  <c r="U264" i="15"/>
  <c r="V264" i="15"/>
  <c r="W264" i="15"/>
  <c r="X264" i="15"/>
  <c r="S265" i="15"/>
  <c r="T265" i="15"/>
  <c r="U265" i="15"/>
  <c r="V265" i="15"/>
  <c r="W265" i="15"/>
  <c r="X265" i="15"/>
  <c r="S266" i="15"/>
  <c r="T266" i="15"/>
  <c r="U266" i="15"/>
  <c r="V266" i="15"/>
  <c r="W266" i="15"/>
  <c r="X266" i="15"/>
  <c r="S267" i="15"/>
  <c r="T267" i="15"/>
  <c r="U267" i="15"/>
  <c r="V267" i="15"/>
  <c r="W267" i="15"/>
  <c r="X267" i="15"/>
  <c r="S268" i="15"/>
  <c r="T268" i="15"/>
  <c r="U268" i="15"/>
  <c r="V268" i="15"/>
  <c r="W268" i="15"/>
  <c r="X268" i="15"/>
  <c r="S269" i="15"/>
  <c r="T269" i="15"/>
  <c r="U269" i="15"/>
  <c r="V269" i="15"/>
  <c r="W269" i="15"/>
  <c r="X269" i="15"/>
  <c r="S270" i="15"/>
  <c r="T270" i="15"/>
  <c r="U270" i="15"/>
  <c r="V270" i="15"/>
  <c r="W270" i="15"/>
  <c r="X270" i="15"/>
  <c r="S271" i="15"/>
  <c r="T271" i="15"/>
  <c r="U271" i="15"/>
  <c r="V271" i="15"/>
  <c r="W271" i="15"/>
  <c r="X271" i="15"/>
  <c r="S272" i="15"/>
  <c r="T272" i="15"/>
  <c r="U272" i="15"/>
  <c r="V272" i="15"/>
  <c r="W272" i="15"/>
  <c r="X272" i="15"/>
  <c r="S273" i="15"/>
  <c r="T273" i="15"/>
  <c r="U273" i="15"/>
  <c r="V273" i="15"/>
  <c r="W273" i="15"/>
  <c r="X273" i="15"/>
  <c r="S274" i="15"/>
  <c r="T274" i="15"/>
  <c r="U274" i="15"/>
  <c r="V274" i="15"/>
  <c r="W274" i="15"/>
  <c r="X274" i="15"/>
  <c r="S275" i="15"/>
  <c r="T275" i="15"/>
  <c r="U275" i="15"/>
  <c r="V275" i="15"/>
  <c r="W275" i="15"/>
  <c r="X275" i="15"/>
  <c r="S276" i="15"/>
  <c r="T276" i="15"/>
  <c r="U276" i="15"/>
  <c r="V276" i="15"/>
  <c r="W276" i="15"/>
  <c r="X276" i="15"/>
  <c r="S277" i="15"/>
  <c r="T277" i="15"/>
  <c r="U277" i="15"/>
  <c r="V277" i="15"/>
  <c r="W277" i="15"/>
  <c r="X277" i="15"/>
  <c r="S278" i="15"/>
  <c r="T278" i="15"/>
  <c r="U278" i="15"/>
  <c r="V278" i="15"/>
  <c r="W278" i="15"/>
  <c r="X278" i="15"/>
  <c r="S279" i="15"/>
  <c r="T279" i="15"/>
  <c r="U279" i="15"/>
  <c r="V279" i="15"/>
  <c r="W279" i="15"/>
  <c r="X279" i="15"/>
  <c r="S280" i="15"/>
  <c r="T280" i="15"/>
  <c r="U280" i="15"/>
  <c r="V280" i="15"/>
  <c r="W280" i="15"/>
  <c r="X280" i="15"/>
  <c r="S281" i="15"/>
  <c r="T281" i="15"/>
  <c r="U281" i="15"/>
  <c r="V281" i="15"/>
  <c r="W281" i="15"/>
  <c r="X281" i="15"/>
  <c r="S282" i="15"/>
  <c r="T282" i="15"/>
  <c r="U282" i="15"/>
  <c r="V282" i="15"/>
  <c r="W282" i="15"/>
  <c r="X282" i="15"/>
  <c r="S283" i="15"/>
  <c r="T283" i="15"/>
  <c r="U283" i="15"/>
  <c r="V283" i="15"/>
  <c r="W283" i="15"/>
  <c r="X283" i="15"/>
  <c r="S284" i="15"/>
  <c r="T284" i="15"/>
  <c r="U284" i="15"/>
  <c r="V284" i="15"/>
  <c r="W284" i="15"/>
  <c r="X284" i="15"/>
  <c r="S285" i="15"/>
  <c r="T285" i="15"/>
  <c r="U285" i="15"/>
  <c r="V285" i="15"/>
  <c r="W285" i="15"/>
  <c r="X285" i="15"/>
  <c r="S286" i="15"/>
  <c r="T286" i="15"/>
  <c r="U286" i="15"/>
  <c r="V286" i="15"/>
  <c r="W286" i="15"/>
  <c r="X286" i="15"/>
  <c r="S287" i="15"/>
  <c r="T287" i="15"/>
  <c r="U287" i="15"/>
  <c r="V287" i="15"/>
  <c r="W287" i="15"/>
  <c r="X287" i="15"/>
  <c r="S288" i="15"/>
  <c r="T288" i="15"/>
  <c r="U288" i="15"/>
  <c r="V288" i="15"/>
  <c r="W288" i="15"/>
  <c r="X288" i="15"/>
  <c r="S289" i="15"/>
  <c r="T289" i="15"/>
  <c r="U289" i="15"/>
  <c r="V289" i="15"/>
  <c r="W289" i="15"/>
  <c r="X289" i="15"/>
  <c r="S290" i="15"/>
  <c r="T290" i="15"/>
  <c r="U290" i="15"/>
  <c r="V290" i="15"/>
  <c r="W290" i="15"/>
  <c r="X290" i="15"/>
  <c r="S291" i="15"/>
  <c r="T291" i="15"/>
  <c r="U291" i="15"/>
  <c r="V291" i="15"/>
  <c r="W291" i="15"/>
  <c r="X291" i="15"/>
  <c r="S292" i="15"/>
  <c r="T292" i="15"/>
  <c r="U292" i="15"/>
  <c r="V292" i="15"/>
  <c r="W292" i="15"/>
  <c r="X292" i="15"/>
  <c r="S293" i="15"/>
  <c r="T293" i="15"/>
  <c r="U293" i="15"/>
  <c r="V293" i="15"/>
  <c r="W293" i="15"/>
  <c r="X293" i="15"/>
  <c r="S294" i="15"/>
  <c r="T294" i="15"/>
  <c r="U294" i="15"/>
  <c r="V294" i="15"/>
  <c r="W294" i="15"/>
  <c r="X294" i="15"/>
  <c r="S295" i="15"/>
  <c r="T295" i="15"/>
  <c r="U295" i="15"/>
  <c r="V295" i="15"/>
  <c r="W295" i="15"/>
  <c r="X295" i="15"/>
  <c r="S296" i="15"/>
  <c r="T296" i="15"/>
  <c r="U296" i="15"/>
  <c r="V296" i="15"/>
  <c r="W296" i="15"/>
  <c r="X296" i="15"/>
  <c r="S297" i="15"/>
  <c r="T297" i="15"/>
  <c r="U297" i="15"/>
  <c r="V297" i="15"/>
  <c r="W297" i="15"/>
  <c r="X297" i="15"/>
  <c r="S298" i="15"/>
  <c r="T298" i="15"/>
  <c r="U298" i="15"/>
  <c r="V298" i="15"/>
  <c r="W298" i="15"/>
  <c r="X298" i="15"/>
  <c r="S299" i="15"/>
  <c r="T299" i="15"/>
  <c r="U299" i="15"/>
  <c r="V299" i="15"/>
  <c r="W299" i="15"/>
  <c r="X299" i="15"/>
  <c r="S300" i="15"/>
  <c r="T300" i="15"/>
  <c r="U300" i="15"/>
  <c r="V300" i="15"/>
  <c r="W300" i="15"/>
  <c r="X300" i="15"/>
  <c r="S301" i="15"/>
  <c r="T301" i="15"/>
  <c r="U301" i="15"/>
  <c r="V301" i="15"/>
  <c r="W301" i="15"/>
  <c r="X301" i="15"/>
  <c r="S302" i="15"/>
  <c r="T302" i="15"/>
  <c r="U302" i="15"/>
  <c r="V302" i="15"/>
  <c r="W302" i="15"/>
  <c r="X302" i="15"/>
  <c r="S303" i="15"/>
  <c r="T303" i="15"/>
  <c r="U303" i="15"/>
  <c r="V303" i="15"/>
  <c r="W303" i="15"/>
  <c r="X303" i="15"/>
  <c r="S304" i="15"/>
  <c r="T304" i="15"/>
  <c r="U304" i="15"/>
  <c r="V304" i="15"/>
  <c r="W304" i="15"/>
  <c r="X304" i="15"/>
  <c r="S305" i="15"/>
  <c r="T305" i="15"/>
  <c r="U305" i="15"/>
  <c r="V305" i="15"/>
  <c r="W305" i="15"/>
  <c r="X305" i="15"/>
  <c r="S306" i="15"/>
  <c r="T306" i="15"/>
  <c r="U306" i="15"/>
  <c r="V306" i="15"/>
  <c r="W306" i="15"/>
  <c r="X306" i="15"/>
  <c r="S307" i="15"/>
  <c r="T307" i="15"/>
  <c r="U307" i="15"/>
  <c r="V307" i="15"/>
  <c r="W307" i="15"/>
  <c r="X307" i="15"/>
  <c r="S308" i="15"/>
  <c r="T308" i="15"/>
  <c r="U308" i="15"/>
  <c r="V308" i="15"/>
  <c r="W308" i="15"/>
  <c r="X308" i="15"/>
  <c r="S309" i="15"/>
  <c r="T309" i="15"/>
  <c r="U309" i="15"/>
  <c r="V309" i="15"/>
  <c r="W309" i="15"/>
  <c r="X309" i="15"/>
  <c r="S310" i="15"/>
  <c r="T310" i="15"/>
  <c r="U310" i="15"/>
  <c r="V310" i="15"/>
  <c r="W310" i="15"/>
  <c r="X310" i="15"/>
  <c r="S311" i="15"/>
  <c r="T311" i="15"/>
  <c r="U311" i="15"/>
  <c r="V311" i="15"/>
  <c r="W311" i="15"/>
  <c r="X311" i="15"/>
  <c r="S312" i="15"/>
  <c r="T312" i="15"/>
  <c r="U312" i="15"/>
  <c r="V312" i="15"/>
  <c r="W312" i="15"/>
  <c r="X312" i="15"/>
  <c r="S313" i="15"/>
  <c r="T313" i="15"/>
  <c r="U313" i="15"/>
  <c r="V313" i="15"/>
  <c r="W313" i="15"/>
  <c r="X313" i="15"/>
  <c r="S314" i="15"/>
  <c r="T314" i="15"/>
  <c r="U314" i="15"/>
  <c r="V314" i="15"/>
  <c r="W314" i="15"/>
  <c r="X314" i="15"/>
  <c r="S315" i="15"/>
  <c r="T315" i="15"/>
  <c r="U315" i="15"/>
  <c r="V315" i="15"/>
  <c r="W315" i="15"/>
  <c r="X315" i="15"/>
  <c r="S316" i="15"/>
  <c r="T316" i="15"/>
  <c r="U316" i="15"/>
  <c r="V316" i="15"/>
  <c r="W316" i="15"/>
  <c r="X316" i="15"/>
  <c r="S317" i="15"/>
  <c r="T317" i="15"/>
  <c r="U317" i="15"/>
  <c r="V317" i="15"/>
  <c r="W317" i="15"/>
  <c r="X317" i="15"/>
  <c r="S318" i="15"/>
  <c r="T318" i="15"/>
  <c r="U318" i="15"/>
  <c r="V318" i="15"/>
  <c r="W318" i="15"/>
  <c r="X318" i="15"/>
  <c r="S319" i="15"/>
  <c r="T319" i="15"/>
  <c r="U319" i="15"/>
  <c r="V319" i="15"/>
  <c r="W319" i="15"/>
  <c r="X319" i="15"/>
  <c r="S320" i="15"/>
  <c r="T320" i="15"/>
  <c r="U320" i="15"/>
  <c r="V320" i="15"/>
  <c r="W320" i="15"/>
  <c r="X320" i="15"/>
  <c r="S321" i="15"/>
  <c r="T321" i="15"/>
  <c r="U321" i="15"/>
  <c r="V321" i="15"/>
  <c r="W321" i="15"/>
  <c r="X321" i="15"/>
  <c r="S322" i="15"/>
  <c r="T322" i="15"/>
  <c r="U322" i="15"/>
  <c r="V322" i="15"/>
  <c r="W322" i="15"/>
  <c r="X322" i="15"/>
  <c r="S323" i="15"/>
  <c r="T323" i="15"/>
  <c r="U323" i="15"/>
  <c r="V323" i="15"/>
  <c r="W323" i="15"/>
  <c r="X323" i="15"/>
  <c r="S324" i="15"/>
  <c r="T324" i="15"/>
  <c r="U324" i="15"/>
  <c r="V324" i="15"/>
  <c r="W324" i="15"/>
  <c r="X324" i="15"/>
  <c r="S325" i="15"/>
  <c r="T325" i="15"/>
  <c r="U325" i="15"/>
  <c r="V325" i="15"/>
  <c r="W325" i="15"/>
  <c r="X325" i="15"/>
  <c r="S326" i="15"/>
  <c r="T326" i="15"/>
  <c r="U326" i="15"/>
  <c r="V326" i="15"/>
  <c r="W326" i="15"/>
  <c r="X326" i="15"/>
  <c r="S327" i="15"/>
  <c r="T327" i="15"/>
  <c r="U327" i="15"/>
  <c r="V327" i="15"/>
  <c r="W327" i="15"/>
  <c r="X327" i="15"/>
  <c r="S328" i="15"/>
  <c r="T328" i="15"/>
  <c r="U328" i="15"/>
  <c r="V328" i="15"/>
  <c r="W328" i="15"/>
  <c r="X328" i="15"/>
  <c r="S329" i="15"/>
  <c r="T329" i="15"/>
  <c r="U329" i="15"/>
  <c r="V329" i="15"/>
  <c r="W329" i="15"/>
  <c r="X329" i="15"/>
  <c r="S330" i="15"/>
  <c r="T330" i="15"/>
  <c r="U330" i="15"/>
  <c r="V330" i="15"/>
  <c r="W330" i="15"/>
  <c r="X330" i="15"/>
  <c r="S331" i="15"/>
  <c r="T331" i="15"/>
  <c r="U331" i="15"/>
  <c r="V331" i="15"/>
  <c r="W331" i="15"/>
  <c r="X331" i="15"/>
  <c r="S332" i="15"/>
  <c r="T332" i="15"/>
  <c r="U332" i="15"/>
  <c r="V332" i="15"/>
  <c r="W332" i="15"/>
  <c r="X332" i="15"/>
  <c r="S333" i="15"/>
  <c r="T333" i="15"/>
  <c r="U333" i="15"/>
  <c r="V333" i="15"/>
  <c r="W333" i="15"/>
  <c r="X333" i="15"/>
  <c r="S334" i="15"/>
  <c r="T334" i="15"/>
  <c r="U334" i="15"/>
  <c r="V334" i="15"/>
  <c r="W334" i="15"/>
  <c r="X334" i="15"/>
  <c r="S335" i="15"/>
  <c r="T335" i="15"/>
  <c r="U335" i="15"/>
  <c r="V335" i="15"/>
  <c r="W335" i="15"/>
  <c r="X335" i="15"/>
  <c r="S336" i="15"/>
  <c r="T336" i="15"/>
  <c r="U336" i="15"/>
  <c r="V336" i="15"/>
  <c r="W336" i="15"/>
  <c r="X336" i="15"/>
  <c r="S337" i="15"/>
  <c r="T337" i="15"/>
  <c r="U337" i="15"/>
  <c r="V337" i="15"/>
  <c r="W337" i="15"/>
  <c r="X337" i="15"/>
  <c r="S338" i="15"/>
  <c r="T338" i="15"/>
  <c r="U338" i="15"/>
  <c r="V338" i="15"/>
  <c r="W338" i="15"/>
  <c r="X338" i="15"/>
  <c r="S339" i="15"/>
  <c r="T339" i="15"/>
  <c r="U339" i="15"/>
  <c r="V339" i="15"/>
  <c r="W339" i="15"/>
  <c r="X339" i="15"/>
  <c r="S340" i="15"/>
  <c r="T340" i="15"/>
  <c r="U340" i="15"/>
  <c r="V340" i="15"/>
  <c r="W340" i="15"/>
  <c r="X340" i="15"/>
  <c r="S341" i="15"/>
  <c r="T341" i="15"/>
  <c r="U341" i="15"/>
  <c r="V341" i="15"/>
  <c r="W341" i="15"/>
  <c r="X341" i="15"/>
  <c r="S342" i="15"/>
  <c r="T342" i="15"/>
  <c r="U342" i="15"/>
  <c r="V342" i="15"/>
  <c r="W342" i="15"/>
  <c r="X342" i="15"/>
  <c r="S343" i="15"/>
  <c r="T343" i="15"/>
  <c r="U343" i="15"/>
  <c r="V343" i="15"/>
  <c r="W343" i="15"/>
  <c r="X343" i="15"/>
  <c r="S344" i="15"/>
  <c r="T344" i="15"/>
  <c r="U344" i="15"/>
  <c r="V344" i="15"/>
  <c r="W344" i="15"/>
  <c r="X344" i="15"/>
  <c r="S345" i="15"/>
  <c r="T345" i="15"/>
  <c r="U345" i="15"/>
  <c r="V345" i="15"/>
  <c r="W345" i="15"/>
  <c r="X345" i="15"/>
  <c r="S346" i="15"/>
  <c r="T346" i="15"/>
  <c r="U346" i="15"/>
  <c r="V346" i="15"/>
  <c r="W346" i="15"/>
  <c r="X346" i="15"/>
  <c r="S347" i="15"/>
  <c r="T347" i="15"/>
  <c r="U347" i="15"/>
  <c r="V347" i="15"/>
  <c r="W347" i="15"/>
  <c r="X347" i="15"/>
  <c r="S348" i="15"/>
  <c r="T348" i="15"/>
  <c r="U348" i="15"/>
  <c r="V348" i="15"/>
  <c r="W348" i="15"/>
  <c r="X348" i="15"/>
  <c r="S349" i="15"/>
  <c r="T349" i="15"/>
  <c r="U349" i="15"/>
  <c r="V349" i="15"/>
  <c r="W349" i="15"/>
  <c r="X349" i="15"/>
  <c r="S350" i="15"/>
  <c r="T350" i="15"/>
  <c r="U350" i="15"/>
  <c r="V350" i="15"/>
  <c r="W350" i="15"/>
  <c r="X350" i="15"/>
  <c r="S351" i="15"/>
  <c r="T351" i="15"/>
  <c r="U351" i="15"/>
  <c r="V351" i="15"/>
  <c r="W351" i="15"/>
  <c r="X351" i="15"/>
  <c r="S352" i="15"/>
  <c r="T352" i="15"/>
  <c r="U352" i="15"/>
  <c r="V352" i="15"/>
  <c r="W352" i="15"/>
  <c r="X352" i="15"/>
  <c r="S353" i="15"/>
  <c r="T353" i="15"/>
  <c r="U353" i="15"/>
  <c r="V353" i="15"/>
  <c r="W353" i="15"/>
  <c r="X353" i="15"/>
  <c r="S354" i="15"/>
  <c r="T354" i="15"/>
  <c r="U354" i="15"/>
  <c r="V354" i="15"/>
  <c r="W354" i="15"/>
  <c r="X354" i="15"/>
  <c r="S355" i="15"/>
  <c r="T355" i="15"/>
  <c r="U355" i="15"/>
  <c r="V355" i="15"/>
  <c r="W355" i="15"/>
  <c r="X355" i="15"/>
  <c r="S356" i="15"/>
  <c r="T356" i="15"/>
  <c r="U356" i="15"/>
  <c r="V356" i="15"/>
  <c r="W356" i="15"/>
  <c r="X356" i="15"/>
  <c r="S357" i="15"/>
  <c r="T357" i="15"/>
  <c r="U357" i="15"/>
  <c r="V357" i="15"/>
  <c r="W357" i="15"/>
  <c r="X357" i="15"/>
  <c r="S358" i="15"/>
  <c r="T358" i="15"/>
  <c r="U358" i="15"/>
  <c r="V358" i="15"/>
  <c r="W358" i="15"/>
  <c r="X358" i="15"/>
  <c r="S359" i="15"/>
  <c r="T359" i="15"/>
  <c r="U359" i="15"/>
  <c r="V359" i="15"/>
  <c r="W359" i="15"/>
  <c r="X359" i="15"/>
  <c r="S360" i="15"/>
  <c r="T360" i="15"/>
  <c r="U360" i="15"/>
  <c r="V360" i="15"/>
  <c r="W360" i="15"/>
  <c r="X360" i="15"/>
  <c r="S361" i="15"/>
  <c r="T361" i="15"/>
  <c r="U361" i="15"/>
  <c r="V361" i="15"/>
  <c r="W361" i="15"/>
  <c r="X361" i="15"/>
  <c r="S362" i="15"/>
  <c r="T362" i="15"/>
  <c r="U362" i="15"/>
  <c r="V362" i="15"/>
  <c r="W362" i="15"/>
  <c r="X362" i="15"/>
  <c r="S363" i="15"/>
  <c r="T363" i="15"/>
  <c r="U363" i="15"/>
  <c r="V363" i="15"/>
  <c r="W363" i="15"/>
  <c r="X363" i="15"/>
  <c r="S364" i="15"/>
  <c r="T364" i="15"/>
  <c r="U364" i="15"/>
  <c r="V364" i="15"/>
  <c r="W364" i="15"/>
  <c r="X364" i="15"/>
  <c r="S365" i="15"/>
  <c r="T365" i="15"/>
  <c r="U365" i="15"/>
  <c r="V365" i="15"/>
  <c r="W365" i="15"/>
  <c r="X365" i="15"/>
  <c r="S366" i="15"/>
  <c r="T366" i="15"/>
  <c r="U366" i="15"/>
  <c r="V366" i="15"/>
  <c r="W366" i="15"/>
  <c r="X366" i="15"/>
  <c r="S367" i="15"/>
  <c r="T367" i="15"/>
  <c r="U367" i="15"/>
  <c r="V367" i="15"/>
  <c r="W367" i="15"/>
  <c r="X367" i="15"/>
  <c r="S368" i="15"/>
  <c r="T368" i="15"/>
  <c r="U368" i="15"/>
  <c r="V368" i="15"/>
  <c r="W368" i="15"/>
  <c r="X368" i="15"/>
  <c r="S369" i="15"/>
  <c r="T369" i="15"/>
  <c r="U369" i="15"/>
  <c r="V369" i="15"/>
  <c r="W369" i="15"/>
  <c r="X369" i="15"/>
  <c r="S370" i="15"/>
  <c r="T370" i="15"/>
  <c r="U370" i="15"/>
  <c r="V370" i="15"/>
  <c r="W370" i="15"/>
  <c r="X370" i="15"/>
  <c r="S371" i="15"/>
  <c r="T371" i="15"/>
  <c r="U371" i="15"/>
  <c r="V371" i="15"/>
  <c r="W371" i="15"/>
  <c r="X371" i="15"/>
  <c r="S372" i="15"/>
  <c r="T372" i="15"/>
  <c r="U372" i="15"/>
  <c r="V372" i="15"/>
  <c r="W372" i="15"/>
  <c r="X372" i="15"/>
  <c r="S373" i="15"/>
  <c r="T373" i="15"/>
  <c r="U373" i="15"/>
  <c r="V373" i="15"/>
  <c r="W373" i="15"/>
  <c r="X373" i="15"/>
  <c r="S374" i="15"/>
  <c r="T374" i="15"/>
  <c r="U374" i="15"/>
  <c r="V374" i="15"/>
  <c r="W374" i="15"/>
  <c r="X374" i="15"/>
  <c r="S375" i="15"/>
  <c r="T375" i="15"/>
  <c r="U375" i="15"/>
  <c r="V375" i="15"/>
  <c r="W375" i="15"/>
  <c r="X375" i="15"/>
  <c r="S376" i="15"/>
  <c r="T376" i="15"/>
  <c r="U376" i="15"/>
  <c r="V376" i="15"/>
  <c r="W376" i="15"/>
  <c r="X376" i="15"/>
  <c r="S377" i="15"/>
  <c r="T377" i="15"/>
  <c r="U377" i="15"/>
  <c r="V377" i="15"/>
  <c r="W377" i="15"/>
  <c r="X377" i="15"/>
  <c r="S378" i="15"/>
  <c r="T378" i="15"/>
  <c r="U378" i="15"/>
  <c r="V378" i="15"/>
  <c r="W378" i="15"/>
  <c r="X378" i="15"/>
  <c r="S379" i="15"/>
  <c r="T379" i="15"/>
  <c r="U379" i="15"/>
  <c r="V379" i="15"/>
  <c r="W379" i="15"/>
  <c r="X379" i="15"/>
  <c r="S380" i="15"/>
  <c r="T380" i="15"/>
  <c r="U380" i="15"/>
  <c r="V380" i="15"/>
  <c r="W380" i="15"/>
  <c r="X380" i="15"/>
  <c r="S381" i="15"/>
  <c r="T381" i="15"/>
  <c r="U381" i="15"/>
  <c r="V381" i="15"/>
  <c r="W381" i="15"/>
  <c r="X381" i="15"/>
  <c r="S382" i="15"/>
  <c r="T382" i="15"/>
  <c r="U382" i="15"/>
  <c r="V382" i="15"/>
  <c r="W382" i="15"/>
  <c r="X382" i="15"/>
  <c r="S383" i="15"/>
  <c r="T383" i="15"/>
  <c r="U383" i="15"/>
  <c r="V383" i="15"/>
  <c r="W383" i="15"/>
  <c r="X383" i="15"/>
  <c r="S384" i="15"/>
  <c r="T384" i="15"/>
  <c r="U384" i="15"/>
  <c r="V384" i="15"/>
  <c r="W384" i="15"/>
  <c r="X384" i="15"/>
  <c r="S385" i="15"/>
  <c r="T385" i="15"/>
  <c r="U385" i="15"/>
  <c r="V385" i="15"/>
  <c r="W385" i="15"/>
  <c r="X385" i="15"/>
  <c r="S386" i="15"/>
  <c r="T386" i="15"/>
  <c r="U386" i="15"/>
  <c r="V386" i="15"/>
  <c r="W386" i="15"/>
  <c r="X386" i="15"/>
  <c r="S387" i="15"/>
  <c r="T387" i="15"/>
  <c r="U387" i="15"/>
  <c r="V387" i="15"/>
  <c r="W387" i="15"/>
  <c r="X387" i="15"/>
  <c r="S388" i="15"/>
  <c r="T388" i="15"/>
  <c r="U388" i="15"/>
  <c r="V388" i="15"/>
  <c r="W388" i="15"/>
  <c r="X388" i="15"/>
  <c r="S389" i="15"/>
  <c r="T389" i="15"/>
  <c r="U389" i="15"/>
  <c r="V389" i="15"/>
  <c r="W389" i="15"/>
  <c r="X389" i="15"/>
  <c r="S390" i="15"/>
  <c r="T390" i="15"/>
  <c r="U390" i="15"/>
  <c r="V390" i="15"/>
  <c r="W390" i="15"/>
  <c r="X390" i="15"/>
  <c r="S391" i="15"/>
  <c r="T391" i="15"/>
  <c r="U391" i="15"/>
  <c r="V391" i="15"/>
  <c r="W391" i="15"/>
  <c r="X391" i="15"/>
  <c r="S392" i="15"/>
  <c r="T392" i="15"/>
  <c r="U392" i="15"/>
  <c r="V392" i="15"/>
  <c r="W392" i="15"/>
  <c r="X392" i="15"/>
  <c r="S393" i="15"/>
  <c r="T393" i="15"/>
  <c r="U393" i="15"/>
  <c r="V393" i="15"/>
  <c r="W393" i="15"/>
  <c r="X393" i="15"/>
  <c r="S394" i="15"/>
  <c r="T394" i="15"/>
  <c r="U394" i="15"/>
  <c r="V394" i="15"/>
  <c r="W394" i="15"/>
  <c r="X394" i="15"/>
  <c r="S395" i="15"/>
  <c r="T395" i="15"/>
  <c r="U395" i="15"/>
  <c r="V395" i="15"/>
  <c r="W395" i="15"/>
  <c r="X395" i="15"/>
  <c r="S396" i="15"/>
  <c r="T396" i="15"/>
  <c r="U396" i="15"/>
  <c r="V396" i="15"/>
  <c r="W396" i="15"/>
  <c r="X396" i="15"/>
  <c r="S397" i="15"/>
  <c r="T397" i="15"/>
  <c r="U397" i="15"/>
  <c r="V397" i="15"/>
  <c r="W397" i="15"/>
  <c r="X397" i="15"/>
  <c r="S398" i="15"/>
  <c r="T398" i="15"/>
  <c r="U398" i="15"/>
  <c r="V398" i="15"/>
  <c r="W398" i="15"/>
  <c r="X398" i="15"/>
  <c r="S399" i="15"/>
  <c r="T399" i="15"/>
  <c r="U399" i="15"/>
  <c r="V399" i="15"/>
  <c r="W399" i="15"/>
  <c r="X399" i="15"/>
  <c r="S400" i="15"/>
  <c r="T400" i="15"/>
  <c r="U400" i="15"/>
  <c r="V400" i="15"/>
  <c r="W400" i="15"/>
  <c r="X400" i="15"/>
  <c r="S401" i="15"/>
  <c r="T401" i="15"/>
  <c r="U401" i="15"/>
  <c r="V401" i="15"/>
  <c r="W401" i="15"/>
  <c r="X401" i="15"/>
  <c r="S402" i="15"/>
  <c r="T402" i="15"/>
  <c r="U402" i="15"/>
  <c r="V402" i="15"/>
  <c r="W402" i="15"/>
  <c r="X402" i="15"/>
  <c r="S403" i="15"/>
  <c r="T403" i="15"/>
  <c r="U403" i="15"/>
  <c r="V403" i="15"/>
  <c r="W403" i="15"/>
  <c r="X403" i="15"/>
  <c r="S404" i="15"/>
  <c r="T404" i="15"/>
  <c r="U404" i="15"/>
  <c r="V404" i="15"/>
  <c r="W404" i="15"/>
  <c r="X404" i="15"/>
  <c r="S405" i="15"/>
  <c r="T405" i="15"/>
  <c r="U405" i="15"/>
  <c r="V405" i="15"/>
  <c r="W405" i="15"/>
  <c r="X405" i="15"/>
  <c r="S406" i="15"/>
  <c r="T406" i="15"/>
  <c r="U406" i="15"/>
  <c r="V406" i="15"/>
  <c r="W406" i="15"/>
  <c r="X406" i="15"/>
  <c r="S407" i="15"/>
  <c r="T407" i="15"/>
  <c r="U407" i="15"/>
  <c r="V407" i="15"/>
  <c r="W407" i="15"/>
  <c r="X407" i="15"/>
  <c r="S408" i="15"/>
  <c r="T408" i="15"/>
  <c r="U408" i="15"/>
  <c r="V408" i="15"/>
  <c r="W408" i="15"/>
  <c r="X408" i="15"/>
  <c r="S409" i="15"/>
  <c r="T409" i="15"/>
  <c r="U409" i="15"/>
  <c r="V409" i="15"/>
  <c r="W409" i="15"/>
  <c r="X409" i="15"/>
  <c r="S410" i="15"/>
  <c r="T410" i="15"/>
  <c r="U410" i="15"/>
  <c r="V410" i="15"/>
  <c r="W410" i="15"/>
  <c r="X410" i="15"/>
  <c r="S411" i="15"/>
  <c r="T411" i="15"/>
  <c r="U411" i="15"/>
  <c r="V411" i="15"/>
  <c r="W411" i="15"/>
  <c r="X411" i="15"/>
  <c r="S412" i="15"/>
  <c r="T412" i="15"/>
  <c r="U412" i="15"/>
  <c r="V412" i="15"/>
  <c r="W412" i="15"/>
  <c r="X412" i="15"/>
  <c r="S413" i="15"/>
  <c r="T413" i="15"/>
  <c r="U413" i="15"/>
  <c r="V413" i="15"/>
  <c r="W413" i="15"/>
  <c r="X413" i="15"/>
  <c r="S414" i="15"/>
  <c r="T414" i="15"/>
  <c r="U414" i="15"/>
  <c r="V414" i="15"/>
  <c r="W414" i="15"/>
  <c r="X414" i="15"/>
  <c r="S415" i="15"/>
  <c r="T415" i="15"/>
  <c r="U415" i="15"/>
  <c r="V415" i="15"/>
  <c r="W415" i="15"/>
  <c r="X415" i="15"/>
  <c r="S416" i="15"/>
  <c r="T416" i="15"/>
  <c r="U416" i="15"/>
  <c r="V416" i="15"/>
  <c r="W416" i="15"/>
  <c r="X416" i="15"/>
  <c r="S417" i="15"/>
  <c r="T417" i="15"/>
  <c r="U417" i="15"/>
  <c r="V417" i="15"/>
  <c r="W417" i="15"/>
  <c r="X417" i="15"/>
  <c r="S418" i="15"/>
  <c r="T418" i="15"/>
  <c r="U418" i="15"/>
  <c r="V418" i="15"/>
  <c r="W418" i="15"/>
  <c r="X418" i="15"/>
  <c r="S419" i="15"/>
  <c r="T419" i="15"/>
  <c r="U419" i="15"/>
  <c r="V419" i="15"/>
  <c r="W419" i="15"/>
  <c r="X419" i="15"/>
  <c r="S420" i="15"/>
  <c r="T420" i="15"/>
  <c r="U420" i="15"/>
  <c r="V420" i="15"/>
  <c r="W420" i="15"/>
  <c r="X420" i="15"/>
  <c r="S421" i="15"/>
  <c r="T421" i="15"/>
  <c r="U421" i="15"/>
  <c r="V421" i="15"/>
  <c r="W421" i="15"/>
  <c r="X421" i="15"/>
  <c r="S422" i="15"/>
  <c r="T422" i="15"/>
  <c r="U422" i="15"/>
  <c r="V422" i="15"/>
  <c r="W422" i="15"/>
  <c r="X422" i="15"/>
  <c r="S423" i="15"/>
  <c r="T423" i="15"/>
  <c r="U423" i="15"/>
  <c r="V423" i="15"/>
  <c r="W423" i="15"/>
  <c r="X423" i="15"/>
  <c r="S424" i="15"/>
  <c r="T424" i="15"/>
  <c r="U424" i="15"/>
  <c r="V424" i="15"/>
  <c r="W424" i="15"/>
  <c r="X424" i="15"/>
  <c r="S425" i="15"/>
  <c r="T425" i="15"/>
  <c r="U425" i="15"/>
  <c r="V425" i="15"/>
  <c r="W425" i="15"/>
  <c r="X425" i="15"/>
  <c r="S426" i="15"/>
  <c r="T426" i="15"/>
  <c r="U426" i="15"/>
  <c r="V426" i="15"/>
  <c r="W426" i="15"/>
  <c r="X426" i="15"/>
  <c r="S427" i="15"/>
  <c r="T427" i="15"/>
  <c r="U427" i="15"/>
  <c r="V427" i="15"/>
  <c r="W427" i="15"/>
  <c r="X427" i="15"/>
  <c r="S428" i="15"/>
  <c r="T428" i="15"/>
  <c r="U428" i="15"/>
  <c r="V428" i="15"/>
  <c r="W428" i="15"/>
  <c r="X428" i="15"/>
  <c r="S429" i="15"/>
  <c r="T429" i="15"/>
  <c r="U429" i="15"/>
  <c r="V429" i="15"/>
  <c r="W429" i="15"/>
  <c r="X429" i="15"/>
  <c r="N7" i="15"/>
  <c r="W7" i="15" s="1"/>
  <c r="N8" i="15"/>
  <c r="W8" i="15" s="1"/>
  <c r="N9" i="15"/>
  <c r="W9" i="15" s="1"/>
  <c r="N10" i="15"/>
  <c r="W10" i="15" s="1"/>
  <c r="N11" i="15"/>
  <c r="W11" i="15" s="1"/>
  <c r="N12" i="15"/>
  <c r="W12" i="15" s="1"/>
  <c r="N13" i="15"/>
  <c r="W13" i="15" s="1"/>
  <c r="N14" i="15"/>
  <c r="W14" i="15" s="1"/>
  <c r="N15" i="15"/>
  <c r="W15" i="15" s="1"/>
  <c r="N16" i="15"/>
  <c r="W16" i="15" s="1"/>
  <c r="N17" i="15"/>
  <c r="N18" i="15"/>
  <c r="N19" i="15"/>
  <c r="N20" i="15"/>
  <c r="N21" i="15"/>
  <c r="N22" i="15"/>
  <c r="N23" i="15"/>
  <c r="N24" i="15"/>
  <c r="N25" i="15"/>
  <c r="N27" i="15"/>
  <c r="N28" i="15"/>
  <c r="N29" i="15"/>
  <c r="N30" i="15"/>
  <c r="N31" i="15"/>
  <c r="N32" i="15"/>
  <c r="N33" i="15"/>
  <c r="N34" i="15"/>
  <c r="N35" i="15"/>
  <c r="N36" i="15"/>
  <c r="N37" i="15"/>
  <c r="N38" i="15"/>
  <c r="N39"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Q7" i="15"/>
  <c r="X7" i="15" s="1"/>
  <c r="Q8" i="15"/>
  <c r="X8" i="15" s="1"/>
  <c r="Q9" i="15"/>
  <c r="X9" i="15" s="1"/>
  <c r="Q10" i="15"/>
  <c r="X10" i="15" s="1"/>
  <c r="Q11" i="15"/>
  <c r="X11" i="15" s="1"/>
  <c r="Q12" i="15"/>
  <c r="Q13" i="15"/>
  <c r="X13" i="15" s="1"/>
  <c r="Q14" i="15"/>
  <c r="X14" i="15" s="1"/>
  <c r="Q15" i="15"/>
  <c r="X15" i="15" s="1"/>
  <c r="Q16" i="15"/>
  <c r="X16" i="15" s="1"/>
  <c r="Q17" i="15"/>
  <c r="Q18" i="15"/>
  <c r="Q19" i="15"/>
  <c r="Q20" i="15"/>
  <c r="Q22" i="15"/>
  <c r="Q23" i="15"/>
  <c r="Q24" i="15"/>
  <c r="Q25" i="15"/>
  <c r="Q26" i="15"/>
  <c r="Q27" i="15"/>
  <c r="Q28" i="15"/>
  <c r="Q29" i="15"/>
  <c r="Q30" i="15"/>
  <c r="Q31" i="15"/>
  <c r="Q32" i="15"/>
  <c r="Q33" i="15"/>
  <c r="Q34" i="15"/>
  <c r="Q35" i="15"/>
  <c r="Q36" i="15"/>
  <c r="Q37" i="15"/>
  <c r="Q38"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W6" i="15"/>
  <c r="V6" i="15"/>
  <c r="U6" i="15"/>
  <c r="T6" i="15"/>
  <c r="S6" i="15"/>
  <c r="R430" i="15"/>
  <c r="N8" i="19"/>
  <c r="N9" i="19"/>
  <c r="N10" i="19"/>
  <c r="N11" i="19"/>
  <c r="N12" i="19"/>
  <c r="W12" i="19" s="1"/>
  <c r="N13" i="19"/>
  <c r="N14" i="19"/>
  <c r="W14" i="19" s="1"/>
  <c r="N15" i="19"/>
  <c r="N16" i="19"/>
  <c r="W16" i="19" s="1"/>
  <c r="N17" i="19"/>
  <c r="N18" i="19"/>
  <c r="N19" i="19"/>
  <c r="N20" i="19"/>
  <c r="N21" i="19"/>
  <c r="N22" i="19"/>
  <c r="N23" i="19"/>
  <c r="N25" i="19"/>
  <c r="N26" i="19"/>
  <c r="N27" i="19"/>
  <c r="N28" i="19"/>
  <c r="N29" i="19"/>
  <c r="N30" i="19"/>
  <c r="N31" i="19"/>
  <c r="N32" i="19"/>
  <c r="N33" i="19"/>
  <c r="N34" i="19"/>
  <c r="N35" i="19"/>
  <c r="N36" i="19"/>
  <c r="N38" i="19"/>
  <c r="N39"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5" i="19"/>
  <c r="N396" i="19"/>
  <c r="N397" i="19"/>
  <c r="N398" i="19"/>
  <c r="N399" i="19"/>
  <c r="N400" i="19"/>
  <c r="N401" i="19"/>
  <c r="N402" i="19"/>
  <c r="N403" i="19"/>
  <c r="N404" i="19"/>
  <c r="N405" i="19"/>
  <c r="N406" i="19"/>
  <c r="N407" i="19"/>
  <c r="N408" i="19"/>
  <c r="N409" i="19"/>
  <c r="N410" i="19"/>
  <c r="N411" i="19"/>
  <c r="N412" i="19"/>
  <c r="N413" i="19"/>
  <c r="N414" i="19"/>
  <c r="N415" i="19"/>
  <c r="N416" i="19"/>
  <c r="N417" i="19"/>
  <c r="N418" i="19"/>
  <c r="N419" i="19"/>
  <c r="N420" i="19"/>
  <c r="N421" i="19"/>
  <c r="N422" i="19"/>
  <c r="N423" i="19"/>
  <c r="N424" i="19"/>
  <c r="N425" i="19"/>
  <c r="N426" i="19"/>
  <c r="N427" i="19"/>
  <c r="N428" i="19"/>
  <c r="N429" i="19"/>
  <c r="N430" i="15"/>
  <c r="S7" i="19"/>
  <c r="R7" i="19" s="1"/>
  <c r="T7" i="19"/>
  <c r="U7" i="19"/>
  <c r="V7" i="19"/>
  <c r="W7" i="19"/>
  <c r="X7" i="19"/>
  <c r="S8" i="19"/>
  <c r="T8" i="19"/>
  <c r="U8" i="19"/>
  <c r="V8" i="19"/>
  <c r="W8" i="19"/>
  <c r="X8" i="19"/>
  <c r="S9" i="19"/>
  <c r="R9" i="19" s="1"/>
  <c r="T9" i="19"/>
  <c r="U9" i="19"/>
  <c r="V9" i="19"/>
  <c r="W9" i="19"/>
  <c r="X9" i="19"/>
  <c r="S10" i="19"/>
  <c r="T10" i="19"/>
  <c r="U10" i="19"/>
  <c r="V10" i="19"/>
  <c r="W10" i="19"/>
  <c r="X10" i="19"/>
  <c r="S11" i="19"/>
  <c r="R11" i="19" s="1"/>
  <c r="T11" i="19"/>
  <c r="U11" i="19"/>
  <c r="V11" i="19"/>
  <c r="W11" i="19"/>
  <c r="S12" i="19"/>
  <c r="T12" i="19"/>
  <c r="U12" i="19"/>
  <c r="V12" i="19"/>
  <c r="X12" i="19"/>
  <c r="S13" i="19"/>
  <c r="T13" i="19"/>
  <c r="U13" i="19"/>
  <c r="V13" i="19"/>
  <c r="W13" i="19"/>
  <c r="X13" i="19"/>
  <c r="S14" i="19"/>
  <c r="T14" i="19"/>
  <c r="U14" i="19"/>
  <c r="V14" i="19"/>
  <c r="X14" i="19"/>
  <c r="S15" i="19"/>
  <c r="T15" i="19"/>
  <c r="U15" i="19"/>
  <c r="V15" i="19"/>
  <c r="W15" i="19"/>
  <c r="S16" i="19"/>
  <c r="T16" i="19"/>
  <c r="U16" i="19"/>
  <c r="V16" i="19"/>
  <c r="S17" i="19"/>
  <c r="T17" i="19"/>
  <c r="U17" i="19"/>
  <c r="V17" i="19"/>
  <c r="W17" i="19"/>
  <c r="X17" i="19"/>
  <c r="S18" i="19"/>
  <c r="T18" i="19"/>
  <c r="U18" i="19"/>
  <c r="V18" i="19"/>
  <c r="W18" i="19"/>
  <c r="X18" i="19"/>
  <c r="S19" i="19"/>
  <c r="T19" i="19"/>
  <c r="U19" i="19"/>
  <c r="V19" i="19"/>
  <c r="W19" i="19"/>
  <c r="X19" i="19"/>
  <c r="S20" i="19"/>
  <c r="T20" i="19"/>
  <c r="U20" i="19"/>
  <c r="V20" i="19"/>
  <c r="W20" i="19"/>
  <c r="X20" i="19"/>
  <c r="S21" i="19"/>
  <c r="T21" i="19"/>
  <c r="U21" i="19"/>
  <c r="V21" i="19"/>
  <c r="W21" i="19"/>
  <c r="X21" i="19"/>
  <c r="S22" i="19"/>
  <c r="T22" i="19"/>
  <c r="U22" i="19"/>
  <c r="V22" i="19"/>
  <c r="W22" i="19"/>
  <c r="X22" i="19"/>
  <c r="S23" i="19"/>
  <c r="T23" i="19"/>
  <c r="U23" i="19"/>
  <c r="V23" i="19"/>
  <c r="W23" i="19"/>
  <c r="X23" i="19"/>
  <c r="S24" i="19"/>
  <c r="T24" i="19"/>
  <c r="U24" i="19"/>
  <c r="V24" i="19"/>
  <c r="W24" i="19"/>
  <c r="X24" i="19"/>
  <c r="S25" i="19"/>
  <c r="T25" i="19"/>
  <c r="U25" i="19"/>
  <c r="V25" i="19"/>
  <c r="W25" i="19"/>
  <c r="X25" i="19"/>
  <c r="S26" i="19"/>
  <c r="T26" i="19"/>
  <c r="U26" i="19"/>
  <c r="V26" i="19"/>
  <c r="W26" i="19"/>
  <c r="X26" i="19"/>
  <c r="S27" i="19"/>
  <c r="T27" i="19"/>
  <c r="U27" i="19"/>
  <c r="V27" i="19"/>
  <c r="W27" i="19"/>
  <c r="X27" i="19"/>
  <c r="S28" i="19"/>
  <c r="T28" i="19"/>
  <c r="U28" i="19"/>
  <c r="V28" i="19"/>
  <c r="W28" i="19"/>
  <c r="X28" i="19"/>
  <c r="S29" i="19"/>
  <c r="T29" i="19"/>
  <c r="U29" i="19"/>
  <c r="V29" i="19"/>
  <c r="W29" i="19"/>
  <c r="X29" i="19"/>
  <c r="S30" i="19"/>
  <c r="T30" i="19"/>
  <c r="U30" i="19"/>
  <c r="V30" i="19"/>
  <c r="W30" i="19"/>
  <c r="X30" i="19"/>
  <c r="S31" i="19"/>
  <c r="T31" i="19"/>
  <c r="U31" i="19"/>
  <c r="V31" i="19"/>
  <c r="W31" i="19"/>
  <c r="X31" i="19"/>
  <c r="S32" i="19"/>
  <c r="T32" i="19"/>
  <c r="U32" i="19"/>
  <c r="V32" i="19"/>
  <c r="W32" i="19"/>
  <c r="X32" i="19"/>
  <c r="S33" i="19"/>
  <c r="T33" i="19"/>
  <c r="U33" i="19"/>
  <c r="V33" i="19"/>
  <c r="W33" i="19"/>
  <c r="X33" i="19"/>
  <c r="S34" i="19"/>
  <c r="T34" i="19"/>
  <c r="U34" i="19"/>
  <c r="V34" i="19"/>
  <c r="W34" i="19"/>
  <c r="X34" i="19"/>
  <c r="S35" i="19"/>
  <c r="T35" i="19"/>
  <c r="U35" i="19"/>
  <c r="V35" i="19"/>
  <c r="W35" i="19"/>
  <c r="X35" i="19"/>
  <c r="S36" i="19"/>
  <c r="T36" i="19"/>
  <c r="U36" i="19"/>
  <c r="V36" i="19"/>
  <c r="W36" i="19"/>
  <c r="X36" i="19"/>
  <c r="S37" i="19"/>
  <c r="T37" i="19"/>
  <c r="U37" i="19"/>
  <c r="V37" i="19"/>
  <c r="W37" i="19"/>
  <c r="X37" i="19"/>
  <c r="S38" i="19"/>
  <c r="T38" i="19"/>
  <c r="U38" i="19"/>
  <c r="V38" i="19"/>
  <c r="W38" i="19"/>
  <c r="X38" i="19"/>
  <c r="S39" i="19"/>
  <c r="T39" i="19"/>
  <c r="U39" i="19"/>
  <c r="V39" i="19"/>
  <c r="W39" i="19"/>
  <c r="X39" i="19"/>
  <c r="S40" i="19"/>
  <c r="T40" i="19"/>
  <c r="U40" i="19"/>
  <c r="V40" i="19"/>
  <c r="W40" i="19"/>
  <c r="X40" i="19"/>
  <c r="S41" i="19"/>
  <c r="T41" i="19"/>
  <c r="U41" i="19"/>
  <c r="V41" i="19"/>
  <c r="W41" i="19"/>
  <c r="X41" i="19"/>
  <c r="S42" i="19"/>
  <c r="T42" i="19"/>
  <c r="U42" i="19"/>
  <c r="V42" i="19"/>
  <c r="W42" i="19"/>
  <c r="X42" i="19"/>
  <c r="S43" i="19"/>
  <c r="T43" i="19"/>
  <c r="U43" i="19"/>
  <c r="V43" i="19"/>
  <c r="W43" i="19"/>
  <c r="X43" i="19"/>
  <c r="S44" i="19"/>
  <c r="T44" i="19"/>
  <c r="U44" i="19"/>
  <c r="V44" i="19"/>
  <c r="W44" i="19"/>
  <c r="X44" i="19"/>
  <c r="S45" i="19"/>
  <c r="T45" i="19"/>
  <c r="U45" i="19"/>
  <c r="V45" i="19"/>
  <c r="W45" i="19"/>
  <c r="X45" i="19"/>
  <c r="S46" i="19"/>
  <c r="T46" i="19"/>
  <c r="U46" i="19"/>
  <c r="V46" i="19"/>
  <c r="W46" i="19"/>
  <c r="X46" i="19"/>
  <c r="S47" i="19"/>
  <c r="T47" i="19"/>
  <c r="U47" i="19"/>
  <c r="V47" i="19"/>
  <c r="W47" i="19"/>
  <c r="X47" i="19"/>
  <c r="S48" i="19"/>
  <c r="T48" i="19"/>
  <c r="U48" i="19"/>
  <c r="V48" i="19"/>
  <c r="W48" i="19"/>
  <c r="X48" i="19"/>
  <c r="S49" i="19"/>
  <c r="T49" i="19"/>
  <c r="U49" i="19"/>
  <c r="V49" i="19"/>
  <c r="W49" i="19"/>
  <c r="X49" i="19"/>
  <c r="S50" i="19"/>
  <c r="T50" i="19"/>
  <c r="U50" i="19"/>
  <c r="V50" i="19"/>
  <c r="W50" i="19"/>
  <c r="X50" i="19"/>
  <c r="S51" i="19"/>
  <c r="T51" i="19"/>
  <c r="U51" i="19"/>
  <c r="V51" i="19"/>
  <c r="W51" i="19"/>
  <c r="X51" i="19"/>
  <c r="S52" i="19"/>
  <c r="T52" i="19"/>
  <c r="U52" i="19"/>
  <c r="V52" i="19"/>
  <c r="W52" i="19"/>
  <c r="X52" i="19"/>
  <c r="S53" i="19"/>
  <c r="T53" i="19"/>
  <c r="U53" i="19"/>
  <c r="V53" i="19"/>
  <c r="W53" i="19"/>
  <c r="X53" i="19"/>
  <c r="S54" i="19"/>
  <c r="T54" i="19"/>
  <c r="U54" i="19"/>
  <c r="V54" i="19"/>
  <c r="W54" i="19"/>
  <c r="X54" i="19"/>
  <c r="S55" i="19"/>
  <c r="T55" i="19"/>
  <c r="U55" i="19"/>
  <c r="V55" i="19"/>
  <c r="W55" i="19"/>
  <c r="X55" i="19"/>
  <c r="S56" i="19"/>
  <c r="T56" i="19"/>
  <c r="U56" i="19"/>
  <c r="V56" i="19"/>
  <c r="W56" i="19"/>
  <c r="X56" i="19"/>
  <c r="S57" i="19"/>
  <c r="T57" i="19"/>
  <c r="U57" i="19"/>
  <c r="V57" i="19"/>
  <c r="W57" i="19"/>
  <c r="X57" i="19"/>
  <c r="S58" i="19"/>
  <c r="T58" i="19"/>
  <c r="U58" i="19"/>
  <c r="V58" i="19"/>
  <c r="W58" i="19"/>
  <c r="X58" i="19"/>
  <c r="S59" i="19"/>
  <c r="T59" i="19"/>
  <c r="U59" i="19"/>
  <c r="V59" i="19"/>
  <c r="W59" i="19"/>
  <c r="X59" i="19"/>
  <c r="S60" i="19"/>
  <c r="T60" i="19"/>
  <c r="U60" i="19"/>
  <c r="V60" i="19"/>
  <c r="W60" i="19"/>
  <c r="X60" i="19"/>
  <c r="S61" i="19"/>
  <c r="T61" i="19"/>
  <c r="U61" i="19"/>
  <c r="V61" i="19"/>
  <c r="W61" i="19"/>
  <c r="X61" i="19"/>
  <c r="S62" i="19"/>
  <c r="T62" i="19"/>
  <c r="U62" i="19"/>
  <c r="V62" i="19"/>
  <c r="W62" i="19"/>
  <c r="X62" i="19"/>
  <c r="S63" i="19"/>
  <c r="T63" i="19"/>
  <c r="U63" i="19"/>
  <c r="V63" i="19"/>
  <c r="W63" i="19"/>
  <c r="X63" i="19"/>
  <c r="S64" i="19"/>
  <c r="T64" i="19"/>
  <c r="U64" i="19"/>
  <c r="V64" i="19"/>
  <c r="W64" i="19"/>
  <c r="X64" i="19"/>
  <c r="S65" i="19"/>
  <c r="T65" i="19"/>
  <c r="U65" i="19"/>
  <c r="V65" i="19"/>
  <c r="W65" i="19"/>
  <c r="X65" i="19"/>
  <c r="S66" i="19"/>
  <c r="T66" i="19"/>
  <c r="U66" i="19"/>
  <c r="V66" i="19"/>
  <c r="W66" i="19"/>
  <c r="X66" i="19"/>
  <c r="S67" i="19"/>
  <c r="T67" i="19"/>
  <c r="U67" i="19"/>
  <c r="V67" i="19"/>
  <c r="W67" i="19"/>
  <c r="X67" i="19"/>
  <c r="S68" i="19"/>
  <c r="T68" i="19"/>
  <c r="U68" i="19"/>
  <c r="V68" i="19"/>
  <c r="W68" i="19"/>
  <c r="X68" i="19"/>
  <c r="S69" i="19"/>
  <c r="T69" i="19"/>
  <c r="U69" i="19"/>
  <c r="V69" i="19"/>
  <c r="W69" i="19"/>
  <c r="X69" i="19"/>
  <c r="S70" i="19"/>
  <c r="T70" i="19"/>
  <c r="U70" i="19"/>
  <c r="V70" i="19"/>
  <c r="W70" i="19"/>
  <c r="X70" i="19"/>
  <c r="S71" i="19"/>
  <c r="T71" i="19"/>
  <c r="U71" i="19"/>
  <c r="V71" i="19"/>
  <c r="W71" i="19"/>
  <c r="X71" i="19"/>
  <c r="S72" i="19"/>
  <c r="T72" i="19"/>
  <c r="U72" i="19"/>
  <c r="V72" i="19"/>
  <c r="W72" i="19"/>
  <c r="X72" i="19"/>
  <c r="S73" i="19"/>
  <c r="T73" i="19"/>
  <c r="U73" i="19"/>
  <c r="V73" i="19"/>
  <c r="W73" i="19"/>
  <c r="X73" i="19"/>
  <c r="S74" i="19"/>
  <c r="T74" i="19"/>
  <c r="U74" i="19"/>
  <c r="V74" i="19"/>
  <c r="W74" i="19"/>
  <c r="X74" i="19"/>
  <c r="S75" i="19"/>
  <c r="T75" i="19"/>
  <c r="U75" i="19"/>
  <c r="V75" i="19"/>
  <c r="W75" i="19"/>
  <c r="X75" i="19"/>
  <c r="S76" i="19"/>
  <c r="T76" i="19"/>
  <c r="U76" i="19"/>
  <c r="V76" i="19"/>
  <c r="W76" i="19"/>
  <c r="X76" i="19"/>
  <c r="S77" i="19"/>
  <c r="T77" i="19"/>
  <c r="U77" i="19"/>
  <c r="V77" i="19"/>
  <c r="W77" i="19"/>
  <c r="X77" i="19"/>
  <c r="S78" i="19"/>
  <c r="T78" i="19"/>
  <c r="U78" i="19"/>
  <c r="V78" i="19"/>
  <c r="W78" i="19"/>
  <c r="X78" i="19"/>
  <c r="S79" i="19"/>
  <c r="T79" i="19"/>
  <c r="U79" i="19"/>
  <c r="V79" i="19"/>
  <c r="W79" i="19"/>
  <c r="X79" i="19"/>
  <c r="S80" i="19"/>
  <c r="T80" i="19"/>
  <c r="U80" i="19"/>
  <c r="V80" i="19"/>
  <c r="W80" i="19"/>
  <c r="X80" i="19"/>
  <c r="S81" i="19"/>
  <c r="T81" i="19"/>
  <c r="U81" i="19"/>
  <c r="V81" i="19"/>
  <c r="W81" i="19"/>
  <c r="X81" i="19"/>
  <c r="S82" i="19"/>
  <c r="T82" i="19"/>
  <c r="U82" i="19"/>
  <c r="V82" i="19"/>
  <c r="W82" i="19"/>
  <c r="X82" i="19"/>
  <c r="S83" i="19"/>
  <c r="T83" i="19"/>
  <c r="U83" i="19"/>
  <c r="V83" i="19"/>
  <c r="W83" i="19"/>
  <c r="X83" i="19"/>
  <c r="S84" i="19"/>
  <c r="T84" i="19"/>
  <c r="U84" i="19"/>
  <c r="V84" i="19"/>
  <c r="W84" i="19"/>
  <c r="X84" i="19"/>
  <c r="S85" i="19"/>
  <c r="T85" i="19"/>
  <c r="U85" i="19"/>
  <c r="V85" i="19"/>
  <c r="W85" i="19"/>
  <c r="X85" i="19"/>
  <c r="S86" i="19"/>
  <c r="T86" i="19"/>
  <c r="U86" i="19"/>
  <c r="V86" i="19"/>
  <c r="W86" i="19"/>
  <c r="X86" i="19"/>
  <c r="S87" i="19"/>
  <c r="T87" i="19"/>
  <c r="U87" i="19"/>
  <c r="V87" i="19"/>
  <c r="W87" i="19"/>
  <c r="X87" i="19"/>
  <c r="S88" i="19"/>
  <c r="T88" i="19"/>
  <c r="U88" i="19"/>
  <c r="V88" i="19"/>
  <c r="W88" i="19"/>
  <c r="X88" i="19"/>
  <c r="S89" i="19"/>
  <c r="T89" i="19"/>
  <c r="U89" i="19"/>
  <c r="V89" i="19"/>
  <c r="W89" i="19"/>
  <c r="X89" i="19"/>
  <c r="S90" i="19"/>
  <c r="T90" i="19"/>
  <c r="U90" i="19"/>
  <c r="V90" i="19"/>
  <c r="W90" i="19"/>
  <c r="X90" i="19"/>
  <c r="S91" i="19"/>
  <c r="T91" i="19"/>
  <c r="U91" i="19"/>
  <c r="V91" i="19"/>
  <c r="W91" i="19"/>
  <c r="X91" i="19"/>
  <c r="S92" i="19"/>
  <c r="T92" i="19"/>
  <c r="U92" i="19"/>
  <c r="V92" i="19"/>
  <c r="W92" i="19"/>
  <c r="X92" i="19"/>
  <c r="S93" i="19"/>
  <c r="T93" i="19"/>
  <c r="U93" i="19"/>
  <c r="V93" i="19"/>
  <c r="W93" i="19"/>
  <c r="X93" i="19"/>
  <c r="S94" i="19"/>
  <c r="T94" i="19"/>
  <c r="U94" i="19"/>
  <c r="V94" i="19"/>
  <c r="W94" i="19"/>
  <c r="X94" i="19"/>
  <c r="S95" i="19"/>
  <c r="T95" i="19"/>
  <c r="U95" i="19"/>
  <c r="V95" i="19"/>
  <c r="W95" i="19"/>
  <c r="X95" i="19"/>
  <c r="S96" i="19"/>
  <c r="T96" i="19"/>
  <c r="U96" i="19"/>
  <c r="V96" i="19"/>
  <c r="W96" i="19"/>
  <c r="X96" i="19"/>
  <c r="S97" i="19"/>
  <c r="T97" i="19"/>
  <c r="U97" i="19"/>
  <c r="V97" i="19"/>
  <c r="W97" i="19"/>
  <c r="X97" i="19"/>
  <c r="S98" i="19"/>
  <c r="T98" i="19"/>
  <c r="U98" i="19"/>
  <c r="V98" i="19"/>
  <c r="W98" i="19"/>
  <c r="X98" i="19"/>
  <c r="S99" i="19"/>
  <c r="T99" i="19"/>
  <c r="U99" i="19"/>
  <c r="V99" i="19"/>
  <c r="W99" i="19"/>
  <c r="X99" i="19"/>
  <c r="S100" i="19"/>
  <c r="T100" i="19"/>
  <c r="U100" i="19"/>
  <c r="V100" i="19"/>
  <c r="W100" i="19"/>
  <c r="X100" i="19"/>
  <c r="S101" i="19"/>
  <c r="T101" i="19"/>
  <c r="U101" i="19"/>
  <c r="V101" i="19"/>
  <c r="W101" i="19"/>
  <c r="X101" i="19"/>
  <c r="S102" i="19"/>
  <c r="T102" i="19"/>
  <c r="U102" i="19"/>
  <c r="V102" i="19"/>
  <c r="W102" i="19"/>
  <c r="X102" i="19"/>
  <c r="S103" i="19"/>
  <c r="T103" i="19"/>
  <c r="U103" i="19"/>
  <c r="V103" i="19"/>
  <c r="W103" i="19"/>
  <c r="X103" i="19"/>
  <c r="S104" i="19"/>
  <c r="T104" i="19"/>
  <c r="U104" i="19"/>
  <c r="V104" i="19"/>
  <c r="W104" i="19"/>
  <c r="X104" i="19"/>
  <c r="S105" i="19"/>
  <c r="T105" i="19"/>
  <c r="U105" i="19"/>
  <c r="V105" i="19"/>
  <c r="W105" i="19"/>
  <c r="X105" i="19"/>
  <c r="S106" i="19"/>
  <c r="T106" i="19"/>
  <c r="U106" i="19"/>
  <c r="V106" i="19"/>
  <c r="W106" i="19"/>
  <c r="X106" i="19"/>
  <c r="S107" i="19"/>
  <c r="T107" i="19"/>
  <c r="U107" i="19"/>
  <c r="V107" i="19"/>
  <c r="W107" i="19"/>
  <c r="X107" i="19"/>
  <c r="S108" i="19"/>
  <c r="T108" i="19"/>
  <c r="U108" i="19"/>
  <c r="V108" i="19"/>
  <c r="W108" i="19"/>
  <c r="X108" i="19"/>
  <c r="S109" i="19"/>
  <c r="T109" i="19"/>
  <c r="U109" i="19"/>
  <c r="V109" i="19"/>
  <c r="W109" i="19"/>
  <c r="X109" i="19"/>
  <c r="S110" i="19"/>
  <c r="T110" i="19"/>
  <c r="U110" i="19"/>
  <c r="V110" i="19"/>
  <c r="W110" i="19"/>
  <c r="X110" i="19"/>
  <c r="S111" i="19"/>
  <c r="T111" i="19"/>
  <c r="U111" i="19"/>
  <c r="V111" i="19"/>
  <c r="W111" i="19"/>
  <c r="X111" i="19"/>
  <c r="S112" i="19"/>
  <c r="T112" i="19"/>
  <c r="U112" i="19"/>
  <c r="V112" i="19"/>
  <c r="W112" i="19"/>
  <c r="X112" i="19"/>
  <c r="S113" i="19"/>
  <c r="T113" i="19"/>
  <c r="U113" i="19"/>
  <c r="V113" i="19"/>
  <c r="W113" i="19"/>
  <c r="X113" i="19"/>
  <c r="S114" i="19"/>
  <c r="T114" i="19"/>
  <c r="U114" i="19"/>
  <c r="V114" i="19"/>
  <c r="W114" i="19"/>
  <c r="X114" i="19"/>
  <c r="S115" i="19"/>
  <c r="T115" i="19"/>
  <c r="U115" i="19"/>
  <c r="V115" i="19"/>
  <c r="W115" i="19"/>
  <c r="X115" i="19"/>
  <c r="S116" i="19"/>
  <c r="T116" i="19"/>
  <c r="U116" i="19"/>
  <c r="V116" i="19"/>
  <c r="W116" i="19"/>
  <c r="X116" i="19"/>
  <c r="S117" i="19"/>
  <c r="T117" i="19"/>
  <c r="U117" i="19"/>
  <c r="V117" i="19"/>
  <c r="W117" i="19"/>
  <c r="X117" i="19"/>
  <c r="S118" i="19"/>
  <c r="T118" i="19"/>
  <c r="U118" i="19"/>
  <c r="V118" i="19"/>
  <c r="W118" i="19"/>
  <c r="X118" i="19"/>
  <c r="S119" i="19"/>
  <c r="T119" i="19"/>
  <c r="U119" i="19"/>
  <c r="V119" i="19"/>
  <c r="W119" i="19"/>
  <c r="X119" i="19"/>
  <c r="S120" i="19"/>
  <c r="T120" i="19"/>
  <c r="U120" i="19"/>
  <c r="V120" i="19"/>
  <c r="W120" i="19"/>
  <c r="X120" i="19"/>
  <c r="S121" i="19"/>
  <c r="T121" i="19"/>
  <c r="U121" i="19"/>
  <c r="V121" i="19"/>
  <c r="W121" i="19"/>
  <c r="X121" i="19"/>
  <c r="S122" i="19"/>
  <c r="T122" i="19"/>
  <c r="U122" i="19"/>
  <c r="V122" i="19"/>
  <c r="W122" i="19"/>
  <c r="X122" i="19"/>
  <c r="S123" i="19"/>
  <c r="T123" i="19"/>
  <c r="U123" i="19"/>
  <c r="V123" i="19"/>
  <c r="W123" i="19"/>
  <c r="X123" i="19"/>
  <c r="S124" i="19"/>
  <c r="T124" i="19"/>
  <c r="U124" i="19"/>
  <c r="V124" i="19"/>
  <c r="W124" i="19"/>
  <c r="X124" i="19"/>
  <c r="S125" i="19"/>
  <c r="T125" i="19"/>
  <c r="U125" i="19"/>
  <c r="V125" i="19"/>
  <c r="W125" i="19"/>
  <c r="X125" i="19"/>
  <c r="S126" i="19"/>
  <c r="T126" i="19"/>
  <c r="U126" i="19"/>
  <c r="V126" i="19"/>
  <c r="W126" i="19"/>
  <c r="X126" i="19"/>
  <c r="S127" i="19"/>
  <c r="T127" i="19"/>
  <c r="U127" i="19"/>
  <c r="V127" i="19"/>
  <c r="W127" i="19"/>
  <c r="X127" i="19"/>
  <c r="S128" i="19"/>
  <c r="T128" i="19"/>
  <c r="U128" i="19"/>
  <c r="V128" i="19"/>
  <c r="W128" i="19"/>
  <c r="X128" i="19"/>
  <c r="S129" i="19"/>
  <c r="T129" i="19"/>
  <c r="U129" i="19"/>
  <c r="V129" i="19"/>
  <c r="W129" i="19"/>
  <c r="X129" i="19"/>
  <c r="S130" i="19"/>
  <c r="T130" i="19"/>
  <c r="U130" i="19"/>
  <c r="V130" i="19"/>
  <c r="W130" i="19"/>
  <c r="X130" i="19"/>
  <c r="S131" i="19"/>
  <c r="T131" i="19"/>
  <c r="U131" i="19"/>
  <c r="V131" i="19"/>
  <c r="W131" i="19"/>
  <c r="X131" i="19"/>
  <c r="S132" i="19"/>
  <c r="T132" i="19"/>
  <c r="U132" i="19"/>
  <c r="V132" i="19"/>
  <c r="W132" i="19"/>
  <c r="X132" i="19"/>
  <c r="S133" i="19"/>
  <c r="T133" i="19"/>
  <c r="U133" i="19"/>
  <c r="V133" i="19"/>
  <c r="W133" i="19"/>
  <c r="X133" i="19"/>
  <c r="S134" i="19"/>
  <c r="T134" i="19"/>
  <c r="U134" i="19"/>
  <c r="V134" i="19"/>
  <c r="W134" i="19"/>
  <c r="X134" i="19"/>
  <c r="S135" i="19"/>
  <c r="T135" i="19"/>
  <c r="U135" i="19"/>
  <c r="V135" i="19"/>
  <c r="W135" i="19"/>
  <c r="X135" i="19"/>
  <c r="S136" i="19"/>
  <c r="T136" i="19"/>
  <c r="U136" i="19"/>
  <c r="V136" i="19"/>
  <c r="W136" i="19"/>
  <c r="X136" i="19"/>
  <c r="S137" i="19"/>
  <c r="T137" i="19"/>
  <c r="U137" i="19"/>
  <c r="V137" i="19"/>
  <c r="W137" i="19"/>
  <c r="X137" i="19"/>
  <c r="S138" i="19"/>
  <c r="T138" i="19"/>
  <c r="U138" i="19"/>
  <c r="V138" i="19"/>
  <c r="W138" i="19"/>
  <c r="X138" i="19"/>
  <c r="S139" i="19"/>
  <c r="T139" i="19"/>
  <c r="U139" i="19"/>
  <c r="V139" i="19"/>
  <c r="W139" i="19"/>
  <c r="X139" i="19"/>
  <c r="S140" i="19"/>
  <c r="T140" i="19"/>
  <c r="U140" i="19"/>
  <c r="V140" i="19"/>
  <c r="W140" i="19"/>
  <c r="X140" i="19"/>
  <c r="S141" i="19"/>
  <c r="T141" i="19"/>
  <c r="U141" i="19"/>
  <c r="V141" i="19"/>
  <c r="W141" i="19"/>
  <c r="X141" i="19"/>
  <c r="S142" i="19"/>
  <c r="T142" i="19"/>
  <c r="U142" i="19"/>
  <c r="V142" i="19"/>
  <c r="W142" i="19"/>
  <c r="X142" i="19"/>
  <c r="S143" i="19"/>
  <c r="T143" i="19"/>
  <c r="U143" i="19"/>
  <c r="V143" i="19"/>
  <c r="W143" i="19"/>
  <c r="X143" i="19"/>
  <c r="S144" i="19"/>
  <c r="T144" i="19"/>
  <c r="U144" i="19"/>
  <c r="V144" i="19"/>
  <c r="W144" i="19"/>
  <c r="X144" i="19"/>
  <c r="S145" i="19"/>
  <c r="T145" i="19"/>
  <c r="U145" i="19"/>
  <c r="V145" i="19"/>
  <c r="W145" i="19"/>
  <c r="X145" i="19"/>
  <c r="S146" i="19"/>
  <c r="T146" i="19"/>
  <c r="U146" i="19"/>
  <c r="V146" i="19"/>
  <c r="W146" i="19"/>
  <c r="X146" i="19"/>
  <c r="S147" i="19"/>
  <c r="T147" i="19"/>
  <c r="U147" i="19"/>
  <c r="V147" i="19"/>
  <c r="W147" i="19"/>
  <c r="X147" i="19"/>
  <c r="S148" i="19"/>
  <c r="T148" i="19"/>
  <c r="U148" i="19"/>
  <c r="V148" i="19"/>
  <c r="W148" i="19"/>
  <c r="X148" i="19"/>
  <c r="S149" i="19"/>
  <c r="T149" i="19"/>
  <c r="U149" i="19"/>
  <c r="V149" i="19"/>
  <c r="W149" i="19"/>
  <c r="X149" i="19"/>
  <c r="S150" i="19"/>
  <c r="T150" i="19"/>
  <c r="U150" i="19"/>
  <c r="V150" i="19"/>
  <c r="W150" i="19"/>
  <c r="X150" i="19"/>
  <c r="S151" i="19"/>
  <c r="T151" i="19"/>
  <c r="U151" i="19"/>
  <c r="V151" i="19"/>
  <c r="W151" i="19"/>
  <c r="X151" i="19"/>
  <c r="S152" i="19"/>
  <c r="T152" i="19"/>
  <c r="U152" i="19"/>
  <c r="V152" i="19"/>
  <c r="W152" i="19"/>
  <c r="X152" i="19"/>
  <c r="S153" i="19"/>
  <c r="T153" i="19"/>
  <c r="U153" i="19"/>
  <c r="V153" i="19"/>
  <c r="W153" i="19"/>
  <c r="X153" i="19"/>
  <c r="S154" i="19"/>
  <c r="T154" i="19"/>
  <c r="U154" i="19"/>
  <c r="V154" i="19"/>
  <c r="W154" i="19"/>
  <c r="X154" i="19"/>
  <c r="S155" i="19"/>
  <c r="T155" i="19"/>
  <c r="U155" i="19"/>
  <c r="V155" i="19"/>
  <c r="W155" i="19"/>
  <c r="X155" i="19"/>
  <c r="S156" i="19"/>
  <c r="T156" i="19"/>
  <c r="U156" i="19"/>
  <c r="V156" i="19"/>
  <c r="W156" i="19"/>
  <c r="X156" i="19"/>
  <c r="S157" i="19"/>
  <c r="T157" i="19"/>
  <c r="U157" i="19"/>
  <c r="V157" i="19"/>
  <c r="W157" i="19"/>
  <c r="X157" i="19"/>
  <c r="S158" i="19"/>
  <c r="T158" i="19"/>
  <c r="U158" i="19"/>
  <c r="V158" i="19"/>
  <c r="W158" i="19"/>
  <c r="X158" i="19"/>
  <c r="S159" i="19"/>
  <c r="T159" i="19"/>
  <c r="U159" i="19"/>
  <c r="V159" i="19"/>
  <c r="W159" i="19"/>
  <c r="X159" i="19"/>
  <c r="S160" i="19"/>
  <c r="T160" i="19"/>
  <c r="U160" i="19"/>
  <c r="V160" i="19"/>
  <c r="W160" i="19"/>
  <c r="X160" i="19"/>
  <c r="S161" i="19"/>
  <c r="T161" i="19"/>
  <c r="U161" i="19"/>
  <c r="V161" i="19"/>
  <c r="W161" i="19"/>
  <c r="X161" i="19"/>
  <c r="S162" i="19"/>
  <c r="T162" i="19"/>
  <c r="U162" i="19"/>
  <c r="V162" i="19"/>
  <c r="W162" i="19"/>
  <c r="X162" i="19"/>
  <c r="S163" i="19"/>
  <c r="T163" i="19"/>
  <c r="U163" i="19"/>
  <c r="V163" i="19"/>
  <c r="W163" i="19"/>
  <c r="X163" i="19"/>
  <c r="S164" i="19"/>
  <c r="T164" i="19"/>
  <c r="U164" i="19"/>
  <c r="V164" i="19"/>
  <c r="W164" i="19"/>
  <c r="X164" i="19"/>
  <c r="S165" i="19"/>
  <c r="T165" i="19"/>
  <c r="U165" i="19"/>
  <c r="V165" i="19"/>
  <c r="W165" i="19"/>
  <c r="X165" i="19"/>
  <c r="S166" i="19"/>
  <c r="T166" i="19"/>
  <c r="U166" i="19"/>
  <c r="V166" i="19"/>
  <c r="W166" i="19"/>
  <c r="X166" i="19"/>
  <c r="S167" i="19"/>
  <c r="T167" i="19"/>
  <c r="U167" i="19"/>
  <c r="V167" i="19"/>
  <c r="W167" i="19"/>
  <c r="X167" i="19"/>
  <c r="S168" i="19"/>
  <c r="T168" i="19"/>
  <c r="U168" i="19"/>
  <c r="V168" i="19"/>
  <c r="W168" i="19"/>
  <c r="X168" i="19"/>
  <c r="S169" i="19"/>
  <c r="T169" i="19"/>
  <c r="U169" i="19"/>
  <c r="V169" i="19"/>
  <c r="W169" i="19"/>
  <c r="X169" i="19"/>
  <c r="S170" i="19"/>
  <c r="T170" i="19"/>
  <c r="U170" i="19"/>
  <c r="V170" i="19"/>
  <c r="W170" i="19"/>
  <c r="X170" i="19"/>
  <c r="S171" i="19"/>
  <c r="T171" i="19"/>
  <c r="U171" i="19"/>
  <c r="V171" i="19"/>
  <c r="W171" i="19"/>
  <c r="X171" i="19"/>
  <c r="S172" i="19"/>
  <c r="T172" i="19"/>
  <c r="U172" i="19"/>
  <c r="V172" i="19"/>
  <c r="W172" i="19"/>
  <c r="X172" i="19"/>
  <c r="S173" i="19"/>
  <c r="T173" i="19"/>
  <c r="U173" i="19"/>
  <c r="V173" i="19"/>
  <c r="W173" i="19"/>
  <c r="X173" i="19"/>
  <c r="S174" i="19"/>
  <c r="T174" i="19"/>
  <c r="U174" i="19"/>
  <c r="V174" i="19"/>
  <c r="W174" i="19"/>
  <c r="X174" i="19"/>
  <c r="S175" i="19"/>
  <c r="T175" i="19"/>
  <c r="U175" i="19"/>
  <c r="V175" i="19"/>
  <c r="W175" i="19"/>
  <c r="X175" i="19"/>
  <c r="S176" i="19"/>
  <c r="T176" i="19"/>
  <c r="U176" i="19"/>
  <c r="V176" i="19"/>
  <c r="W176" i="19"/>
  <c r="X176" i="19"/>
  <c r="S177" i="19"/>
  <c r="T177" i="19"/>
  <c r="U177" i="19"/>
  <c r="V177" i="19"/>
  <c r="W177" i="19"/>
  <c r="X177" i="19"/>
  <c r="S178" i="19"/>
  <c r="T178" i="19"/>
  <c r="U178" i="19"/>
  <c r="V178" i="19"/>
  <c r="W178" i="19"/>
  <c r="X178" i="19"/>
  <c r="S179" i="19"/>
  <c r="T179" i="19"/>
  <c r="U179" i="19"/>
  <c r="V179" i="19"/>
  <c r="W179" i="19"/>
  <c r="X179" i="19"/>
  <c r="S180" i="19"/>
  <c r="T180" i="19"/>
  <c r="U180" i="19"/>
  <c r="V180" i="19"/>
  <c r="W180" i="19"/>
  <c r="X180" i="19"/>
  <c r="S181" i="19"/>
  <c r="T181" i="19"/>
  <c r="U181" i="19"/>
  <c r="V181" i="19"/>
  <c r="W181" i="19"/>
  <c r="X181" i="19"/>
  <c r="S182" i="19"/>
  <c r="T182" i="19"/>
  <c r="U182" i="19"/>
  <c r="V182" i="19"/>
  <c r="W182" i="19"/>
  <c r="X182" i="19"/>
  <c r="S183" i="19"/>
  <c r="T183" i="19"/>
  <c r="U183" i="19"/>
  <c r="V183" i="19"/>
  <c r="W183" i="19"/>
  <c r="X183" i="19"/>
  <c r="S184" i="19"/>
  <c r="T184" i="19"/>
  <c r="U184" i="19"/>
  <c r="V184" i="19"/>
  <c r="W184" i="19"/>
  <c r="X184" i="19"/>
  <c r="S185" i="19"/>
  <c r="T185" i="19"/>
  <c r="U185" i="19"/>
  <c r="V185" i="19"/>
  <c r="W185" i="19"/>
  <c r="X185" i="19"/>
  <c r="S186" i="19"/>
  <c r="T186" i="19"/>
  <c r="U186" i="19"/>
  <c r="V186" i="19"/>
  <c r="W186" i="19"/>
  <c r="X186" i="19"/>
  <c r="S187" i="19"/>
  <c r="T187" i="19"/>
  <c r="U187" i="19"/>
  <c r="V187" i="19"/>
  <c r="W187" i="19"/>
  <c r="X187" i="19"/>
  <c r="S188" i="19"/>
  <c r="T188" i="19"/>
  <c r="U188" i="19"/>
  <c r="V188" i="19"/>
  <c r="W188" i="19"/>
  <c r="X188" i="19"/>
  <c r="S189" i="19"/>
  <c r="T189" i="19"/>
  <c r="U189" i="19"/>
  <c r="V189" i="19"/>
  <c r="W189" i="19"/>
  <c r="X189" i="19"/>
  <c r="S190" i="19"/>
  <c r="T190" i="19"/>
  <c r="U190" i="19"/>
  <c r="V190" i="19"/>
  <c r="W190" i="19"/>
  <c r="X190" i="19"/>
  <c r="S191" i="19"/>
  <c r="T191" i="19"/>
  <c r="U191" i="19"/>
  <c r="V191" i="19"/>
  <c r="W191" i="19"/>
  <c r="X191" i="19"/>
  <c r="S192" i="19"/>
  <c r="T192" i="19"/>
  <c r="U192" i="19"/>
  <c r="V192" i="19"/>
  <c r="W192" i="19"/>
  <c r="X192" i="19"/>
  <c r="S193" i="19"/>
  <c r="T193" i="19"/>
  <c r="U193" i="19"/>
  <c r="V193" i="19"/>
  <c r="W193" i="19"/>
  <c r="X193" i="19"/>
  <c r="S194" i="19"/>
  <c r="T194" i="19"/>
  <c r="U194" i="19"/>
  <c r="V194" i="19"/>
  <c r="W194" i="19"/>
  <c r="X194" i="19"/>
  <c r="S195" i="19"/>
  <c r="T195" i="19"/>
  <c r="U195" i="19"/>
  <c r="V195" i="19"/>
  <c r="W195" i="19"/>
  <c r="X195" i="19"/>
  <c r="S196" i="19"/>
  <c r="T196" i="19"/>
  <c r="U196" i="19"/>
  <c r="V196" i="19"/>
  <c r="W196" i="19"/>
  <c r="X196" i="19"/>
  <c r="S197" i="19"/>
  <c r="T197" i="19"/>
  <c r="U197" i="19"/>
  <c r="V197" i="19"/>
  <c r="W197" i="19"/>
  <c r="X197" i="19"/>
  <c r="S198" i="19"/>
  <c r="T198" i="19"/>
  <c r="U198" i="19"/>
  <c r="V198" i="19"/>
  <c r="W198" i="19"/>
  <c r="X198" i="19"/>
  <c r="S199" i="19"/>
  <c r="T199" i="19"/>
  <c r="U199" i="19"/>
  <c r="V199" i="19"/>
  <c r="W199" i="19"/>
  <c r="X199" i="19"/>
  <c r="S200" i="19"/>
  <c r="T200" i="19"/>
  <c r="U200" i="19"/>
  <c r="V200" i="19"/>
  <c r="W200" i="19"/>
  <c r="X200" i="19"/>
  <c r="S201" i="19"/>
  <c r="T201" i="19"/>
  <c r="U201" i="19"/>
  <c r="V201" i="19"/>
  <c r="W201" i="19"/>
  <c r="X201" i="19"/>
  <c r="S202" i="19"/>
  <c r="T202" i="19"/>
  <c r="U202" i="19"/>
  <c r="V202" i="19"/>
  <c r="W202" i="19"/>
  <c r="X202" i="19"/>
  <c r="S203" i="19"/>
  <c r="T203" i="19"/>
  <c r="U203" i="19"/>
  <c r="V203" i="19"/>
  <c r="W203" i="19"/>
  <c r="X203" i="19"/>
  <c r="S204" i="19"/>
  <c r="T204" i="19"/>
  <c r="U204" i="19"/>
  <c r="V204" i="19"/>
  <c r="W204" i="19"/>
  <c r="X204" i="19"/>
  <c r="S205" i="19"/>
  <c r="T205" i="19"/>
  <c r="U205" i="19"/>
  <c r="V205" i="19"/>
  <c r="W205" i="19"/>
  <c r="X205" i="19"/>
  <c r="S206" i="19"/>
  <c r="T206" i="19"/>
  <c r="U206" i="19"/>
  <c r="V206" i="19"/>
  <c r="W206" i="19"/>
  <c r="X206" i="19"/>
  <c r="S207" i="19"/>
  <c r="T207" i="19"/>
  <c r="U207" i="19"/>
  <c r="V207" i="19"/>
  <c r="W207" i="19"/>
  <c r="X207" i="19"/>
  <c r="S208" i="19"/>
  <c r="T208" i="19"/>
  <c r="U208" i="19"/>
  <c r="V208" i="19"/>
  <c r="W208" i="19"/>
  <c r="X208" i="19"/>
  <c r="S209" i="19"/>
  <c r="T209" i="19"/>
  <c r="U209" i="19"/>
  <c r="V209" i="19"/>
  <c r="W209" i="19"/>
  <c r="X209" i="19"/>
  <c r="S210" i="19"/>
  <c r="T210" i="19"/>
  <c r="U210" i="19"/>
  <c r="V210" i="19"/>
  <c r="W210" i="19"/>
  <c r="X210" i="19"/>
  <c r="S211" i="19"/>
  <c r="T211" i="19"/>
  <c r="U211" i="19"/>
  <c r="V211" i="19"/>
  <c r="W211" i="19"/>
  <c r="X211" i="19"/>
  <c r="S212" i="19"/>
  <c r="T212" i="19"/>
  <c r="U212" i="19"/>
  <c r="V212" i="19"/>
  <c r="W212" i="19"/>
  <c r="X212" i="19"/>
  <c r="S213" i="19"/>
  <c r="T213" i="19"/>
  <c r="U213" i="19"/>
  <c r="V213" i="19"/>
  <c r="W213" i="19"/>
  <c r="X213" i="19"/>
  <c r="S214" i="19"/>
  <c r="T214" i="19"/>
  <c r="U214" i="19"/>
  <c r="V214" i="19"/>
  <c r="W214" i="19"/>
  <c r="X214" i="19"/>
  <c r="S215" i="19"/>
  <c r="T215" i="19"/>
  <c r="U215" i="19"/>
  <c r="V215" i="19"/>
  <c r="W215" i="19"/>
  <c r="X215" i="19"/>
  <c r="S216" i="19"/>
  <c r="T216" i="19"/>
  <c r="U216" i="19"/>
  <c r="V216" i="19"/>
  <c r="W216" i="19"/>
  <c r="X216" i="19"/>
  <c r="S217" i="19"/>
  <c r="T217" i="19"/>
  <c r="U217" i="19"/>
  <c r="V217" i="19"/>
  <c r="W217" i="19"/>
  <c r="X217" i="19"/>
  <c r="S218" i="19"/>
  <c r="T218" i="19"/>
  <c r="U218" i="19"/>
  <c r="V218" i="19"/>
  <c r="W218" i="19"/>
  <c r="X218" i="19"/>
  <c r="S219" i="19"/>
  <c r="T219" i="19"/>
  <c r="U219" i="19"/>
  <c r="V219" i="19"/>
  <c r="W219" i="19"/>
  <c r="X219" i="19"/>
  <c r="S220" i="19"/>
  <c r="T220" i="19"/>
  <c r="U220" i="19"/>
  <c r="V220" i="19"/>
  <c r="W220" i="19"/>
  <c r="X220" i="19"/>
  <c r="S221" i="19"/>
  <c r="T221" i="19"/>
  <c r="U221" i="19"/>
  <c r="V221" i="19"/>
  <c r="W221" i="19"/>
  <c r="X221" i="19"/>
  <c r="S222" i="19"/>
  <c r="T222" i="19"/>
  <c r="U222" i="19"/>
  <c r="V222" i="19"/>
  <c r="W222" i="19"/>
  <c r="X222" i="19"/>
  <c r="S223" i="19"/>
  <c r="T223" i="19"/>
  <c r="U223" i="19"/>
  <c r="V223" i="19"/>
  <c r="W223" i="19"/>
  <c r="X223" i="19"/>
  <c r="S224" i="19"/>
  <c r="T224" i="19"/>
  <c r="U224" i="19"/>
  <c r="V224" i="19"/>
  <c r="W224" i="19"/>
  <c r="X224" i="19"/>
  <c r="S225" i="19"/>
  <c r="T225" i="19"/>
  <c r="U225" i="19"/>
  <c r="V225" i="19"/>
  <c r="W225" i="19"/>
  <c r="X225" i="19"/>
  <c r="S226" i="19"/>
  <c r="T226" i="19"/>
  <c r="U226" i="19"/>
  <c r="V226" i="19"/>
  <c r="W226" i="19"/>
  <c r="X226" i="19"/>
  <c r="S227" i="19"/>
  <c r="T227" i="19"/>
  <c r="U227" i="19"/>
  <c r="V227" i="19"/>
  <c r="W227" i="19"/>
  <c r="X227" i="19"/>
  <c r="S228" i="19"/>
  <c r="T228" i="19"/>
  <c r="U228" i="19"/>
  <c r="V228" i="19"/>
  <c r="W228" i="19"/>
  <c r="X228" i="19"/>
  <c r="S229" i="19"/>
  <c r="T229" i="19"/>
  <c r="U229" i="19"/>
  <c r="V229" i="19"/>
  <c r="W229" i="19"/>
  <c r="X229" i="19"/>
  <c r="S230" i="19"/>
  <c r="T230" i="19"/>
  <c r="U230" i="19"/>
  <c r="V230" i="19"/>
  <c r="W230" i="19"/>
  <c r="X230" i="19"/>
  <c r="S231" i="19"/>
  <c r="T231" i="19"/>
  <c r="U231" i="19"/>
  <c r="V231" i="19"/>
  <c r="W231" i="19"/>
  <c r="X231" i="19"/>
  <c r="S232" i="19"/>
  <c r="T232" i="19"/>
  <c r="U232" i="19"/>
  <c r="V232" i="19"/>
  <c r="W232" i="19"/>
  <c r="X232" i="19"/>
  <c r="S233" i="19"/>
  <c r="T233" i="19"/>
  <c r="U233" i="19"/>
  <c r="V233" i="19"/>
  <c r="W233" i="19"/>
  <c r="X233" i="19"/>
  <c r="S234" i="19"/>
  <c r="T234" i="19"/>
  <c r="U234" i="19"/>
  <c r="V234" i="19"/>
  <c r="W234" i="19"/>
  <c r="X234" i="19"/>
  <c r="S235" i="19"/>
  <c r="T235" i="19"/>
  <c r="U235" i="19"/>
  <c r="V235" i="19"/>
  <c r="W235" i="19"/>
  <c r="X235" i="19"/>
  <c r="S236" i="19"/>
  <c r="T236" i="19"/>
  <c r="U236" i="19"/>
  <c r="V236" i="19"/>
  <c r="W236" i="19"/>
  <c r="X236" i="19"/>
  <c r="S237" i="19"/>
  <c r="T237" i="19"/>
  <c r="U237" i="19"/>
  <c r="V237" i="19"/>
  <c r="W237" i="19"/>
  <c r="X237" i="19"/>
  <c r="S238" i="19"/>
  <c r="T238" i="19"/>
  <c r="U238" i="19"/>
  <c r="V238" i="19"/>
  <c r="W238" i="19"/>
  <c r="X238" i="19"/>
  <c r="S239" i="19"/>
  <c r="T239" i="19"/>
  <c r="U239" i="19"/>
  <c r="V239" i="19"/>
  <c r="W239" i="19"/>
  <c r="X239" i="19"/>
  <c r="S240" i="19"/>
  <c r="T240" i="19"/>
  <c r="U240" i="19"/>
  <c r="V240" i="19"/>
  <c r="W240" i="19"/>
  <c r="X240" i="19"/>
  <c r="S241" i="19"/>
  <c r="T241" i="19"/>
  <c r="U241" i="19"/>
  <c r="V241" i="19"/>
  <c r="W241" i="19"/>
  <c r="X241" i="19"/>
  <c r="S242" i="19"/>
  <c r="T242" i="19"/>
  <c r="U242" i="19"/>
  <c r="V242" i="19"/>
  <c r="W242" i="19"/>
  <c r="X242" i="19"/>
  <c r="S243" i="19"/>
  <c r="T243" i="19"/>
  <c r="U243" i="19"/>
  <c r="V243" i="19"/>
  <c r="W243" i="19"/>
  <c r="X243" i="19"/>
  <c r="S244" i="19"/>
  <c r="T244" i="19"/>
  <c r="U244" i="19"/>
  <c r="V244" i="19"/>
  <c r="W244" i="19"/>
  <c r="X244" i="19"/>
  <c r="S245" i="19"/>
  <c r="T245" i="19"/>
  <c r="U245" i="19"/>
  <c r="V245" i="19"/>
  <c r="W245" i="19"/>
  <c r="X245" i="19"/>
  <c r="S246" i="19"/>
  <c r="T246" i="19"/>
  <c r="U246" i="19"/>
  <c r="V246" i="19"/>
  <c r="W246" i="19"/>
  <c r="X246" i="19"/>
  <c r="S247" i="19"/>
  <c r="T247" i="19"/>
  <c r="U247" i="19"/>
  <c r="V247" i="19"/>
  <c r="W247" i="19"/>
  <c r="X247" i="19"/>
  <c r="S248" i="19"/>
  <c r="T248" i="19"/>
  <c r="U248" i="19"/>
  <c r="V248" i="19"/>
  <c r="W248" i="19"/>
  <c r="X248" i="19"/>
  <c r="S249" i="19"/>
  <c r="T249" i="19"/>
  <c r="U249" i="19"/>
  <c r="V249" i="19"/>
  <c r="W249" i="19"/>
  <c r="X249" i="19"/>
  <c r="S250" i="19"/>
  <c r="T250" i="19"/>
  <c r="U250" i="19"/>
  <c r="V250" i="19"/>
  <c r="W250" i="19"/>
  <c r="X250" i="19"/>
  <c r="S251" i="19"/>
  <c r="T251" i="19"/>
  <c r="U251" i="19"/>
  <c r="V251" i="19"/>
  <c r="W251" i="19"/>
  <c r="X251" i="19"/>
  <c r="S252" i="19"/>
  <c r="T252" i="19"/>
  <c r="U252" i="19"/>
  <c r="V252" i="19"/>
  <c r="W252" i="19"/>
  <c r="X252" i="19"/>
  <c r="S253" i="19"/>
  <c r="T253" i="19"/>
  <c r="U253" i="19"/>
  <c r="V253" i="19"/>
  <c r="W253" i="19"/>
  <c r="X253" i="19"/>
  <c r="S254" i="19"/>
  <c r="T254" i="19"/>
  <c r="U254" i="19"/>
  <c r="V254" i="19"/>
  <c r="W254" i="19"/>
  <c r="X254" i="19"/>
  <c r="S255" i="19"/>
  <c r="T255" i="19"/>
  <c r="U255" i="19"/>
  <c r="V255" i="19"/>
  <c r="W255" i="19"/>
  <c r="X255" i="19"/>
  <c r="S256" i="19"/>
  <c r="T256" i="19"/>
  <c r="U256" i="19"/>
  <c r="V256" i="19"/>
  <c r="W256" i="19"/>
  <c r="X256" i="19"/>
  <c r="S257" i="19"/>
  <c r="T257" i="19"/>
  <c r="U257" i="19"/>
  <c r="V257" i="19"/>
  <c r="W257" i="19"/>
  <c r="X257" i="19"/>
  <c r="S258" i="19"/>
  <c r="T258" i="19"/>
  <c r="U258" i="19"/>
  <c r="V258" i="19"/>
  <c r="W258" i="19"/>
  <c r="X258" i="19"/>
  <c r="S259" i="19"/>
  <c r="T259" i="19"/>
  <c r="U259" i="19"/>
  <c r="V259" i="19"/>
  <c r="W259" i="19"/>
  <c r="X259" i="19"/>
  <c r="S260" i="19"/>
  <c r="T260" i="19"/>
  <c r="U260" i="19"/>
  <c r="V260" i="19"/>
  <c r="W260" i="19"/>
  <c r="X260" i="19"/>
  <c r="S261" i="19"/>
  <c r="T261" i="19"/>
  <c r="U261" i="19"/>
  <c r="V261" i="19"/>
  <c r="W261" i="19"/>
  <c r="X261" i="19"/>
  <c r="S262" i="19"/>
  <c r="T262" i="19"/>
  <c r="U262" i="19"/>
  <c r="V262" i="19"/>
  <c r="W262" i="19"/>
  <c r="X262" i="19"/>
  <c r="S263" i="19"/>
  <c r="T263" i="19"/>
  <c r="U263" i="19"/>
  <c r="V263" i="19"/>
  <c r="W263" i="19"/>
  <c r="X263" i="19"/>
  <c r="S264" i="19"/>
  <c r="T264" i="19"/>
  <c r="U264" i="19"/>
  <c r="V264" i="19"/>
  <c r="W264" i="19"/>
  <c r="X264" i="19"/>
  <c r="S265" i="19"/>
  <c r="T265" i="19"/>
  <c r="U265" i="19"/>
  <c r="V265" i="19"/>
  <c r="W265" i="19"/>
  <c r="X265" i="19"/>
  <c r="S266" i="19"/>
  <c r="T266" i="19"/>
  <c r="U266" i="19"/>
  <c r="V266" i="19"/>
  <c r="W266" i="19"/>
  <c r="X266" i="19"/>
  <c r="S267" i="19"/>
  <c r="T267" i="19"/>
  <c r="U267" i="19"/>
  <c r="V267" i="19"/>
  <c r="W267" i="19"/>
  <c r="X267" i="19"/>
  <c r="S268" i="19"/>
  <c r="T268" i="19"/>
  <c r="U268" i="19"/>
  <c r="V268" i="19"/>
  <c r="W268" i="19"/>
  <c r="X268" i="19"/>
  <c r="S269" i="19"/>
  <c r="T269" i="19"/>
  <c r="U269" i="19"/>
  <c r="V269" i="19"/>
  <c r="W269" i="19"/>
  <c r="X269" i="19"/>
  <c r="S270" i="19"/>
  <c r="T270" i="19"/>
  <c r="U270" i="19"/>
  <c r="V270" i="19"/>
  <c r="W270" i="19"/>
  <c r="X270" i="19"/>
  <c r="S271" i="19"/>
  <c r="T271" i="19"/>
  <c r="U271" i="19"/>
  <c r="V271" i="19"/>
  <c r="W271" i="19"/>
  <c r="X271" i="19"/>
  <c r="S272" i="19"/>
  <c r="T272" i="19"/>
  <c r="U272" i="19"/>
  <c r="V272" i="19"/>
  <c r="W272" i="19"/>
  <c r="X272" i="19"/>
  <c r="S273" i="19"/>
  <c r="T273" i="19"/>
  <c r="U273" i="19"/>
  <c r="V273" i="19"/>
  <c r="W273" i="19"/>
  <c r="X273" i="19"/>
  <c r="S274" i="19"/>
  <c r="T274" i="19"/>
  <c r="U274" i="19"/>
  <c r="V274" i="19"/>
  <c r="W274" i="19"/>
  <c r="X274" i="19"/>
  <c r="S275" i="19"/>
  <c r="T275" i="19"/>
  <c r="U275" i="19"/>
  <c r="V275" i="19"/>
  <c r="W275" i="19"/>
  <c r="X275" i="19"/>
  <c r="S276" i="19"/>
  <c r="T276" i="19"/>
  <c r="U276" i="19"/>
  <c r="V276" i="19"/>
  <c r="W276" i="19"/>
  <c r="X276" i="19"/>
  <c r="S277" i="19"/>
  <c r="T277" i="19"/>
  <c r="U277" i="19"/>
  <c r="V277" i="19"/>
  <c r="W277" i="19"/>
  <c r="X277" i="19"/>
  <c r="S278" i="19"/>
  <c r="T278" i="19"/>
  <c r="U278" i="19"/>
  <c r="V278" i="19"/>
  <c r="W278" i="19"/>
  <c r="X278" i="19"/>
  <c r="S279" i="19"/>
  <c r="T279" i="19"/>
  <c r="U279" i="19"/>
  <c r="V279" i="19"/>
  <c r="W279" i="19"/>
  <c r="X279" i="19"/>
  <c r="S280" i="19"/>
  <c r="T280" i="19"/>
  <c r="U280" i="19"/>
  <c r="V280" i="19"/>
  <c r="W280" i="19"/>
  <c r="X280" i="19"/>
  <c r="S281" i="19"/>
  <c r="T281" i="19"/>
  <c r="U281" i="19"/>
  <c r="V281" i="19"/>
  <c r="W281" i="19"/>
  <c r="X281" i="19"/>
  <c r="S282" i="19"/>
  <c r="T282" i="19"/>
  <c r="U282" i="19"/>
  <c r="V282" i="19"/>
  <c r="W282" i="19"/>
  <c r="X282" i="19"/>
  <c r="S283" i="19"/>
  <c r="T283" i="19"/>
  <c r="U283" i="19"/>
  <c r="V283" i="19"/>
  <c r="W283" i="19"/>
  <c r="X283" i="19"/>
  <c r="S284" i="19"/>
  <c r="T284" i="19"/>
  <c r="U284" i="19"/>
  <c r="V284" i="19"/>
  <c r="W284" i="19"/>
  <c r="X284" i="19"/>
  <c r="S285" i="19"/>
  <c r="T285" i="19"/>
  <c r="U285" i="19"/>
  <c r="V285" i="19"/>
  <c r="W285" i="19"/>
  <c r="X285" i="19"/>
  <c r="S286" i="19"/>
  <c r="T286" i="19"/>
  <c r="U286" i="19"/>
  <c r="V286" i="19"/>
  <c r="W286" i="19"/>
  <c r="X286" i="19"/>
  <c r="S287" i="19"/>
  <c r="T287" i="19"/>
  <c r="U287" i="19"/>
  <c r="V287" i="19"/>
  <c r="W287" i="19"/>
  <c r="X287" i="19"/>
  <c r="S288" i="19"/>
  <c r="T288" i="19"/>
  <c r="U288" i="19"/>
  <c r="V288" i="19"/>
  <c r="W288" i="19"/>
  <c r="X288" i="19"/>
  <c r="S289" i="19"/>
  <c r="T289" i="19"/>
  <c r="U289" i="19"/>
  <c r="V289" i="19"/>
  <c r="W289" i="19"/>
  <c r="X289" i="19"/>
  <c r="S290" i="19"/>
  <c r="T290" i="19"/>
  <c r="U290" i="19"/>
  <c r="V290" i="19"/>
  <c r="W290" i="19"/>
  <c r="X290" i="19"/>
  <c r="S291" i="19"/>
  <c r="T291" i="19"/>
  <c r="U291" i="19"/>
  <c r="V291" i="19"/>
  <c r="W291" i="19"/>
  <c r="X291" i="19"/>
  <c r="S292" i="19"/>
  <c r="T292" i="19"/>
  <c r="U292" i="19"/>
  <c r="V292" i="19"/>
  <c r="W292" i="19"/>
  <c r="X292" i="19"/>
  <c r="S293" i="19"/>
  <c r="T293" i="19"/>
  <c r="U293" i="19"/>
  <c r="V293" i="19"/>
  <c r="W293" i="19"/>
  <c r="X293" i="19"/>
  <c r="S294" i="19"/>
  <c r="T294" i="19"/>
  <c r="U294" i="19"/>
  <c r="V294" i="19"/>
  <c r="W294" i="19"/>
  <c r="X294" i="19"/>
  <c r="S295" i="19"/>
  <c r="T295" i="19"/>
  <c r="U295" i="19"/>
  <c r="V295" i="19"/>
  <c r="W295" i="19"/>
  <c r="X295" i="19"/>
  <c r="S296" i="19"/>
  <c r="T296" i="19"/>
  <c r="U296" i="19"/>
  <c r="V296" i="19"/>
  <c r="W296" i="19"/>
  <c r="X296" i="19"/>
  <c r="S297" i="19"/>
  <c r="T297" i="19"/>
  <c r="U297" i="19"/>
  <c r="V297" i="19"/>
  <c r="W297" i="19"/>
  <c r="X297" i="19"/>
  <c r="S298" i="19"/>
  <c r="T298" i="19"/>
  <c r="U298" i="19"/>
  <c r="V298" i="19"/>
  <c r="W298" i="19"/>
  <c r="X298" i="19"/>
  <c r="S299" i="19"/>
  <c r="T299" i="19"/>
  <c r="U299" i="19"/>
  <c r="V299" i="19"/>
  <c r="W299" i="19"/>
  <c r="X299" i="19"/>
  <c r="S300" i="19"/>
  <c r="T300" i="19"/>
  <c r="U300" i="19"/>
  <c r="V300" i="19"/>
  <c r="W300" i="19"/>
  <c r="X300" i="19"/>
  <c r="S301" i="19"/>
  <c r="T301" i="19"/>
  <c r="U301" i="19"/>
  <c r="V301" i="19"/>
  <c r="W301" i="19"/>
  <c r="X301" i="19"/>
  <c r="S302" i="19"/>
  <c r="T302" i="19"/>
  <c r="U302" i="19"/>
  <c r="V302" i="19"/>
  <c r="W302" i="19"/>
  <c r="X302" i="19"/>
  <c r="S303" i="19"/>
  <c r="T303" i="19"/>
  <c r="U303" i="19"/>
  <c r="V303" i="19"/>
  <c r="W303" i="19"/>
  <c r="X303" i="19"/>
  <c r="S304" i="19"/>
  <c r="T304" i="19"/>
  <c r="U304" i="19"/>
  <c r="V304" i="19"/>
  <c r="W304" i="19"/>
  <c r="X304" i="19"/>
  <c r="S305" i="19"/>
  <c r="T305" i="19"/>
  <c r="U305" i="19"/>
  <c r="V305" i="19"/>
  <c r="W305" i="19"/>
  <c r="X305" i="19"/>
  <c r="S306" i="19"/>
  <c r="T306" i="19"/>
  <c r="U306" i="19"/>
  <c r="V306" i="19"/>
  <c r="W306" i="19"/>
  <c r="X306" i="19"/>
  <c r="S307" i="19"/>
  <c r="T307" i="19"/>
  <c r="U307" i="19"/>
  <c r="V307" i="19"/>
  <c r="W307" i="19"/>
  <c r="X307" i="19"/>
  <c r="S308" i="19"/>
  <c r="T308" i="19"/>
  <c r="U308" i="19"/>
  <c r="V308" i="19"/>
  <c r="W308" i="19"/>
  <c r="X308" i="19"/>
  <c r="S309" i="19"/>
  <c r="T309" i="19"/>
  <c r="U309" i="19"/>
  <c r="V309" i="19"/>
  <c r="W309" i="19"/>
  <c r="X309" i="19"/>
  <c r="S310" i="19"/>
  <c r="T310" i="19"/>
  <c r="U310" i="19"/>
  <c r="V310" i="19"/>
  <c r="W310" i="19"/>
  <c r="X310" i="19"/>
  <c r="S311" i="19"/>
  <c r="T311" i="19"/>
  <c r="U311" i="19"/>
  <c r="V311" i="19"/>
  <c r="W311" i="19"/>
  <c r="X311" i="19"/>
  <c r="S312" i="19"/>
  <c r="T312" i="19"/>
  <c r="U312" i="19"/>
  <c r="V312" i="19"/>
  <c r="W312" i="19"/>
  <c r="X312" i="19"/>
  <c r="S313" i="19"/>
  <c r="T313" i="19"/>
  <c r="U313" i="19"/>
  <c r="V313" i="19"/>
  <c r="W313" i="19"/>
  <c r="X313" i="19"/>
  <c r="S314" i="19"/>
  <c r="T314" i="19"/>
  <c r="U314" i="19"/>
  <c r="V314" i="19"/>
  <c r="W314" i="19"/>
  <c r="X314" i="19"/>
  <c r="S315" i="19"/>
  <c r="T315" i="19"/>
  <c r="U315" i="19"/>
  <c r="V315" i="19"/>
  <c r="W315" i="19"/>
  <c r="X315" i="19"/>
  <c r="S316" i="19"/>
  <c r="T316" i="19"/>
  <c r="U316" i="19"/>
  <c r="V316" i="19"/>
  <c r="W316" i="19"/>
  <c r="X316" i="19"/>
  <c r="S317" i="19"/>
  <c r="T317" i="19"/>
  <c r="U317" i="19"/>
  <c r="V317" i="19"/>
  <c r="W317" i="19"/>
  <c r="X317" i="19"/>
  <c r="S318" i="19"/>
  <c r="T318" i="19"/>
  <c r="U318" i="19"/>
  <c r="V318" i="19"/>
  <c r="W318" i="19"/>
  <c r="X318" i="19"/>
  <c r="S319" i="19"/>
  <c r="T319" i="19"/>
  <c r="U319" i="19"/>
  <c r="V319" i="19"/>
  <c r="W319" i="19"/>
  <c r="X319" i="19"/>
  <c r="S320" i="19"/>
  <c r="T320" i="19"/>
  <c r="U320" i="19"/>
  <c r="V320" i="19"/>
  <c r="W320" i="19"/>
  <c r="X320" i="19"/>
  <c r="S321" i="19"/>
  <c r="T321" i="19"/>
  <c r="U321" i="19"/>
  <c r="V321" i="19"/>
  <c r="W321" i="19"/>
  <c r="X321" i="19"/>
  <c r="S322" i="19"/>
  <c r="T322" i="19"/>
  <c r="U322" i="19"/>
  <c r="V322" i="19"/>
  <c r="W322" i="19"/>
  <c r="X322" i="19"/>
  <c r="S323" i="19"/>
  <c r="T323" i="19"/>
  <c r="U323" i="19"/>
  <c r="V323" i="19"/>
  <c r="W323" i="19"/>
  <c r="X323" i="19"/>
  <c r="S324" i="19"/>
  <c r="T324" i="19"/>
  <c r="U324" i="19"/>
  <c r="V324" i="19"/>
  <c r="W324" i="19"/>
  <c r="X324" i="19"/>
  <c r="S325" i="19"/>
  <c r="T325" i="19"/>
  <c r="U325" i="19"/>
  <c r="V325" i="19"/>
  <c r="W325" i="19"/>
  <c r="X325" i="19"/>
  <c r="S326" i="19"/>
  <c r="T326" i="19"/>
  <c r="U326" i="19"/>
  <c r="V326" i="19"/>
  <c r="W326" i="19"/>
  <c r="X326" i="19"/>
  <c r="S327" i="19"/>
  <c r="T327" i="19"/>
  <c r="U327" i="19"/>
  <c r="V327" i="19"/>
  <c r="W327" i="19"/>
  <c r="X327" i="19"/>
  <c r="S328" i="19"/>
  <c r="T328" i="19"/>
  <c r="U328" i="19"/>
  <c r="V328" i="19"/>
  <c r="W328" i="19"/>
  <c r="X328" i="19"/>
  <c r="S329" i="19"/>
  <c r="T329" i="19"/>
  <c r="U329" i="19"/>
  <c r="V329" i="19"/>
  <c r="W329" i="19"/>
  <c r="X329" i="19"/>
  <c r="S330" i="19"/>
  <c r="T330" i="19"/>
  <c r="U330" i="19"/>
  <c r="V330" i="19"/>
  <c r="W330" i="19"/>
  <c r="X330" i="19"/>
  <c r="S331" i="19"/>
  <c r="T331" i="19"/>
  <c r="U331" i="19"/>
  <c r="V331" i="19"/>
  <c r="W331" i="19"/>
  <c r="X331" i="19"/>
  <c r="S332" i="19"/>
  <c r="T332" i="19"/>
  <c r="U332" i="19"/>
  <c r="V332" i="19"/>
  <c r="W332" i="19"/>
  <c r="X332" i="19"/>
  <c r="S333" i="19"/>
  <c r="T333" i="19"/>
  <c r="U333" i="19"/>
  <c r="V333" i="19"/>
  <c r="W333" i="19"/>
  <c r="X333" i="19"/>
  <c r="S334" i="19"/>
  <c r="T334" i="19"/>
  <c r="U334" i="19"/>
  <c r="V334" i="19"/>
  <c r="W334" i="19"/>
  <c r="X334" i="19"/>
  <c r="S335" i="19"/>
  <c r="T335" i="19"/>
  <c r="U335" i="19"/>
  <c r="V335" i="19"/>
  <c r="W335" i="19"/>
  <c r="X335" i="19"/>
  <c r="S336" i="19"/>
  <c r="T336" i="19"/>
  <c r="U336" i="19"/>
  <c r="V336" i="19"/>
  <c r="W336" i="19"/>
  <c r="X336" i="19"/>
  <c r="S337" i="19"/>
  <c r="T337" i="19"/>
  <c r="U337" i="19"/>
  <c r="V337" i="19"/>
  <c r="W337" i="19"/>
  <c r="X337" i="19"/>
  <c r="S338" i="19"/>
  <c r="T338" i="19"/>
  <c r="U338" i="19"/>
  <c r="V338" i="19"/>
  <c r="W338" i="19"/>
  <c r="X338" i="19"/>
  <c r="S339" i="19"/>
  <c r="T339" i="19"/>
  <c r="U339" i="19"/>
  <c r="V339" i="19"/>
  <c r="W339" i="19"/>
  <c r="X339" i="19"/>
  <c r="S340" i="19"/>
  <c r="T340" i="19"/>
  <c r="U340" i="19"/>
  <c r="V340" i="19"/>
  <c r="W340" i="19"/>
  <c r="X340" i="19"/>
  <c r="S341" i="19"/>
  <c r="T341" i="19"/>
  <c r="U341" i="19"/>
  <c r="V341" i="19"/>
  <c r="W341" i="19"/>
  <c r="X341" i="19"/>
  <c r="S342" i="19"/>
  <c r="T342" i="19"/>
  <c r="U342" i="19"/>
  <c r="V342" i="19"/>
  <c r="W342" i="19"/>
  <c r="X342" i="19"/>
  <c r="S343" i="19"/>
  <c r="T343" i="19"/>
  <c r="U343" i="19"/>
  <c r="V343" i="19"/>
  <c r="W343" i="19"/>
  <c r="X343" i="19"/>
  <c r="S344" i="19"/>
  <c r="T344" i="19"/>
  <c r="U344" i="19"/>
  <c r="V344" i="19"/>
  <c r="W344" i="19"/>
  <c r="X344" i="19"/>
  <c r="S345" i="19"/>
  <c r="T345" i="19"/>
  <c r="U345" i="19"/>
  <c r="V345" i="19"/>
  <c r="W345" i="19"/>
  <c r="X345" i="19"/>
  <c r="S346" i="19"/>
  <c r="T346" i="19"/>
  <c r="U346" i="19"/>
  <c r="V346" i="19"/>
  <c r="W346" i="19"/>
  <c r="X346" i="19"/>
  <c r="S347" i="19"/>
  <c r="T347" i="19"/>
  <c r="U347" i="19"/>
  <c r="V347" i="19"/>
  <c r="W347" i="19"/>
  <c r="X347" i="19"/>
  <c r="S348" i="19"/>
  <c r="T348" i="19"/>
  <c r="U348" i="19"/>
  <c r="V348" i="19"/>
  <c r="W348" i="19"/>
  <c r="X348" i="19"/>
  <c r="S349" i="19"/>
  <c r="T349" i="19"/>
  <c r="U349" i="19"/>
  <c r="V349" i="19"/>
  <c r="W349" i="19"/>
  <c r="X349" i="19"/>
  <c r="S350" i="19"/>
  <c r="T350" i="19"/>
  <c r="U350" i="19"/>
  <c r="V350" i="19"/>
  <c r="W350" i="19"/>
  <c r="X350" i="19"/>
  <c r="S351" i="19"/>
  <c r="T351" i="19"/>
  <c r="U351" i="19"/>
  <c r="V351" i="19"/>
  <c r="W351" i="19"/>
  <c r="X351" i="19"/>
  <c r="S352" i="19"/>
  <c r="T352" i="19"/>
  <c r="U352" i="19"/>
  <c r="V352" i="19"/>
  <c r="W352" i="19"/>
  <c r="X352" i="19"/>
  <c r="S353" i="19"/>
  <c r="T353" i="19"/>
  <c r="U353" i="19"/>
  <c r="V353" i="19"/>
  <c r="W353" i="19"/>
  <c r="X353" i="19"/>
  <c r="S354" i="19"/>
  <c r="T354" i="19"/>
  <c r="U354" i="19"/>
  <c r="V354" i="19"/>
  <c r="W354" i="19"/>
  <c r="X354" i="19"/>
  <c r="S355" i="19"/>
  <c r="T355" i="19"/>
  <c r="U355" i="19"/>
  <c r="V355" i="19"/>
  <c r="W355" i="19"/>
  <c r="X355" i="19"/>
  <c r="S356" i="19"/>
  <c r="T356" i="19"/>
  <c r="U356" i="19"/>
  <c r="V356" i="19"/>
  <c r="W356" i="19"/>
  <c r="X356" i="19"/>
  <c r="S357" i="19"/>
  <c r="T357" i="19"/>
  <c r="U357" i="19"/>
  <c r="V357" i="19"/>
  <c r="W357" i="19"/>
  <c r="X357" i="19"/>
  <c r="S358" i="19"/>
  <c r="T358" i="19"/>
  <c r="U358" i="19"/>
  <c r="V358" i="19"/>
  <c r="W358" i="19"/>
  <c r="X358" i="19"/>
  <c r="S359" i="19"/>
  <c r="T359" i="19"/>
  <c r="U359" i="19"/>
  <c r="V359" i="19"/>
  <c r="W359" i="19"/>
  <c r="X359" i="19"/>
  <c r="S360" i="19"/>
  <c r="T360" i="19"/>
  <c r="U360" i="19"/>
  <c r="V360" i="19"/>
  <c r="W360" i="19"/>
  <c r="X360" i="19"/>
  <c r="S361" i="19"/>
  <c r="T361" i="19"/>
  <c r="U361" i="19"/>
  <c r="V361" i="19"/>
  <c r="W361" i="19"/>
  <c r="X361" i="19"/>
  <c r="S362" i="19"/>
  <c r="T362" i="19"/>
  <c r="U362" i="19"/>
  <c r="V362" i="19"/>
  <c r="W362" i="19"/>
  <c r="X362" i="19"/>
  <c r="S363" i="19"/>
  <c r="T363" i="19"/>
  <c r="U363" i="19"/>
  <c r="V363" i="19"/>
  <c r="W363" i="19"/>
  <c r="X363" i="19"/>
  <c r="S364" i="19"/>
  <c r="T364" i="19"/>
  <c r="U364" i="19"/>
  <c r="V364" i="19"/>
  <c r="W364" i="19"/>
  <c r="X364" i="19"/>
  <c r="S365" i="19"/>
  <c r="T365" i="19"/>
  <c r="U365" i="19"/>
  <c r="V365" i="19"/>
  <c r="W365" i="19"/>
  <c r="X365" i="19"/>
  <c r="S366" i="19"/>
  <c r="T366" i="19"/>
  <c r="U366" i="19"/>
  <c r="V366" i="19"/>
  <c r="W366" i="19"/>
  <c r="X366" i="19"/>
  <c r="S367" i="19"/>
  <c r="T367" i="19"/>
  <c r="U367" i="19"/>
  <c r="V367" i="19"/>
  <c r="W367" i="19"/>
  <c r="X367" i="19"/>
  <c r="S368" i="19"/>
  <c r="T368" i="19"/>
  <c r="U368" i="19"/>
  <c r="V368" i="19"/>
  <c r="W368" i="19"/>
  <c r="X368" i="19"/>
  <c r="S369" i="19"/>
  <c r="T369" i="19"/>
  <c r="U369" i="19"/>
  <c r="V369" i="19"/>
  <c r="W369" i="19"/>
  <c r="X369" i="19"/>
  <c r="S370" i="19"/>
  <c r="T370" i="19"/>
  <c r="U370" i="19"/>
  <c r="V370" i="19"/>
  <c r="W370" i="19"/>
  <c r="X370" i="19"/>
  <c r="S371" i="19"/>
  <c r="T371" i="19"/>
  <c r="U371" i="19"/>
  <c r="V371" i="19"/>
  <c r="W371" i="19"/>
  <c r="X371" i="19"/>
  <c r="S372" i="19"/>
  <c r="T372" i="19"/>
  <c r="U372" i="19"/>
  <c r="V372" i="19"/>
  <c r="W372" i="19"/>
  <c r="X372" i="19"/>
  <c r="S373" i="19"/>
  <c r="T373" i="19"/>
  <c r="U373" i="19"/>
  <c r="V373" i="19"/>
  <c r="W373" i="19"/>
  <c r="X373" i="19"/>
  <c r="S374" i="19"/>
  <c r="T374" i="19"/>
  <c r="U374" i="19"/>
  <c r="V374" i="19"/>
  <c r="W374" i="19"/>
  <c r="X374" i="19"/>
  <c r="S375" i="19"/>
  <c r="T375" i="19"/>
  <c r="U375" i="19"/>
  <c r="V375" i="19"/>
  <c r="W375" i="19"/>
  <c r="X375" i="19"/>
  <c r="S376" i="19"/>
  <c r="T376" i="19"/>
  <c r="U376" i="19"/>
  <c r="V376" i="19"/>
  <c r="W376" i="19"/>
  <c r="X376" i="19"/>
  <c r="S377" i="19"/>
  <c r="T377" i="19"/>
  <c r="U377" i="19"/>
  <c r="V377" i="19"/>
  <c r="W377" i="19"/>
  <c r="X377" i="19"/>
  <c r="S378" i="19"/>
  <c r="T378" i="19"/>
  <c r="U378" i="19"/>
  <c r="V378" i="19"/>
  <c r="W378" i="19"/>
  <c r="X378" i="19"/>
  <c r="S379" i="19"/>
  <c r="T379" i="19"/>
  <c r="U379" i="19"/>
  <c r="V379" i="19"/>
  <c r="W379" i="19"/>
  <c r="X379" i="19"/>
  <c r="S380" i="19"/>
  <c r="T380" i="19"/>
  <c r="U380" i="19"/>
  <c r="V380" i="19"/>
  <c r="W380" i="19"/>
  <c r="X380" i="19"/>
  <c r="S381" i="19"/>
  <c r="T381" i="19"/>
  <c r="U381" i="19"/>
  <c r="V381" i="19"/>
  <c r="W381" i="19"/>
  <c r="X381" i="19"/>
  <c r="S382" i="19"/>
  <c r="T382" i="19"/>
  <c r="U382" i="19"/>
  <c r="V382" i="19"/>
  <c r="W382" i="19"/>
  <c r="X382" i="19"/>
  <c r="S383" i="19"/>
  <c r="T383" i="19"/>
  <c r="U383" i="19"/>
  <c r="V383" i="19"/>
  <c r="W383" i="19"/>
  <c r="X383" i="19"/>
  <c r="S384" i="19"/>
  <c r="T384" i="19"/>
  <c r="U384" i="19"/>
  <c r="V384" i="19"/>
  <c r="W384" i="19"/>
  <c r="X384" i="19"/>
  <c r="S385" i="19"/>
  <c r="T385" i="19"/>
  <c r="U385" i="19"/>
  <c r="V385" i="19"/>
  <c r="W385" i="19"/>
  <c r="X385" i="19"/>
  <c r="S386" i="19"/>
  <c r="T386" i="19"/>
  <c r="U386" i="19"/>
  <c r="V386" i="19"/>
  <c r="W386" i="19"/>
  <c r="X386" i="19"/>
  <c r="S387" i="19"/>
  <c r="T387" i="19"/>
  <c r="U387" i="19"/>
  <c r="V387" i="19"/>
  <c r="W387" i="19"/>
  <c r="X387" i="19"/>
  <c r="S388" i="19"/>
  <c r="T388" i="19"/>
  <c r="U388" i="19"/>
  <c r="V388" i="19"/>
  <c r="W388" i="19"/>
  <c r="X388" i="19"/>
  <c r="S389" i="19"/>
  <c r="T389" i="19"/>
  <c r="U389" i="19"/>
  <c r="V389" i="19"/>
  <c r="W389" i="19"/>
  <c r="X389" i="19"/>
  <c r="S390" i="19"/>
  <c r="T390" i="19"/>
  <c r="U390" i="19"/>
  <c r="V390" i="19"/>
  <c r="W390" i="19"/>
  <c r="X390" i="19"/>
  <c r="S391" i="19"/>
  <c r="T391" i="19"/>
  <c r="U391" i="19"/>
  <c r="V391" i="19"/>
  <c r="W391" i="19"/>
  <c r="X391" i="19"/>
  <c r="S392" i="19"/>
  <c r="T392" i="19"/>
  <c r="U392" i="19"/>
  <c r="V392" i="19"/>
  <c r="W392" i="19"/>
  <c r="X392" i="19"/>
  <c r="S393" i="19"/>
  <c r="T393" i="19"/>
  <c r="U393" i="19"/>
  <c r="V393" i="19"/>
  <c r="W393" i="19"/>
  <c r="X393" i="19"/>
  <c r="S394" i="19"/>
  <c r="T394" i="19"/>
  <c r="U394" i="19"/>
  <c r="V394" i="19"/>
  <c r="W394" i="19"/>
  <c r="X394" i="19"/>
  <c r="S395" i="19"/>
  <c r="T395" i="19"/>
  <c r="U395" i="19"/>
  <c r="V395" i="19"/>
  <c r="W395" i="19"/>
  <c r="X395" i="19"/>
  <c r="S396" i="19"/>
  <c r="T396" i="19"/>
  <c r="U396" i="19"/>
  <c r="V396" i="19"/>
  <c r="W396" i="19"/>
  <c r="X396" i="19"/>
  <c r="S397" i="19"/>
  <c r="T397" i="19"/>
  <c r="U397" i="19"/>
  <c r="V397" i="19"/>
  <c r="W397" i="19"/>
  <c r="X397" i="19"/>
  <c r="S398" i="19"/>
  <c r="T398" i="19"/>
  <c r="U398" i="19"/>
  <c r="V398" i="19"/>
  <c r="W398" i="19"/>
  <c r="X398" i="19"/>
  <c r="S399" i="19"/>
  <c r="T399" i="19"/>
  <c r="U399" i="19"/>
  <c r="V399" i="19"/>
  <c r="W399" i="19"/>
  <c r="X399" i="19"/>
  <c r="S400" i="19"/>
  <c r="T400" i="19"/>
  <c r="U400" i="19"/>
  <c r="V400" i="19"/>
  <c r="W400" i="19"/>
  <c r="X400" i="19"/>
  <c r="S401" i="19"/>
  <c r="T401" i="19"/>
  <c r="U401" i="19"/>
  <c r="V401" i="19"/>
  <c r="W401" i="19"/>
  <c r="X401" i="19"/>
  <c r="S402" i="19"/>
  <c r="T402" i="19"/>
  <c r="U402" i="19"/>
  <c r="V402" i="19"/>
  <c r="W402" i="19"/>
  <c r="X402" i="19"/>
  <c r="S403" i="19"/>
  <c r="T403" i="19"/>
  <c r="U403" i="19"/>
  <c r="V403" i="19"/>
  <c r="W403" i="19"/>
  <c r="X403" i="19"/>
  <c r="S404" i="19"/>
  <c r="T404" i="19"/>
  <c r="U404" i="19"/>
  <c r="V404" i="19"/>
  <c r="W404" i="19"/>
  <c r="X404" i="19"/>
  <c r="S405" i="19"/>
  <c r="T405" i="19"/>
  <c r="U405" i="19"/>
  <c r="V405" i="19"/>
  <c r="W405" i="19"/>
  <c r="X405" i="19"/>
  <c r="S406" i="19"/>
  <c r="T406" i="19"/>
  <c r="U406" i="19"/>
  <c r="V406" i="19"/>
  <c r="W406" i="19"/>
  <c r="X406" i="19"/>
  <c r="S407" i="19"/>
  <c r="T407" i="19"/>
  <c r="U407" i="19"/>
  <c r="V407" i="19"/>
  <c r="W407" i="19"/>
  <c r="X407" i="19"/>
  <c r="S408" i="19"/>
  <c r="T408" i="19"/>
  <c r="U408" i="19"/>
  <c r="V408" i="19"/>
  <c r="W408" i="19"/>
  <c r="X408" i="19"/>
  <c r="S409" i="19"/>
  <c r="T409" i="19"/>
  <c r="U409" i="19"/>
  <c r="V409" i="19"/>
  <c r="W409" i="19"/>
  <c r="X409" i="19"/>
  <c r="S410" i="19"/>
  <c r="T410" i="19"/>
  <c r="U410" i="19"/>
  <c r="V410" i="19"/>
  <c r="W410" i="19"/>
  <c r="X410" i="19"/>
  <c r="S411" i="19"/>
  <c r="T411" i="19"/>
  <c r="U411" i="19"/>
  <c r="V411" i="19"/>
  <c r="W411" i="19"/>
  <c r="X411" i="19"/>
  <c r="S412" i="19"/>
  <c r="T412" i="19"/>
  <c r="U412" i="19"/>
  <c r="V412" i="19"/>
  <c r="W412" i="19"/>
  <c r="X412" i="19"/>
  <c r="S413" i="19"/>
  <c r="T413" i="19"/>
  <c r="U413" i="19"/>
  <c r="V413" i="19"/>
  <c r="W413" i="19"/>
  <c r="X413" i="19"/>
  <c r="S414" i="19"/>
  <c r="T414" i="19"/>
  <c r="U414" i="19"/>
  <c r="V414" i="19"/>
  <c r="W414" i="19"/>
  <c r="X414" i="19"/>
  <c r="S415" i="19"/>
  <c r="T415" i="19"/>
  <c r="U415" i="19"/>
  <c r="V415" i="19"/>
  <c r="W415" i="19"/>
  <c r="X415" i="19"/>
  <c r="S416" i="19"/>
  <c r="T416" i="19"/>
  <c r="U416" i="19"/>
  <c r="V416" i="19"/>
  <c r="W416" i="19"/>
  <c r="X416" i="19"/>
  <c r="S417" i="19"/>
  <c r="T417" i="19"/>
  <c r="U417" i="19"/>
  <c r="V417" i="19"/>
  <c r="W417" i="19"/>
  <c r="X417" i="19"/>
  <c r="S418" i="19"/>
  <c r="T418" i="19"/>
  <c r="U418" i="19"/>
  <c r="V418" i="19"/>
  <c r="W418" i="19"/>
  <c r="X418" i="19"/>
  <c r="S419" i="19"/>
  <c r="T419" i="19"/>
  <c r="U419" i="19"/>
  <c r="V419" i="19"/>
  <c r="W419" i="19"/>
  <c r="X419" i="19"/>
  <c r="S420" i="19"/>
  <c r="T420" i="19"/>
  <c r="U420" i="19"/>
  <c r="V420" i="19"/>
  <c r="W420" i="19"/>
  <c r="X420" i="19"/>
  <c r="S421" i="19"/>
  <c r="T421" i="19"/>
  <c r="U421" i="19"/>
  <c r="V421" i="19"/>
  <c r="W421" i="19"/>
  <c r="X421" i="19"/>
  <c r="S422" i="19"/>
  <c r="T422" i="19"/>
  <c r="U422" i="19"/>
  <c r="V422" i="19"/>
  <c r="W422" i="19"/>
  <c r="X422" i="19"/>
  <c r="S423" i="19"/>
  <c r="T423" i="19"/>
  <c r="U423" i="19"/>
  <c r="V423" i="19"/>
  <c r="W423" i="19"/>
  <c r="X423" i="19"/>
  <c r="S424" i="19"/>
  <c r="T424" i="19"/>
  <c r="U424" i="19"/>
  <c r="V424" i="19"/>
  <c r="W424" i="19"/>
  <c r="X424" i="19"/>
  <c r="S425" i="19"/>
  <c r="T425" i="19"/>
  <c r="U425" i="19"/>
  <c r="V425" i="19"/>
  <c r="W425" i="19"/>
  <c r="X425" i="19"/>
  <c r="S426" i="19"/>
  <c r="T426" i="19"/>
  <c r="U426" i="19"/>
  <c r="V426" i="19"/>
  <c r="W426" i="19"/>
  <c r="X426" i="19"/>
  <c r="S427" i="19"/>
  <c r="T427" i="19"/>
  <c r="U427" i="19"/>
  <c r="V427" i="19"/>
  <c r="W427" i="19"/>
  <c r="X427" i="19"/>
  <c r="S428" i="19"/>
  <c r="T428" i="19"/>
  <c r="U428" i="19"/>
  <c r="V428" i="19"/>
  <c r="W428" i="19"/>
  <c r="X428" i="19"/>
  <c r="S429" i="19"/>
  <c r="T429" i="19"/>
  <c r="U429" i="19"/>
  <c r="V429" i="19"/>
  <c r="W429" i="19"/>
  <c r="X429" i="19"/>
  <c r="W6" i="19"/>
  <c r="V6" i="19"/>
  <c r="U6" i="19"/>
  <c r="T6" i="19"/>
  <c r="S6" i="19"/>
  <c r="R430" i="19"/>
  <c r="X6" i="19"/>
  <c r="P7" i="20"/>
  <c r="Q7" i="20"/>
  <c r="P8" i="20"/>
  <c r="Q8" i="20"/>
  <c r="P9" i="20"/>
  <c r="Q9" i="20"/>
  <c r="P10" i="20"/>
  <c r="Q10" i="20"/>
  <c r="P11" i="20"/>
  <c r="P12" i="20"/>
  <c r="Q12" i="20"/>
  <c r="P13" i="20"/>
  <c r="Q13" i="20"/>
  <c r="P14" i="20"/>
  <c r="Q14" i="20"/>
  <c r="R14" i="20"/>
  <c r="P15" i="20"/>
  <c r="Q15" i="20"/>
  <c r="P16" i="20"/>
  <c r="Q16" i="20"/>
  <c r="P17" i="20"/>
  <c r="Q17" i="20"/>
  <c r="R17" i="20"/>
  <c r="P18" i="20"/>
  <c r="Q18" i="20"/>
  <c r="R18" i="20"/>
  <c r="P19" i="20"/>
  <c r="Q19" i="20"/>
  <c r="R19" i="20"/>
  <c r="P20" i="20"/>
  <c r="Q20" i="20"/>
  <c r="R20" i="20"/>
  <c r="P21" i="20"/>
  <c r="Q21" i="20"/>
  <c r="R21" i="20"/>
  <c r="P22" i="20"/>
  <c r="Q22" i="20"/>
  <c r="R22" i="20"/>
  <c r="P23" i="20"/>
  <c r="Q23" i="20"/>
  <c r="R23" i="20"/>
  <c r="P24" i="20"/>
  <c r="Q24" i="20"/>
  <c r="R24" i="20"/>
  <c r="P25" i="20"/>
  <c r="Q25" i="20"/>
  <c r="R25" i="20"/>
  <c r="P26" i="20"/>
  <c r="Q26" i="20"/>
  <c r="R26" i="20"/>
  <c r="P27" i="20"/>
  <c r="Q27" i="20"/>
  <c r="R27" i="20"/>
  <c r="P28" i="20"/>
  <c r="Q28" i="20"/>
  <c r="R28" i="20"/>
  <c r="P29" i="20"/>
  <c r="Q29" i="20"/>
  <c r="R29" i="20"/>
  <c r="P30" i="20"/>
  <c r="Q30" i="20"/>
  <c r="R30" i="20"/>
  <c r="P31" i="20"/>
  <c r="Q31" i="20"/>
  <c r="R31" i="20"/>
  <c r="P32" i="20"/>
  <c r="Q32" i="20"/>
  <c r="R32" i="20"/>
  <c r="P33" i="20"/>
  <c r="Q33" i="20"/>
  <c r="R33" i="20"/>
  <c r="P34" i="20"/>
  <c r="Q34" i="20"/>
  <c r="R34" i="20"/>
  <c r="P35" i="20"/>
  <c r="Q35" i="20"/>
  <c r="R35" i="20"/>
  <c r="P36" i="20"/>
  <c r="Q36" i="20"/>
  <c r="R36" i="20"/>
  <c r="P37" i="20"/>
  <c r="Q37" i="20"/>
  <c r="R37" i="20"/>
  <c r="P38" i="20"/>
  <c r="Q38" i="20"/>
  <c r="R38" i="20"/>
  <c r="P39" i="20"/>
  <c r="Q39" i="20"/>
  <c r="R39" i="20"/>
  <c r="P40" i="20"/>
  <c r="Q40" i="20"/>
  <c r="R40" i="20"/>
  <c r="P41" i="20"/>
  <c r="Q41" i="20"/>
  <c r="R41" i="20"/>
  <c r="P42" i="20"/>
  <c r="Q42" i="20"/>
  <c r="R42" i="20"/>
  <c r="P43" i="20"/>
  <c r="Q43" i="20"/>
  <c r="R43" i="20"/>
  <c r="P44" i="20"/>
  <c r="Q44" i="20"/>
  <c r="R44" i="20"/>
  <c r="P45" i="20"/>
  <c r="Q45" i="20"/>
  <c r="R45" i="20"/>
  <c r="P46" i="20"/>
  <c r="Q46" i="20"/>
  <c r="R46" i="20"/>
  <c r="P47" i="20"/>
  <c r="Q47" i="20"/>
  <c r="R47" i="20"/>
  <c r="P48" i="20"/>
  <c r="Q48" i="20"/>
  <c r="R48" i="20"/>
  <c r="P49" i="20"/>
  <c r="Q49" i="20"/>
  <c r="R49" i="20"/>
  <c r="P50" i="20"/>
  <c r="Q50" i="20"/>
  <c r="R50" i="20"/>
  <c r="P51" i="20"/>
  <c r="Q51" i="20"/>
  <c r="R51" i="20"/>
  <c r="P52" i="20"/>
  <c r="Q52" i="20"/>
  <c r="R52" i="20"/>
  <c r="P53" i="20"/>
  <c r="Q53" i="20"/>
  <c r="R53" i="20"/>
  <c r="P54" i="20"/>
  <c r="Q54" i="20"/>
  <c r="R54" i="20"/>
  <c r="P55" i="20"/>
  <c r="Q55" i="20"/>
  <c r="R55" i="20"/>
  <c r="P56" i="20"/>
  <c r="Q56" i="20"/>
  <c r="R56" i="20"/>
  <c r="P57" i="20"/>
  <c r="Q57" i="20"/>
  <c r="R57" i="20"/>
  <c r="P58" i="20"/>
  <c r="Q58" i="20"/>
  <c r="R58" i="20"/>
  <c r="P59" i="20"/>
  <c r="Q59" i="20"/>
  <c r="R59" i="20"/>
  <c r="P60" i="20"/>
  <c r="Q60" i="20"/>
  <c r="R60" i="20"/>
  <c r="P61" i="20"/>
  <c r="Q61" i="20"/>
  <c r="R61" i="20"/>
  <c r="P62" i="20"/>
  <c r="Q62" i="20"/>
  <c r="R62" i="20"/>
  <c r="P63" i="20"/>
  <c r="Q63" i="20"/>
  <c r="R63" i="20"/>
  <c r="P64" i="20"/>
  <c r="Q64" i="20"/>
  <c r="R64" i="20"/>
  <c r="P65" i="20"/>
  <c r="Q65" i="20"/>
  <c r="R65" i="20"/>
  <c r="P66" i="20"/>
  <c r="Q66" i="20"/>
  <c r="R66" i="20"/>
  <c r="P67" i="20"/>
  <c r="Q67" i="20"/>
  <c r="R67" i="20"/>
  <c r="P68" i="20"/>
  <c r="Q68" i="20"/>
  <c r="R68" i="20"/>
  <c r="P69" i="20"/>
  <c r="Q69" i="20"/>
  <c r="R69" i="20"/>
  <c r="P70" i="20"/>
  <c r="Q70" i="20"/>
  <c r="R70" i="20"/>
  <c r="P71" i="20"/>
  <c r="Q71" i="20"/>
  <c r="R71" i="20"/>
  <c r="P72" i="20"/>
  <c r="Q72" i="20"/>
  <c r="R72" i="20"/>
  <c r="P73" i="20"/>
  <c r="Q73" i="20"/>
  <c r="R73" i="20"/>
  <c r="P74" i="20"/>
  <c r="Q74" i="20"/>
  <c r="R74" i="20"/>
  <c r="P75" i="20"/>
  <c r="Q75" i="20"/>
  <c r="R75" i="20"/>
  <c r="P76" i="20"/>
  <c r="Q76" i="20"/>
  <c r="R76" i="20"/>
  <c r="P77" i="20"/>
  <c r="Q77" i="20"/>
  <c r="R77" i="20"/>
  <c r="P78" i="20"/>
  <c r="Q78" i="20"/>
  <c r="R78" i="20"/>
  <c r="P79" i="20"/>
  <c r="Q79" i="20"/>
  <c r="R79" i="20"/>
  <c r="P80" i="20"/>
  <c r="Q80" i="20"/>
  <c r="R80" i="20"/>
  <c r="P81" i="20"/>
  <c r="Q81" i="20"/>
  <c r="R81" i="20"/>
  <c r="P82" i="20"/>
  <c r="Q82" i="20"/>
  <c r="R82" i="20"/>
  <c r="P83" i="20"/>
  <c r="Q83" i="20"/>
  <c r="R83" i="20"/>
  <c r="P84" i="20"/>
  <c r="Q84" i="20"/>
  <c r="R84" i="20"/>
  <c r="P85" i="20"/>
  <c r="Q85" i="20"/>
  <c r="R85" i="20"/>
  <c r="P86" i="20"/>
  <c r="Q86" i="20"/>
  <c r="R86" i="20"/>
  <c r="P87" i="20"/>
  <c r="Q87" i="20"/>
  <c r="R87" i="20"/>
  <c r="P88" i="20"/>
  <c r="Q88" i="20"/>
  <c r="R88" i="20"/>
  <c r="P89" i="20"/>
  <c r="Q89" i="20"/>
  <c r="R89" i="20"/>
  <c r="P90" i="20"/>
  <c r="Q90" i="20"/>
  <c r="R90" i="20"/>
  <c r="P91" i="20"/>
  <c r="Q91" i="20"/>
  <c r="R91" i="20"/>
  <c r="P92" i="20"/>
  <c r="Q92" i="20"/>
  <c r="R92" i="20"/>
  <c r="P93" i="20"/>
  <c r="Q93" i="20"/>
  <c r="R93" i="20"/>
  <c r="P94" i="20"/>
  <c r="Q94" i="20"/>
  <c r="R94" i="20"/>
  <c r="P95" i="20"/>
  <c r="Q95" i="20"/>
  <c r="R95" i="20"/>
  <c r="P96" i="20"/>
  <c r="Q96" i="20"/>
  <c r="R96" i="20"/>
  <c r="P97" i="20"/>
  <c r="Q97" i="20"/>
  <c r="R97" i="20"/>
  <c r="P98" i="20"/>
  <c r="Q98" i="20"/>
  <c r="R98" i="20"/>
  <c r="P99" i="20"/>
  <c r="Q99" i="20"/>
  <c r="R99" i="20"/>
  <c r="P100" i="20"/>
  <c r="Q100" i="20"/>
  <c r="R100" i="20"/>
  <c r="P101" i="20"/>
  <c r="Q101" i="20"/>
  <c r="R101" i="20"/>
  <c r="P102" i="20"/>
  <c r="Q102" i="20"/>
  <c r="R102" i="20"/>
  <c r="P103" i="20"/>
  <c r="Q103" i="20"/>
  <c r="R103" i="20"/>
  <c r="P104" i="20"/>
  <c r="Q104" i="20"/>
  <c r="R104" i="20"/>
  <c r="P105" i="20"/>
  <c r="Q105" i="20"/>
  <c r="R105" i="20"/>
  <c r="P106" i="20"/>
  <c r="Q106" i="20"/>
  <c r="R106" i="20"/>
  <c r="P107" i="20"/>
  <c r="Q107" i="20"/>
  <c r="R107" i="20"/>
  <c r="P108" i="20"/>
  <c r="Q108" i="20"/>
  <c r="R108" i="20"/>
  <c r="P109" i="20"/>
  <c r="Q109" i="20"/>
  <c r="R109" i="20"/>
  <c r="P110" i="20"/>
  <c r="Q110" i="20"/>
  <c r="R110" i="20"/>
  <c r="P111" i="20"/>
  <c r="Q111" i="20"/>
  <c r="R111" i="20"/>
  <c r="P112" i="20"/>
  <c r="Q112" i="20"/>
  <c r="R112" i="20"/>
  <c r="P113" i="20"/>
  <c r="Q113" i="20"/>
  <c r="R113" i="20"/>
  <c r="P114" i="20"/>
  <c r="Q114" i="20"/>
  <c r="R114" i="20"/>
  <c r="P115" i="20"/>
  <c r="Q115" i="20"/>
  <c r="R115" i="20"/>
  <c r="P116" i="20"/>
  <c r="Q116" i="20"/>
  <c r="R116" i="20"/>
  <c r="P117" i="20"/>
  <c r="Q117" i="20"/>
  <c r="R117" i="20"/>
  <c r="P118" i="20"/>
  <c r="Q118" i="20"/>
  <c r="R118" i="20"/>
  <c r="P119" i="20"/>
  <c r="Q119" i="20"/>
  <c r="R119" i="20"/>
  <c r="P120" i="20"/>
  <c r="Q120" i="20"/>
  <c r="R120" i="20"/>
  <c r="P121" i="20"/>
  <c r="Q121" i="20"/>
  <c r="R121" i="20"/>
  <c r="P122" i="20"/>
  <c r="Q122" i="20"/>
  <c r="R122" i="20"/>
  <c r="P123" i="20"/>
  <c r="Q123" i="20"/>
  <c r="R123" i="20"/>
  <c r="P124" i="20"/>
  <c r="Q124" i="20"/>
  <c r="R124" i="20"/>
  <c r="P125" i="20"/>
  <c r="Q125" i="20"/>
  <c r="R125" i="20"/>
  <c r="P126" i="20"/>
  <c r="Q126" i="20"/>
  <c r="R126" i="20"/>
  <c r="P127" i="20"/>
  <c r="Q127" i="20"/>
  <c r="R127" i="20"/>
  <c r="P128" i="20"/>
  <c r="Q128" i="20"/>
  <c r="R128" i="20"/>
  <c r="P129" i="20"/>
  <c r="Q129" i="20"/>
  <c r="R129" i="20"/>
  <c r="P130" i="20"/>
  <c r="Q130" i="20"/>
  <c r="R130" i="20"/>
  <c r="P131" i="20"/>
  <c r="Q131" i="20"/>
  <c r="R131" i="20"/>
  <c r="P132" i="20"/>
  <c r="Q132" i="20"/>
  <c r="R132" i="20"/>
  <c r="P133" i="20"/>
  <c r="Q133" i="20"/>
  <c r="R133" i="20"/>
  <c r="P134" i="20"/>
  <c r="Q134" i="20"/>
  <c r="R134" i="20"/>
  <c r="P135" i="20"/>
  <c r="Q135" i="20"/>
  <c r="R135" i="20"/>
  <c r="P136" i="20"/>
  <c r="Q136" i="20"/>
  <c r="R136" i="20"/>
  <c r="P137" i="20"/>
  <c r="Q137" i="20"/>
  <c r="R137" i="20"/>
  <c r="P138" i="20"/>
  <c r="Q138" i="20"/>
  <c r="R138" i="20"/>
  <c r="P139" i="20"/>
  <c r="Q139" i="20"/>
  <c r="R139" i="20"/>
  <c r="P140" i="20"/>
  <c r="Q140" i="20"/>
  <c r="R140" i="20"/>
  <c r="P141" i="20"/>
  <c r="Q141" i="20"/>
  <c r="R141" i="20"/>
  <c r="P142" i="20"/>
  <c r="Q142" i="20"/>
  <c r="R142" i="20"/>
  <c r="P143" i="20"/>
  <c r="Q143" i="20"/>
  <c r="R143" i="20"/>
  <c r="P144" i="20"/>
  <c r="Q144" i="20"/>
  <c r="R144" i="20"/>
  <c r="P145" i="20"/>
  <c r="Q145" i="20"/>
  <c r="R145" i="20"/>
  <c r="P146" i="20"/>
  <c r="Q146" i="20"/>
  <c r="R146" i="20"/>
  <c r="P147" i="20"/>
  <c r="Q147" i="20"/>
  <c r="R147" i="20"/>
  <c r="P148" i="20"/>
  <c r="Q148" i="20"/>
  <c r="R148" i="20"/>
  <c r="P149" i="20"/>
  <c r="Q149" i="20"/>
  <c r="R149" i="20"/>
  <c r="P150" i="20"/>
  <c r="Q150" i="20"/>
  <c r="R150" i="20"/>
  <c r="P151" i="20"/>
  <c r="Q151" i="20"/>
  <c r="R151" i="20"/>
  <c r="P152" i="20"/>
  <c r="Q152" i="20"/>
  <c r="R152" i="20"/>
  <c r="P153" i="20"/>
  <c r="Q153" i="20"/>
  <c r="R153" i="20"/>
  <c r="P154" i="20"/>
  <c r="Q154" i="20"/>
  <c r="R154" i="20"/>
  <c r="P155" i="20"/>
  <c r="Q155" i="20"/>
  <c r="R155" i="20"/>
  <c r="P156" i="20"/>
  <c r="Q156" i="20"/>
  <c r="R156" i="20"/>
  <c r="P157" i="20"/>
  <c r="Q157" i="20"/>
  <c r="R157" i="20"/>
  <c r="P158" i="20"/>
  <c r="Q158" i="20"/>
  <c r="R158" i="20"/>
  <c r="P159" i="20"/>
  <c r="Q159" i="20"/>
  <c r="R159" i="20"/>
  <c r="P160" i="20"/>
  <c r="Q160" i="20"/>
  <c r="R160" i="20"/>
  <c r="P161" i="20"/>
  <c r="Q161" i="20"/>
  <c r="R161" i="20"/>
  <c r="P162" i="20"/>
  <c r="Q162" i="20"/>
  <c r="R162" i="20"/>
  <c r="P163" i="20"/>
  <c r="Q163" i="20"/>
  <c r="R163" i="20"/>
  <c r="P164" i="20"/>
  <c r="Q164" i="20"/>
  <c r="R164" i="20"/>
  <c r="P165" i="20"/>
  <c r="Q165" i="20"/>
  <c r="R165" i="20"/>
  <c r="P166" i="20"/>
  <c r="Q166" i="20"/>
  <c r="R166" i="20"/>
  <c r="P167" i="20"/>
  <c r="Q167" i="20"/>
  <c r="R167" i="20"/>
  <c r="P168" i="20"/>
  <c r="Q168" i="20"/>
  <c r="R168" i="20"/>
  <c r="P169" i="20"/>
  <c r="Q169" i="20"/>
  <c r="R169" i="20"/>
  <c r="P170" i="20"/>
  <c r="Q170" i="20"/>
  <c r="R170" i="20"/>
  <c r="P171" i="20"/>
  <c r="Q171" i="20"/>
  <c r="R171" i="20"/>
  <c r="P172" i="20"/>
  <c r="Q172" i="20"/>
  <c r="R172" i="20"/>
  <c r="P173" i="20"/>
  <c r="Q173" i="20"/>
  <c r="R173" i="20"/>
  <c r="P174" i="20"/>
  <c r="Q174" i="20"/>
  <c r="R174" i="20"/>
  <c r="P175" i="20"/>
  <c r="Q175" i="20"/>
  <c r="R175" i="20"/>
  <c r="P176" i="20"/>
  <c r="Q176" i="20"/>
  <c r="R176" i="20"/>
  <c r="P177" i="20"/>
  <c r="Q177" i="20"/>
  <c r="R177" i="20"/>
  <c r="P178" i="20"/>
  <c r="Q178" i="20"/>
  <c r="R178" i="20"/>
  <c r="P179" i="20"/>
  <c r="Q179" i="20"/>
  <c r="R179" i="20"/>
  <c r="P180" i="20"/>
  <c r="Q180" i="20"/>
  <c r="R180" i="20"/>
  <c r="P181" i="20"/>
  <c r="Q181" i="20"/>
  <c r="R181" i="20"/>
  <c r="P182" i="20"/>
  <c r="Q182" i="20"/>
  <c r="R182" i="20"/>
  <c r="P183" i="20"/>
  <c r="Q183" i="20"/>
  <c r="R183" i="20"/>
  <c r="P184" i="20"/>
  <c r="Q184" i="20"/>
  <c r="R184" i="20"/>
  <c r="P185" i="20"/>
  <c r="Q185" i="20"/>
  <c r="R185" i="20"/>
  <c r="P186" i="20"/>
  <c r="Q186" i="20"/>
  <c r="R186" i="20"/>
  <c r="P187" i="20"/>
  <c r="Q187" i="20"/>
  <c r="R187" i="20"/>
  <c r="P188" i="20"/>
  <c r="Q188" i="20"/>
  <c r="R188" i="20"/>
  <c r="P189" i="20"/>
  <c r="Q189" i="20"/>
  <c r="R189" i="20"/>
  <c r="P190" i="20"/>
  <c r="Q190" i="20"/>
  <c r="R190" i="20"/>
  <c r="P191" i="20"/>
  <c r="Q191" i="20"/>
  <c r="R191" i="20"/>
  <c r="P192" i="20"/>
  <c r="Q192" i="20"/>
  <c r="R192" i="20"/>
  <c r="P193" i="20"/>
  <c r="Q193" i="20"/>
  <c r="R193" i="20"/>
  <c r="P194" i="20"/>
  <c r="Q194" i="20"/>
  <c r="R194" i="20"/>
  <c r="P195" i="20"/>
  <c r="Q195" i="20"/>
  <c r="R195" i="20"/>
  <c r="P196" i="20"/>
  <c r="Q196" i="20"/>
  <c r="R196" i="20"/>
  <c r="P197" i="20"/>
  <c r="Q197" i="20"/>
  <c r="R197" i="20"/>
  <c r="P198" i="20"/>
  <c r="Q198" i="20"/>
  <c r="R198" i="20"/>
  <c r="P199" i="20"/>
  <c r="Q199" i="20"/>
  <c r="R199" i="20"/>
  <c r="P200" i="20"/>
  <c r="Q200" i="20"/>
  <c r="R200" i="20"/>
  <c r="P201" i="20"/>
  <c r="Q201" i="20"/>
  <c r="R201" i="20"/>
  <c r="P202" i="20"/>
  <c r="Q202" i="20"/>
  <c r="R202" i="20"/>
  <c r="P203" i="20"/>
  <c r="Q203" i="20"/>
  <c r="R203" i="20"/>
  <c r="P204" i="20"/>
  <c r="Q204" i="20"/>
  <c r="R204" i="20"/>
  <c r="P205" i="20"/>
  <c r="Q205" i="20"/>
  <c r="R205" i="20"/>
  <c r="P206" i="20"/>
  <c r="Q206" i="20"/>
  <c r="R206" i="20"/>
  <c r="P207" i="20"/>
  <c r="Q207" i="20"/>
  <c r="R207" i="20"/>
  <c r="P208" i="20"/>
  <c r="Q208" i="20"/>
  <c r="R208" i="20"/>
  <c r="P209" i="20"/>
  <c r="Q209" i="20"/>
  <c r="R209" i="20"/>
  <c r="P210" i="20"/>
  <c r="Q210" i="20"/>
  <c r="R210" i="20"/>
  <c r="P211" i="20"/>
  <c r="Q211" i="20"/>
  <c r="R211" i="20"/>
  <c r="P212" i="20"/>
  <c r="Q212" i="20"/>
  <c r="R212" i="20"/>
  <c r="P213" i="20"/>
  <c r="Q213" i="20"/>
  <c r="R213" i="20"/>
  <c r="P214" i="20"/>
  <c r="Q214" i="20"/>
  <c r="R214" i="20"/>
  <c r="P215" i="20"/>
  <c r="Q215" i="20"/>
  <c r="R215" i="20"/>
  <c r="P216" i="20"/>
  <c r="Q216" i="20"/>
  <c r="R216" i="20"/>
  <c r="P217" i="20"/>
  <c r="Q217" i="20"/>
  <c r="R217" i="20"/>
  <c r="P218" i="20"/>
  <c r="Q218" i="20"/>
  <c r="R218" i="20"/>
  <c r="P219" i="20"/>
  <c r="Q219" i="20"/>
  <c r="R219" i="20"/>
  <c r="P220" i="20"/>
  <c r="Q220" i="20"/>
  <c r="R220" i="20"/>
  <c r="P221" i="20"/>
  <c r="Q221" i="20"/>
  <c r="R221" i="20"/>
  <c r="P222" i="20"/>
  <c r="Q222" i="20"/>
  <c r="R222" i="20"/>
  <c r="P223" i="20"/>
  <c r="Q223" i="20"/>
  <c r="R223" i="20"/>
  <c r="P224" i="20"/>
  <c r="Q224" i="20"/>
  <c r="R224" i="20"/>
  <c r="P225" i="20"/>
  <c r="Q225" i="20"/>
  <c r="R225" i="20"/>
  <c r="P226" i="20"/>
  <c r="Q226" i="20"/>
  <c r="R226" i="20"/>
  <c r="P227" i="20"/>
  <c r="Q227" i="20"/>
  <c r="R227" i="20"/>
  <c r="P228" i="20"/>
  <c r="Q228" i="20"/>
  <c r="R228" i="20"/>
  <c r="P229" i="20"/>
  <c r="Q229" i="20"/>
  <c r="R229" i="20"/>
  <c r="P230" i="20"/>
  <c r="Q230" i="20"/>
  <c r="R230" i="20"/>
  <c r="P231" i="20"/>
  <c r="Q231" i="20"/>
  <c r="R231" i="20"/>
  <c r="P232" i="20"/>
  <c r="Q232" i="20"/>
  <c r="R232" i="20"/>
  <c r="P233" i="20"/>
  <c r="Q233" i="20"/>
  <c r="R233" i="20"/>
  <c r="P234" i="20"/>
  <c r="Q234" i="20"/>
  <c r="R234" i="20"/>
  <c r="P235" i="20"/>
  <c r="Q235" i="20"/>
  <c r="R235" i="20"/>
  <c r="P236" i="20"/>
  <c r="Q236" i="20"/>
  <c r="R236" i="20"/>
  <c r="P237" i="20"/>
  <c r="Q237" i="20"/>
  <c r="R237" i="20"/>
  <c r="P238" i="20"/>
  <c r="Q238" i="20"/>
  <c r="R238" i="20"/>
  <c r="P239" i="20"/>
  <c r="Q239" i="20"/>
  <c r="R239" i="20"/>
  <c r="P240" i="20"/>
  <c r="Q240" i="20"/>
  <c r="R240" i="20"/>
  <c r="P241" i="20"/>
  <c r="Q241" i="20"/>
  <c r="R241" i="20"/>
  <c r="P242" i="20"/>
  <c r="Q242" i="20"/>
  <c r="R242" i="20"/>
  <c r="P243" i="20"/>
  <c r="Q243" i="20"/>
  <c r="R243" i="20"/>
  <c r="P244" i="20"/>
  <c r="Q244" i="20"/>
  <c r="R244" i="20"/>
  <c r="P245" i="20"/>
  <c r="Q245" i="20"/>
  <c r="R245" i="20"/>
  <c r="P246" i="20"/>
  <c r="Q246" i="20"/>
  <c r="R246" i="20"/>
  <c r="P247" i="20"/>
  <c r="Q247" i="20"/>
  <c r="R247" i="20"/>
  <c r="P248" i="20"/>
  <c r="Q248" i="20"/>
  <c r="R248" i="20"/>
  <c r="P249" i="20"/>
  <c r="Q249" i="20"/>
  <c r="R249" i="20"/>
  <c r="P250" i="20"/>
  <c r="Q250" i="20"/>
  <c r="R250" i="20"/>
  <c r="P251" i="20"/>
  <c r="Q251" i="20"/>
  <c r="R251" i="20"/>
  <c r="P252" i="20"/>
  <c r="Q252" i="20"/>
  <c r="R252" i="20"/>
  <c r="P253" i="20"/>
  <c r="Q253" i="20"/>
  <c r="R253" i="20"/>
  <c r="P254" i="20"/>
  <c r="Q254" i="20"/>
  <c r="R254" i="20"/>
  <c r="P255" i="20"/>
  <c r="Q255" i="20"/>
  <c r="R255" i="20"/>
  <c r="P256" i="20"/>
  <c r="Q256" i="20"/>
  <c r="R256" i="20"/>
  <c r="P257" i="20"/>
  <c r="Q257" i="20"/>
  <c r="R257" i="20"/>
  <c r="P258" i="20"/>
  <c r="Q258" i="20"/>
  <c r="R258" i="20"/>
  <c r="P259" i="20"/>
  <c r="Q259" i="20"/>
  <c r="R259" i="20"/>
  <c r="P260" i="20"/>
  <c r="Q260" i="20"/>
  <c r="R260" i="20"/>
  <c r="P261" i="20"/>
  <c r="Q261" i="20"/>
  <c r="R261" i="20"/>
  <c r="P262" i="20"/>
  <c r="Q262" i="20"/>
  <c r="R262" i="20"/>
  <c r="P263" i="20"/>
  <c r="Q263" i="20"/>
  <c r="R263" i="20"/>
  <c r="P264" i="20"/>
  <c r="Q264" i="20"/>
  <c r="R264" i="20"/>
  <c r="P265" i="20"/>
  <c r="Q265" i="20"/>
  <c r="R265" i="20"/>
  <c r="P266" i="20"/>
  <c r="Q266" i="20"/>
  <c r="R266" i="20"/>
  <c r="P267" i="20"/>
  <c r="Q267" i="20"/>
  <c r="R267" i="20"/>
  <c r="P268" i="20"/>
  <c r="Q268" i="20"/>
  <c r="R268" i="20"/>
  <c r="P269" i="20"/>
  <c r="Q269" i="20"/>
  <c r="R269" i="20"/>
  <c r="P270" i="20"/>
  <c r="Q270" i="20"/>
  <c r="R270" i="20"/>
  <c r="P271" i="20"/>
  <c r="Q271" i="20"/>
  <c r="R271" i="20"/>
  <c r="P272" i="20"/>
  <c r="Q272" i="20"/>
  <c r="R272" i="20"/>
  <c r="P273" i="20"/>
  <c r="Q273" i="20"/>
  <c r="R273" i="20"/>
  <c r="P274" i="20"/>
  <c r="Q274" i="20"/>
  <c r="R274" i="20"/>
  <c r="P275" i="20"/>
  <c r="Q275" i="20"/>
  <c r="R275" i="20"/>
  <c r="P276" i="20"/>
  <c r="Q276" i="20"/>
  <c r="R276" i="20"/>
  <c r="P277" i="20"/>
  <c r="Q277" i="20"/>
  <c r="R277" i="20"/>
  <c r="P278" i="20"/>
  <c r="Q278" i="20"/>
  <c r="R278" i="20"/>
  <c r="P279" i="20"/>
  <c r="Q279" i="20"/>
  <c r="R279" i="20"/>
  <c r="P280" i="20"/>
  <c r="Q280" i="20"/>
  <c r="R280" i="20"/>
  <c r="P281" i="20"/>
  <c r="Q281" i="20"/>
  <c r="R281" i="20"/>
  <c r="P282" i="20"/>
  <c r="Q282" i="20"/>
  <c r="R282" i="20"/>
  <c r="P283" i="20"/>
  <c r="Q283" i="20"/>
  <c r="R283" i="20"/>
  <c r="P284" i="20"/>
  <c r="Q284" i="20"/>
  <c r="R284" i="20"/>
  <c r="P285" i="20"/>
  <c r="Q285" i="20"/>
  <c r="R285" i="20"/>
  <c r="P286" i="20"/>
  <c r="Q286" i="20"/>
  <c r="R286" i="20"/>
  <c r="P287" i="20"/>
  <c r="Q287" i="20"/>
  <c r="R287" i="20"/>
  <c r="P288" i="20"/>
  <c r="Q288" i="20"/>
  <c r="R288" i="20"/>
  <c r="P289" i="20"/>
  <c r="Q289" i="20"/>
  <c r="R289" i="20"/>
  <c r="P290" i="20"/>
  <c r="Q290" i="20"/>
  <c r="R290" i="20"/>
  <c r="P291" i="20"/>
  <c r="Q291" i="20"/>
  <c r="R291" i="20"/>
  <c r="P292" i="20"/>
  <c r="Q292" i="20"/>
  <c r="R292" i="20"/>
  <c r="P293" i="20"/>
  <c r="Q293" i="20"/>
  <c r="R293" i="20"/>
  <c r="P294" i="20"/>
  <c r="Q294" i="20"/>
  <c r="R294" i="20"/>
  <c r="P295" i="20"/>
  <c r="Q295" i="20"/>
  <c r="R295" i="20"/>
  <c r="P296" i="20"/>
  <c r="Q296" i="20"/>
  <c r="R296" i="20"/>
  <c r="P297" i="20"/>
  <c r="Q297" i="20"/>
  <c r="R297" i="20"/>
  <c r="P298" i="20"/>
  <c r="Q298" i="20"/>
  <c r="R298" i="20"/>
  <c r="P299" i="20"/>
  <c r="Q299" i="20"/>
  <c r="R299" i="20"/>
  <c r="P300" i="20"/>
  <c r="Q300" i="20"/>
  <c r="R300" i="20"/>
  <c r="P301" i="20"/>
  <c r="Q301" i="20"/>
  <c r="R301" i="20"/>
  <c r="P302" i="20"/>
  <c r="Q302" i="20"/>
  <c r="R302" i="20"/>
  <c r="P303" i="20"/>
  <c r="Q303" i="20"/>
  <c r="R303" i="20"/>
  <c r="P304" i="20"/>
  <c r="Q304" i="20"/>
  <c r="R304" i="20"/>
  <c r="P305" i="20"/>
  <c r="Q305" i="20"/>
  <c r="R305" i="20"/>
  <c r="P306" i="20"/>
  <c r="Q306" i="20"/>
  <c r="R306" i="20"/>
  <c r="P307" i="20"/>
  <c r="Q307" i="20"/>
  <c r="R307" i="20"/>
  <c r="P308" i="20"/>
  <c r="Q308" i="20"/>
  <c r="R308" i="20"/>
  <c r="P309" i="20"/>
  <c r="Q309" i="20"/>
  <c r="R309" i="20"/>
  <c r="P310" i="20"/>
  <c r="Q310" i="20"/>
  <c r="R310" i="20"/>
  <c r="P311" i="20"/>
  <c r="Q311" i="20"/>
  <c r="R311" i="20"/>
  <c r="P312" i="20"/>
  <c r="Q312" i="20"/>
  <c r="R312" i="20"/>
  <c r="P313" i="20"/>
  <c r="Q313" i="20"/>
  <c r="R313" i="20"/>
  <c r="P314" i="20"/>
  <c r="Q314" i="20"/>
  <c r="R314" i="20"/>
  <c r="P315" i="20"/>
  <c r="Q315" i="20"/>
  <c r="R315" i="20"/>
  <c r="P316" i="20"/>
  <c r="Q316" i="20"/>
  <c r="R316" i="20"/>
  <c r="P317" i="20"/>
  <c r="Q317" i="20"/>
  <c r="R317" i="20"/>
  <c r="P318" i="20"/>
  <c r="Q318" i="20"/>
  <c r="R318" i="20"/>
  <c r="P319" i="20"/>
  <c r="Q319" i="20"/>
  <c r="R319" i="20"/>
  <c r="P320" i="20"/>
  <c r="Q320" i="20"/>
  <c r="R320" i="20"/>
  <c r="P321" i="20"/>
  <c r="Q321" i="20"/>
  <c r="R321" i="20"/>
  <c r="P322" i="20"/>
  <c r="Q322" i="20"/>
  <c r="R322" i="20"/>
  <c r="P323" i="20"/>
  <c r="Q323" i="20"/>
  <c r="R323" i="20"/>
  <c r="P324" i="20"/>
  <c r="Q324" i="20"/>
  <c r="R324" i="20"/>
  <c r="P325" i="20"/>
  <c r="Q325" i="20"/>
  <c r="R325" i="20"/>
  <c r="P326" i="20"/>
  <c r="Q326" i="20"/>
  <c r="R326" i="20"/>
  <c r="P327" i="20"/>
  <c r="Q327" i="20"/>
  <c r="R327" i="20"/>
  <c r="P328" i="20"/>
  <c r="Q328" i="20"/>
  <c r="R328" i="20"/>
  <c r="P329" i="20"/>
  <c r="Q329" i="20"/>
  <c r="R329" i="20"/>
  <c r="P330" i="20"/>
  <c r="Q330" i="20"/>
  <c r="R330" i="20"/>
  <c r="P331" i="20"/>
  <c r="Q331" i="20"/>
  <c r="R331" i="20"/>
  <c r="P332" i="20"/>
  <c r="Q332" i="20"/>
  <c r="R332" i="20"/>
  <c r="P333" i="20"/>
  <c r="Q333" i="20"/>
  <c r="R333" i="20"/>
  <c r="P334" i="20"/>
  <c r="Q334" i="20"/>
  <c r="R334" i="20"/>
  <c r="P335" i="20"/>
  <c r="Q335" i="20"/>
  <c r="R335" i="20"/>
  <c r="P336" i="20"/>
  <c r="Q336" i="20"/>
  <c r="R336" i="20"/>
  <c r="P337" i="20"/>
  <c r="Q337" i="20"/>
  <c r="R337" i="20"/>
  <c r="P338" i="20"/>
  <c r="Q338" i="20"/>
  <c r="R338" i="20"/>
  <c r="P339" i="20"/>
  <c r="Q339" i="20"/>
  <c r="R339" i="20"/>
  <c r="P340" i="20"/>
  <c r="Q340" i="20"/>
  <c r="R340" i="20"/>
  <c r="P341" i="20"/>
  <c r="Q341" i="20"/>
  <c r="R341" i="20"/>
  <c r="P342" i="20"/>
  <c r="Q342" i="20"/>
  <c r="R342" i="20"/>
  <c r="P343" i="20"/>
  <c r="Q343" i="20"/>
  <c r="R343" i="20"/>
  <c r="P344" i="20"/>
  <c r="Q344" i="20"/>
  <c r="R344" i="20"/>
  <c r="P345" i="20"/>
  <c r="Q345" i="20"/>
  <c r="R345" i="20"/>
  <c r="P346" i="20"/>
  <c r="Q346" i="20"/>
  <c r="R346" i="20"/>
  <c r="P347" i="20"/>
  <c r="Q347" i="20"/>
  <c r="R347" i="20"/>
  <c r="P348" i="20"/>
  <c r="Q348" i="20"/>
  <c r="R348" i="20"/>
  <c r="P349" i="20"/>
  <c r="Q349" i="20"/>
  <c r="R349" i="20"/>
  <c r="P350" i="20"/>
  <c r="Q350" i="20"/>
  <c r="R350" i="20"/>
  <c r="P351" i="20"/>
  <c r="Q351" i="20"/>
  <c r="R351" i="20"/>
  <c r="P352" i="20"/>
  <c r="Q352" i="20"/>
  <c r="R352" i="20"/>
  <c r="P353" i="20"/>
  <c r="Q353" i="20"/>
  <c r="R353" i="20"/>
  <c r="P354" i="20"/>
  <c r="Q354" i="20"/>
  <c r="R354" i="20"/>
  <c r="P355" i="20"/>
  <c r="Q355" i="20"/>
  <c r="R355" i="20"/>
  <c r="P356" i="20"/>
  <c r="Q356" i="20"/>
  <c r="R356" i="20"/>
  <c r="P357" i="20"/>
  <c r="Q357" i="20"/>
  <c r="R357" i="20"/>
  <c r="P358" i="20"/>
  <c r="Q358" i="20"/>
  <c r="R358" i="20"/>
  <c r="P359" i="20"/>
  <c r="Q359" i="20"/>
  <c r="R359" i="20"/>
  <c r="P360" i="20"/>
  <c r="Q360" i="20"/>
  <c r="R360" i="20"/>
  <c r="P361" i="20"/>
  <c r="Q361" i="20"/>
  <c r="R361" i="20"/>
  <c r="P362" i="20"/>
  <c r="Q362" i="20"/>
  <c r="R362" i="20"/>
  <c r="P363" i="20"/>
  <c r="Q363" i="20"/>
  <c r="R363" i="20"/>
  <c r="P364" i="20"/>
  <c r="Q364" i="20"/>
  <c r="R364" i="20"/>
  <c r="P365" i="20"/>
  <c r="Q365" i="20"/>
  <c r="R365" i="20"/>
  <c r="P366" i="20"/>
  <c r="Q366" i="20"/>
  <c r="R366" i="20"/>
  <c r="P367" i="20"/>
  <c r="Q367" i="20"/>
  <c r="R367" i="20"/>
  <c r="P368" i="20"/>
  <c r="Q368" i="20"/>
  <c r="R368" i="20"/>
  <c r="P369" i="20"/>
  <c r="Q369" i="20"/>
  <c r="R369" i="20"/>
  <c r="P370" i="20"/>
  <c r="Q370" i="20"/>
  <c r="R370" i="20"/>
  <c r="P371" i="20"/>
  <c r="Q371" i="20"/>
  <c r="R371" i="20"/>
  <c r="P372" i="20"/>
  <c r="Q372" i="20"/>
  <c r="R372" i="20"/>
  <c r="P373" i="20"/>
  <c r="Q373" i="20"/>
  <c r="R373" i="20"/>
  <c r="P374" i="20"/>
  <c r="Q374" i="20"/>
  <c r="R374" i="20"/>
  <c r="P375" i="20"/>
  <c r="Q375" i="20"/>
  <c r="R375" i="20"/>
  <c r="P376" i="20"/>
  <c r="Q376" i="20"/>
  <c r="R376" i="20"/>
  <c r="P377" i="20"/>
  <c r="Q377" i="20"/>
  <c r="R377" i="20"/>
  <c r="P378" i="20"/>
  <c r="Q378" i="20"/>
  <c r="R378" i="20"/>
  <c r="P379" i="20"/>
  <c r="Q379" i="20"/>
  <c r="R379" i="20"/>
  <c r="P380" i="20"/>
  <c r="Q380" i="20"/>
  <c r="R380" i="20"/>
  <c r="P381" i="20"/>
  <c r="Q381" i="20"/>
  <c r="R381" i="20"/>
  <c r="P382" i="20"/>
  <c r="Q382" i="20"/>
  <c r="R382" i="20"/>
  <c r="P383" i="20"/>
  <c r="Q383" i="20"/>
  <c r="R383" i="20"/>
  <c r="P384" i="20"/>
  <c r="Q384" i="20"/>
  <c r="R384" i="20"/>
  <c r="P385" i="20"/>
  <c r="Q385" i="20"/>
  <c r="R385" i="20"/>
  <c r="P386" i="20"/>
  <c r="Q386" i="20"/>
  <c r="R386" i="20"/>
  <c r="P387" i="20"/>
  <c r="Q387" i="20"/>
  <c r="R387" i="20"/>
  <c r="P388" i="20"/>
  <c r="Q388" i="20"/>
  <c r="R388" i="20"/>
  <c r="P389" i="20"/>
  <c r="Q389" i="20"/>
  <c r="R389" i="20"/>
  <c r="P390" i="20"/>
  <c r="Q390" i="20"/>
  <c r="R390" i="20"/>
  <c r="P391" i="20"/>
  <c r="Q391" i="20"/>
  <c r="R391" i="20"/>
  <c r="P392" i="20"/>
  <c r="Q392" i="20"/>
  <c r="R392" i="20"/>
  <c r="P393" i="20"/>
  <c r="Q393" i="20"/>
  <c r="R393" i="20"/>
  <c r="P394" i="20"/>
  <c r="Q394" i="20"/>
  <c r="R394" i="20"/>
  <c r="P395" i="20"/>
  <c r="Q395" i="20"/>
  <c r="R395" i="20"/>
  <c r="P396" i="20"/>
  <c r="Q396" i="20"/>
  <c r="R396" i="20"/>
  <c r="P397" i="20"/>
  <c r="Q397" i="20"/>
  <c r="R397" i="20"/>
  <c r="P398" i="20"/>
  <c r="Q398" i="20"/>
  <c r="R398" i="20"/>
  <c r="P399" i="20"/>
  <c r="Q399" i="20"/>
  <c r="R399" i="20"/>
  <c r="P400" i="20"/>
  <c r="Q400" i="20"/>
  <c r="R400" i="20"/>
  <c r="P401" i="20"/>
  <c r="Q401" i="20"/>
  <c r="R401" i="20"/>
  <c r="P402" i="20"/>
  <c r="Q402" i="20"/>
  <c r="R402" i="20"/>
  <c r="P403" i="20"/>
  <c r="Q403" i="20"/>
  <c r="R403" i="20"/>
  <c r="P404" i="20"/>
  <c r="Q404" i="20"/>
  <c r="R404" i="20"/>
  <c r="P405" i="20"/>
  <c r="Q405" i="20"/>
  <c r="R405" i="20"/>
  <c r="P406" i="20"/>
  <c r="Q406" i="20"/>
  <c r="R406" i="20"/>
  <c r="P407" i="20"/>
  <c r="Q407" i="20"/>
  <c r="R407" i="20"/>
  <c r="P408" i="20"/>
  <c r="Q408" i="20"/>
  <c r="R408" i="20"/>
  <c r="P409" i="20"/>
  <c r="Q409" i="20"/>
  <c r="R409" i="20"/>
  <c r="P410" i="20"/>
  <c r="Q410" i="20"/>
  <c r="R410" i="20"/>
  <c r="P411" i="20"/>
  <c r="Q411" i="20"/>
  <c r="R411" i="20"/>
  <c r="P412" i="20"/>
  <c r="Q412" i="20"/>
  <c r="R412" i="20"/>
  <c r="P413" i="20"/>
  <c r="Q413" i="20"/>
  <c r="R413" i="20"/>
  <c r="P414" i="20"/>
  <c r="Q414" i="20"/>
  <c r="R414" i="20"/>
  <c r="P415" i="20"/>
  <c r="Q415" i="20"/>
  <c r="R415" i="20"/>
  <c r="P416" i="20"/>
  <c r="Q416" i="20"/>
  <c r="R416" i="20"/>
  <c r="P417" i="20"/>
  <c r="Q417" i="20"/>
  <c r="R417" i="20"/>
  <c r="P418" i="20"/>
  <c r="Q418" i="20"/>
  <c r="R418" i="20"/>
  <c r="P419" i="20"/>
  <c r="Q419" i="20"/>
  <c r="R419" i="20"/>
  <c r="P420" i="20"/>
  <c r="Q420" i="20"/>
  <c r="R420" i="20"/>
  <c r="P421" i="20"/>
  <c r="Q421" i="20"/>
  <c r="R421" i="20"/>
  <c r="P422" i="20"/>
  <c r="Q422" i="20"/>
  <c r="R422" i="20"/>
  <c r="P423" i="20"/>
  <c r="Q423" i="20"/>
  <c r="R423" i="20"/>
  <c r="P424" i="20"/>
  <c r="Q424" i="20"/>
  <c r="R424" i="20"/>
  <c r="P425" i="20"/>
  <c r="Q425" i="20"/>
  <c r="R425" i="20"/>
  <c r="P426" i="20"/>
  <c r="Q426" i="20"/>
  <c r="R426" i="20"/>
  <c r="P427" i="20"/>
  <c r="Q427" i="20"/>
  <c r="R427" i="20"/>
  <c r="P428" i="20"/>
  <c r="Q428" i="20"/>
  <c r="R428" i="20"/>
  <c r="P429" i="20"/>
  <c r="Q429" i="20"/>
  <c r="R429" i="20"/>
  <c r="P430" i="20"/>
  <c r="Q430" i="20"/>
  <c r="R430" i="20"/>
  <c r="R6" i="20"/>
  <c r="Q6" i="20"/>
  <c r="P6" i="20"/>
  <c r="N7" i="20"/>
  <c r="R7" i="20" s="1"/>
  <c r="N8" i="20"/>
  <c r="R8" i="20" s="1"/>
  <c r="N9" i="20"/>
  <c r="R9" i="20" s="1"/>
  <c r="N10" i="20"/>
  <c r="R10" i="20" s="1"/>
  <c r="N11" i="20"/>
  <c r="R11" i="20" s="1"/>
  <c r="N12" i="20"/>
  <c r="R12" i="20" s="1"/>
  <c r="N13" i="20"/>
  <c r="R13" i="20" s="1"/>
  <c r="N14" i="20"/>
  <c r="N15" i="20"/>
  <c r="R15" i="20" s="1"/>
  <c r="N16" i="20"/>
  <c r="R16" i="20" s="1"/>
  <c r="N17" i="20"/>
  <c r="N18" i="20"/>
  <c r="N19" i="20"/>
  <c r="N20" i="20"/>
  <c r="N21" i="20"/>
  <c r="N22" i="20"/>
  <c r="N23" i="20"/>
  <c r="N25" i="20"/>
  <c r="N26" i="20"/>
  <c r="N27" i="20"/>
  <c r="N28" i="20"/>
  <c r="N29" i="20"/>
  <c r="N30" i="20"/>
  <c r="N31" i="20"/>
  <c r="N32" i="20"/>
  <c r="N33" i="20"/>
  <c r="N34" i="20"/>
  <c r="N35" i="20"/>
  <c r="N36" i="20"/>
  <c r="N37" i="20"/>
  <c r="N38" i="20"/>
  <c r="N39" i="20"/>
  <c r="N40"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P7" i="21"/>
  <c r="O7" i="21" s="1"/>
  <c r="Q7" i="21"/>
  <c r="R7" i="21"/>
  <c r="P8" i="21"/>
  <c r="Q8" i="21"/>
  <c r="P9" i="21"/>
  <c r="P10" i="21"/>
  <c r="P11" i="21"/>
  <c r="O11" i="21" s="1"/>
  <c r="Q11" i="21"/>
  <c r="P12" i="21"/>
  <c r="Q12" i="21"/>
  <c r="P13" i="21"/>
  <c r="Q13" i="21"/>
  <c r="P14" i="21"/>
  <c r="Q14" i="21"/>
  <c r="P15" i="21"/>
  <c r="Q15" i="21"/>
  <c r="P16" i="21"/>
  <c r="Q16" i="21"/>
  <c r="P17" i="21"/>
  <c r="Q17" i="21"/>
  <c r="R17" i="21"/>
  <c r="P18" i="21"/>
  <c r="Q18" i="21"/>
  <c r="R18" i="21"/>
  <c r="P19" i="21"/>
  <c r="Q19" i="21"/>
  <c r="R19" i="21"/>
  <c r="P20" i="21"/>
  <c r="Q20" i="21"/>
  <c r="R20" i="21"/>
  <c r="P21" i="21"/>
  <c r="Q21" i="21"/>
  <c r="R21" i="21"/>
  <c r="P22" i="21"/>
  <c r="Q22" i="21"/>
  <c r="R22" i="21"/>
  <c r="P23" i="21"/>
  <c r="Q23" i="21"/>
  <c r="R23" i="21"/>
  <c r="P24" i="21"/>
  <c r="Q24" i="21"/>
  <c r="R24" i="21"/>
  <c r="P25" i="21"/>
  <c r="Q25" i="21"/>
  <c r="R25" i="21"/>
  <c r="P26" i="21"/>
  <c r="Q26" i="21"/>
  <c r="R26" i="21"/>
  <c r="P27" i="21"/>
  <c r="Q27" i="21"/>
  <c r="R27" i="21"/>
  <c r="P28" i="21"/>
  <c r="Q28" i="21"/>
  <c r="R28" i="21"/>
  <c r="P29" i="21"/>
  <c r="Q29" i="21"/>
  <c r="R29" i="21"/>
  <c r="P30" i="21"/>
  <c r="Q30" i="21"/>
  <c r="R30" i="21"/>
  <c r="P31" i="21"/>
  <c r="Q31" i="21"/>
  <c r="R31" i="21"/>
  <c r="P32" i="21"/>
  <c r="Q32" i="21"/>
  <c r="R32" i="21"/>
  <c r="P33" i="21"/>
  <c r="Q33" i="21"/>
  <c r="R33" i="21"/>
  <c r="P34" i="21"/>
  <c r="Q34" i="21"/>
  <c r="R34" i="21"/>
  <c r="P35" i="21"/>
  <c r="Q35" i="21"/>
  <c r="R35" i="21"/>
  <c r="P36" i="21"/>
  <c r="Q36" i="21"/>
  <c r="R36" i="21"/>
  <c r="P37" i="21"/>
  <c r="Q37" i="21"/>
  <c r="R37" i="21"/>
  <c r="P38" i="21"/>
  <c r="Q38" i="21"/>
  <c r="R38" i="21"/>
  <c r="P39" i="21"/>
  <c r="Q39" i="21"/>
  <c r="R39" i="21"/>
  <c r="P40" i="21"/>
  <c r="Q40" i="21"/>
  <c r="R40" i="21"/>
  <c r="P41" i="21"/>
  <c r="Q41" i="21"/>
  <c r="R41" i="21"/>
  <c r="P42" i="21"/>
  <c r="Q42" i="21"/>
  <c r="R42" i="21"/>
  <c r="P43" i="21"/>
  <c r="Q43" i="21"/>
  <c r="R43" i="21"/>
  <c r="P44" i="21"/>
  <c r="Q44" i="21"/>
  <c r="R44" i="21"/>
  <c r="P45" i="21"/>
  <c r="Q45" i="21"/>
  <c r="R45" i="21"/>
  <c r="P46" i="21"/>
  <c r="Q46" i="21"/>
  <c r="R46" i="21"/>
  <c r="P47" i="21"/>
  <c r="Q47" i="21"/>
  <c r="R47" i="21"/>
  <c r="P48" i="21"/>
  <c r="Q48" i="21"/>
  <c r="R48" i="21"/>
  <c r="P49" i="21"/>
  <c r="Q49" i="21"/>
  <c r="R49" i="21"/>
  <c r="P50" i="21"/>
  <c r="Q50" i="21"/>
  <c r="R50" i="21"/>
  <c r="P51" i="21"/>
  <c r="Q51" i="21"/>
  <c r="R51" i="21"/>
  <c r="P52" i="21"/>
  <c r="Q52" i="21"/>
  <c r="R52" i="21"/>
  <c r="P53" i="21"/>
  <c r="Q53" i="21"/>
  <c r="R53" i="21"/>
  <c r="P54" i="21"/>
  <c r="Q54" i="21"/>
  <c r="R54" i="21"/>
  <c r="P55" i="21"/>
  <c r="Q55" i="21"/>
  <c r="R55" i="21"/>
  <c r="P56" i="21"/>
  <c r="Q56" i="21"/>
  <c r="R56" i="21"/>
  <c r="P57" i="21"/>
  <c r="Q57" i="21"/>
  <c r="R57" i="21"/>
  <c r="P58" i="21"/>
  <c r="Q58" i="21"/>
  <c r="R58" i="21"/>
  <c r="P59" i="21"/>
  <c r="Q59" i="21"/>
  <c r="R59" i="21"/>
  <c r="P60" i="21"/>
  <c r="Q60" i="21"/>
  <c r="R60" i="21"/>
  <c r="P61" i="21"/>
  <c r="Q61" i="21"/>
  <c r="R61" i="21"/>
  <c r="P62" i="21"/>
  <c r="Q62" i="21"/>
  <c r="R62" i="21"/>
  <c r="P63" i="21"/>
  <c r="Q63" i="21"/>
  <c r="R63" i="21"/>
  <c r="P64" i="21"/>
  <c r="Q64" i="21"/>
  <c r="R64" i="21"/>
  <c r="P65" i="21"/>
  <c r="Q65" i="21"/>
  <c r="R65" i="21"/>
  <c r="P66" i="21"/>
  <c r="Q66" i="21"/>
  <c r="R66" i="21"/>
  <c r="P67" i="21"/>
  <c r="Q67" i="21"/>
  <c r="R67" i="21"/>
  <c r="P68" i="21"/>
  <c r="Q68" i="21"/>
  <c r="R68" i="21"/>
  <c r="P69" i="21"/>
  <c r="Q69" i="21"/>
  <c r="R69" i="21"/>
  <c r="P70" i="21"/>
  <c r="Q70" i="21"/>
  <c r="R70" i="21"/>
  <c r="P71" i="21"/>
  <c r="Q71" i="21"/>
  <c r="R71" i="21"/>
  <c r="P72" i="21"/>
  <c r="Q72" i="21"/>
  <c r="R72" i="21"/>
  <c r="P73" i="21"/>
  <c r="Q73" i="21"/>
  <c r="R73" i="21"/>
  <c r="P74" i="21"/>
  <c r="Q74" i="21"/>
  <c r="R74" i="21"/>
  <c r="P75" i="21"/>
  <c r="Q75" i="21"/>
  <c r="R75" i="21"/>
  <c r="P76" i="21"/>
  <c r="Q76" i="21"/>
  <c r="R76" i="21"/>
  <c r="P77" i="21"/>
  <c r="Q77" i="21"/>
  <c r="R77" i="21"/>
  <c r="P78" i="21"/>
  <c r="Q78" i="21"/>
  <c r="R78" i="21"/>
  <c r="P79" i="21"/>
  <c r="Q79" i="21"/>
  <c r="R79" i="21"/>
  <c r="P80" i="21"/>
  <c r="Q80" i="21"/>
  <c r="R80" i="21"/>
  <c r="P81" i="21"/>
  <c r="Q81" i="21"/>
  <c r="R81" i="21"/>
  <c r="P82" i="21"/>
  <c r="Q82" i="21"/>
  <c r="R82" i="21"/>
  <c r="P83" i="21"/>
  <c r="Q83" i="21"/>
  <c r="R83" i="21"/>
  <c r="P84" i="21"/>
  <c r="Q84" i="21"/>
  <c r="R84" i="21"/>
  <c r="P85" i="21"/>
  <c r="Q85" i="21"/>
  <c r="R85" i="21"/>
  <c r="P86" i="21"/>
  <c r="Q86" i="21"/>
  <c r="R86" i="21"/>
  <c r="P87" i="21"/>
  <c r="Q87" i="21"/>
  <c r="R87" i="21"/>
  <c r="P88" i="21"/>
  <c r="Q88" i="21"/>
  <c r="R88" i="21"/>
  <c r="P89" i="21"/>
  <c r="Q89" i="21"/>
  <c r="R89" i="21"/>
  <c r="P90" i="21"/>
  <c r="Q90" i="21"/>
  <c r="R90" i="21"/>
  <c r="P91" i="21"/>
  <c r="Q91" i="21"/>
  <c r="R91" i="21"/>
  <c r="P92" i="21"/>
  <c r="Q92" i="21"/>
  <c r="R92" i="21"/>
  <c r="P93" i="21"/>
  <c r="Q93" i="21"/>
  <c r="R93" i="21"/>
  <c r="P94" i="21"/>
  <c r="Q94" i="21"/>
  <c r="R94" i="21"/>
  <c r="P95" i="21"/>
  <c r="Q95" i="21"/>
  <c r="R95" i="21"/>
  <c r="P96" i="21"/>
  <c r="Q96" i="21"/>
  <c r="R96" i="21"/>
  <c r="P97" i="21"/>
  <c r="Q97" i="21"/>
  <c r="R97" i="21"/>
  <c r="P98" i="21"/>
  <c r="Q98" i="21"/>
  <c r="R98" i="21"/>
  <c r="P99" i="21"/>
  <c r="Q99" i="21"/>
  <c r="R99" i="21"/>
  <c r="P100" i="21"/>
  <c r="Q100" i="21"/>
  <c r="R100" i="21"/>
  <c r="P101" i="21"/>
  <c r="Q101" i="21"/>
  <c r="R101" i="21"/>
  <c r="P102" i="21"/>
  <c r="Q102" i="21"/>
  <c r="R102" i="21"/>
  <c r="P103" i="21"/>
  <c r="Q103" i="21"/>
  <c r="R103" i="21"/>
  <c r="P104" i="21"/>
  <c r="Q104" i="21"/>
  <c r="R104" i="21"/>
  <c r="P105" i="21"/>
  <c r="Q105" i="21"/>
  <c r="R105" i="21"/>
  <c r="P106" i="21"/>
  <c r="Q106" i="21"/>
  <c r="R106" i="21"/>
  <c r="P107" i="21"/>
  <c r="Q107" i="21"/>
  <c r="R107" i="21"/>
  <c r="P108" i="21"/>
  <c r="Q108" i="21"/>
  <c r="R108" i="21"/>
  <c r="P109" i="21"/>
  <c r="Q109" i="21"/>
  <c r="R109" i="21"/>
  <c r="P110" i="21"/>
  <c r="Q110" i="21"/>
  <c r="R110" i="21"/>
  <c r="P111" i="21"/>
  <c r="Q111" i="21"/>
  <c r="R111" i="21"/>
  <c r="P112" i="21"/>
  <c r="Q112" i="21"/>
  <c r="R112" i="21"/>
  <c r="P113" i="21"/>
  <c r="Q113" i="21"/>
  <c r="R113" i="21"/>
  <c r="P114" i="21"/>
  <c r="Q114" i="21"/>
  <c r="R114" i="21"/>
  <c r="P115" i="21"/>
  <c r="Q115" i="21"/>
  <c r="R115" i="21"/>
  <c r="P116" i="21"/>
  <c r="Q116" i="21"/>
  <c r="R116" i="21"/>
  <c r="P117" i="21"/>
  <c r="Q117" i="21"/>
  <c r="R117" i="21"/>
  <c r="P118" i="21"/>
  <c r="Q118" i="21"/>
  <c r="R118" i="21"/>
  <c r="P119" i="21"/>
  <c r="Q119" i="21"/>
  <c r="R119" i="21"/>
  <c r="P120" i="21"/>
  <c r="Q120" i="21"/>
  <c r="R120" i="21"/>
  <c r="P121" i="21"/>
  <c r="Q121" i="21"/>
  <c r="R121" i="21"/>
  <c r="P122" i="21"/>
  <c r="Q122" i="21"/>
  <c r="R122" i="21"/>
  <c r="P123" i="21"/>
  <c r="Q123" i="21"/>
  <c r="R123" i="21"/>
  <c r="P124" i="21"/>
  <c r="Q124" i="21"/>
  <c r="R124" i="21"/>
  <c r="P125" i="21"/>
  <c r="Q125" i="21"/>
  <c r="R125" i="21"/>
  <c r="P126" i="21"/>
  <c r="Q126" i="21"/>
  <c r="R126" i="21"/>
  <c r="P127" i="21"/>
  <c r="Q127" i="21"/>
  <c r="R127" i="21"/>
  <c r="P128" i="21"/>
  <c r="Q128" i="21"/>
  <c r="R128" i="21"/>
  <c r="P129" i="21"/>
  <c r="Q129" i="21"/>
  <c r="R129" i="21"/>
  <c r="P130" i="21"/>
  <c r="Q130" i="21"/>
  <c r="R130" i="21"/>
  <c r="P131" i="21"/>
  <c r="Q131" i="21"/>
  <c r="R131" i="21"/>
  <c r="P132" i="21"/>
  <c r="Q132" i="21"/>
  <c r="R132" i="21"/>
  <c r="P133" i="21"/>
  <c r="Q133" i="21"/>
  <c r="R133" i="21"/>
  <c r="P134" i="21"/>
  <c r="Q134" i="21"/>
  <c r="R134" i="21"/>
  <c r="P135" i="21"/>
  <c r="Q135" i="21"/>
  <c r="R135" i="21"/>
  <c r="P136" i="21"/>
  <c r="Q136" i="21"/>
  <c r="R136" i="21"/>
  <c r="P137" i="21"/>
  <c r="Q137" i="21"/>
  <c r="R137" i="21"/>
  <c r="P138" i="21"/>
  <c r="Q138" i="21"/>
  <c r="R138" i="21"/>
  <c r="P139" i="21"/>
  <c r="Q139" i="21"/>
  <c r="R139" i="21"/>
  <c r="P140" i="21"/>
  <c r="Q140" i="21"/>
  <c r="R140" i="21"/>
  <c r="P141" i="21"/>
  <c r="Q141" i="21"/>
  <c r="R141" i="21"/>
  <c r="P142" i="21"/>
  <c r="Q142" i="21"/>
  <c r="R142" i="21"/>
  <c r="P143" i="21"/>
  <c r="Q143" i="21"/>
  <c r="R143" i="21"/>
  <c r="P144" i="21"/>
  <c r="Q144" i="21"/>
  <c r="R144" i="21"/>
  <c r="P145" i="21"/>
  <c r="Q145" i="21"/>
  <c r="R145" i="21"/>
  <c r="P146" i="21"/>
  <c r="Q146" i="21"/>
  <c r="R146" i="21"/>
  <c r="P147" i="21"/>
  <c r="Q147" i="21"/>
  <c r="R147" i="21"/>
  <c r="P148" i="21"/>
  <c r="Q148" i="21"/>
  <c r="R148" i="21"/>
  <c r="P149" i="21"/>
  <c r="Q149" i="21"/>
  <c r="R149" i="21"/>
  <c r="P150" i="21"/>
  <c r="Q150" i="21"/>
  <c r="R150" i="21"/>
  <c r="P151" i="21"/>
  <c r="Q151" i="21"/>
  <c r="R151" i="21"/>
  <c r="P152" i="21"/>
  <c r="Q152" i="21"/>
  <c r="R152" i="21"/>
  <c r="P153" i="21"/>
  <c r="Q153" i="21"/>
  <c r="R153" i="21"/>
  <c r="P154" i="21"/>
  <c r="Q154" i="21"/>
  <c r="R154" i="21"/>
  <c r="P155" i="21"/>
  <c r="Q155" i="21"/>
  <c r="R155" i="21"/>
  <c r="P156" i="21"/>
  <c r="Q156" i="21"/>
  <c r="R156" i="21"/>
  <c r="P157" i="21"/>
  <c r="Q157" i="21"/>
  <c r="R157" i="21"/>
  <c r="P158" i="21"/>
  <c r="Q158" i="21"/>
  <c r="R158" i="21"/>
  <c r="P159" i="21"/>
  <c r="Q159" i="21"/>
  <c r="R159" i="21"/>
  <c r="P160" i="21"/>
  <c r="Q160" i="21"/>
  <c r="R160" i="21"/>
  <c r="P161" i="21"/>
  <c r="Q161" i="21"/>
  <c r="R161" i="21"/>
  <c r="P162" i="21"/>
  <c r="Q162" i="21"/>
  <c r="R162" i="21"/>
  <c r="P163" i="21"/>
  <c r="Q163" i="21"/>
  <c r="R163" i="21"/>
  <c r="P164" i="21"/>
  <c r="Q164" i="21"/>
  <c r="R164" i="21"/>
  <c r="P165" i="21"/>
  <c r="Q165" i="21"/>
  <c r="R165" i="21"/>
  <c r="P166" i="21"/>
  <c r="Q166" i="21"/>
  <c r="R166" i="21"/>
  <c r="P167" i="21"/>
  <c r="Q167" i="21"/>
  <c r="R167" i="21"/>
  <c r="P168" i="21"/>
  <c r="Q168" i="21"/>
  <c r="R168" i="21"/>
  <c r="P169" i="21"/>
  <c r="Q169" i="21"/>
  <c r="R169" i="21"/>
  <c r="P170" i="21"/>
  <c r="Q170" i="21"/>
  <c r="R170" i="21"/>
  <c r="P171" i="21"/>
  <c r="Q171" i="21"/>
  <c r="R171" i="21"/>
  <c r="P172" i="21"/>
  <c r="Q172" i="21"/>
  <c r="R172" i="21"/>
  <c r="P173" i="21"/>
  <c r="Q173" i="21"/>
  <c r="R173" i="21"/>
  <c r="P174" i="21"/>
  <c r="Q174" i="21"/>
  <c r="R174" i="21"/>
  <c r="P175" i="21"/>
  <c r="Q175" i="21"/>
  <c r="R175" i="21"/>
  <c r="P176" i="21"/>
  <c r="Q176" i="21"/>
  <c r="R176" i="21"/>
  <c r="P177" i="21"/>
  <c r="Q177" i="21"/>
  <c r="R177" i="21"/>
  <c r="P178" i="21"/>
  <c r="Q178" i="21"/>
  <c r="R178" i="21"/>
  <c r="P179" i="21"/>
  <c r="Q179" i="21"/>
  <c r="R179" i="21"/>
  <c r="P180" i="21"/>
  <c r="Q180" i="21"/>
  <c r="R180" i="21"/>
  <c r="P181" i="21"/>
  <c r="Q181" i="21"/>
  <c r="R181" i="21"/>
  <c r="P182" i="21"/>
  <c r="Q182" i="21"/>
  <c r="R182" i="21"/>
  <c r="P183" i="21"/>
  <c r="Q183" i="21"/>
  <c r="R183" i="21"/>
  <c r="P184" i="21"/>
  <c r="Q184" i="21"/>
  <c r="R184" i="21"/>
  <c r="P185" i="21"/>
  <c r="Q185" i="21"/>
  <c r="R185" i="21"/>
  <c r="P186" i="21"/>
  <c r="Q186" i="21"/>
  <c r="R186" i="21"/>
  <c r="P187" i="21"/>
  <c r="Q187" i="21"/>
  <c r="R187" i="21"/>
  <c r="P188" i="21"/>
  <c r="Q188" i="21"/>
  <c r="R188" i="21"/>
  <c r="P189" i="21"/>
  <c r="Q189" i="21"/>
  <c r="R189" i="21"/>
  <c r="P190" i="21"/>
  <c r="Q190" i="21"/>
  <c r="R190" i="21"/>
  <c r="P191" i="21"/>
  <c r="Q191" i="21"/>
  <c r="R191" i="21"/>
  <c r="P192" i="21"/>
  <c r="Q192" i="21"/>
  <c r="R192" i="21"/>
  <c r="P193" i="21"/>
  <c r="Q193" i="21"/>
  <c r="R193" i="21"/>
  <c r="P194" i="21"/>
  <c r="Q194" i="21"/>
  <c r="R194" i="21"/>
  <c r="P195" i="21"/>
  <c r="Q195" i="21"/>
  <c r="R195" i="21"/>
  <c r="P196" i="21"/>
  <c r="Q196" i="21"/>
  <c r="R196" i="21"/>
  <c r="P197" i="21"/>
  <c r="Q197" i="21"/>
  <c r="R197" i="21"/>
  <c r="P198" i="21"/>
  <c r="Q198" i="21"/>
  <c r="R198" i="21"/>
  <c r="P199" i="21"/>
  <c r="Q199" i="21"/>
  <c r="R199" i="21"/>
  <c r="P200" i="21"/>
  <c r="Q200" i="21"/>
  <c r="R200" i="21"/>
  <c r="P201" i="21"/>
  <c r="Q201" i="21"/>
  <c r="R201" i="21"/>
  <c r="P202" i="21"/>
  <c r="Q202" i="21"/>
  <c r="R202" i="21"/>
  <c r="P203" i="21"/>
  <c r="Q203" i="21"/>
  <c r="R203" i="21"/>
  <c r="P204" i="21"/>
  <c r="Q204" i="21"/>
  <c r="R204" i="21"/>
  <c r="P205" i="21"/>
  <c r="Q205" i="21"/>
  <c r="R205" i="21"/>
  <c r="P206" i="21"/>
  <c r="Q206" i="21"/>
  <c r="R206" i="21"/>
  <c r="P207" i="21"/>
  <c r="Q207" i="21"/>
  <c r="R207" i="21"/>
  <c r="P208" i="21"/>
  <c r="Q208" i="21"/>
  <c r="R208" i="21"/>
  <c r="P209" i="21"/>
  <c r="Q209" i="21"/>
  <c r="R209" i="21"/>
  <c r="P210" i="21"/>
  <c r="Q210" i="21"/>
  <c r="R210" i="21"/>
  <c r="P211" i="21"/>
  <c r="Q211" i="21"/>
  <c r="R211" i="21"/>
  <c r="P212" i="21"/>
  <c r="Q212" i="21"/>
  <c r="R212" i="21"/>
  <c r="P213" i="21"/>
  <c r="Q213" i="21"/>
  <c r="R213" i="21"/>
  <c r="P214" i="21"/>
  <c r="Q214" i="21"/>
  <c r="R214" i="21"/>
  <c r="P215" i="21"/>
  <c r="Q215" i="21"/>
  <c r="R215" i="21"/>
  <c r="P216" i="21"/>
  <c r="Q216" i="21"/>
  <c r="R216" i="21"/>
  <c r="P217" i="21"/>
  <c r="Q217" i="21"/>
  <c r="R217" i="21"/>
  <c r="P218" i="21"/>
  <c r="Q218" i="21"/>
  <c r="R218" i="21"/>
  <c r="P219" i="21"/>
  <c r="Q219" i="21"/>
  <c r="R219" i="21"/>
  <c r="P220" i="21"/>
  <c r="Q220" i="21"/>
  <c r="R220" i="21"/>
  <c r="P221" i="21"/>
  <c r="Q221" i="21"/>
  <c r="R221" i="21"/>
  <c r="P222" i="21"/>
  <c r="Q222" i="21"/>
  <c r="R222" i="21"/>
  <c r="P223" i="21"/>
  <c r="Q223" i="21"/>
  <c r="R223" i="21"/>
  <c r="P224" i="21"/>
  <c r="Q224" i="21"/>
  <c r="R224" i="21"/>
  <c r="P225" i="21"/>
  <c r="Q225" i="21"/>
  <c r="R225" i="21"/>
  <c r="P226" i="21"/>
  <c r="Q226" i="21"/>
  <c r="R226" i="21"/>
  <c r="P227" i="21"/>
  <c r="Q227" i="21"/>
  <c r="R227" i="21"/>
  <c r="P228" i="21"/>
  <c r="Q228" i="21"/>
  <c r="R228" i="21"/>
  <c r="P229" i="21"/>
  <c r="Q229" i="21"/>
  <c r="R229" i="21"/>
  <c r="P230" i="21"/>
  <c r="Q230" i="21"/>
  <c r="R230" i="21"/>
  <c r="P231" i="21"/>
  <c r="Q231" i="21"/>
  <c r="R231" i="21"/>
  <c r="P232" i="21"/>
  <c r="Q232" i="21"/>
  <c r="R232" i="21"/>
  <c r="P233" i="21"/>
  <c r="Q233" i="21"/>
  <c r="R233" i="21"/>
  <c r="P234" i="21"/>
  <c r="Q234" i="21"/>
  <c r="R234" i="21"/>
  <c r="P235" i="21"/>
  <c r="Q235" i="21"/>
  <c r="R235" i="21"/>
  <c r="P236" i="21"/>
  <c r="Q236" i="21"/>
  <c r="R236" i="21"/>
  <c r="P237" i="21"/>
  <c r="Q237" i="21"/>
  <c r="R237" i="21"/>
  <c r="P238" i="21"/>
  <c r="Q238" i="21"/>
  <c r="R238" i="21"/>
  <c r="P239" i="21"/>
  <c r="Q239" i="21"/>
  <c r="R239" i="21"/>
  <c r="P240" i="21"/>
  <c r="Q240" i="21"/>
  <c r="R240" i="21"/>
  <c r="P241" i="21"/>
  <c r="Q241" i="21"/>
  <c r="R241" i="21"/>
  <c r="P242" i="21"/>
  <c r="Q242" i="21"/>
  <c r="R242" i="21"/>
  <c r="P243" i="21"/>
  <c r="Q243" i="21"/>
  <c r="R243" i="21"/>
  <c r="P244" i="21"/>
  <c r="Q244" i="21"/>
  <c r="R244" i="21"/>
  <c r="P245" i="21"/>
  <c r="Q245" i="21"/>
  <c r="R245" i="21"/>
  <c r="P246" i="21"/>
  <c r="Q246" i="21"/>
  <c r="R246" i="21"/>
  <c r="P247" i="21"/>
  <c r="Q247" i="21"/>
  <c r="R247" i="21"/>
  <c r="P248" i="21"/>
  <c r="Q248" i="21"/>
  <c r="R248" i="21"/>
  <c r="P249" i="21"/>
  <c r="Q249" i="21"/>
  <c r="R249" i="21"/>
  <c r="P250" i="21"/>
  <c r="Q250" i="21"/>
  <c r="R250" i="21"/>
  <c r="P251" i="21"/>
  <c r="Q251" i="21"/>
  <c r="R251" i="21"/>
  <c r="P252" i="21"/>
  <c r="Q252" i="21"/>
  <c r="R252" i="21"/>
  <c r="P253" i="21"/>
  <c r="Q253" i="21"/>
  <c r="R253" i="21"/>
  <c r="P254" i="21"/>
  <c r="Q254" i="21"/>
  <c r="R254" i="21"/>
  <c r="P255" i="21"/>
  <c r="Q255" i="21"/>
  <c r="R255" i="21"/>
  <c r="P256" i="21"/>
  <c r="Q256" i="21"/>
  <c r="R256" i="21"/>
  <c r="P257" i="21"/>
  <c r="Q257" i="21"/>
  <c r="R257" i="21"/>
  <c r="P258" i="21"/>
  <c r="Q258" i="21"/>
  <c r="R258" i="21"/>
  <c r="P259" i="21"/>
  <c r="Q259" i="21"/>
  <c r="R259" i="21"/>
  <c r="P260" i="21"/>
  <c r="Q260" i="21"/>
  <c r="R260" i="21"/>
  <c r="P261" i="21"/>
  <c r="Q261" i="21"/>
  <c r="R261" i="21"/>
  <c r="P262" i="21"/>
  <c r="Q262" i="21"/>
  <c r="R262" i="21"/>
  <c r="P263" i="21"/>
  <c r="Q263" i="21"/>
  <c r="R263" i="21"/>
  <c r="P264" i="21"/>
  <c r="Q264" i="21"/>
  <c r="R264" i="21"/>
  <c r="P265" i="21"/>
  <c r="Q265" i="21"/>
  <c r="R265" i="21"/>
  <c r="P266" i="21"/>
  <c r="Q266" i="21"/>
  <c r="R266" i="21"/>
  <c r="P267" i="21"/>
  <c r="Q267" i="21"/>
  <c r="R267" i="21"/>
  <c r="P268" i="21"/>
  <c r="Q268" i="21"/>
  <c r="R268" i="21"/>
  <c r="P269" i="21"/>
  <c r="Q269" i="21"/>
  <c r="R269" i="21"/>
  <c r="P270" i="21"/>
  <c r="Q270" i="21"/>
  <c r="R270" i="21"/>
  <c r="P271" i="21"/>
  <c r="Q271" i="21"/>
  <c r="R271" i="21"/>
  <c r="P272" i="21"/>
  <c r="Q272" i="21"/>
  <c r="R272" i="21"/>
  <c r="P273" i="21"/>
  <c r="Q273" i="21"/>
  <c r="R273" i="21"/>
  <c r="P274" i="21"/>
  <c r="Q274" i="21"/>
  <c r="R274" i="21"/>
  <c r="P275" i="21"/>
  <c r="Q275" i="21"/>
  <c r="R275" i="21"/>
  <c r="P276" i="21"/>
  <c r="Q276" i="21"/>
  <c r="R276" i="21"/>
  <c r="P277" i="21"/>
  <c r="Q277" i="21"/>
  <c r="R277" i="21"/>
  <c r="P278" i="21"/>
  <c r="Q278" i="21"/>
  <c r="R278" i="21"/>
  <c r="P279" i="21"/>
  <c r="Q279" i="21"/>
  <c r="R279" i="21"/>
  <c r="P280" i="21"/>
  <c r="Q280" i="21"/>
  <c r="R280" i="21"/>
  <c r="P281" i="21"/>
  <c r="Q281" i="21"/>
  <c r="R281" i="21"/>
  <c r="P282" i="21"/>
  <c r="Q282" i="21"/>
  <c r="R282" i="21"/>
  <c r="P283" i="21"/>
  <c r="Q283" i="21"/>
  <c r="R283" i="21"/>
  <c r="P284" i="21"/>
  <c r="Q284" i="21"/>
  <c r="R284" i="21"/>
  <c r="P285" i="21"/>
  <c r="Q285" i="21"/>
  <c r="R285" i="21"/>
  <c r="P286" i="21"/>
  <c r="Q286" i="21"/>
  <c r="R286" i="21"/>
  <c r="P287" i="21"/>
  <c r="Q287" i="21"/>
  <c r="R287" i="21"/>
  <c r="P288" i="21"/>
  <c r="Q288" i="21"/>
  <c r="R288" i="21"/>
  <c r="P289" i="21"/>
  <c r="Q289" i="21"/>
  <c r="R289" i="21"/>
  <c r="P290" i="21"/>
  <c r="Q290" i="21"/>
  <c r="R290" i="21"/>
  <c r="P291" i="21"/>
  <c r="Q291" i="21"/>
  <c r="R291" i="21"/>
  <c r="P292" i="21"/>
  <c r="Q292" i="21"/>
  <c r="R292" i="21"/>
  <c r="P293" i="21"/>
  <c r="Q293" i="21"/>
  <c r="R293" i="21"/>
  <c r="P294" i="21"/>
  <c r="Q294" i="21"/>
  <c r="R294" i="21"/>
  <c r="P295" i="21"/>
  <c r="Q295" i="21"/>
  <c r="R295" i="21"/>
  <c r="P296" i="21"/>
  <c r="Q296" i="21"/>
  <c r="R296" i="21"/>
  <c r="P297" i="21"/>
  <c r="Q297" i="21"/>
  <c r="R297" i="21"/>
  <c r="P298" i="21"/>
  <c r="Q298" i="21"/>
  <c r="R298" i="21"/>
  <c r="P299" i="21"/>
  <c r="Q299" i="21"/>
  <c r="R299" i="21"/>
  <c r="P300" i="21"/>
  <c r="Q300" i="21"/>
  <c r="R300" i="21"/>
  <c r="P301" i="21"/>
  <c r="Q301" i="21"/>
  <c r="R301" i="21"/>
  <c r="P302" i="21"/>
  <c r="Q302" i="21"/>
  <c r="R302" i="21"/>
  <c r="P303" i="21"/>
  <c r="Q303" i="21"/>
  <c r="R303" i="21"/>
  <c r="P304" i="21"/>
  <c r="Q304" i="21"/>
  <c r="R304" i="21"/>
  <c r="P305" i="21"/>
  <c r="Q305" i="21"/>
  <c r="R305" i="21"/>
  <c r="P306" i="21"/>
  <c r="Q306" i="21"/>
  <c r="R306" i="21"/>
  <c r="P307" i="21"/>
  <c r="Q307" i="21"/>
  <c r="R307" i="21"/>
  <c r="P308" i="21"/>
  <c r="Q308" i="21"/>
  <c r="R308" i="21"/>
  <c r="P309" i="21"/>
  <c r="Q309" i="21"/>
  <c r="R309" i="21"/>
  <c r="P310" i="21"/>
  <c r="Q310" i="21"/>
  <c r="R310" i="21"/>
  <c r="P311" i="21"/>
  <c r="Q311" i="21"/>
  <c r="R311" i="21"/>
  <c r="P312" i="21"/>
  <c r="Q312" i="21"/>
  <c r="R312" i="21"/>
  <c r="P313" i="21"/>
  <c r="Q313" i="21"/>
  <c r="R313" i="21"/>
  <c r="P314" i="21"/>
  <c r="Q314" i="21"/>
  <c r="R314" i="21"/>
  <c r="P315" i="21"/>
  <c r="Q315" i="21"/>
  <c r="R315" i="21"/>
  <c r="P316" i="21"/>
  <c r="Q316" i="21"/>
  <c r="R316" i="21"/>
  <c r="P317" i="21"/>
  <c r="Q317" i="21"/>
  <c r="R317" i="21"/>
  <c r="P318" i="21"/>
  <c r="Q318" i="21"/>
  <c r="R318" i="21"/>
  <c r="P319" i="21"/>
  <c r="Q319" i="21"/>
  <c r="R319" i="21"/>
  <c r="P320" i="21"/>
  <c r="Q320" i="21"/>
  <c r="R320" i="21"/>
  <c r="P321" i="21"/>
  <c r="Q321" i="21"/>
  <c r="R321" i="21"/>
  <c r="P322" i="21"/>
  <c r="Q322" i="21"/>
  <c r="R322" i="21"/>
  <c r="P323" i="21"/>
  <c r="Q323" i="21"/>
  <c r="R323" i="21"/>
  <c r="P324" i="21"/>
  <c r="Q324" i="21"/>
  <c r="R324" i="21"/>
  <c r="P325" i="21"/>
  <c r="Q325" i="21"/>
  <c r="R325" i="21"/>
  <c r="P326" i="21"/>
  <c r="Q326" i="21"/>
  <c r="R326" i="21"/>
  <c r="P327" i="21"/>
  <c r="Q327" i="21"/>
  <c r="R327" i="21"/>
  <c r="P328" i="21"/>
  <c r="Q328" i="21"/>
  <c r="R328" i="21"/>
  <c r="P329" i="21"/>
  <c r="Q329" i="21"/>
  <c r="R329" i="21"/>
  <c r="P330" i="21"/>
  <c r="Q330" i="21"/>
  <c r="R330" i="21"/>
  <c r="P331" i="21"/>
  <c r="Q331" i="21"/>
  <c r="R331" i="21"/>
  <c r="P332" i="21"/>
  <c r="Q332" i="21"/>
  <c r="R332" i="21"/>
  <c r="P333" i="21"/>
  <c r="Q333" i="21"/>
  <c r="R333" i="21"/>
  <c r="P334" i="21"/>
  <c r="Q334" i="21"/>
  <c r="R334" i="21"/>
  <c r="P335" i="21"/>
  <c r="Q335" i="21"/>
  <c r="R335" i="21"/>
  <c r="P336" i="21"/>
  <c r="Q336" i="21"/>
  <c r="R336" i="21"/>
  <c r="P337" i="21"/>
  <c r="Q337" i="21"/>
  <c r="R337" i="21"/>
  <c r="P338" i="21"/>
  <c r="Q338" i="21"/>
  <c r="R338" i="21"/>
  <c r="P339" i="21"/>
  <c r="Q339" i="21"/>
  <c r="R339" i="21"/>
  <c r="P340" i="21"/>
  <c r="Q340" i="21"/>
  <c r="R340" i="21"/>
  <c r="P341" i="21"/>
  <c r="Q341" i="21"/>
  <c r="R341" i="21"/>
  <c r="P342" i="21"/>
  <c r="Q342" i="21"/>
  <c r="R342" i="21"/>
  <c r="P343" i="21"/>
  <c r="Q343" i="21"/>
  <c r="R343" i="21"/>
  <c r="P344" i="21"/>
  <c r="Q344" i="21"/>
  <c r="R344" i="21"/>
  <c r="P345" i="21"/>
  <c r="Q345" i="21"/>
  <c r="R345" i="21"/>
  <c r="P346" i="21"/>
  <c r="Q346" i="21"/>
  <c r="R346" i="21"/>
  <c r="P347" i="21"/>
  <c r="Q347" i="21"/>
  <c r="R347" i="21"/>
  <c r="P348" i="21"/>
  <c r="Q348" i="21"/>
  <c r="R348" i="21"/>
  <c r="P349" i="21"/>
  <c r="Q349" i="21"/>
  <c r="R349" i="21"/>
  <c r="P350" i="21"/>
  <c r="Q350" i="21"/>
  <c r="R350" i="21"/>
  <c r="P351" i="21"/>
  <c r="Q351" i="21"/>
  <c r="R351" i="21"/>
  <c r="P352" i="21"/>
  <c r="Q352" i="21"/>
  <c r="R352" i="21"/>
  <c r="P353" i="21"/>
  <c r="Q353" i="21"/>
  <c r="R353" i="21"/>
  <c r="P354" i="21"/>
  <c r="Q354" i="21"/>
  <c r="R354" i="21"/>
  <c r="P355" i="21"/>
  <c r="Q355" i="21"/>
  <c r="R355" i="21"/>
  <c r="P356" i="21"/>
  <c r="Q356" i="21"/>
  <c r="R356" i="21"/>
  <c r="P357" i="21"/>
  <c r="Q357" i="21"/>
  <c r="R357" i="21"/>
  <c r="P358" i="21"/>
  <c r="Q358" i="21"/>
  <c r="R358" i="21"/>
  <c r="P359" i="21"/>
  <c r="Q359" i="21"/>
  <c r="R359" i="21"/>
  <c r="P360" i="21"/>
  <c r="Q360" i="21"/>
  <c r="R360" i="21"/>
  <c r="P361" i="21"/>
  <c r="Q361" i="21"/>
  <c r="R361" i="21"/>
  <c r="P362" i="21"/>
  <c r="Q362" i="21"/>
  <c r="R362" i="21"/>
  <c r="P363" i="21"/>
  <c r="Q363" i="21"/>
  <c r="R363" i="21"/>
  <c r="P364" i="21"/>
  <c r="Q364" i="21"/>
  <c r="R364" i="21"/>
  <c r="P365" i="21"/>
  <c r="Q365" i="21"/>
  <c r="R365" i="21"/>
  <c r="P366" i="21"/>
  <c r="Q366" i="21"/>
  <c r="R366" i="21"/>
  <c r="P367" i="21"/>
  <c r="Q367" i="21"/>
  <c r="R367" i="21"/>
  <c r="P368" i="21"/>
  <c r="Q368" i="21"/>
  <c r="R368" i="21"/>
  <c r="P369" i="21"/>
  <c r="Q369" i="21"/>
  <c r="R369" i="21"/>
  <c r="P370" i="21"/>
  <c r="Q370" i="21"/>
  <c r="R370" i="21"/>
  <c r="P371" i="21"/>
  <c r="Q371" i="21"/>
  <c r="R371" i="21"/>
  <c r="P372" i="21"/>
  <c r="Q372" i="21"/>
  <c r="R372" i="21"/>
  <c r="P373" i="21"/>
  <c r="Q373" i="21"/>
  <c r="R373" i="21"/>
  <c r="P374" i="21"/>
  <c r="Q374" i="21"/>
  <c r="R374" i="21"/>
  <c r="P375" i="21"/>
  <c r="Q375" i="21"/>
  <c r="R375" i="21"/>
  <c r="P376" i="21"/>
  <c r="Q376" i="21"/>
  <c r="R376" i="21"/>
  <c r="P377" i="21"/>
  <c r="Q377" i="21"/>
  <c r="R377" i="21"/>
  <c r="P378" i="21"/>
  <c r="Q378" i="21"/>
  <c r="R378" i="21"/>
  <c r="P379" i="21"/>
  <c r="Q379" i="21"/>
  <c r="R379" i="21"/>
  <c r="P380" i="21"/>
  <c r="Q380" i="21"/>
  <c r="R380" i="21"/>
  <c r="P381" i="21"/>
  <c r="Q381" i="21"/>
  <c r="R381" i="21"/>
  <c r="P382" i="21"/>
  <c r="Q382" i="21"/>
  <c r="R382" i="21"/>
  <c r="P383" i="21"/>
  <c r="Q383" i="21"/>
  <c r="R383" i="21"/>
  <c r="P384" i="21"/>
  <c r="Q384" i="21"/>
  <c r="R384" i="21"/>
  <c r="P385" i="21"/>
  <c r="Q385" i="21"/>
  <c r="R385" i="21"/>
  <c r="P386" i="21"/>
  <c r="Q386" i="21"/>
  <c r="R386" i="21"/>
  <c r="P387" i="21"/>
  <c r="Q387" i="21"/>
  <c r="R387" i="21"/>
  <c r="P388" i="21"/>
  <c r="Q388" i="21"/>
  <c r="R388" i="21"/>
  <c r="P389" i="21"/>
  <c r="Q389" i="21"/>
  <c r="R389" i="21"/>
  <c r="P390" i="21"/>
  <c r="Q390" i="21"/>
  <c r="R390" i="21"/>
  <c r="P391" i="21"/>
  <c r="Q391" i="21"/>
  <c r="R391" i="21"/>
  <c r="P392" i="21"/>
  <c r="Q392" i="21"/>
  <c r="R392" i="21"/>
  <c r="P393" i="21"/>
  <c r="Q393" i="21"/>
  <c r="R393" i="21"/>
  <c r="P394" i="21"/>
  <c r="Q394" i="21"/>
  <c r="R394" i="21"/>
  <c r="P395" i="21"/>
  <c r="Q395" i="21"/>
  <c r="R395" i="21"/>
  <c r="P396" i="21"/>
  <c r="Q396" i="21"/>
  <c r="R396" i="21"/>
  <c r="P397" i="21"/>
  <c r="Q397" i="21"/>
  <c r="R397" i="21"/>
  <c r="P398" i="21"/>
  <c r="Q398" i="21"/>
  <c r="R398" i="21"/>
  <c r="P399" i="21"/>
  <c r="Q399" i="21"/>
  <c r="R399" i="21"/>
  <c r="P400" i="21"/>
  <c r="Q400" i="21"/>
  <c r="R400" i="21"/>
  <c r="P401" i="21"/>
  <c r="Q401" i="21"/>
  <c r="R401" i="21"/>
  <c r="P402" i="21"/>
  <c r="Q402" i="21"/>
  <c r="R402" i="21"/>
  <c r="P403" i="21"/>
  <c r="Q403" i="21"/>
  <c r="R403" i="21"/>
  <c r="P404" i="21"/>
  <c r="Q404" i="21"/>
  <c r="R404" i="21"/>
  <c r="P405" i="21"/>
  <c r="Q405" i="21"/>
  <c r="R405" i="21"/>
  <c r="P406" i="21"/>
  <c r="Q406" i="21"/>
  <c r="R406" i="21"/>
  <c r="P407" i="21"/>
  <c r="Q407" i="21"/>
  <c r="R407" i="21"/>
  <c r="P408" i="21"/>
  <c r="Q408" i="21"/>
  <c r="R408" i="21"/>
  <c r="P409" i="21"/>
  <c r="Q409" i="21"/>
  <c r="R409" i="21"/>
  <c r="P410" i="21"/>
  <c r="Q410" i="21"/>
  <c r="R410" i="21"/>
  <c r="P411" i="21"/>
  <c r="Q411" i="21"/>
  <c r="R411" i="21"/>
  <c r="P412" i="21"/>
  <c r="Q412" i="21"/>
  <c r="R412" i="21"/>
  <c r="P413" i="21"/>
  <c r="Q413" i="21"/>
  <c r="R413" i="21"/>
  <c r="P414" i="21"/>
  <c r="Q414" i="21"/>
  <c r="R414" i="21"/>
  <c r="P415" i="21"/>
  <c r="Q415" i="21"/>
  <c r="R415" i="21"/>
  <c r="P416" i="21"/>
  <c r="Q416" i="21"/>
  <c r="R416" i="21"/>
  <c r="P417" i="21"/>
  <c r="Q417" i="21"/>
  <c r="R417" i="21"/>
  <c r="P418" i="21"/>
  <c r="Q418" i="21"/>
  <c r="R418" i="21"/>
  <c r="P419" i="21"/>
  <c r="Q419" i="21"/>
  <c r="R419" i="21"/>
  <c r="P420" i="21"/>
  <c r="Q420" i="21"/>
  <c r="R420" i="21"/>
  <c r="P421" i="21"/>
  <c r="Q421" i="21"/>
  <c r="R421" i="21"/>
  <c r="P422" i="21"/>
  <c r="Q422" i="21"/>
  <c r="R422" i="21"/>
  <c r="P423" i="21"/>
  <c r="Q423" i="21"/>
  <c r="R423" i="21"/>
  <c r="P424" i="21"/>
  <c r="Q424" i="21"/>
  <c r="R424" i="21"/>
  <c r="P425" i="21"/>
  <c r="Q425" i="21"/>
  <c r="R425" i="21"/>
  <c r="P426" i="21"/>
  <c r="Q426" i="21"/>
  <c r="R426" i="21"/>
  <c r="P427" i="21"/>
  <c r="Q427" i="21"/>
  <c r="R427" i="21"/>
  <c r="P428" i="21"/>
  <c r="Q428" i="21"/>
  <c r="R428" i="21"/>
  <c r="P429" i="21"/>
  <c r="Q429" i="21"/>
  <c r="R429" i="21"/>
  <c r="P430" i="21"/>
  <c r="Q430" i="21"/>
  <c r="R430" i="21"/>
  <c r="P6" i="21"/>
  <c r="N8" i="21"/>
  <c r="R8" i="21" s="1"/>
  <c r="N9" i="21"/>
  <c r="R9" i="21" s="1"/>
  <c r="N10" i="21"/>
  <c r="R10" i="21" s="1"/>
  <c r="N11" i="21"/>
  <c r="R11" i="21" s="1"/>
  <c r="N12" i="21"/>
  <c r="R12" i="21" s="1"/>
  <c r="N13" i="21"/>
  <c r="R13" i="21" s="1"/>
  <c r="N14" i="21"/>
  <c r="R14" i="21" s="1"/>
  <c r="N15" i="21"/>
  <c r="R15" i="21" s="1"/>
  <c r="N16" i="21"/>
  <c r="R16" i="21" s="1"/>
  <c r="N17" i="21"/>
  <c r="N18" i="21"/>
  <c r="N19" i="21"/>
  <c r="N20" i="21"/>
  <c r="N21" i="21"/>
  <c r="N22" i="21"/>
  <c r="N23" i="21"/>
  <c r="N24" i="21"/>
  <c r="N25" i="21"/>
  <c r="N28" i="21"/>
  <c r="N29" i="21"/>
  <c r="N30" i="21"/>
  <c r="N31" i="21"/>
  <c r="N32" i="21"/>
  <c r="N33" i="21"/>
  <c r="N34" i="21"/>
  <c r="N35" i="21"/>
  <c r="N36" i="21"/>
  <c r="N37" i="21"/>
  <c r="N38" i="21"/>
  <c r="N39" i="21"/>
  <c r="N40" i="21"/>
  <c r="N41" i="21"/>
  <c r="N42" i="21"/>
  <c r="N45" i="21"/>
  <c r="N46" i="21"/>
  <c r="N47" i="21"/>
  <c r="N48" i="21"/>
  <c r="N49" i="21"/>
  <c r="N50" i="21"/>
  <c r="N51" i="21"/>
  <c r="N52" i="21"/>
  <c r="N53" i="21"/>
  <c r="N54" i="21"/>
  <c r="N55" i="21"/>
  <c r="N56" i="21"/>
  <c r="N57" i="21"/>
  <c r="N58" i="21"/>
  <c r="N59" i="21"/>
  <c r="N60" i="21"/>
  <c r="N61" i="21"/>
  <c r="N62" i="21"/>
  <c r="N63" i="21"/>
  <c r="N64" i="21"/>
  <c r="N65" i="21"/>
  <c r="N66" i="21"/>
  <c r="N67" i="21"/>
  <c r="N68" i="21"/>
  <c r="N69" i="21"/>
  <c r="N70" i="21"/>
  <c r="N71"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109" i="21"/>
  <c r="N110" i="21"/>
  <c r="N111" i="21"/>
  <c r="N112" i="21"/>
  <c r="N113" i="21"/>
  <c r="N114" i="21"/>
  <c r="N115" i="21"/>
  <c r="N116" i="21"/>
  <c r="N117" i="21"/>
  <c r="N118"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209" i="21"/>
  <c r="N210" i="21"/>
  <c r="N211" i="21"/>
  <c r="N212" i="21"/>
  <c r="N213" i="21"/>
  <c r="N214" i="21"/>
  <c r="N215" i="21"/>
  <c r="N216" i="21"/>
  <c r="N217" i="21"/>
  <c r="N218" i="21"/>
  <c r="N219" i="21"/>
  <c r="N220" i="21"/>
  <c r="N221" i="21"/>
  <c r="N222" i="21"/>
  <c r="N223" i="21"/>
  <c r="N224" i="21"/>
  <c r="N225" i="21"/>
  <c r="N226" i="21"/>
  <c r="N227" i="21"/>
  <c r="N228" i="21"/>
  <c r="N229" i="21"/>
  <c r="N230" i="21"/>
  <c r="N231" i="21"/>
  <c r="N232" i="21"/>
  <c r="N233" i="21"/>
  <c r="N234" i="21"/>
  <c r="N235" i="21"/>
  <c r="N236" i="21"/>
  <c r="N237" i="21"/>
  <c r="N238" i="21"/>
  <c r="N239" i="21"/>
  <c r="N240" i="21"/>
  <c r="N241" i="21"/>
  <c r="N242" i="21"/>
  <c r="N243" i="21"/>
  <c r="N244" i="21"/>
  <c r="N245" i="21"/>
  <c r="N246" i="21"/>
  <c r="N247" i="21"/>
  <c r="N248" i="21"/>
  <c r="N249" i="21"/>
  <c r="N250" i="21"/>
  <c r="N251" i="21"/>
  <c r="N252" i="21"/>
  <c r="N253" i="21"/>
  <c r="N254" i="21"/>
  <c r="N255" i="21"/>
  <c r="N256" i="21"/>
  <c r="N257" i="21"/>
  <c r="N258" i="21"/>
  <c r="N259" i="21"/>
  <c r="N260" i="21"/>
  <c r="N261" i="21"/>
  <c r="N262" i="21"/>
  <c r="N263" i="21"/>
  <c r="N264" i="21"/>
  <c r="N265" i="21"/>
  <c r="N266" i="21"/>
  <c r="N267" i="21"/>
  <c r="N268" i="21"/>
  <c r="N269" i="21"/>
  <c r="N270" i="21"/>
  <c r="N271" i="21"/>
  <c r="N272" i="21"/>
  <c r="N273" i="21"/>
  <c r="N274" i="21"/>
  <c r="N275" i="21"/>
  <c r="N276" i="21"/>
  <c r="N277" i="21"/>
  <c r="N278" i="21"/>
  <c r="N279" i="21"/>
  <c r="N280" i="21"/>
  <c r="N281" i="21"/>
  <c r="N282" i="21"/>
  <c r="N283" i="21"/>
  <c r="N284" i="21"/>
  <c r="N285" i="21"/>
  <c r="N286" i="21"/>
  <c r="N287" i="21"/>
  <c r="N288" i="21"/>
  <c r="N289" i="21"/>
  <c r="N290" i="21"/>
  <c r="N291" i="21"/>
  <c r="N292" i="21"/>
  <c r="N293" i="21"/>
  <c r="N294" i="21"/>
  <c r="N295" i="21"/>
  <c r="N296" i="21"/>
  <c r="N297" i="21"/>
  <c r="N298" i="21"/>
  <c r="N299" i="21"/>
  <c r="N300" i="21"/>
  <c r="N301" i="21"/>
  <c r="N302" i="21"/>
  <c r="N303" i="21"/>
  <c r="N304" i="21"/>
  <c r="N305" i="21"/>
  <c r="N306" i="21"/>
  <c r="N307" i="21"/>
  <c r="N308" i="21"/>
  <c r="N309" i="21"/>
  <c r="N310" i="21"/>
  <c r="N311" i="21"/>
  <c r="N312" i="21"/>
  <c r="N313" i="21"/>
  <c r="N314" i="21"/>
  <c r="N315" i="21"/>
  <c r="N316" i="21"/>
  <c r="N317" i="21"/>
  <c r="N318" i="21"/>
  <c r="N319" i="21"/>
  <c r="N320" i="21"/>
  <c r="N321" i="21"/>
  <c r="N322" i="21"/>
  <c r="N323" i="21"/>
  <c r="N324" i="21"/>
  <c r="N325" i="21"/>
  <c r="N326" i="21"/>
  <c r="N327" i="21"/>
  <c r="N328" i="21"/>
  <c r="N329" i="21"/>
  <c r="N330" i="21"/>
  <c r="N331" i="21"/>
  <c r="N332" i="21"/>
  <c r="N333" i="21"/>
  <c r="N334" i="21"/>
  <c r="N335" i="21"/>
  <c r="N336" i="21"/>
  <c r="N337" i="21"/>
  <c r="N338" i="21"/>
  <c r="N339" i="21"/>
  <c r="N340" i="21"/>
  <c r="N341" i="21"/>
  <c r="N342" i="21"/>
  <c r="N343" i="21"/>
  <c r="N344" i="21"/>
  <c r="N345" i="21"/>
  <c r="N346" i="21"/>
  <c r="N347" i="21"/>
  <c r="N348" i="21"/>
  <c r="N349" i="21"/>
  <c r="N350" i="21"/>
  <c r="N351" i="21"/>
  <c r="N352" i="21"/>
  <c r="N353" i="21"/>
  <c r="N354" i="21"/>
  <c r="N355" i="21"/>
  <c r="N356" i="21"/>
  <c r="N357" i="21"/>
  <c r="N358" i="21"/>
  <c r="N359" i="21"/>
  <c r="N360" i="21"/>
  <c r="N361" i="21"/>
  <c r="N362" i="21"/>
  <c r="N363" i="21"/>
  <c r="N364" i="21"/>
  <c r="N365" i="21"/>
  <c r="N366" i="21"/>
  <c r="N367" i="21"/>
  <c r="N368" i="21"/>
  <c r="N369" i="21"/>
  <c r="N370" i="21"/>
  <c r="N371" i="21"/>
  <c r="N372" i="21"/>
  <c r="N373" i="21"/>
  <c r="N374" i="21"/>
  <c r="N375" i="21"/>
  <c r="N376" i="21"/>
  <c r="N377" i="21"/>
  <c r="N378" i="21"/>
  <c r="N379" i="21"/>
  <c r="N380" i="21"/>
  <c r="N381" i="21"/>
  <c r="N382" i="21"/>
  <c r="N383" i="21"/>
  <c r="N384" i="21"/>
  <c r="N385" i="21"/>
  <c r="N386" i="21"/>
  <c r="N387" i="21"/>
  <c r="N388" i="21"/>
  <c r="N389" i="21"/>
  <c r="N390" i="21"/>
  <c r="N391" i="21"/>
  <c r="N392" i="21"/>
  <c r="N393" i="21"/>
  <c r="N394" i="21"/>
  <c r="N395" i="21"/>
  <c r="N396" i="21"/>
  <c r="N397" i="21"/>
  <c r="N398" i="21"/>
  <c r="N399" i="21"/>
  <c r="N400" i="21"/>
  <c r="N401" i="21"/>
  <c r="N402" i="21"/>
  <c r="N403" i="21"/>
  <c r="N404" i="21"/>
  <c r="N405" i="21"/>
  <c r="N406" i="21"/>
  <c r="N407" i="21"/>
  <c r="N408" i="21"/>
  <c r="N409" i="21"/>
  <c r="N410" i="21"/>
  <c r="N411" i="21"/>
  <c r="N412" i="21"/>
  <c r="N413" i="21"/>
  <c r="N414" i="21"/>
  <c r="N415" i="21"/>
  <c r="N416" i="21"/>
  <c r="N417" i="21"/>
  <c r="N418" i="21"/>
  <c r="N419" i="21"/>
  <c r="N420" i="21"/>
  <c r="N421" i="21"/>
  <c r="N422" i="21"/>
  <c r="N423" i="21"/>
  <c r="N424" i="21"/>
  <c r="N425" i="21"/>
  <c r="N426" i="21"/>
  <c r="N427" i="21"/>
  <c r="N428" i="21"/>
  <c r="N429" i="21"/>
  <c r="N430" i="21"/>
  <c r="P7" i="22"/>
  <c r="Q7" i="22"/>
  <c r="P8" i="22"/>
  <c r="P9" i="22"/>
  <c r="Q9" i="22"/>
  <c r="P10" i="22"/>
  <c r="Q10" i="22"/>
  <c r="P11" i="22"/>
  <c r="Q11" i="22"/>
  <c r="P12" i="22"/>
  <c r="P13" i="22"/>
  <c r="P14" i="22"/>
  <c r="P15" i="22"/>
  <c r="Q15" i="22"/>
  <c r="P16" i="22"/>
  <c r="P17" i="22"/>
  <c r="Q17" i="22"/>
  <c r="P18" i="22"/>
  <c r="Q18" i="22"/>
  <c r="R18" i="22"/>
  <c r="P19" i="22"/>
  <c r="Q19" i="22"/>
  <c r="R19" i="22"/>
  <c r="P20" i="22"/>
  <c r="Q20" i="22"/>
  <c r="R20" i="22"/>
  <c r="P21" i="22"/>
  <c r="Q21" i="22"/>
  <c r="R21" i="22"/>
  <c r="P22" i="22"/>
  <c r="Q22" i="22"/>
  <c r="R22" i="22"/>
  <c r="P23" i="22"/>
  <c r="Q23" i="22"/>
  <c r="R23" i="22"/>
  <c r="P24" i="22"/>
  <c r="Q24" i="22"/>
  <c r="R24" i="22"/>
  <c r="P25" i="22"/>
  <c r="Q25" i="22"/>
  <c r="R25" i="22"/>
  <c r="P26" i="22"/>
  <c r="Q26" i="22"/>
  <c r="R26" i="22"/>
  <c r="P27" i="22"/>
  <c r="Q27" i="22"/>
  <c r="R27" i="22"/>
  <c r="P28" i="22"/>
  <c r="Q28" i="22"/>
  <c r="R28" i="22"/>
  <c r="P29" i="22"/>
  <c r="Q29" i="22"/>
  <c r="R29" i="22"/>
  <c r="P30" i="22"/>
  <c r="Q30" i="22"/>
  <c r="R30" i="22"/>
  <c r="P31" i="22"/>
  <c r="Q31" i="22"/>
  <c r="R31" i="22"/>
  <c r="P32" i="22"/>
  <c r="Q32" i="22"/>
  <c r="R32" i="22"/>
  <c r="P33" i="22"/>
  <c r="Q33" i="22"/>
  <c r="R33" i="22"/>
  <c r="P34" i="22"/>
  <c r="Q34" i="22"/>
  <c r="R34" i="22"/>
  <c r="P35" i="22"/>
  <c r="Q35" i="22"/>
  <c r="R35" i="22"/>
  <c r="P36" i="22"/>
  <c r="Q36" i="22"/>
  <c r="R36" i="22"/>
  <c r="P37" i="22"/>
  <c r="Q37" i="22"/>
  <c r="R37" i="22"/>
  <c r="P38" i="22"/>
  <c r="Q38" i="22"/>
  <c r="R38" i="22"/>
  <c r="P39" i="22"/>
  <c r="Q39" i="22"/>
  <c r="R39" i="22"/>
  <c r="P40" i="22"/>
  <c r="Q40" i="22"/>
  <c r="R40" i="22"/>
  <c r="P41" i="22"/>
  <c r="Q41" i="22"/>
  <c r="R41" i="22"/>
  <c r="P42" i="22"/>
  <c r="Q42" i="22"/>
  <c r="R42" i="22"/>
  <c r="P43" i="22"/>
  <c r="Q43" i="22"/>
  <c r="R43" i="22"/>
  <c r="P44" i="22"/>
  <c r="Q44" i="22"/>
  <c r="R44" i="22"/>
  <c r="P45" i="22"/>
  <c r="Q45" i="22"/>
  <c r="R45" i="22"/>
  <c r="P46" i="22"/>
  <c r="Q46" i="22"/>
  <c r="R46" i="22"/>
  <c r="P47" i="22"/>
  <c r="Q47" i="22"/>
  <c r="R47" i="22"/>
  <c r="P48" i="22"/>
  <c r="Q48" i="22"/>
  <c r="R48" i="22"/>
  <c r="P49" i="22"/>
  <c r="Q49" i="22"/>
  <c r="R49" i="22"/>
  <c r="P50" i="22"/>
  <c r="Q50" i="22"/>
  <c r="R50" i="22"/>
  <c r="P51" i="22"/>
  <c r="Q51" i="22"/>
  <c r="R51" i="22"/>
  <c r="P52" i="22"/>
  <c r="Q52" i="22"/>
  <c r="R52" i="22"/>
  <c r="P53" i="22"/>
  <c r="Q53" i="22"/>
  <c r="R53" i="22"/>
  <c r="P54" i="22"/>
  <c r="Q54" i="22"/>
  <c r="R54" i="22"/>
  <c r="P55" i="22"/>
  <c r="Q55" i="22"/>
  <c r="R55" i="22"/>
  <c r="P56" i="22"/>
  <c r="Q56" i="22"/>
  <c r="R56" i="22"/>
  <c r="P57" i="22"/>
  <c r="Q57" i="22"/>
  <c r="R57" i="22"/>
  <c r="P58" i="22"/>
  <c r="Q58" i="22"/>
  <c r="R58" i="22"/>
  <c r="P59" i="22"/>
  <c r="Q59" i="22"/>
  <c r="R59" i="22"/>
  <c r="P60" i="22"/>
  <c r="Q60" i="22"/>
  <c r="R60" i="22"/>
  <c r="P61" i="22"/>
  <c r="Q61" i="22"/>
  <c r="R61" i="22"/>
  <c r="P62" i="22"/>
  <c r="Q62" i="22"/>
  <c r="R62" i="22"/>
  <c r="P63" i="22"/>
  <c r="Q63" i="22"/>
  <c r="R63" i="22"/>
  <c r="P64" i="22"/>
  <c r="Q64" i="22"/>
  <c r="R64" i="22"/>
  <c r="P65" i="22"/>
  <c r="Q65" i="22"/>
  <c r="R65" i="22"/>
  <c r="P66" i="22"/>
  <c r="Q66" i="22"/>
  <c r="R66" i="22"/>
  <c r="P67" i="22"/>
  <c r="Q67" i="22"/>
  <c r="R67" i="22"/>
  <c r="P68" i="22"/>
  <c r="Q68" i="22"/>
  <c r="R68" i="22"/>
  <c r="P69" i="22"/>
  <c r="Q69" i="22"/>
  <c r="R69" i="22"/>
  <c r="P70" i="22"/>
  <c r="Q70" i="22"/>
  <c r="R70" i="22"/>
  <c r="P71" i="22"/>
  <c r="Q71" i="22"/>
  <c r="R71" i="22"/>
  <c r="P72" i="22"/>
  <c r="Q72" i="22"/>
  <c r="R72" i="22"/>
  <c r="P73" i="22"/>
  <c r="Q73" i="22"/>
  <c r="R73" i="22"/>
  <c r="P74" i="22"/>
  <c r="Q74" i="22"/>
  <c r="R74" i="22"/>
  <c r="P75" i="22"/>
  <c r="Q75" i="22"/>
  <c r="R75" i="22"/>
  <c r="P76" i="22"/>
  <c r="Q76" i="22"/>
  <c r="R76" i="22"/>
  <c r="P77" i="22"/>
  <c r="Q77" i="22"/>
  <c r="R77" i="22"/>
  <c r="P78" i="22"/>
  <c r="Q78" i="22"/>
  <c r="R78" i="22"/>
  <c r="P79" i="22"/>
  <c r="Q79" i="22"/>
  <c r="R79" i="22"/>
  <c r="P80" i="22"/>
  <c r="Q80" i="22"/>
  <c r="R80" i="22"/>
  <c r="P81" i="22"/>
  <c r="Q81" i="22"/>
  <c r="R81" i="22"/>
  <c r="P82" i="22"/>
  <c r="Q82" i="22"/>
  <c r="R82" i="22"/>
  <c r="P83" i="22"/>
  <c r="Q83" i="22"/>
  <c r="R83" i="22"/>
  <c r="P84" i="22"/>
  <c r="Q84" i="22"/>
  <c r="R84" i="22"/>
  <c r="P85" i="22"/>
  <c r="Q85" i="22"/>
  <c r="R85" i="22"/>
  <c r="P86" i="22"/>
  <c r="Q86" i="22"/>
  <c r="R86" i="22"/>
  <c r="P87" i="22"/>
  <c r="Q87" i="22"/>
  <c r="R87" i="22"/>
  <c r="P88" i="22"/>
  <c r="Q88" i="22"/>
  <c r="R88" i="22"/>
  <c r="P89" i="22"/>
  <c r="Q89" i="22"/>
  <c r="R89" i="22"/>
  <c r="P90" i="22"/>
  <c r="Q90" i="22"/>
  <c r="R90" i="22"/>
  <c r="P91" i="22"/>
  <c r="Q91" i="22"/>
  <c r="R91" i="22"/>
  <c r="P92" i="22"/>
  <c r="Q92" i="22"/>
  <c r="R92" i="22"/>
  <c r="P93" i="22"/>
  <c r="Q93" i="22"/>
  <c r="R93" i="22"/>
  <c r="P94" i="22"/>
  <c r="Q94" i="22"/>
  <c r="R94" i="22"/>
  <c r="P95" i="22"/>
  <c r="Q95" i="22"/>
  <c r="R95" i="22"/>
  <c r="P96" i="22"/>
  <c r="Q96" i="22"/>
  <c r="R96" i="22"/>
  <c r="P97" i="22"/>
  <c r="Q97" i="22"/>
  <c r="R97" i="22"/>
  <c r="P98" i="22"/>
  <c r="Q98" i="22"/>
  <c r="R98" i="22"/>
  <c r="P99" i="22"/>
  <c r="Q99" i="22"/>
  <c r="R99" i="22"/>
  <c r="P100" i="22"/>
  <c r="Q100" i="22"/>
  <c r="R100" i="22"/>
  <c r="P101" i="22"/>
  <c r="Q101" i="22"/>
  <c r="R101" i="22"/>
  <c r="P102" i="22"/>
  <c r="Q102" i="22"/>
  <c r="R102" i="22"/>
  <c r="P103" i="22"/>
  <c r="Q103" i="22"/>
  <c r="R103" i="22"/>
  <c r="P104" i="22"/>
  <c r="Q104" i="22"/>
  <c r="R104" i="22"/>
  <c r="P105" i="22"/>
  <c r="Q105" i="22"/>
  <c r="R105" i="22"/>
  <c r="P106" i="22"/>
  <c r="Q106" i="22"/>
  <c r="R106" i="22"/>
  <c r="P107" i="22"/>
  <c r="Q107" i="22"/>
  <c r="R107" i="22"/>
  <c r="P108" i="22"/>
  <c r="Q108" i="22"/>
  <c r="R108" i="22"/>
  <c r="P109" i="22"/>
  <c r="Q109" i="22"/>
  <c r="R109" i="22"/>
  <c r="P110" i="22"/>
  <c r="Q110" i="22"/>
  <c r="R110" i="22"/>
  <c r="P111" i="22"/>
  <c r="Q111" i="22"/>
  <c r="R111" i="22"/>
  <c r="P112" i="22"/>
  <c r="Q112" i="22"/>
  <c r="R112" i="22"/>
  <c r="P113" i="22"/>
  <c r="Q113" i="22"/>
  <c r="R113" i="22"/>
  <c r="P114" i="22"/>
  <c r="Q114" i="22"/>
  <c r="R114" i="22"/>
  <c r="P115" i="22"/>
  <c r="Q115" i="22"/>
  <c r="R115" i="22"/>
  <c r="P116" i="22"/>
  <c r="Q116" i="22"/>
  <c r="R116" i="22"/>
  <c r="P117" i="22"/>
  <c r="Q117" i="22"/>
  <c r="R117" i="22"/>
  <c r="P118" i="22"/>
  <c r="Q118" i="22"/>
  <c r="R118" i="22"/>
  <c r="P119" i="22"/>
  <c r="Q119" i="22"/>
  <c r="R119" i="22"/>
  <c r="P120" i="22"/>
  <c r="Q120" i="22"/>
  <c r="R120" i="22"/>
  <c r="P121" i="22"/>
  <c r="Q121" i="22"/>
  <c r="R121" i="22"/>
  <c r="P122" i="22"/>
  <c r="Q122" i="22"/>
  <c r="R122" i="22"/>
  <c r="P123" i="22"/>
  <c r="Q123" i="22"/>
  <c r="R123" i="22"/>
  <c r="P124" i="22"/>
  <c r="Q124" i="22"/>
  <c r="R124" i="22"/>
  <c r="P125" i="22"/>
  <c r="Q125" i="22"/>
  <c r="R125" i="22"/>
  <c r="P126" i="22"/>
  <c r="Q126" i="22"/>
  <c r="R126" i="22"/>
  <c r="P127" i="22"/>
  <c r="Q127" i="22"/>
  <c r="R127" i="22"/>
  <c r="P128" i="22"/>
  <c r="Q128" i="22"/>
  <c r="R128" i="22"/>
  <c r="P129" i="22"/>
  <c r="Q129" i="22"/>
  <c r="R129" i="22"/>
  <c r="P130" i="22"/>
  <c r="Q130" i="22"/>
  <c r="R130" i="22"/>
  <c r="P131" i="22"/>
  <c r="Q131" i="22"/>
  <c r="R131" i="22"/>
  <c r="P132" i="22"/>
  <c r="Q132" i="22"/>
  <c r="R132" i="22"/>
  <c r="P133" i="22"/>
  <c r="Q133" i="22"/>
  <c r="R133" i="22"/>
  <c r="P134" i="22"/>
  <c r="Q134" i="22"/>
  <c r="R134" i="22"/>
  <c r="P135" i="22"/>
  <c r="Q135" i="22"/>
  <c r="R135" i="22"/>
  <c r="P136" i="22"/>
  <c r="Q136" i="22"/>
  <c r="R136" i="22"/>
  <c r="P137" i="22"/>
  <c r="Q137" i="22"/>
  <c r="R137" i="22"/>
  <c r="P138" i="22"/>
  <c r="Q138" i="22"/>
  <c r="R138" i="22"/>
  <c r="P139" i="22"/>
  <c r="Q139" i="22"/>
  <c r="R139" i="22"/>
  <c r="P140" i="22"/>
  <c r="Q140" i="22"/>
  <c r="R140" i="22"/>
  <c r="P141" i="22"/>
  <c r="Q141" i="22"/>
  <c r="R141" i="22"/>
  <c r="P142" i="22"/>
  <c r="Q142" i="22"/>
  <c r="R142" i="22"/>
  <c r="P143" i="22"/>
  <c r="Q143" i="22"/>
  <c r="R143" i="22"/>
  <c r="P144" i="22"/>
  <c r="Q144" i="22"/>
  <c r="R144" i="22"/>
  <c r="P145" i="22"/>
  <c r="Q145" i="22"/>
  <c r="R145" i="22"/>
  <c r="P146" i="22"/>
  <c r="Q146" i="22"/>
  <c r="R146" i="22"/>
  <c r="P147" i="22"/>
  <c r="Q147" i="22"/>
  <c r="R147" i="22"/>
  <c r="P148" i="22"/>
  <c r="Q148" i="22"/>
  <c r="R148" i="22"/>
  <c r="P149" i="22"/>
  <c r="Q149" i="22"/>
  <c r="R149" i="22"/>
  <c r="P150" i="22"/>
  <c r="Q150" i="22"/>
  <c r="R150" i="22"/>
  <c r="P151" i="22"/>
  <c r="Q151" i="22"/>
  <c r="R151" i="22"/>
  <c r="P152" i="22"/>
  <c r="Q152" i="22"/>
  <c r="R152" i="22"/>
  <c r="P153" i="22"/>
  <c r="Q153" i="22"/>
  <c r="R153" i="22"/>
  <c r="P154" i="22"/>
  <c r="Q154" i="22"/>
  <c r="R154" i="22"/>
  <c r="P155" i="22"/>
  <c r="Q155" i="22"/>
  <c r="R155" i="22"/>
  <c r="P156" i="22"/>
  <c r="Q156" i="22"/>
  <c r="R156" i="22"/>
  <c r="P157" i="22"/>
  <c r="Q157" i="22"/>
  <c r="R157" i="22"/>
  <c r="P158" i="22"/>
  <c r="Q158" i="22"/>
  <c r="R158" i="22"/>
  <c r="P159" i="22"/>
  <c r="Q159" i="22"/>
  <c r="R159" i="22"/>
  <c r="P160" i="22"/>
  <c r="Q160" i="22"/>
  <c r="R160" i="22"/>
  <c r="P161" i="22"/>
  <c r="Q161" i="22"/>
  <c r="R161" i="22"/>
  <c r="P162" i="22"/>
  <c r="Q162" i="22"/>
  <c r="R162" i="22"/>
  <c r="P163" i="22"/>
  <c r="Q163" i="22"/>
  <c r="R163" i="22"/>
  <c r="P164" i="22"/>
  <c r="Q164" i="22"/>
  <c r="R164" i="22"/>
  <c r="P165" i="22"/>
  <c r="Q165" i="22"/>
  <c r="R165" i="22"/>
  <c r="P166" i="22"/>
  <c r="Q166" i="22"/>
  <c r="R166" i="22"/>
  <c r="P167" i="22"/>
  <c r="Q167" i="22"/>
  <c r="R167" i="22"/>
  <c r="P168" i="22"/>
  <c r="Q168" i="22"/>
  <c r="R168" i="22"/>
  <c r="P169" i="22"/>
  <c r="Q169" i="22"/>
  <c r="R169" i="22"/>
  <c r="P170" i="22"/>
  <c r="Q170" i="22"/>
  <c r="R170" i="22"/>
  <c r="P171" i="22"/>
  <c r="Q171" i="22"/>
  <c r="R171" i="22"/>
  <c r="P172" i="22"/>
  <c r="Q172" i="22"/>
  <c r="R172" i="22"/>
  <c r="P173" i="22"/>
  <c r="Q173" i="22"/>
  <c r="R173" i="22"/>
  <c r="P174" i="22"/>
  <c r="Q174" i="22"/>
  <c r="R174" i="22"/>
  <c r="P175" i="22"/>
  <c r="Q175" i="22"/>
  <c r="R175" i="22"/>
  <c r="P176" i="22"/>
  <c r="Q176" i="22"/>
  <c r="R176" i="22"/>
  <c r="P177" i="22"/>
  <c r="Q177" i="22"/>
  <c r="R177" i="22"/>
  <c r="P178" i="22"/>
  <c r="Q178" i="22"/>
  <c r="R178" i="22"/>
  <c r="P179" i="22"/>
  <c r="Q179" i="22"/>
  <c r="R179" i="22"/>
  <c r="P180" i="22"/>
  <c r="Q180" i="22"/>
  <c r="R180" i="22"/>
  <c r="P181" i="22"/>
  <c r="Q181" i="22"/>
  <c r="R181" i="22"/>
  <c r="P182" i="22"/>
  <c r="Q182" i="22"/>
  <c r="R182" i="22"/>
  <c r="P183" i="22"/>
  <c r="Q183" i="22"/>
  <c r="R183" i="22"/>
  <c r="P184" i="22"/>
  <c r="Q184" i="22"/>
  <c r="R184" i="22"/>
  <c r="P185" i="22"/>
  <c r="Q185" i="22"/>
  <c r="R185" i="22"/>
  <c r="P186" i="22"/>
  <c r="Q186" i="22"/>
  <c r="R186" i="22"/>
  <c r="P187" i="22"/>
  <c r="Q187" i="22"/>
  <c r="R187" i="22"/>
  <c r="P188" i="22"/>
  <c r="Q188" i="22"/>
  <c r="R188" i="22"/>
  <c r="P189" i="22"/>
  <c r="Q189" i="22"/>
  <c r="R189" i="22"/>
  <c r="P190" i="22"/>
  <c r="Q190" i="22"/>
  <c r="R190" i="22"/>
  <c r="P191" i="22"/>
  <c r="Q191" i="22"/>
  <c r="R191" i="22"/>
  <c r="P192" i="22"/>
  <c r="Q192" i="22"/>
  <c r="R192" i="22"/>
  <c r="P193" i="22"/>
  <c r="Q193" i="22"/>
  <c r="R193" i="22"/>
  <c r="P194" i="22"/>
  <c r="Q194" i="22"/>
  <c r="R194" i="22"/>
  <c r="P195" i="22"/>
  <c r="Q195" i="22"/>
  <c r="R195" i="22"/>
  <c r="P196" i="22"/>
  <c r="Q196" i="22"/>
  <c r="R196" i="22"/>
  <c r="P197" i="22"/>
  <c r="Q197" i="22"/>
  <c r="R197" i="22"/>
  <c r="P198" i="22"/>
  <c r="Q198" i="22"/>
  <c r="R198" i="22"/>
  <c r="P199" i="22"/>
  <c r="Q199" i="22"/>
  <c r="R199" i="22"/>
  <c r="P200" i="22"/>
  <c r="Q200" i="22"/>
  <c r="R200" i="22"/>
  <c r="P201" i="22"/>
  <c r="Q201" i="22"/>
  <c r="R201" i="22"/>
  <c r="P202" i="22"/>
  <c r="Q202" i="22"/>
  <c r="R202" i="22"/>
  <c r="P203" i="22"/>
  <c r="Q203" i="22"/>
  <c r="R203" i="22"/>
  <c r="P204" i="22"/>
  <c r="Q204" i="22"/>
  <c r="R204" i="22"/>
  <c r="P205" i="22"/>
  <c r="Q205" i="22"/>
  <c r="R205" i="22"/>
  <c r="P206" i="22"/>
  <c r="Q206" i="22"/>
  <c r="R206" i="22"/>
  <c r="P207" i="22"/>
  <c r="Q207" i="22"/>
  <c r="R207" i="22"/>
  <c r="P208" i="22"/>
  <c r="Q208" i="22"/>
  <c r="R208" i="22"/>
  <c r="P209" i="22"/>
  <c r="Q209" i="22"/>
  <c r="R209" i="22"/>
  <c r="P210" i="22"/>
  <c r="Q210" i="22"/>
  <c r="R210" i="22"/>
  <c r="P211" i="22"/>
  <c r="Q211" i="22"/>
  <c r="R211" i="22"/>
  <c r="P212" i="22"/>
  <c r="Q212" i="22"/>
  <c r="R212" i="22"/>
  <c r="P213" i="22"/>
  <c r="Q213" i="22"/>
  <c r="R213" i="22"/>
  <c r="P214" i="22"/>
  <c r="Q214" i="22"/>
  <c r="R214" i="22"/>
  <c r="P215" i="22"/>
  <c r="Q215" i="22"/>
  <c r="R215" i="22"/>
  <c r="P216" i="22"/>
  <c r="Q216" i="22"/>
  <c r="R216" i="22"/>
  <c r="P217" i="22"/>
  <c r="Q217" i="22"/>
  <c r="R217" i="22"/>
  <c r="P218" i="22"/>
  <c r="Q218" i="22"/>
  <c r="R218" i="22"/>
  <c r="P219" i="22"/>
  <c r="Q219" i="22"/>
  <c r="R219" i="22"/>
  <c r="P220" i="22"/>
  <c r="Q220" i="22"/>
  <c r="R220" i="22"/>
  <c r="P221" i="22"/>
  <c r="Q221" i="22"/>
  <c r="R221" i="22"/>
  <c r="P222" i="22"/>
  <c r="Q222" i="22"/>
  <c r="R222" i="22"/>
  <c r="P223" i="22"/>
  <c r="Q223" i="22"/>
  <c r="R223" i="22"/>
  <c r="P224" i="22"/>
  <c r="Q224" i="22"/>
  <c r="R224" i="22"/>
  <c r="P225" i="22"/>
  <c r="Q225" i="22"/>
  <c r="R225" i="22"/>
  <c r="P226" i="22"/>
  <c r="Q226" i="22"/>
  <c r="R226" i="22"/>
  <c r="P227" i="22"/>
  <c r="Q227" i="22"/>
  <c r="R227" i="22"/>
  <c r="P228" i="22"/>
  <c r="Q228" i="22"/>
  <c r="R228" i="22"/>
  <c r="P229" i="22"/>
  <c r="Q229" i="22"/>
  <c r="R229" i="22"/>
  <c r="P230" i="22"/>
  <c r="Q230" i="22"/>
  <c r="R230" i="22"/>
  <c r="P231" i="22"/>
  <c r="Q231" i="22"/>
  <c r="R231" i="22"/>
  <c r="P232" i="22"/>
  <c r="Q232" i="22"/>
  <c r="R232" i="22"/>
  <c r="P233" i="22"/>
  <c r="Q233" i="22"/>
  <c r="R233" i="22"/>
  <c r="P234" i="22"/>
  <c r="Q234" i="22"/>
  <c r="R234" i="22"/>
  <c r="P235" i="22"/>
  <c r="Q235" i="22"/>
  <c r="R235" i="22"/>
  <c r="P236" i="22"/>
  <c r="Q236" i="22"/>
  <c r="R236" i="22"/>
  <c r="P237" i="22"/>
  <c r="Q237" i="22"/>
  <c r="R237" i="22"/>
  <c r="P238" i="22"/>
  <c r="Q238" i="22"/>
  <c r="R238" i="22"/>
  <c r="P239" i="22"/>
  <c r="Q239" i="22"/>
  <c r="R239" i="22"/>
  <c r="P240" i="22"/>
  <c r="Q240" i="22"/>
  <c r="R240" i="22"/>
  <c r="P241" i="22"/>
  <c r="Q241" i="22"/>
  <c r="R241" i="22"/>
  <c r="P242" i="22"/>
  <c r="Q242" i="22"/>
  <c r="R242" i="22"/>
  <c r="P243" i="22"/>
  <c r="Q243" i="22"/>
  <c r="R243" i="22"/>
  <c r="P244" i="22"/>
  <c r="Q244" i="22"/>
  <c r="R244" i="22"/>
  <c r="P245" i="22"/>
  <c r="Q245" i="22"/>
  <c r="R245" i="22"/>
  <c r="P246" i="22"/>
  <c r="Q246" i="22"/>
  <c r="R246" i="22"/>
  <c r="P247" i="22"/>
  <c r="Q247" i="22"/>
  <c r="R247" i="22"/>
  <c r="P248" i="22"/>
  <c r="Q248" i="22"/>
  <c r="R248" i="22"/>
  <c r="P249" i="22"/>
  <c r="Q249" i="22"/>
  <c r="R249" i="22"/>
  <c r="P250" i="22"/>
  <c r="Q250" i="22"/>
  <c r="R250" i="22"/>
  <c r="P251" i="22"/>
  <c r="Q251" i="22"/>
  <c r="R251" i="22"/>
  <c r="P252" i="22"/>
  <c r="Q252" i="22"/>
  <c r="R252" i="22"/>
  <c r="P253" i="22"/>
  <c r="Q253" i="22"/>
  <c r="R253" i="22"/>
  <c r="P254" i="22"/>
  <c r="Q254" i="22"/>
  <c r="R254" i="22"/>
  <c r="P255" i="22"/>
  <c r="Q255" i="22"/>
  <c r="R255" i="22"/>
  <c r="P256" i="22"/>
  <c r="Q256" i="22"/>
  <c r="R256" i="22"/>
  <c r="P257" i="22"/>
  <c r="Q257" i="22"/>
  <c r="R257" i="22"/>
  <c r="P258" i="22"/>
  <c r="Q258" i="22"/>
  <c r="R258" i="22"/>
  <c r="P259" i="22"/>
  <c r="Q259" i="22"/>
  <c r="R259" i="22"/>
  <c r="P260" i="22"/>
  <c r="Q260" i="22"/>
  <c r="R260" i="22"/>
  <c r="P261" i="22"/>
  <c r="Q261" i="22"/>
  <c r="R261" i="22"/>
  <c r="P262" i="22"/>
  <c r="Q262" i="22"/>
  <c r="R262" i="22"/>
  <c r="P263" i="22"/>
  <c r="Q263" i="22"/>
  <c r="R263" i="22"/>
  <c r="P264" i="22"/>
  <c r="Q264" i="22"/>
  <c r="R264" i="22"/>
  <c r="P265" i="22"/>
  <c r="Q265" i="22"/>
  <c r="R265" i="22"/>
  <c r="P266" i="22"/>
  <c r="Q266" i="22"/>
  <c r="R266" i="22"/>
  <c r="P267" i="22"/>
  <c r="Q267" i="22"/>
  <c r="R267" i="22"/>
  <c r="P268" i="22"/>
  <c r="Q268" i="22"/>
  <c r="R268" i="22"/>
  <c r="P269" i="22"/>
  <c r="Q269" i="22"/>
  <c r="R269" i="22"/>
  <c r="P270" i="22"/>
  <c r="Q270" i="22"/>
  <c r="R270" i="22"/>
  <c r="P271" i="22"/>
  <c r="Q271" i="22"/>
  <c r="R271" i="22"/>
  <c r="P272" i="22"/>
  <c r="Q272" i="22"/>
  <c r="R272" i="22"/>
  <c r="P273" i="22"/>
  <c r="Q273" i="22"/>
  <c r="R273" i="22"/>
  <c r="P274" i="22"/>
  <c r="Q274" i="22"/>
  <c r="R274" i="22"/>
  <c r="P275" i="22"/>
  <c r="Q275" i="22"/>
  <c r="R275" i="22"/>
  <c r="P276" i="22"/>
  <c r="Q276" i="22"/>
  <c r="R276" i="22"/>
  <c r="P277" i="22"/>
  <c r="Q277" i="22"/>
  <c r="R277" i="22"/>
  <c r="P278" i="22"/>
  <c r="Q278" i="22"/>
  <c r="R278" i="22"/>
  <c r="P279" i="22"/>
  <c r="Q279" i="22"/>
  <c r="R279" i="22"/>
  <c r="P280" i="22"/>
  <c r="Q280" i="22"/>
  <c r="R280" i="22"/>
  <c r="P281" i="22"/>
  <c r="Q281" i="22"/>
  <c r="R281" i="22"/>
  <c r="P282" i="22"/>
  <c r="Q282" i="22"/>
  <c r="R282" i="22"/>
  <c r="P283" i="22"/>
  <c r="Q283" i="22"/>
  <c r="R283" i="22"/>
  <c r="P284" i="22"/>
  <c r="Q284" i="22"/>
  <c r="R284" i="22"/>
  <c r="P285" i="22"/>
  <c r="Q285" i="22"/>
  <c r="R285" i="22"/>
  <c r="P286" i="22"/>
  <c r="Q286" i="22"/>
  <c r="R286" i="22"/>
  <c r="P287" i="22"/>
  <c r="Q287" i="22"/>
  <c r="R287" i="22"/>
  <c r="P288" i="22"/>
  <c r="Q288" i="22"/>
  <c r="R288" i="22"/>
  <c r="P289" i="22"/>
  <c r="Q289" i="22"/>
  <c r="R289" i="22"/>
  <c r="P290" i="22"/>
  <c r="Q290" i="22"/>
  <c r="R290" i="22"/>
  <c r="P291" i="22"/>
  <c r="Q291" i="22"/>
  <c r="R291" i="22"/>
  <c r="P292" i="22"/>
  <c r="Q292" i="22"/>
  <c r="R292" i="22"/>
  <c r="P293" i="22"/>
  <c r="Q293" i="22"/>
  <c r="R293" i="22"/>
  <c r="P294" i="22"/>
  <c r="Q294" i="22"/>
  <c r="R294" i="22"/>
  <c r="P295" i="22"/>
  <c r="Q295" i="22"/>
  <c r="R295" i="22"/>
  <c r="P296" i="22"/>
  <c r="Q296" i="22"/>
  <c r="R296" i="22"/>
  <c r="P297" i="22"/>
  <c r="Q297" i="22"/>
  <c r="R297" i="22"/>
  <c r="P298" i="22"/>
  <c r="Q298" i="22"/>
  <c r="R298" i="22"/>
  <c r="P299" i="22"/>
  <c r="Q299" i="22"/>
  <c r="R299" i="22"/>
  <c r="P300" i="22"/>
  <c r="Q300" i="22"/>
  <c r="R300" i="22"/>
  <c r="P301" i="22"/>
  <c r="Q301" i="22"/>
  <c r="R301" i="22"/>
  <c r="P302" i="22"/>
  <c r="Q302" i="22"/>
  <c r="R302" i="22"/>
  <c r="P303" i="22"/>
  <c r="Q303" i="22"/>
  <c r="R303" i="22"/>
  <c r="P304" i="22"/>
  <c r="Q304" i="22"/>
  <c r="R304" i="22"/>
  <c r="P305" i="22"/>
  <c r="Q305" i="22"/>
  <c r="R305" i="22"/>
  <c r="P306" i="22"/>
  <c r="Q306" i="22"/>
  <c r="R306" i="22"/>
  <c r="P307" i="22"/>
  <c r="Q307" i="22"/>
  <c r="R307" i="22"/>
  <c r="P308" i="22"/>
  <c r="Q308" i="22"/>
  <c r="R308" i="22"/>
  <c r="P309" i="22"/>
  <c r="Q309" i="22"/>
  <c r="R309" i="22"/>
  <c r="P310" i="22"/>
  <c r="Q310" i="22"/>
  <c r="R310" i="22"/>
  <c r="P311" i="22"/>
  <c r="Q311" i="22"/>
  <c r="R311" i="22"/>
  <c r="P312" i="22"/>
  <c r="Q312" i="22"/>
  <c r="R312" i="22"/>
  <c r="P313" i="22"/>
  <c r="Q313" i="22"/>
  <c r="R313" i="22"/>
  <c r="P314" i="22"/>
  <c r="Q314" i="22"/>
  <c r="R314" i="22"/>
  <c r="P315" i="22"/>
  <c r="Q315" i="22"/>
  <c r="R315" i="22"/>
  <c r="P316" i="22"/>
  <c r="Q316" i="22"/>
  <c r="R316" i="22"/>
  <c r="P317" i="22"/>
  <c r="Q317" i="22"/>
  <c r="R317" i="22"/>
  <c r="P318" i="22"/>
  <c r="Q318" i="22"/>
  <c r="R318" i="22"/>
  <c r="P319" i="22"/>
  <c r="Q319" i="22"/>
  <c r="R319" i="22"/>
  <c r="P320" i="22"/>
  <c r="Q320" i="22"/>
  <c r="R320" i="22"/>
  <c r="P321" i="22"/>
  <c r="Q321" i="22"/>
  <c r="R321" i="22"/>
  <c r="P322" i="22"/>
  <c r="Q322" i="22"/>
  <c r="R322" i="22"/>
  <c r="P323" i="22"/>
  <c r="Q323" i="22"/>
  <c r="R323" i="22"/>
  <c r="P324" i="22"/>
  <c r="Q324" i="22"/>
  <c r="R324" i="22"/>
  <c r="P325" i="22"/>
  <c r="Q325" i="22"/>
  <c r="R325" i="22"/>
  <c r="P326" i="22"/>
  <c r="Q326" i="22"/>
  <c r="R326" i="22"/>
  <c r="P327" i="22"/>
  <c r="Q327" i="22"/>
  <c r="R327" i="22"/>
  <c r="P328" i="22"/>
  <c r="Q328" i="22"/>
  <c r="R328" i="22"/>
  <c r="P329" i="22"/>
  <c r="Q329" i="22"/>
  <c r="R329" i="22"/>
  <c r="P330" i="22"/>
  <c r="Q330" i="22"/>
  <c r="R330" i="22"/>
  <c r="P331" i="22"/>
  <c r="Q331" i="22"/>
  <c r="R331" i="22"/>
  <c r="P332" i="22"/>
  <c r="Q332" i="22"/>
  <c r="R332" i="22"/>
  <c r="P333" i="22"/>
  <c r="Q333" i="22"/>
  <c r="R333" i="22"/>
  <c r="P334" i="22"/>
  <c r="Q334" i="22"/>
  <c r="R334" i="22"/>
  <c r="P335" i="22"/>
  <c r="Q335" i="22"/>
  <c r="R335" i="22"/>
  <c r="P336" i="22"/>
  <c r="Q336" i="22"/>
  <c r="R336" i="22"/>
  <c r="P337" i="22"/>
  <c r="Q337" i="22"/>
  <c r="R337" i="22"/>
  <c r="P338" i="22"/>
  <c r="Q338" i="22"/>
  <c r="R338" i="22"/>
  <c r="P339" i="22"/>
  <c r="Q339" i="22"/>
  <c r="R339" i="22"/>
  <c r="P340" i="22"/>
  <c r="Q340" i="22"/>
  <c r="R340" i="22"/>
  <c r="P341" i="22"/>
  <c r="Q341" i="22"/>
  <c r="R341" i="22"/>
  <c r="P342" i="22"/>
  <c r="Q342" i="22"/>
  <c r="R342" i="22"/>
  <c r="P343" i="22"/>
  <c r="Q343" i="22"/>
  <c r="R343" i="22"/>
  <c r="P344" i="22"/>
  <c r="Q344" i="22"/>
  <c r="R344" i="22"/>
  <c r="P345" i="22"/>
  <c r="Q345" i="22"/>
  <c r="R345" i="22"/>
  <c r="P346" i="22"/>
  <c r="Q346" i="22"/>
  <c r="R346" i="22"/>
  <c r="P347" i="22"/>
  <c r="Q347" i="22"/>
  <c r="R347" i="22"/>
  <c r="P348" i="22"/>
  <c r="Q348" i="22"/>
  <c r="R348" i="22"/>
  <c r="P349" i="22"/>
  <c r="Q349" i="22"/>
  <c r="R349" i="22"/>
  <c r="P350" i="22"/>
  <c r="Q350" i="22"/>
  <c r="R350" i="22"/>
  <c r="P351" i="22"/>
  <c r="Q351" i="22"/>
  <c r="R351" i="22"/>
  <c r="P352" i="22"/>
  <c r="Q352" i="22"/>
  <c r="R352" i="22"/>
  <c r="P353" i="22"/>
  <c r="Q353" i="22"/>
  <c r="R353" i="22"/>
  <c r="P354" i="22"/>
  <c r="Q354" i="22"/>
  <c r="R354" i="22"/>
  <c r="P355" i="22"/>
  <c r="Q355" i="22"/>
  <c r="R355" i="22"/>
  <c r="P356" i="22"/>
  <c r="Q356" i="22"/>
  <c r="R356" i="22"/>
  <c r="P357" i="22"/>
  <c r="Q357" i="22"/>
  <c r="R357" i="22"/>
  <c r="P358" i="22"/>
  <c r="Q358" i="22"/>
  <c r="R358" i="22"/>
  <c r="P359" i="22"/>
  <c r="Q359" i="22"/>
  <c r="R359" i="22"/>
  <c r="P360" i="22"/>
  <c r="Q360" i="22"/>
  <c r="R360" i="22"/>
  <c r="P361" i="22"/>
  <c r="Q361" i="22"/>
  <c r="R361" i="22"/>
  <c r="P362" i="22"/>
  <c r="Q362" i="22"/>
  <c r="R362" i="22"/>
  <c r="P363" i="22"/>
  <c r="Q363" i="22"/>
  <c r="R363" i="22"/>
  <c r="P364" i="22"/>
  <c r="Q364" i="22"/>
  <c r="R364" i="22"/>
  <c r="P365" i="22"/>
  <c r="Q365" i="22"/>
  <c r="R365" i="22"/>
  <c r="P366" i="22"/>
  <c r="Q366" i="22"/>
  <c r="R366" i="22"/>
  <c r="P367" i="22"/>
  <c r="Q367" i="22"/>
  <c r="R367" i="22"/>
  <c r="P368" i="22"/>
  <c r="Q368" i="22"/>
  <c r="R368" i="22"/>
  <c r="P369" i="22"/>
  <c r="Q369" i="22"/>
  <c r="R369" i="22"/>
  <c r="P370" i="22"/>
  <c r="Q370" i="22"/>
  <c r="R370" i="22"/>
  <c r="P371" i="22"/>
  <c r="Q371" i="22"/>
  <c r="R371" i="22"/>
  <c r="P372" i="22"/>
  <c r="Q372" i="22"/>
  <c r="R372" i="22"/>
  <c r="P373" i="22"/>
  <c r="Q373" i="22"/>
  <c r="R373" i="22"/>
  <c r="P374" i="22"/>
  <c r="Q374" i="22"/>
  <c r="R374" i="22"/>
  <c r="P375" i="22"/>
  <c r="Q375" i="22"/>
  <c r="R375" i="22"/>
  <c r="P376" i="22"/>
  <c r="Q376" i="22"/>
  <c r="R376" i="22"/>
  <c r="P377" i="22"/>
  <c r="Q377" i="22"/>
  <c r="R377" i="22"/>
  <c r="P378" i="22"/>
  <c r="Q378" i="22"/>
  <c r="R378" i="22"/>
  <c r="P379" i="22"/>
  <c r="Q379" i="22"/>
  <c r="R379" i="22"/>
  <c r="P380" i="22"/>
  <c r="Q380" i="22"/>
  <c r="R380" i="22"/>
  <c r="P381" i="22"/>
  <c r="Q381" i="22"/>
  <c r="R381" i="22"/>
  <c r="P382" i="22"/>
  <c r="Q382" i="22"/>
  <c r="R382" i="22"/>
  <c r="P383" i="22"/>
  <c r="Q383" i="22"/>
  <c r="R383" i="22"/>
  <c r="P384" i="22"/>
  <c r="Q384" i="22"/>
  <c r="R384" i="22"/>
  <c r="P385" i="22"/>
  <c r="Q385" i="22"/>
  <c r="R385" i="22"/>
  <c r="P386" i="22"/>
  <c r="Q386" i="22"/>
  <c r="R386" i="22"/>
  <c r="P387" i="22"/>
  <c r="Q387" i="22"/>
  <c r="R387" i="22"/>
  <c r="P388" i="22"/>
  <c r="Q388" i="22"/>
  <c r="R388" i="22"/>
  <c r="P389" i="22"/>
  <c r="Q389" i="22"/>
  <c r="R389" i="22"/>
  <c r="P390" i="22"/>
  <c r="Q390" i="22"/>
  <c r="R390" i="22"/>
  <c r="P391" i="22"/>
  <c r="Q391" i="22"/>
  <c r="R391" i="22"/>
  <c r="P392" i="22"/>
  <c r="Q392" i="22"/>
  <c r="R392" i="22"/>
  <c r="P393" i="22"/>
  <c r="Q393" i="22"/>
  <c r="R393" i="22"/>
  <c r="P394" i="22"/>
  <c r="Q394" i="22"/>
  <c r="R394" i="22"/>
  <c r="P395" i="22"/>
  <c r="Q395" i="22"/>
  <c r="R395" i="22"/>
  <c r="P396" i="22"/>
  <c r="Q396" i="22"/>
  <c r="R396" i="22"/>
  <c r="P397" i="22"/>
  <c r="Q397" i="22"/>
  <c r="R397" i="22"/>
  <c r="P398" i="22"/>
  <c r="Q398" i="22"/>
  <c r="R398" i="22"/>
  <c r="P399" i="22"/>
  <c r="Q399" i="22"/>
  <c r="R399" i="22"/>
  <c r="P400" i="22"/>
  <c r="Q400" i="22"/>
  <c r="R400" i="22"/>
  <c r="P401" i="22"/>
  <c r="Q401" i="22"/>
  <c r="R401" i="22"/>
  <c r="P402" i="22"/>
  <c r="Q402" i="22"/>
  <c r="R402" i="22"/>
  <c r="P403" i="22"/>
  <c r="Q403" i="22"/>
  <c r="R403" i="22"/>
  <c r="P404" i="22"/>
  <c r="Q404" i="22"/>
  <c r="R404" i="22"/>
  <c r="P405" i="22"/>
  <c r="Q405" i="22"/>
  <c r="R405" i="22"/>
  <c r="P406" i="22"/>
  <c r="Q406" i="22"/>
  <c r="R406" i="22"/>
  <c r="P407" i="22"/>
  <c r="Q407" i="22"/>
  <c r="R407" i="22"/>
  <c r="P408" i="22"/>
  <c r="Q408" i="22"/>
  <c r="R408" i="22"/>
  <c r="P409" i="22"/>
  <c r="Q409" i="22"/>
  <c r="R409" i="22"/>
  <c r="P410" i="22"/>
  <c r="Q410" i="22"/>
  <c r="R410" i="22"/>
  <c r="P411" i="22"/>
  <c r="Q411" i="22"/>
  <c r="R411" i="22"/>
  <c r="P412" i="22"/>
  <c r="Q412" i="22"/>
  <c r="R412" i="22"/>
  <c r="P413" i="22"/>
  <c r="Q413" i="22"/>
  <c r="R413" i="22"/>
  <c r="P414" i="22"/>
  <c r="Q414" i="22"/>
  <c r="R414" i="22"/>
  <c r="P415" i="22"/>
  <c r="Q415" i="22"/>
  <c r="R415" i="22"/>
  <c r="P416" i="22"/>
  <c r="Q416" i="22"/>
  <c r="R416" i="22"/>
  <c r="P417" i="22"/>
  <c r="Q417" i="22"/>
  <c r="R417" i="22"/>
  <c r="P418" i="22"/>
  <c r="Q418" i="22"/>
  <c r="R418" i="22"/>
  <c r="P419" i="22"/>
  <c r="Q419" i="22"/>
  <c r="R419" i="22"/>
  <c r="P420" i="22"/>
  <c r="Q420" i="22"/>
  <c r="R420" i="22"/>
  <c r="P421" i="22"/>
  <c r="Q421" i="22"/>
  <c r="R421" i="22"/>
  <c r="P422" i="22"/>
  <c r="Q422" i="22"/>
  <c r="R422" i="22"/>
  <c r="P423" i="22"/>
  <c r="Q423" i="22"/>
  <c r="R423" i="22"/>
  <c r="P424" i="22"/>
  <c r="Q424" i="22"/>
  <c r="R424" i="22"/>
  <c r="P425" i="22"/>
  <c r="Q425" i="22"/>
  <c r="R425" i="22"/>
  <c r="P426" i="22"/>
  <c r="Q426" i="22"/>
  <c r="R426" i="22"/>
  <c r="P427" i="22"/>
  <c r="Q427" i="22"/>
  <c r="R427" i="22"/>
  <c r="P428" i="22"/>
  <c r="Q428" i="22"/>
  <c r="R428" i="22"/>
  <c r="P429" i="22"/>
  <c r="Q429" i="22"/>
  <c r="R429" i="22"/>
  <c r="P430" i="22"/>
  <c r="Q430" i="22"/>
  <c r="R430" i="22"/>
  <c r="P6" i="22"/>
  <c r="N7" i="22"/>
  <c r="R7" i="22" s="1"/>
  <c r="N8" i="22"/>
  <c r="R8" i="22" s="1"/>
  <c r="N9" i="22"/>
  <c r="R9" i="22" s="1"/>
  <c r="N10" i="22"/>
  <c r="R10" i="22" s="1"/>
  <c r="N11" i="22"/>
  <c r="R11" i="22" s="1"/>
  <c r="N12" i="22"/>
  <c r="R12" i="22" s="1"/>
  <c r="N13" i="22"/>
  <c r="R13" i="22" s="1"/>
  <c r="N14" i="22"/>
  <c r="R14" i="22" s="1"/>
  <c r="N15" i="22"/>
  <c r="R15" i="22" s="1"/>
  <c r="N16" i="22"/>
  <c r="R16" i="22" s="1"/>
  <c r="N17" i="22"/>
  <c r="R17" i="22" s="1"/>
  <c r="N18" i="22"/>
  <c r="N19" i="22"/>
  <c r="N21" i="22"/>
  <c r="N22" i="22"/>
  <c r="N23" i="22"/>
  <c r="N25" i="22"/>
  <c r="N26" i="22"/>
  <c r="N27" i="22"/>
  <c r="N28" i="22"/>
  <c r="N29" i="22"/>
  <c r="N30" i="22"/>
  <c r="N31" i="22"/>
  <c r="N32" i="22"/>
  <c r="N33" i="22"/>
  <c r="N34" i="22"/>
  <c r="N35" i="22"/>
  <c r="N36" i="22"/>
  <c r="N38" i="22"/>
  <c r="N39" i="22"/>
  <c r="N40" i="22"/>
  <c r="N41" i="22"/>
  <c r="N42" i="22"/>
  <c r="N43" i="22"/>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74" i="22"/>
  <c r="N75" i="22"/>
  <c r="N76" i="22"/>
  <c r="N77" i="22"/>
  <c r="N78" i="22"/>
  <c r="N79" i="22"/>
  <c r="N80" i="22"/>
  <c r="N81" i="22"/>
  <c r="N82" i="22"/>
  <c r="N83" i="22"/>
  <c r="N84" i="22"/>
  <c r="N85" i="22"/>
  <c r="N86" i="22"/>
  <c r="N88" i="22"/>
  <c r="N89" i="22"/>
  <c r="N90" i="22"/>
  <c r="N91" i="22"/>
  <c r="N92" i="22"/>
  <c r="N93" i="22"/>
  <c r="N94" i="22"/>
  <c r="N95" i="22"/>
  <c r="N96" i="22"/>
  <c r="N97" i="22"/>
  <c r="N98" i="22"/>
  <c r="N99" i="22"/>
  <c r="N100" i="22"/>
  <c r="N101" i="22"/>
  <c r="N102" i="22"/>
  <c r="N103" i="22"/>
  <c r="N104" i="22"/>
  <c r="N105" i="22"/>
  <c r="N106" i="22"/>
  <c r="N107" i="22"/>
  <c r="N108" i="22"/>
  <c r="N109" i="22"/>
  <c r="N110" i="22"/>
  <c r="N111" i="22"/>
  <c r="N112" i="22"/>
  <c r="N113" i="22"/>
  <c r="N114" i="22"/>
  <c r="N115" i="22"/>
  <c r="N116" i="22"/>
  <c r="N117" i="22"/>
  <c r="N118" i="22"/>
  <c r="N119" i="22"/>
  <c r="N120" i="22"/>
  <c r="N121" i="22"/>
  <c r="N122" i="22"/>
  <c r="N123" i="22"/>
  <c r="N124" i="22"/>
  <c r="N125" i="22"/>
  <c r="N126" i="22"/>
  <c r="N127" i="22"/>
  <c r="N128" i="22"/>
  <c r="N129" i="22"/>
  <c r="N130" i="22"/>
  <c r="N131" i="22"/>
  <c r="N132" i="22"/>
  <c r="N133" i="22"/>
  <c r="N134" i="22"/>
  <c r="N135" i="22"/>
  <c r="N136" i="22"/>
  <c r="N137" i="22"/>
  <c r="N138" i="22"/>
  <c r="N139" i="22"/>
  <c r="N140" i="22"/>
  <c r="N141" i="22"/>
  <c r="N142" i="22"/>
  <c r="N143" i="22"/>
  <c r="N144" i="22"/>
  <c r="N145" i="22"/>
  <c r="N146" i="22"/>
  <c r="N147" i="22"/>
  <c r="N148" i="22"/>
  <c r="N149" i="22"/>
  <c r="N150" i="22"/>
  <c r="N151" i="22"/>
  <c r="N152" i="22"/>
  <c r="N153" i="22"/>
  <c r="N154" i="22"/>
  <c r="N155" i="22"/>
  <c r="N156" i="22"/>
  <c r="N157" i="22"/>
  <c r="N158" i="22"/>
  <c r="N159" i="22"/>
  <c r="N160" i="22"/>
  <c r="N161" i="22"/>
  <c r="N162" i="22"/>
  <c r="N163" i="22"/>
  <c r="N164" i="22"/>
  <c r="N165" i="22"/>
  <c r="N166" i="22"/>
  <c r="N167" i="22"/>
  <c r="N168" i="22"/>
  <c r="N169" i="22"/>
  <c r="N170" i="22"/>
  <c r="N171" i="22"/>
  <c r="N172" i="22"/>
  <c r="N173" i="22"/>
  <c r="N174" i="22"/>
  <c r="N175" i="22"/>
  <c r="N176" i="22"/>
  <c r="N177" i="22"/>
  <c r="N178" i="22"/>
  <c r="N179" i="22"/>
  <c r="N180" i="22"/>
  <c r="N181" i="22"/>
  <c r="N182" i="22"/>
  <c r="N183" i="22"/>
  <c r="N184" i="22"/>
  <c r="N185" i="22"/>
  <c r="N186" i="22"/>
  <c r="N187" i="22"/>
  <c r="N188" i="22"/>
  <c r="N189" i="22"/>
  <c r="N190" i="22"/>
  <c r="N191" i="22"/>
  <c r="N192" i="22"/>
  <c r="N193" i="22"/>
  <c r="N194" i="22"/>
  <c r="N195" i="22"/>
  <c r="N196" i="22"/>
  <c r="N197" i="22"/>
  <c r="N198" i="22"/>
  <c r="N199" i="22"/>
  <c r="N200" i="22"/>
  <c r="N201" i="22"/>
  <c r="N202" i="22"/>
  <c r="N203" i="22"/>
  <c r="N204" i="22"/>
  <c r="N205" i="22"/>
  <c r="N206" i="22"/>
  <c r="N207" i="22"/>
  <c r="N208" i="22"/>
  <c r="N209" i="22"/>
  <c r="N210" i="22"/>
  <c r="N211" i="22"/>
  <c r="N212" i="22"/>
  <c r="N213" i="22"/>
  <c r="N214" i="22"/>
  <c r="N215" i="22"/>
  <c r="N216" i="22"/>
  <c r="N217" i="22"/>
  <c r="N218" i="22"/>
  <c r="N219" i="22"/>
  <c r="N220" i="22"/>
  <c r="N221" i="22"/>
  <c r="N222" i="22"/>
  <c r="N223" i="22"/>
  <c r="N224" i="22"/>
  <c r="N225" i="22"/>
  <c r="N226" i="22"/>
  <c r="N227" i="22"/>
  <c r="N228" i="22"/>
  <c r="N229" i="22"/>
  <c r="N230" i="22"/>
  <c r="N231" i="22"/>
  <c r="N232" i="22"/>
  <c r="N233" i="22"/>
  <c r="N234" i="22"/>
  <c r="N235" i="22"/>
  <c r="N236" i="22"/>
  <c r="N237" i="22"/>
  <c r="N238" i="22"/>
  <c r="N239" i="22"/>
  <c r="N240" i="22"/>
  <c r="N241" i="22"/>
  <c r="N242" i="22"/>
  <c r="N243" i="22"/>
  <c r="N244" i="22"/>
  <c r="N245" i="22"/>
  <c r="N246" i="22"/>
  <c r="N247" i="22"/>
  <c r="N248" i="22"/>
  <c r="N249" i="22"/>
  <c r="N250" i="22"/>
  <c r="N251" i="22"/>
  <c r="N252" i="22"/>
  <c r="N253" i="22"/>
  <c r="N254" i="22"/>
  <c r="N255" i="22"/>
  <c r="N256" i="22"/>
  <c r="N257" i="22"/>
  <c r="N258" i="22"/>
  <c r="N259" i="22"/>
  <c r="N260" i="22"/>
  <c r="N261" i="22"/>
  <c r="N262" i="22"/>
  <c r="N263" i="22"/>
  <c r="N264" i="22"/>
  <c r="N265" i="22"/>
  <c r="N266" i="22"/>
  <c r="N267" i="22"/>
  <c r="N268" i="22"/>
  <c r="N269" i="22"/>
  <c r="N270" i="22"/>
  <c r="N271" i="22"/>
  <c r="N272" i="22"/>
  <c r="N273" i="22"/>
  <c r="N274" i="22"/>
  <c r="N275" i="22"/>
  <c r="N276" i="22"/>
  <c r="N277" i="22"/>
  <c r="N278" i="22"/>
  <c r="N279" i="22"/>
  <c r="N280" i="22"/>
  <c r="N281" i="22"/>
  <c r="N282" i="22"/>
  <c r="N283" i="22"/>
  <c r="N284" i="22"/>
  <c r="N285" i="22"/>
  <c r="N286" i="22"/>
  <c r="N287" i="22"/>
  <c r="N288" i="22"/>
  <c r="N289" i="22"/>
  <c r="N290" i="22"/>
  <c r="N291" i="22"/>
  <c r="N292" i="22"/>
  <c r="N293" i="22"/>
  <c r="N294" i="22"/>
  <c r="N295" i="22"/>
  <c r="N296" i="22"/>
  <c r="N297" i="22"/>
  <c r="N298" i="22"/>
  <c r="N299" i="22"/>
  <c r="N300" i="22"/>
  <c r="N301" i="22"/>
  <c r="N302" i="22"/>
  <c r="N303" i="22"/>
  <c r="N304" i="22"/>
  <c r="N305" i="22"/>
  <c r="N306" i="22"/>
  <c r="N307" i="22"/>
  <c r="N308" i="22"/>
  <c r="N309" i="22"/>
  <c r="N310" i="22"/>
  <c r="N311" i="22"/>
  <c r="N312" i="22"/>
  <c r="N313" i="22"/>
  <c r="N314" i="22"/>
  <c r="N315" i="22"/>
  <c r="N316" i="22"/>
  <c r="N317" i="22"/>
  <c r="N318" i="22"/>
  <c r="N319" i="22"/>
  <c r="N320" i="22"/>
  <c r="N321" i="22"/>
  <c r="N322" i="22"/>
  <c r="N323" i="22"/>
  <c r="N324" i="22"/>
  <c r="N325" i="22"/>
  <c r="N326" i="22"/>
  <c r="N327" i="22"/>
  <c r="N328" i="22"/>
  <c r="N329" i="22"/>
  <c r="N330" i="22"/>
  <c r="N331" i="22"/>
  <c r="N332" i="22"/>
  <c r="N333" i="22"/>
  <c r="N334" i="22"/>
  <c r="N335" i="22"/>
  <c r="N336" i="22"/>
  <c r="N337" i="22"/>
  <c r="N338" i="22"/>
  <c r="N339" i="22"/>
  <c r="N340" i="22"/>
  <c r="N341" i="22"/>
  <c r="N342" i="22"/>
  <c r="N343" i="22"/>
  <c r="N344" i="22"/>
  <c r="N345" i="22"/>
  <c r="N346" i="22"/>
  <c r="N347" i="22"/>
  <c r="N348" i="22"/>
  <c r="N349" i="22"/>
  <c r="N350" i="22"/>
  <c r="N351" i="22"/>
  <c r="N352" i="22"/>
  <c r="N353" i="22"/>
  <c r="N354" i="22"/>
  <c r="N355" i="22"/>
  <c r="N356" i="22"/>
  <c r="N357" i="22"/>
  <c r="N358" i="22"/>
  <c r="N359" i="22"/>
  <c r="N360" i="22"/>
  <c r="N361" i="22"/>
  <c r="N362" i="22"/>
  <c r="N363" i="22"/>
  <c r="N364" i="22"/>
  <c r="N365" i="22"/>
  <c r="N366" i="22"/>
  <c r="N367" i="22"/>
  <c r="N368" i="22"/>
  <c r="N369" i="22"/>
  <c r="N370" i="22"/>
  <c r="N371" i="22"/>
  <c r="N372" i="22"/>
  <c r="N373" i="22"/>
  <c r="N374" i="22"/>
  <c r="N375" i="22"/>
  <c r="N376" i="22"/>
  <c r="N377" i="22"/>
  <c r="N378" i="22"/>
  <c r="N379" i="22"/>
  <c r="N380" i="22"/>
  <c r="N381" i="22"/>
  <c r="N382" i="22"/>
  <c r="N383" i="22"/>
  <c r="N384" i="22"/>
  <c r="N385" i="22"/>
  <c r="N386" i="22"/>
  <c r="N387" i="22"/>
  <c r="N388" i="22"/>
  <c r="N389" i="22"/>
  <c r="N390" i="22"/>
  <c r="N391" i="22"/>
  <c r="N392" i="22"/>
  <c r="N393" i="22"/>
  <c r="N394" i="22"/>
  <c r="N395" i="22"/>
  <c r="N396" i="22"/>
  <c r="N397" i="22"/>
  <c r="N398" i="22"/>
  <c r="N399" i="22"/>
  <c r="N400" i="22"/>
  <c r="N401" i="22"/>
  <c r="N402" i="22"/>
  <c r="N403" i="22"/>
  <c r="N404" i="22"/>
  <c r="N405" i="22"/>
  <c r="N406" i="22"/>
  <c r="N407" i="22"/>
  <c r="N408" i="22"/>
  <c r="N409" i="22"/>
  <c r="N410" i="22"/>
  <c r="N411" i="22"/>
  <c r="N412" i="22"/>
  <c r="N413" i="22"/>
  <c r="N414" i="22"/>
  <c r="N415" i="22"/>
  <c r="N416" i="22"/>
  <c r="N417" i="22"/>
  <c r="N418" i="22"/>
  <c r="N419" i="22"/>
  <c r="N420" i="22"/>
  <c r="N421" i="22"/>
  <c r="N422" i="22"/>
  <c r="N423" i="22"/>
  <c r="N424" i="22"/>
  <c r="N425" i="22"/>
  <c r="N426" i="22"/>
  <c r="N427" i="22"/>
  <c r="N428" i="22"/>
  <c r="N429" i="22"/>
  <c r="N430" i="22"/>
  <c r="P7" i="23"/>
  <c r="R7" i="23"/>
  <c r="P8" i="23"/>
  <c r="P9" i="23"/>
  <c r="P10" i="23"/>
  <c r="P11" i="23"/>
  <c r="P12" i="23"/>
  <c r="O12" i="23" s="1"/>
  <c r="P13" i="23"/>
  <c r="R13" i="23"/>
  <c r="P14" i="23"/>
  <c r="P15" i="23"/>
  <c r="P16" i="23"/>
  <c r="P17" i="23"/>
  <c r="Q17" i="23"/>
  <c r="R17" i="23"/>
  <c r="P18" i="23"/>
  <c r="Q18" i="23"/>
  <c r="R18" i="23"/>
  <c r="P19" i="23"/>
  <c r="Q19" i="23"/>
  <c r="R19" i="23"/>
  <c r="P20" i="23"/>
  <c r="Q20" i="23"/>
  <c r="R20" i="23"/>
  <c r="P21" i="23"/>
  <c r="Q21" i="23"/>
  <c r="R21" i="23"/>
  <c r="P22" i="23"/>
  <c r="Q22" i="23"/>
  <c r="R22" i="23"/>
  <c r="P23" i="23"/>
  <c r="Q23" i="23"/>
  <c r="R23" i="23"/>
  <c r="P24" i="23"/>
  <c r="Q24" i="23"/>
  <c r="R24" i="23"/>
  <c r="P25" i="23"/>
  <c r="Q25" i="23"/>
  <c r="R25" i="23"/>
  <c r="P26" i="23"/>
  <c r="Q26" i="23"/>
  <c r="R26" i="23"/>
  <c r="P27" i="23"/>
  <c r="Q27" i="23"/>
  <c r="R27" i="23"/>
  <c r="P28" i="23"/>
  <c r="Q28" i="23"/>
  <c r="R28" i="23"/>
  <c r="P29" i="23"/>
  <c r="Q29" i="23"/>
  <c r="R29" i="23"/>
  <c r="P30" i="23"/>
  <c r="Q30" i="23"/>
  <c r="R30" i="23"/>
  <c r="P31" i="23"/>
  <c r="Q31" i="23"/>
  <c r="R31" i="23"/>
  <c r="P32" i="23"/>
  <c r="Q32" i="23"/>
  <c r="R32" i="23"/>
  <c r="P33" i="23"/>
  <c r="Q33" i="23"/>
  <c r="R33" i="23"/>
  <c r="P34" i="23"/>
  <c r="Q34" i="23"/>
  <c r="R34" i="23"/>
  <c r="P35" i="23"/>
  <c r="Q35" i="23"/>
  <c r="R35" i="23"/>
  <c r="P36" i="23"/>
  <c r="Q36" i="23"/>
  <c r="R36" i="23"/>
  <c r="P37" i="23"/>
  <c r="Q37" i="23"/>
  <c r="R37" i="23"/>
  <c r="P38" i="23"/>
  <c r="Q38" i="23"/>
  <c r="R38" i="23"/>
  <c r="P39" i="23"/>
  <c r="Q39" i="23"/>
  <c r="R39" i="23"/>
  <c r="P40" i="23"/>
  <c r="Q40" i="23"/>
  <c r="R40" i="23"/>
  <c r="P41" i="23"/>
  <c r="Q41" i="23"/>
  <c r="R41" i="23"/>
  <c r="P42" i="23"/>
  <c r="Q42" i="23"/>
  <c r="R42" i="23"/>
  <c r="P43" i="23"/>
  <c r="Q43" i="23"/>
  <c r="R43" i="23"/>
  <c r="P44" i="23"/>
  <c r="Q44" i="23"/>
  <c r="R44" i="23"/>
  <c r="P45" i="23"/>
  <c r="Q45" i="23"/>
  <c r="R45" i="23"/>
  <c r="P46" i="23"/>
  <c r="Q46" i="23"/>
  <c r="R46" i="23"/>
  <c r="P47" i="23"/>
  <c r="Q47" i="23"/>
  <c r="R47" i="23"/>
  <c r="P48" i="23"/>
  <c r="Q48" i="23"/>
  <c r="R48" i="23"/>
  <c r="P49" i="23"/>
  <c r="Q49" i="23"/>
  <c r="R49" i="23"/>
  <c r="P50" i="23"/>
  <c r="Q50" i="23"/>
  <c r="R50" i="23"/>
  <c r="P51" i="23"/>
  <c r="Q51" i="23"/>
  <c r="R51" i="23"/>
  <c r="P52" i="23"/>
  <c r="Q52" i="23"/>
  <c r="R52" i="23"/>
  <c r="P53" i="23"/>
  <c r="Q53" i="23"/>
  <c r="R53" i="23"/>
  <c r="P54" i="23"/>
  <c r="Q54" i="23"/>
  <c r="R54" i="23"/>
  <c r="P55" i="23"/>
  <c r="Q55" i="23"/>
  <c r="R55" i="23"/>
  <c r="P56" i="23"/>
  <c r="Q56" i="23"/>
  <c r="R56" i="23"/>
  <c r="P57" i="23"/>
  <c r="Q57" i="23"/>
  <c r="R57" i="23"/>
  <c r="P58" i="23"/>
  <c r="Q58" i="23"/>
  <c r="R58" i="23"/>
  <c r="P59" i="23"/>
  <c r="Q59" i="23"/>
  <c r="R59" i="23"/>
  <c r="P60" i="23"/>
  <c r="Q60" i="23"/>
  <c r="R60" i="23"/>
  <c r="P61" i="23"/>
  <c r="Q61" i="23"/>
  <c r="R61" i="23"/>
  <c r="P62" i="23"/>
  <c r="Q62" i="23"/>
  <c r="R62" i="23"/>
  <c r="P63" i="23"/>
  <c r="Q63" i="23"/>
  <c r="R63" i="23"/>
  <c r="P64" i="23"/>
  <c r="Q64" i="23"/>
  <c r="R64" i="23"/>
  <c r="P65" i="23"/>
  <c r="Q65" i="23"/>
  <c r="R65" i="23"/>
  <c r="P66" i="23"/>
  <c r="Q66" i="23"/>
  <c r="R66" i="23"/>
  <c r="P67" i="23"/>
  <c r="Q67" i="23"/>
  <c r="R67" i="23"/>
  <c r="P68" i="23"/>
  <c r="Q68" i="23"/>
  <c r="R68" i="23"/>
  <c r="P69" i="23"/>
  <c r="Q69" i="23"/>
  <c r="R69" i="23"/>
  <c r="P70" i="23"/>
  <c r="Q70" i="23"/>
  <c r="R70" i="23"/>
  <c r="P71" i="23"/>
  <c r="Q71" i="23"/>
  <c r="R71" i="23"/>
  <c r="P72" i="23"/>
  <c r="Q72" i="23"/>
  <c r="R72" i="23"/>
  <c r="P73" i="23"/>
  <c r="Q73" i="23"/>
  <c r="R73" i="23"/>
  <c r="P74" i="23"/>
  <c r="Q74" i="23"/>
  <c r="R74" i="23"/>
  <c r="P75" i="23"/>
  <c r="Q75" i="23"/>
  <c r="R75" i="23"/>
  <c r="P76" i="23"/>
  <c r="Q76" i="23"/>
  <c r="R76" i="23"/>
  <c r="P77" i="23"/>
  <c r="Q77" i="23"/>
  <c r="R77" i="23"/>
  <c r="P78" i="23"/>
  <c r="Q78" i="23"/>
  <c r="R78" i="23"/>
  <c r="P79" i="23"/>
  <c r="Q79" i="23"/>
  <c r="R79" i="23"/>
  <c r="P80" i="23"/>
  <c r="Q80" i="23"/>
  <c r="R80" i="23"/>
  <c r="P81" i="23"/>
  <c r="Q81" i="23"/>
  <c r="R81" i="23"/>
  <c r="P82" i="23"/>
  <c r="Q82" i="23"/>
  <c r="R82" i="23"/>
  <c r="P83" i="23"/>
  <c r="Q83" i="23"/>
  <c r="R83" i="23"/>
  <c r="P84" i="23"/>
  <c r="Q84" i="23"/>
  <c r="R84" i="23"/>
  <c r="P85" i="23"/>
  <c r="Q85" i="23"/>
  <c r="R85" i="23"/>
  <c r="P86" i="23"/>
  <c r="Q86" i="23"/>
  <c r="R86" i="23"/>
  <c r="P87" i="23"/>
  <c r="Q87" i="23"/>
  <c r="R87" i="23"/>
  <c r="P88" i="23"/>
  <c r="Q88" i="23"/>
  <c r="R88" i="23"/>
  <c r="P89" i="23"/>
  <c r="Q89" i="23"/>
  <c r="R89" i="23"/>
  <c r="P90" i="23"/>
  <c r="Q90" i="23"/>
  <c r="R90" i="23"/>
  <c r="P91" i="23"/>
  <c r="Q91" i="23"/>
  <c r="R91" i="23"/>
  <c r="P92" i="23"/>
  <c r="Q92" i="23"/>
  <c r="R92" i="23"/>
  <c r="P93" i="23"/>
  <c r="Q93" i="23"/>
  <c r="R93" i="23"/>
  <c r="P94" i="23"/>
  <c r="Q94" i="23"/>
  <c r="R94" i="23"/>
  <c r="P95" i="23"/>
  <c r="Q95" i="23"/>
  <c r="R95" i="23"/>
  <c r="P96" i="23"/>
  <c r="Q96" i="23"/>
  <c r="R96" i="23"/>
  <c r="P97" i="23"/>
  <c r="Q97" i="23"/>
  <c r="R97" i="23"/>
  <c r="P98" i="23"/>
  <c r="Q98" i="23"/>
  <c r="R98" i="23"/>
  <c r="P99" i="23"/>
  <c r="Q99" i="23"/>
  <c r="R99" i="23"/>
  <c r="P100" i="23"/>
  <c r="Q100" i="23"/>
  <c r="R100" i="23"/>
  <c r="P101" i="23"/>
  <c r="Q101" i="23"/>
  <c r="R101" i="23"/>
  <c r="P102" i="23"/>
  <c r="Q102" i="23"/>
  <c r="R102" i="23"/>
  <c r="P103" i="23"/>
  <c r="Q103" i="23"/>
  <c r="R103" i="23"/>
  <c r="P104" i="23"/>
  <c r="Q104" i="23"/>
  <c r="R104" i="23"/>
  <c r="P105" i="23"/>
  <c r="Q105" i="23"/>
  <c r="R105" i="23"/>
  <c r="P106" i="23"/>
  <c r="Q106" i="23"/>
  <c r="R106" i="23"/>
  <c r="P107" i="23"/>
  <c r="Q107" i="23"/>
  <c r="R107" i="23"/>
  <c r="P108" i="23"/>
  <c r="Q108" i="23"/>
  <c r="R108" i="23"/>
  <c r="P109" i="23"/>
  <c r="Q109" i="23"/>
  <c r="R109" i="23"/>
  <c r="P110" i="23"/>
  <c r="Q110" i="23"/>
  <c r="R110" i="23"/>
  <c r="P111" i="23"/>
  <c r="Q111" i="23"/>
  <c r="R111" i="23"/>
  <c r="P112" i="23"/>
  <c r="Q112" i="23"/>
  <c r="R112" i="23"/>
  <c r="P113" i="23"/>
  <c r="Q113" i="23"/>
  <c r="R113" i="23"/>
  <c r="P114" i="23"/>
  <c r="Q114" i="23"/>
  <c r="R114" i="23"/>
  <c r="P115" i="23"/>
  <c r="Q115" i="23"/>
  <c r="R115" i="23"/>
  <c r="P116" i="23"/>
  <c r="Q116" i="23"/>
  <c r="R116" i="23"/>
  <c r="P117" i="23"/>
  <c r="Q117" i="23"/>
  <c r="R117" i="23"/>
  <c r="P118" i="23"/>
  <c r="Q118" i="23"/>
  <c r="R118" i="23"/>
  <c r="P119" i="23"/>
  <c r="Q119" i="23"/>
  <c r="R119" i="23"/>
  <c r="P120" i="23"/>
  <c r="Q120" i="23"/>
  <c r="R120" i="23"/>
  <c r="P121" i="23"/>
  <c r="Q121" i="23"/>
  <c r="R121" i="23"/>
  <c r="P122" i="23"/>
  <c r="Q122" i="23"/>
  <c r="R122" i="23"/>
  <c r="P123" i="23"/>
  <c r="Q123" i="23"/>
  <c r="R123" i="23"/>
  <c r="P124" i="23"/>
  <c r="Q124" i="23"/>
  <c r="R124" i="23"/>
  <c r="P125" i="23"/>
  <c r="Q125" i="23"/>
  <c r="R125" i="23"/>
  <c r="P126" i="23"/>
  <c r="Q126" i="23"/>
  <c r="R126" i="23"/>
  <c r="P127" i="23"/>
  <c r="Q127" i="23"/>
  <c r="R127" i="23"/>
  <c r="P128" i="23"/>
  <c r="Q128" i="23"/>
  <c r="R128" i="23"/>
  <c r="P129" i="23"/>
  <c r="Q129" i="23"/>
  <c r="R129" i="23"/>
  <c r="P130" i="23"/>
  <c r="Q130" i="23"/>
  <c r="R130" i="23"/>
  <c r="P131" i="23"/>
  <c r="Q131" i="23"/>
  <c r="R131" i="23"/>
  <c r="P132" i="23"/>
  <c r="Q132" i="23"/>
  <c r="R132" i="23"/>
  <c r="P133" i="23"/>
  <c r="Q133" i="23"/>
  <c r="R133" i="23"/>
  <c r="P134" i="23"/>
  <c r="Q134" i="23"/>
  <c r="R134" i="23"/>
  <c r="P135" i="23"/>
  <c r="Q135" i="23"/>
  <c r="R135" i="23"/>
  <c r="P136" i="23"/>
  <c r="Q136" i="23"/>
  <c r="R136" i="23"/>
  <c r="P137" i="23"/>
  <c r="Q137" i="23"/>
  <c r="R137" i="23"/>
  <c r="P138" i="23"/>
  <c r="Q138" i="23"/>
  <c r="R138" i="23"/>
  <c r="P139" i="23"/>
  <c r="Q139" i="23"/>
  <c r="R139" i="23"/>
  <c r="P140" i="23"/>
  <c r="Q140" i="23"/>
  <c r="R140" i="23"/>
  <c r="P141" i="23"/>
  <c r="Q141" i="23"/>
  <c r="R141" i="23"/>
  <c r="P142" i="23"/>
  <c r="Q142" i="23"/>
  <c r="R142" i="23"/>
  <c r="P143" i="23"/>
  <c r="Q143" i="23"/>
  <c r="R143" i="23"/>
  <c r="P144" i="23"/>
  <c r="Q144" i="23"/>
  <c r="R144" i="23"/>
  <c r="P145" i="23"/>
  <c r="Q145" i="23"/>
  <c r="R145" i="23"/>
  <c r="P146" i="23"/>
  <c r="Q146" i="23"/>
  <c r="R146" i="23"/>
  <c r="P147" i="23"/>
  <c r="Q147" i="23"/>
  <c r="R147" i="23"/>
  <c r="P148" i="23"/>
  <c r="Q148" i="23"/>
  <c r="R148" i="23"/>
  <c r="P149" i="23"/>
  <c r="Q149" i="23"/>
  <c r="R149" i="23"/>
  <c r="P150" i="23"/>
  <c r="Q150" i="23"/>
  <c r="R150" i="23"/>
  <c r="P151" i="23"/>
  <c r="Q151" i="23"/>
  <c r="R151" i="23"/>
  <c r="P152" i="23"/>
  <c r="Q152" i="23"/>
  <c r="R152" i="23"/>
  <c r="P153" i="23"/>
  <c r="Q153" i="23"/>
  <c r="R153" i="23"/>
  <c r="P154" i="23"/>
  <c r="Q154" i="23"/>
  <c r="R154" i="23"/>
  <c r="P155" i="23"/>
  <c r="Q155" i="23"/>
  <c r="R155" i="23"/>
  <c r="P156" i="23"/>
  <c r="Q156" i="23"/>
  <c r="R156" i="23"/>
  <c r="P157" i="23"/>
  <c r="Q157" i="23"/>
  <c r="R157" i="23"/>
  <c r="P158" i="23"/>
  <c r="Q158" i="23"/>
  <c r="R158" i="23"/>
  <c r="P159" i="23"/>
  <c r="Q159" i="23"/>
  <c r="R159" i="23"/>
  <c r="P160" i="23"/>
  <c r="Q160" i="23"/>
  <c r="R160" i="23"/>
  <c r="P161" i="23"/>
  <c r="Q161" i="23"/>
  <c r="R161" i="23"/>
  <c r="P162" i="23"/>
  <c r="Q162" i="23"/>
  <c r="R162" i="23"/>
  <c r="P163" i="23"/>
  <c r="Q163" i="23"/>
  <c r="R163" i="23"/>
  <c r="P164" i="23"/>
  <c r="Q164" i="23"/>
  <c r="R164" i="23"/>
  <c r="P165" i="23"/>
  <c r="Q165" i="23"/>
  <c r="R165" i="23"/>
  <c r="P166" i="23"/>
  <c r="Q166" i="23"/>
  <c r="R166" i="23"/>
  <c r="P167" i="23"/>
  <c r="Q167" i="23"/>
  <c r="R167" i="23"/>
  <c r="P168" i="23"/>
  <c r="Q168" i="23"/>
  <c r="R168" i="23"/>
  <c r="P169" i="23"/>
  <c r="Q169" i="23"/>
  <c r="R169" i="23"/>
  <c r="P170" i="23"/>
  <c r="Q170" i="23"/>
  <c r="R170" i="23"/>
  <c r="P171" i="23"/>
  <c r="Q171" i="23"/>
  <c r="R171" i="23"/>
  <c r="P172" i="23"/>
  <c r="Q172" i="23"/>
  <c r="R172" i="23"/>
  <c r="P173" i="23"/>
  <c r="Q173" i="23"/>
  <c r="R173" i="23"/>
  <c r="P174" i="23"/>
  <c r="Q174" i="23"/>
  <c r="R174" i="23"/>
  <c r="P175" i="23"/>
  <c r="Q175" i="23"/>
  <c r="R175" i="23"/>
  <c r="P176" i="23"/>
  <c r="Q176" i="23"/>
  <c r="R176" i="23"/>
  <c r="P177" i="23"/>
  <c r="Q177" i="23"/>
  <c r="R177" i="23"/>
  <c r="P178" i="23"/>
  <c r="Q178" i="23"/>
  <c r="R178" i="23"/>
  <c r="P179" i="23"/>
  <c r="Q179" i="23"/>
  <c r="R179" i="23"/>
  <c r="P180" i="23"/>
  <c r="Q180" i="23"/>
  <c r="R180" i="23"/>
  <c r="P181" i="23"/>
  <c r="Q181" i="23"/>
  <c r="R181" i="23"/>
  <c r="P182" i="23"/>
  <c r="Q182" i="23"/>
  <c r="R182" i="23"/>
  <c r="P183" i="23"/>
  <c r="Q183" i="23"/>
  <c r="R183" i="23"/>
  <c r="P184" i="23"/>
  <c r="Q184" i="23"/>
  <c r="R184" i="23"/>
  <c r="P185" i="23"/>
  <c r="Q185" i="23"/>
  <c r="R185" i="23"/>
  <c r="P186" i="23"/>
  <c r="Q186" i="23"/>
  <c r="R186" i="23"/>
  <c r="P187" i="23"/>
  <c r="Q187" i="23"/>
  <c r="R187" i="23"/>
  <c r="P188" i="23"/>
  <c r="Q188" i="23"/>
  <c r="R188" i="23"/>
  <c r="P189" i="23"/>
  <c r="Q189" i="23"/>
  <c r="R189" i="23"/>
  <c r="P190" i="23"/>
  <c r="Q190" i="23"/>
  <c r="R190" i="23"/>
  <c r="P191" i="23"/>
  <c r="Q191" i="23"/>
  <c r="R191" i="23"/>
  <c r="P192" i="23"/>
  <c r="Q192" i="23"/>
  <c r="R192" i="23"/>
  <c r="P193" i="23"/>
  <c r="Q193" i="23"/>
  <c r="R193" i="23"/>
  <c r="P194" i="23"/>
  <c r="Q194" i="23"/>
  <c r="R194" i="23"/>
  <c r="P195" i="23"/>
  <c r="Q195" i="23"/>
  <c r="R195" i="23"/>
  <c r="P196" i="23"/>
  <c r="Q196" i="23"/>
  <c r="R196" i="23"/>
  <c r="P197" i="23"/>
  <c r="Q197" i="23"/>
  <c r="R197" i="23"/>
  <c r="P198" i="23"/>
  <c r="Q198" i="23"/>
  <c r="R198" i="23"/>
  <c r="P199" i="23"/>
  <c r="Q199" i="23"/>
  <c r="R199" i="23"/>
  <c r="P200" i="23"/>
  <c r="Q200" i="23"/>
  <c r="R200" i="23"/>
  <c r="P201" i="23"/>
  <c r="Q201" i="23"/>
  <c r="R201" i="23"/>
  <c r="P202" i="23"/>
  <c r="Q202" i="23"/>
  <c r="R202" i="23"/>
  <c r="P203" i="23"/>
  <c r="Q203" i="23"/>
  <c r="R203" i="23"/>
  <c r="P204" i="23"/>
  <c r="Q204" i="23"/>
  <c r="R204" i="23"/>
  <c r="P205" i="23"/>
  <c r="Q205" i="23"/>
  <c r="R205" i="23"/>
  <c r="P206" i="23"/>
  <c r="Q206" i="23"/>
  <c r="R206" i="23"/>
  <c r="P207" i="23"/>
  <c r="Q207" i="23"/>
  <c r="R207" i="23"/>
  <c r="P208" i="23"/>
  <c r="Q208" i="23"/>
  <c r="R208" i="23"/>
  <c r="P209" i="23"/>
  <c r="Q209" i="23"/>
  <c r="R209" i="23"/>
  <c r="P210" i="23"/>
  <c r="Q210" i="23"/>
  <c r="R210" i="23"/>
  <c r="P211" i="23"/>
  <c r="Q211" i="23"/>
  <c r="R211" i="23"/>
  <c r="P212" i="23"/>
  <c r="Q212" i="23"/>
  <c r="R212" i="23"/>
  <c r="P213" i="23"/>
  <c r="Q213" i="23"/>
  <c r="R213" i="23"/>
  <c r="P214" i="23"/>
  <c r="Q214" i="23"/>
  <c r="R214" i="23"/>
  <c r="P215" i="23"/>
  <c r="Q215" i="23"/>
  <c r="R215" i="23"/>
  <c r="P216" i="23"/>
  <c r="Q216" i="23"/>
  <c r="R216" i="23"/>
  <c r="P217" i="23"/>
  <c r="Q217" i="23"/>
  <c r="R217" i="23"/>
  <c r="P218" i="23"/>
  <c r="Q218" i="23"/>
  <c r="R218" i="23"/>
  <c r="P219" i="23"/>
  <c r="Q219" i="23"/>
  <c r="R219" i="23"/>
  <c r="P220" i="23"/>
  <c r="Q220" i="23"/>
  <c r="R220" i="23"/>
  <c r="P221" i="23"/>
  <c r="Q221" i="23"/>
  <c r="R221" i="23"/>
  <c r="P222" i="23"/>
  <c r="Q222" i="23"/>
  <c r="R222" i="23"/>
  <c r="P223" i="23"/>
  <c r="Q223" i="23"/>
  <c r="R223" i="23"/>
  <c r="P224" i="23"/>
  <c r="Q224" i="23"/>
  <c r="R224" i="23"/>
  <c r="P225" i="23"/>
  <c r="Q225" i="23"/>
  <c r="R225" i="23"/>
  <c r="P226" i="23"/>
  <c r="Q226" i="23"/>
  <c r="R226" i="23"/>
  <c r="P227" i="23"/>
  <c r="Q227" i="23"/>
  <c r="R227" i="23"/>
  <c r="P228" i="23"/>
  <c r="Q228" i="23"/>
  <c r="R228" i="23"/>
  <c r="P229" i="23"/>
  <c r="Q229" i="23"/>
  <c r="R229" i="23"/>
  <c r="P230" i="23"/>
  <c r="Q230" i="23"/>
  <c r="R230" i="23"/>
  <c r="P231" i="23"/>
  <c r="Q231" i="23"/>
  <c r="R231" i="23"/>
  <c r="P232" i="23"/>
  <c r="Q232" i="23"/>
  <c r="R232" i="23"/>
  <c r="P233" i="23"/>
  <c r="Q233" i="23"/>
  <c r="R233" i="23"/>
  <c r="P234" i="23"/>
  <c r="Q234" i="23"/>
  <c r="R234" i="23"/>
  <c r="P235" i="23"/>
  <c r="Q235" i="23"/>
  <c r="R235" i="23"/>
  <c r="P236" i="23"/>
  <c r="Q236" i="23"/>
  <c r="R236" i="23"/>
  <c r="P237" i="23"/>
  <c r="Q237" i="23"/>
  <c r="R237" i="23"/>
  <c r="P238" i="23"/>
  <c r="Q238" i="23"/>
  <c r="R238" i="23"/>
  <c r="P239" i="23"/>
  <c r="Q239" i="23"/>
  <c r="R239" i="23"/>
  <c r="P240" i="23"/>
  <c r="Q240" i="23"/>
  <c r="R240" i="23"/>
  <c r="P241" i="23"/>
  <c r="Q241" i="23"/>
  <c r="R241" i="23"/>
  <c r="P242" i="23"/>
  <c r="Q242" i="23"/>
  <c r="R242" i="23"/>
  <c r="P243" i="23"/>
  <c r="Q243" i="23"/>
  <c r="R243" i="23"/>
  <c r="P244" i="23"/>
  <c r="Q244" i="23"/>
  <c r="R244" i="23"/>
  <c r="P245" i="23"/>
  <c r="Q245" i="23"/>
  <c r="R245" i="23"/>
  <c r="P246" i="23"/>
  <c r="Q246" i="23"/>
  <c r="R246" i="23"/>
  <c r="P247" i="23"/>
  <c r="Q247" i="23"/>
  <c r="R247" i="23"/>
  <c r="P248" i="23"/>
  <c r="Q248" i="23"/>
  <c r="R248" i="23"/>
  <c r="P249" i="23"/>
  <c r="Q249" i="23"/>
  <c r="R249" i="23"/>
  <c r="P250" i="23"/>
  <c r="Q250" i="23"/>
  <c r="R250" i="23"/>
  <c r="P251" i="23"/>
  <c r="Q251" i="23"/>
  <c r="R251" i="23"/>
  <c r="P252" i="23"/>
  <c r="Q252" i="23"/>
  <c r="R252" i="23"/>
  <c r="P253" i="23"/>
  <c r="Q253" i="23"/>
  <c r="R253" i="23"/>
  <c r="P254" i="23"/>
  <c r="Q254" i="23"/>
  <c r="R254" i="23"/>
  <c r="P255" i="23"/>
  <c r="Q255" i="23"/>
  <c r="R255" i="23"/>
  <c r="P256" i="23"/>
  <c r="Q256" i="23"/>
  <c r="R256" i="23"/>
  <c r="P257" i="23"/>
  <c r="Q257" i="23"/>
  <c r="R257" i="23"/>
  <c r="P258" i="23"/>
  <c r="Q258" i="23"/>
  <c r="R258" i="23"/>
  <c r="P259" i="23"/>
  <c r="Q259" i="23"/>
  <c r="R259" i="23"/>
  <c r="P260" i="23"/>
  <c r="Q260" i="23"/>
  <c r="R260" i="23"/>
  <c r="P261" i="23"/>
  <c r="Q261" i="23"/>
  <c r="R261" i="23"/>
  <c r="P262" i="23"/>
  <c r="Q262" i="23"/>
  <c r="R262" i="23"/>
  <c r="P263" i="23"/>
  <c r="Q263" i="23"/>
  <c r="R263" i="23"/>
  <c r="P264" i="23"/>
  <c r="Q264" i="23"/>
  <c r="R264" i="23"/>
  <c r="P265" i="23"/>
  <c r="Q265" i="23"/>
  <c r="R265" i="23"/>
  <c r="P266" i="23"/>
  <c r="Q266" i="23"/>
  <c r="R266" i="23"/>
  <c r="P267" i="23"/>
  <c r="Q267" i="23"/>
  <c r="R267" i="23"/>
  <c r="P268" i="23"/>
  <c r="Q268" i="23"/>
  <c r="R268" i="23"/>
  <c r="P269" i="23"/>
  <c r="Q269" i="23"/>
  <c r="R269" i="23"/>
  <c r="P270" i="23"/>
  <c r="Q270" i="23"/>
  <c r="R270" i="23"/>
  <c r="P271" i="23"/>
  <c r="Q271" i="23"/>
  <c r="R271" i="23"/>
  <c r="P272" i="23"/>
  <c r="Q272" i="23"/>
  <c r="R272" i="23"/>
  <c r="P273" i="23"/>
  <c r="Q273" i="23"/>
  <c r="R273" i="23"/>
  <c r="P274" i="23"/>
  <c r="Q274" i="23"/>
  <c r="R274" i="23"/>
  <c r="P275" i="23"/>
  <c r="Q275" i="23"/>
  <c r="R275" i="23"/>
  <c r="P276" i="23"/>
  <c r="Q276" i="23"/>
  <c r="R276" i="23"/>
  <c r="P277" i="23"/>
  <c r="Q277" i="23"/>
  <c r="R277" i="23"/>
  <c r="P278" i="23"/>
  <c r="Q278" i="23"/>
  <c r="R278" i="23"/>
  <c r="P279" i="23"/>
  <c r="Q279" i="23"/>
  <c r="R279" i="23"/>
  <c r="P280" i="23"/>
  <c r="Q280" i="23"/>
  <c r="R280" i="23"/>
  <c r="P281" i="23"/>
  <c r="Q281" i="23"/>
  <c r="R281" i="23"/>
  <c r="P282" i="23"/>
  <c r="Q282" i="23"/>
  <c r="R282" i="23"/>
  <c r="P283" i="23"/>
  <c r="Q283" i="23"/>
  <c r="R283" i="23"/>
  <c r="P284" i="23"/>
  <c r="Q284" i="23"/>
  <c r="R284" i="23"/>
  <c r="P285" i="23"/>
  <c r="Q285" i="23"/>
  <c r="R285" i="23"/>
  <c r="P286" i="23"/>
  <c r="Q286" i="23"/>
  <c r="R286" i="23"/>
  <c r="P287" i="23"/>
  <c r="Q287" i="23"/>
  <c r="R287" i="23"/>
  <c r="P288" i="23"/>
  <c r="Q288" i="23"/>
  <c r="R288" i="23"/>
  <c r="P289" i="23"/>
  <c r="Q289" i="23"/>
  <c r="R289" i="23"/>
  <c r="P290" i="23"/>
  <c r="Q290" i="23"/>
  <c r="R290" i="23"/>
  <c r="P291" i="23"/>
  <c r="Q291" i="23"/>
  <c r="R291" i="23"/>
  <c r="P292" i="23"/>
  <c r="Q292" i="23"/>
  <c r="R292" i="23"/>
  <c r="P293" i="23"/>
  <c r="Q293" i="23"/>
  <c r="R293" i="23"/>
  <c r="P294" i="23"/>
  <c r="Q294" i="23"/>
  <c r="R294" i="23"/>
  <c r="P295" i="23"/>
  <c r="Q295" i="23"/>
  <c r="R295" i="23"/>
  <c r="P296" i="23"/>
  <c r="Q296" i="23"/>
  <c r="R296" i="23"/>
  <c r="P297" i="23"/>
  <c r="Q297" i="23"/>
  <c r="R297" i="23"/>
  <c r="P298" i="23"/>
  <c r="Q298" i="23"/>
  <c r="R298" i="23"/>
  <c r="P299" i="23"/>
  <c r="Q299" i="23"/>
  <c r="R299" i="23"/>
  <c r="P300" i="23"/>
  <c r="Q300" i="23"/>
  <c r="R300" i="23"/>
  <c r="P301" i="23"/>
  <c r="Q301" i="23"/>
  <c r="R301" i="23"/>
  <c r="P302" i="23"/>
  <c r="Q302" i="23"/>
  <c r="R302" i="23"/>
  <c r="P303" i="23"/>
  <c r="Q303" i="23"/>
  <c r="R303" i="23"/>
  <c r="P304" i="23"/>
  <c r="Q304" i="23"/>
  <c r="R304" i="23"/>
  <c r="P305" i="23"/>
  <c r="Q305" i="23"/>
  <c r="R305" i="23"/>
  <c r="P306" i="23"/>
  <c r="Q306" i="23"/>
  <c r="R306" i="23"/>
  <c r="P307" i="23"/>
  <c r="Q307" i="23"/>
  <c r="R307" i="23"/>
  <c r="P308" i="23"/>
  <c r="Q308" i="23"/>
  <c r="R308" i="23"/>
  <c r="P309" i="23"/>
  <c r="Q309" i="23"/>
  <c r="R309" i="23"/>
  <c r="P310" i="23"/>
  <c r="Q310" i="23"/>
  <c r="R310" i="23"/>
  <c r="P311" i="23"/>
  <c r="Q311" i="23"/>
  <c r="R311" i="23"/>
  <c r="P312" i="23"/>
  <c r="Q312" i="23"/>
  <c r="R312" i="23"/>
  <c r="P313" i="23"/>
  <c r="Q313" i="23"/>
  <c r="R313" i="23"/>
  <c r="P314" i="23"/>
  <c r="Q314" i="23"/>
  <c r="R314" i="23"/>
  <c r="P315" i="23"/>
  <c r="Q315" i="23"/>
  <c r="R315" i="23"/>
  <c r="P316" i="23"/>
  <c r="Q316" i="23"/>
  <c r="R316" i="23"/>
  <c r="P317" i="23"/>
  <c r="Q317" i="23"/>
  <c r="R317" i="23"/>
  <c r="P318" i="23"/>
  <c r="Q318" i="23"/>
  <c r="R318" i="23"/>
  <c r="P319" i="23"/>
  <c r="Q319" i="23"/>
  <c r="R319" i="23"/>
  <c r="P320" i="23"/>
  <c r="Q320" i="23"/>
  <c r="R320" i="23"/>
  <c r="P321" i="23"/>
  <c r="Q321" i="23"/>
  <c r="R321" i="23"/>
  <c r="P322" i="23"/>
  <c r="Q322" i="23"/>
  <c r="R322" i="23"/>
  <c r="P323" i="23"/>
  <c r="Q323" i="23"/>
  <c r="R323" i="23"/>
  <c r="P324" i="23"/>
  <c r="Q324" i="23"/>
  <c r="R324" i="23"/>
  <c r="P325" i="23"/>
  <c r="Q325" i="23"/>
  <c r="R325" i="23"/>
  <c r="P326" i="23"/>
  <c r="Q326" i="23"/>
  <c r="R326" i="23"/>
  <c r="P327" i="23"/>
  <c r="Q327" i="23"/>
  <c r="R327" i="23"/>
  <c r="P328" i="23"/>
  <c r="Q328" i="23"/>
  <c r="R328" i="23"/>
  <c r="P329" i="23"/>
  <c r="Q329" i="23"/>
  <c r="R329" i="23"/>
  <c r="P330" i="23"/>
  <c r="Q330" i="23"/>
  <c r="R330" i="23"/>
  <c r="P331" i="23"/>
  <c r="Q331" i="23"/>
  <c r="R331" i="23"/>
  <c r="P332" i="23"/>
  <c r="Q332" i="23"/>
  <c r="R332" i="23"/>
  <c r="P333" i="23"/>
  <c r="Q333" i="23"/>
  <c r="R333" i="23"/>
  <c r="P334" i="23"/>
  <c r="Q334" i="23"/>
  <c r="R334" i="23"/>
  <c r="P335" i="23"/>
  <c r="Q335" i="23"/>
  <c r="R335" i="23"/>
  <c r="P336" i="23"/>
  <c r="Q336" i="23"/>
  <c r="R336" i="23"/>
  <c r="P337" i="23"/>
  <c r="Q337" i="23"/>
  <c r="R337" i="23"/>
  <c r="P338" i="23"/>
  <c r="Q338" i="23"/>
  <c r="R338" i="23"/>
  <c r="P339" i="23"/>
  <c r="Q339" i="23"/>
  <c r="R339" i="23"/>
  <c r="P340" i="23"/>
  <c r="Q340" i="23"/>
  <c r="R340" i="23"/>
  <c r="P341" i="23"/>
  <c r="Q341" i="23"/>
  <c r="R341" i="23"/>
  <c r="P342" i="23"/>
  <c r="Q342" i="23"/>
  <c r="R342" i="23"/>
  <c r="P343" i="23"/>
  <c r="Q343" i="23"/>
  <c r="R343" i="23"/>
  <c r="P344" i="23"/>
  <c r="Q344" i="23"/>
  <c r="R344" i="23"/>
  <c r="P345" i="23"/>
  <c r="Q345" i="23"/>
  <c r="R345" i="23"/>
  <c r="P346" i="23"/>
  <c r="Q346" i="23"/>
  <c r="R346" i="23"/>
  <c r="P347" i="23"/>
  <c r="Q347" i="23"/>
  <c r="R347" i="23"/>
  <c r="P348" i="23"/>
  <c r="Q348" i="23"/>
  <c r="R348" i="23"/>
  <c r="P349" i="23"/>
  <c r="Q349" i="23"/>
  <c r="R349" i="23"/>
  <c r="P350" i="23"/>
  <c r="Q350" i="23"/>
  <c r="R350" i="23"/>
  <c r="P351" i="23"/>
  <c r="Q351" i="23"/>
  <c r="R351" i="23"/>
  <c r="P352" i="23"/>
  <c r="Q352" i="23"/>
  <c r="R352" i="23"/>
  <c r="P353" i="23"/>
  <c r="Q353" i="23"/>
  <c r="R353" i="23"/>
  <c r="P354" i="23"/>
  <c r="Q354" i="23"/>
  <c r="R354" i="23"/>
  <c r="P355" i="23"/>
  <c r="Q355" i="23"/>
  <c r="R355" i="23"/>
  <c r="P356" i="23"/>
  <c r="Q356" i="23"/>
  <c r="R356" i="23"/>
  <c r="P357" i="23"/>
  <c r="Q357" i="23"/>
  <c r="R357" i="23"/>
  <c r="P358" i="23"/>
  <c r="Q358" i="23"/>
  <c r="R358" i="23"/>
  <c r="P359" i="23"/>
  <c r="Q359" i="23"/>
  <c r="R359" i="23"/>
  <c r="P360" i="23"/>
  <c r="Q360" i="23"/>
  <c r="R360" i="23"/>
  <c r="P361" i="23"/>
  <c r="Q361" i="23"/>
  <c r="R361" i="23"/>
  <c r="P362" i="23"/>
  <c r="Q362" i="23"/>
  <c r="R362" i="23"/>
  <c r="P363" i="23"/>
  <c r="Q363" i="23"/>
  <c r="R363" i="23"/>
  <c r="P364" i="23"/>
  <c r="Q364" i="23"/>
  <c r="R364" i="23"/>
  <c r="P365" i="23"/>
  <c r="Q365" i="23"/>
  <c r="R365" i="23"/>
  <c r="P366" i="23"/>
  <c r="Q366" i="23"/>
  <c r="R366" i="23"/>
  <c r="P367" i="23"/>
  <c r="Q367" i="23"/>
  <c r="R367" i="23"/>
  <c r="P368" i="23"/>
  <c r="Q368" i="23"/>
  <c r="R368" i="23"/>
  <c r="P369" i="23"/>
  <c r="Q369" i="23"/>
  <c r="R369" i="23"/>
  <c r="P370" i="23"/>
  <c r="Q370" i="23"/>
  <c r="R370" i="23"/>
  <c r="P371" i="23"/>
  <c r="Q371" i="23"/>
  <c r="R371" i="23"/>
  <c r="P372" i="23"/>
  <c r="Q372" i="23"/>
  <c r="R372" i="23"/>
  <c r="P373" i="23"/>
  <c r="Q373" i="23"/>
  <c r="R373" i="23"/>
  <c r="P374" i="23"/>
  <c r="Q374" i="23"/>
  <c r="R374" i="23"/>
  <c r="P375" i="23"/>
  <c r="Q375" i="23"/>
  <c r="R375" i="23"/>
  <c r="P376" i="23"/>
  <c r="Q376" i="23"/>
  <c r="R376" i="23"/>
  <c r="P377" i="23"/>
  <c r="Q377" i="23"/>
  <c r="R377" i="23"/>
  <c r="P378" i="23"/>
  <c r="Q378" i="23"/>
  <c r="R378" i="23"/>
  <c r="P379" i="23"/>
  <c r="Q379" i="23"/>
  <c r="R379" i="23"/>
  <c r="P380" i="23"/>
  <c r="Q380" i="23"/>
  <c r="R380" i="23"/>
  <c r="P381" i="23"/>
  <c r="Q381" i="23"/>
  <c r="R381" i="23"/>
  <c r="P382" i="23"/>
  <c r="Q382" i="23"/>
  <c r="R382" i="23"/>
  <c r="P383" i="23"/>
  <c r="Q383" i="23"/>
  <c r="R383" i="23"/>
  <c r="P384" i="23"/>
  <c r="Q384" i="23"/>
  <c r="R384" i="23"/>
  <c r="P385" i="23"/>
  <c r="Q385" i="23"/>
  <c r="R385" i="23"/>
  <c r="P386" i="23"/>
  <c r="Q386" i="23"/>
  <c r="R386" i="23"/>
  <c r="P387" i="23"/>
  <c r="Q387" i="23"/>
  <c r="R387" i="23"/>
  <c r="P388" i="23"/>
  <c r="Q388" i="23"/>
  <c r="R388" i="23"/>
  <c r="P389" i="23"/>
  <c r="Q389" i="23"/>
  <c r="R389" i="23"/>
  <c r="P390" i="23"/>
  <c r="Q390" i="23"/>
  <c r="R390" i="23"/>
  <c r="P391" i="23"/>
  <c r="Q391" i="23"/>
  <c r="R391" i="23"/>
  <c r="P392" i="23"/>
  <c r="Q392" i="23"/>
  <c r="R392" i="23"/>
  <c r="P393" i="23"/>
  <c r="Q393" i="23"/>
  <c r="R393" i="23"/>
  <c r="P394" i="23"/>
  <c r="Q394" i="23"/>
  <c r="R394" i="23"/>
  <c r="P395" i="23"/>
  <c r="Q395" i="23"/>
  <c r="R395" i="23"/>
  <c r="P396" i="23"/>
  <c r="Q396" i="23"/>
  <c r="R396" i="23"/>
  <c r="P397" i="23"/>
  <c r="Q397" i="23"/>
  <c r="R397" i="23"/>
  <c r="P398" i="23"/>
  <c r="Q398" i="23"/>
  <c r="R398" i="23"/>
  <c r="P399" i="23"/>
  <c r="Q399" i="23"/>
  <c r="R399" i="23"/>
  <c r="P400" i="23"/>
  <c r="Q400" i="23"/>
  <c r="R400" i="23"/>
  <c r="P401" i="23"/>
  <c r="Q401" i="23"/>
  <c r="R401" i="23"/>
  <c r="P402" i="23"/>
  <c r="Q402" i="23"/>
  <c r="R402" i="23"/>
  <c r="P403" i="23"/>
  <c r="Q403" i="23"/>
  <c r="R403" i="23"/>
  <c r="P404" i="23"/>
  <c r="Q404" i="23"/>
  <c r="R404" i="23"/>
  <c r="P405" i="23"/>
  <c r="Q405" i="23"/>
  <c r="R405" i="23"/>
  <c r="P406" i="23"/>
  <c r="Q406" i="23"/>
  <c r="R406" i="23"/>
  <c r="P407" i="23"/>
  <c r="Q407" i="23"/>
  <c r="R407" i="23"/>
  <c r="P408" i="23"/>
  <c r="Q408" i="23"/>
  <c r="R408" i="23"/>
  <c r="P409" i="23"/>
  <c r="Q409" i="23"/>
  <c r="R409" i="23"/>
  <c r="P410" i="23"/>
  <c r="Q410" i="23"/>
  <c r="R410" i="23"/>
  <c r="P411" i="23"/>
  <c r="Q411" i="23"/>
  <c r="R411" i="23"/>
  <c r="P412" i="23"/>
  <c r="Q412" i="23"/>
  <c r="R412" i="23"/>
  <c r="P413" i="23"/>
  <c r="Q413" i="23"/>
  <c r="R413" i="23"/>
  <c r="P414" i="23"/>
  <c r="Q414" i="23"/>
  <c r="R414" i="23"/>
  <c r="P415" i="23"/>
  <c r="Q415" i="23"/>
  <c r="R415" i="23"/>
  <c r="P416" i="23"/>
  <c r="Q416" i="23"/>
  <c r="R416" i="23"/>
  <c r="P417" i="23"/>
  <c r="Q417" i="23"/>
  <c r="R417" i="23"/>
  <c r="P418" i="23"/>
  <c r="Q418" i="23"/>
  <c r="R418" i="23"/>
  <c r="P419" i="23"/>
  <c r="Q419" i="23"/>
  <c r="R419" i="23"/>
  <c r="P420" i="23"/>
  <c r="Q420" i="23"/>
  <c r="R420" i="23"/>
  <c r="P421" i="23"/>
  <c r="Q421" i="23"/>
  <c r="R421" i="23"/>
  <c r="P422" i="23"/>
  <c r="Q422" i="23"/>
  <c r="R422" i="23"/>
  <c r="P423" i="23"/>
  <c r="Q423" i="23"/>
  <c r="R423" i="23"/>
  <c r="P424" i="23"/>
  <c r="Q424" i="23"/>
  <c r="R424" i="23"/>
  <c r="P425" i="23"/>
  <c r="Q425" i="23"/>
  <c r="R425" i="23"/>
  <c r="P426" i="23"/>
  <c r="Q426" i="23"/>
  <c r="R426" i="23"/>
  <c r="P427" i="23"/>
  <c r="Q427" i="23"/>
  <c r="R427" i="23"/>
  <c r="P428" i="23"/>
  <c r="Q428" i="23"/>
  <c r="R428" i="23"/>
  <c r="P429" i="23"/>
  <c r="Q429" i="23"/>
  <c r="R429" i="23"/>
  <c r="P430" i="23"/>
  <c r="Q430" i="23"/>
  <c r="R430" i="23"/>
  <c r="Q6" i="23"/>
  <c r="P6" i="23"/>
  <c r="N8" i="23"/>
  <c r="R8" i="23" s="1"/>
  <c r="N9" i="23"/>
  <c r="R9" i="23" s="1"/>
  <c r="N10" i="23"/>
  <c r="R10" i="23" s="1"/>
  <c r="N12" i="23"/>
  <c r="R12" i="23" s="1"/>
  <c r="N13" i="23"/>
  <c r="N14" i="23"/>
  <c r="R14" i="23" s="1"/>
  <c r="N15" i="23"/>
  <c r="R15" i="23" s="1"/>
  <c r="N16" i="23"/>
  <c r="R16" i="23" s="1"/>
  <c r="N17" i="23"/>
  <c r="N18" i="23"/>
  <c r="N19" i="23"/>
  <c r="N20" i="23"/>
  <c r="N21" i="23"/>
  <c r="N23" i="23"/>
  <c r="N24" i="23"/>
  <c r="N25" i="23"/>
  <c r="N26" i="23"/>
  <c r="N27" i="23"/>
  <c r="N28" i="23"/>
  <c r="N29" i="23"/>
  <c r="N30" i="23"/>
  <c r="N31" i="23"/>
  <c r="N32" i="23"/>
  <c r="N33" i="23"/>
  <c r="N34" i="23"/>
  <c r="N35" i="23"/>
  <c r="N36" i="23"/>
  <c r="N37" i="23"/>
  <c r="N38" i="23"/>
  <c r="N40" i="23"/>
  <c r="N41" i="23"/>
  <c r="N42" i="23"/>
  <c r="N43" i="23"/>
  <c r="N44" i="23"/>
  <c r="N46" i="23"/>
  <c r="N47" i="23"/>
  <c r="N49" i="23"/>
  <c r="N50" i="23"/>
  <c r="N51" i="23"/>
  <c r="N52" i="23"/>
  <c r="N53" i="23"/>
  <c r="N54" i="23"/>
  <c r="N55" i="23"/>
  <c r="N56" i="23"/>
  <c r="N57" i="23"/>
  <c r="N58" i="23"/>
  <c r="N59" i="23"/>
  <c r="N60" i="23"/>
  <c r="N61" i="23"/>
  <c r="N62" i="23"/>
  <c r="N63" i="23"/>
  <c r="N64" i="23"/>
  <c r="N65" i="23"/>
  <c r="N66" i="23"/>
  <c r="N67" i="23"/>
  <c r="N68" i="23"/>
  <c r="N69" i="23"/>
  <c r="N70" i="23"/>
  <c r="N71" i="23"/>
  <c r="N72" i="23"/>
  <c r="N73" i="23"/>
  <c r="N74" i="23"/>
  <c r="N75" i="23"/>
  <c r="N76" i="23"/>
  <c r="N77" i="23"/>
  <c r="N78" i="23"/>
  <c r="N79" i="23"/>
  <c r="N80" i="23"/>
  <c r="N81" i="23"/>
  <c r="N82" i="23"/>
  <c r="N83" i="23"/>
  <c r="N84" i="23"/>
  <c r="N85" i="23"/>
  <c r="N86" i="23"/>
  <c r="N87" i="23"/>
  <c r="N88" i="23"/>
  <c r="N89" i="23"/>
  <c r="N90" i="23"/>
  <c r="N91" i="23"/>
  <c r="N92" i="23"/>
  <c r="N93" i="23"/>
  <c r="N94" i="23"/>
  <c r="N95" i="23"/>
  <c r="N96" i="23"/>
  <c r="N97" i="23"/>
  <c r="N98" i="23"/>
  <c r="N99" i="23"/>
  <c r="N100" i="23"/>
  <c r="N101" i="23"/>
  <c r="N102" i="23"/>
  <c r="N103" i="23"/>
  <c r="N104" i="23"/>
  <c r="N105" i="23"/>
  <c r="N106" i="23"/>
  <c r="N107" i="23"/>
  <c r="N108" i="23"/>
  <c r="N109" i="23"/>
  <c r="N110" i="23"/>
  <c r="N111" i="23"/>
  <c r="N112" i="23"/>
  <c r="N113" i="23"/>
  <c r="N114" i="23"/>
  <c r="N115" i="23"/>
  <c r="N116" i="23"/>
  <c r="N117" i="23"/>
  <c r="N118" i="23"/>
  <c r="N119" i="23"/>
  <c r="N120" i="23"/>
  <c r="N121" i="23"/>
  <c r="N122" i="23"/>
  <c r="N123" i="23"/>
  <c r="N124" i="23"/>
  <c r="N125" i="23"/>
  <c r="N126" i="23"/>
  <c r="N127" i="23"/>
  <c r="N128" i="23"/>
  <c r="N129" i="23"/>
  <c r="N130" i="23"/>
  <c r="N131" i="23"/>
  <c r="N132" i="23"/>
  <c r="N133" i="23"/>
  <c r="N134" i="23"/>
  <c r="N135" i="23"/>
  <c r="N136" i="23"/>
  <c r="N137" i="23"/>
  <c r="N138" i="23"/>
  <c r="N139" i="23"/>
  <c r="N140" i="23"/>
  <c r="N141" i="23"/>
  <c r="N142" i="23"/>
  <c r="N143" i="23"/>
  <c r="N144" i="23"/>
  <c r="N145" i="23"/>
  <c r="N146"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224" i="23"/>
  <c r="N225" i="23"/>
  <c r="N226" i="23"/>
  <c r="N227" i="23"/>
  <c r="N228" i="23"/>
  <c r="N229" i="23"/>
  <c r="N230" i="23"/>
  <c r="N231" i="23"/>
  <c r="N232" i="23"/>
  <c r="N233" i="23"/>
  <c r="N234" i="23"/>
  <c r="N235" i="23"/>
  <c r="N236" i="23"/>
  <c r="N237" i="23"/>
  <c r="N238" i="23"/>
  <c r="N239" i="23"/>
  <c r="N240" i="23"/>
  <c r="N241" i="23"/>
  <c r="N242" i="23"/>
  <c r="N243" i="23"/>
  <c r="N244" i="23"/>
  <c r="N245" i="23"/>
  <c r="N246" i="23"/>
  <c r="N247" i="23"/>
  <c r="N248" i="23"/>
  <c r="N249" i="23"/>
  <c r="N250" i="23"/>
  <c r="N251" i="23"/>
  <c r="N252" i="23"/>
  <c r="N253" i="23"/>
  <c r="N254" i="23"/>
  <c r="N255" i="23"/>
  <c r="N256" i="23"/>
  <c r="N257" i="23"/>
  <c r="N258" i="23"/>
  <c r="N259" i="23"/>
  <c r="N260" i="23"/>
  <c r="N261" i="23"/>
  <c r="N262" i="23"/>
  <c r="N263" i="23"/>
  <c r="N264" i="23"/>
  <c r="N265" i="23"/>
  <c r="N266" i="23"/>
  <c r="N267" i="23"/>
  <c r="N268" i="23"/>
  <c r="N269" i="23"/>
  <c r="N270" i="23"/>
  <c r="N271" i="23"/>
  <c r="N272" i="23"/>
  <c r="N273" i="23"/>
  <c r="N274" i="23"/>
  <c r="N275" i="23"/>
  <c r="N276" i="23"/>
  <c r="N277" i="23"/>
  <c r="N278" i="23"/>
  <c r="N279" i="23"/>
  <c r="N280" i="23"/>
  <c r="N281" i="23"/>
  <c r="N282" i="23"/>
  <c r="N283" i="23"/>
  <c r="N284" i="23"/>
  <c r="N285" i="23"/>
  <c r="N286" i="23"/>
  <c r="N287" i="23"/>
  <c r="N288" i="23"/>
  <c r="N289" i="23"/>
  <c r="N290" i="23"/>
  <c r="N291" i="23"/>
  <c r="N292" i="23"/>
  <c r="N293" i="23"/>
  <c r="N294" i="23"/>
  <c r="N295" i="23"/>
  <c r="N296" i="23"/>
  <c r="N297" i="23"/>
  <c r="N298" i="23"/>
  <c r="N299" i="23"/>
  <c r="N300" i="23"/>
  <c r="N301" i="23"/>
  <c r="N302" i="23"/>
  <c r="N303" i="23"/>
  <c r="N304" i="23"/>
  <c r="N305" i="23"/>
  <c r="N306" i="23"/>
  <c r="N307" i="23"/>
  <c r="N308" i="23"/>
  <c r="N309" i="23"/>
  <c r="N310" i="23"/>
  <c r="N311" i="23"/>
  <c r="N312" i="23"/>
  <c r="N313" i="23"/>
  <c r="N314" i="23"/>
  <c r="N315" i="23"/>
  <c r="N316" i="23"/>
  <c r="N317" i="23"/>
  <c r="N318" i="23"/>
  <c r="N319" i="23"/>
  <c r="N320" i="23"/>
  <c r="N321" i="23"/>
  <c r="N322" i="23"/>
  <c r="N323" i="23"/>
  <c r="N324" i="23"/>
  <c r="N325" i="23"/>
  <c r="N326" i="23"/>
  <c r="N327" i="23"/>
  <c r="N328" i="23"/>
  <c r="N329" i="23"/>
  <c r="N330" i="23"/>
  <c r="N331" i="23"/>
  <c r="N332" i="23"/>
  <c r="N333" i="23"/>
  <c r="N334" i="23"/>
  <c r="N335" i="23"/>
  <c r="N336" i="23"/>
  <c r="N337" i="23"/>
  <c r="N338" i="23"/>
  <c r="N339" i="23"/>
  <c r="N340" i="23"/>
  <c r="N341" i="23"/>
  <c r="N342" i="23"/>
  <c r="N343" i="23"/>
  <c r="N344" i="23"/>
  <c r="N345" i="23"/>
  <c r="N346" i="23"/>
  <c r="N347" i="23"/>
  <c r="N348" i="23"/>
  <c r="N349" i="23"/>
  <c r="N350" i="23"/>
  <c r="N351" i="23"/>
  <c r="N352" i="23"/>
  <c r="N353" i="23"/>
  <c r="N354" i="23"/>
  <c r="N355" i="23"/>
  <c r="N356" i="23"/>
  <c r="N357" i="23"/>
  <c r="N358" i="23"/>
  <c r="N359" i="23"/>
  <c r="N360" i="23"/>
  <c r="N361" i="23"/>
  <c r="N362" i="23"/>
  <c r="N363" i="23"/>
  <c r="N364" i="23"/>
  <c r="N365" i="23"/>
  <c r="N366" i="23"/>
  <c r="N367" i="23"/>
  <c r="N368" i="23"/>
  <c r="N369" i="23"/>
  <c r="N370" i="23"/>
  <c r="N371" i="23"/>
  <c r="N372" i="23"/>
  <c r="N373" i="23"/>
  <c r="N374" i="23"/>
  <c r="N375" i="23"/>
  <c r="N376" i="23"/>
  <c r="N377" i="23"/>
  <c r="N378" i="23"/>
  <c r="N379" i="23"/>
  <c r="N380" i="23"/>
  <c r="N381" i="23"/>
  <c r="N382" i="23"/>
  <c r="N383" i="23"/>
  <c r="N384" i="23"/>
  <c r="N385" i="23"/>
  <c r="N386" i="23"/>
  <c r="N387" i="23"/>
  <c r="N388" i="23"/>
  <c r="N389" i="23"/>
  <c r="N390" i="23"/>
  <c r="N391" i="23"/>
  <c r="N392" i="23"/>
  <c r="N393" i="23"/>
  <c r="N394" i="23"/>
  <c r="N395" i="23"/>
  <c r="N396" i="23"/>
  <c r="N397" i="23"/>
  <c r="N398" i="23"/>
  <c r="N399" i="23"/>
  <c r="N400" i="23"/>
  <c r="N401" i="23"/>
  <c r="N402" i="23"/>
  <c r="N403" i="23"/>
  <c r="N404" i="23"/>
  <c r="N405" i="23"/>
  <c r="N406" i="23"/>
  <c r="N407" i="23"/>
  <c r="N408" i="23"/>
  <c r="N409" i="23"/>
  <c r="N410" i="23"/>
  <c r="N411" i="23"/>
  <c r="N412" i="23"/>
  <c r="N413" i="23"/>
  <c r="N414" i="23"/>
  <c r="N415" i="23"/>
  <c r="N416" i="23"/>
  <c r="N417" i="23"/>
  <c r="N418" i="23"/>
  <c r="N419" i="23"/>
  <c r="N420" i="23"/>
  <c r="N421" i="23"/>
  <c r="N422" i="23"/>
  <c r="N423" i="23"/>
  <c r="N424" i="23"/>
  <c r="N425" i="23"/>
  <c r="N426" i="23"/>
  <c r="N427" i="23"/>
  <c r="N428" i="23"/>
  <c r="N429" i="23"/>
  <c r="N430" i="23"/>
  <c r="N6" i="23"/>
  <c r="R6" i="23" s="1"/>
  <c r="N7" i="24"/>
  <c r="R7" i="24" s="1"/>
  <c r="N8" i="24"/>
  <c r="R8" i="24" s="1"/>
  <c r="N9" i="24"/>
  <c r="N10" i="24"/>
  <c r="N11" i="24"/>
  <c r="R11" i="24" s="1"/>
  <c r="N12" i="24"/>
  <c r="N13" i="24"/>
  <c r="R13" i="24" s="1"/>
  <c r="N14" i="24"/>
  <c r="N15" i="24"/>
  <c r="N16" i="24"/>
  <c r="N17" i="24"/>
  <c r="N18" i="24"/>
  <c r="N19" i="24"/>
  <c r="N20" i="24"/>
  <c r="N21" i="24"/>
  <c r="N22" i="24"/>
  <c r="N24" i="24"/>
  <c r="N25" i="24"/>
  <c r="N26" i="24"/>
  <c r="N27" i="24"/>
  <c r="N28" i="24"/>
  <c r="N29" i="24"/>
  <c r="N30" i="24"/>
  <c r="N31" i="24"/>
  <c r="N32" i="24"/>
  <c r="N33" i="24"/>
  <c r="N34" i="24"/>
  <c r="N35" i="24"/>
  <c r="N36" i="24"/>
  <c r="N37" i="24"/>
  <c r="N39" i="24"/>
  <c r="N40" i="24"/>
  <c r="N41" i="24"/>
  <c r="N43" i="24"/>
  <c r="N44" i="24"/>
  <c r="N45" i="24"/>
  <c r="N46" i="24"/>
  <c r="N47" i="24"/>
  <c r="N48" i="24"/>
  <c r="N49" i="24"/>
  <c r="N50" i="24"/>
  <c r="N51" i="24"/>
  <c r="N52" i="24"/>
  <c r="N53" i="24"/>
  <c r="N54" i="24"/>
  <c r="N55" i="24"/>
  <c r="N56" i="24"/>
  <c r="N57" i="24"/>
  <c r="N58" i="24"/>
  <c r="N59" i="24"/>
  <c r="N60" i="24"/>
  <c r="N61" i="24"/>
  <c r="N62" i="24"/>
  <c r="N63" i="24"/>
  <c r="N64" i="24"/>
  <c r="N65" i="24"/>
  <c r="N66" i="24"/>
  <c r="N67" i="24"/>
  <c r="N68" i="24"/>
  <c r="N69" i="24"/>
  <c r="N70" i="24"/>
  <c r="N71" i="24"/>
  <c r="N72" i="24"/>
  <c r="N73" i="24"/>
  <c r="N74" i="24"/>
  <c r="N75" i="24"/>
  <c r="N76" i="24"/>
  <c r="N77" i="24"/>
  <c r="N78" i="24"/>
  <c r="N79" i="24"/>
  <c r="N80" i="24"/>
  <c r="N81" i="24"/>
  <c r="N82" i="24"/>
  <c r="N83" i="24"/>
  <c r="N84" i="24"/>
  <c r="N85" i="24"/>
  <c r="N86" i="24"/>
  <c r="N87" i="24"/>
  <c r="N88" i="24"/>
  <c r="N89" i="24"/>
  <c r="N90" i="24"/>
  <c r="N91" i="24"/>
  <c r="N92" i="24"/>
  <c r="N93" i="24"/>
  <c r="N94" i="24"/>
  <c r="N95" i="24"/>
  <c r="N96" i="24"/>
  <c r="N97" i="24"/>
  <c r="N98" i="24"/>
  <c r="N99" i="24"/>
  <c r="N100" i="24"/>
  <c r="N101" i="24"/>
  <c r="N102" i="24"/>
  <c r="N103" i="24"/>
  <c r="N104" i="24"/>
  <c r="N105" i="24"/>
  <c r="N106" i="24"/>
  <c r="N107" i="24"/>
  <c r="N108" i="24"/>
  <c r="N109" i="24"/>
  <c r="N110" i="24"/>
  <c r="N111" i="24"/>
  <c r="N112" i="24"/>
  <c r="N113" i="24"/>
  <c r="N114" i="24"/>
  <c r="N115" i="24"/>
  <c r="N116" i="24"/>
  <c r="N117" i="24"/>
  <c r="N118" i="24"/>
  <c r="N119" i="24"/>
  <c r="N120" i="24"/>
  <c r="N121" i="24"/>
  <c r="N122" i="24"/>
  <c r="N123" i="24"/>
  <c r="N124" i="24"/>
  <c r="N125" i="24"/>
  <c r="N126" i="24"/>
  <c r="N127" i="24"/>
  <c r="N128" i="24"/>
  <c r="N129" i="24"/>
  <c r="N130" i="24"/>
  <c r="N131" i="24"/>
  <c r="N132" i="24"/>
  <c r="N133" i="24"/>
  <c r="N134" i="24"/>
  <c r="N135" i="24"/>
  <c r="N136" i="24"/>
  <c r="N137" i="24"/>
  <c r="N138" i="24"/>
  <c r="N139" i="24"/>
  <c r="N140" i="24"/>
  <c r="N141" i="24"/>
  <c r="N142" i="24"/>
  <c r="N143" i="24"/>
  <c r="N144" i="24"/>
  <c r="N145" i="24"/>
  <c r="N146" i="24"/>
  <c r="N147" i="24"/>
  <c r="N148" i="24"/>
  <c r="N149" i="24"/>
  <c r="N150" i="24"/>
  <c r="N151" i="24"/>
  <c r="N152" i="24"/>
  <c r="N153" i="24"/>
  <c r="N154" i="24"/>
  <c r="N155" i="24"/>
  <c r="N156" i="24"/>
  <c r="N157" i="24"/>
  <c r="N158" i="24"/>
  <c r="N159" i="24"/>
  <c r="N160" i="24"/>
  <c r="N161" i="24"/>
  <c r="N162" i="24"/>
  <c r="N163" i="24"/>
  <c r="N164" i="24"/>
  <c r="N165" i="24"/>
  <c r="N166" i="24"/>
  <c r="N167" i="24"/>
  <c r="N168" i="24"/>
  <c r="N169" i="24"/>
  <c r="N170" i="24"/>
  <c r="N171" i="24"/>
  <c r="N172" i="24"/>
  <c r="N173" i="24"/>
  <c r="N174" i="24"/>
  <c r="N175" i="24"/>
  <c r="N176" i="24"/>
  <c r="N177" i="24"/>
  <c r="N178" i="24"/>
  <c r="N179" i="24"/>
  <c r="N180" i="24"/>
  <c r="N181" i="24"/>
  <c r="N182" i="24"/>
  <c r="N183" i="24"/>
  <c r="N184" i="24"/>
  <c r="N185" i="24"/>
  <c r="N186" i="24"/>
  <c r="N187" i="24"/>
  <c r="N188" i="24"/>
  <c r="N189" i="24"/>
  <c r="N190" i="24"/>
  <c r="N191" i="24"/>
  <c r="N192" i="24"/>
  <c r="N193" i="24"/>
  <c r="N194" i="24"/>
  <c r="N195" i="24"/>
  <c r="N196" i="24"/>
  <c r="N197" i="24"/>
  <c r="N198" i="24"/>
  <c r="N199" i="24"/>
  <c r="N200" i="24"/>
  <c r="N201" i="24"/>
  <c r="N202" i="24"/>
  <c r="N203" i="24"/>
  <c r="N204" i="24"/>
  <c r="N205" i="24"/>
  <c r="N206" i="24"/>
  <c r="N207" i="24"/>
  <c r="N208" i="24"/>
  <c r="N209" i="24"/>
  <c r="N210" i="24"/>
  <c r="N211" i="24"/>
  <c r="N212" i="24"/>
  <c r="N213" i="24"/>
  <c r="N214" i="24"/>
  <c r="N215" i="24"/>
  <c r="N216" i="24"/>
  <c r="N217" i="24"/>
  <c r="N218" i="24"/>
  <c r="N219" i="24"/>
  <c r="N220" i="24"/>
  <c r="N221" i="24"/>
  <c r="N222" i="24"/>
  <c r="N223" i="24"/>
  <c r="N224" i="24"/>
  <c r="N225" i="24"/>
  <c r="N226" i="24"/>
  <c r="N227" i="24"/>
  <c r="N228" i="24"/>
  <c r="N229" i="24"/>
  <c r="N230" i="24"/>
  <c r="N231" i="24"/>
  <c r="N232" i="24"/>
  <c r="N233" i="24"/>
  <c r="N234" i="24"/>
  <c r="N235" i="24"/>
  <c r="N236" i="24"/>
  <c r="N237" i="24"/>
  <c r="N238" i="24"/>
  <c r="N239" i="24"/>
  <c r="N240" i="24"/>
  <c r="N241" i="24"/>
  <c r="N242" i="24"/>
  <c r="N243" i="24"/>
  <c r="N244" i="24"/>
  <c r="N245" i="24"/>
  <c r="N246" i="24"/>
  <c r="N247" i="24"/>
  <c r="N248" i="24"/>
  <c r="N249" i="24"/>
  <c r="N250" i="24"/>
  <c r="N251" i="24"/>
  <c r="N252" i="24"/>
  <c r="N253" i="24"/>
  <c r="N254" i="24"/>
  <c r="N255" i="24"/>
  <c r="N256" i="24"/>
  <c r="N257" i="24"/>
  <c r="N258" i="24"/>
  <c r="N259" i="24"/>
  <c r="N260" i="24"/>
  <c r="N261" i="24"/>
  <c r="N262" i="24"/>
  <c r="N263" i="24"/>
  <c r="N264" i="24"/>
  <c r="N265" i="24"/>
  <c r="N266" i="24"/>
  <c r="N267" i="24"/>
  <c r="N268" i="24"/>
  <c r="N269" i="24"/>
  <c r="N270" i="24"/>
  <c r="N271" i="24"/>
  <c r="N272" i="24"/>
  <c r="N273" i="24"/>
  <c r="N274" i="24"/>
  <c r="N275" i="24"/>
  <c r="N276" i="24"/>
  <c r="N277" i="24"/>
  <c r="N278" i="24"/>
  <c r="N279" i="24"/>
  <c r="N280" i="24"/>
  <c r="N281" i="24"/>
  <c r="N282" i="24"/>
  <c r="N283" i="24"/>
  <c r="N284" i="24"/>
  <c r="N285" i="24"/>
  <c r="N286" i="24"/>
  <c r="N287" i="24"/>
  <c r="N288" i="24"/>
  <c r="N289" i="24"/>
  <c r="N290" i="24"/>
  <c r="N291" i="24"/>
  <c r="N292" i="24"/>
  <c r="N293" i="24"/>
  <c r="N294" i="24"/>
  <c r="N295" i="24"/>
  <c r="N296" i="24"/>
  <c r="N297" i="24"/>
  <c r="N298" i="24"/>
  <c r="N299" i="24"/>
  <c r="N300" i="24"/>
  <c r="N301" i="24"/>
  <c r="N302" i="24"/>
  <c r="N303" i="24"/>
  <c r="N304" i="24"/>
  <c r="N305" i="24"/>
  <c r="N306" i="24"/>
  <c r="N307" i="24"/>
  <c r="N308" i="24"/>
  <c r="N309" i="24"/>
  <c r="N310" i="24"/>
  <c r="N311" i="24"/>
  <c r="N312" i="24"/>
  <c r="N313" i="24"/>
  <c r="N314" i="24"/>
  <c r="N315" i="24"/>
  <c r="N316" i="24"/>
  <c r="N317" i="24"/>
  <c r="N318" i="24"/>
  <c r="N319" i="24"/>
  <c r="N320" i="24"/>
  <c r="N321" i="24"/>
  <c r="N322" i="24"/>
  <c r="N323" i="24"/>
  <c r="N324" i="24"/>
  <c r="N325" i="24"/>
  <c r="N326" i="24"/>
  <c r="N327" i="24"/>
  <c r="N328" i="24"/>
  <c r="N329" i="24"/>
  <c r="N330" i="24"/>
  <c r="N331" i="24"/>
  <c r="N332" i="24"/>
  <c r="N333" i="24"/>
  <c r="N334" i="24"/>
  <c r="N335" i="24"/>
  <c r="N336" i="24"/>
  <c r="N337" i="24"/>
  <c r="N338" i="24"/>
  <c r="N339" i="24"/>
  <c r="N340" i="24"/>
  <c r="N341" i="24"/>
  <c r="N342" i="24"/>
  <c r="N343" i="24"/>
  <c r="N344" i="24"/>
  <c r="N345" i="24"/>
  <c r="N346" i="24"/>
  <c r="N347" i="24"/>
  <c r="N348" i="24"/>
  <c r="N349" i="24"/>
  <c r="N350" i="24"/>
  <c r="N351" i="24"/>
  <c r="N352" i="24"/>
  <c r="N353" i="24"/>
  <c r="N354" i="24"/>
  <c r="N355" i="24"/>
  <c r="N356" i="24"/>
  <c r="N357" i="24"/>
  <c r="N358" i="24"/>
  <c r="N359" i="24"/>
  <c r="N360" i="24"/>
  <c r="N361" i="24"/>
  <c r="N362" i="24"/>
  <c r="N363" i="24"/>
  <c r="N364" i="24"/>
  <c r="N365" i="24"/>
  <c r="N366" i="24"/>
  <c r="N367" i="24"/>
  <c r="N368" i="24"/>
  <c r="N369" i="24"/>
  <c r="N370" i="24"/>
  <c r="N371" i="24"/>
  <c r="N372" i="24"/>
  <c r="N373" i="24"/>
  <c r="N374" i="24"/>
  <c r="N375" i="24"/>
  <c r="N376" i="24"/>
  <c r="N377" i="24"/>
  <c r="N378" i="24"/>
  <c r="N379" i="24"/>
  <c r="N380" i="24"/>
  <c r="N381" i="24"/>
  <c r="N382" i="24"/>
  <c r="N383" i="24"/>
  <c r="N384" i="24"/>
  <c r="N385" i="24"/>
  <c r="N386" i="24"/>
  <c r="N387" i="24"/>
  <c r="N388" i="24"/>
  <c r="N389" i="24"/>
  <c r="N390" i="24"/>
  <c r="N391" i="24"/>
  <c r="N392" i="24"/>
  <c r="N393" i="24"/>
  <c r="N394" i="24"/>
  <c r="N395" i="24"/>
  <c r="N396" i="24"/>
  <c r="N397" i="24"/>
  <c r="N398" i="24"/>
  <c r="N399" i="24"/>
  <c r="N400" i="24"/>
  <c r="N401" i="24"/>
  <c r="N402" i="24"/>
  <c r="N403" i="24"/>
  <c r="N404" i="24"/>
  <c r="N405" i="24"/>
  <c r="N406" i="24"/>
  <c r="N407" i="24"/>
  <c r="N408" i="24"/>
  <c r="N409" i="24"/>
  <c r="N410" i="24"/>
  <c r="N411" i="24"/>
  <c r="N412" i="24"/>
  <c r="N413" i="24"/>
  <c r="N414" i="24"/>
  <c r="N415" i="24"/>
  <c r="N416" i="24"/>
  <c r="N417" i="24"/>
  <c r="N418" i="24"/>
  <c r="N419" i="24"/>
  <c r="N420" i="24"/>
  <c r="N421" i="24"/>
  <c r="N422" i="24"/>
  <c r="N423" i="24"/>
  <c r="N424" i="24"/>
  <c r="N425" i="24"/>
  <c r="N426" i="24"/>
  <c r="N427" i="24"/>
  <c r="N428" i="24"/>
  <c r="N429" i="24"/>
  <c r="N430" i="24"/>
  <c r="K7" i="23"/>
  <c r="Q7" i="23" s="1"/>
  <c r="K8" i="23"/>
  <c r="Q8" i="23" s="1"/>
  <c r="K9" i="23"/>
  <c r="Q9" i="23" s="1"/>
  <c r="K10" i="23"/>
  <c r="Q10" i="23" s="1"/>
  <c r="K11" i="23"/>
  <c r="Q11" i="23" s="1"/>
  <c r="K12" i="23"/>
  <c r="Q12" i="23" s="1"/>
  <c r="K13" i="23"/>
  <c r="Q13" i="23" s="1"/>
  <c r="K14" i="23"/>
  <c r="Q14" i="23" s="1"/>
  <c r="K15" i="23"/>
  <c r="Q15" i="23" s="1"/>
  <c r="K16" i="23"/>
  <c r="Q16" i="23" s="1"/>
  <c r="K17" i="23"/>
  <c r="K18" i="23"/>
  <c r="K19" i="23"/>
  <c r="K20" i="23"/>
  <c r="K21" i="23"/>
  <c r="K22" i="23"/>
  <c r="K23" i="23"/>
  <c r="K24" i="23"/>
  <c r="K26" i="23"/>
  <c r="K27" i="23"/>
  <c r="K28" i="23"/>
  <c r="K29" i="23"/>
  <c r="K30" i="23"/>
  <c r="K31" i="23"/>
  <c r="K32" i="23"/>
  <c r="K33" i="23"/>
  <c r="K34" i="23"/>
  <c r="K35" i="23"/>
  <c r="K36" i="23"/>
  <c r="K37" i="23"/>
  <c r="K38" i="23"/>
  <c r="K39"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Q6" i="21"/>
  <c r="Q6" i="22"/>
  <c r="K7" i="24"/>
  <c r="K8" i="24"/>
  <c r="Q8" i="24" s="1"/>
  <c r="K9" i="24"/>
  <c r="K10" i="24"/>
  <c r="K11" i="24"/>
  <c r="K12" i="24"/>
  <c r="K13" i="24"/>
  <c r="K14" i="24"/>
  <c r="K15" i="24"/>
  <c r="Q15" i="24" s="1"/>
  <c r="K16" i="24"/>
  <c r="K17" i="24"/>
  <c r="K18" i="24"/>
  <c r="K19" i="24"/>
  <c r="K20" i="24"/>
  <c r="K21" i="24"/>
  <c r="K22" i="24"/>
  <c r="K23" i="24"/>
  <c r="K24" i="24"/>
  <c r="K25" i="24"/>
  <c r="K27" i="24"/>
  <c r="K28" i="24"/>
  <c r="K29" i="24"/>
  <c r="K30" i="24"/>
  <c r="K31" i="24"/>
  <c r="K32" i="24"/>
  <c r="K33" i="24"/>
  <c r="K34" i="24"/>
  <c r="K35" i="24"/>
  <c r="K36" i="24"/>
  <c r="K37" i="24"/>
  <c r="K38" i="24"/>
  <c r="K39" i="24"/>
  <c r="K40" i="24"/>
  <c r="K41" i="24"/>
  <c r="K43" i="24"/>
  <c r="K44" i="24"/>
  <c r="K45" i="24"/>
  <c r="K46" i="24"/>
  <c r="K47" i="24"/>
  <c r="K48" i="24"/>
  <c r="K49" i="24"/>
  <c r="K50" i="24"/>
  <c r="K51" i="24"/>
  <c r="K52" i="24"/>
  <c r="K53" i="24"/>
  <c r="K54" i="24"/>
  <c r="K55" i="24"/>
  <c r="K56" i="24"/>
  <c r="K57" i="24"/>
  <c r="K58" i="24"/>
  <c r="K59" i="24"/>
  <c r="K60"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169" i="24"/>
  <c r="K170" i="24"/>
  <c r="K171" i="24"/>
  <c r="K172" i="24"/>
  <c r="K173" i="24"/>
  <c r="K174" i="24"/>
  <c r="K175" i="24"/>
  <c r="K176" i="24"/>
  <c r="K177" i="24"/>
  <c r="K178" i="24"/>
  <c r="K179" i="24"/>
  <c r="K180" i="24"/>
  <c r="K181" i="24"/>
  <c r="K182" i="24"/>
  <c r="K183" i="24"/>
  <c r="K184" i="24"/>
  <c r="K185" i="24"/>
  <c r="K186" i="24"/>
  <c r="K187" i="24"/>
  <c r="K188" i="24"/>
  <c r="K189" i="24"/>
  <c r="K190" i="24"/>
  <c r="K191" i="24"/>
  <c r="K192" i="24"/>
  <c r="K193" i="24"/>
  <c r="K194" i="24"/>
  <c r="K195" i="24"/>
  <c r="K196" i="24"/>
  <c r="K197" i="24"/>
  <c r="K198" i="24"/>
  <c r="K199" i="24"/>
  <c r="K200" i="24"/>
  <c r="K201" i="24"/>
  <c r="K202" i="24"/>
  <c r="K203" i="24"/>
  <c r="K204" i="24"/>
  <c r="K205" i="24"/>
  <c r="K206" i="24"/>
  <c r="K207" i="24"/>
  <c r="K208" i="24"/>
  <c r="K209" i="24"/>
  <c r="K210" i="24"/>
  <c r="K211" i="24"/>
  <c r="K212" i="24"/>
  <c r="K213" i="24"/>
  <c r="K214" i="24"/>
  <c r="K215" i="24"/>
  <c r="K216" i="24"/>
  <c r="K217" i="24"/>
  <c r="K218" i="24"/>
  <c r="K219" i="24"/>
  <c r="K220" i="24"/>
  <c r="K221" i="24"/>
  <c r="K222" i="24"/>
  <c r="K223" i="24"/>
  <c r="K224" i="24"/>
  <c r="K225" i="24"/>
  <c r="K226" i="24"/>
  <c r="K227" i="24"/>
  <c r="K228" i="24"/>
  <c r="K229" i="24"/>
  <c r="K230" i="24"/>
  <c r="K231" i="24"/>
  <c r="K232" i="24"/>
  <c r="K233" i="24"/>
  <c r="K234" i="24"/>
  <c r="K235" i="24"/>
  <c r="K236" i="24"/>
  <c r="K237" i="24"/>
  <c r="K238" i="24"/>
  <c r="K239" i="24"/>
  <c r="K240" i="24"/>
  <c r="K241" i="24"/>
  <c r="K242" i="24"/>
  <c r="K243" i="24"/>
  <c r="K244" i="24"/>
  <c r="K245" i="24"/>
  <c r="K246" i="24"/>
  <c r="K247" i="24"/>
  <c r="K248" i="24"/>
  <c r="K249" i="24"/>
  <c r="K250" i="24"/>
  <c r="K251" i="24"/>
  <c r="K252" i="24"/>
  <c r="K253" i="24"/>
  <c r="K254" i="24"/>
  <c r="K255" i="24"/>
  <c r="K256" i="24"/>
  <c r="K257" i="24"/>
  <c r="K258" i="24"/>
  <c r="K259" i="24"/>
  <c r="K260" i="24"/>
  <c r="K261" i="24"/>
  <c r="K262" i="24"/>
  <c r="K263" i="24"/>
  <c r="K264" i="24"/>
  <c r="K265" i="24"/>
  <c r="K266" i="24"/>
  <c r="K267" i="24"/>
  <c r="K268" i="24"/>
  <c r="K269" i="24"/>
  <c r="K270" i="24"/>
  <c r="K271" i="24"/>
  <c r="K272" i="24"/>
  <c r="K273" i="24"/>
  <c r="K274" i="24"/>
  <c r="K275" i="24"/>
  <c r="K276" i="24"/>
  <c r="K277" i="24"/>
  <c r="K278" i="24"/>
  <c r="K279" i="24"/>
  <c r="K280" i="24"/>
  <c r="K281" i="24"/>
  <c r="K282" i="24"/>
  <c r="K283" i="24"/>
  <c r="K284" i="24"/>
  <c r="K285" i="24"/>
  <c r="K286" i="24"/>
  <c r="K287" i="24"/>
  <c r="K288" i="24"/>
  <c r="K289" i="24"/>
  <c r="K290" i="24"/>
  <c r="K291" i="24"/>
  <c r="K292" i="24"/>
  <c r="K293" i="24"/>
  <c r="K294" i="24"/>
  <c r="K295" i="24"/>
  <c r="K296" i="24"/>
  <c r="K297" i="24"/>
  <c r="K298" i="24"/>
  <c r="K299" i="24"/>
  <c r="K300" i="24"/>
  <c r="K301" i="24"/>
  <c r="K302" i="24"/>
  <c r="K303" i="24"/>
  <c r="K304" i="24"/>
  <c r="K305" i="24"/>
  <c r="K306" i="24"/>
  <c r="K307" i="24"/>
  <c r="K308" i="24"/>
  <c r="K309" i="24"/>
  <c r="K310" i="24"/>
  <c r="K311" i="24"/>
  <c r="K312" i="24"/>
  <c r="K313" i="24"/>
  <c r="K314" i="24"/>
  <c r="K315" i="24"/>
  <c r="K316" i="24"/>
  <c r="K317" i="24"/>
  <c r="K318" i="24"/>
  <c r="K319" i="24"/>
  <c r="K320" i="24"/>
  <c r="K321" i="24"/>
  <c r="K322" i="24"/>
  <c r="K323" i="24"/>
  <c r="K324" i="24"/>
  <c r="K325" i="24"/>
  <c r="K326" i="24"/>
  <c r="K327" i="24"/>
  <c r="K328" i="24"/>
  <c r="K329" i="24"/>
  <c r="K330" i="24"/>
  <c r="K331" i="24"/>
  <c r="K332" i="24"/>
  <c r="K333" i="24"/>
  <c r="K334" i="24"/>
  <c r="K335" i="24"/>
  <c r="K336" i="24"/>
  <c r="K337" i="24"/>
  <c r="K338" i="24"/>
  <c r="K339" i="24"/>
  <c r="K340" i="24"/>
  <c r="K341" i="24"/>
  <c r="K342" i="24"/>
  <c r="K343" i="24"/>
  <c r="K344" i="24"/>
  <c r="K345" i="24"/>
  <c r="K346" i="24"/>
  <c r="K347" i="24"/>
  <c r="K348" i="24"/>
  <c r="K349" i="24"/>
  <c r="K350" i="24"/>
  <c r="K351" i="24"/>
  <c r="K352" i="24"/>
  <c r="K353" i="24"/>
  <c r="K354" i="24"/>
  <c r="K355" i="24"/>
  <c r="K356" i="24"/>
  <c r="K357" i="24"/>
  <c r="K358" i="24"/>
  <c r="K359" i="24"/>
  <c r="K360" i="24"/>
  <c r="K361" i="24"/>
  <c r="K362" i="24"/>
  <c r="K363" i="24"/>
  <c r="K364" i="24"/>
  <c r="K365" i="24"/>
  <c r="K366" i="24"/>
  <c r="K367" i="24"/>
  <c r="K368" i="24"/>
  <c r="K369" i="24"/>
  <c r="K370" i="24"/>
  <c r="K371" i="24"/>
  <c r="K372" i="24"/>
  <c r="K373" i="24"/>
  <c r="K374" i="24"/>
  <c r="K375" i="24"/>
  <c r="K376" i="24"/>
  <c r="K377" i="24"/>
  <c r="K378" i="24"/>
  <c r="K379" i="24"/>
  <c r="K380" i="24"/>
  <c r="K381" i="24"/>
  <c r="K382" i="24"/>
  <c r="K383" i="24"/>
  <c r="K384" i="24"/>
  <c r="K385" i="24"/>
  <c r="K386" i="24"/>
  <c r="K387" i="24"/>
  <c r="K388" i="24"/>
  <c r="K389" i="24"/>
  <c r="K390" i="24"/>
  <c r="K391" i="24"/>
  <c r="K392" i="24"/>
  <c r="K393" i="24"/>
  <c r="K394" i="24"/>
  <c r="K395" i="24"/>
  <c r="K396" i="24"/>
  <c r="K397" i="24"/>
  <c r="K398" i="24"/>
  <c r="K399" i="24"/>
  <c r="K400" i="24"/>
  <c r="K401" i="24"/>
  <c r="K402" i="24"/>
  <c r="K403" i="24"/>
  <c r="K404" i="24"/>
  <c r="K405" i="24"/>
  <c r="K406" i="24"/>
  <c r="K407" i="24"/>
  <c r="K408" i="24"/>
  <c r="K409" i="24"/>
  <c r="K410" i="24"/>
  <c r="K411" i="24"/>
  <c r="K412" i="24"/>
  <c r="K413" i="24"/>
  <c r="K414" i="24"/>
  <c r="K415" i="24"/>
  <c r="K416" i="24"/>
  <c r="K417" i="24"/>
  <c r="K418" i="24"/>
  <c r="K419" i="24"/>
  <c r="K420" i="24"/>
  <c r="K421" i="24"/>
  <c r="K422" i="24"/>
  <c r="K423" i="24"/>
  <c r="K424" i="24"/>
  <c r="K425" i="24"/>
  <c r="K426" i="24"/>
  <c r="K427" i="24"/>
  <c r="K428" i="24"/>
  <c r="K429" i="24"/>
  <c r="K430" i="24"/>
  <c r="P7" i="24"/>
  <c r="Q7" i="24"/>
  <c r="P8" i="24"/>
  <c r="P9" i="24"/>
  <c r="Q9" i="24"/>
  <c r="R9" i="24"/>
  <c r="P10" i="24"/>
  <c r="O10" i="24" s="1"/>
  <c r="Q10" i="24"/>
  <c r="R10" i="24"/>
  <c r="P11" i="24"/>
  <c r="Q11" i="24"/>
  <c r="P12" i="24"/>
  <c r="Q12" i="24"/>
  <c r="R12" i="24"/>
  <c r="P13" i="24"/>
  <c r="Q13" i="24"/>
  <c r="P14" i="24"/>
  <c r="Q14" i="24"/>
  <c r="R14" i="24"/>
  <c r="P15" i="24"/>
  <c r="R15" i="24"/>
  <c r="P16" i="24"/>
  <c r="O16" i="24" s="1"/>
  <c r="Q16" i="24"/>
  <c r="R16" i="24"/>
  <c r="P17" i="24"/>
  <c r="Q17" i="24"/>
  <c r="R17" i="24"/>
  <c r="P18" i="24"/>
  <c r="Q18" i="24"/>
  <c r="R18" i="24"/>
  <c r="P19" i="24"/>
  <c r="Q19" i="24"/>
  <c r="R19" i="24"/>
  <c r="P20" i="24"/>
  <c r="Q20" i="24"/>
  <c r="R20" i="24"/>
  <c r="P21" i="24"/>
  <c r="Q21" i="24"/>
  <c r="R21" i="24"/>
  <c r="P22" i="24"/>
  <c r="Q22" i="24"/>
  <c r="R22" i="24"/>
  <c r="P23" i="24"/>
  <c r="Q23" i="24"/>
  <c r="R23" i="24"/>
  <c r="P24" i="24"/>
  <c r="Q24" i="24"/>
  <c r="R24" i="24"/>
  <c r="P25" i="24"/>
  <c r="Q25" i="24"/>
  <c r="R25" i="24"/>
  <c r="P26" i="24"/>
  <c r="Q26" i="24"/>
  <c r="R26" i="24"/>
  <c r="P27" i="24"/>
  <c r="Q27" i="24"/>
  <c r="R27" i="24"/>
  <c r="P28" i="24"/>
  <c r="Q28" i="24"/>
  <c r="R28" i="24"/>
  <c r="P29" i="24"/>
  <c r="Q29" i="24"/>
  <c r="R29" i="24"/>
  <c r="P30" i="24"/>
  <c r="Q30" i="24"/>
  <c r="R30" i="24"/>
  <c r="P31" i="24"/>
  <c r="Q31" i="24"/>
  <c r="R31" i="24"/>
  <c r="P32" i="24"/>
  <c r="Q32" i="24"/>
  <c r="R32" i="24"/>
  <c r="P33" i="24"/>
  <c r="Q33" i="24"/>
  <c r="R33" i="24"/>
  <c r="P34" i="24"/>
  <c r="Q34" i="24"/>
  <c r="R34" i="24"/>
  <c r="P35" i="24"/>
  <c r="Q35" i="24"/>
  <c r="R35" i="24"/>
  <c r="P36" i="24"/>
  <c r="Q36" i="24"/>
  <c r="R36" i="24"/>
  <c r="P37" i="24"/>
  <c r="Q37" i="24"/>
  <c r="R37" i="24"/>
  <c r="P38" i="24"/>
  <c r="Q38" i="24"/>
  <c r="R38" i="24"/>
  <c r="P39" i="24"/>
  <c r="Q39" i="24"/>
  <c r="R39" i="24"/>
  <c r="P40" i="24"/>
  <c r="Q40" i="24"/>
  <c r="R40" i="24"/>
  <c r="P41" i="24"/>
  <c r="Q41" i="24"/>
  <c r="R41" i="24"/>
  <c r="P42" i="24"/>
  <c r="Q42" i="24"/>
  <c r="R42" i="24"/>
  <c r="P43" i="24"/>
  <c r="Q43" i="24"/>
  <c r="R43" i="24"/>
  <c r="P44" i="24"/>
  <c r="Q44" i="24"/>
  <c r="R44" i="24"/>
  <c r="P45" i="24"/>
  <c r="Q45" i="24"/>
  <c r="R45" i="24"/>
  <c r="P46" i="24"/>
  <c r="Q46" i="24"/>
  <c r="R46" i="24"/>
  <c r="P47" i="24"/>
  <c r="Q47" i="24"/>
  <c r="R47" i="24"/>
  <c r="P48" i="24"/>
  <c r="Q48" i="24"/>
  <c r="R48" i="24"/>
  <c r="P49" i="24"/>
  <c r="Q49" i="24"/>
  <c r="R49" i="24"/>
  <c r="P50" i="24"/>
  <c r="Q50" i="24"/>
  <c r="R50" i="24"/>
  <c r="P51" i="24"/>
  <c r="Q51" i="24"/>
  <c r="R51" i="24"/>
  <c r="P52" i="24"/>
  <c r="Q52" i="24"/>
  <c r="R52" i="24"/>
  <c r="P53" i="24"/>
  <c r="Q53" i="24"/>
  <c r="R53" i="24"/>
  <c r="P54" i="24"/>
  <c r="Q54" i="24"/>
  <c r="R54" i="24"/>
  <c r="P55" i="24"/>
  <c r="Q55" i="24"/>
  <c r="R55" i="24"/>
  <c r="P56" i="24"/>
  <c r="Q56" i="24"/>
  <c r="R56" i="24"/>
  <c r="P57" i="24"/>
  <c r="Q57" i="24"/>
  <c r="R57" i="24"/>
  <c r="P58" i="24"/>
  <c r="Q58" i="24"/>
  <c r="R58" i="24"/>
  <c r="P59" i="24"/>
  <c r="Q59" i="24"/>
  <c r="R59" i="24"/>
  <c r="P60" i="24"/>
  <c r="Q60" i="24"/>
  <c r="R60" i="24"/>
  <c r="P61" i="24"/>
  <c r="Q61" i="24"/>
  <c r="R61" i="24"/>
  <c r="P62" i="24"/>
  <c r="Q62" i="24"/>
  <c r="R62" i="24"/>
  <c r="P63" i="24"/>
  <c r="Q63" i="24"/>
  <c r="R63" i="24"/>
  <c r="P64" i="24"/>
  <c r="Q64" i="24"/>
  <c r="R64" i="24"/>
  <c r="P65" i="24"/>
  <c r="Q65" i="24"/>
  <c r="R65" i="24"/>
  <c r="P66" i="24"/>
  <c r="Q66" i="24"/>
  <c r="R66" i="24"/>
  <c r="P67" i="24"/>
  <c r="Q67" i="24"/>
  <c r="R67" i="24"/>
  <c r="P68" i="24"/>
  <c r="Q68" i="24"/>
  <c r="R68" i="24"/>
  <c r="P69" i="24"/>
  <c r="Q69" i="24"/>
  <c r="R69" i="24"/>
  <c r="P70" i="24"/>
  <c r="Q70" i="24"/>
  <c r="R70" i="24"/>
  <c r="P71" i="24"/>
  <c r="Q71" i="24"/>
  <c r="R71" i="24"/>
  <c r="P72" i="24"/>
  <c r="Q72" i="24"/>
  <c r="R72" i="24"/>
  <c r="P73" i="24"/>
  <c r="Q73" i="24"/>
  <c r="R73" i="24"/>
  <c r="P74" i="24"/>
  <c r="Q74" i="24"/>
  <c r="R74" i="24"/>
  <c r="P75" i="24"/>
  <c r="Q75" i="24"/>
  <c r="R75" i="24"/>
  <c r="P76" i="24"/>
  <c r="Q76" i="24"/>
  <c r="R76" i="24"/>
  <c r="P77" i="24"/>
  <c r="Q77" i="24"/>
  <c r="R77" i="24"/>
  <c r="P78" i="24"/>
  <c r="Q78" i="24"/>
  <c r="R78" i="24"/>
  <c r="P79" i="24"/>
  <c r="Q79" i="24"/>
  <c r="R79" i="24"/>
  <c r="P80" i="24"/>
  <c r="Q80" i="24"/>
  <c r="R80" i="24"/>
  <c r="P81" i="24"/>
  <c r="Q81" i="24"/>
  <c r="R81" i="24"/>
  <c r="P82" i="24"/>
  <c r="Q82" i="24"/>
  <c r="R82" i="24"/>
  <c r="P83" i="24"/>
  <c r="Q83" i="24"/>
  <c r="R83" i="24"/>
  <c r="P84" i="24"/>
  <c r="Q84" i="24"/>
  <c r="R84" i="24"/>
  <c r="P85" i="24"/>
  <c r="Q85" i="24"/>
  <c r="R85" i="24"/>
  <c r="P86" i="24"/>
  <c r="Q86" i="24"/>
  <c r="R86" i="24"/>
  <c r="P87" i="24"/>
  <c r="Q87" i="24"/>
  <c r="R87" i="24"/>
  <c r="P88" i="24"/>
  <c r="Q88" i="24"/>
  <c r="R88" i="24"/>
  <c r="P89" i="24"/>
  <c r="Q89" i="24"/>
  <c r="R89" i="24"/>
  <c r="P90" i="24"/>
  <c r="Q90" i="24"/>
  <c r="R90" i="24"/>
  <c r="P91" i="24"/>
  <c r="Q91" i="24"/>
  <c r="R91" i="24"/>
  <c r="P92" i="24"/>
  <c r="Q92" i="24"/>
  <c r="R92" i="24"/>
  <c r="P93" i="24"/>
  <c r="Q93" i="24"/>
  <c r="R93" i="24"/>
  <c r="P94" i="24"/>
  <c r="Q94" i="24"/>
  <c r="R94" i="24"/>
  <c r="P95" i="24"/>
  <c r="Q95" i="24"/>
  <c r="R95" i="24"/>
  <c r="P96" i="24"/>
  <c r="Q96" i="24"/>
  <c r="R96" i="24"/>
  <c r="P97" i="24"/>
  <c r="Q97" i="24"/>
  <c r="R97" i="24"/>
  <c r="P98" i="24"/>
  <c r="Q98" i="24"/>
  <c r="R98" i="24"/>
  <c r="P99" i="24"/>
  <c r="Q99" i="24"/>
  <c r="R99" i="24"/>
  <c r="P100" i="24"/>
  <c r="Q100" i="24"/>
  <c r="R100" i="24"/>
  <c r="P101" i="24"/>
  <c r="Q101" i="24"/>
  <c r="R101" i="24"/>
  <c r="P102" i="24"/>
  <c r="Q102" i="24"/>
  <c r="R102" i="24"/>
  <c r="P103" i="24"/>
  <c r="Q103" i="24"/>
  <c r="R103" i="24"/>
  <c r="P104" i="24"/>
  <c r="Q104" i="24"/>
  <c r="R104" i="24"/>
  <c r="P105" i="24"/>
  <c r="Q105" i="24"/>
  <c r="R105" i="24"/>
  <c r="P106" i="24"/>
  <c r="Q106" i="24"/>
  <c r="R106" i="24"/>
  <c r="P107" i="24"/>
  <c r="Q107" i="24"/>
  <c r="R107" i="24"/>
  <c r="P108" i="24"/>
  <c r="Q108" i="24"/>
  <c r="R108" i="24"/>
  <c r="P109" i="24"/>
  <c r="Q109" i="24"/>
  <c r="R109" i="24"/>
  <c r="P110" i="24"/>
  <c r="Q110" i="24"/>
  <c r="R110" i="24"/>
  <c r="P111" i="24"/>
  <c r="Q111" i="24"/>
  <c r="R111" i="24"/>
  <c r="P112" i="24"/>
  <c r="Q112" i="24"/>
  <c r="R112" i="24"/>
  <c r="P113" i="24"/>
  <c r="Q113" i="24"/>
  <c r="R113" i="24"/>
  <c r="P114" i="24"/>
  <c r="Q114" i="24"/>
  <c r="R114" i="24"/>
  <c r="P115" i="24"/>
  <c r="Q115" i="24"/>
  <c r="R115" i="24"/>
  <c r="P116" i="24"/>
  <c r="Q116" i="24"/>
  <c r="R116" i="24"/>
  <c r="P117" i="24"/>
  <c r="Q117" i="24"/>
  <c r="R117" i="24"/>
  <c r="P118" i="24"/>
  <c r="Q118" i="24"/>
  <c r="R118" i="24"/>
  <c r="P119" i="24"/>
  <c r="Q119" i="24"/>
  <c r="R119" i="24"/>
  <c r="P120" i="24"/>
  <c r="Q120" i="24"/>
  <c r="R120" i="24"/>
  <c r="P121" i="24"/>
  <c r="Q121" i="24"/>
  <c r="R121" i="24"/>
  <c r="P122" i="24"/>
  <c r="Q122" i="24"/>
  <c r="R122" i="24"/>
  <c r="P123" i="24"/>
  <c r="Q123" i="24"/>
  <c r="R123" i="24"/>
  <c r="P124" i="24"/>
  <c r="Q124" i="24"/>
  <c r="R124" i="24"/>
  <c r="P125" i="24"/>
  <c r="Q125" i="24"/>
  <c r="R125" i="24"/>
  <c r="P126" i="24"/>
  <c r="Q126" i="24"/>
  <c r="R126" i="24"/>
  <c r="P127" i="24"/>
  <c r="Q127" i="24"/>
  <c r="R127" i="24"/>
  <c r="P128" i="24"/>
  <c r="Q128" i="24"/>
  <c r="R128" i="24"/>
  <c r="P129" i="24"/>
  <c r="Q129" i="24"/>
  <c r="R129" i="24"/>
  <c r="P130" i="24"/>
  <c r="Q130" i="24"/>
  <c r="R130" i="24"/>
  <c r="P131" i="24"/>
  <c r="Q131" i="24"/>
  <c r="R131" i="24"/>
  <c r="P132" i="24"/>
  <c r="Q132" i="24"/>
  <c r="R132" i="24"/>
  <c r="P133" i="24"/>
  <c r="Q133" i="24"/>
  <c r="R133" i="24"/>
  <c r="P134" i="24"/>
  <c r="Q134" i="24"/>
  <c r="R134" i="24"/>
  <c r="P135" i="24"/>
  <c r="Q135" i="24"/>
  <c r="R135" i="24"/>
  <c r="P136" i="24"/>
  <c r="Q136" i="24"/>
  <c r="R136" i="24"/>
  <c r="P137" i="24"/>
  <c r="Q137" i="24"/>
  <c r="R137" i="24"/>
  <c r="P138" i="24"/>
  <c r="Q138" i="24"/>
  <c r="R138" i="24"/>
  <c r="P139" i="24"/>
  <c r="Q139" i="24"/>
  <c r="R139" i="24"/>
  <c r="P140" i="24"/>
  <c r="Q140" i="24"/>
  <c r="R140" i="24"/>
  <c r="P141" i="24"/>
  <c r="Q141" i="24"/>
  <c r="R141" i="24"/>
  <c r="P142" i="24"/>
  <c r="Q142" i="24"/>
  <c r="R142" i="24"/>
  <c r="P143" i="24"/>
  <c r="Q143" i="24"/>
  <c r="R143" i="24"/>
  <c r="P144" i="24"/>
  <c r="Q144" i="24"/>
  <c r="R144" i="24"/>
  <c r="P145" i="24"/>
  <c r="Q145" i="24"/>
  <c r="R145" i="24"/>
  <c r="P146" i="24"/>
  <c r="Q146" i="24"/>
  <c r="R146" i="24"/>
  <c r="P147" i="24"/>
  <c r="Q147" i="24"/>
  <c r="R147" i="24"/>
  <c r="P148" i="24"/>
  <c r="Q148" i="24"/>
  <c r="R148" i="24"/>
  <c r="P149" i="24"/>
  <c r="Q149" i="24"/>
  <c r="R149" i="24"/>
  <c r="P150" i="24"/>
  <c r="Q150" i="24"/>
  <c r="R150" i="24"/>
  <c r="P151" i="24"/>
  <c r="Q151" i="24"/>
  <c r="R151" i="24"/>
  <c r="P152" i="24"/>
  <c r="Q152" i="24"/>
  <c r="R152" i="24"/>
  <c r="P153" i="24"/>
  <c r="Q153" i="24"/>
  <c r="R153" i="24"/>
  <c r="P154" i="24"/>
  <c r="Q154" i="24"/>
  <c r="R154" i="24"/>
  <c r="P155" i="24"/>
  <c r="Q155" i="24"/>
  <c r="R155" i="24"/>
  <c r="P156" i="24"/>
  <c r="Q156" i="24"/>
  <c r="R156" i="24"/>
  <c r="P157" i="24"/>
  <c r="Q157" i="24"/>
  <c r="R157" i="24"/>
  <c r="P158" i="24"/>
  <c r="Q158" i="24"/>
  <c r="R158" i="24"/>
  <c r="P159" i="24"/>
  <c r="Q159" i="24"/>
  <c r="R159" i="24"/>
  <c r="P160" i="24"/>
  <c r="Q160" i="24"/>
  <c r="R160" i="24"/>
  <c r="P161" i="24"/>
  <c r="Q161" i="24"/>
  <c r="R161" i="24"/>
  <c r="P162" i="24"/>
  <c r="Q162" i="24"/>
  <c r="R162" i="24"/>
  <c r="P163" i="24"/>
  <c r="Q163" i="24"/>
  <c r="R163" i="24"/>
  <c r="P164" i="24"/>
  <c r="Q164" i="24"/>
  <c r="R164" i="24"/>
  <c r="P165" i="24"/>
  <c r="Q165" i="24"/>
  <c r="R165" i="24"/>
  <c r="P166" i="24"/>
  <c r="Q166" i="24"/>
  <c r="R166" i="24"/>
  <c r="P167" i="24"/>
  <c r="Q167" i="24"/>
  <c r="R167" i="24"/>
  <c r="P168" i="24"/>
  <c r="Q168" i="24"/>
  <c r="R168" i="24"/>
  <c r="P169" i="24"/>
  <c r="Q169" i="24"/>
  <c r="R169" i="24"/>
  <c r="P170" i="24"/>
  <c r="Q170" i="24"/>
  <c r="R170" i="24"/>
  <c r="P171" i="24"/>
  <c r="Q171" i="24"/>
  <c r="R171" i="24"/>
  <c r="P172" i="24"/>
  <c r="Q172" i="24"/>
  <c r="R172" i="24"/>
  <c r="P173" i="24"/>
  <c r="Q173" i="24"/>
  <c r="R173" i="24"/>
  <c r="P174" i="24"/>
  <c r="Q174" i="24"/>
  <c r="R174" i="24"/>
  <c r="P175" i="24"/>
  <c r="Q175" i="24"/>
  <c r="R175" i="24"/>
  <c r="P176" i="24"/>
  <c r="Q176" i="24"/>
  <c r="R176" i="24"/>
  <c r="P177" i="24"/>
  <c r="Q177" i="24"/>
  <c r="R177" i="24"/>
  <c r="P178" i="24"/>
  <c r="Q178" i="24"/>
  <c r="R178" i="24"/>
  <c r="P179" i="24"/>
  <c r="Q179" i="24"/>
  <c r="R179" i="24"/>
  <c r="P180" i="24"/>
  <c r="Q180" i="24"/>
  <c r="R180" i="24"/>
  <c r="P181" i="24"/>
  <c r="Q181" i="24"/>
  <c r="R181" i="24"/>
  <c r="P182" i="24"/>
  <c r="Q182" i="24"/>
  <c r="R182" i="24"/>
  <c r="P183" i="24"/>
  <c r="Q183" i="24"/>
  <c r="R183" i="24"/>
  <c r="P184" i="24"/>
  <c r="Q184" i="24"/>
  <c r="R184" i="24"/>
  <c r="P185" i="24"/>
  <c r="Q185" i="24"/>
  <c r="R185" i="24"/>
  <c r="P186" i="24"/>
  <c r="Q186" i="24"/>
  <c r="R186" i="24"/>
  <c r="P187" i="24"/>
  <c r="Q187" i="24"/>
  <c r="R187" i="24"/>
  <c r="P188" i="24"/>
  <c r="Q188" i="24"/>
  <c r="R188" i="24"/>
  <c r="P189" i="24"/>
  <c r="Q189" i="24"/>
  <c r="R189" i="24"/>
  <c r="P190" i="24"/>
  <c r="Q190" i="24"/>
  <c r="R190" i="24"/>
  <c r="P191" i="24"/>
  <c r="Q191" i="24"/>
  <c r="R191" i="24"/>
  <c r="P192" i="24"/>
  <c r="Q192" i="24"/>
  <c r="R192" i="24"/>
  <c r="P193" i="24"/>
  <c r="Q193" i="24"/>
  <c r="R193" i="24"/>
  <c r="P194" i="24"/>
  <c r="Q194" i="24"/>
  <c r="R194" i="24"/>
  <c r="P195" i="24"/>
  <c r="Q195" i="24"/>
  <c r="R195" i="24"/>
  <c r="P196" i="24"/>
  <c r="Q196" i="24"/>
  <c r="R196" i="24"/>
  <c r="P197" i="24"/>
  <c r="Q197" i="24"/>
  <c r="R197" i="24"/>
  <c r="P198" i="24"/>
  <c r="Q198" i="24"/>
  <c r="R198" i="24"/>
  <c r="P199" i="24"/>
  <c r="Q199" i="24"/>
  <c r="R199" i="24"/>
  <c r="P200" i="24"/>
  <c r="Q200" i="24"/>
  <c r="R200" i="24"/>
  <c r="P201" i="24"/>
  <c r="Q201" i="24"/>
  <c r="R201" i="24"/>
  <c r="P202" i="24"/>
  <c r="Q202" i="24"/>
  <c r="R202" i="24"/>
  <c r="P203" i="24"/>
  <c r="Q203" i="24"/>
  <c r="R203" i="24"/>
  <c r="P204" i="24"/>
  <c r="Q204" i="24"/>
  <c r="R204" i="24"/>
  <c r="P205" i="24"/>
  <c r="Q205" i="24"/>
  <c r="R205" i="24"/>
  <c r="P206" i="24"/>
  <c r="Q206" i="24"/>
  <c r="R206" i="24"/>
  <c r="P207" i="24"/>
  <c r="Q207" i="24"/>
  <c r="R207" i="24"/>
  <c r="P208" i="24"/>
  <c r="Q208" i="24"/>
  <c r="R208" i="24"/>
  <c r="P209" i="24"/>
  <c r="Q209" i="24"/>
  <c r="R209" i="24"/>
  <c r="P210" i="24"/>
  <c r="Q210" i="24"/>
  <c r="R210" i="24"/>
  <c r="P211" i="24"/>
  <c r="Q211" i="24"/>
  <c r="R211" i="24"/>
  <c r="P212" i="24"/>
  <c r="Q212" i="24"/>
  <c r="R212" i="24"/>
  <c r="P213" i="24"/>
  <c r="Q213" i="24"/>
  <c r="R213" i="24"/>
  <c r="P214" i="24"/>
  <c r="Q214" i="24"/>
  <c r="R214" i="24"/>
  <c r="P215" i="24"/>
  <c r="Q215" i="24"/>
  <c r="R215" i="24"/>
  <c r="P216" i="24"/>
  <c r="Q216" i="24"/>
  <c r="R216" i="24"/>
  <c r="P217" i="24"/>
  <c r="Q217" i="24"/>
  <c r="R217" i="24"/>
  <c r="P218" i="24"/>
  <c r="Q218" i="24"/>
  <c r="R218" i="24"/>
  <c r="P219" i="24"/>
  <c r="Q219" i="24"/>
  <c r="R219" i="24"/>
  <c r="P220" i="24"/>
  <c r="Q220" i="24"/>
  <c r="R220" i="24"/>
  <c r="P221" i="24"/>
  <c r="Q221" i="24"/>
  <c r="R221" i="24"/>
  <c r="P222" i="24"/>
  <c r="Q222" i="24"/>
  <c r="R222" i="24"/>
  <c r="P223" i="24"/>
  <c r="Q223" i="24"/>
  <c r="R223" i="24"/>
  <c r="P224" i="24"/>
  <c r="Q224" i="24"/>
  <c r="R224" i="24"/>
  <c r="P225" i="24"/>
  <c r="Q225" i="24"/>
  <c r="R225" i="24"/>
  <c r="P226" i="24"/>
  <c r="Q226" i="24"/>
  <c r="R226" i="24"/>
  <c r="P227" i="24"/>
  <c r="Q227" i="24"/>
  <c r="R227" i="24"/>
  <c r="P228" i="24"/>
  <c r="Q228" i="24"/>
  <c r="R228" i="24"/>
  <c r="P229" i="24"/>
  <c r="Q229" i="24"/>
  <c r="R229" i="24"/>
  <c r="P230" i="24"/>
  <c r="Q230" i="24"/>
  <c r="R230" i="24"/>
  <c r="P231" i="24"/>
  <c r="Q231" i="24"/>
  <c r="R231" i="24"/>
  <c r="P232" i="24"/>
  <c r="Q232" i="24"/>
  <c r="R232" i="24"/>
  <c r="P233" i="24"/>
  <c r="Q233" i="24"/>
  <c r="R233" i="24"/>
  <c r="P234" i="24"/>
  <c r="Q234" i="24"/>
  <c r="R234" i="24"/>
  <c r="P235" i="24"/>
  <c r="Q235" i="24"/>
  <c r="R235" i="24"/>
  <c r="P236" i="24"/>
  <c r="Q236" i="24"/>
  <c r="R236" i="24"/>
  <c r="P237" i="24"/>
  <c r="Q237" i="24"/>
  <c r="R237" i="24"/>
  <c r="P238" i="24"/>
  <c r="Q238" i="24"/>
  <c r="R238" i="24"/>
  <c r="P239" i="24"/>
  <c r="Q239" i="24"/>
  <c r="R239" i="24"/>
  <c r="P240" i="24"/>
  <c r="Q240" i="24"/>
  <c r="R240" i="24"/>
  <c r="P241" i="24"/>
  <c r="Q241" i="24"/>
  <c r="R241" i="24"/>
  <c r="P242" i="24"/>
  <c r="Q242" i="24"/>
  <c r="R242" i="24"/>
  <c r="P243" i="24"/>
  <c r="Q243" i="24"/>
  <c r="R243" i="24"/>
  <c r="P244" i="24"/>
  <c r="Q244" i="24"/>
  <c r="R244" i="24"/>
  <c r="P245" i="24"/>
  <c r="Q245" i="24"/>
  <c r="R245" i="24"/>
  <c r="P246" i="24"/>
  <c r="Q246" i="24"/>
  <c r="R246" i="24"/>
  <c r="P247" i="24"/>
  <c r="Q247" i="24"/>
  <c r="R247" i="24"/>
  <c r="P248" i="24"/>
  <c r="Q248" i="24"/>
  <c r="R248" i="24"/>
  <c r="P249" i="24"/>
  <c r="Q249" i="24"/>
  <c r="R249" i="24"/>
  <c r="P250" i="24"/>
  <c r="Q250" i="24"/>
  <c r="R250" i="24"/>
  <c r="P251" i="24"/>
  <c r="Q251" i="24"/>
  <c r="R251" i="24"/>
  <c r="P252" i="24"/>
  <c r="Q252" i="24"/>
  <c r="R252" i="24"/>
  <c r="P253" i="24"/>
  <c r="Q253" i="24"/>
  <c r="R253" i="24"/>
  <c r="P254" i="24"/>
  <c r="Q254" i="24"/>
  <c r="R254" i="24"/>
  <c r="P255" i="24"/>
  <c r="Q255" i="24"/>
  <c r="R255" i="24"/>
  <c r="P256" i="24"/>
  <c r="Q256" i="24"/>
  <c r="R256" i="24"/>
  <c r="P257" i="24"/>
  <c r="Q257" i="24"/>
  <c r="R257" i="24"/>
  <c r="P258" i="24"/>
  <c r="Q258" i="24"/>
  <c r="R258" i="24"/>
  <c r="P259" i="24"/>
  <c r="Q259" i="24"/>
  <c r="R259" i="24"/>
  <c r="P260" i="24"/>
  <c r="Q260" i="24"/>
  <c r="R260" i="24"/>
  <c r="P261" i="24"/>
  <c r="Q261" i="24"/>
  <c r="R261" i="24"/>
  <c r="P262" i="24"/>
  <c r="Q262" i="24"/>
  <c r="R262" i="24"/>
  <c r="P263" i="24"/>
  <c r="Q263" i="24"/>
  <c r="R263" i="24"/>
  <c r="P264" i="24"/>
  <c r="Q264" i="24"/>
  <c r="R264" i="24"/>
  <c r="P265" i="24"/>
  <c r="Q265" i="24"/>
  <c r="R265" i="24"/>
  <c r="P266" i="24"/>
  <c r="Q266" i="24"/>
  <c r="R266" i="24"/>
  <c r="P267" i="24"/>
  <c r="Q267" i="24"/>
  <c r="R267" i="24"/>
  <c r="P268" i="24"/>
  <c r="Q268" i="24"/>
  <c r="R268" i="24"/>
  <c r="P269" i="24"/>
  <c r="Q269" i="24"/>
  <c r="R269" i="24"/>
  <c r="P270" i="24"/>
  <c r="Q270" i="24"/>
  <c r="R270" i="24"/>
  <c r="P271" i="24"/>
  <c r="Q271" i="24"/>
  <c r="R271" i="24"/>
  <c r="P272" i="24"/>
  <c r="Q272" i="24"/>
  <c r="R272" i="24"/>
  <c r="P273" i="24"/>
  <c r="Q273" i="24"/>
  <c r="R273" i="24"/>
  <c r="P274" i="24"/>
  <c r="Q274" i="24"/>
  <c r="R274" i="24"/>
  <c r="P275" i="24"/>
  <c r="Q275" i="24"/>
  <c r="R275" i="24"/>
  <c r="P276" i="24"/>
  <c r="Q276" i="24"/>
  <c r="R276" i="24"/>
  <c r="P277" i="24"/>
  <c r="Q277" i="24"/>
  <c r="R277" i="24"/>
  <c r="P278" i="24"/>
  <c r="Q278" i="24"/>
  <c r="R278" i="24"/>
  <c r="P279" i="24"/>
  <c r="Q279" i="24"/>
  <c r="R279" i="24"/>
  <c r="P280" i="24"/>
  <c r="Q280" i="24"/>
  <c r="R280" i="24"/>
  <c r="P281" i="24"/>
  <c r="Q281" i="24"/>
  <c r="R281" i="24"/>
  <c r="P282" i="24"/>
  <c r="Q282" i="24"/>
  <c r="R282" i="24"/>
  <c r="P283" i="24"/>
  <c r="Q283" i="24"/>
  <c r="R283" i="24"/>
  <c r="P284" i="24"/>
  <c r="Q284" i="24"/>
  <c r="R284" i="24"/>
  <c r="P285" i="24"/>
  <c r="Q285" i="24"/>
  <c r="R285" i="24"/>
  <c r="P286" i="24"/>
  <c r="Q286" i="24"/>
  <c r="R286" i="24"/>
  <c r="P287" i="24"/>
  <c r="Q287" i="24"/>
  <c r="R287" i="24"/>
  <c r="P288" i="24"/>
  <c r="Q288" i="24"/>
  <c r="R288" i="24"/>
  <c r="P289" i="24"/>
  <c r="Q289" i="24"/>
  <c r="R289" i="24"/>
  <c r="P290" i="24"/>
  <c r="Q290" i="24"/>
  <c r="R290" i="24"/>
  <c r="P291" i="24"/>
  <c r="Q291" i="24"/>
  <c r="R291" i="24"/>
  <c r="P292" i="24"/>
  <c r="Q292" i="24"/>
  <c r="R292" i="24"/>
  <c r="P293" i="24"/>
  <c r="Q293" i="24"/>
  <c r="R293" i="24"/>
  <c r="P294" i="24"/>
  <c r="Q294" i="24"/>
  <c r="R294" i="24"/>
  <c r="P295" i="24"/>
  <c r="Q295" i="24"/>
  <c r="R295" i="24"/>
  <c r="P296" i="24"/>
  <c r="Q296" i="24"/>
  <c r="R296" i="24"/>
  <c r="P297" i="24"/>
  <c r="Q297" i="24"/>
  <c r="R297" i="24"/>
  <c r="P298" i="24"/>
  <c r="Q298" i="24"/>
  <c r="R298" i="24"/>
  <c r="P299" i="24"/>
  <c r="Q299" i="24"/>
  <c r="R299" i="24"/>
  <c r="P300" i="24"/>
  <c r="Q300" i="24"/>
  <c r="R300" i="24"/>
  <c r="P301" i="24"/>
  <c r="Q301" i="24"/>
  <c r="R301" i="24"/>
  <c r="P302" i="24"/>
  <c r="Q302" i="24"/>
  <c r="R302" i="24"/>
  <c r="P303" i="24"/>
  <c r="Q303" i="24"/>
  <c r="R303" i="24"/>
  <c r="P304" i="24"/>
  <c r="Q304" i="24"/>
  <c r="R304" i="24"/>
  <c r="P305" i="24"/>
  <c r="Q305" i="24"/>
  <c r="R305" i="24"/>
  <c r="P306" i="24"/>
  <c r="Q306" i="24"/>
  <c r="R306" i="24"/>
  <c r="P307" i="24"/>
  <c r="Q307" i="24"/>
  <c r="R307" i="24"/>
  <c r="P308" i="24"/>
  <c r="Q308" i="24"/>
  <c r="R308" i="24"/>
  <c r="P309" i="24"/>
  <c r="Q309" i="24"/>
  <c r="R309" i="24"/>
  <c r="P310" i="24"/>
  <c r="Q310" i="24"/>
  <c r="R310" i="24"/>
  <c r="P311" i="24"/>
  <c r="Q311" i="24"/>
  <c r="R311" i="24"/>
  <c r="P312" i="24"/>
  <c r="Q312" i="24"/>
  <c r="R312" i="24"/>
  <c r="P313" i="24"/>
  <c r="Q313" i="24"/>
  <c r="R313" i="24"/>
  <c r="P314" i="24"/>
  <c r="Q314" i="24"/>
  <c r="R314" i="24"/>
  <c r="P315" i="24"/>
  <c r="Q315" i="24"/>
  <c r="R315" i="24"/>
  <c r="P316" i="24"/>
  <c r="Q316" i="24"/>
  <c r="R316" i="24"/>
  <c r="P317" i="24"/>
  <c r="Q317" i="24"/>
  <c r="R317" i="24"/>
  <c r="P318" i="24"/>
  <c r="Q318" i="24"/>
  <c r="R318" i="24"/>
  <c r="P319" i="24"/>
  <c r="Q319" i="24"/>
  <c r="R319" i="24"/>
  <c r="P320" i="24"/>
  <c r="Q320" i="24"/>
  <c r="R320" i="24"/>
  <c r="P321" i="24"/>
  <c r="Q321" i="24"/>
  <c r="R321" i="24"/>
  <c r="P322" i="24"/>
  <c r="Q322" i="24"/>
  <c r="R322" i="24"/>
  <c r="P323" i="24"/>
  <c r="Q323" i="24"/>
  <c r="R323" i="24"/>
  <c r="P324" i="24"/>
  <c r="Q324" i="24"/>
  <c r="R324" i="24"/>
  <c r="P325" i="24"/>
  <c r="Q325" i="24"/>
  <c r="R325" i="24"/>
  <c r="P326" i="24"/>
  <c r="Q326" i="24"/>
  <c r="R326" i="24"/>
  <c r="P327" i="24"/>
  <c r="Q327" i="24"/>
  <c r="R327" i="24"/>
  <c r="P328" i="24"/>
  <c r="Q328" i="24"/>
  <c r="R328" i="24"/>
  <c r="P329" i="24"/>
  <c r="Q329" i="24"/>
  <c r="R329" i="24"/>
  <c r="P330" i="24"/>
  <c r="Q330" i="24"/>
  <c r="R330" i="24"/>
  <c r="P331" i="24"/>
  <c r="Q331" i="24"/>
  <c r="R331" i="24"/>
  <c r="P332" i="24"/>
  <c r="Q332" i="24"/>
  <c r="R332" i="24"/>
  <c r="P333" i="24"/>
  <c r="Q333" i="24"/>
  <c r="R333" i="24"/>
  <c r="P334" i="24"/>
  <c r="Q334" i="24"/>
  <c r="R334" i="24"/>
  <c r="P335" i="24"/>
  <c r="Q335" i="24"/>
  <c r="R335" i="24"/>
  <c r="P336" i="24"/>
  <c r="Q336" i="24"/>
  <c r="R336" i="24"/>
  <c r="P337" i="24"/>
  <c r="Q337" i="24"/>
  <c r="R337" i="24"/>
  <c r="P338" i="24"/>
  <c r="Q338" i="24"/>
  <c r="R338" i="24"/>
  <c r="P339" i="24"/>
  <c r="Q339" i="24"/>
  <c r="R339" i="24"/>
  <c r="P340" i="24"/>
  <c r="Q340" i="24"/>
  <c r="R340" i="24"/>
  <c r="P341" i="24"/>
  <c r="Q341" i="24"/>
  <c r="R341" i="24"/>
  <c r="P342" i="24"/>
  <c r="Q342" i="24"/>
  <c r="R342" i="24"/>
  <c r="P343" i="24"/>
  <c r="Q343" i="24"/>
  <c r="R343" i="24"/>
  <c r="P344" i="24"/>
  <c r="Q344" i="24"/>
  <c r="R344" i="24"/>
  <c r="P345" i="24"/>
  <c r="Q345" i="24"/>
  <c r="R345" i="24"/>
  <c r="P346" i="24"/>
  <c r="Q346" i="24"/>
  <c r="R346" i="24"/>
  <c r="P347" i="24"/>
  <c r="Q347" i="24"/>
  <c r="R347" i="24"/>
  <c r="P348" i="24"/>
  <c r="Q348" i="24"/>
  <c r="R348" i="24"/>
  <c r="P349" i="24"/>
  <c r="Q349" i="24"/>
  <c r="R349" i="24"/>
  <c r="P350" i="24"/>
  <c r="Q350" i="24"/>
  <c r="R350" i="24"/>
  <c r="P351" i="24"/>
  <c r="Q351" i="24"/>
  <c r="R351" i="24"/>
  <c r="P352" i="24"/>
  <c r="Q352" i="24"/>
  <c r="R352" i="24"/>
  <c r="P353" i="24"/>
  <c r="Q353" i="24"/>
  <c r="R353" i="24"/>
  <c r="P354" i="24"/>
  <c r="Q354" i="24"/>
  <c r="R354" i="24"/>
  <c r="P355" i="24"/>
  <c r="Q355" i="24"/>
  <c r="R355" i="24"/>
  <c r="P356" i="24"/>
  <c r="Q356" i="24"/>
  <c r="R356" i="24"/>
  <c r="P357" i="24"/>
  <c r="Q357" i="24"/>
  <c r="R357" i="24"/>
  <c r="P358" i="24"/>
  <c r="Q358" i="24"/>
  <c r="R358" i="24"/>
  <c r="P359" i="24"/>
  <c r="Q359" i="24"/>
  <c r="R359" i="24"/>
  <c r="P360" i="24"/>
  <c r="Q360" i="24"/>
  <c r="R360" i="24"/>
  <c r="P361" i="24"/>
  <c r="Q361" i="24"/>
  <c r="R361" i="24"/>
  <c r="P362" i="24"/>
  <c r="Q362" i="24"/>
  <c r="R362" i="24"/>
  <c r="P363" i="24"/>
  <c r="Q363" i="24"/>
  <c r="R363" i="24"/>
  <c r="P364" i="24"/>
  <c r="Q364" i="24"/>
  <c r="R364" i="24"/>
  <c r="P365" i="24"/>
  <c r="Q365" i="24"/>
  <c r="R365" i="24"/>
  <c r="P366" i="24"/>
  <c r="Q366" i="24"/>
  <c r="R366" i="24"/>
  <c r="P367" i="24"/>
  <c r="Q367" i="24"/>
  <c r="R367" i="24"/>
  <c r="P368" i="24"/>
  <c r="Q368" i="24"/>
  <c r="R368" i="24"/>
  <c r="P369" i="24"/>
  <c r="Q369" i="24"/>
  <c r="R369" i="24"/>
  <c r="P370" i="24"/>
  <c r="Q370" i="24"/>
  <c r="R370" i="24"/>
  <c r="P371" i="24"/>
  <c r="Q371" i="24"/>
  <c r="R371" i="24"/>
  <c r="P372" i="24"/>
  <c r="Q372" i="24"/>
  <c r="R372" i="24"/>
  <c r="P373" i="24"/>
  <c r="Q373" i="24"/>
  <c r="R373" i="24"/>
  <c r="P374" i="24"/>
  <c r="Q374" i="24"/>
  <c r="R374" i="24"/>
  <c r="P375" i="24"/>
  <c r="Q375" i="24"/>
  <c r="R375" i="24"/>
  <c r="P376" i="24"/>
  <c r="Q376" i="24"/>
  <c r="R376" i="24"/>
  <c r="P377" i="24"/>
  <c r="Q377" i="24"/>
  <c r="R377" i="24"/>
  <c r="P378" i="24"/>
  <c r="Q378" i="24"/>
  <c r="R378" i="24"/>
  <c r="P379" i="24"/>
  <c r="Q379" i="24"/>
  <c r="R379" i="24"/>
  <c r="P380" i="24"/>
  <c r="Q380" i="24"/>
  <c r="R380" i="24"/>
  <c r="P381" i="24"/>
  <c r="Q381" i="24"/>
  <c r="R381" i="24"/>
  <c r="P382" i="24"/>
  <c r="Q382" i="24"/>
  <c r="R382" i="24"/>
  <c r="P383" i="24"/>
  <c r="Q383" i="24"/>
  <c r="R383" i="24"/>
  <c r="P384" i="24"/>
  <c r="Q384" i="24"/>
  <c r="R384" i="24"/>
  <c r="P385" i="24"/>
  <c r="Q385" i="24"/>
  <c r="R385" i="24"/>
  <c r="P386" i="24"/>
  <c r="Q386" i="24"/>
  <c r="R386" i="24"/>
  <c r="P387" i="24"/>
  <c r="Q387" i="24"/>
  <c r="R387" i="24"/>
  <c r="P388" i="24"/>
  <c r="Q388" i="24"/>
  <c r="R388" i="24"/>
  <c r="P389" i="24"/>
  <c r="Q389" i="24"/>
  <c r="R389" i="24"/>
  <c r="P390" i="24"/>
  <c r="Q390" i="24"/>
  <c r="R390" i="24"/>
  <c r="P391" i="24"/>
  <c r="Q391" i="24"/>
  <c r="R391" i="24"/>
  <c r="P392" i="24"/>
  <c r="Q392" i="24"/>
  <c r="R392" i="24"/>
  <c r="P393" i="24"/>
  <c r="Q393" i="24"/>
  <c r="R393" i="24"/>
  <c r="P394" i="24"/>
  <c r="Q394" i="24"/>
  <c r="R394" i="24"/>
  <c r="P395" i="24"/>
  <c r="Q395" i="24"/>
  <c r="R395" i="24"/>
  <c r="P396" i="24"/>
  <c r="Q396" i="24"/>
  <c r="R396" i="24"/>
  <c r="P397" i="24"/>
  <c r="Q397" i="24"/>
  <c r="R397" i="24"/>
  <c r="P398" i="24"/>
  <c r="Q398" i="24"/>
  <c r="R398" i="24"/>
  <c r="P399" i="24"/>
  <c r="Q399" i="24"/>
  <c r="R399" i="24"/>
  <c r="P400" i="24"/>
  <c r="Q400" i="24"/>
  <c r="R400" i="24"/>
  <c r="P401" i="24"/>
  <c r="Q401" i="24"/>
  <c r="R401" i="24"/>
  <c r="P402" i="24"/>
  <c r="Q402" i="24"/>
  <c r="R402" i="24"/>
  <c r="P403" i="24"/>
  <c r="Q403" i="24"/>
  <c r="R403" i="24"/>
  <c r="P404" i="24"/>
  <c r="Q404" i="24"/>
  <c r="R404" i="24"/>
  <c r="P405" i="24"/>
  <c r="Q405" i="24"/>
  <c r="R405" i="24"/>
  <c r="P406" i="24"/>
  <c r="Q406" i="24"/>
  <c r="R406" i="24"/>
  <c r="P407" i="24"/>
  <c r="Q407" i="24"/>
  <c r="R407" i="24"/>
  <c r="P408" i="24"/>
  <c r="Q408" i="24"/>
  <c r="R408" i="24"/>
  <c r="P409" i="24"/>
  <c r="Q409" i="24"/>
  <c r="R409" i="24"/>
  <c r="P410" i="24"/>
  <c r="Q410" i="24"/>
  <c r="R410" i="24"/>
  <c r="P411" i="24"/>
  <c r="Q411" i="24"/>
  <c r="R411" i="24"/>
  <c r="P412" i="24"/>
  <c r="Q412" i="24"/>
  <c r="R412" i="24"/>
  <c r="P413" i="24"/>
  <c r="Q413" i="24"/>
  <c r="R413" i="24"/>
  <c r="P414" i="24"/>
  <c r="Q414" i="24"/>
  <c r="R414" i="24"/>
  <c r="P415" i="24"/>
  <c r="Q415" i="24"/>
  <c r="R415" i="24"/>
  <c r="P416" i="24"/>
  <c r="Q416" i="24"/>
  <c r="R416" i="24"/>
  <c r="P417" i="24"/>
  <c r="Q417" i="24"/>
  <c r="R417" i="24"/>
  <c r="P418" i="24"/>
  <c r="Q418" i="24"/>
  <c r="R418" i="24"/>
  <c r="P419" i="24"/>
  <c r="Q419" i="24"/>
  <c r="R419" i="24"/>
  <c r="P420" i="24"/>
  <c r="Q420" i="24"/>
  <c r="R420" i="24"/>
  <c r="P421" i="24"/>
  <c r="Q421" i="24"/>
  <c r="R421" i="24"/>
  <c r="P422" i="24"/>
  <c r="Q422" i="24"/>
  <c r="R422" i="24"/>
  <c r="P423" i="24"/>
  <c r="Q423" i="24"/>
  <c r="R423" i="24"/>
  <c r="P424" i="24"/>
  <c r="Q424" i="24"/>
  <c r="R424" i="24"/>
  <c r="P425" i="24"/>
  <c r="Q425" i="24"/>
  <c r="R425" i="24"/>
  <c r="P426" i="24"/>
  <c r="Q426" i="24"/>
  <c r="R426" i="24"/>
  <c r="P427" i="24"/>
  <c r="Q427" i="24"/>
  <c r="R427" i="24"/>
  <c r="P428" i="24"/>
  <c r="Q428" i="24"/>
  <c r="R428" i="24"/>
  <c r="P429" i="24"/>
  <c r="Q429" i="24"/>
  <c r="R429" i="24"/>
  <c r="P430" i="24"/>
  <c r="Q430" i="24"/>
  <c r="R430" i="24"/>
  <c r="R6" i="24"/>
  <c r="P6" i="24"/>
  <c r="N430" i="19"/>
  <c r="Q430" i="15"/>
  <c r="O9" i="24" l="1"/>
  <c r="O13" i="24"/>
  <c r="O8" i="24"/>
  <c r="O12" i="24"/>
  <c r="O7" i="24"/>
  <c r="O14" i="24"/>
  <c r="O11" i="24"/>
  <c r="O6" i="24"/>
  <c r="O15" i="24"/>
  <c r="O14" i="23"/>
  <c r="O6" i="23"/>
  <c r="O13" i="23"/>
  <c r="O11" i="23"/>
  <c r="O10" i="23"/>
  <c r="O9" i="23"/>
  <c r="O8" i="23"/>
  <c r="O7" i="23"/>
  <c r="O16" i="23"/>
  <c r="O15" i="23"/>
  <c r="O7" i="22"/>
  <c r="O10" i="21"/>
  <c r="O16" i="21"/>
  <c r="O9" i="21"/>
  <c r="O15" i="21"/>
  <c r="O8" i="21"/>
  <c r="O6" i="21"/>
  <c r="O14" i="21"/>
  <c r="O13" i="21"/>
  <c r="O12" i="21"/>
  <c r="R15" i="19"/>
  <c r="R6" i="19"/>
  <c r="R10" i="19"/>
  <c r="R8" i="19"/>
  <c r="R12" i="19"/>
  <c r="R14" i="19"/>
  <c r="R16" i="19"/>
  <c r="R13" i="19"/>
  <c r="R16" i="15"/>
  <c r="R13" i="15"/>
  <c r="R15" i="15"/>
  <c r="R7" i="15"/>
  <c r="R6" i="15"/>
  <c r="R12" i="15"/>
  <c r="R9" i="15"/>
  <c r="R14" i="15"/>
  <c r="R8" i="15"/>
  <c r="Q13" i="16"/>
  <c r="Q11" i="16"/>
  <c r="Q9" i="16"/>
  <c r="Q7" i="16"/>
  <c r="Q6" i="16"/>
  <c r="Q12" i="16"/>
  <c r="Q10" i="16"/>
  <c r="Q8" i="16"/>
  <c r="O13" i="22"/>
  <c r="O14" i="22"/>
  <c r="O11" i="22"/>
  <c r="O9" i="22"/>
  <c r="O17" i="22"/>
  <c r="O6" i="22"/>
  <c r="O15" i="22"/>
  <c r="O8" i="22"/>
  <c r="O16" i="22"/>
  <c r="O12" i="22"/>
  <c r="O10" i="22"/>
  <c r="N6" i="17"/>
  <c r="Q15" i="16"/>
  <c r="Q16" i="16"/>
  <c r="Q14" i="16"/>
  <c r="Q17" i="16"/>
  <c r="N13" i="17"/>
  <c r="N15" i="17"/>
  <c r="N17" i="17"/>
  <c r="N12" i="17"/>
  <c r="N14" i="17"/>
  <c r="N16" i="17"/>
</calcChain>
</file>

<file path=xl/sharedStrings.xml><?xml version="1.0" encoding="utf-8"?>
<sst xmlns="http://schemas.openxmlformats.org/spreadsheetml/2006/main" count="872" uniqueCount="90">
  <si>
    <t>Surname</t>
  </si>
  <si>
    <t>Student ID</t>
  </si>
  <si>
    <t>Gender</t>
  </si>
  <si>
    <t>Class</t>
  </si>
  <si>
    <t>Optional</t>
  </si>
  <si>
    <t>Required</t>
  </si>
  <si>
    <t>First Name</t>
  </si>
  <si>
    <t>Test Date
(dd/mm/yy)</t>
  </si>
  <si>
    <t>DOB
(dd/mm/yy)</t>
  </si>
  <si>
    <t>Letter Name Fluencey
 (LNF) Score</t>
  </si>
  <si>
    <t>Phonemic Segmentation Fluency
(PSF) Score</t>
  </si>
  <si>
    <t>Composite Score</t>
  </si>
  <si>
    <t>Correct Letter Sounds
(CLS) Score</t>
  </si>
  <si>
    <t>Nonsense Word Fluency
(NWF)</t>
  </si>
  <si>
    <t>Words Recorded Correctly
(WRC) Score</t>
  </si>
  <si>
    <t>Word Reading Fluency
(WRF) Score</t>
  </si>
  <si>
    <t>Maze</t>
  </si>
  <si>
    <t>DIBELS 8th Edition (2020)</t>
  </si>
  <si>
    <t>DIBELS 8th Ed.
Scoring Template</t>
  </si>
  <si>
    <t>Test Round
(Beginning, Middle, End)</t>
  </si>
  <si>
    <t>Letter Name Fluency
 (LNF) Score</t>
  </si>
  <si>
    <t>ORF-Errors</t>
  </si>
  <si>
    <t>MAZE</t>
  </si>
  <si>
    <t>Maze Correct</t>
  </si>
  <si>
    <t>Maze Errors</t>
  </si>
  <si>
    <t>Maze Calculated Score</t>
  </si>
  <si>
    <t>ORF-WRC</t>
  </si>
  <si>
    <t>ORF-ACC</t>
  </si>
  <si>
    <t xml:space="preserve">Weighted Scores					</t>
  </si>
  <si>
    <t>WRF</t>
  </si>
  <si>
    <t>NWF-WRC</t>
  </si>
  <si>
    <t>NWF-CLS</t>
  </si>
  <si>
    <t>Words Read Correctly
(ORF-WRC) Score</t>
  </si>
  <si>
    <t>Accuracy
(ORF-ACC)
Score</t>
  </si>
  <si>
    <t>LNF</t>
  </si>
  <si>
    <t>PSF</t>
  </si>
  <si>
    <t>Oral Reading Fluency (ORF)</t>
  </si>
  <si>
    <t>Year 1 (Middle)</t>
  </si>
  <si>
    <t>Year 1 (End)</t>
  </si>
  <si>
    <t>Year 2 (Beginning)</t>
  </si>
  <si>
    <t>Year 3 (Beginning)</t>
  </si>
  <si>
    <t>Year 2 (Middle)</t>
  </si>
  <si>
    <t>Year 3 (Middle)</t>
  </si>
  <si>
    <t>Year 2 (End)</t>
  </si>
  <si>
    <t>Year 3 (End)</t>
  </si>
  <si>
    <t>Foundation (Beginning)</t>
  </si>
  <si>
    <t>Foundation (Middle)</t>
  </si>
  <si>
    <t>Year 1 (Beginning)</t>
  </si>
  <si>
    <t>Gating Constants</t>
  </si>
  <si>
    <t>-</t>
  </si>
  <si>
    <t>Discontinue Scores</t>
  </si>
  <si>
    <r>
      <rPr>
        <sz val="16"/>
        <color theme="1"/>
        <rFont val="Calibri"/>
        <family val="2"/>
        <scheme val="minor"/>
      </rPr>
      <t xml:space="preserve">This spreadsheet provides the template required to enter results into Student Performance Analyser (SPA) for a DIBELS 8th Ed. Assessment. We will use the 2020 benchmarks within the SPAstandard software.
</t>
    </r>
    <r>
      <rPr>
        <b/>
        <sz val="16"/>
        <color theme="1"/>
        <rFont val="Calibri (Body)"/>
      </rPr>
      <t>Step 1:</t>
    </r>
    <r>
      <rPr>
        <sz val="16"/>
        <color theme="1"/>
        <rFont val="Calibri"/>
        <family val="2"/>
        <scheme val="minor"/>
      </rPr>
      <t xml:space="preserve">
Click on the appropriate Year Level tab below.
</t>
    </r>
    <r>
      <rPr>
        <b/>
        <sz val="16"/>
        <color theme="1"/>
        <rFont val="Calibri (Body)"/>
      </rPr>
      <t>Step 2:</t>
    </r>
    <r>
      <rPr>
        <sz val="16"/>
        <color theme="1"/>
        <rFont val="Calibri"/>
        <family val="2"/>
        <scheme val="minor"/>
      </rPr>
      <t xml:space="preserve">
For each student, enter the Year Level, Name, Student ID, Gender, DOB &amp; Home Group. You will also need to record if this is beginning, middle, or end of year benchmarking.
</t>
    </r>
    <r>
      <rPr>
        <b/>
        <sz val="16"/>
        <color theme="1"/>
        <rFont val="Calibri (Body)"/>
      </rPr>
      <t>Step 3:</t>
    </r>
    <r>
      <rPr>
        <sz val="16"/>
        <color theme="1"/>
        <rFont val="Calibri"/>
        <family val="2"/>
        <scheme val="minor"/>
      </rPr>
      <t xml:space="preserve">
Input scores for each individual sub-test, as well as error rates per applicable. This template will automatically calculate the accuracy scores, maze calculated scores &amp; the final composite score.
Save the template to your computer or a school shared drive.
</t>
    </r>
    <r>
      <rPr>
        <b/>
        <sz val="16"/>
        <color theme="1"/>
        <rFont val="Calibri (Body)"/>
      </rPr>
      <t>Step 4:</t>
    </r>
    <r>
      <rPr>
        <sz val="16"/>
        <color theme="1"/>
        <rFont val="Calibri"/>
        <family val="2"/>
        <scheme val="minor"/>
      </rPr>
      <t xml:space="preserve">
Upload the saved template to SPA. (The school can choose to create one template per grade or year level or one template for the whole school.)
</t>
    </r>
    <r>
      <rPr>
        <sz val="14"/>
        <color theme="1"/>
        <rFont val="Calibri"/>
        <family val="2"/>
        <scheme val="minor"/>
      </rPr>
      <t xml:space="preserve">
</t>
    </r>
    <r>
      <rPr>
        <sz val="14"/>
        <color rgb="FFFF0000"/>
        <rFont val="Calibri (Body)"/>
      </rPr>
      <t xml:space="preserve">PLEASE NOTE-
</t>
    </r>
    <r>
      <rPr>
        <b/>
        <sz val="14"/>
        <color rgb="FFFF0000"/>
        <rFont val="Calibri (Body)"/>
      </rPr>
      <t xml:space="preserve">Discontinue Rule- </t>
    </r>
    <r>
      <rPr>
        <sz val="14"/>
        <color rgb="FFFF0000"/>
        <rFont val="Calibri (Body)"/>
      </rPr>
      <t xml:space="preserve">The template can handle the discontinue rule for Foundation &amp; Year 1. But as there is no discontinue rule for Years 2-8, all sub-test scores must be entered for Year 2-8 to ensure an accurate composite score.
</t>
    </r>
    <r>
      <rPr>
        <b/>
        <sz val="14"/>
        <color rgb="FFFF0000"/>
        <rFont val="Calibri (Body)"/>
      </rPr>
      <t>Gating Rule-</t>
    </r>
    <r>
      <rPr>
        <sz val="14"/>
        <color rgb="FFFF0000"/>
        <rFont val="Calibri (Body)"/>
      </rPr>
      <t xml:space="preserve">If you choose to apply the gating rule when assessing a student, you will need to enter a constant for that student. Please note (1) A sub-test raw score and composite score will be displayed in SPA for all students and colour-coded against benchmarks.
(2) The gating figures below (from the DIBELS 8th ed. documentation) are the upper end of 'above', not 'above average'. (3) Applying the gating rule may affect growth for a student/cohort. </t>
    </r>
    <r>
      <rPr>
        <sz val="14"/>
        <color theme="1"/>
        <rFont val="Calibri"/>
        <family val="2"/>
        <scheme val="minor"/>
      </rPr>
      <t xml:space="preserve">
</t>
    </r>
    <r>
      <rPr>
        <b/>
        <sz val="14"/>
        <color rgb="FFFF0000"/>
        <rFont val="Calibri (Body)"/>
      </rPr>
      <t>General:</t>
    </r>
    <r>
      <rPr>
        <sz val="14"/>
        <color rgb="FFFF0000"/>
        <rFont val="Calibri (Body)"/>
      </rPr>
      <t xml:space="preserve"> Please note, due to there being 'time period constants' within the calculations of a composite score, a student can show growth in their composite score, despite making no progress in any sub-tests.</t>
    </r>
  </si>
  <si>
    <t>XXXXX1</t>
  </si>
  <si>
    <t>XXXXX2</t>
  </si>
  <si>
    <t>XXXXX3</t>
  </si>
  <si>
    <t>XXXXX4</t>
  </si>
  <si>
    <t>UNLISTED</t>
  </si>
  <si>
    <t>XXXXX5</t>
  </si>
  <si>
    <t>XXXXX6</t>
  </si>
  <si>
    <t>XXXXX7</t>
  </si>
  <si>
    <t>XXXXX8</t>
  </si>
  <si>
    <t>XXXXX9</t>
  </si>
  <si>
    <t>XXXXX10</t>
  </si>
  <si>
    <t>Lname1</t>
  </si>
  <si>
    <t>Fname1</t>
  </si>
  <si>
    <t>Lname2</t>
  </si>
  <si>
    <t>Fname2</t>
  </si>
  <si>
    <t>Lname3</t>
  </si>
  <si>
    <t>Fname3</t>
  </si>
  <si>
    <t>Lname4</t>
  </si>
  <si>
    <t>Fname4</t>
  </si>
  <si>
    <t>ULname13</t>
  </si>
  <si>
    <t>UFname13</t>
  </si>
  <si>
    <t>Lname5</t>
  </si>
  <si>
    <t>Fname5</t>
  </si>
  <si>
    <t>Lname6</t>
  </si>
  <si>
    <t>Fname6</t>
  </si>
  <si>
    <t>Lname7</t>
  </si>
  <si>
    <t>Fname7</t>
  </si>
  <si>
    <t>Lname8</t>
  </si>
  <si>
    <t>Fname8</t>
  </si>
  <si>
    <t>Lname9</t>
  </si>
  <si>
    <t>Fname9</t>
  </si>
  <si>
    <t>Lname10</t>
  </si>
  <si>
    <t>Fname10</t>
  </si>
  <si>
    <t>3A</t>
  </si>
  <si>
    <t>3B</t>
  </si>
  <si>
    <t>Beginning</t>
  </si>
  <si>
    <t>Female</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</si>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</sst>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m/yyyy;@"/>
  </numFmts>
  <fonts count="21">
    <font>
      <sz val="11"/>
      <color theme="1"/>
      <name val="Calibri"/>
      <family val="2"/>
      <scheme val="minor"/>
    </font>
    <font>
      <sz val="12"/>
      <color theme="1"/>
      <name val="Calibri"/>
      <family val="2"/>
      <scheme val="minor"/>
    </font>
    <font>
      <b/>
      <sz val="11"/>
      <color theme="1"/>
      <name val="Calibri"/>
      <family val="2"/>
      <scheme val="minor"/>
    </font>
    <font>
      <b/>
      <i/>
      <sz val="11"/>
      <color rgb="FFFF0000"/>
      <name val="Calibri"/>
      <family val="2"/>
      <scheme val="minor"/>
    </font>
    <font>
      <sz val="16"/>
      <color theme="1"/>
      <name val="Calibri"/>
      <family val="2"/>
      <scheme val="minor"/>
    </font>
    <font>
      <sz val="24"/>
      <color indexed="9"/>
      <name val="Arial Black"/>
      <family val="2"/>
    </font>
    <font>
      <sz val="14"/>
      <color theme="1"/>
      <name val="Calibri"/>
      <family val="2"/>
      <scheme val="minor"/>
    </font>
    <font>
      <sz val="22"/>
      <color theme="1"/>
      <name val="Calibri"/>
      <family val="2"/>
      <scheme val="minor"/>
    </font>
    <font>
      <b/>
      <sz val="11"/>
      <name val="Arial Bold"/>
    </font>
    <font>
      <b/>
      <sz val="11"/>
      <color theme="1"/>
      <name val="Arial"/>
      <family val="2"/>
    </font>
    <font>
      <sz val="10"/>
      <color theme="1"/>
      <name val="Calibri"/>
      <family val="2"/>
      <scheme val="minor"/>
    </font>
    <font>
      <sz val="10"/>
      <color rgb="FF000000"/>
      <name val="Arial"/>
      <family val="2"/>
    </font>
    <font>
      <b/>
      <sz val="10"/>
      <color rgb="FFFF0000"/>
      <name val="Calibri"/>
      <family val="2"/>
      <scheme val="minor"/>
    </font>
    <font>
      <sz val="11"/>
      <color theme="1"/>
      <name val="Calibri"/>
      <family val="2"/>
      <scheme val="minor"/>
    </font>
    <font>
      <sz val="12"/>
      <color theme="1"/>
      <name val="Arial"/>
      <family val="2"/>
    </font>
    <font>
      <b/>
      <sz val="12"/>
      <color theme="1"/>
      <name val="Calibri"/>
      <family val="2"/>
      <scheme val="minor"/>
    </font>
    <font>
      <sz val="14"/>
      <color rgb="FFFF0000"/>
      <name val="Calibri (Body)"/>
    </font>
    <font>
      <b/>
      <sz val="14"/>
      <color rgb="FFFF0000"/>
      <name val="Calibri (Body)"/>
    </font>
    <font>
      <b/>
      <sz val="14"/>
      <color theme="1"/>
      <name val="Calibri"/>
      <family val="2"/>
      <scheme val="minor"/>
    </font>
    <font>
      <b/>
      <sz val="16"/>
      <color theme="1"/>
      <name val="Calibri (Body)"/>
    </font>
    <font>
      <sz val="11"/>
      <color rgb="FF000000"/>
      <name val="Calibri"/>
    </font>
  </fonts>
  <fills count="10">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4" tint="0.79998168889431442"/>
        <bgColor indexed="64"/>
      </patternFill>
    </fill>
    <fill>
      <patternFill patternType="solid">
        <fgColor rgb="FF05B0F0"/>
        <bgColor indexed="64"/>
      </patternFill>
    </fill>
    <fill>
      <patternFill patternType="solid">
        <fgColor theme="4" tint="0.59999389629810485"/>
        <bgColor indexed="64"/>
      </patternFill>
    </fill>
    <fill>
      <patternFill patternType="solid">
        <fgColor rgb="FFDEEBF8"/>
        <bgColor indexed="64"/>
      </patternFill>
    </fill>
    <fill>
      <patternFill patternType="solid">
        <fgColor rgb="FFDAEDF9"/>
        <bgColor indexed="64"/>
      </patternFill>
    </fill>
    <fill>
      <patternFill patternType="solid">
        <fgColor theme="4" tint="0.39997558519241921"/>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theme="1"/>
      </left>
      <right style="thin">
        <color indexed="64"/>
      </right>
      <top style="medium">
        <color theme="1"/>
      </top>
      <bottom/>
      <diagonal/>
    </border>
    <border>
      <left style="thin">
        <color indexed="64"/>
      </left>
      <right style="thin">
        <color indexed="64"/>
      </right>
      <top style="medium">
        <color theme="1"/>
      </top>
      <bottom/>
      <diagonal/>
    </border>
    <border>
      <left style="thin">
        <color indexed="64"/>
      </left>
      <right/>
      <top style="medium">
        <color theme="1"/>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medium">
        <color theme="1"/>
      </top>
      <bottom style="medium">
        <color indexed="64"/>
      </bottom>
      <diagonal/>
    </border>
    <border>
      <left/>
      <right/>
      <top style="medium">
        <color theme="1"/>
      </top>
      <bottom style="medium">
        <color indexed="64"/>
      </bottom>
      <diagonal/>
    </border>
    <border>
      <left/>
      <right style="thin">
        <color indexed="64"/>
      </right>
      <top style="medium">
        <color theme="1"/>
      </top>
      <bottom style="medium">
        <color indexed="64"/>
      </bottom>
      <diagonal/>
    </border>
    <border>
      <left style="medium">
        <color indexed="64"/>
      </left>
      <right style="medium">
        <color indexed="64"/>
      </right>
      <top style="medium">
        <color indexed="64"/>
      </top>
      <bottom style="medium">
        <color indexed="64"/>
      </bottom>
      <diagonal/>
    </border>
    <border>
      <left style="medium">
        <color theme="1"/>
      </left>
      <right style="thin">
        <color indexed="64"/>
      </right>
      <top style="medium">
        <color theme="1"/>
      </top>
      <bottom style="medium">
        <color indexed="64"/>
      </bottom>
      <diagonal/>
    </border>
    <border>
      <left style="thin">
        <color indexed="64"/>
      </left>
      <right style="thin">
        <color indexed="64"/>
      </right>
      <top style="medium">
        <color theme="1"/>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theme="1"/>
      </right>
      <top style="medium">
        <color theme="1"/>
      </top>
      <bottom style="medium">
        <color indexed="64"/>
      </bottom>
      <diagonal/>
    </border>
    <border>
      <left style="medium">
        <color theme="1"/>
      </left>
      <right style="medium">
        <color indexed="64"/>
      </right>
      <top style="medium">
        <color indexed="64"/>
      </top>
      <bottom/>
      <diagonal/>
    </border>
    <border>
      <left style="medium">
        <color indexed="64"/>
      </left>
      <right style="medium">
        <color theme="1"/>
      </right>
      <top style="medium">
        <color indexed="64"/>
      </top>
      <bottom/>
      <diagonal/>
    </border>
    <border>
      <left style="medium">
        <color theme="1"/>
      </left>
      <right style="medium">
        <color indexed="64"/>
      </right>
      <top/>
      <bottom style="medium">
        <color indexed="64"/>
      </bottom>
      <diagonal/>
    </border>
    <border>
      <left style="medium">
        <color indexed="64"/>
      </left>
      <right style="medium">
        <color theme="1"/>
      </right>
      <top/>
      <bottom style="medium">
        <color indexed="64"/>
      </bottom>
      <diagonal/>
    </border>
    <border>
      <left style="medium">
        <color theme="1"/>
      </left>
      <right style="medium">
        <color indexed="64"/>
      </right>
      <top style="medium">
        <color indexed="64"/>
      </top>
      <bottom style="thin">
        <color indexed="64"/>
      </bottom>
      <diagonal/>
    </border>
    <border>
      <left style="medium">
        <color indexed="64"/>
      </left>
      <right style="medium">
        <color theme="1"/>
      </right>
      <top/>
      <bottom style="thin">
        <color indexed="64"/>
      </bottom>
      <diagonal/>
    </border>
    <border>
      <left style="medium">
        <color theme="1"/>
      </left>
      <right style="medium">
        <color indexed="64"/>
      </right>
      <top style="thin">
        <color indexed="64"/>
      </top>
      <bottom style="thin">
        <color indexed="64"/>
      </bottom>
      <diagonal/>
    </border>
    <border>
      <left style="medium">
        <color indexed="64"/>
      </left>
      <right style="medium">
        <color theme="1"/>
      </right>
      <top style="thin">
        <color indexed="64"/>
      </top>
      <bottom style="thin">
        <color indexed="64"/>
      </bottom>
      <diagonal/>
    </border>
    <border>
      <left style="medium">
        <color theme="1"/>
      </left>
      <right style="medium">
        <color indexed="64"/>
      </right>
      <top style="thin">
        <color indexed="64"/>
      </top>
      <bottom style="medium">
        <color theme="1"/>
      </bottom>
      <diagonal/>
    </border>
    <border>
      <left style="medium">
        <color indexed="64"/>
      </left>
      <right style="medium">
        <color indexed="64"/>
      </right>
      <top style="thin">
        <color indexed="64"/>
      </top>
      <bottom style="medium">
        <color theme="1"/>
      </bottom>
      <diagonal/>
    </border>
    <border>
      <left style="medium">
        <color indexed="64"/>
      </left>
      <right style="medium">
        <color theme="1"/>
      </right>
      <top style="thin">
        <color indexed="64"/>
      </top>
      <bottom style="medium">
        <color theme="1"/>
      </bottom>
      <diagonal/>
    </border>
    <border>
      <left style="medium">
        <color theme="1"/>
      </left>
      <right/>
      <top style="medium">
        <color indexed="64"/>
      </top>
      <bottom/>
      <diagonal/>
    </border>
    <border>
      <left style="medium">
        <color theme="1"/>
      </left>
      <right/>
      <top/>
      <bottom/>
      <diagonal/>
    </border>
    <border>
      <left style="medium">
        <color indexed="64"/>
      </left>
      <right style="medium">
        <color indexed="64"/>
      </right>
      <top/>
      <bottom style="medium">
        <color theme="1"/>
      </bottom>
      <diagonal/>
    </border>
    <border>
      <left style="thin">
        <color indexed="64"/>
      </left>
      <right style="medium">
        <color theme="1"/>
      </right>
      <top style="medium">
        <color theme="1"/>
      </top>
      <bottom/>
      <diagonal/>
    </border>
    <border>
      <left style="medium">
        <color theme="1"/>
      </left>
      <right style="thin">
        <color indexed="64"/>
      </right>
      <top style="medium">
        <color indexed="64"/>
      </top>
      <bottom style="medium">
        <color indexed="64"/>
      </bottom>
      <diagonal/>
    </border>
    <border>
      <left style="medium">
        <color theme="1"/>
      </left>
      <right style="medium">
        <color indexed="64"/>
      </right>
      <top/>
      <bottom style="thin">
        <color indexed="64"/>
      </bottom>
      <diagonal/>
    </border>
    <border>
      <left style="medium">
        <color theme="1"/>
      </left>
      <right/>
      <top style="medium">
        <color theme="1"/>
      </top>
      <bottom style="medium">
        <color indexed="64"/>
      </bottom>
      <diagonal/>
    </border>
    <border>
      <left style="medium">
        <color theme="1"/>
      </left>
      <right style="medium">
        <color indexed="64"/>
      </right>
      <top style="medium">
        <color indexed="64"/>
      </top>
      <bottom style="medium">
        <color indexed="64"/>
      </bottom>
      <diagonal/>
    </border>
    <border>
      <left style="medium">
        <color indexed="64"/>
      </left>
      <right style="medium">
        <color theme="1"/>
      </right>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right style="medium">
        <color theme="1"/>
      </right>
      <top style="medium">
        <color indexed="64"/>
      </top>
      <bottom style="thin">
        <color indexed="64"/>
      </bottom>
      <diagonal/>
    </border>
    <border>
      <left/>
      <right style="medium">
        <color theme="1"/>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13" fillId="0" borderId="0" applyFont="0" applyFill="0" applyBorder="0" applyAlignment="0" applyProtection="0"/>
    <xf numFmtId="0" fontId="13" fillId="0" borderId="0"/>
  </cellStyleXfs>
  <cellXfs count="233">
    <xf numFmtId="0" fontId="0" fillId="0" borderId="0" xfId="0"/>
    <xf numFmtId="0" fontId="13" fillId="0" borderId="0" xfId="2"/>
    <xf numFmtId="0" fontId="6" fillId="0" borderId="0" xfId="2" applyFont="1" applyAlignment="1">
      <alignment horizontal="center" vertical="top" wrapText="1"/>
    </xf>
    <xf numFmtId="49" fontId="2" fillId="3" borderId="43" xfId="0" applyNumberFormat="1" applyFont="1" applyFill="1" applyBorder="1" applyAlignment="1" applyProtection="1">
      <alignment horizontal="center" vertical="top" wrapText="1"/>
      <protection locked="0"/>
    </xf>
    <xf numFmtId="0" fontId="7" fillId="0" borderId="0" xfId="0" applyFont="1" applyAlignment="1" applyProtection="1">
      <alignment horizontal="center" vertical="center" wrapText="1"/>
      <protection locked="0"/>
    </xf>
    <xf numFmtId="0" fontId="0" fillId="0" borderId="0" xfId="0" applyAlignment="1" applyProtection="1">
      <alignment horizontal="center" vertical="center"/>
      <protection locked="0"/>
    </xf>
    <xf numFmtId="0" fontId="3" fillId="0" borderId="0" xfId="0" applyFont="1" applyAlignment="1" applyProtection="1">
      <alignment horizontal="center" vertical="center"/>
      <protection locked="0"/>
    </xf>
    <xf numFmtId="0" fontId="9" fillId="3" borderId="8" xfId="0" applyFont="1" applyFill="1" applyBorder="1" applyAlignment="1" applyProtection="1">
      <alignment horizontal="center" vertical="top" wrapText="1"/>
      <protection locked="0"/>
    </xf>
    <xf numFmtId="0" fontId="8" fillId="3" borderId="8" xfId="0" applyFont="1" applyFill="1" applyBorder="1" applyAlignment="1" applyProtection="1">
      <alignment horizontal="center" vertical="top" wrapText="1"/>
      <protection locked="0"/>
    </xf>
    <xf numFmtId="0" fontId="8" fillId="3" borderId="8" xfId="0" applyFont="1" applyFill="1" applyBorder="1" applyAlignment="1" applyProtection="1">
      <alignment horizontal="center" vertical="top"/>
      <protection locked="0"/>
    </xf>
    <xf numFmtId="0" fontId="8" fillId="3" borderId="26" xfId="0" applyFont="1" applyFill="1" applyBorder="1" applyAlignment="1" applyProtection="1">
      <alignment horizontal="center" vertical="top" wrapText="1"/>
      <protection locked="0"/>
    </xf>
    <xf numFmtId="0" fontId="8" fillId="4" borderId="26" xfId="0" applyFont="1" applyFill="1" applyBorder="1" applyAlignment="1" applyProtection="1">
      <alignment horizontal="center" vertical="top"/>
      <protection locked="0"/>
    </xf>
    <xf numFmtId="0" fontId="8" fillId="4" borderId="9" xfId="0" applyFont="1" applyFill="1" applyBorder="1" applyAlignment="1" applyProtection="1">
      <alignment horizontal="center" vertical="top" wrapText="1"/>
      <protection locked="0"/>
    </xf>
    <xf numFmtId="0" fontId="8" fillId="4" borderId="8" xfId="0" applyFont="1" applyFill="1" applyBorder="1" applyAlignment="1" applyProtection="1">
      <alignment horizontal="center" vertical="top" wrapText="1"/>
      <protection locked="0"/>
    </xf>
    <xf numFmtId="0" fontId="2" fillId="5" borderId="42" xfId="0" applyFont="1" applyFill="1" applyBorder="1" applyAlignment="1" applyProtection="1">
      <alignment horizontal="center" vertical="top" wrapText="1"/>
      <protection locked="0"/>
    </xf>
    <xf numFmtId="0" fontId="2" fillId="5" borderId="11" xfId="0" applyFont="1" applyFill="1" applyBorder="1" applyAlignment="1" applyProtection="1">
      <alignment horizontal="center" vertical="top" wrapText="1"/>
      <protection locked="0"/>
    </xf>
    <xf numFmtId="0" fontId="2" fillId="5" borderId="34" xfId="0" applyFont="1" applyFill="1" applyBorder="1" applyAlignment="1" applyProtection="1">
      <alignment horizontal="center" vertical="top" wrapText="1"/>
      <protection locked="0"/>
    </xf>
    <xf numFmtId="0" fontId="2" fillId="5" borderId="8" xfId="0" applyFont="1" applyFill="1" applyBorder="1" applyAlignment="1" applyProtection="1">
      <alignment horizontal="center" vertical="top" wrapText="1"/>
      <protection locked="0"/>
    </xf>
    <xf numFmtId="0" fontId="0" fillId="0" borderId="0" xfId="0" applyAlignment="1" applyProtection="1">
      <alignment horizontal="center" vertical="center" textRotation="90"/>
      <protection locked="0"/>
    </xf>
    <xf numFmtId="0" fontId="1" fillId="0" borderId="0" xfId="2" applyFont="1"/>
    <xf numFmtId="0" fontId="1" fillId="0" borderId="0" xfId="2" applyFont="1" applyAlignment="1">
      <alignment vertical="center" wrapText="1"/>
    </xf>
    <xf numFmtId="0" fontId="15" fillId="0" borderId="63" xfId="2" applyFont="1" applyBorder="1" applyAlignment="1">
      <alignment horizontal="center" vertical="center" wrapText="1"/>
    </xf>
    <xf numFmtId="0" fontId="15" fillId="0" borderId="63" xfId="2" applyFont="1" applyBorder="1" applyAlignment="1">
      <alignment horizontal="center" vertical="center"/>
    </xf>
    <xf numFmtId="0" fontId="1" fillId="8" borderId="0" xfId="2" applyFont="1" applyFill="1" applyAlignment="1">
      <alignment horizontal="center" vertical="center" wrapText="1"/>
    </xf>
    <xf numFmtId="0" fontId="1" fillId="0" borderId="64" xfId="2" applyFont="1" applyBorder="1" applyAlignment="1">
      <alignment horizontal="center" vertical="center" wrapText="1"/>
    </xf>
    <xf numFmtId="0" fontId="1" fillId="0" borderId="65" xfId="2" applyFont="1" applyBorder="1" applyAlignment="1">
      <alignment horizontal="center" vertical="center" wrapText="1"/>
    </xf>
    <xf numFmtId="0" fontId="1" fillId="0" borderId="65" xfId="2" applyFont="1" applyBorder="1" applyAlignment="1">
      <alignment horizontal="center"/>
    </xf>
    <xf numFmtId="0" fontId="1" fillId="0" borderId="66" xfId="2" applyFont="1" applyBorder="1" applyAlignment="1">
      <alignment horizontal="center" vertical="center" wrapText="1"/>
    </xf>
    <xf numFmtId="0" fontId="1" fillId="0" borderId="67" xfId="2" applyFont="1" applyBorder="1" applyAlignment="1">
      <alignment horizontal="center" vertical="center" wrapText="1"/>
    </xf>
    <xf numFmtId="0" fontId="1" fillId="0" borderId="4" xfId="2" applyFont="1" applyBorder="1" applyAlignment="1">
      <alignment horizontal="center" vertical="center" wrapText="1"/>
    </xf>
    <xf numFmtId="0" fontId="1" fillId="0" borderId="4" xfId="2" applyFont="1" applyBorder="1" applyAlignment="1">
      <alignment horizontal="center"/>
    </xf>
    <xf numFmtId="0" fontId="1" fillId="0" borderId="68" xfId="2" applyFont="1" applyBorder="1" applyAlignment="1">
      <alignment horizontal="center" vertical="center" wrapText="1"/>
    </xf>
    <xf numFmtId="0" fontId="1" fillId="6" borderId="0" xfId="2" applyFont="1" applyFill="1" applyAlignment="1">
      <alignment horizontal="center" vertical="center" wrapText="1"/>
    </xf>
    <xf numFmtId="0" fontId="1" fillId="0" borderId="0" xfId="2" applyFont="1" applyAlignment="1">
      <alignment vertical="top" wrapText="1"/>
    </xf>
    <xf numFmtId="0" fontId="1" fillId="0" borderId="3" xfId="2" applyFont="1" applyBorder="1" applyAlignment="1">
      <alignment horizontal="center" vertical="top" wrapText="1"/>
    </xf>
    <xf numFmtId="0" fontId="1" fillId="0" borderId="1" xfId="2" applyFont="1" applyBorder="1" applyAlignment="1">
      <alignment horizontal="center" vertical="top" wrapText="1"/>
    </xf>
    <xf numFmtId="0" fontId="1" fillId="0" borderId="1" xfId="2" applyFont="1" applyBorder="1" applyAlignment="1">
      <alignment horizontal="center" vertical="center" wrapText="1"/>
    </xf>
    <xf numFmtId="0" fontId="1" fillId="0" borderId="1" xfId="2" applyFont="1" applyBorder="1" applyAlignment="1">
      <alignment horizontal="center"/>
    </xf>
    <xf numFmtId="0" fontId="1" fillId="0" borderId="69" xfId="2" applyFont="1" applyBorder="1" applyAlignment="1">
      <alignment horizontal="center" vertical="top" wrapText="1"/>
    </xf>
    <xf numFmtId="0" fontId="1" fillId="0" borderId="67" xfId="2" applyFont="1" applyBorder="1" applyAlignment="1">
      <alignment horizontal="center"/>
    </xf>
    <xf numFmtId="0" fontId="1" fillId="0" borderId="68" xfId="2" applyFont="1" applyBorder="1" applyAlignment="1">
      <alignment horizontal="center"/>
    </xf>
    <xf numFmtId="0" fontId="1" fillId="9" borderId="0" xfId="2" applyFont="1" applyFill="1" applyAlignment="1">
      <alignment horizontal="center" vertical="center" wrapText="1"/>
    </xf>
    <xf numFmtId="0" fontId="1" fillId="0" borderId="64" xfId="2" applyFont="1" applyBorder="1" applyAlignment="1">
      <alignment horizontal="center"/>
    </xf>
    <xf numFmtId="0" fontId="1" fillId="0" borderId="66" xfId="2" applyFont="1" applyBorder="1" applyAlignment="1">
      <alignment horizontal="center"/>
    </xf>
    <xf numFmtId="0" fontId="1" fillId="0" borderId="3" xfId="2" applyFont="1" applyBorder="1" applyAlignment="1">
      <alignment horizontal="center"/>
    </xf>
    <xf numFmtId="0" fontId="1" fillId="0" borderId="69" xfId="2" applyFont="1" applyBorder="1" applyAlignment="1">
      <alignment horizontal="center"/>
    </xf>
    <xf numFmtId="0" fontId="6" fillId="0" borderId="0" xfId="2" applyFont="1"/>
    <xf numFmtId="0" fontId="6" fillId="0" borderId="0" xfId="2" applyFont="1" applyAlignment="1">
      <alignment vertical="center" wrapText="1"/>
    </xf>
    <xf numFmtId="0" fontId="2" fillId="5" borderId="13" xfId="0" applyFont="1" applyFill="1" applyBorder="1" applyAlignment="1" applyProtection="1">
      <alignment horizontal="center" vertical="center" wrapText="1"/>
      <protection locked="0"/>
    </xf>
    <xf numFmtId="0" fontId="3" fillId="5" borderId="5"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wrapText="1"/>
      <protection locked="0"/>
    </xf>
    <xf numFmtId="0" fontId="8" fillId="3" borderId="8" xfId="0" applyFont="1" applyFill="1" applyBorder="1" applyAlignment="1" applyProtection="1">
      <alignment horizontal="center" vertical="center" wrapText="1"/>
      <protection locked="0"/>
    </xf>
    <xf numFmtId="0" fontId="8" fillId="3" borderId="8" xfId="0" applyFont="1" applyFill="1" applyBorder="1" applyAlignment="1" applyProtection="1">
      <alignment horizontal="center" vertical="center"/>
      <protection locked="0"/>
    </xf>
    <xf numFmtId="0" fontId="8" fillId="3" borderId="26" xfId="0" applyFont="1" applyFill="1" applyBorder="1" applyAlignment="1" applyProtection="1">
      <alignment horizontal="center" vertical="center" wrapText="1"/>
      <protection locked="0"/>
    </xf>
    <xf numFmtId="0" fontId="8" fillId="4" borderId="26"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wrapText="1"/>
      <protection locked="0"/>
    </xf>
    <xf numFmtId="0" fontId="8" fillId="4" borderId="8" xfId="0" applyFont="1" applyFill="1" applyBorder="1" applyAlignment="1" applyProtection="1">
      <alignment horizontal="center" vertical="center" wrapText="1"/>
      <protection locked="0"/>
    </xf>
    <xf numFmtId="0" fontId="2" fillId="5" borderId="42" xfId="0" applyFont="1" applyFill="1" applyBorder="1" applyAlignment="1" applyProtection="1">
      <alignment horizontal="center" vertical="center" wrapText="1"/>
      <protection locked="0"/>
    </xf>
    <xf numFmtId="0" fontId="2" fillId="5" borderId="34" xfId="0" applyFont="1" applyFill="1" applyBorder="1" applyAlignment="1" applyProtection="1">
      <alignment horizontal="center" vertical="center" wrapText="1"/>
      <protection locked="0"/>
    </xf>
    <xf numFmtId="0" fontId="2" fillId="5" borderId="8" xfId="0" applyFont="1" applyFill="1" applyBorder="1" applyAlignment="1" applyProtection="1">
      <alignment horizontal="center" vertical="center" wrapText="1"/>
      <protection locked="0"/>
    </xf>
    <xf numFmtId="49" fontId="2" fillId="3" borderId="43" xfId="0" applyNumberFormat="1" applyFont="1" applyFill="1" applyBorder="1" applyAlignment="1" applyProtection="1">
      <alignment horizontal="center" vertical="center" wrapText="1"/>
      <protection locked="0"/>
    </xf>
    <xf numFmtId="0" fontId="0" fillId="2" borderId="28" xfId="0" applyFill="1"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0" fillId="0" borderId="38" xfId="0" applyBorder="1" applyAlignment="1" applyProtection="1">
      <alignment horizontal="center" vertical="center"/>
      <protection locked="0"/>
    </xf>
    <xf numFmtId="0" fontId="0" fillId="0" borderId="25" xfId="0" applyBorder="1" applyAlignment="1" applyProtection="1">
      <alignment horizontal="center" vertical="center"/>
      <protection locked="0"/>
    </xf>
    <xf numFmtId="1" fontId="0" fillId="5" borderId="45" xfId="0" applyNumberFormat="1" applyFill="1"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0" fillId="2" borderId="1" xfId="0" applyFill="1" applyBorder="1" applyAlignment="1" applyProtection="1">
      <alignment horizontal="center" vertical="center"/>
      <protection locked="0"/>
    </xf>
    <xf numFmtId="164" fontId="0" fillId="2" borderId="1" xfId="0" applyNumberFormat="1" applyFill="1" applyBorder="1" applyAlignment="1" applyProtection="1">
      <alignment horizontal="center" vertical="center"/>
      <protection locked="0"/>
    </xf>
    <xf numFmtId="0" fontId="0" fillId="2" borderId="20" xfId="0" applyFill="1"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164" fontId="0" fillId="2" borderId="4" xfId="0" applyNumberFormat="1" applyFill="1" applyBorder="1" applyAlignment="1" applyProtection="1">
      <alignment horizontal="center" vertical="center"/>
      <protection locked="0"/>
    </xf>
    <xf numFmtId="0" fontId="0" fillId="2" borderId="21" xfId="0" applyFill="1" applyBorder="1" applyAlignment="1" applyProtection="1">
      <alignment horizontal="center" vertical="center"/>
      <protection locked="0"/>
    </xf>
    <xf numFmtId="0" fontId="0" fillId="0" borderId="48" xfId="0" applyBorder="1" applyAlignment="1" applyProtection="1">
      <alignment horizontal="center" vertical="center"/>
      <protection locked="0"/>
    </xf>
    <xf numFmtId="0" fontId="0" fillId="0" borderId="49" xfId="0" applyBorder="1" applyAlignment="1" applyProtection="1">
      <alignment horizontal="center" vertical="center"/>
      <protection locked="0"/>
    </xf>
    <xf numFmtId="164" fontId="0" fillId="0" borderId="0" xfId="0" applyNumberFormat="1" applyAlignment="1" applyProtection="1">
      <alignment horizontal="center" vertical="center"/>
      <protection locked="0"/>
    </xf>
    <xf numFmtId="49" fontId="0" fillId="0" borderId="0" xfId="0" applyNumberFormat="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5" borderId="7" xfId="0" applyFill="1" applyBorder="1" applyAlignment="1" applyProtection="1">
      <alignment horizontal="center" vertical="center"/>
      <protection locked="0"/>
    </xf>
    <xf numFmtId="0" fontId="0" fillId="5" borderId="6" xfId="0" applyFill="1" applyBorder="1" applyAlignment="1" applyProtection="1">
      <alignment horizontal="center" vertical="center"/>
      <protection locked="0"/>
    </xf>
    <xf numFmtId="0" fontId="0" fillId="5" borderId="22" xfId="0" applyFill="1" applyBorder="1" applyAlignment="1" applyProtection="1">
      <alignment horizontal="center" vertical="center"/>
      <protection locked="0"/>
    </xf>
    <xf numFmtId="0" fontId="0" fillId="7" borderId="5" xfId="0" applyFill="1" applyBorder="1" applyAlignment="1" applyProtection="1">
      <alignment horizontal="center" vertical="center"/>
      <protection locked="0"/>
    </xf>
    <xf numFmtId="0" fontId="0" fillId="7" borderId="22" xfId="0" applyFill="1" applyBorder="1" applyAlignment="1" applyProtection="1">
      <alignment horizontal="center" vertical="center"/>
      <protection locked="0"/>
    </xf>
    <xf numFmtId="0" fontId="3" fillId="5" borderId="41" xfId="0" applyFont="1" applyFill="1" applyBorder="1" applyAlignment="1" applyProtection="1">
      <alignment horizontal="center" vertical="center"/>
      <protection locked="0"/>
    </xf>
    <xf numFmtId="14" fontId="0" fillId="0" borderId="27" xfId="0" applyNumberForma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7" fillId="0" borderId="0" xfId="0" applyFont="1" applyAlignment="1" applyProtection="1">
      <alignment horizontal="center" vertical="top" wrapText="1"/>
      <protection locked="0"/>
    </xf>
    <xf numFmtId="0" fontId="0" fillId="0" borderId="0" xfId="0" applyAlignment="1" applyProtection="1">
      <alignment horizontal="center" vertical="top"/>
      <protection locked="0"/>
    </xf>
    <xf numFmtId="49" fontId="0" fillId="0" borderId="0" xfId="0" applyNumberFormat="1" applyAlignment="1" applyProtection="1">
      <alignment horizontal="center" vertical="top"/>
      <protection locked="0"/>
    </xf>
    <xf numFmtId="0" fontId="0" fillId="0" borderId="2" xfId="0" applyBorder="1" applyAlignment="1" applyProtection="1">
      <alignment horizontal="center" vertical="top"/>
      <protection locked="0"/>
    </xf>
    <xf numFmtId="0" fontId="3" fillId="0" borderId="0" xfId="0" applyFont="1" applyAlignment="1" applyProtection="1">
      <alignment horizontal="center" vertical="top"/>
      <protection locked="0"/>
    </xf>
    <xf numFmtId="0" fontId="0" fillId="5" borderId="7" xfId="0" applyFill="1" applyBorder="1" applyAlignment="1" applyProtection="1">
      <alignment horizontal="center" vertical="top"/>
      <protection locked="0"/>
    </xf>
    <xf numFmtId="0" fontId="0" fillId="5" borderId="6" xfId="0" applyFill="1" applyBorder="1" applyAlignment="1" applyProtection="1">
      <alignment horizontal="center" vertical="top"/>
      <protection locked="0"/>
    </xf>
    <xf numFmtId="0" fontId="0" fillId="5" borderId="22" xfId="0" applyFill="1" applyBorder="1" applyAlignment="1" applyProtection="1">
      <alignment horizontal="center" vertical="top"/>
      <protection locked="0"/>
    </xf>
    <xf numFmtId="0" fontId="0" fillId="7" borderId="5" xfId="0" applyFill="1" applyBorder="1" applyAlignment="1" applyProtection="1">
      <alignment horizontal="center" vertical="top"/>
      <protection locked="0"/>
    </xf>
    <xf numFmtId="0" fontId="0" fillId="7" borderId="22" xfId="0" applyFill="1" applyBorder="1" applyAlignment="1" applyProtection="1">
      <alignment horizontal="center" vertical="top"/>
      <protection locked="0"/>
    </xf>
    <xf numFmtId="0" fontId="3" fillId="5" borderId="40" xfId="0" applyFont="1" applyFill="1" applyBorder="1" applyAlignment="1" applyProtection="1">
      <alignment horizontal="center" vertical="top"/>
      <protection locked="0"/>
    </xf>
    <xf numFmtId="0" fontId="3" fillId="5" borderId="5" xfId="0" applyFont="1" applyFill="1" applyBorder="1" applyAlignment="1" applyProtection="1">
      <alignment horizontal="center" vertical="top"/>
      <protection locked="0"/>
    </xf>
    <xf numFmtId="0" fontId="3" fillId="5" borderId="41" xfId="0" applyFont="1" applyFill="1" applyBorder="1" applyAlignment="1" applyProtection="1">
      <alignment horizontal="center" vertical="top"/>
      <protection locked="0"/>
    </xf>
    <xf numFmtId="0" fontId="0" fillId="0" borderId="0" xfId="0" applyAlignment="1" applyProtection="1">
      <alignment horizontal="center" vertical="top" textRotation="90"/>
      <protection locked="0"/>
    </xf>
    <xf numFmtId="14" fontId="0" fillId="0" borderId="27" xfId="0" applyNumberFormat="1" applyBorder="1" applyAlignment="1" applyProtection="1">
      <alignment horizontal="center" vertical="top"/>
      <protection locked="0"/>
    </xf>
    <xf numFmtId="0" fontId="14" fillId="0" borderId="1" xfId="0" applyFont="1" applyBorder="1" applyAlignment="1" applyProtection="1">
      <alignment horizontal="center" vertical="top"/>
      <protection locked="0"/>
    </xf>
    <xf numFmtId="165" fontId="14" fillId="0" borderId="1" xfId="0" applyNumberFormat="1" applyFont="1" applyBorder="1" applyAlignment="1" applyProtection="1">
      <alignment horizontal="center" vertical="top"/>
      <protection locked="0"/>
    </xf>
    <xf numFmtId="0" fontId="0" fillId="2" borderId="28" xfId="0" applyFill="1" applyBorder="1" applyAlignment="1" applyProtection="1">
      <alignment horizontal="center" vertical="top"/>
      <protection locked="0"/>
    </xf>
    <xf numFmtId="0" fontId="0" fillId="0" borderId="44" xfId="0" applyBorder="1" applyAlignment="1" applyProtection="1">
      <alignment horizontal="center" vertical="top"/>
      <protection locked="0"/>
    </xf>
    <xf numFmtId="0" fontId="0" fillId="0" borderId="38" xfId="0" applyBorder="1" applyAlignment="1" applyProtection="1">
      <alignment horizontal="center" vertical="top"/>
      <protection locked="0"/>
    </xf>
    <xf numFmtId="0" fontId="0" fillId="0" borderId="25" xfId="0" applyBorder="1" applyAlignment="1" applyProtection="1">
      <alignment horizontal="center" vertical="top"/>
      <protection locked="0"/>
    </xf>
    <xf numFmtId="1" fontId="0" fillId="5" borderId="45" xfId="0" applyNumberFormat="1" applyFill="1" applyBorder="1" applyAlignment="1" applyProtection="1">
      <alignment horizontal="center" vertical="top"/>
      <protection locked="0"/>
    </xf>
    <xf numFmtId="0" fontId="0" fillId="0" borderId="46" xfId="0" applyBorder="1" applyAlignment="1" applyProtection="1">
      <alignment horizontal="center" vertical="top"/>
      <protection locked="0"/>
    </xf>
    <xf numFmtId="0" fontId="0" fillId="0" borderId="23" xfId="0" applyBorder="1" applyAlignment="1" applyProtection="1">
      <alignment horizontal="center" vertical="top"/>
      <protection locked="0"/>
    </xf>
    <xf numFmtId="0" fontId="0" fillId="0" borderId="56" xfId="0" applyBorder="1" applyAlignment="1" applyProtection="1">
      <alignment horizontal="center" vertical="top"/>
      <protection locked="0"/>
    </xf>
    <xf numFmtId="14" fontId="0" fillId="0" borderId="1" xfId="0" applyNumberFormat="1" applyBorder="1" applyAlignment="1" applyProtection="1">
      <alignment horizontal="center" vertical="top"/>
      <protection locked="0"/>
    </xf>
    <xf numFmtId="0" fontId="10" fillId="0" borderId="1" xfId="0" applyFont="1" applyBorder="1" applyAlignment="1" applyProtection="1">
      <alignment horizontal="center" vertical="top"/>
      <protection locked="0"/>
    </xf>
    <xf numFmtId="0" fontId="11" fillId="0" borderId="1" xfId="0" applyFont="1" applyBorder="1" applyAlignment="1" applyProtection="1">
      <alignment horizontal="center" vertical="top"/>
      <protection locked="0"/>
    </xf>
    <xf numFmtId="0" fontId="0" fillId="0" borderId="1" xfId="0" applyBorder="1" applyAlignment="1" applyProtection="1">
      <alignment horizontal="center" vertical="top"/>
      <protection locked="0"/>
    </xf>
    <xf numFmtId="0" fontId="0" fillId="2" borderId="1" xfId="0" applyFill="1" applyBorder="1" applyAlignment="1" applyProtection="1">
      <alignment horizontal="center" vertical="top"/>
      <protection locked="0"/>
    </xf>
    <xf numFmtId="164" fontId="0" fillId="2" borderId="1" xfId="0" applyNumberFormat="1" applyFill="1" applyBorder="1" applyAlignment="1" applyProtection="1">
      <alignment horizontal="center" vertical="top"/>
      <protection locked="0"/>
    </xf>
    <xf numFmtId="0" fontId="0" fillId="2" borderId="20" xfId="0" applyFill="1" applyBorder="1" applyAlignment="1" applyProtection="1">
      <alignment horizontal="center" vertical="top"/>
      <protection locked="0"/>
    </xf>
    <xf numFmtId="0" fontId="0" fillId="0" borderId="3" xfId="0" applyBorder="1" applyAlignment="1" applyProtection="1">
      <alignment horizontal="center" vertical="top"/>
      <protection locked="0"/>
    </xf>
    <xf numFmtId="0" fontId="0" fillId="0" borderId="29" xfId="0" applyBorder="1" applyAlignment="1" applyProtection="1">
      <alignment horizontal="center" vertical="top"/>
      <protection locked="0"/>
    </xf>
    <xf numFmtId="0" fontId="0" fillId="0" borderId="16" xfId="0" applyBorder="1" applyAlignment="1" applyProtection="1">
      <alignment horizontal="center" vertical="top"/>
      <protection locked="0"/>
    </xf>
    <xf numFmtId="0" fontId="0" fillId="0" borderId="30" xfId="0" applyBorder="1" applyAlignment="1" applyProtection="1">
      <alignment horizontal="center" vertical="top"/>
      <protection locked="0"/>
    </xf>
    <xf numFmtId="0" fontId="0" fillId="2" borderId="4" xfId="0" applyFill="1" applyBorder="1" applyAlignment="1" applyProtection="1">
      <alignment horizontal="center" vertical="top"/>
      <protection locked="0"/>
    </xf>
    <xf numFmtId="164" fontId="0" fillId="2" borderId="4" xfId="0" applyNumberFormat="1" applyFill="1" applyBorder="1" applyAlignment="1" applyProtection="1">
      <alignment horizontal="center" vertical="top"/>
      <protection locked="0"/>
    </xf>
    <xf numFmtId="0" fontId="0" fillId="2" borderId="21" xfId="0" applyFill="1" applyBorder="1" applyAlignment="1" applyProtection="1">
      <alignment horizontal="center" vertical="top"/>
      <protection locked="0"/>
    </xf>
    <xf numFmtId="0" fontId="0" fillId="0" borderId="48" xfId="0" applyBorder="1" applyAlignment="1" applyProtection="1">
      <alignment horizontal="center" vertical="top"/>
      <protection locked="0"/>
    </xf>
    <xf numFmtId="0" fontId="0" fillId="0" borderId="49" xfId="0" applyBorder="1" applyAlignment="1" applyProtection="1">
      <alignment horizontal="center" vertical="top"/>
      <protection locked="0"/>
    </xf>
    <xf numFmtId="0" fontId="0" fillId="0" borderId="6" xfId="0" applyBorder="1" applyAlignment="1" applyProtection="1">
      <alignment horizontal="center" vertical="top"/>
      <protection locked="0"/>
    </xf>
    <xf numFmtId="164" fontId="0" fillId="0" borderId="0" xfId="0" applyNumberFormat="1" applyAlignment="1" applyProtection="1">
      <alignment horizontal="center" vertical="top"/>
      <protection locked="0"/>
    </xf>
    <xf numFmtId="0" fontId="2" fillId="5" borderId="52" xfId="0" applyFont="1" applyFill="1" applyBorder="1" applyAlignment="1" applyProtection="1">
      <alignment horizontal="center" vertical="center" wrapText="1"/>
      <protection locked="0"/>
    </xf>
    <xf numFmtId="0" fontId="2" fillId="5" borderId="26" xfId="0" applyFont="1" applyFill="1" applyBorder="1" applyAlignment="1" applyProtection="1">
      <alignment horizontal="center" vertical="center" wrapText="1"/>
      <protection locked="0"/>
    </xf>
    <xf numFmtId="0" fontId="2" fillId="6" borderId="26" xfId="0" applyFont="1" applyFill="1" applyBorder="1" applyAlignment="1" applyProtection="1">
      <alignment horizontal="center" vertical="center" wrapText="1"/>
      <protection locked="0"/>
    </xf>
    <xf numFmtId="0" fontId="0" fillId="2" borderId="27" xfId="0" applyFill="1" applyBorder="1" applyAlignment="1" applyProtection="1">
      <alignment horizontal="center" vertical="center"/>
      <protection locked="0"/>
    </xf>
    <xf numFmtId="164" fontId="0" fillId="2" borderId="27" xfId="0" applyNumberFormat="1" applyFill="1" applyBorder="1" applyAlignment="1" applyProtection="1">
      <alignment horizontal="center" vertical="center"/>
      <protection locked="0"/>
    </xf>
    <xf numFmtId="49" fontId="0" fillId="0" borderId="25" xfId="0" applyNumberFormat="1" applyBorder="1" applyAlignment="1" applyProtection="1">
      <alignment horizontal="center" vertical="center"/>
      <protection locked="0"/>
    </xf>
    <xf numFmtId="9" fontId="0" fillId="5" borderId="25" xfId="1" applyFont="1" applyFill="1" applyBorder="1" applyAlignment="1" applyProtection="1">
      <alignment horizontal="center" vertical="center"/>
      <protection locked="0"/>
    </xf>
    <xf numFmtId="9" fontId="0" fillId="5" borderId="53" xfId="1" applyFont="1" applyFill="1" applyBorder="1" applyAlignment="1" applyProtection="1">
      <alignment horizontal="center" vertical="center"/>
      <protection locked="0"/>
    </xf>
    <xf numFmtId="1" fontId="0" fillId="5" borderId="50" xfId="0" applyNumberFormat="1" applyFill="1" applyBorder="1" applyAlignment="1" applyProtection="1">
      <alignment horizontal="center" vertical="center"/>
      <protection locked="0"/>
    </xf>
    <xf numFmtId="0" fontId="3" fillId="5" borderId="51" xfId="0" applyFont="1" applyFill="1" applyBorder="1" applyAlignment="1" applyProtection="1">
      <alignment horizontal="center" vertical="center"/>
      <protection locked="0"/>
    </xf>
    <xf numFmtId="0" fontId="3" fillId="5" borderId="22" xfId="0" applyFont="1" applyFill="1" applyBorder="1" applyAlignment="1" applyProtection="1">
      <alignment horizontal="center" vertical="center"/>
      <protection locked="0"/>
    </xf>
    <xf numFmtId="0" fontId="3" fillId="5" borderId="11" xfId="0" applyFont="1" applyFill="1" applyBorder="1" applyAlignment="1" applyProtection="1">
      <alignment horizontal="center" vertical="center"/>
      <protection locked="0"/>
    </xf>
    <xf numFmtId="49" fontId="0" fillId="0" borderId="27" xfId="0" applyNumberFormat="1" applyBorder="1" applyAlignment="1" applyProtection="1">
      <alignment horizontal="center" vertical="center"/>
      <protection locked="0"/>
    </xf>
    <xf numFmtId="0" fontId="0" fillId="5" borderId="25" xfId="0" applyFill="1" applyBorder="1" applyAlignment="1" applyProtection="1">
      <alignment horizontal="center" vertical="center"/>
      <protection locked="0"/>
    </xf>
    <xf numFmtId="0" fontId="0" fillId="0" borderId="53" xfId="0" applyBorder="1" applyAlignment="1" applyProtection="1">
      <alignment horizontal="center" vertical="center"/>
      <protection locked="0"/>
    </xf>
    <xf numFmtId="0" fontId="0" fillId="5" borderId="53" xfId="0" applyFill="1" applyBorder="1" applyAlignment="1" applyProtection="1">
      <alignment horizontal="center" vertical="center"/>
      <protection locked="0"/>
    </xf>
    <xf numFmtId="0" fontId="2" fillId="5" borderId="58" xfId="0" applyFont="1" applyFill="1" applyBorder="1" applyAlignment="1" applyProtection="1">
      <alignment horizontal="center" vertical="center" wrapText="1"/>
      <protection locked="0"/>
    </xf>
    <xf numFmtId="0" fontId="2" fillId="6" borderId="34" xfId="0" applyFont="1" applyFill="1" applyBorder="1" applyAlignment="1" applyProtection="1">
      <alignment horizontal="center" vertical="center" wrapText="1"/>
      <protection locked="0"/>
    </xf>
    <xf numFmtId="49" fontId="0" fillId="0" borderId="56" xfId="0" applyNumberFormat="1" applyBorder="1" applyAlignment="1" applyProtection="1">
      <alignment horizontal="center" vertical="center"/>
      <protection locked="0"/>
    </xf>
    <xf numFmtId="1" fontId="0" fillId="5" borderId="47" xfId="0" applyNumberFormat="1" applyFill="1" applyBorder="1" applyAlignment="1" applyProtection="1">
      <alignment horizontal="center" vertical="center"/>
      <protection locked="0"/>
    </xf>
    <xf numFmtId="49" fontId="0" fillId="5" borderId="41" xfId="0" applyNumberFormat="1" applyFill="1" applyBorder="1" applyAlignment="1" applyProtection="1">
      <alignment horizontal="center" vertical="center"/>
      <protection locked="0"/>
    </xf>
    <xf numFmtId="49" fontId="0" fillId="5" borderId="59" xfId="0" applyNumberFormat="1" applyFill="1" applyBorder="1" applyAlignment="1" applyProtection="1">
      <alignment horizontal="center" vertical="center"/>
      <protection locked="0"/>
    </xf>
    <xf numFmtId="49" fontId="0" fillId="0" borderId="65" xfId="0" applyNumberFormat="1" applyBorder="1" applyAlignment="1" applyProtection="1">
      <alignment horizontal="center" vertical="center"/>
      <protection locked="0"/>
    </xf>
    <xf numFmtId="49" fontId="0" fillId="0" borderId="7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72" xfId="0" applyNumberFormat="1" applyBorder="1" applyAlignment="1" applyProtection="1">
      <alignment horizontal="center" vertical="center"/>
      <protection locked="0"/>
    </xf>
    <xf numFmtId="1" fontId="0" fillId="0" borderId="0" xfId="0" applyNumberFormat="1" applyAlignment="1">
      <alignment horizontal="center" vertical="center"/>
    </xf>
    <xf numFmtId="49" fontId="2" fillId="3" borderId="43" xfId="0" applyNumberFormat="1" applyFont="1" applyFill="1" applyBorder="1" applyAlignment="1">
      <alignment horizontal="center" vertical="center" wrapText="1"/>
    </xf>
    <xf numFmtId="49" fontId="0" fillId="0" borderId="0" xfId="0" applyNumberFormat="1" applyAlignment="1">
      <alignment horizontal="center" vertical="center"/>
    </xf>
    <xf numFmtId="49" fontId="0" fillId="5" borderId="41" xfId="0" applyNumberFormat="1" applyFill="1" applyBorder="1" applyAlignment="1">
      <alignment horizontal="center" vertical="center"/>
    </xf>
    <xf numFmtId="2" fontId="0" fillId="0" borderId="27" xfId="0" applyNumberFormat="1" applyBorder="1" applyAlignment="1" applyProtection="1">
      <alignment horizontal="center" vertical="center"/>
      <protection locked="0"/>
    </xf>
    <xf numFmtId="0" fontId="3" fillId="0" borderId="17" xfId="0" applyFont="1" applyBorder="1" applyAlignment="1" applyProtection="1">
      <alignment horizontal="left" vertical="center"/>
      <protection locked="0"/>
    </xf>
    <xf numFmtId="0" fontId="3" fillId="0" borderId="36" xfId="0" applyFont="1" applyBorder="1" applyAlignment="1" applyProtection="1">
      <alignment horizontal="left" vertical="center"/>
      <protection locked="0"/>
    </xf>
    <xf numFmtId="0" fontId="12" fillId="0" borderId="18" xfId="0" applyFont="1" applyBorder="1" applyAlignment="1" applyProtection="1">
      <alignment horizontal="left" vertical="center"/>
      <protection locked="0"/>
    </xf>
    <xf numFmtId="0" fontId="12" fillId="0" borderId="19" xfId="0" applyFont="1" applyBorder="1" applyAlignment="1" applyProtection="1">
      <alignment horizontal="left" vertical="center"/>
      <protection locked="0"/>
    </xf>
    <xf numFmtId="49" fontId="3" fillId="0" borderId="39" xfId="0" applyNumberFormat="1" applyFont="1" applyBorder="1" applyAlignment="1">
      <alignment horizontal="left" vertical="center"/>
    </xf>
    <xf numFmtId="0" fontId="3" fillId="0" borderId="0" xfId="0" applyFont="1" applyAlignment="1" applyProtection="1">
      <alignment horizontal="left" vertical="center"/>
      <protection locked="0"/>
    </xf>
    <xf numFmtId="49" fontId="3" fillId="0" borderId="39" xfId="0" applyNumberFormat="1" applyFont="1" applyBorder="1" applyAlignment="1" applyProtection="1">
      <alignment horizontal="left" vertical="center"/>
      <protection locked="0"/>
    </xf>
    <xf numFmtId="49" fontId="3" fillId="0" borderId="17" xfId="0" applyNumberFormat="1" applyFont="1" applyBorder="1" applyAlignment="1" applyProtection="1">
      <alignment horizontal="left" vertical="center"/>
      <protection locked="0"/>
    </xf>
    <xf numFmtId="49" fontId="3" fillId="0" borderId="18" xfId="0" applyNumberFormat="1" applyFont="1" applyBorder="1" applyAlignment="1" applyProtection="1">
      <alignment horizontal="left" vertical="center"/>
      <protection locked="0"/>
    </xf>
    <xf numFmtId="49" fontId="3" fillId="0" borderId="54" xfId="0" applyNumberFormat="1" applyFont="1" applyBorder="1" applyAlignment="1" applyProtection="1">
      <alignment horizontal="left" vertical="center"/>
      <protection locked="0"/>
    </xf>
    <xf numFmtId="49" fontId="3" fillId="0" borderId="36" xfId="0" applyNumberFormat="1" applyFont="1" applyBorder="1" applyAlignment="1" applyProtection="1">
      <alignment horizontal="left" vertical="center"/>
      <protection locked="0"/>
    </xf>
    <xf numFmtId="0" fontId="3" fillId="0" borderId="17" xfId="0" applyFont="1" applyBorder="1" applyAlignment="1" applyProtection="1">
      <alignment horizontal="left" vertical="top"/>
      <protection locked="0"/>
    </xf>
    <xf numFmtId="0" fontId="3" fillId="0" borderId="36" xfId="0" applyFont="1" applyBorder="1" applyAlignment="1" applyProtection="1">
      <alignment horizontal="left" vertical="top"/>
      <protection locked="0"/>
    </xf>
    <xf numFmtId="0" fontId="12" fillId="0" borderId="18" xfId="0" applyFont="1" applyBorder="1" applyAlignment="1" applyProtection="1">
      <alignment horizontal="left" vertical="top"/>
      <protection locked="0"/>
    </xf>
    <xf numFmtId="0" fontId="12" fillId="0" borderId="19" xfId="0" applyFont="1" applyBorder="1" applyAlignment="1" applyProtection="1">
      <alignment horizontal="left" vertical="top"/>
      <protection locked="0"/>
    </xf>
    <xf numFmtId="49" fontId="3" fillId="0" borderId="35" xfId="0" applyNumberFormat="1" applyFont="1" applyBorder="1" applyAlignment="1" applyProtection="1">
      <alignment horizontal="left" vertical="top"/>
      <protection locked="0"/>
    </xf>
    <xf numFmtId="49" fontId="3" fillId="0" borderId="18" xfId="0" applyNumberFormat="1" applyFont="1" applyBorder="1" applyAlignment="1" applyProtection="1">
      <alignment horizontal="left" vertical="top"/>
      <protection locked="0"/>
    </xf>
    <xf numFmtId="49" fontId="3" fillId="0" borderId="39" xfId="0" applyNumberFormat="1" applyFont="1" applyBorder="1" applyAlignment="1" applyProtection="1">
      <alignment horizontal="left" vertical="top"/>
      <protection locked="0"/>
    </xf>
    <xf numFmtId="0" fontId="3" fillId="0" borderId="0" xfId="0" applyFont="1" applyAlignment="1" applyProtection="1">
      <alignment horizontal="left" vertical="top"/>
      <protection locked="0"/>
    </xf>
    <xf numFmtId="0" fontId="20" fillId="0" borderId="73" xfId="0" applyFont="1" applyBorder="1" applyProtection="1">
      <protection locked="0"/>
    </xf>
    <xf numFmtId="0" fontId="5" fillId="3" borderId="11" xfId="2" applyFont="1" applyFill="1" applyBorder="1" applyAlignment="1">
      <alignment horizontal="center" vertical="center" wrapText="1"/>
    </xf>
    <xf numFmtId="0" fontId="5" fillId="3" borderId="0" xfId="2" applyFont="1" applyFill="1" applyAlignment="1">
      <alignment horizontal="center" vertical="center" wrapText="1"/>
    </xf>
    <xf numFmtId="0" fontId="6" fillId="0" borderId="5" xfId="2" applyFont="1" applyBorder="1" applyAlignment="1">
      <alignment horizontal="center" vertical="top" wrapText="1"/>
    </xf>
    <xf numFmtId="0" fontId="6" fillId="0" borderId="6" xfId="2" applyFont="1" applyBorder="1" applyAlignment="1">
      <alignment horizontal="center" vertical="top" wrapText="1"/>
    </xf>
    <xf numFmtId="0" fontId="6" fillId="0" borderId="7" xfId="2" applyFont="1" applyBorder="1" applyAlignment="1">
      <alignment horizontal="center" vertical="top" wrapText="1"/>
    </xf>
    <xf numFmtId="0" fontId="6" fillId="0" borderId="11" xfId="2" applyFont="1" applyBorder="1" applyAlignment="1">
      <alignment horizontal="center" vertical="top" wrapText="1"/>
    </xf>
    <xf numFmtId="0" fontId="6" fillId="0" borderId="0" xfId="2" applyFont="1" applyAlignment="1">
      <alignment horizontal="center" vertical="top" wrapText="1"/>
    </xf>
    <xf numFmtId="0" fontId="6" fillId="0" borderId="12" xfId="2" applyFont="1" applyBorder="1" applyAlignment="1">
      <alignment horizontal="center" vertical="top" wrapText="1"/>
    </xf>
    <xf numFmtId="0" fontId="6" fillId="0" borderId="8" xfId="2" applyFont="1" applyBorder="1" applyAlignment="1">
      <alignment horizontal="center" vertical="top" wrapText="1"/>
    </xf>
    <xf numFmtId="0" fontId="6" fillId="0" borderId="9" xfId="2" applyFont="1" applyBorder="1" applyAlignment="1">
      <alignment horizontal="center" vertical="top" wrapText="1"/>
    </xf>
    <xf numFmtId="0" fontId="6" fillId="0" borderId="10" xfId="2" applyFont="1" applyBorder="1" applyAlignment="1">
      <alignment horizontal="center" vertical="top" wrapText="1"/>
    </xf>
    <xf numFmtId="0" fontId="18" fillId="0" borderId="70" xfId="2" applyFont="1" applyBorder="1" applyAlignment="1">
      <alignment horizontal="center" vertical="center" wrapText="1"/>
    </xf>
    <xf numFmtId="0" fontId="18" fillId="0" borderId="0" xfId="2" applyFont="1" applyAlignment="1">
      <alignment horizontal="center" vertical="center" wrapText="1"/>
    </xf>
    <xf numFmtId="0" fontId="0" fillId="0" borderId="0" xfId="0" applyAlignment="1" applyProtection="1">
      <alignment horizontal="center" vertical="top"/>
      <protection locked="0"/>
    </xf>
    <xf numFmtId="0" fontId="7" fillId="3" borderId="60" xfId="0" applyFont="1" applyFill="1" applyBorder="1" applyAlignment="1" applyProtection="1">
      <alignment horizontal="center" vertical="top" wrapText="1"/>
      <protection locked="0"/>
    </xf>
    <xf numFmtId="0" fontId="7" fillId="3" borderId="61" xfId="0" applyFont="1" applyFill="1" applyBorder="1" applyAlignment="1" applyProtection="1">
      <alignment horizontal="center" vertical="top" wrapText="1"/>
      <protection locked="0"/>
    </xf>
    <xf numFmtId="0" fontId="7" fillId="3" borderId="62" xfId="0" applyFont="1" applyFill="1" applyBorder="1" applyAlignment="1" applyProtection="1">
      <alignment horizontal="center" vertical="top" wrapText="1"/>
      <protection locked="0"/>
    </xf>
    <xf numFmtId="0" fontId="2" fillId="5" borderId="24" xfId="0" applyFont="1" applyFill="1" applyBorder="1" applyAlignment="1" applyProtection="1">
      <alignment horizontal="center" vertical="top" wrapText="1"/>
      <protection locked="0"/>
    </xf>
    <xf numFmtId="0" fontId="2" fillId="5" borderId="37" xfId="0" applyFont="1" applyFill="1" applyBorder="1" applyAlignment="1" applyProtection="1">
      <alignment horizontal="center" vertical="top"/>
      <protection locked="0"/>
    </xf>
    <xf numFmtId="0" fontId="2" fillId="5" borderId="13" xfId="0" applyFont="1" applyFill="1" applyBorder="1" applyAlignment="1" applyProtection="1">
      <alignment horizontal="center" vertical="center" wrapText="1"/>
      <protection locked="0"/>
    </xf>
    <xf numFmtId="0" fontId="2" fillId="5" borderId="14" xfId="0" applyFont="1" applyFill="1" applyBorder="1" applyAlignment="1" applyProtection="1">
      <alignment horizontal="center" vertical="center" wrapText="1"/>
      <protection locked="0"/>
    </xf>
    <xf numFmtId="0" fontId="2" fillId="5" borderId="1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7" fillId="3" borderId="60" xfId="0" applyFont="1" applyFill="1" applyBorder="1" applyAlignment="1" applyProtection="1">
      <alignment horizontal="center" vertical="center" wrapText="1"/>
      <protection locked="0"/>
    </xf>
    <xf numFmtId="0" fontId="7" fillId="3" borderId="61" xfId="0" applyFont="1" applyFill="1" applyBorder="1" applyAlignment="1" applyProtection="1">
      <alignment horizontal="center" vertical="center" wrapText="1"/>
      <protection locked="0"/>
    </xf>
    <xf numFmtId="0" fontId="7" fillId="3" borderId="62" xfId="0" applyFont="1" applyFill="1" applyBorder="1" applyAlignment="1" applyProtection="1">
      <alignment horizontal="center" vertical="center" wrapText="1"/>
      <protection locked="0"/>
    </xf>
    <xf numFmtId="0" fontId="2" fillId="5" borderId="24" xfId="0" applyFont="1" applyFill="1" applyBorder="1" applyAlignment="1" applyProtection="1">
      <alignment horizontal="center" vertical="center" wrapText="1"/>
      <protection locked="0"/>
    </xf>
    <xf numFmtId="0" fontId="2" fillId="5" borderId="37" xfId="0" applyFont="1" applyFill="1" applyBorder="1" applyAlignment="1" applyProtection="1">
      <alignment horizontal="center" vertical="center"/>
      <protection locked="0"/>
    </xf>
    <xf numFmtId="0" fontId="2" fillId="5" borderId="5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3" xfId="0" applyFont="1" applyFill="1" applyBorder="1" applyAlignment="1" applyProtection="1">
      <alignment horizontal="center" vertical="center"/>
      <protection locked="0"/>
    </xf>
    <xf numFmtId="49" fontId="3" fillId="0" borderId="31" xfId="0" applyNumberFormat="1" applyFont="1" applyBorder="1" applyAlignment="1" applyProtection="1">
      <alignment horizontal="left" vertical="center"/>
      <protection locked="0"/>
    </xf>
    <xf numFmtId="49" fontId="3" fillId="0" borderId="32" xfId="0" applyNumberFormat="1" applyFont="1" applyBorder="1" applyAlignment="1" applyProtection="1">
      <alignment horizontal="left" vertical="center"/>
      <protection locked="0"/>
    </xf>
    <xf numFmtId="49" fontId="3" fillId="0" borderId="33" xfId="0" applyNumberFormat="1" applyFont="1" applyBorder="1" applyAlignment="1" applyProtection="1">
      <alignment horizontal="left" vertical="center"/>
      <protection locked="0"/>
    </xf>
    <xf numFmtId="49" fontId="3" fillId="0" borderId="57" xfId="0" applyNumberFormat="1" applyFont="1" applyBorder="1" applyAlignment="1" applyProtection="1">
      <alignment horizontal="left" vertical="center"/>
      <protection locked="0"/>
    </xf>
    <xf numFmtId="0" fontId="2" fillId="5" borderId="51" xfId="0" applyFont="1" applyFill="1" applyBorder="1" applyAlignment="1" applyProtection="1">
      <alignment horizontal="center" vertical="center" wrapText="1"/>
      <protection locked="0"/>
    </xf>
    <xf numFmtId="0" fontId="2" fillId="5" borderId="6" xfId="0" applyFont="1" applyFill="1" applyBorder="1" applyAlignment="1" applyProtection="1">
      <alignment horizontal="center" vertical="center" wrapText="1"/>
      <protection locked="0"/>
    </xf>
    <xf numFmtId="0" fontId="2" fillId="5" borderId="7" xfId="0"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0" fontId="2" fillId="5" borderId="6" xfId="0" applyFont="1" applyFill="1" applyBorder="1" applyAlignment="1" applyProtection="1">
      <alignment horizontal="center" vertical="center"/>
      <protection locked="0"/>
    </xf>
    <xf numFmtId="0" fontId="7" fillId="3" borderId="13" xfId="0" applyFont="1" applyFill="1" applyBorder="1" applyAlignment="1" applyProtection="1">
      <alignment horizontal="center" vertical="center" wrapText="1"/>
      <protection locked="0"/>
    </xf>
    <xf numFmtId="0" fontId="7" fillId="3" borderId="14" xfId="0" applyFont="1" applyFill="1" applyBorder="1" applyAlignment="1" applyProtection="1">
      <alignment horizontal="center" vertical="center" wrapText="1"/>
      <protection locked="0"/>
    </xf>
    <xf numFmtId="0" fontId="7" fillId="3" borderId="15" xfId="0" applyFont="1" applyFill="1" applyBorder="1" applyAlignment="1" applyProtection="1">
      <alignment horizontal="center" vertical="center" wrapText="1"/>
      <protection locked="0"/>
    </xf>
  </cellXfs>
  <cellStyles count="3">
    <cellStyle name="Normal" xfId="0" builtinId="0"/>
    <cellStyle name="Normal 2" xfId="2" xr:uid="{D0080139-AD04-A14C-84F9-F26CB785737F}"/>
    <cellStyle name="Percent" xfId="1" builtinId="5"/>
  </cellStyles>
  <dxfs count="0"/>
  <tableStyles count="0" defaultTableStyle="TableStyleMedium2" defaultPivotStyle="PivotStyleLight16"/>
  <colors>
    <mruColors>
      <color rgb="FF21B0F0"/>
      <color rgb="FF05B0F0"/>
      <color rgb="FFC6E0B4"/>
      <color rgb="FFFF717E"/>
      <color rgb="FF0084F2"/>
      <color rgb="FF1852FF"/>
      <color rgb="FFDEEBF8"/>
      <color rgb="FFBDD7EF"/>
      <color rgb="FFA14C9B"/>
      <color rgb="FF7C9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spaplatform.com.au/"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Main Menu'!A1"/></Relationships>
</file>

<file path=xl/drawings/_rels/drawing3.xml.rels><?xml version="1.0" encoding="UTF-8" standalone="yes"?>
<Relationships xmlns="http://schemas.openxmlformats.org/package/2006/relationships"><Relationship Id="rId1" Type="http://schemas.openxmlformats.org/officeDocument/2006/relationships/hyperlink" Target="#'Main Menu'!A1"/></Relationships>
</file>

<file path=xl/drawings/_rels/drawing4.xml.rels><?xml version="1.0" encoding="UTF-8" standalone="yes"?>
<Relationships xmlns="http://schemas.openxmlformats.org/package/2006/relationships"><Relationship Id="rId1" Type="http://schemas.openxmlformats.org/officeDocument/2006/relationships/hyperlink" Target="#'Main Menu'!A1"/></Relationships>
</file>

<file path=xl/drawings/_rels/drawing5.xml.rels><?xml version="1.0" encoding="UTF-8" standalone="yes"?>
<Relationships xmlns="http://schemas.openxmlformats.org/package/2006/relationships"><Relationship Id="rId1" Type="http://schemas.openxmlformats.org/officeDocument/2006/relationships/hyperlink" Target="#'Main Menu'!A1"/></Relationships>
</file>

<file path=xl/drawings/_rels/drawing6.xml.rels><?xml version="1.0" encoding="UTF-8" standalone="yes"?>
<Relationships xmlns="http://schemas.openxmlformats.org/package/2006/relationships"><Relationship Id="rId1" Type="http://schemas.openxmlformats.org/officeDocument/2006/relationships/hyperlink" Target="#'Main Menu'!A1"/></Relationships>
</file>

<file path=xl/drawings/_rels/drawing7.xml.rels><?xml version="1.0" encoding="UTF-8" standalone="yes"?>
<Relationships xmlns="http://schemas.openxmlformats.org/package/2006/relationships"><Relationship Id="rId1" Type="http://schemas.openxmlformats.org/officeDocument/2006/relationships/hyperlink" Target="#'Main Menu'!A1"/></Relationships>
</file>

<file path=xl/drawings/_rels/drawing8.xml.rels><?xml version="1.0" encoding="UTF-8" standalone="yes"?>
<Relationships xmlns="http://schemas.openxmlformats.org/package/2006/relationships"><Relationship Id="rId1" Type="http://schemas.openxmlformats.org/officeDocument/2006/relationships/hyperlink" Target="#'Main Menu'!A1"/></Relationships>
</file>

<file path=xl/drawings/_rels/drawing9.xml.rels><?xml version="1.0" encoding="UTF-8" standalone="yes"?>
<Relationships xmlns="http://schemas.openxmlformats.org/package/2006/relationships"><Relationship Id="rId1" Type="http://schemas.openxmlformats.org/officeDocument/2006/relationships/hyperlink" Target="#'Main Menu'!A1"/></Relationships>
</file>

<file path=xl/drawings/_rels/drawing10.xml.rels><?xml version="1.0" encoding="UTF-8" standalone="yes"?>
<Relationships xmlns="http://schemas.openxmlformats.org/package/2006/relationships"><Relationship Id="rId1" Type="http://schemas.openxmlformats.org/officeDocument/2006/relationships/hyperlink" Target="#'Main Menu'!A1"/></Relationships>
</file>

<file path=xl/drawings/drawing1.xml><?xml version="1.0" encoding="utf-8"?>
<xdr:wsDr xmlns:xdr="http://schemas.openxmlformats.org/drawingml/2006/spreadsheetDrawing" xmlns:a="http://schemas.openxmlformats.org/drawingml/2006/main">
  <xdr:oneCellAnchor>
    <xdr:from>
      <xdr:col>1</xdr:col>
      <xdr:colOff>144726</xdr:colOff>
      <xdr:row>4</xdr:row>
      <xdr:rowOff>88900</xdr:rowOff>
    </xdr:from>
    <xdr:ext cx="1564611" cy="1282700"/>
    <xdr:pic>
      <xdr:nvPicPr>
        <xdr:cNvPr id="4" name="Picture 25">
          <a:hlinkClick xmlns:r="http://schemas.openxmlformats.org/officeDocument/2006/relationships" r:id="rId1"/>
          <a:extLst>
            <a:ext uri="{FF2B5EF4-FFF2-40B4-BE49-F238E27FC236}">
              <a16:creationId xmlns:a16="http://schemas.microsoft.com/office/drawing/2014/main" id="{147CBC0F-A02A-8746-A81C-EF472E6C22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60626" y="1993900"/>
          <a:ext cx="1564611" cy="128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oneCellAnchor>
  <xdr:oneCellAnchor>
    <xdr:from>
      <xdr:col>1</xdr:col>
      <xdr:colOff>144726</xdr:colOff>
      <xdr:row>4</xdr:row>
      <xdr:rowOff>88900</xdr:rowOff>
    </xdr:from>
    <xdr:ext cx="1564611" cy="1282700"/>
    <xdr:pic>
      <xdr:nvPicPr>
        <xdr:cNvPr id="3" name="Picture 25">
          <a:hlinkClick xmlns:r="http://schemas.openxmlformats.org/officeDocument/2006/relationships" r:id="rId1"/>
          <a:extLst>
            <a:ext uri="{FF2B5EF4-FFF2-40B4-BE49-F238E27FC236}">
              <a16:creationId xmlns:a16="http://schemas.microsoft.com/office/drawing/2014/main" id="{972AE27D-D41C-44E9-A87E-04E6800192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35226" y="5556250"/>
          <a:ext cx="1564611" cy="128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0</xdr:row>
      <xdr:rowOff>355600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49C2543-8D73-7E40-94E2-B2D5068E942F}"/>
            </a:ext>
          </a:extLst>
        </xdr:cNvPr>
        <xdr:cNvSpPr/>
      </xdr:nvSpPr>
      <xdr:spPr>
        <a:xfrm>
          <a:off x="8001000" y="76200"/>
          <a:ext cx="3009900" cy="2794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76200</xdr:rowOff>
    </xdr:from>
    <xdr:to>
      <xdr:col>10</xdr:col>
      <xdr:colOff>990600</xdr:colOff>
      <xdr:row>0</xdr:row>
      <xdr:rowOff>355600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9D548E9-B79B-4748-A0EE-D848ED0AA4F2}"/>
            </a:ext>
          </a:extLst>
        </xdr:cNvPr>
        <xdr:cNvSpPr/>
      </xdr:nvSpPr>
      <xdr:spPr>
        <a:xfrm>
          <a:off x="8001000" y="76200"/>
          <a:ext cx="2997200" cy="2794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76200</xdr:rowOff>
    </xdr:from>
    <xdr:to>
      <xdr:col>10</xdr:col>
      <xdr:colOff>990600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D47922F-90CD-2B44-85B8-32D812D38867}"/>
            </a:ext>
          </a:extLst>
        </xdr:cNvPr>
        <xdr:cNvSpPr/>
      </xdr:nvSpPr>
      <xdr:spPr>
        <a:xfrm>
          <a:off x="8001000" y="76200"/>
          <a:ext cx="2997200" cy="3048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76200</xdr:rowOff>
    </xdr:from>
    <xdr:to>
      <xdr:col>10</xdr:col>
      <xdr:colOff>990600</xdr:colOff>
      <xdr:row>0</xdr:row>
      <xdr:rowOff>355600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0D1E704-D1C7-7A4D-B792-6B4B192E4506}"/>
            </a:ext>
          </a:extLst>
        </xdr:cNvPr>
        <xdr:cNvSpPr/>
      </xdr:nvSpPr>
      <xdr:spPr>
        <a:xfrm>
          <a:off x="8001000" y="76200"/>
          <a:ext cx="2997200" cy="2794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C7917F2-A288-5346-B3C7-EBE5360EFF82}"/>
            </a:ext>
          </a:extLst>
        </xdr:cNvPr>
        <xdr:cNvSpPr/>
      </xdr:nvSpPr>
      <xdr:spPr>
        <a:xfrm>
          <a:off x="8001000" y="76200"/>
          <a:ext cx="60198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49A6FC-8361-B149-9F1A-B6B246BF8794}"/>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6DD7AD3-50A4-D747-A3BE-486F6E2C93B0}"/>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8B63B64-4D92-E445-A114-1829B50534E3}"/>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E608C36-0F97-7848-AFA0-AECBD89FA9A9}"/>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8A3DF-46E8-5342-9D0C-32321BD676E2}">
  <dimension ref="B2:S23"/>
  <sheetViews>
    <sheetView showGridLines="0" zoomScale="70" zoomScaleNormal="70" workbookViewId="0"/>
  </sheetViews>
  <sheetFormatPr defaultColWidth="18" defaultRowHeight="15"/>
  <cols>
    <col min="1" max="1" width="2.85546875" style="1" customWidth="1"/>
    <col min="2" max="2" width="30" style="1" customWidth="1"/>
    <col min="3" max="9" width="14" style="1" customWidth="1"/>
    <col min="10" max="10" width="4" style="1" customWidth="1"/>
    <col min="11" max="11" width="26.140625" style="1" customWidth="1"/>
    <col min="12" max="18" width="14" style="1" customWidth="1"/>
    <col min="19" max="16384" width="18" style="1"/>
  </cols>
  <sheetData>
    <row r="2" spans="2:19" ht="102.95" customHeight="1">
      <c r="B2" s="190" t="s">
        <v>18</v>
      </c>
      <c r="C2" s="191"/>
      <c r="D2" s="191"/>
      <c r="E2" s="191"/>
      <c r="F2" s="191"/>
      <c r="G2" s="191"/>
      <c r="H2" s="191"/>
      <c r="I2" s="191"/>
      <c r="J2" s="191"/>
      <c r="K2" s="191"/>
      <c r="L2" s="191"/>
      <c r="M2" s="191"/>
      <c r="N2" s="191"/>
      <c r="O2" s="191"/>
      <c r="P2" s="191"/>
      <c r="Q2" s="191"/>
      <c r="R2" s="191"/>
      <c r="S2" s="191"/>
    </row>
    <row r="3" spans="2:19" ht="15.75" thickBot="1"/>
    <row r="4" spans="2:19" ht="297" customHeight="1">
      <c r="B4" s="192" t="s">
        <v>51</v>
      </c>
      <c r="C4" s="193"/>
      <c r="D4" s="193"/>
      <c r="E4" s="193"/>
      <c r="F4" s="193"/>
      <c r="G4" s="193"/>
      <c r="H4" s="193"/>
      <c r="I4" s="193"/>
      <c r="J4" s="193"/>
      <c r="K4" s="193"/>
      <c r="L4" s="193"/>
      <c r="M4" s="193"/>
      <c r="N4" s="193"/>
      <c r="O4" s="193"/>
      <c r="P4" s="193"/>
      <c r="Q4" s="193"/>
      <c r="R4" s="193"/>
      <c r="S4" s="194"/>
    </row>
    <row r="5" spans="2:19" ht="15" customHeight="1">
      <c r="B5" s="195"/>
      <c r="C5" s="196"/>
      <c r="D5" s="196"/>
      <c r="E5" s="196"/>
      <c r="F5" s="196"/>
      <c r="G5" s="196"/>
      <c r="H5" s="196"/>
      <c r="I5" s="196"/>
      <c r="J5" s="196"/>
      <c r="K5" s="196"/>
      <c r="L5" s="196"/>
      <c r="M5" s="196"/>
      <c r="N5" s="196"/>
      <c r="O5" s="196"/>
      <c r="P5" s="196"/>
      <c r="Q5" s="196"/>
      <c r="R5" s="196"/>
      <c r="S5" s="197"/>
    </row>
    <row r="6" spans="2:19" ht="15" customHeight="1">
      <c r="B6" s="195"/>
      <c r="C6" s="196"/>
      <c r="D6" s="196"/>
      <c r="E6" s="196"/>
      <c r="F6" s="196"/>
      <c r="G6" s="196"/>
      <c r="H6" s="196"/>
      <c r="I6" s="196"/>
      <c r="J6" s="196"/>
      <c r="K6" s="196"/>
      <c r="L6" s="196"/>
      <c r="M6" s="196"/>
      <c r="N6" s="196"/>
      <c r="O6" s="196"/>
      <c r="P6" s="196"/>
      <c r="Q6" s="196"/>
      <c r="R6" s="196"/>
      <c r="S6" s="197"/>
    </row>
    <row r="7" spans="2:19" ht="15" customHeight="1">
      <c r="B7" s="195"/>
      <c r="C7" s="196"/>
      <c r="D7" s="196"/>
      <c r="E7" s="196"/>
      <c r="F7" s="196"/>
      <c r="G7" s="196"/>
      <c r="H7" s="196"/>
      <c r="I7" s="196"/>
      <c r="J7" s="196"/>
      <c r="K7" s="196"/>
      <c r="L7" s="196"/>
      <c r="M7" s="196"/>
      <c r="N7" s="196"/>
      <c r="O7" s="196"/>
      <c r="P7" s="196"/>
      <c r="Q7" s="196"/>
      <c r="R7" s="196"/>
      <c r="S7" s="197"/>
    </row>
    <row r="8" spans="2:19" ht="15" customHeight="1">
      <c r="B8" s="195"/>
      <c r="C8" s="196"/>
      <c r="D8" s="196"/>
      <c r="E8" s="196"/>
      <c r="F8" s="196"/>
      <c r="G8" s="196"/>
      <c r="H8" s="196"/>
      <c r="I8" s="196"/>
      <c r="J8" s="196"/>
      <c r="K8" s="196"/>
      <c r="L8" s="196"/>
      <c r="M8" s="196"/>
      <c r="N8" s="196"/>
      <c r="O8" s="196"/>
      <c r="P8" s="196"/>
      <c r="Q8" s="196"/>
      <c r="R8" s="196"/>
      <c r="S8" s="197"/>
    </row>
    <row r="9" spans="2:19" ht="15" customHeight="1">
      <c r="B9" s="195"/>
      <c r="C9" s="196"/>
      <c r="D9" s="196"/>
      <c r="E9" s="196"/>
      <c r="F9" s="196"/>
      <c r="G9" s="196"/>
      <c r="H9" s="196"/>
      <c r="I9" s="196"/>
      <c r="J9" s="196"/>
      <c r="K9" s="196"/>
      <c r="L9" s="196"/>
      <c r="M9" s="196"/>
      <c r="N9" s="196"/>
      <c r="O9" s="196"/>
      <c r="P9" s="196"/>
      <c r="Q9" s="196"/>
      <c r="R9" s="196"/>
      <c r="S9" s="197"/>
    </row>
    <row r="10" spans="2:19" ht="15" customHeight="1">
      <c r="B10" s="195"/>
      <c r="C10" s="196"/>
      <c r="D10" s="196"/>
      <c r="E10" s="196"/>
      <c r="F10" s="196"/>
      <c r="G10" s="196"/>
      <c r="H10" s="196"/>
      <c r="I10" s="196"/>
      <c r="J10" s="196"/>
      <c r="K10" s="196"/>
      <c r="L10" s="196"/>
      <c r="M10" s="196"/>
      <c r="N10" s="196"/>
      <c r="O10" s="196"/>
      <c r="P10" s="196"/>
      <c r="Q10" s="196"/>
      <c r="R10" s="196"/>
      <c r="S10" s="197"/>
    </row>
    <row r="11" spans="2:19" ht="15.75" customHeight="1" thickBot="1">
      <c r="B11" s="198"/>
      <c r="C11" s="199"/>
      <c r="D11" s="199"/>
      <c r="E11" s="199"/>
      <c r="F11" s="199"/>
      <c r="G11" s="199"/>
      <c r="H11" s="199"/>
      <c r="I11" s="199"/>
      <c r="J11" s="199"/>
      <c r="K11" s="199"/>
      <c r="L11" s="199"/>
      <c r="M11" s="199"/>
      <c r="N11" s="199"/>
      <c r="O11" s="199"/>
      <c r="P11" s="199"/>
      <c r="Q11" s="199"/>
      <c r="R11" s="199"/>
      <c r="S11" s="200"/>
    </row>
    <row r="12" spans="2:19" ht="18.75">
      <c r="B12" s="2"/>
      <c r="C12" s="2"/>
      <c r="D12" s="2"/>
      <c r="E12" s="2"/>
      <c r="F12" s="2"/>
      <c r="G12" s="2"/>
      <c r="H12" s="2"/>
      <c r="I12" s="2"/>
      <c r="J12" s="2"/>
      <c r="K12" s="2"/>
      <c r="L12" s="2"/>
      <c r="M12" s="2"/>
      <c r="N12" s="2"/>
      <c r="O12" s="2"/>
      <c r="P12" s="2"/>
      <c r="Q12" s="2"/>
      <c r="R12" s="2"/>
      <c r="S12" s="2"/>
    </row>
    <row r="13" spans="2:19" s="46" customFormat="1" ht="21" customHeight="1">
      <c r="C13" s="201" t="s">
        <v>50</v>
      </c>
      <c r="D13" s="201"/>
      <c r="E13" s="201"/>
      <c r="F13" s="201"/>
      <c r="G13" s="201"/>
      <c r="H13" s="201"/>
      <c r="I13" s="201"/>
      <c r="J13" s="47"/>
      <c r="L13" s="202" t="s">
        <v>48</v>
      </c>
      <c r="M13" s="202"/>
      <c r="N13" s="202"/>
      <c r="O13" s="202"/>
      <c r="P13" s="202"/>
      <c r="Q13" s="202"/>
      <c r="R13" s="202"/>
    </row>
    <row r="14" spans="2:19" s="19" customFormat="1" ht="21" customHeight="1" thickBot="1">
      <c r="C14" s="21" t="s">
        <v>34</v>
      </c>
      <c r="D14" s="21" t="s">
        <v>35</v>
      </c>
      <c r="E14" s="21" t="s">
        <v>31</v>
      </c>
      <c r="F14" s="21" t="s">
        <v>30</v>
      </c>
      <c r="G14" s="22" t="s">
        <v>29</v>
      </c>
      <c r="H14" s="21" t="s">
        <v>26</v>
      </c>
      <c r="I14" s="21" t="s">
        <v>27</v>
      </c>
      <c r="J14" s="20"/>
      <c r="L14" s="21" t="s">
        <v>34</v>
      </c>
      <c r="M14" s="21" t="s">
        <v>35</v>
      </c>
      <c r="N14" s="21" t="s">
        <v>31</v>
      </c>
      <c r="O14" s="21" t="s">
        <v>30</v>
      </c>
      <c r="P14" s="22" t="s">
        <v>29</v>
      </c>
      <c r="Q14" s="21" t="s">
        <v>26</v>
      </c>
      <c r="R14" s="21" t="s">
        <v>27</v>
      </c>
    </row>
    <row r="15" spans="2:19" s="19" customFormat="1" ht="21" customHeight="1">
      <c r="B15" s="23" t="s">
        <v>45</v>
      </c>
      <c r="C15" s="24" t="s">
        <v>49</v>
      </c>
      <c r="D15" s="25" t="s">
        <v>49</v>
      </c>
      <c r="E15" s="25">
        <v>0</v>
      </c>
      <c r="F15" s="25">
        <v>0</v>
      </c>
      <c r="G15" s="26">
        <v>0</v>
      </c>
      <c r="H15" s="25" t="s">
        <v>49</v>
      </c>
      <c r="I15" s="27" t="s">
        <v>49</v>
      </c>
      <c r="J15" s="20"/>
      <c r="K15" s="23" t="s">
        <v>37</v>
      </c>
      <c r="L15" s="24">
        <v>66</v>
      </c>
      <c r="M15" s="25">
        <v>56</v>
      </c>
      <c r="N15" s="25" t="s">
        <v>49</v>
      </c>
      <c r="O15" s="25" t="s">
        <v>49</v>
      </c>
      <c r="P15" s="26" t="s">
        <v>49</v>
      </c>
      <c r="Q15" s="25" t="s">
        <v>49</v>
      </c>
      <c r="R15" s="27" t="s">
        <v>49</v>
      </c>
    </row>
    <row r="16" spans="2:19" s="19" customFormat="1" ht="21" customHeight="1" thickBot="1">
      <c r="B16" s="23" t="s">
        <v>46</v>
      </c>
      <c r="C16" s="28" t="s">
        <v>49</v>
      </c>
      <c r="D16" s="29" t="s">
        <v>49</v>
      </c>
      <c r="E16" s="29" t="s">
        <v>49</v>
      </c>
      <c r="F16" s="29" t="s">
        <v>49</v>
      </c>
      <c r="G16" s="30">
        <v>0</v>
      </c>
      <c r="H16" s="29" t="s">
        <v>49</v>
      </c>
      <c r="I16" s="31" t="s">
        <v>49</v>
      </c>
      <c r="J16" s="20"/>
      <c r="K16" s="23" t="s">
        <v>38</v>
      </c>
      <c r="L16" s="28">
        <v>68</v>
      </c>
      <c r="M16" s="29">
        <v>60</v>
      </c>
      <c r="N16" s="29" t="s">
        <v>49</v>
      </c>
      <c r="O16" s="29" t="s">
        <v>49</v>
      </c>
      <c r="P16" s="30" t="s">
        <v>49</v>
      </c>
      <c r="Q16" s="29" t="s">
        <v>49</v>
      </c>
      <c r="R16" s="31" t="s">
        <v>49</v>
      </c>
    </row>
    <row r="17" spans="2:18" s="19" customFormat="1" ht="21" customHeight="1">
      <c r="B17" s="32" t="s">
        <v>47</v>
      </c>
      <c r="C17" s="24" t="s">
        <v>49</v>
      </c>
      <c r="D17" s="25" t="s">
        <v>49</v>
      </c>
      <c r="E17" s="25" t="s">
        <v>49</v>
      </c>
      <c r="F17" s="25" t="s">
        <v>49</v>
      </c>
      <c r="G17" s="26" t="s">
        <v>49</v>
      </c>
      <c r="H17" s="25">
        <v>0</v>
      </c>
      <c r="I17" s="27">
        <v>0</v>
      </c>
      <c r="J17" s="20"/>
      <c r="K17" s="32" t="s">
        <v>39</v>
      </c>
      <c r="L17" s="24" t="s">
        <v>49</v>
      </c>
      <c r="M17" s="25" t="s">
        <v>49</v>
      </c>
      <c r="N17" s="25">
        <v>85</v>
      </c>
      <c r="O17" s="25">
        <v>24</v>
      </c>
      <c r="P17" s="26">
        <v>49</v>
      </c>
      <c r="Q17" s="25" t="s">
        <v>49</v>
      </c>
      <c r="R17" s="27" t="s">
        <v>49</v>
      </c>
    </row>
    <row r="18" spans="2:18" s="19" customFormat="1" ht="21" customHeight="1">
      <c r="J18" s="33"/>
      <c r="K18" s="32" t="s">
        <v>41</v>
      </c>
      <c r="L18" s="34" t="s">
        <v>49</v>
      </c>
      <c r="M18" s="35" t="s">
        <v>49</v>
      </c>
      <c r="N18" s="36">
        <v>102</v>
      </c>
      <c r="O18" s="36">
        <v>35</v>
      </c>
      <c r="P18" s="37">
        <v>62</v>
      </c>
      <c r="Q18" s="35" t="s">
        <v>49</v>
      </c>
      <c r="R18" s="38" t="s">
        <v>49</v>
      </c>
    </row>
    <row r="19" spans="2:18" s="19" customFormat="1" ht="21" customHeight="1" thickBot="1">
      <c r="K19" s="32" t="s">
        <v>43</v>
      </c>
      <c r="L19" s="39" t="s">
        <v>49</v>
      </c>
      <c r="M19" s="30" t="s">
        <v>49</v>
      </c>
      <c r="N19" s="30">
        <v>116</v>
      </c>
      <c r="O19" s="30">
        <v>38</v>
      </c>
      <c r="P19" s="30">
        <v>69</v>
      </c>
      <c r="Q19" s="30" t="s">
        <v>49</v>
      </c>
      <c r="R19" s="40" t="s">
        <v>49</v>
      </c>
    </row>
    <row r="20" spans="2:18" s="19" customFormat="1" ht="21" customHeight="1">
      <c r="K20" s="41" t="s">
        <v>42</v>
      </c>
      <c r="L20" s="42" t="s">
        <v>49</v>
      </c>
      <c r="M20" s="26" t="s">
        <v>49</v>
      </c>
      <c r="N20" s="26">
        <v>120</v>
      </c>
      <c r="O20" s="26">
        <v>33</v>
      </c>
      <c r="P20" s="26">
        <v>59</v>
      </c>
      <c r="Q20" s="26" t="s">
        <v>49</v>
      </c>
      <c r="R20" s="43" t="s">
        <v>49</v>
      </c>
    </row>
    <row r="21" spans="2:18" s="19" customFormat="1" ht="21" customHeight="1">
      <c r="K21" s="41" t="s">
        <v>40</v>
      </c>
      <c r="L21" s="44" t="s">
        <v>49</v>
      </c>
      <c r="M21" s="37" t="s">
        <v>49</v>
      </c>
      <c r="N21" s="37">
        <v>137</v>
      </c>
      <c r="O21" s="37">
        <v>45</v>
      </c>
      <c r="P21" s="37">
        <v>64</v>
      </c>
      <c r="Q21" s="37" t="s">
        <v>49</v>
      </c>
      <c r="R21" s="45" t="s">
        <v>49</v>
      </c>
    </row>
    <row r="22" spans="2:18" s="19" customFormat="1" ht="21" customHeight="1" thickBot="1">
      <c r="K22" s="41" t="s">
        <v>44</v>
      </c>
      <c r="L22" s="39" t="s">
        <v>49</v>
      </c>
      <c r="M22" s="30" t="s">
        <v>49</v>
      </c>
      <c r="N22" s="30">
        <v>140</v>
      </c>
      <c r="O22" s="30">
        <v>44</v>
      </c>
      <c r="P22" s="30">
        <v>69</v>
      </c>
      <c r="Q22" s="30" t="s">
        <v>49</v>
      </c>
      <c r="R22" s="40" t="s">
        <v>49</v>
      </c>
    </row>
    <row r="23" spans="2:18" s="19" customFormat="1" ht="21" customHeight="1"/>
  </sheetData>
  <sheetProtection selectLockedCells="1" selectUnlockedCells="1"/>
  <mergeCells count="4">
    <mergeCell ref="B2:S2"/>
    <mergeCell ref="B4:S11"/>
    <mergeCell ref="C13:I13"/>
    <mergeCell ref="L13:R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A03B-BC90-EC49-8F43-661F85AAA592}">
  <dimension ref="A1:S439"/>
  <sheetViews>
    <sheetView topLeftCell="A3" zoomScaleNormal="100" workbookViewId="0">
      <selection activeCell="A6" sqref="A6:H16"/>
    </sheetView>
  </sheetViews>
  <sheetFormatPr defaultColWidth="10" defaultRowHeight="15"/>
  <cols>
    <col min="1" max="1" width="13.28515625" style="97" bestFit="1" customWidth="1"/>
    <col min="2" max="2" width="13.28515625" style="97" customWidth="1"/>
    <col min="3" max="3" width="11.140625" style="97" customWidth="1"/>
    <col min="4" max="5" width="12.42578125" style="97" customWidth="1"/>
    <col min="6" max="6" width="8.85546875" style="97" customWidth="1"/>
    <col min="7" max="7" width="12.7109375" style="97" bestFit="1" customWidth="1"/>
    <col min="8" max="8" width="8.42578125" style="97" customWidth="1"/>
    <col min="9" max="13" width="13.140625" style="97" customWidth="1"/>
    <col min="14" max="14" width="12.42578125" style="98" customWidth="1"/>
    <col min="15" max="19" width="3.42578125" style="97" hidden="1" customWidth="1"/>
    <col min="20" max="16384" width="10" style="97"/>
  </cols>
  <sheetData>
    <row r="1" spans="1:19" ht="30" customHeight="1" thickBot="1">
      <c r="A1" s="204" t="s">
        <v>17</v>
      </c>
      <c r="B1" s="205"/>
      <c r="C1" s="205"/>
      <c r="D1" s="205"/>
      <c r="E1" s="205"/>
      <c r="F1" s="205"/>
      <c r="G1" s="205"/>
      <c r="H1" s="206"/>
      <c r="I1" s="96"/>
      <c r="J1" s="96"/>
      <c r="K1" s="96"/>
    </row>
    <row r="2" spans="1:19" ht="15" customHeight="1" thickBot="1">
      <c r="D2" s="99"/>
    </row>
    <row r="3" spans="1:19" s="188" customFormat="1" ht="15.75" thickBot="1">
      <c r="A3" s="181" t="s">
        <v>5</v>
      </c>
      <c r="B3" s="182" t="s">
        <v>5</v>
      </c>
      <c r="C3" s="182" t="s">
        <v>5</v>
      </c>
      <c r="D3" s="182" t="s">
        <v>5</v>
      </c>
      <c r="E3" s="182" t="s">
        <v>5</v>
      </c>
      <c r="F3" s="183" t="s">
        <v>4</v>
      </c>
      <c r="G3" s="183" t="s">
        <v>4</v>
      </c>
      <c r="H3" s="184" t="s">
        <v>4</v>
      </c>
      <c r="I3" s="185" t="s">
        <v>5</v>
      </c>
      <c r="J3" s="186" t="s">
        <v>5</v>
      </c>
      <c r="K3" s="186" t="s">
        <v>5</v>
      </c>
      <c r="L3" s="186" t="s">
        <v>5</v>
      </c>
      <c r="M3" s="186" t="s">
        <v>5</v>
      </c>
      <c r="N3" s="187" t="s">
        <v>5</v>
      </c>
    </row>
    <row r="4" spans="1:19" s="100" customFormat="1" ht="33" customHeight="1" thickBot="1">
      <c r="A4" s="101"/>
      <c r="B4" s="102"/>
      <c r="C4" s="103"/>
      <c r="D4" s="102"/>
      <c r="E4" s="103"/>
      <c r="F4" s="104"/>
      <c r="G4" s="105"/>
      <c r="H4" s="104"/>
      <c r="I4" s="106"/>
      <c r="J4" s="107"/>
      <c r="K4" s="207" t="s">
        <v>13</v>
      </c>
      <c r="L4" s="208"/>
      <c r="M4" s="107"/>
      <c r="N4" s="108"/>
      <c r="O4" s="203" t="s">
        <v>28</v>
      </c>
      <c r="P4" s="203"/>
      <c r="Q4" s="203"/>
      <c r="R4" s="203"/>
      <c r="S4" s="203"/>
    </row>
    <row r="5" spans="1:19" ht="60.75" thickBot="1">
      <c r="A5" s="7" t="s">
        <v>7</v>
      </c>
      <c r="B5" s="7" t="s">
        <v>19</v>
      </c>
      <c r="C5" s="8" t="s">
        <v>0</v>
      </c>
      <c r="D5" s="9" t="s">
        <v>6</v>
      </c>
      <c r="E5" s="10" t="s">
        <v>1</v>
      </c>
      <c r="F5" s="11" t="s">
        <v>2</v>
      </c>
      <c r="G5" s="12" t="s">
        <v>8</v>
      </c>
      <c r="H5" s="13" t="s">
        <v>3</v>
      </c>
      <c r="I5" s="14" t="s">
        <v>20</v>
      </c>
      <c r="J5" s="15" t="s">
        <v>10</v>
      </c>
      <c r="K5" s="16" t="s">
        <v>12</v>
      </c>
      <c r="L5" s="17" t="s">
        <v>14</v>
      </c>
      <c r="M5" s="17" t="s">
        <v>15</v>
      </c>
      <c r="N5" s="3" t="s">
        <v>11</v>
      </c>
      <c r="O5" s="109" t="s">
        <v>34</v>
      </c>
      <c r="P5" s="109" t="s">
        <v>35</v>
      </c>
      <c r="Q5" s="109" t="s">
        <v>31</v>
      </c>
      <c r="R5" s="109" t="s">
        <v>30</v>
      </c>
      <c r="S5" s="109" t="s">
        <v>29</v>
      </c>
    </row>
    <row r="6" spans="1:19">
      <c r="A6" s="110">
        <v>45780</v>
      </c>
      <c r="B6" s="110" t="s">
        <v>87</v>
      </c>
      <c r="C6" s="189" t="s">
        <v>63</v>
      </c>
      <c r="D6" s="189" t="s">
        <v>64</v>
      </c>
      <c r="E6" s="189" t="s">
        <v>52</v>
      </c>
      <c r="F6" s="111" t="s">
        <v>88</v>
      </c>
      <c r="G6" s="112">
        <v>40959</v>
      </c>
      <c r="H6" s="113" t="s">
        <v>85</v>
      </c>
      <c r="I6" s="114"/>
      <c r="J6" s="115"/>
      <c r="K6" s="116"/>
      <c r="L6" s="116"/>
      <c r="M6" s="116"/>
      <c r="N6" s="117">
        <f>IF($C6="","",IF(TRIM($B6)="beginning",(((SUM($O6:$S6)-729)/630)*40)+289,IF(TRIM($B6)="middle",(((SUM($O6:$S6)-729)/630)*40)+364,IF(TRIM($B6)="end",(((SUM($O6:$S6)-729)/630)*40)+398,""))))</f>
        <v>242.71428571428572</v>
      </c>
      <c r="O6" s="97">
        <f t="shared" ref="O6:O69" si="0">IF($C6="","",IF($B6="beginning",($I6*35.44),IF($B6="middle",($I6*8.86),IF($B6="end",($I6*8.86),""))))</f>
        <v>0</v>
      </c>
      <c r="P6" s="97">
        <f>IF($C6="","",$J6*4.13)</f>
        <v>0</v>
      </c>
      <c r="Q6" s="97">
        <f>IF($C6="","",$K6*14.93)</f>
        <v>0</v>
      </c>
      <c r="R6" s="97">
        <f>IF($C6="","",$L6*3.56)</f>
        <v>0</v>
      </c>
      <c r="S6" s="97">
        <f>IF($C6="","",$M6*5.62)</f>
        <v>0</v>
      </c>
    </row>
    <row r="7" spans="1:19">
      <c r="A7" s="110">
        <v>45780</v>
      </c>
      <c r="B7" s="110" t="s">
        <v>87</v>
      </c>
      <c r="C7" s="189" t="s">
        <v>65</v>
      </c>
      <c r="D7" s="189" t="s">
        <v>66</v>
      </c>
      <c r="E7" s="189" t="s">
        <v>53</v>
      </c>
      <c r="F7" s="111" t="s">
        <v>89</v>
      </c>
      <c r="G7" s="112">
        <v>40960</v>
      </c>
      <c r="H7" s="111" t="s">
        <v>85</v>
      </c>
      <c r="I7" s="118"/>
      <c r="J7" s="119"/>
      <c r="K7" s="119"/>
      <c r="L7" s="119"/>
      <c r="M7" s="119"/>
      <c r="N7" s="117">
        <f t="shared" ref="N7:N70" si="1">IF($C7="","",IF(TRIM($B7)="beginning",(((SUM($O7:$S7)-729)/630)*40)+289,IF(TRIM($B7)="middle",(((SUM($O7:$S7)-729)/630)*40)+364,IF(TRIM($B7)="end",(((SUM($O7:$S7)-729)/630)*40)+398,""))))</f>
        <v>242.71428571428572</v>
      </c>
      <c r="O7" s="97">
        <f t="shared" si="0"/>
        <v>0</v>
      </c>
      <c r="P7" s="97">
        <f t="shared" ref="P7:P70" si="2">IF($C7="","",$J7*4.13)</f>
        <v>0</v>
      </c>
      <c r="Q7" s="97">
        <f t="shared" ref="Q7:Q70" si="3">IF($C7="","",$K7*14.93)</f>
        <v>0</v>
      </c>
      <c r="R7" s="97">
        <f t="shared" ref="R7:R70" si="4">IF($C7="","",$L7*3.56)</f>
        <v>0</v>
      </c>
      <c r="S7" s="97">
        <f t="shared" ref="S7:S70" si="5">IF($C7="","",$M7*5.62)</f>
        <v>0</v>
      </c>
    </row>
    <row r="8" spans="1:19">
      <c r="A8" s="110">
        <v>45780</v>
      </c>
      <c r="B8" s="110" t="s">
        <v>87</v>
      </c>
      <c r="C8" s="189" t="s">
        <v>67</v>
      </c>
      <c r="D8" s="189" t="s">
        <v>68</v>
      </c>
      <c r="E8" s="189" t="s">
        <v>54</v>
      </c>
      <c r="F8" s="111" t="s">
        <v>88</v>
      </c>
      <c r="G8" s="112">
        <v>40961</v>
      </c>
      <c r="H8" s="113" t="s">
        <v>85</v>
      </c>
      <c r="I8" s="118"/>
      <c r="J8" s="119"/>
      <c r="K8" s="119"/>
      <c r="L8" s="119"/>
      <c r="M8" s="119"/>
      <c r="N8" s="117">
        <f t="shared" si="1"/>
        <v>242.71428571428572</v>
      </c>
      <c r="O8" s="97">
        <f t="shared" si="0"/>
        <v>0</v>
      </c>
      <c r="P8" s="97">
        <f t="shared" si="2"/>
        <v>0</v>
      </c>
      <c r="Q8" s="97">
        <f t="shared" si="3"/>
        <v>0</v>
      </c>
      <c r="R8" s="97">
        <f t="shared" si="4"/>
        <v>0</v>
      </c>
      <c r="S8" s="97">
        <f t="shared" si="5"/>
        <v>0</v>
      </c>
    </row>
    <row r="9" spans="1:19">
      <c r="A9" s="110">
        <v>45780</v>
      </c>
      <c r="B9" s="110" t="s">
        <v>87</v>
      </c>
      <c r="C9" s="189" t="s">
        <v>69</v>
      </c>
      <c r="D9" s="189" t="s">
        <v>70</v>
      </c>
      <c r="E9" s="189" t="s">
        <v>55</v>
      </c>
      <c r="F9" s="111" t="s">
        <v>88</v>
      </c>
      <c r="G9" s="112">
        <v>40962</v>
      </c>
      <c r="H9" s="111" t="s">
        <v>85</v>
      </c>
      <c r="I9" s="118"/>
      <c r="J9" s="119"/>
      <c r="K9" s="119"/>
      <c r="L9" s="119"/>
      <c r="M9" s="119"/>
      <c r="N9" s="117">
        <f t="shared" si="1"/>
        <v>242.71428571428572</v>
      </c>
      <c r="O9" s="97">
        <f t="shared" si="0"/>
        <v>0</v>
      </c>
      <c r="P9" s="97">
        <f t="shared" si="2"/>
        <v>0</v>
      </c>
      <c r="Q9" s="97">
        <f t="shared" si="3"/>
        <v>0</v>
      </c>
      <c r="R9" s="97">
        <f t="shared" si="4"/>
        <v>0</v>
      </c>
      <c r="S9" s="97">
        <f t="shared" si="5"/>
        <v>0</v>
      </c>
    </row>
    <row r="10" spans="1:19">
      <c r="A10" s="110">
        <v>45780</v>
      </c>
      <c r="B10" s="110" t="s">
        <v>87</v>
      </c>
      <c r="C10" s="189" t="s">
        <v>71</v>
      </c>
      <c r="D10" s="189" t="s">
        <v>72</v>
      </c>
      <c r="E10" s="189" t="s">
        <v>56</v>
      </c>
      <c r="F10" s="111" t="s">
        <v>89</v>
      </c>
      <c r="G10" s="112">
        <v>40970</v>
      </c>
      <c r="H10" s="111" t="s">
        <v>86</v>
      </c>
      <c r="I10" s="118"/>
      <c r="J10" s="119"/>
      <c r="K10" s="119"/>
      <c r="L10" s="119"/>
      <c r="M10" s="119"/>
      <c r="N10" s="117">
        <f t="shared" si="1"/>
        <v>242.71428571428572</v>
      </c>
      <c r="O10" s="97">
        <f t="shared" si="0"/>
        <v>0</v>
      </c>
      <c r="P10" s="97">
        <f t="shared" si="2"/>
        <v>0</v>
      </c>
      <c r="Q10" s="97">
        <f t="shared" si="3"/>
        <v>0</v>
      </c>
      <c r="R10" s="97">
        <f t="shared" si="4"/>
        <v>0</v>
      </c>
      <c r="S10" s="97">
        <f t="shared" si="5"/>
        <v>0</v>
      </c>
    </row>
    <row r="11" spans="1:19">
      <c r="A11" s="110">
        <v>45780</v>
      </c>
      <c r="B11" s="110" t="s">
        <v>87</v>
      </c>
      <c r="C11" s="189" t="s">
        <v>73</v>
      </c>
      <c r="D11" s="189" t="s">
        <v>74</v>
      </c>
      <c r="E11" s="189" t="s">
        <v>57</v>
      </c>
      <c r="F11" s="111" t="s">
        <v>89</v>
      </c>
      <c r="G11" s="112">
        <v>40963</v>
      </c>
      <c r="H11" s="111" t="s">
        <v>85</v>
      </c>
      <c r="I11" s="118"/>
      <c r="J11" s="119"/>
      <c r="K11" s="119"/>
      <c r="L11" s="119"/>
      <c r="M11" s="119"/>
      <c r="N11" s="117">
        <f t="shared" si="1"/>
        <v>242.71428571428572</v>
      </c>
      <c r="O11" s="97">
        <f t="shared" si="0"/>
        <v>0</v>
      </c>
      <c r="P11" s="97">
        <f t="shared" si="2"/>
        <v>0</v>
      </c>
      <c r="Q11" s="97">
        <f t="shared" si="3"/>
        <v>0</v>
      </c>
      <c r="R11" s="97">
        <f t="shared" si="4"/>
        <v>0</v>
      </c>
      <c r="S11" s="97">
        <f t="shared" si="5"/>
        <v>0</v>
      </c>
    </row>
    <row r="12" spans="1:19">
      <c r="A12" s="110">
        <v>45780</v>
      </c>
      <c r="B12" s="110" t="s">
        <v>87</v>
      </c>
      <c r="C12" s="189" t="s">
        <v>75</v>
      </c>
      <c r="D12" s="189" t="s">
        <v>76</v>
      </c>
      <c r="E12" s="189" t="s">
        <v>58</v>
      </c>
      <c r="F12" s="111" t="s">
        <v>88</v>
      </c>
      <c r="G12" s="112">
        <v>40964</v>
      </c>
      <c r="H12" s="111" t="s">
        <v>86</v>
      </c>
      <c r="I12" s="120"/>
      <c r="J12" s="116"/>
      <c r="K12" s="116"/>
      <c r="L12" s="116"/>
      <c r="M12" s="116"/>
      <c r="N12" s="117">
        <f t="shared" si="1"/>
        <v>242.71428571428572</v>
      </c>
      <c r="O12" s="97">
        <f t="shared" si="0"/>
        <v>0</v>
      </c>
      <c r="P12" s="97">
        <f t="shared" si="2"/>
        <v>0</v>
      </c>
      <c r="Q12" s="97">
        <f t="shared" si="3"/>
        <v>0</v>
      </c>
      <c r="R12" s="97">
        <f t="shared" si="4"/>
        <v>0</v>
      </c>
      <c r="S12" s="97">
        <f t="shared" si="5"/>
        <v>0</v>
      </c>
    </row>
    <row r="13" spans="1:19">
      <c r="A13" s="110">
        <v>45780</v>
      </c>
      <c r="B13" s="110" t="s">
        <v>87</v>
      </c>
      <c r="C13" s="189" t="s">
        <v>77</v>
      </c>
      <c r="D13" s="189" t="s">
        <v>78</v>
      </c>
      <c r="E13" s="189" t="s">
        <v>59</v>
      </c>
      <c r="F13" s="111" t="s">
        <v>89</v>
      </c>
      <c r="G13" s="112">
        <v>40965</v>
      </c>
      <c r="H13" s="111" t="s">
        <v>86</v>
      </c>
      <c r="I13" s="118"/>
      <c r="J13" s="119"/>
      <c r="K13" s="119"/>
      <c r="L13" s="119"/>
      <c r="M13" s="119"/>
      <c r="N13" s="117">
        <f t="shared" si="1"/>
        <v>242.71428571428572</v>
      </c>
      <c r="O13" s="97">
        <f t="shared" si="0"/>
        <v>0</v>
      </c>
      <c r="P13" s="97">
        <f t="shared" si="2"/>
        <v>0</v>
      </c>
      <c r="Q13" s="97">
        <f t="shared" si="3"/>
        <v>0</v>
      </c>
      <c r="R13" s="97">
        <f t="shared" si="4"/>
        <v>0</v>
      </c>
      <c r="S13" s="97">
        <f t="shared" si="5"/>
        <v>0</v>
      </c>
    </row>
    <row r="14" spans="1:19">
      <c r="A14" s="110">
        <v>45780</v>
      </c>
      <c r="B14" s="110" t="s">
        <v>87</v>
      </c>
      <c r="C14" s="189" t="s">
        <v>79</v>
      </c>
      <c r="D14" s="189" t="s">
        <v>80</v>
      </c>
      <c r="E14" s="189" t="s">
        <v>60</v>
      </c>
      <c r="F14" s="111" t="s">
        <v>88</v>
      </c>
      <c r="G14" s="112">
        <v>40966</v>
      </c>
      <c r="H14" s="111" t="s">
        <v>86</v>
      </c>
      <c r="I14" s="118"/>
      <c r="J14" s="119"/>
      <c r="K14" s="119"/>
      <c r="L14" s="119"/>
      <c r="M14" s="119"/>
      <c r="N14" s="117">
        <f t="shared" si="1"/>
        <v>242.71428571428572</v>
      </c>
      <c r="O14" s="97">
        <f t="shared" si="0"/>
        <v>0</v>
      </c>
      <c r="P14" s="97">
        <f t="shared" si="2"/>
        <v>0</v>
      </c>
      <c r="Q14" s="97">
        <f t="shared" si="3"/>
        <v>0</v>
      </c>
      <c r="R14" s="97">
        <f t="shared" si="4"/>
        <v>0</v>
      </c>
      <c r="S14" s="97">
        <f t="shared" si="5"/>
        <v>0</v>
      </c>
    </row>
    <row r="15" spans="1:19">
      <c r="A15" s="110">
        <v>45780</v>
      </c>
      <c r="B15" s="110" t="s">
        <v>87</v>
      </c>
      <c r="C15" s="189" t="s">
        <v>81</v>
      </c>
      <c r="D15" s="189" t="s">
        <v>82</v>
      </c>
      <c r="E15" s="189" t="s">
        <v>61</v>
      </c>
      <c r="F15" s="111" t="s">
        <v>88</v>
      </c>
      <c r="G15" s="112">
        <v>40967</v>
      </c>
      <c r="H15" s="111" t="s">
        <v>86</v>
      </c>
      <c r="I15" s="118"/>
      <c r="J15" s="119"/>
      <c r="K15" s="119"/>
      <c r="L15" s="119"/>
      <c r="M15" s="119"/>
      <c r="N15" s="117">
        <f t="shared" si="1"/>
        <v>242.71428571428572</v>
      </c>
      <c r="O15" s="97">
        <f t="shared" si="0"/>
        <v>0</v>
      </c>
      <c r="P15" s="97">
        <f t="shared" si="2"/>
        <v>0</v>
      </c>
      <c r="Q15" s="97">
        <f t="shared" si="3"/>
        <v>0</v>
      </c>
      <c r="R15" s="97">
        <f t="shared" si="4"/>
        <v>0</v>
      </c>
      <c r="S15" s="97">
        <f t="shared" si="5"/>
        <v>0</v>
      </c>
    </row>
    <row r="16" spans="1:19">
      <c r="A16" s="110">
        <v>45780</v>
      </c>
      <c r="B16" s="110" t="s">
        <v>87</v>
      </c>
      <c r="C16" s="189" t="s">
        <v>83</v>
      </c>
      <c r="D16" s="189" t="s">
        <v>84</v>
      </c>
      <c r="E16" s="189" t="s">
        <v>62</v>
      </c>
      <c r="F16" s="111" t="s">
        <v>88</v>
      </c>
      <c r="G16" s="112">
        <v>40968</v>
      </c>
      <c r="H16" s="111" t="s">
        <v>86</v>
      </c>
      <c r="I16" s="118"/>
      <c r="J16" s="119"/>
      <c r="K16" s="119"/>
      <c r="L16" s="119"/>
      <c r="M16" s="119"/>
      <c r="N16" s="117">
        <f t="shared" si="1"/>
        <v>242.71428571428572</v>
      </c>
      <c r="O16" s="97">
        <f t="shared" si="0"/>
        <v>0</v>
      </c>
      <c r="P16" s="97">
        <f t="shared" si="2"/>
        <v>0</v>
      </c>
      <c r="Q16" s="97">
        <f t="shared" si="3"/>
        <v>0</v>
      </c>
      <c r="R16" s="97">
        <f t="shared" si="4"/>
        <v>0</v>
      </c>
      <c r="S16" s="97">
        <f t="shared" si="5"/>
        <v>0</v>
      </c>
    </row>
    <row r="17" spans="1:19">
      <c r="A17" s="110"/>
      <c r="B17" s="110"/>
      <c r="C17" s="111"/>
      <c r="D17" s="111"/>
      <c r="E17" s="111"/>
      <c r="F17" s="111"/>
      <c r="G17" s="112"/>
      <c r="H17" s="111"/>
      <c r="I17" s="118"/>
      <c r="J17" s="119"/>
      <c r="K17" s="119"/>
      <c r="L17" s="119"/>
      <c r="M17" s="119"/>
      <c r="N17" s="117" t="str">
        <f t="shared" si="1"/>
        <v/>
      </c>
      <c r="O17" s="97" t="str">
        <f t="shared" si="0"/>
        <v/>
      </c>
      <c r="P17" s="97" t="str">
        <f t="shared" si="2"/>
        <v/>
      </c>
      <c r="Q17" s="97" t="str">
        <f t="shared" si="3"/>
        <v/>
      </c>
      <c r="R17" s="97" t="str">
        <f t="shared" si="4"/>
        <v/>
      </c>
      <c r="S17" s="97" t="str">
        <f t="shared" si="5"/>
        <v/>
      </c>
    </row>
    <row r="18" spans="1:19">
      <c r="A18" s="110"/>
      <c r="B18" s="110"/>
      <c r="C18" s="111"/>
      <c r="D18" s="111"/>
      <c r="E18" s="111"/>
      <c r="F18" s="111"/>
      <c r="G18" s="112"/>
      <c r="H18" s="111"/>
      <c r="I18" s="118"/>
      <c r="J18" s="119"/>
      <c r="K18" s="119"/>
      <c r="L18" s="119"/>
      <c r="M18" s="119"/>
      <c r="N18" s="117" t="str">
        <f t="shared" si="1"/>
        <v/>
      </c>
      <c r="O18" s="97" t="str">
        <f t="shared" si="0"/>
        <v/>
      </c>
      <c r="P18" s="97" t="str">
        <f t="shared" si="2"/>
        <v/>
      </c>
      <c r="Q18" s="97" t="str">
        <f t="shared" si="3"/>
        <v/>
      </c>
      <c r="R18" s="97" t="str">
        <f t="shared" si="4"/>
        <v/>
      </c>
      <c r="S18" s="97" t="str">
        <f t="shared" si="5"/>
        <v/>
      </c>
    </row>
    <row r="19" spans="1:19">
      <c r="A19" s="110"/>
      <c r="B19" s="110"/>
      <c r="C19" s="111"/>
      <c r="D19" s="111"/>
      <c r="E19" s="111"/>
      <c r="F19" s="111"/>
      <c r="G19" s="112"/>
      <c r="H19" s="111"/>
      <c r="I19" s="118"/>
      <c r="J19" s="119"/>
      <c r="K19" s="119"/>
      <c r="L19" s="119"/>
      <c r="M19" s="119"/>
      <c r="N19" s="117" t="str">
        <f t="shared" si="1"/>
        <v/>
      </c>
      <c r="O19" s="97" t="str">
        <f t="shared" si="0"/>
        <v/>
      </c>
      <c r="P19" s="97" t="str">
        <f t="shared" si="2"/>
        <v/>
      </c>
      <c r="Q19" s="97" t="str">
        <f t="shared" si="3"/>
        <v/>
      </c>
      <c r="R19" s="97" t="str">
        <f t="shared" si="4"/>
        <v/>
      </c>
      <c r="S19" s="97" t="str">
        <f t="shared" si="5"/>
        <v/>
      </c>
    </row>
    <row r="20" spans="1:19">
      <c r="A20" s="110"/>
      <c r="B20" s="110"/>
      <c r="C20" s="111"/>
      <c r="D20" s="111"/>
      <c r="E20" s="111"/>
      <c r="F20" s="111"/>
      <c r="G20" s="112"/>
      <c r="H20" s="111"/>
      <c r="I20" s="118"/>
      <c r="J20" s="119"/>
      <c r="K20" s="119"/>
      <c r="L20" s="119"/>
      <c r="M20" s="119"/>
      <c r="N20" s="117" t="str">
        <f t="shared" si="1"/>
        <v/>
      </c>
      <c r="O20" s="97" t="str">
        <f t="shared" si="0"/>
        <v/>
      </c>
      <c r="P20" s="97" t="str">
        <f t="shared" si="2"/>
        <v/>
      </c>
      <c r="Q20" s="97" t="str">
        <f t="shared" si="3"/>
        <v/>
      </c>
      <c r="R20" s="97" t="str">
        <f t="shared" si="4"/>
        <v/>
      </c>
      <c r="S20" s="97" t="str">
        <f t="shared" si="5"/>
        <v/>
      </c>
    </row>
    <row r="21" spans="1:19">
      <c r="A21" s="110"/>
      <c r="B21" s="110"/>
      <c r="C21" s="111"/>
      <c r="D21" s="111"/>
      <c r="E21" s="111"/>
      <c r="F21" s="111"/>
      <c r="G21" s="112"/>
      <c r="H21" s="111"/>
      <c r="I21" s="118"/>
      <c r="J21" s="119"/>
      <c r="K21" s="119"/>
      <c r="L21" s="119"/>
      <c r="M21" s="119"/>
      <c r="N21" s="117" t="str">
        <f t="shared" si="1"/>
        <v/>
      </c>
      <c r="O21" s="97" t="str">
        <f t="shared" si="0"/>
        <v/>
      </c>
      <c r="P21" s="97" t="str">
        <f t="shared" si="2"/>
        <v/>
      </c>
      <c r="Q21" s="97" t="str">
        <f t="shared" si="3"/>
        <v/>
      </c>
      <c r="R21" s="97" t="str">
        <f t="shared" si="4"/>
        <v/>
      </c>
      <c r="S21" s="97" t="str">
        <f t="shared" si="5"/>
        <v/>
      </c>
    </row>
    <row r="22" spans="1:19">
      <c r="A22" s="110"/>
      <c r="B22" s="110"/>
      <c r="C22" s="111"/>
      <c r="D22" s="111"/>
      <c r="E22" s="111"/>
      <c r="F22" s="111"/>
      <c r="G22" s="112"/>
      <c r="H22" s="111"/>
      <c r="I22" s="118"/>
      <c r="J22" s="119"/>
      <c r="K22" s="119"/>
      <c r="L22" s="119"/>
      <c r="M22" s="119"/>
      <c r="N22" s="117" t="str">
        <f t="shared" si="1"/>
        <v/>
      </c>
      <c r="O22" s="97" t="str">
        <f t="shared" si="0"/>
        <v/>
      </c>
      <c r="P22" s="97" t="str">
        <f t="shared" si="2"/>
        <v/>
      </c>
      <c r="Q22" s="97" t="str">
        <f t="shared" si="3"/>
        <v/>
      </c>
      <c r="R22" s="97" t="str">
        <f t="shared" si="4"/>
        <v/>
      </c>
      <c r="S22" s="97" t="str">
        <f t="shared" si="5"/>
        <v/>
      </c>
    </row>
    <row r="23" spans="1:19">
      <c r="A23" s="110"/>
      <c r="B23" s="110"/>
      <c r="C23" s="111"/>
      <c r="D23" s="111"/>
      <c r="E23" s="111"/>
      <c r="F23" s="111"/>
      <c r="G23" s="112"/>
      <c r="H23" s="111"/>
      <c r="I23" s="118"/>
      <c r="J23" s="119"/>
      <c r="K23" s="119"/>
      <c r="L23" s="119"/>
      <c r="M23" s="119"/>
      <c r="N23" s="117" t="str">
        <f t="shared" si="1"/>
        <v/>
      </c>
      <c r="O23" s="97" t="str">
        <f t="shared" si="0"/>
        <v/>
      </c>
      <c r="P23" s="97" t="str">
        <f t="shared" si="2"/>
        <v/>
      </c>
      <c r="Q23" s="97" t="str">
        <f t="shared" si="3"/>
        <v/>
      </c>
      <c r="R23" s="97" t="str">
        <f t="shared" si="4"/>
        <v/>
      </c>
      <c r="S23" s="97" t="str">
        <f t="shared" si="5"/>
        <v/>
      </c>
    </row>
    <row r="24" spans="1:19">
      <c r="A24" s="110"/>
      <c r="B24" s="110"/>
      <c r="C24" s="111"/>
      <c r="D24" s="111"/>
      <c r="E24" s="111"/>
      <c r="F24" s="111"/>
      <c r="G24" s="112"/>
      <c r="H24" s="111"/>
      <c r="I24" s="118"/>
      <c r="J24" s="119"/>
      <c r="K24" s="119"/>
      <c r="L24" s="119"/>
      <c r="M24" s="119"/>
      <c r="N24" s="117" t="str">
        <f t="shared" si="1"/>
        <v/>
      </c>
      <c r="O24" s="97" t="str">
        <f t="shared" si="0"/>
        <v/>
      </c>
      <c r="P24" s="97" t="str">
        <f t="shared" si="2"/>
        <v/>
      </c>
      <c r="Q24" s="97" t="str">
        <f t="shared" si="3"/>
        <v/>
      </c>
      <c r="R24" s="97" t="str">
        <f t="shared" si="4"/>
        <v/>
      </c>
      <c r="S24" s="97" t="str">
        <f t="shared" si="5"/>
        <v/>
      </c>
    </row>
    <row r="25" spans="1:19">
      <c r="A25" s="110"/>
      <c r="B25" s="110"/>
      <c r="C25" s="111"/>
      <c r="D25" s="111"/>
      <c r="E25" s="111"/>
      <c r="F25" s="111"/>
      <c r="G25" s="112"/>
      <c r="H25" s="111"/>
      <c r="I25" s="118"/>
      <c r="J25" s="119"/>
      <c r="K25" s="119"/>
      <c r="L25" s="119"/>
      <c r="M25" s="119"/>
      <c r="N25" s="117" t="str">
        <f t="shared" si="1"/>
        <v/>
      </c>
      <c r="O25" s="97" t="str">
        <f t="shared" si="0"/>
        <v/>
      </c>
      <c r="P25" s="97" t="str">
        <f t="shared" si="2"/>
        <v/>
      </c>
      <c r="Q25" s="97" t="str">
        <f t="shared" si="3"/>
        <v/>
      </c>
      <c r="R25" s="97" t="str">
        <f t="shared" si="4"/>
        <v/>
      </c>
      <c r="S25" s="97" t="str">
        <f t="shared" si="5"/>
        <v/>
      </c>
    </row>
    <row r="26" spans="1:19">
      <c r="A26" s="110"/>
      <c r="B26" s="110"/>
      <c r="C26" s="111"/>
      <c r="D26" s="111"/>
      <c r="E26" s="111"/>
      <c r="F26" s="111"/>
      <c r="G26" s="112"/>
      <c r="H26" s="111"/>
      <c r="I26" s="118"/>
      <c r="J26" s="119"/>
      <c r="K26" s="119"/>
      <c r="L26" s="119"/>
      <c r="M26" s="119"/>
      <c r="N26" s="117" t="str">
        <f t="shared" si="1"/>
        <v/>
      </c>
      <c r="O26" s="97" t="str">
        <f t="shared" si="0"/>
        <v/>
      </c>
      <c r="P26" s="97" t="str">
        <f t="shared" si="2"/>
        <v/>
      </c>
      <c r="Q26" s="97" t="str">
        <f t="shared" si="3"/>
        <v/>
      </c>
      <c r="R26" s="97" t="str">
        <f t="shared" si="4"/>
        <v/>
      </c>
      <c r="S26" s="97" t="str">
        <f t="shared" si="5"/>
        <v/>
      </c>
    </row>
    <row r="27" spans="1:19">
      <c r="A27" s="110"/>
      <c r="B27" s="110"/>
      <c r="C27" s="111"/>
      <c r="D27" s="111"/>
      <c r="E27" s="111"/>
      <c r="F27" s="111"/>
      <c r="G27" s="112"/>
      <c r="H27" s="111"/>
      <c r="I27" s="118"/>
      <c r="J27" s="119"/>
      <c r="K27" s="119"/>
      <c r="L27" s="119"/>
      <c r="M27" s="119"/>
      <c r="N27" s="117" t="str">
        <f t="shared" si="1"/>
        <v/>
      </c>
      <c r="O27" s="97" t="str">
        <f t="shared" si="0"/>
        <v/>
      </c>
      <c r="P27" s="97" t="str">
        <f t="shared" si="2"/>
        <v/>
      </c>
      <c r="Q27" s="97" t="str">
        <f t="shared" si="3"/>
        <v/>
      </c>
      <c r="R27" s="97" t="str">
        <f t="shared" si="4"/>
        <v/>
      </c>
      <c r="S27" s="97" t="str">
        <f t="shared" si="5"/>
        <v/>
      </c>
    </row>
    <row r="28" spans="1:19">
      <c r="A28" s="110"/>
      <c r="B28" s="110"/>
      <c r="C28" s="111"/>
      <c r="D28" s="111"/>
      <c r="E28" s="111"/>
      <c r="F28" s="111"/>
      <c r="G28" s="112"/>
      <c r="H28" s="111"/>
      <c r="I28" s="118"/>
      <c r="J28" s="119"/>
      <c r="K28" s="119"/>
      <c r="L28" s="119"/>
      <c r="M28" s="119"/>
      <c r="N28" s="117" t="str">
        <f t="shared" si="1"/>
        <v/>
      </c>
      <c r="O28" s="97" t="str">
        <f t="shared" si="0"/>
        <v/>
      </c>
      <c r="P28" s="97" t="str">
        <f t="shared" si="2"/>
        <v/>
      </c>
      <c r="Q28" s="97" t="str">
        <f t="shared" si="3"/>
        <v/>
      </c>
      <c r="R28" s="97" t="str">
        <f t="shared" si="4"/>
        <v/>
      </c>
      <c r="S28" s="97" t="str">
        <f t="shared" si="5"/>
        <v/>
      </c>
    </row>
    <row r="29" spans="1:19">
      <c r="A29" s="110"/>
      <c r="B29" s="110"/>
      <c r="C29" s="111"/>
      <c r="D29" s="111"/>
      <c r="E29" s="111"/>
      <c r="F29" s="111"/>
      <c r="G29" s="112"/>
      <c r="H29" s="111"/>
      <c r="I29" s="118"/>
      <c r="J29" s="119"/>
      <c r="K29" s="119"/>
      <c r="L29" s="119"/>
      <c r="M29" s="119"/>
      <c r="N29" s="117" t="str">
        <f t="shared" si="1"/>
        <v/>
      </c>
      <c r="O29" s="97" t="str">
        <f t="shared" si="0"/>
        <v/>
      </c>
      <c r="P29" s="97" t="str">
        <f t="shared" si="2"/>
        <v/>
      </c>
      <c r="Q29" s="97" t="str">
        <f t="shared" si="3"/>
        <v/>
      </c>
      <c r="R29" s="97" t="str">
        <f t="shared" si="4"/>
        <v/>
      </c>
      <c r="S29" s="97" t="str">
        <f t="shared" si="5"/>
        <v/>
      </c>
    </row>
    <row r="30" spans="1:19">
      <c r="A30" s="110"/>
      <c r="B30" s="110"/>
      <c r="C30" s="111"/>
      <c r="D30" s="111"/>
      <c r="E30" s="111"/>
      <c r="F30" s="111"/>
      <c r="G30" s="112"/>
      <c r="H30" s="111"/>
      <c r="I30" s="118"/>
      <c r="J30" s="119"/>
      <c r="K30" s="119"/>
      <c r="L30" s="119"/>
      <c r="M30" s="119"/>
      <c r="N30" s="117" t="str">
        <f t="shared" si="1"/>
        <v/>
      </c>
      <c r="O30" s="97" t="str">
        <f t="shared" si="0"/>
        <v/>
      </c>
      <c r="P30" s="97" t="str">
        <f t="shared" si="2"/>
        <v/>
      </c>
      <c r="Q30" s="97" t="str">
        <f t="shared" si="3"/>
        <v/>
      </c>
      <c r="R30" s="97" t="str">
        <f t="shared" si="4"/>
        <v/>
      </c>
      <c r="S30" s="97" t="str">
        <f t="shared" si="5"/>
        <v/>
      </c>
    </row>
    <row r="31" spans="1:19">
      <c r="A31" s="121"/>
      <c r="B31" s="121"/>
      <c r="C31" s="122"/>
      <c r="D31" s="123"/>
      <c r="E31" s="124"/>
      <c r="F31" s="125"/>
      <c r="G31" s="126"/>
      <c r="H31" s="127"/>
      <c r="I31" s="118"/>
      <c r="J31" s="119"/>
      <c r="K31" s="119"/>
      <c r="L31" s="119"/>
      <c r="M31" s="119"/>
      <c r="N31" s="117" t="str">
        <f t="shared" si="1"/>
        <v/>
      </c>
      <c r="O31" s="97" t="str">
        <f t="shared" si="0"/>
        <v/>
      </c>
      <c r="P31" s="97" t="str">
        <f t="shared" si="2"/>
        <v/>
      </c>
      <c r="Q31" s="97" t="str">
        <f t="shared" si="3"/>
        <v/>
      </c>
      <c r="R31" s="97" t="str">
        <f t="shared" si="4"/>
        <v/>
      </c>
      <c r="S31" s="97" t="str">
        <f t="shared" si="5"/>
        <v/>
      </c>
    </row>
    <row r="32" spans="1:19">
      <c r="A32" s="121"/>
      <c r="B32" s="121"/>
      <c r="C32" s="122"/>
      <c r="D32" s="123"/>
      <c r="E32" s="124"/>
      <c r="F32" s="125"/>
      <c r="G32" s="126"/>
      <c r="H32" s="127"/>
      <c r="I32" s="118"/>
      <c r="J32" s="119"/>
      <c r="K32" s="119"/>
      <c r="L32" s="119"/>
      <c r="M32" s="119"/>
      <c r="N32" s="117" t="str">
        <f t="shared" si="1"/>
        <v/>
      </c>
      <c r="O32" s="97" t="str">
        <f t="shared" si="0"/>
        <v/>
      </c>
      <c r="P32" s="97" t="str">
        <f t="shared" si="2"/>
        <v/>
      </c>
      <c r="Q32" s="97" t="str">
        <f t="shared" si="3"/>
        <v/>
      </c>
      <c r="R32" s="97" t="str">
        <f t="shared" si="4"/>
        <v/>
      </c>
      <c r="S32" s="97" t="str">
        <f t="shared" si="5"/>
        <v/>
      </c>
    </row>
    <row r="33" spans="1:19">
      <c r="A33" s="121"/>
      <c r="B33" s="121"/>
      <c r="C33" s="122"/>
      <c r="D33" s="123"/>
      <c r="E33" s="124"/>
      <c r="F33" s="125"/>
      <c r="G33" s="126"/>
      <c r="H33" s="127"/>
      <c r="I33" s="118"/>
      <c r="J33" s="119"/>
      <c r="K33" s="119"/>
      <c r="L33" s="119"/>
      <c r="M33" s="119"/>
      <c r="N33" s="117" t="str">
        <f t="shared" si="1"/>
        <v/>
      </c>
      <c r="O33" s="97" t="str">
        <f t="shared" si="0"/>
        <v/>
      </c>
      <c r="P33" s="97" t="str">
        <f t="shared" si="2"/>
        <v/>
      </c>
      <c r="Q33" s="97" t="str">
        <f t="shared" si="3"/>
        <v/>
      </c>
      <c r="R33" s="97" t="str">
        <f t="shared" si="4"/>
        <v/>
      </c>
      <c r="S33" s="97" t="str">
        <f t="shared" si="5"/>
        <v/>
      </c>
    </row>
    <row r="34" spans="1:19">
      <c r="A34" s="121"/>
      <c r="B34" s="121"/>
      <c r="C34" s="122"/>
      <c r="D34" s="123"/>
      <c r="E34" s="124"/>
      <c r="F34" s="125"/>
      <c r="G34" s="126"/>
      <c r="H34" s="127"/>
      <c r="I34" s="118"/>
      <c r="J34" s="119"/>
      <c r="K34" s="119"/>
      <c r="L34" s="119"/>
      <c r="M34" s="119"/>
      <c r="N34" s="117" t="str">
        <f t="shared" si="1"/>
        <v/>
      </c>
      <c r="O34" s="97" t="str">
        <f t="shared" si="0"/>
        <v/>
      </c>
      <c r="P34" s="97" t="str">
        <f t="shared" si="2"/>
        <v/>
      </c>
      <c r="Q34" s="97" t="str">
        <f t="shared" si="3"/>
        <v/>
      </c>
      <c r="R34" s="97" t="str">
        <f t="shared" si="4"/>
        <v/>
      </c>
      <c r="S34" s="97" t="str">
        <f t="shared" si="5"/>
        <v/>
      </c>
    </row>
    <row r="35" spans="1:19">
      <c r="A35" s="121"/>
      <c r="B35" s="121"/>
      <c r="C35" s="122"/>
      <c r="D35" s="123"/>
      <c r="E35" s="124"/>
      <c r="F35" s="125"/>
      <c r="G35" s="126"/>
      <c r="H35" s="127"/>
      <c r="I35" s="118"/>
      <c r="J35" s="119"/>
      <c r="K35" s="119"/>
      <c r="L35" s="119"/>
      <c r="M35" s="119"/>
      <c r="N35" s="117" t="str">
        <f t="shared" si="1"/>
        <v/>
      </c>
      <c r="O35" s="97" t="str">
        <f t="shared" si="0"/>
        <v/>
      </c>
      <c r="P35" s="97" t="str">
        <f t="shared" si="2"/>
        <v/>
      </c>
      <c r="Q35" s="97" t="str">
        <f t="shared" si="3"/>
        <v/>
      </c>
      <c r="R35" s="97" t="str">
        <f t="shared" si="4"/>
        <v/>
      </c>
      <c r="S35" s="97" t="str">
        <f t="shared" si="5"/>
        <v/>
      </c>
    </row>
    <row r="36" spans="1:19">
      <c r="A36" s="121"/>
      <c r="B36" s="121"/>
      <c r="C36" s="122"/>
      <c r="D36" s="123"/>
      <c r="E36" s="124"/>
      <c r="F36" s="125"/>
      <c r="G36" s="126"/>
      <c r="H36" s="127"/>
      <c r="I36" s="118"/>
      <c r="J36" s="119"/>
      <c r="K36" s="119"/>
      <c r="L36" s="119"/>
      <c r="M36" s="119"/>
      <c r="N36" s="117" t="str">
        <f t="shared" si="1"/>
        <v/>
      </c>
      <c r="O36" s="97" t="str">
        <f t="shared" si="0"/>
        <v/>
      </c>
      <c r="P36" s="97" t="str">
        <f t="shared" si="2"/>
        <v/>
      </c>
      <c r="Q36" s="97" t="str">
        <f t="shared" si="3"/>
        <v/>
      </c>
      <c r="R36" s="97" t="str">
        <f t="shared" si="4"/>
        <v/>
      </c>
      <c r="S36" s="97" t="str">
        <f t="shared" si="5"/>
        <v/>
      </c>
    </row>
    <row r="37" spans="1:19">
      <c r="A37" s="121"/>
      <c r="B37" s="121"/>
      <c r="C37" s="122"/>
      <c r="D37" s="123"/>
      <c r="E37" s="124"/>
      <c r="F37" s="125"/>
      <c r="G37" s="126"/>
      <c r="H37" s="127"/>
      <c r="I37" s="118"/>
      <c r="J37" s="119"/>
      <c r="K37" s="119"/>
      <c r="L37" s="119"/>
      <c r="M37" s="119"/>
      <c r="N37" s="117" t="str">
        <f t="shared" si="1"/>
        <v/>
      </c>
      <c r="O37" s="97" t="str">
        <f t="shared" si="0"/>
        <v/>
      </c>
      <c r="P37" s="97" t="str">
        <f t="shared" si="2"/>
        <v/>
      </c>
      <c r="Q37" s="97" t="str">
        <f t="shared" si="3"/>
        <v/>
      </c>
      <c r="R37" s="97" t="str">
        <f t="shared" si="4"/>
        <v/>
      </c>
      <c r="S37" s="97" t="str">
        <f t="shared" si="5"/>
        <v/>
      </c>
    </row>
    <row r="38" spans="1:19">
      <c r="A38" s="121"/>
      <c r="B38" s="121"/>
      <c r="C38" s="122"/>
      <c r="D38" s="123"/>
      <c r="E38" s="124"/>
      <c r="F38" s="125"/>
      <c r="G38" s="126"/>
      <c r="H38" s="127"/>
      <c r="I38" s="118"/>
      <c r="J38" s="119"/>
      <c r="K38" s="119"/>
      <c r="L38" s="119"/>
      <c r="M38" s="119"/>
      <c r="N38" s="117" t="str">
        <f t="shared" si="1"/>
        <v/>
      </c>
      <c r="O38" s="97" t="str">
        <f t="shared" si="0"/>
        <v/>
      </c>
      <c r="P38" s="97" t="str">
        <f t="shared" si="2"/>
        <v/>
      </c>
      <c r="Q38" s="97" t="str">
        <f t="shared" si="3"/>
        <v/>
      </c>
      <c r="R38" s="97" t="str">
        <f t="shared" si="4"/>
        <v/>
      </c>
      <c r="S38" s="97" t="str">
        <f t="shared" si="5"/>
        <v/>
      </c>
    </row>
    <row r="39" spans="1:19">
      <c r="A39" s="121"/>
      <c r="B39" s="121"/>
      <c r="C39" s="122"/>
      <c r="D39" s="123"/>
      <c r="E39" s="124"/>
      <c r="F39" s="125"/>
      <c r="G39" s="126"/>
      <c r="H39" s="127"/>
      <c r="I39" s="118"/>
      <c r="J39" s="119"/>
      <c r="K39" s="119"/>
      <c r="L39" s="119"/>
      <c r="M39" s="119"/>
      <c r="N39" s="117" t="str">
        <f t="shared" si="1"/>
        <v/>
      </c>
      <c r="O39" s="97" t="str">
        <f t="shared" si="0"/>
        <v/>
      </c>
      <c r="P39" s="97" t="str">
        <f t="shared" si="2"/>
        <v/>
      </c>
      <c r="Q39" s="97" t="str">
        <f t="shared" si="3"/>
        <v/>
      </c>
      <c r="R39" s="97" t="str">
        <f t="shared" si="4"/>
        <v/>
      </c>
      <c r="S39" s="97" t="str">
        <f t="shared" si="5"/>
        <v/>
      </c>
    </row>
    <row r="40" spans="1:19">
      <c r="A40" s="121"/>
      <c r="B40" s="121"/>
      <c r="C40" s="122"/>
      <c r="D40" s="123"/>
      <c r="E40" s="124"/>
      <c r="F40" s="125"/>
      <c r="G40" s="126"/>
      <c r="H40" s="127"/>
      <c r="I40" s="118"/>
      <c r="J40" s="119"/>
      <c r="K40" s="119"/>
      <c r="L40" s="119"/>
      <c r="M40" s="119"/>
      <c r="N40" s="117" t="str">
        <f t="shared" si="1"/>
        <v/>
      </c>
      <c r="O40" s="97" t="str">
        <f t="shared" si="0"/>
        <v/>
      </c>
      <c r="P40" s="97" t="str">
        <f t="shared" si="2"/>
        <v/>
      </c>
      <c r="Q40" s="97" t="str">
        <f t="shared" si="3"/>
        <v/>
      </c>
      <c r="R40" s="97" t="str">
        <f t="shared" si="4"/>
        <v/>
      </c>
      <c r="S40" s="97" t="str">
        <f t="shared" si="5"/>
        <v/>
      </c>
    </row>
    <row r="41" spans="1:19">
      <c r="A41" s="121"/>
      <c r="B41" s="121"/>
      <c r="C41" s="122"/>
      <c r="D41" s="123"/>
      <c r="E41" s="124"/>
      <c r="F41" s="125"/>
      <c r="G41" s="126"/>
      <c r="H41" s="127"/>
      <c r="I41" s="118"/>
      <c r="J41" s="119"/>
      <c r="K41" s="119"/>
      <c r="L41" s="119"/>
      <c r="M41" s="119"/>
      <c r="N41" s="117" t="str">
        <f t="shared" si="1"/>
        <v/>
      </c>
      <c r="O41" s="97" t="str">
        <f t="shared" si="0"/>
        <v/>
      </c>
      <c r="P41" s="97" t="str">
        <f t="shared" si="2"/>
        <v/>
      </c>
      <c r="Q41" s="97" t="str">
        <f t="shared" si="3"/>
        <v/>
      </c>
      <c r="R41" s="97" t="str">
        <f t="shared" si="4"/>
        <v/>
      </c>
      <c r="S41" s="97" t="str">
        <f t="shared" si="5"/>
        <v/>
      </c>
    </row>
    <row r="42" spans="1:19">
      <c r="A42" s="121"/>
      <c r="B42" s="121"/>
      <c r="C42" s="122"/>
      <c r="D42" s="123"/>
      <c r="E42" s="124"/>
      <c r="F42" s="125"/>
      <c r="G42" s="126"/>
      <c r="H42" s="127"/>
      <c r="I42" s="118"/>
      <c r="J42" s="119"/>
      <c r="K42" s="119"/>
      <c r="L42" s="119"/>
      <c r="M42" s="119"/>
      <c r="N42" s="117" t="str">
        <f t="shared" si="1"/>
        <v/>
      </c>
      <c r="O42" s="97" t="str">
        <f t="shared" si="0"/>
        <v/>
      </c>
      <c r="P42" s="97" t="str">
        <f t="shared" si="2"/>
        <v/>
      </c>
      <c r="Q42" s="97" t="str">
        <f t="shared" si="3"/>
        <v/>
      </c>
      <c r="R42" s="97" t="str">
        <f t="shared" si="4"/>
        <v/>
      </c>
      <c r="S42" s="97" t="str">
        <f t="shared" si="5"/>
        <v/>
      </c>
    </row>
    <row r="43" spans="1:19">
      <c r="A43" s="121"/>
      <c r="B43" s="121"/>
      <c r="C43" s="122"/>
      <c r="D43" s="123"/>
      <c r="E43" s="124"/>
      <c r="F43" s="125"/>
      <c r="G43" s="126"/>
      <c r="H43" s="127"/>
      <c r="I43" s="118"/>
      <c r="J43" s="119"/>
      <c r="K43" s="119"/>
      <c r="L43" s="119"/>
      <c r="M43" s="119"/>
      <c r="N43" s="117" t="str">
        <f t="shared" si="1"/>
        <v/>
      </c>
      <c r="O43" s="97" t="str">
        <f t="shared" si="0"/>
        <v/>
      </c>
      <c r="P43" s="97" t="str">
        <f t="shared" si="2"/>
        <v/>
      </c>
      <c r="Q43" s="97" t="str">
        <f t="shared" si="3"/>
        <v/>
      </c>
      <c r="R43" s="97" t="str">
        <f t="shared" si="4"/>
        <v/>
      </c>
      <c r="S43" s="97" t="str">
        <f t="shared" si="5"/>
        <v/>
      </c>
    </row>
    <row r="44" spans="1:19">
      <c r="A44" s="121"/>
      <c r="B44" s="121"/>
      <c r="C44" s="122"/>
      <c r="D44" s="123"/>
      <c r="E44" s="124"/>
      <c r="F44" s="125"/>
      <c r="G44" s="126"/>
      <c r="H44" s="127"/>
      <c r="I44" s="118"/>
      <c r="J44" s="119"/>
      <c r="K44" s="119"/>
      <c r="L44" s="119"/>
      <c r="M44" s="119"/>
      <c r="N44" s="117" t="str">
        <f t="shared" si="1"/>
        <v/>
      </c>
      <c r="O44" s="97" t="str">
        <f t="shared" si="0"/>
        <v/>
      </c>
      <c r="P44" s="97" t="str">
        <f t="shared" si="2"/>
        <v/>
      </c>
      <c r="Q44" s="97" t="str">
        <f t="shared" si="3"/>
        <v/>
      </c>
      <c r="R44" s="97" t="str">
        <f t="shared" si="4"/>
        <v/>
      </c>
      <c r="S44" s="97" t="str">
        <f t="shared" si="5"/>
        <v/>
      </c>
    </row>
    <row r="45" spans="1:19">
      <c r="A45" s="121"/>
      <c r="B45" s="121"/>
      <c r="C45" s="122"/>
      <c r="D45" s="123"/>
      <c r="E45" s="124"/>
      <c r="F45" s="125"/>
      <c r="G45" s="126"/>
      <c r="H45" s="127"/>
      <c r="I45" s="118"/>
      <c r="J45" s="119"/>
      <c r="K45" s="119"/>
      <c r="L45" s="119"/>
      <c r="M45" s="119"/>
      <c r="N45" s="117" t="str">
        <f t="shared" si="1"/>
        <v/>
      </c>
      <c r="O45" s="97" t="str">
        <f t="shared" si="0"/>
        <v/>
      </c>
      <c r="P45" s="97" t="str">
        <f t="shared" si="2"/>
        <v/>
      </c>
      <c r="Q45" s="97" t="str">
        <f t="shared" si="3"/>
        <v/>
      </c>
      <c r="R45" s="97" t="str">
        <f t="shared" si="4"/>
        <v/>
      </c>
      <c r="S45" s="97" t="str">
        <f t="shared" si="5"/>
        <v/>
      </c>
    </row>
    <row r="46" spans="1:19">
      <c r="A46" s="121"/>
      <c r="B46" s="121"/>
      <c r="C46" s="122"/>
      <c r="D46" s="123"/>
      <c r="E46" s="124"/>
      <c r="F46" s="125"/>
      <c r="G46" s="126"/>
      <c r="H46" s="127"/>
      <c r="I46" s="118"/>
      <c r="J46" s="119"/>
      <c r="K46" s="119"/>
      <c r="L46" s="119"/>
      <c r="M46" s="119"/>
      <c r="N46" s="117" t="str">
        <f t="shared" si="1"/>
        <v/>
      </c>
      <c r="O46" s="97" t="str">
        <f t="shared" si="0"/>
        <v/>
      </c>
      <c r="P46" s="97" t="str">
        <f t="shared" si="2"/>
        <v/>
      </c>
      <c r="Q46" s="97" t="str">
        <f t="shared" si="3"/>
        <v/>
      </c>
      <c r="R46" s="97" t="str">
        <f t="shared" si="4"/>
        <v/>
      </c>
      <c r="S46" s="97" t="str">
        <f t="shared" si="5"/>
        <v/>
      </c>
    </row>
    <row r="47" spans="1:19">
      <c r="A47" s="121"/>
      <c r="B47" s="121"/>
      <c r="C47" s="122"/>
      <c r="D47" s="123"/>
      <c r="E47" s="124"/>
      <c r="F47" s="125"/>
      <c r="G47" s="126"/>
      <c r="H47" s="127"/>
      <c r="I47" s="118"/>
      <c r="J47" s="119"/>
      <c r="K47" s="119"/>
      <c r="L47" s="119"/>
      <c r="M47" s="119"/>
      <c r="N47" s="117" t="str">
        <f t="shared" si="1"/>
        <v/>
      </c>
      <c r="O47" s="97" t="str">
        <f t="shared" si="0"/>
        <v/>
      </c>
      <c r="P47" s="97" t="str">
        <f t="shared" si="2"/>
        <v/>
      </c>
      <c r="Q47" s="97" t="str">
        <f t="shared" si="3"/>
        <v/>
      </c>
      <c r="R47" s="97" t="str">
        <f t="shared" si="4"/>
        <v/>
      </c>
      <c r="S47" s="97" t="str">
        <f t="shared" si="5"/>
        <v/>
      </c>
    </row>
    <row r="48" spans="1:19">
      <c r="A48" s="121"/>
      <c r="B48" s="121"/>
      <c r="C48" s="122"/>
      <c r="D48" s="123"/>
      <c r="E48" s="124"/>
      <c r="F48" s="125"/>
      <c r="G48" s="126"/>
      <c r="H48" s="127"/>
      <c r="I48" s="118"/>
      <c r="J48" s="119"/>
      <c r="K48" s="119"/>
      <c r="L48" s="119"/>
      <c r="M48" s="119"/>
      <c r="N48" s="117" t="str">
        <f t="shared" si="1"/>
        <v/>
      </c>
      <c r="O48" s="97" t="str">
        <f t="shared" si="0"/>
        <v/>
      </c>
      <c r="P48" s="97" t="str">
        <f t="shared" si="2"/>
        <v/>
      </c>
      <c r="Q48" s="97" t="str">
        <f t="shared" si="3"/>
        <v/>
      </c>
      <c r="R48" s="97" t="str">
        <f t="shared" si="4"/>
        <v/>
      </c>
      <c r="S48" s="97" t="str">
        <f t="shared" si="5"/>
        <v/>
      </c>
    </row>
    <row r="49" spans="1:19">
      <c r="A49" s="121"/>
      <c r="B49" s="121"/>
      <c r="C49" s="122"/>
      <c r="D49" s="123"/>
      <c r="E49" s="124"/>
      <c r="F49" s="125"/>
      <c r="G49" s="126"/>
      <c r="H49" s="127"/>
      <c r="I49" s="118"/>
      <c r="J49" s="119"/>
      <c r="K49" s="119"/>
      <c r="L49" s="119"/>
      <c r="M49" s="119"/>
      <c r="N49" s="117" t="str">
        <f t="shared" si="1"/>
        <v/>
      </c>
      <c r="O49" s="97" t="str">
        <f t="shared" si="0"/>
        <v/>
      </c>
      <c r="P49" s="97" t="str">
        <f t="shared" si="2"/>
        <v/>
      </c>
      <c r="Q49" s="97" t="str">
        <f t="shared" si="3"/>
        <v/>
      </c>
      <c r="R49" s="97" t="str">
        <f t="shared" si="4"/>
        <v/>
      </c>
      <c r="S49" s="97" t="str">
        <f t="shared" si="5"/>
        <v/>
      </c>
    </row>
    <row r="50" spans="1:19">
      <c r="A50" s="121"/>
      <c r="B50" s="121"/>
      <c r="C50" s="122"/>
      <c r="D50" s="123"/>
      <c r="E50" s="124"/>
      <c r="F50" s="125"/>
      <c r="G50" s="126"/>
      <c r="H50" s="127"/>
      <c r="I50" s="118"/>
      <c r="J50" s="119"/>
      <c r="K50" s="119"/>
      <c r="L50" s="119"/>
      <c r="M50" s="119"/>
      <c r="N50" s="117" t="str">
        <f t="shared" si="1"/>
        <v/>
      </c>
      <c r="O50" s="97" t="str">
        <f t="shared" si="0"/>
        <v/>
      </c>
      <c r="P50" s="97" t="str">
        <f t="shared" si="2"/>
        <v/>
      </c>
      <c r="Q50" s="97" t="str">
        <f t="shared" si="3"/>
        <v/>
      </c>
      <c r="R50" s="97" t="str">
        <f t="shared" si="4"/>
        <v/>
      </c>
      <c r="S50" s="97" t="str">
        <f t="shared" si="5"/>
        <v/>
      </c>
    </row>
    <row r="51" spans="1:19">
      <c r="A51" s="121"/>
      <c r="B51" s="121"/>
      <c r="C51" s="122"/>
      <c r="D51" s="123"/>
      <c r="E51" s="124"/>
      <c r="F51" s="125"/>
      <c r="G51" s="126"/>
      <c r="H51" s="127"/>
      <c r="I51" s="118"/>
      <c r="J51" s="119"/>
      <c r="K51" s="119"/>
      <c r="L51" s="119"/>
      <c r="M51" s="119"/>
      <c r="N51" s="117" t="str">
        <f t="shared" si="1"/>
        <v/>
      </c>
      <c r="O51" s="97" t="str">
        <f t="shared" si="0"/>
        <v/>
      </c>
      <c r="P51" s="97" t="str">
        <f t="shared" si="2"/>
        <v/>
      </c>
      <c r="Q51" s="97" t="str">
        <f t="shared" si="3"/>
        <v/>
      </c>
      <c r="R51" s="97" t="str">
        <f t="shared" si="4"/>
        <v/>
      </c>
      <c r="S51" s="97" t="str">
        <f t="shared" si="5"/>
        <v/>
      </c>
    </row>
    <row r="52" spans="1:19">
      <c r="A52" s="121"/>
      <c r="B52" s="121"/>
      <c r="C52" s="122"/>
      <c r="D52" s="123"/>
      <c r="E52" s="124"/>
      <c r="F52" s="125"/>
      <c r="G52" s="126"/>
      <c r="H52" s="127"/>
      <c r="I52" s="118"/>
      <c r="J52" s="119"/>
      <c r="K52" s="119"/>
      <c r="L52" s="119"/>
      <c r="M52" s="119"/>
      <c r="N52" s="117" t="str">
        <f t="shared" si="1"/>
        <v/>
      </c>
      <c r="O52" s="97" t="str">
        <f t="shared" si="0"/>
        <v/>
      </c>
      <c r="P52" s="97" t="str">
        <f t="shared" si="2"/>
        <v/>
      </c>
      <c r="Q52" s="97" t="str">
        <f t="shared" si="3"/>
        <v/>
      </c>
      <c r="R52" s="97" t="str">
        <f t="shared" si="4"/>
        <v/>
      </c>
      <c r="S52" s="97" t="str">
        <f t="shared" si="5"/>
        <v/>
      </c>
    </row>
    <row r="53" spans="1:19">
      <c r="A53" s="121"/>
      <c r="B53" s="121"/>
      <c r="C53" s="122"/>
      <c r="D53" s="123"/>
      <c r="E53" s="124"/>
      <c r="F53" s="125"/>
      <c r="G53" s="126"/>
      <c r="H53" s="127"/>
      <c r="I53" s="118"/>
      <c r="J53" s="119"/>
      <c r="K53" s="119"/>
      <c r="L53" s="119"/>
      <c r="M53" s="119"/>
      <c r="N53" s="117" t="str">
        <f t="shared" si="1"/>
        <v/>
      </c>
      <c r="O53" s="97" t="str">
        <f t="shared" si="0"/>
        <v/>
      </c>
      <c r="P53" s="97" t="str">
        <f t="shared" si="2"/>
        <v/>
      </c>
      <c r="Q53" s="97" t="str">
        <f t="shared" si="3"/>
        <v/>
      </c>
      <c r="R53" s="97" t="str">
        <f t="shared" si="4"/>
        <v/>
      </c>
      <c r="S53" s="97" t="str">
        <f t="shared" si="5"/>
        <v/>
      </c>
    </row>
    <row r="54" spans="1:19">
      <c r="A54" s="121"/>
      <c r="B54" s="121"/>
      <c r="C54" s="122"/>
      <c r="D54" s="123"/>
      <c r="E54" s="124"/>
      <c r="F54" s="125"/>
      <c r="G54" s="126"/>
      <c r="H54" s="127"/>
      <c r="I54" s="118"/>
      <c r="J54" s="119"/>
      <c r="K54" s="119"/>
      <c r="L54" s="119"/>
      <c r="M54" s="119"/>
      <c r="N54" s="117" t="str">
        <f t="shared" si="1"/>
        <v/>
      </c>
      <c r="O54" s="97" t="str">
        <f t="shared" si="0"/>
        <v/>
      </c>
      <c r="P54" s="97" t="str">
        <f t="shared" si="2"/>
        <v/>
      </c>
      <c r="Q54" s="97" t="str">
        <f t="shared" si="3"/>
        <v/>
      </c>
      <c r="R54" s="97" t="str">
        <f t="shared" si="4"/>
        <v/>
      </c>
      <c r="S54" s="97" t="str">
        <f t="shared" si="5"/>
        <v/>
      </c>
    </row>
    <row r="55" spans="1:19">
      <c r="A55" s="121"/>
      <c r="B55" s="121"/>
      <c r="C55" s="122"/>
      <c r="D55" s="123"/>
      <c r="E55" s="124"/>
      <c r="F55" s="125"/>
      <c r="G55" s="126"/>
      <c r="H55" s="127"/>
      <c r="I55" s="118"/>
      <c r="J55" s="119"/>
      <c r="K55" s="119"/>
      <c r="L55" s="119"/>
      <c r="M55" s="119"/>
      <c r="N55" s="117" t="str">
        <f t="shared" si="1"/>
        <v/>
      </c>
      <c r="O55" s="97" t="str">
        <f t="shared" si="0"/>
        <v/>
      </c>
      <c r="P55" s="97" t="str">
        <f t="shared" si="2"/>
        <v/>
      </c>
      <c r="Q55" s="97" t="str">
        <f t="shared" si="3"/>
        <v/>
      </c>
      <c r="R55" s="97" t="str">
        <f t="shared" si="4"/>
        <v/>
      </c>
      <c r="S55" s="97" t="str">
        <f t="shared" si="5"/>
        <v/>
      </c>
    </row>
    <row r="56" spans="1:19">
      <c r="A56" s="121"/>
      <c r="B56" s="121"/>
      <c r="C56" s="122"/>
      <c r="D56" s="123"/>
      <c r="E56" s="124"/>
      <c r="F56" s="125"/>
      <c r="G56" s="126"/>
      <c r="H56" s="127"/>
      <c r="I56" s="118"/>
      <c r="J56" s="119"/>
      <c r="K56" s="119"/>
      <c r="L56" s="119"/>
      <c r="M56" s="119"/>
      <c r="N56" s="117" t="str">
        <f t="shared" si="1"/>
        <v/>
      </c>
      <c r="O56" s="97" t="str">
        <f t="shared" si="0"/>
        <v/>
      </c>
      <c r="P56" s="97" t="str">
        <f t="shared" si="2"/>
        <v/>
      </c>
      <c r="Q56" s="97" t="str">
        <f t="shared" si="3"/>
        <v/>
      </c>
      <c r="R56" s="97" t="str">
        <f t="shared" si="4"/>
        <v/>
      </c>
      <c r="S56" s="97" t="str">
        <f t="shared" si="5"/>
        <v/>
      </c>
    </row>
    <row r="57" spans="1:19">
      <c r="A57" s="121"/>
      <c r="B57" s="121"/>
      <c r="C57" s="122"/>
      <c r="D57" s="123"/>
      <c r="E57" s="124"/>
      <c r="F57" s="125"/>
      <c r="G57" s="126"/>
      <c r="H57" s="127"/>
      <c r="I57" s="118"/>
      <c r="J57" s="119"/>
      <c r="K57" s="119"/>
      <c r="L57" s="119"/>
      <c r="M57" s="119"/>
      <c r="N57" s="117" t="str">
        <f t="shared" si="1"/>
        <v/>
      </c>
      <c r="O57" s="97" t="str">
        <f t="shared" si="0"/>
        <v/>
      </c>
      <c r="P57" s="97" t="str">
        <f t="shared" si="2"/>
        <v/>
      </c>
      <c r="Q57" s="97" t="str">
        <f t="shared" si="3"/>
        <v/>
      </c>
      <c r="R57" s="97" t="str">
        <f t="shared" si="4"/>
        <v/>
      </c>
      <c r="S57" s="97" t="str">
        <f t="shared" si="5"/>
        <v/>
      </c>
    </row>
    <row r="58" spans="1:19">
      <c r="A58" s="121"/>
      <c r="B58" s="121"/>
      <c r="C58" s="122"/>
      <c r="D58" s="123"/>
      <c r="E58" s="124"/>
      <c r="F58" s="125"/>
      <c r="G58" s="126"/>
      <c r="H58" s="127"/>
      <c r="I58" s="118"/>
      <c r="J58" s="119"/>
      <c r="K58" s="119"/>
      <c r="L58" s="119"/>
      <c r="M58" s="119"/>
      <c r="N58" s="117" t="str">
        <f t="shared" si="1"/>
        <v/>
      </c>
      <c r="O58" s="97" t="str">
        <f t="shared" si="0"/>
        <v/>
      </c>
      <c r="P58" s="97" t="str">
        <f t="shared" si="2"/>
        <v/>
      </c>
      <c r="Q58" s="97" t="str">
        <f t="shared" si="3"/>
        <v/>
      </c>
      <c r="R58" s="97" t="str">
        <f t="shared" si="4"/>
        <v/>
      </c>
      <c r="S58" s="97" t="str">
        <f t="shared" si="5"/>
        <v/>
      </c>
    </row>
    <row r="59" spans="1:19">
      <c r="A59" s="121"/>
      <c r="B59" s="121"/>
      <c r="C59" s="122"/>
      <c r="D59" s="123"/>
      <c r="E59" s="124"/>
      <c r="F59" s="125"/>
      <c r="G59" s="126"/>
      <c r="H59" s="127"/>
      <c r="I59" s="118"/>
      <c r="J59" s="119"/>
      <c r="K59" s="119"/>
      <c r="L59" s="119"/>
      <c r="M59" s="119"/>
      <c r="N59" s="117" t="str">
        <f t="shared" si="1"/>
        <v/>
      </c>
      <c r="O59" s="97" t="str">
        <f t="shared" si="0"/>
        <v/>
      </c>
      <c r="P59" s="97" t="str">
        <f t="shared" si="2"/>
        <v/>
      </c>
      <c r="Q59" s="97" t="str">
        <f t="shared" si="3"/>
        <v/>
      </c>
      <c r="R59" s="97" t="str">
        <f t="shared" si="4"/>
        <v/>
      </c>
      <c r="S59" s="97" t="str">
        <f t="shared" si="5"/>
        <v/>
      </c>
    </row>
    <row r="60" spans="1:19">
      <c r="A60" s="121"/>
      <c r="B60" s="121"/>
      <c r="C60" s="122"/>
      <c r="D60" s="123"/>
      <c r="E60" s="124"/>
      <c r="F60" s="125"/>
      <c r="G60" s="126"/>
      <c r="H60" s="127"/>
      <c r="I60" s="118"/>
      <c r="J60" s="119"/>
      <c r="K60" s="119"/>
      <c r="L60" s="119"/>
      <c r="M60" s="119"/>
      <c r="N60" s="117" t="str">
        <f t="shared" si="1"/>
        <v/>
      </c>
      <c r="O60" s="97" t="str">
        <f t="shared" si="0"/>
        <v/>
      </c>
      <c r="P60" s="97" t="str">
        <f t="shared" si="2"/>
        <v/>
      </c>
      <c r="Q60" s="97" t="str">
        <f t="shared" si="3"/>
        <v/>
      </c>
      <c r="R60" s="97" t="str">
        <f t="shared" si="4"/>
        <v/>
      </c>
      <c r="S60" s="97" t="str">
        <f t="shared" si="5"/>
        <v/>
      </c>
    </row>
    <row r="61" spans="1:19">
      <c r="A61" s="121"/>
      <c r="B61" s="121"/>
      <c r="C61" s="122"/>
      <c r="D61" s="123"/>
      <c r="E61" s="124"/>
      <c r="F61" s="125"/>
      <c r="G61" s="126"/>
      <c r="H61" s="127"/>
      <c r="I61" s="118"/>
      <c r="J61" s="119"/>
      <c r="K61" s="119"/>
      <c r="L61" s="119"/>
      <c r="M61" s="119"/>
      <c r="N61" s="117" t="str">
        <f t="shared" si="1"/>
        <v/>
      </c>
      <c r="O61" s="97" t="str">
        <f t="shared" si="0"/>
        <v/>
      </c>
      <c r="P61" s="97" t="str">
        <f t="shared" si="2"/>
        <v/>
      </c>
      <c r="Q61" s="97" t="str">
        <f t="shared" si="3"/>
        <v/>
      </c>
      <c r="R61" s="97" t="str">
        <f t="shared" si="4"/>
        <v/>
      </c>
      <c r="S61" s="97" t="str">
        <f t="shared" si="5"/>
        <v/>
      </c>
    </row>
    <row r="62" spans="1:19">
      <c r="A62" s="121"/>
      <c r="B62" s="121"/>
      <c r="C62" s="122"/>
      <c r="D62" s="123"/>
      <c r="E62" s="124"/>
      <c r="F62" s="125"/>
      <c r="G62" s="126"/>
      <c r="H62" s="127"/>
      <c r="I62" s="118"/>
      <c r="J62" s="119"/>
      <c r="K62" s="119"/>
      <c r="L62" s="119"/>
      <c r="M62" s="119"/>
      <c r="N62" s="117" t="str">
        <f t="shared" si="1"/>
        <v/>
      </c>
      <c r="O62" s="97" t="str">
        <f t="shared" si="0"/>
        <v/>
      </c>
      <c r="P62" s="97" t="str">
        <f t="shared" si="2"/>
        <v/>
      </c>
      <c r="Q62" s="97" t="str">
        <f t="shared" si="3"/>
        <v/>
      </c>
      <c r="R62" s="97" t="str">
        <f t="shared" si="4"/>
        <v/>
      </c>
      <c r="S62" s="97" t="str">
        <f t="shared" si="5"/>
        <v/>
      </c>
    </row>
    <row r="63" spans="1:19">
      <c r="A63" s="121"/>
      <c r="B63" s="121"/>
      <c r="C63" s="122"/>
      <c r="D63" s="123"/>
      <c r="E63" s="124"/>
      <c r="F63" s="125"/>
      <c r="G63" s="126"/>
      <c r="H63" s="127"/>
      <c r="I63" s="118"/>
      <c r="J63" s="119"/>
      <c r="K63" s="119"/>
      <c r="L63" s="119"/>
      <c r="M63" s="119"/>
      <c r="N63" s="117" t="str">
        <f t="shared" si="1"/>
        <v/>
      </c>
      <c r="O63" s="97" t="str">
        <f t="shared" si="0"/>
        <v/>
      </c>
      <c r="P63" s="97" t="str">
        <f t="shared" si="2"/>
        <v/>
      </c>
      <c r="Q63" s="97" t="str">
        <f t="shared" si="3"/>
        <v/>
      </c>
      <c r="R63" s="97" t="str">
        <f t="shared" si="4"/>
        <v/>
      </c>
      <c r="S63" s="97" t="str">
        <f t="shared" si="5"/>
        <v/>
      </c>
    </row>
    <row r="64" spans="1:19">
      <c r="A64" s="121"/>
      <c r="B64" s="121"/>
      <c r="C64" s="122"/>
      <c r="D64" s="123"/>
      <c r="E64" s="124"/>
      <c r="F64" s="125"/>
      <c r="G64" s="126"/>
      <c r="H64" s="127"/>
      <c r="I64" s="118"/>
      <c r="J64" s="119"/>
      <c r="K64" s="119"/>
      <c r="L64" s="119"/>
      <c r="M64" s="119"/>
      <c r="N64" s="117" t="str">
        <f t="shared" si="1"/>
        <v/>
      </c>
      <c r="O64" s="97" t="str">
        <f t="shared" si="0"/>
        <v/>
      </c>
      <c r="P64" s="97" t="str">
        <f t="shared" si="2"/>
        <v/>
      </c>
      <c r="Q64" s="97" t="str">
        <f t="shared" si="3"/>
        <v/>
      </c>
      <c r="R64" s="97" t="str">
        <f t="shared" si="4"/>
        <v/>
      </c>
      <c r="S64" s="97" t="str">
        <f t="shared" si="5"/>
        <v/>
      </c>
    </row>
    <row r="65" spans="1:19">
      <c r="A65" s="121"/>
      <c r="B65" s="121"/>
      <c r="C65" s="122"/>
      <c r="D65" s="123"/>
      <c r="E65" s="124"/>
      <c r="F65" s="125"/>
      <c r="G65" s="126"/>
      <c r="H65" s="127"/>
      <c r="I65" s="118"/>
      <c r="J65" s="119"/>
      <c r="K65" s="119"/>
      <c r="L65" s="119"/>
      <c r="M65" s="119"/>
      <c r="N65" s="117" t="str">
        <f t="shared" si="1"/>
        <v/>
      </c>
      <c r="O65" s="97" t="str">
        <f t="shared" si="0"/>
        <v/>
      </c>
      <c r="P65" s="97" t="str">
        <f t="shared" si="2"/>
        <v/>
      </c>
      <c r="Q65" s="97" t="str">
        <f t="shared" si="3"/>
        <v/>
      </c>
      <c r="R65" s="97" t="str">
        <f t="shared" si="4"/>
        <v/>
      </c>
      <c r="S65" s="97" t="str">
        <f t="shared" si="5"/>
        <v/>
      </c>
    </row>
    <row r="66" spans="1:19">
      <c r="A66" s="121"/>
      <c r="B66" s="121"/>
      <c r="C66" s="122"/>
      <c r="D66" s="123"/>
      <c r="E66" s="124"/>
      <c r="F66" s="125"/>
      <c r="G66" s="126"/>
      <c r="H66" s="127"/>
      <c r="I66" s="118"/>
      <c r="J66" s="119"/>
      <c r="K66" s="119"/>
      <c r="L66" s="119"/>
      <c r="M66" s="119"/>
      <c r="N66" s="117" t="str">
        <f t="shared" si="1"/>
        <v/>
      </c>
      <c r="O66" s="97" t="str">
        <f t="shared" si="0"/>
        <v/>
      </c>
      <c r="P66" s="97" t="str">
        <f t="shared" si="2"/>
        <v/>
      </c>
      <c r="Q66" s="97" t="str">
        <f t="shared" si="3"/>
        <v/>
      </c>
      <c r="R66" s="97" t="str">
        <f t="shared" si="4"/>
        <v/>
      </c>
      <c r="S66" s="97" t="str">
        <f t="shared" si="5"/>
        <v/>
      </c>
    </row>
    <row r="67" spans="1:19">
      <c r="A67" s="121"/>
      <c r="B67" s="121"/>
      <c r="C67" s="122"/>
      <c r="D67" s="123"/>
      <c r="E67" s="124"/>
      <c r="F67" s="125"/>
      <c r="G67" s="126"/>
      <c r="H67" s="127"/>
      <c r="I67" s="118"/>
      <c r="J67" s="119"/>
      <c r="K67" s="119"/>
      <c r="L67" s="119"/>
      <c r="M67" s="119"/>
      <c r="N67" s="117" t="str">
        <f t="shared" si="1"/>
        <v/>
      </c>
      <c r="O67" s="97" t="str">
        <f t="shared" si="0"/>
        <v/>
      </c>
      <c r="P67" s="97" t="str">
        <f t="shared" si="2"/>
        <v/>
      </c>
      <c r="Q67" s="97" t="str">
        <f t="shared" si="3"/>
        <v/>
      </c>
      <c r="R67" s="97" t="str">
        <f t="shared" si="4"/>
        <v/>
      </c>
      <c r="S67" s="97" t="str">
        <f t="shared" si="5"/>
        <v/>
      </c>
    </row>
    <row r="68" spans="1:19">
      <c r="A68" s="121"/>
      <c r="B68" s="121"/>
      <c r="C68" s="122"/>
      <c r="D68" s="123"/>
      <c r="E68" s="124"/>
      <c r="F68" s="125"/>
      <c r="G68" s="126"/>
      <c r="H68" s="127"/>
      <c r="I68" s="118"/>
      <c r="J68" s="119"/>
      <c r="K68" s="119"/>
      <c r="L68" s="119"/>
      <c r="M68" s="119"/>
      <c r="N68" s="117" t="str">
        <f t="shared" si="1"/>
        <v/>
      </c>
      <c r="O68" s="97" t="str">
        <f t="shared" si="0"/>
        <v/>
      </c>
      <c r="P68" s="97" t="str">
        <f t="shared" si="2"/>
        <v/>
      </c>
      <c r="Q68" s="97" t="str">
        <f t="shared" si="3"/>
        <v/>
      </c>
      <c r="R68" s="97" t="str">
        <f t="shared" si="4"/>
        <v/>
      </c>
      <c r="S68" s="97" t="str">
        <f t="shared" si="5"/>
        <v/>
      </c>
    </row>
    <row r="69" spans="1:19">
      <c r="A69" s="121"/>
      <c r="B69" s="121"/>
      <c r="C69" s="122"/>
      <c r="D69" s="123"/>
      <c r="E69" s="124"/>
      <c r="F69" s="125"/>
      <c r="G69" s="126"/>
      <c r="H69" s="127"/>
      <c r="I69" s="118"/>
      <c r="J69" s="119"/>
      <c r="K69" s="119"/>
      <c r="L69" s="119"/>
      <c r="M69" s="119"/>
      <c r="N69" s="117" t="str">
        <f t="shared" si="1"/>
        <v/>
      </c>
      <c r="O69" s="97" t="str">
        <f t="shared" si="0"/>
        <v/>
      </c>
      <c r="P69" s="97" t="str">
        <f t="shared" si="2"/>
        <v/>
      </c>
      <c r="Q69" s="97" t="str">
        <f t="shared" si="3"/>
        <v/>
      </c>
      <c r="R69" s="97" t="str">
        <f t="shared" si="4"/>
        <v/>
      </c>
      <c r="S69" s="97" t="str">
        <f t="shared" si="5"/>
        <v/>
      </c>
    </row>
    <row r="70" spans="1:19">
      <c r="A70" s="121"/>
      <c r="B70" s="121"/>
      <c r="C70" s="122"/>
      <c r="D70" s="123"/>
      <c r="E70" s="124"/>
      <c r="F70" s="125"/>
      <c r="G70" s="126"/>
      <c r="H70" s="127"/>
      <c r="I70" s="118"/>
      <c r="J70" s="119"/>
      <c r="K70" s="119"/>
      <c r="L70" s="119"/>
      <c r="M70" s="119"/>
      <c r="N70" s="117" t="str">
        <f t="shared" si="1"/>
        <v/>
      </c>
      <c r="O70" s="97" t="str">
        <f t="shared" ref="O70:O133" si="6">IF($C70="","",IF($B70="beginning",($I70*35.44),IF($B70="middle",($I70*8.86),IF($B70="end",($I70*8.86),""))))</f>
        <v/>
      </c>
      <c r="P70" s="97" t="str">
        <f t="shared" si="2"/>
        <v/>
      </c>
      <c r="Q70" s="97" t="str">
        <f t="shared" si="3"/>
        <v/>
      </c>
      <c r="R70" s="97" t="str">
        <f t="shared" si="4"/>
        <v/>
      </c>
      <c r="S70" s="97" t="str">
        <f t="shared" si="5"/>
        <v/>
      </c>
    </row>
    <row r="71" spans="1:19">
      <c r="A71" s="121"/>
      <c r="B71" s="121"/>
      <c r="C71" s="122"/>
      <c r="D71" s="123"/>
      <c r="E71" s="124"/>
      <c r="F71" s="125"/>
      <c r="G71" s="126"/>
      <c r="H71" s="127"/>
      <c r="I71" s="118"/>
      <c r="J71" s="119"/>
      <c r="K71" s="119"/>
      <c r="L71" s="119"/>
      <c r="M71" s="119"/>
      <c r="N71" s="117" t="str">
        <f t="shared" ref="N71:N134" si="7">IF($C71="","",IF(TRIM($B71)="beginning",(((SUM($O71:$S71)-729)/630)*40)+289,IF(TRIM($B71)="middle",(((SUM($O71:$S71)-729)/630)*40)+364,IF(TRIM($B71)="end",(((SUM($O71:$S71)-729)/630)*40)+398,""))))</f>
        <v/>
      </c>
      <c r="O71" s="97" t="str">
        <f t="shared" si="6"/>
        <v/>
      </c>
      <c r="P71" s="97" t="str">
        <f t="shared" ref="P71:P134" si="8">IF($C71="","",$J71*4.13)</f>
        <v/>
      </c>
      <c r="Q71" s="97" t="str">
        <f t="shared" ref="Q71:Q134" si="9">IF($C71="","",$K71*14.93)</f>
        <v/>
      </c>
      <c r="R71" s="97" t="str">
        <f t="shared" ref="R71:R134" si="10">IF($C71="","",$L71*3.56)</f>
        <v/>
      </c>
      <c r="S71" s="97" t="str">
        <f t="shared" ref="S71:S134" si="11">IF($C71="","",$M71*5.62)</f>
        <v/>
      </c>
    </row>
    <row r="72" spans="1:19">
      <c r="A72" s="121"/>
      <c r="B72" s="121"/>
      <c r="C72" s="122"/>
      <c r="D72" s="123"/>
      <c r="E72" s="124"/>
      <c r="F72" s="125"/>
      <c r="G72" s="126"/>
      <c r="H72" s="127"/>
      <c r="I72" s="118"/>
      <c r="J72" s="119"/>
      <c r="K72" s="119"/>
      <c r="L72" s="119"/>
      <c r="M72" s="119"/>
      <c r="N72" s="117" t="str">
        <f t="shared" si="7"/>
        <v/>
      </c>
      <c r="O72" s="97" t="str">
        <f t="shared" si="6"/>
        <v/>
      </c>
      <c r="P72" s="97" t="str">
        <f t="shared" si="8"/>
        <v/>
      </c>
      <c r="Q72" s="97" t="str">
        <f t="shared" si="9"/>
        <v/>
      </c>
      <c r="R72" s="97" t="str">
        <f t="shared" si="10"/>
        <v/>
      </c>
      <c r="S72" s="97" t="str">
        <f t="shared" si="11"/>
        <v/>
      </c>
    </row>
    <row r="73" spans="1:19">
      <c r="A73" s="121"/>
      <c r="B73" s="121"/>
      <c r="C73" s="122"/>
      <c r="D73" s="123"/>
      <c r="E73" s="124"/>
      <c r="F73" s="125"/>
      <c r="G73" s="126"/>
      <c r="H73" s="127"/>
      <c r="I73" s="118"/>
      <c r="J73" s="119"/>
      <c r="K73" s="119"/>
      <c r="L73" s="119"/>
      <c r="M73" s="119"/>
      <c r="N73" s="117" t="str">
        <f t="shared" si="7"/>
        <v/>
      </c>
      <c r="O73" s="97" t="str">
        <f t="shared" si="6"/>
        <v/>
      </c>
      <c r="P73" s="97" t="str">
        <f t="shared" si="8"/>
        <v/>
      </c>
      <c r="Q73" s="97" t="str">
        <f t="shared" si="9"/>
        <v/>
      </c>
      <c r="R73" s="97" t="str">
        <f t="shared" si="10"/>
        <v/>
      </c>
      <c r="S73" s="97" t="str">
        <f t="shared" si="11"/>
        <v/>
      </c>
    </row>
    <row r="74" spans="1:19">
      <c r="A74" s="121"/>
      <c r="B74" s="121"/>
      <c r="C74" s="122"/>
      <c r="D74" s="123"/>
      <c r="E74" s="124"/>
      <c r="F74" s="125"/>
      <c r="G74" s="126"/>
      <c r="H74" s="127"/>
      <c r="I74" s="118"/>
      <c r="J74" s="119"/>
      <c r="K74" s="119"/>
      <c r="L74" s="119"/>
      <c r="M74" s="119"/>
      <c r="N74" s="117" t="str">
        <f t="shared" si="7"/>
        <v/>
      </c>
      <c r="O74" s="97" t="str">
        <f t="shared" si="6"/>
        <v/>
      </c>
      <c r="P74" s="97" t="str">
        <f t="shared" si="8"/>
        <v/>
      </c>
      <c r="Q74" s="97" t="str">
        <f t="shared" si="9"/>
        <v/>
      </c>
      <c r="R74" s="97" t="str">
        <f t="shared" si="10"/>
        <v/>
      </c>
      <c r="S74" s="97" t="str">
        <f t="shared" si="11"/>
        <v/>
      </c>
    </row>
    <row r="75" spans="1:19">
      <c r="A75" s="121"/>
      <c r="B75" s="121"/>
      <c r="C75" s="122"/>
      <c r="D75" s="123"/>
      <c r="E75" s="124"/>
      <c r="F75" s="125"/>
      <c r="G75" s="126"/>
      <c r="H75" s="127"/>
      <c r="I75" s="118"/>
      <c r="J75" s="119"/>
      <c r="K75" s="119"/>
      <c r="L75" s="119"/>
      <c r="M75" s="119"/>
      <c r="N75" s="117" t="str">
        <f t="shared" si="7"/>
        <v/>
      </c>
      <c r="O75" s="97" t="str">
        <f t="shared" si="6"/>
        <v/>
      </c>
      <c r="P75" s="97" t="str">
        <f t="shared" si="8"/>
        <v/>
      </c>
      <c r="Q75" s="97" t="str">
        <f t="shared" si="9"/>
        <v/>
      </c>
      <c r="R75" s="97" t="str">
        <f t="shared" si="10"/>
        <v/>
      </c>
      <c r="S75" s="97" t="str">
        <f t="shared" si="11"/>
        <v/>
      </c>
    </row>
    <row r="76" spans="1:19">
      <c r="A76" s="121"/>
      <c r="B76" s="121"/>
      <c r="C76" s="122"/>
      <c r="D76" s="123"/>
      <c r="E76" s="124"/>
      <c r="F76" s="125"/>
      <c r="G76" s="126"/>
      <c r="H76" s="127"/>
      <c r="I76" s="118"/>
      <c r="J76" s="119"/>
      <c r="K76" s="119"/>
      <c r="L76" s="119"/>
      <c r="M76" s="119"/>
      <c r="N76" s="117" t="str">
        <f t="shared" si="7"/>
        <v/>
      </c>
      <c r="O76" s="97" t="str">
        <f t="shared" si="6"/>
        <v/>
      </c>
      <c r="P76" s="97" t="str">
        <f t="shared" si="8"/>
        <v/>
      </c>
      <c r="Q76" s="97" t="str">
        <f t="shared" si="9"/>
        <v/>
      </c>
      <c r="R76" s="97" t="str">
        <f t="shared" si="10"/>
        <v/>
      </c>
      <c r="S76" s="97" t="str">
        <f t="shared" si="11"/>
        <v/>
      </c>
    </row>
    <row r="77" spans="1:19">
      <c r="A77" s="121"/>
      <c r="B77" s="121"/>
      <c r="C77" s="122"/>
      <c r="D77" s="123"/>
      <c r="E77" s="124"/>
      <c r="F77" s="125"/>
      <c r="G77" s="126"/>
      <c r="H77" s="127"/>
      <c r="I77" s="118"/>
      <c r="J77" s="119"/>
      <c r="K77" s="119"/>
      <c r="L77" s="119"/>
      <c r="M77" s="119"/>
      <c r="N77" s="117" t="str">
        <f t="shared" si="7"/>
        <v/>
      </c>
      <c r="O77" s="97" t="str">
        <f t="shared" si="6"/>
        <v/>
      </c>
      <c r="P77" s="97" t="str">
        <f t="shared" si="8"/>
        <v/>
      </c>
      <c r="Q77" s="97" t="str">
        <f t="shared" si="9"/>
        <v/>
      </c>
      <c r="R77" s="97" t="str">
        <f t="shared" si="10"/>
        <v/>
      </c>
      <c r="S77" s="97" t="str">
        <f t="shared" si="11"/>
        <v/>
      </c>
    </row>
    <row r="78" spans="1:19">
      <c r="A78" s="121"/>
      <c r="B78" s="121"/>
      <c r="C78" s="122"/>
      <c r="D78" s="123"/>
      <c r="E78" s="124"/>
      <c r="F78" s="125"/>
      <c r="G78" s="126"/>
      <c r="H78" s="127"/>
      <c r="I78" s="118"/>
      <c r="J78" s="119"/>
      <c r="K78" s="119"/>
      <c r="L78" s="119"/>
      <c r="M78" s="119"/>
      <c r="N78" s="117" t="str">
        <f t="shared" si="7"/>
        <v/>
      </c>
      <c r="O78" s="97" t="str">
        <f t="shared" si="6"/>
        <v/>
      </c>
      <c r="P78" s="97" t="str">
        <f t="shared" si="8"/>
        <v/>
      </c>
      <c r="Q78" s="97" t="str">
        <f t="shared" si="9"/>
        <v/>
      </c>
      <c r="R78" s="97" t="str">
        <f t="shared" si="10"/>
        <v/>
      </c>
      <c r="S78" s="97" t="str">
        <f t="shared" si="11"/>
        <v/>
      </c>
    </row>
    <row r="79" spans="1:19">
      <c r="A79" s="121"/>
      <c r="B79" s="121"/>
      <c r="C79" s="122"/>
      <c r="D79" s="123"/>
      <c r="E79" s="124"/>
      <c r="F79" s="125"/>
      <c r="G79" s="126"/>
      <c r="H79" s="127"/>
      <c r="I79" s="118"/>
      <c r="J79" s="119"/>
      <c r="K79" s="119"/>
      <c r="L79" s="119"/>
      <c r="M79" s="119"/>
      <c r="N79" s="117" t="str">
        <f t="shared" si="7"/>
        <v/>
      </c>
      <c r="O79" s="97" t="str">
        <f t="shared" si="6"/>
        <v/>
      </c>
      <c r="P79" s="97" t="str">
        <f t="shared" si="8"/>
        <v/>
      </c>
      <c r="Q79" s="97" t="str">
        <f t="shared" si="9"/>
        <v/>
      </c>
      <c r="R79" s="97" t="str">
        <f t="shared" si="10"/>
        <v/>
      </c>
      <c r="S79" s="97" t="str">
        <f t="shared" si="11"/>
        <v/>
      </c>
    </row>
    <row r="80" spans="1:19">
      <c r="A80" s="121"/>
      <c r="B80" s="121"/>
      <c r="C80" s="122"/>
      <c r="D80" s="123"/>
      <c r="E80" s="124"/>
      <c r="F80" s="125"/>
      <c r="G80" s="126"/>
      <c r="H80" s="127"/>
      <c r="I80" s="118"/>
      <c r="J80" s="119"/>
      <c r="K80" s="119"/>
      <c r="L80" s="119"/>
      <c r="M80" s="119"/>
      <c r="N80" s="117" t="str">
        <f t="shared" si="7"/>
        <v/>
      </c>
      <c r="O80" s="97" t="str">
        <f t="shared" si="6"/>
        <v/>
      </c>
      <c r="P80" s="97" t="str">
        <f t="shared" si="8"/>
        <v/>
      </c>
      <c r="Q80" s="97" t="str">
        <f t="shared" si="9"/>
        <v/>
      </c>
      <c r="R80" s="97" t="str">
        <f t="shared" si="10"/>
        <v/>
      </c>
      <c r="S80" s="97" t="str">
        <f t="shared" si="11"/>
        <v/>
      </c>
    </row>
    <row r="81" spans="1:19">
      <c r="A81" s="121"/>
      <c r="B81" s="121"/>
      <c r="C81" s="122"/>
      <c r="D81" s="123"/>
      <c r="E81" s="124"/>
      <c r="F81" s="125"/>
      <c r="G81" s="126"/>
      <c r="H81" s="127"/>
      <c r="I81" s="118"/>
      <c r="J81" s="119"/>
      <c r="K81" s="119"/>
      <c r="L81" s="119"/>
      <c r="M81" s="119"/>
      <c r="N81" s="117" t="str">
        <f t="shared" si="7"/>
        <v/>
      </c>
      <c r="O81" s="97" t="str">
        <f t="shared" si="6"/>
        <v/>
      </c>
      <c r="P81" s="97" t="str">
        <f t="shared" si="8"/>
        <v/>
      </c>
      <c r="Q81" s="97" t="str">
        <f t="shared" si="9"/>
        <v/>
      </c>
      <c r="R81" s="97" t="str">
        <f t="shared" si="10"/>
        <v/>
      </c>
      <c r="S81" s="97" t="str">
        <f t="shared" si="11"/>
        <v/>
      </c>
    </row>
    <row r="82" spans="1:19">
      <c r="A82" s="121"/>
      <c r="B82" s="121"/>
      <c r="C82" s="122"/>
      <c r="D82" s="123"/>
      <c r="E82" s="124"/>
      <c r="F82" s="125"/>
      <c r="G82" s="126"/>
      <c r="H82" s="127"/>
      <c r="I82" s="118"/>
      <c r="J82" s="119"/>
      <c r="K82" s="119"/>
      <c r="L82" s="119"/>
      <c r="M82" s="119"/>
      <c r="N82" s="117" t="str">
        <f t="shared" si="7"/>
        <v/>
      </c>
      <c r="O82" s="97" t="str">
        <f t="shared" si="6"/>
        <v/>
      </c>
      <c r="P82" s="97" t="str">
        <f t="shared" si="8"/>
        <v/>
      </c>
      <c r="Q82" s="97" t="str">
        <f t="shared" si="9"/>
        <v/>
      </c>
      <c r="R82" s="97" t="str">
        <f t="shared" si="10"/>
        <v/>
      </c>
      <c r="S82" s="97" t="str">
        <f t="shared" si="11"/>
        <v/>
      </c>
    </row>
    <row r="83" spans="1:19">
      <c r="A83" s="121"/>
      <c r="B83" s="121"/>
      <c r="C83" s="122"/>
      <c r="D83" s="123"/>
      <c r="E83" s="124"/>
      <c r="F83" s="125"/>
      <c r="G83" s="126"/>
      <c r="H83" s="127"/>
      <c r="I83" s="118"/>
      <c r="J83" s="119"/>
      <c r="K83" s="119"/>
      <c r="L83" s="119"/>
      <c r="M83" s="119"/>
      <c r="N83" s="117" t="str">
        <f t="shared" si="7"/>
        <v/>
      </c>
      <c r="O83" s="97" t="str">
        <f t="shared" si="6"/>
        <v/>
      </c>
      <c r="P83" s="97" t="str">
        <f t="shared" si="8"/>
        <v/>
      </c>
      <c r="Q83" s="97" t="str">
        <f t="shared" si="9"/>
        <v/>
      </c>
      <c r="R83" s="97" t="str">
        <f t="shared" si="10"/>
        <v/>
      </c>
      <c r="S83" s="97" t="str">
        <f t="shared" si="11"/>
        <v/>
      </c>
    </row>
    <row r="84" spans="1:19">
      <c r="A84" s="121"/>
      <c r="B84" s="121"/>
      <c r="C84" s="122"/>
      <c r="D84" s="123"/>
      <c r="E84" s="124"/>
      <c r="F84" s="125"/>
      <c r="G84" s="126"/>
      <c r="H84" s="127"/>
      <c r="I84" s="118"/>
      <c r="J84" s="119"/>
      <c r="K84" s="119"/>
      <c r="L84" s="119"/>
      <c r="M84" s="119"/>
      <c r="N84" s="117" t="str">
        <f t="shared" si="7"/>
        <v/>
      </c>
      <c r="O84" s="97" t="str">
        <f t="shared" si="6"/>
        <v/>
      </c>
      <c r="P84" s="97" t="str">
        <f t="shared" si="8"/>
        <v/>
      </c>
      <c r="Q84" s="97" t="str">
        <f t="shared" si="9"/>
        <v/>
      </c>
      <c r="R84" s="97" t="str">
        <f t="shared" si="10"/>
        <v/>
      </c>
      <c r="S84" s="97" t="str">
        <f t="shared" si="11"/>
        <v/>
      </c>
    </row>
    <row r="85" spans="1:19">
      <c r="A85" s="121"/>
      <c r="B85" s="121"/>
      <c r="C85" s="122"/>
      <c r="D85" s="123"/>
      <c r="E85" s="124"/>
      <c r="F85" s="125"/>
      <c r="G85" s="126"/>
      <c r="H85" s="127"/>
      <c r="I85" s="118"/>
      <c r="J85" s="119"/>
      <c r="K85" s="119"/>
      <c r="L85" s="119"/>
      <c r="M85" s="119"/>
      <c r="N85" s="117" t="str">
        <f t="shared" si="7"/>
        <v/>
      </c>
      <c r="O85" s="97" t="str">
        <f t="shared" si="6"/>
        <v/>
      </c>
      <c r="P85" s="97" t="str">
        <f t="shared" si="8"/>
        <v/>
      </c>
      <c r="Q85" s="97" t="str">
        <f t="shared" si="9"/>
        <v/>
      </c>
      <c r="R85" s="97" t="str">
        <f t="shared" si="10"/>
        <v/>
      </c>
      <c r="S85" s="97" t="str">
        <f t="shared" si="11"/>
        <v/>
      </c>
    </row>
    <row r="86" spans="1:19">
      <c r="A86" s="121"/>
      <c r="B86" s="121"/>
      <c r="C86" s="122"/>
      <c r="D86" s="123"/>
      <c r="E86" s="124"/>
      <c r="F86" s="125"/>
      <c r="G86" s="126"/>
      <c r="H86" s="127"/>
      <c r="I86" s="118"/>
      <c r="J86" s="119"/>
      <c r="K86" s="119"/>
      <c r="L86" s="119"/>
      <c r="M86" s="119"/>
      <c r="N86" s="117" t="str">
        <f t="shared" si="7"/>
        <v/>
      </c>
      <c r="O86" s="97" t="str">
        <f t="shared" si="6"/>
        <v/>
      </c>
      <c r="P86" s="97" t="str">
        <f t="shared" si="8"/>
        <v/>
      </c>
      <c r="Q86" s="97" t="str">
        <f t="shared" si="9"/>
        <v/>
      </c>
      <c r="R86" s="97" t="str">
        <f t="shared" si="10"/>
        <v/>
      </c>
      <c r="S86" s="97" t="str">
        <f t="shared" si="11"/>
        <v/>
      </c>
    </row>
    <row r="87" spans="1:19">
      <c r="A87" s="121"/>
      <c r="B87" s="121"/>
      <c r="C87" s="122"/>
      <c r="D87" s="123"/>
      <c r="E87" s="124"/>
      <c r="F87" s="125"/>
      <c r="G87" s="126"/>
      <c r="H87" s="127"/>
      <c r="I87" s="118"/>
      <c r="J87" s="119"/>
      <c r="K87" s="119"/>
      <c r="L87" s="119"/>
      <c r="M87" s="119"/>
      <c r="N87" s="117" t="str">
        <f t="shared" si="7"/>
        <v/>
      </c>
      <c r="O87" s="97" t="str">
        <f t="shared" si="6"/>
        <v/>
      </c>
      <c r="P87" s="97" t="str">
        <f t="shared" si="8"/>
        <v/>
      </c>
      <c r="Q87" s="97" t="str">
        <f t="shared" si="9"/>
        <v/>
      </c>
      <c r="R87" s="97" t="str">
        <f t="shared" si="10"/>
        <v/>
      </c>
      <c r="S87" s="97" t="str">
        <f t="shared" si="11"/>
        <v/>
      </c>
    </row>
    <row r="88" spans="1:19">
      <c r="A88" s="121"/>
      <c r="B88" s="121"/>
      <c r="C88" s="122"/>
      <c r="D88" s="123"/>
      <c r="E88" s="124"/>
      <c r="F88" s="125"/>
      <c r="G88" s="126"/>
      <c r="H88" s="127"/>
      <c r="I88" s="118"/>
      <c r="J88" s="119"/>
      <c r="K88" s="119"/>
      <c r="L88" s="119"/>
      <c r="M88" s="119"/>
      <c r="N88" s="117" t="str">
        <f t="shared" si="7"/>
        <v/>
      </c>
      <c r="O88" s="97" t="str">
        <f t="shared" si="6"/>
        <v/>
      </c>
      <c r="P88" s="97" t="str">
        <f t="shared" si="8"/>
        <v/>
      </c>
      <c r="Q88" s="97" t="str">
        <f t="shared" si="9"/>
        <v/>
      </c>
      <c r="R88" s="97" t="str">
        <f t="shared" si="10"/>
        <v/>
      </c>
      <c r="S88" s="97" t="str">
        <f t="shared" si="11"/>
        <v/>
      </c>
    </row>
    <row r="89" spans="1:19">
      <c r="A89" s="121"/>
      <c r="B89" s="121"/>
      <c r="C89" s="122"/>
      <c r="D89" s="123"/>
      <c r="E89" s="124"/>
      <c r="F89" s="125"/>
      <c r="G89" s="126"/>
      <c r="H89" s="127"/>
      <c r="I89" s="118"/>
      <c r="J89" s="119"/>
      <c r="K89" s="119"/>
      <c r="L89" s="119"/>
      <c r="M89" s="119"/>
      <c r="N89" s="117" t="str">
        <f t="shared" si="7"/>
        <v/>
      </c>
      <c r="O89" s="97" t="str">
        <f t="shared" si="6"/>
        <v/>
      </c>
      <c r="P89" s="97" t="str">
        <f t="shared" si="8"/>
        <v/>
      </c>
      <c r="Q89" s="97" t="str">
        <f t="shared" si="9"/>
        <v/>
      </c>
      <c r="R89" s="97" t="str">
        <f t="shared" si="10"/>
        <v/>
      </c>
      <c r="S89" s="97" t="str">
        <f t="shared" si="11"/>
        <v/>
      </c>
    </row>
    <row r="90" spans="1:19">
      <c r="A90" s="121"/>
      <c r="B90" s="121"/>
      <c r="C90" s="122"/>
      <c r="D90" s="123"/>
      <c r="E90" s="124"/>
      <c r="F90" s="125"/>
      <c r="G90" s="126"/>
      <c r="H90" s="127"/>
      <c r="I90" s="118"/>
      <c r="J90" s="119"/>
      <c r="K90" s="119"/>
      <c r="L90" s="119"/>
      <c r="M90" s="119"/>
      <c r="N90" s="117" t="str">
        <f t="shared" si="7"/>
        <v/>
      </c>
      <c r="O90" s="97" t="str">
        <f t="shared" si="6"/>
        <v/>
      </c>
      <c r="P90" s="97" t="str">
        <f t="shared" si="8"/>
        <v/>
      </c>
      <c r="Q90" s="97" t="str">
        <f t="shared" si="9"/>
        <v/>
      </c>
      <c r="R90" s="97" t="str">
        <f t="shared" si="10"/>
        <v/>
      </c>
      <c r="S90" s="97" t="str">
        <f t="shared" si="11"/>
        <v/>
      </c>
    </row>
    <row r="91" spans="1:19">
      <c r="A91" s="121"/>
      <c r="B91" s="121"/>
      <c r="C91" s="122"/>
      <c r="D91" s="123"/>
      <c r="E91" s="124"/>
      <c r="F91" s="125"/>
      <c r="G91" s="126"/>
      <c r="H91" s="127"/>
      <c r="I91" s="118"/>
      <c r="J91" s="119"/>
      <c r="K91" s="119"/>
      <c r="L91" s="119"/>
      <c r="M91" s="119"/>
      <c r="N91" s="117" t="str">
        <f t="shared" si="7"/>
        <v/>
      </c>
      <c r="O91" s="97" t="str">
        <f t="shared" si="6"/>
        <v/>
      </c>
      <c r="P91" s="97" t="str">
        <f t="shared" si="8"/>
        <v/>
      </c>
      <c r="Q91" s="97" t="str">
        <f t="shared" si="9"/>
        <v/>
      </c>
      <c r="R91" s="97" t="str">
        <f t="shared" si="10"/>
        <v/>
      </c>
      <c r="S91" s="97" t="str">
        <f t="shared" si="11"/>
        <v/>
      </c>
    </row>
    <row r="92" spans="1:19">
      <c r="A92" s="121"/>
      <c r="B92" s="121"/>
      <c r="C92" s="122"/>
      <c r="D92" s="123"/>
      <c r="E92" s="124"/>
      <c r="F92" s="125"/>
      <c r="G92" s="126"/>
      <c r="H92" s="127"/>
      <c r="I92" s="118"/>
      <c r="J92" s="119"/>
      <c r="K92" s="119"/>
      <c r="L92" s="119"/>
      <c r="M92" s="119"/>
      <c r="N92" s="117" t="str">
        <f t="shared" si="7"/>
        <v/>
      </c>
      <c r="O92" s="97" t="str">
        <f t="shared" si="6"/>
        <v/>
      </c>
      <c r="P92" s="97" t="str">
        <f t="shared" si="8"/>
        <v/>
      </c>
      <c r="Q92" s="97" t="str">
        <f t="shared" si="9"/>
        <v/>
      </c>
      <c r="R92" s="97" t="str">
        <f t="shared" si="10"/>
        <v/>
      </c>
      <c r="S92" s="97" t="str">
        <f t="shared" si="11"/>
        <v/>
      </c>
    </row>
    <row r="93" spans="1:19">
      <c r="A93" s="121"/>
      <c r="B93" s="121"/>
      <c r="C93" s="122"/>
      <c r="D93" s="123"/>
      <c r="E93" s="124"/>
      <c r="F93" s="125"/>
      <c r="G93" s="126"/>
      <c r="H93" s="127"/>
      <c r="I93" s="118"/>
      <c r="J93" s="119"/>
      <c r="K93" s="119"/>
      <c r="L93" s="119"/>
      <c r="M93" s="119"/>
      <c r="N93" s="117" t="str">
        <f t="shared" si="7"/>
        <v/>
      </c>
      <c r="O93" s="97" t="str">
        <f t="shared" si="6"/>
        <v/>
      </c>
      <c r="P93" s="97" t="str">
        <f t="shared" si="8"/>
        <v/>
      </c>
      <c r="Q93" s="97" t="str">
        <f t="shared" si="9"/>
        <v/>
      </c>
      <c r="R93" s="97" t="str">
        <f t="shared" si="10"/>
        <v/>
      </c>
      <c r="S93" s="97" t="str">
        <f t="shared" si="11"/>
        <v/>
      </c>
    </row>
    <row r="94" spans="1:19">
      <c r="A94" s="121"/>
      <c r="B94" s="121"/>
      <c r="C94" s="122"/>
      <c r="D94" s="123"/>
      <c r="E94" s="124"/>
      <c r="F94" s="125"/>
      <c r="G94" s="126"/>
      <c r="H94" s="127"/>
      <c r="I94" s="118"/>
      <c r="J94" s="119"/>
      <c r="K94" s="119"/>
      <c r="L94" s="119"/>
      <c r="M94" s="119"/>
      <c r="N94" s="117" t="str">
        <f t="shared" si="7"/>
        <v/>
      </c>
      <c r="O94" s="97" t="str">
        <f t="shared" si="6"/>
        <v/>
      </c>
      <c r="P94" s="97" t="str">
        <f t="shared" si="8"/>
        <v/>
      </c>
      <c r="Q94" s="97" t="str">
        <f t="shared" si="9"/>
        <v/>
      </c>
      <c r="R94" s="97" t="str">
        <f t="shared" si="10"/>
        <v/>
      </c>
      <c r="S94" s="97" t="str">
        <f t="shared" si="11"/>
        <v/>
      </c>
    </row>
    <row r="95" spans="1:19">
      <c r="A95" s="121"/>
      <c r="B95" s="121"/>
      <c r="C95" s="122"/>
      <c r="D95" s="123"/>
      <c r="E95" s="124"/>
      <c r="F95" s="125"/>
      <c r="G95" s="126"/>
      <c r="H95" s="127"/>
      <c r="I95" s="118"/>
      <c r="J95" s="119"/>
      <c r="K95" s="119"/>
      <c r="L95" s="119"/>
      <c r="M95" s="119"/>
      <c r="N95" s="117" t="str">
        <f t="shared" si="7"/>
        <v/>
      </c>
      <c r="O95" s="97" t="str">
        <f t="shared" si="6"/>
        <v/>
      </c>
      <c r="P95" s="97" t="str">
        <f t="shared" si="8"/>
        <v/>
      </c>
      <c r="Q95" s="97" t="str">
        <f t="shared" si="9"/>
        <v/>
      </c>
      <c r="R95" s="97" t="str">
        <f t="shared" si="10"/>
        <v/>
      </c>
      <c r="S95" s="97" t="str">
        <f t="shared" si="11"/>
        <v/>
      </c>
    </row>
    <row r="96" spans="1:19">
      <c r="A96" s="121"/>
      <c r="B96" s="121"/>
      <c r="C96" s="122"/>
      <c r="D96" s="123"/>
      <c r="E96" s="124"/>
      <c r="F96" s="125"/>
      <c r="G96" s="126"/>
      <c r="H96" s="127"/>
      <c r="I96" s="118"/>
      <c r="J96" s="119"/>
      <c r="K96" s="119"/>
      <c r="L96" s="119"/>
      <c r="M96" s="119"/>
      <c r="N96" s="117" t="str">
        <f t="shared" si="7"/>
        <v/>
      </c>
      <c r="O96" s="97" t="str">
        <f t="shared" si="6"/>
        <v/>
      </c>
      <c r="P96" s="97" t="str">
        <f t="shared" si="8"/>
        <v/>
      </c>
      <c r="Q96" s="97" t="str">
        <f t="shared" si="9"/>
        <v/>
      </c>
      <c r="R96" s="97" t="str">
        <f t="shared" si="10"/>
        <v/>
      </c>
      <c r="S96" s="97" t="str">
        <f t="shared" si="11"/>
        <v/>
      </c>
    </row>
    <row r="97" spans="1:19">
      <c r="A97" s="121"/>
      <c r="B97" s="121"/>
      <c r="C97" s="122"/>
      <c r="D97" s="123"/>
      <c r="E97" s="124"/>
      <c r="F97" s="125"/>
      <c r="G97" s="126"/>
      <c r="H97" s="127"/>
      <c r="I97" s="118"/>
      <c r="J97" s="119"/>
      <c r="K97" s="119"/>
      <c r="L97" s="119"/>
      <c r="M97" s="119"/>
      <c r="N97" s="117" t="str">
        <f t="shared" si="7"/>
        <v/>
      </c>
      <c r="O97" s="97" t="str">
        <f t="shared" si="6"/>
        <v/>
      </c>
      <c r="P97" s="97" t="str">
        <f t="shared" si="8"/>
        <v/>
      </c>
      <c r="Q97" s="97" t="str">
        <f t="shared" si="9"/>
        <v/>
      </c>
      <c r="R97" s="97" t="str">
        <f t="shared" si="10"/>
        <v/>
      </c>
      <c r="S97" s="97" t="str">
        <f t="shared" si="11"/>
        <v/>
      </c>
    </row>
    <row r="98" spans="1:19">
      <c r="A98" s="121"/>
      <c r="B98" s="121"/>
      <c r="C98" s="122"/>
      <c r="D98" s="123"/>
      <c r="E98" s="124"/>
      <c r="F98" s="125"/>
      <c r="G98" s="126"/>
      <c r="H98" s="127"/>
      <c r="I98" s="118"/>
      <c r="J98" s="119"/>
      <c r="K98" s="119"/>
      <c r="L98" s="119"/>
      <c r="M98" s="119"/>
      <c r="N98" s="117" t="str">
        <f t="shared" si="7"/>
        <v/>
      </c>
      <c r="O98" s="97" t="str">
        <f t="shared" si="6"/>
        <v/>
      </c>
      <c r="P98" s="97" t="str">
        <f t="shared" si="8"/>
        <v/>
      </c>
      <c r="Q98" s="97" t="str">
        <f t="shared" si="9"/>
        <v/>
      </c>
      <c r="R98" s="97" t="str">
        <f t="shared" si="10"/>
        <v/>
      </c>
      <c r="S98" s="97" t="str">
        <f t="shared" si="11"/>
        <v/>
      </c>
    </row>
    <row r="99" spans="1:19">
      <c r="A99" s="121"/>
      <c r="B99" s="121"/>
      <c r="C99" s="122"/>
      <c r="D99" s="123"/>
      <c r="E99" s="124"/>
      <c r="F99" s="125"/>
      <c r="G99" s="126"/>
      <c r="H99" s="127"/>
      <c r="I99" s="118"/>
      <c r="J99" s="119"/>
      <c r="K99" s="119"/>
      <c r="L99" s="119"/>
      <c r="M99" s="119"/>
      <c r="N99" s="117" t="str">
        <f t="shared" si="7"/>
        <v/>
      </c>
      <c r="O99" s="97" t="str">
        <f t="shared" si="6"/>
        <v/>
      </c>
      <c r="P99" s="97" t="str">
        <f t="shared" si="8"/>
        <v/>
      </c>
      <c r="Q99" s="97" t="str">
        <f t="shared" si="9"/>
        <v/>
      </c>
      <c r="R99" s="97" t="str">
        <f t="shared" si="10"/>
        <v/>
      </c>
      <c r="S99" s="97" t="str">
        <f t="shared" si="11"/>
        <v/>
      </c>
    </row>
    <row r="100" spans="1:19">
      <c r="A100" s="121"/>
      <c r="B100" s="121"/>
      <c r="C100" s="122"/>
      <c r="D100" s="123"/>
      <c r="E100" s="124"/>
      <c r="F100" s="125"/>
      <c r="G100" s="126"/>
      <c r="H100" s="127"/>
      <c r="I100" s="118"/>
      <c r="J100" s="119"/>
      <c r="K100" s="119"/>
      <c r="L100" s="119"/>
      <c r="M100" s="119"/>
      <c r="N100" s="117" t="str">
        <f t="shared" si="7"/>
        <v/>
      </c>
      <c r="O100" s="97" t="str">
        <f t="shared" si="6"/>
        <v/>
      </c>
      <c r="P100" s="97" t="str">
        <f t="shared" si="8"/>
        <v/>
      </c>
      <c r="Q100" s="97" t="str">
        <f t="shared" si="9"/>
        <v/>
      </c>
      <c r="R100" s="97" t="str">
        <f t="shared" si="10"/>
        <v/>
      </c>
      <c r="S100" s="97" t="str">
        <f t="shared" si="11"/>
        <v/>
      </c>
    </row>
    <row r="101" spans="1:19">
      <c r="A101" s="121"/>
      <c r="B101" s="121"/>
      <c r="C101" s="122"/>
      <c r="D101" s="123"/>
      <c r="E101" s="124"/>
      <c r="F101" s="125"/>
      <c r="G101" s="126"/>
      <c r="H101" s="127"/>
      <c r="I101" s="118"/>
      <c r="J101" s="119"/>
      <c r="K101" s="119"/>
      <c r="L101" s="119"/>
      <c r="M101" s="119"/>
      <c r="N101" s="117" t="str">
        <f t="shared" si="7"/>
        <v/>
      </c>
      <c r="O101" s="97" t="str">
        <f t="shared" si="6"/>
        <v/>
      </c>
      <c r="P101" s="97" t="str">
        <f t="shared" si="8"/>
        <v/>
      </c>
      <c r="Q101" s="97" t="str">
        <f t="shared" si="9"/>
        <v/>
      </c>
      <c r="R101" s="97" t="str">
        <f t="shared" si="10"/>
        <v/>
      </c>
      <c r="S101" s="97" t="str">
        <f t="shared" si="11"/>
        <v/>
      </c>
    </row>
    <row r="102" spans="1:19">
      <c r="A102" s="121"/>
      <c r="B102" s="121"/>
      <c r="C102" s="122"/>
      <c r="D102" s="123"/>
      <c r="E102" s="124"/>
      <c r="F102" s="125"/>
      <c r="G102" s="126"/>
      <c r="H102" s="127"/>
      <c r="I102" s="118"/>
      <c r="J102" s="119"/>
      <c r="K102" s="119"/>
      <c r="L102" s="119"/>
      <c r="M102" s="119"/>
      <c r="N102" s="117" t="str">
        <f t="shared" si="7"/>
        <v/>
      </c>
      <c r="O102" s="97" t="str">
        <f t="shared" si="6"/>
        <v/>
      </c>
      <c r="P102" s="97" t="str">
        <f t="shared" si="8"/>
        <v/>
      </c>
      <c r="Q102" s="97" t="str">
        <f t="shared" si="9"/>
        <v/>
      </c>
      <c r="R102" s="97" t="str">
        <f t="shared" si="10"/>
        <v/>
      </c>
      <c r="S102" s="97" t="str">
        <f t="shared" si="11"/>
        <v/>
      </c>
    </row>
    <row r="103" spans="1:19">
      <c r="A103" s="121"/>
      <c r="B103" s="121"/>
      <c r="C103" s="122"/>
      <c r="D103" s="123"/>
      <c r="E103" s="124"/>
      <c r="F103" s="125"/>
      <c r="G103" s="126"/>
      <c r="H103" s="127"/>
      <c r="I103" s="118"/>
      <c r="J103" s="119"/>
      <c r="K103" s="119"/>
      <c r="L103" s="119"/>
      <c r="M103" s="119"/>
      <c r="N103" s="117" t="str">
        <f t="shared" si="7"/>
        <v/>
      </c>
      <c r="O103" s="97" t="str">
        <f t="shared" si="6"/>
        <v/>
      </c>
      <c r="P103" s="97" t="str">
        <f t="shared" si="8"/>
        <v/>
      </c>
      <c r="Q103" s="97" t="str">
        <f t="shared" si="9"/>
        <v/>
      </c>
      <c r="R103" s="97" t="str">
        <f t="shared" si="10"/>
        <v/>
      </c>
      <c r="S103" s="97" t="str">
        <f t="shared" si="11"/>
        <v/>
      </c>
    </row>
    <row r="104" spans="1:19">
      <c r="A104" s="121"/>
      <c r="B104" s="121"/>
      <c r="C104" s="122"/>
      <c r="D104" s="123"/>
      <c r="E104" s="124"/>
      <c r="F104" s="125"/>
      <c r="G104" s="126"/>
      <c r="H104" s="127"/>
      <c r="I104" s="118"/>
      <c r="J104" s="119"/>
      <c r="K104" s="119"/>
      <c r="L104" s="119"/>
      <c r="M104" s="119"/>
      <c r="N104" s="117" t="str">
        <f t="shared" si="7"/>
        <v/>
      </c>
      <c r="O104" s="97" t="str">
        <f t="shared" si="6"/>
        <v/>
      </c>
      <c r="P104" s="97" t="str">
        <f t="shared" si="8"/>
        <v/>
      </c>
      <c r="Q104" s="97" t="str">
        <f t="shared" si="9"/>
        <v/>
      </c>
      <c r="R104" s="97" t="str">
        <f t="shared" si="10"/>
        <v/>
      </c>
      <c r="S104" s="97" t="str">
        <f t="shared" si="11"/>
        <v/>
      </c>
    </row>
    <row r="105" spans="1:19">
      <c r="A105" s="121"/>
      <c r="B105" s="121"/>
      <c r="C105" s="122"/>
      <c r="D105" s="123"/>
      <c r="E105" s="124"/>
      <c r="F105" s="125"/>
      <c r="G105" s="126"/>
      <c r="H105" s="127"/>
      <c r="I105" s="118"/>
      <c r="J105" s="119"/>
      <c r="K105" s="119"/>
      <c r="L105" s="119"/>
      <c r="M105" s="119"/>
      <c r="N105" s="117" t="str">
        <f t="shared" si="7"/>
        <v/>
      </c>
      <c r="O105" s="97" t="str">
        <f t="shared" si="6"/>
        <v/>
      </c>
      <c r="P105" s="97" t="str">
        <f t="shared" si="8"/>
        <v/>
      </c>
      <c r="Q105" s="97" t="str">
        <f t="shared" si="9"/>
        <v/>
      </c>
      <c r="R105" s="97" t="str">
        <f t="shared" si="10"/>
        <v/>
      </c>
      <c r="S105" s="97" t="str">
        <f t="shared" si="11"/>
        <v/>
      </c>
    </row>
    <row r="106" spans="1:19">
      <c r="A106" s="121"/>
      <c r="B106" s="121"/>
      <c r="C106" s="122"/>
      <c r="D106" s="123"/>
      <c r="E106" s="124"/>
      <c r="F106" s="125"/>
      <c r="G106" s="126"/>
      <c r="H106" s="127"/>
      <c r="I106" s="118"/>
      <c r="J106" s="119"/>
      <c r="K106" s="119"/>
      <c r="L106" s="119"/>
      <c r="M106" s="119"/>
      <c r="N106" s="117" t="str">
        <f t="shared" si="7"/>
        <v/>
      </c>
      <c r="O106" s="97" t="str">
        <f t="shared" si="6"/>
        <v/>
      </c>
      <c r="P106" s="97" t="str">
        <f t="shared" si="8"/>
        <v/>
      </c>
      <c r="Q106" s="97" t="str">
        <f t="shared" si="9"/>
        <v/>
      </c>
      <c r="R106" s="97" t="str">
        <f t="shared" si="10"/>
        <v/>
      </c>
      <c r="S106" s="97" t="str">
        <f t="shared" si="11"/>
        <v/>
      </c>
    </row>
    <row r="107" spans="1:19">
      <c r="A107" s="121"/>
      <c r="B107" s="121"/>
      <c r="C107" s="122"/>
      <c r="D107" s="123"/>
      <c r="E107" s="124"/>
      <c r="F107" s="125"/>
      <c r="G107" s="126"/>
      <c r="H107" s="127"/>
      <c r="I107" s="118"/>
      <c r="J107" s="119"/>
      <c r="K107" s="119"/>
      <c r="L107" s="119"/>
      <c r="M107" s="119"/>
      <c r="N107" s="117" t="str">
        <f t="shared" si="7"/>
        <v/>
      </c>
      <c r="O107" s="97" t="str">
        <f t="shared" si="6"/>
        <v/>
      </c>
      <c r="P107" s="97" t="str">
        <f t="shared" si="8"/>
        <v/>
      </c>
      <c r="Q107" s="97" t="str">
        <f t="shared" si="9"/>
        <v/>
      </c>
      <c r="R107" s="97" t="str">
        <f t="shared" si="10"/>
        <v/>
      </c>
      <c r="S107" s="97" t="str">
        <f t="shared" si="11"/>
        <v/>
      </c>
    </row>
    <row r="108" spans="1:19">
      <c r="A108" s="121"/>
      <c r="B108" s="121"/>
      <c r="C108" s="122"/>
      <c r="D108" s="123"/>
      <c r="E108" s="124"/>
      <c r="F108" s="125"/>
      <c r="G108" s="126"/>
      <c r="H108" s="127"/>
      <c r="I108" s="118"/>
      <c r="J108" s="119"/>
      <c r="K108" s="119"/>
      <c r="L108" s="119"/>
      <c r="M108" s="119"/>
      <c r="N108" s="117" t="str">
        <f t="shared" si="7"/>
        <v/>
      </c>
      <c r="O108" s="97" t="str">
        <f t="shared" si="6"/>
        <v/>
      </c>
      <c r="P108" s="97" t="str">
        <f t="shared" si="8"/>
        <v/>
      </c>
      <c r="Q108" s="97" t="str">
        <f t="shared" si="9"/>
        <v/>
      </c>
      <c r="R108" s="97" t="str">
        <f t="shared" si="10"/>
        <v/>
      </c>
      <c r="S108" s="97" t="str">
        <f t="shared" si="11"/>
        <v/>
      </c>
    </row>
    <row r="109" spans="1:19">
      <c r="A109" s="121"/>
      <c r="B109" s="121"/>
      <c r="C109" s="122"/>
      <c r="D109" s="123"/>
      <c r="E109" s="124"/>
      <c r="F109" s="125"/>
      <c r="G109" s="126"/>
      <c r="H109" s="127"/>
      <c r="I109" s="118"/>
      <c r="J109" s="119"/>
      <c r="K109" s="119"/>
      <c r="L109" s="119"/>
      <c r="M109" s="119"/>
      <c r="N109" s="117" t="str">
        <f t="shared" si="7"/>
        <v/>
      </c>
      <c r="O109" s="97" t="str">
        <f t="shared" si="6"/>
        <v/>
      </c>
      <c r="P109" s="97" t="str">
        <f t="shared" si="8"/>
        <v/>
      </c>
      <c r="Q109" s="97" t="str">
        <f t="shared" si="9"/>
        <v/>
      </c>
      <c r="R109" s="97" t="str">
        <f t="shared" si="10"/>
        <v/>
      </c>
      <c r="S109" s="97" t="str">
        <f t="shared" si="11"/>
        <v/>
      </c>
    </row>
    <row r="110" spans="1:19">
      <c r="A110" s="121"/>
      <c r="B110" s="121"/>
      <c r="C110" s="122"/>
      <c r="D110" s="123"/>
      <c r="E110" s="124"/>
      <c r="F110" s="125"/>
      <c r="G110" s="126"/>
      <c r="H110" s="127"/>
      <c r="I110" s="118"/>
      <c r="J110" s="119"/>
      <c r="K110" s="119"/>
      <c r="L110" s="119"/>
      <c r="M110" s="119"/>
      <c r="N110" s="117" t="str">
        <f t="shared" si="7"/>
        <v/>
      </c>
      <c r="O110" s="97" t="str">
        <f t="shared" si="6"/>
        <v/>
      </c>
      <c r="P110" s="97" t="str">
        <f t="shared" si="8"/>
        <v/>
      </c>
      <c r="Q110" s="97" t="str">
        <f t="shared" si="9"/>
        <v/>
      </c>
      <c r="R110" s="97" t="str">
        <f t="shared" si="10"/>
        <v/>
      </c>
      <c r="S110" s="97" t="str">
        <f t="shared" si="11"/>
        <v/>
      </c>
    </row>
    <row r="111" spans="1:19">
      <c r="A111" s="121"/>
      <c r="B111" s="121"/>
      <c r="C111" s="122"/>
      <c r="D111" s="123"/>
      <c r="E111" s="124"/>
      <c r="F111" s="125"/>
      <c r="G111" s="126"/>
      <c r="H111" s="127"/>
      <c r="I111" s="118"/>
      <c r="J111" s="119"/>
      <c r="K111" s="119"/>
      <c r="L111" s="119"/>
      <c r="M111" s="119"/>
      <c r="N111" s="117" t="str">
        <f t="shared" si="7"/>
        <v/>
      </c>
      <c r="O111" s="97" t="str">
        <f t="shared" si="6"/>
        <v/>
      </c>
      <c r="P111" s="97" t="str">
        <f t="shared" si="8"/>
        <v/>
      </c>
      <c r="Q111" s="97" t="str">
        <f t="shared" si="9"/>
        <v/>
      </c>
      <c r="R111" s="97" t="str">
        <f t="shared" si="10"/>
        <v/>
      </c>
      <c r="S111" s="97" t="str">
        <f t="shared" si="11"/>
        <v/>
      </c>
    </row>
    <row r="112" spans="1:19">
      <c r="A112" s="121"/>
      <c r="B112" s="121"/>
      <c r="C112" s="122"/>
      <c r="D112" s="123"/>
      <c r="E112" s="124"/>
      <c r="F112" s="125"/>
      <c r="G112" s="126"/>
      <c r="H112" s="127"/>
      <c r="I112" s="118"/>
      <c r="J112" s="119"/>
      <c r="K112" s="119"/>
      <c r="L112" s="119"/>
      <c r="M112" s="119"/>
      <c r="N112" s="117" t="str">
        <f t="shared" si="7"/>
        <v/>
      </c>
      <c r="O112" s="97" t="str">
        <f t="shared" si="6"/>
        <v/>
      </c>
      <c r="P112" s="97" t="str">
        <f t="shared" si="8"/>
        <v/>
      </c>
      <c r="Q112" s="97" t="str">
        <f t="shared" si="9"/>
        <v/>
      </c>
      <c r="R112" s="97" t="str">
        <f t="shared" si="10"/>
        <v/>
      </c>
      <c r="S112" s="97" t="str">
        <f t="shared" si="11"/>
        <v/>
      </c>
    </row>
    <row r="113" spans="1:19">
      <c r="A113" s="121"/>
      <c r="B113" s="121"/>
      <c r="C113" s="122"/>
      <c r="D113" s="123"/>
      <c r="E113" s="124"/>
      <c r="F113" s="125"/>
      <c r="G113" s="126"/>
      <c r="H113" s="127"/>
      <c r="I113" s="118"/>
      <c r="J113" s="119"/>
      <c r="K113" s="119"/>
      <c r="L113" s="119"/>
      <c r="M113" s="119"/>
      <c r="N113" s="117" t="str">
        <f t="shared" si="7"/>
        <v/>
      </c>
      <c r="O113" s="97" t="str">
        <f t="shared" si="6"/>
        <v/>
      </c>
      <c r="P113" s="97" t="str">
        <f t="shared" si="8"/>
        <v/>
      </c>
      <c r="Q113" s="97" t="str">
        <f t="shared" si="9"/>
        <v/>
      </c>
      <c r="R113" s="97" t="str">
        <f t="shared" si="10"/>
        <v/>
      </c>
      <c r="S113" s="97" t="str">
        <f t="shared" si="11"/>
        <v/>
      </c>
    </row>
    <row r="114" spans="1:19">
      <c r="A114" s="121"/>
      <c r="B114" s="121"/>
      <c r="C114" s="122"/>
      <c r="D114" s="123"/>
      <c r="E114" s="124"/>
      <c r="F114" s="125"/>
      <c r="G114" s="126"/>
      <c r="H114" s="127"/>
      <c r="I114" s="118"/>
      <c r="J114" s="119"/>
      <c r="K114" s="119"/>
      <c r="L114" s="119"/>
      <c r="M114" s="119"/>
      <c r="N114" s="117" t="str">
        <f t="shared" si="7"/>
        <v/>
      </c>
      <c r="O114" s="97" t="str">
        <f t="shared" si="6"/>
        <v/>
      </c>
      <c r="P114" s="97" t="str">
        <f t="shared" si="8"/>
        <v/>
      </c>
      <c r="Q114" s="97" t="str">
        <f t="shared" si="9"/>
        <v/>
      </c>
      <c r="R114" s="97" t="str">
        <f t="shared" si="10"/>
        <v/>
      </c>
      <c r="S114" s="97" t="str">
        <f t="shared" si="11"/>
        <v/>
      </c>
    </row>
    <row r="115" spans="1:19">
      <c r="A115" s="121"/>
      <c r="B115" s="121"/>
      <c r="C115" s="122"/>
      <c r="D115" s="123"/>
      <c r="E115" s="124"/>
      <c r="F115" s="125"/>
      <c r="G115" s="126"/>
      <c r="H115" s="127"/>
      <c r="I115" s="118"/>
      <c r="J115" s="119"/>
      <c r="K115" s="119"/>
      <c r="L115" s="119"/>
      <c r="M115" s="119"/>
      <c r="N115" s="117" t="str">
        <f t="shared" si="7"/>
        <v/>
      </c>
      <c r="O115" s="97" t="str">
        <f t="shared" si="6"/>
        <v/>
      </c>
      <c r="P115" s="97" t="str">
        <f t="shared" si="8"/>
        <v/>
      </c>
      <c r="Q115" s="97" t="str">
        <f t="shared" si="9"/>
        <v/>
      </c>
      <c r="R115" s="97" t="str">
        <f t="shared" si="10"/>
        <v/>
      </c>
      <c r="S115" s="97" t="str">
        <f t="shared" si="11"/>
        <v/>
      </c>
    </row>
    <row r="116" spans="1:19">
      <c r="A116" s="121"/>
      <c r="B116" s="121"/>
      <c r="C116" s="122"/>
      <c r="D116" s="123"/>
      <c r="E116" s="124"/>
      <c r="F116" s="125"/>
      <c r="G116" s="126"/>
      <c r="H116" s="127"/>
      <c r="I116" s="118"/>
      <c r="J116" s="119"/>
      <c r="K116" s="119"/>
      <c r="L116" s="119"/>
      <c r="M116" s="119"/>
      <c r="N116" s="117" t="str">
        <f t="shared" si="7"/>
        <v/>
      </c>
      <c r="O116" s="97" t="str">
        <f t="shared" si="6"/>
        <v/>
      </c>
      <c r="P116" s="97" t="str">
        <f t="shared" si="8"/>
        <v/>
      </c>
      <c r="Q116" s="97" t="str">
        <f t="shared" si="9"/>
        <v/>
      </c>
      <c r="R116" s="97" t="str">
        <f t="shared" si="10"/>
        <v/>
      </c>
      <c r="S116" s="97" t="str">
        <f t="shared" si="11"/>
        <v/>
      </c>
    </row>
    <row r="117" spans="1:19">
      <c r="A117" s="121"/>
      <c r="B117" s="121"/>
      <c r="C117" s="122"/>
      <c r="D117" s="123"/>
      <c r="E117" s="124"/>
      <c r="F117" s="125"/>
      <c r="G117" s="126"/>
      <c r="H117" s="127"/>
      <c r="I117" s="118"/>
      <c r="J117" s="119"/>
      <c r="K117" s="119"/>
      <c r="L117" s="119"/>
      <c r="M117" s="119"/>
      <c r="N117" s="117" t="str">
        <f t="shared" si="7"/>
        <v/>
      </c>
      <c r="O117" s="97" t="str">
        <f t="shared" si="6"/>
        <v/>
      </c>
      <c r="P117" s="97" t="str">
        <f t="shared" si="8"/>
        <v/>
      </c>
      <c r="Q117" s="97" t="str">
        <f t="shared" si="9"/>
        <v/>
      </c>
      <c r="R117" s="97" t="str">
        <f t="shared" si="10"/>
        <v/>
      </c>
      <c r="S117" s="97" t="str">
        <f t="shared" si="11"/>
        <v/>
      </c>
    </row>
    <row r="118" spans="1:19">
      <c r="A118" s="121"/>
      <c r="B118" s="121"/>
      <c r="C118" s="122"/>
      <c r="D118" s="123"/>
      <c r="E118" s="124"/>
      <c r="F118" s="125"/>
      <c r="G118" s="126"/>
      <c r="H118" s="127"/>
      <c r="I118" s="118"/>
      <c r="J118" s="119"/>
      <c r="K118" s="119"/>
      <c r="L118" s="119"/>
      <c r="M118" s="119"/>
      <c r="N118" s="117" t="str">
        <f t="shared" si="7"/>
        <v/>
      </c>
      <c r="O118" s="97" t="str">
        <f t="shared" si="6"/>
        <v/>
      </c>
      <c r="P118" s="97" t="str">
        <f t="shared" si="8"/>
        <v/>
      </c>
      <c r="Q118" s="97" t="str">
        <f t="shared" si="9"/>
        <v/>
      </c>
      <c r="R118" s="97" t="str">
        <f t="shared" si="10"/>
        <v/>
      </c>
      <c r="S118" s="97" t="str">
        <f t="shared" si="11"/>
        <v/>
      </c>
    </row>
    <row r="119" spans="1:19">
      <c r="A119" s="121"/>
      <c r="B119" s="121"/>
      <c r="C119" s="122"/>
      <c r="D119" s="123"/>
      <c r="E119" s="124"/>
      <c r="F119" s="125"/>
      <c r="G119" s="126"/>
      <c r="H119" s="127"/>
      <c r="I119" s="118"/>
      <c r="J119" s="119"/>
      <c r="K119" s="119"/>
      <c r="L119" s="119"/>
      <c r="M119" s="119"/>
      <c r="N119" s="117" t="str">
        <f t="shared" si="7"/>
        <v/>
      </c>
      <c r="O119" s="97" t="str">
        <f t="shared" si="6"/>
        <v/>
      </c>
      <c r="P119" s="97" t="str">
        <f t="shared" si="8"/>
        <v/>
      </c>
      <c r="Q119" s="97" t="str">
        <f t="shared" si="9"/>
        <v/>
      </c>
      <c r="R119" s="97" t="str">
        <f t="shared" si="10"/>
        <v/>
      </c>
      <c r="S119" s="97" t="str">
        <f t="shared" si="11"/>
        <v/>
      </c>
    </row>
    <row r="120" spans="1:19">
      <c r="A120" s="121"/>
      <c r="B120" s="121"/>
      <c r="C120" s="122"/>
      <c r="D120" s="123"/>
      <c r="E120" s="124"/>
      <c r="F120" s="125"/>
      <c r="G120" s="126"/>
      <c r="H120" s="127"/>
      <c r="I120" s="118"/>
      <c r="J120" s="119"/>
      <c r="K120" s="119"/>
      <c r="L120" s="119"/>
      <c r="M120" s="119"/>
      <c r="N120" s="117" t="str">
        <f t="shared" si="7"/>
        <v/>
      </c>
      <c r="O120" s="97" t="str">
        <f t="shared" si="6"/>
        <v/>
      </c>
      <c r="P120" s="97" t="str">
        <f t="shared" si="8"/>
        <v/>
      </c>
      <c r="Q120" s="97" t="str">
        <f t="shared" si="9"/>
        <v/>
      </c>
      <c r="R120" s="97" t="str">
        <f t="shared" si="10"/>
        <v/>
      </c>
      <c r="S120" s="97" t="str">
        <f t="shared" si="11"/>
        <v/>
      </c>
    </row>
    <row r="121" spans="1:19">
      <c r="A121" s="121"/>
      <c r="B121" s="121"/>
      <c r="C121" s="122"/>
      <c r="D121" s="123"/>
      <c r="E121" s="124"/>
      <c r="F121" s="125"/>
      <c r="G121" s="126"/>
      <c r="H121" s="127"/>
      <c r="I121" s="118"/>
      <c r="J121" s="119"/>
      <c r="K121" s="119"/>
      <c r="L121" s="119"/>
      <c r="M121" s="119"/>
      <c r="N121" s="117" t="str">
        <f t="shared" si="7"/>
        <v/>
      </c>
      <c r="O121" s="97" t="str">
        <f t="shared" si="6"/>
        <v/>
      </c>
      <c r="P121" s="97" t="str">
        <f t="shared" si="8"/>
        <v/>
      </c>
      <c r="Q121" s="97" t="str">
        <f t="shared" si="9"/>
        <v/>
      </c>
      <c r="R121" s="97" t="str">
        <f t="shared" si="10"/>
        <v/>
      </c>
      <c r="S121" s="97" t="str">
        <f t="shared" si="11"/>
        <v/>
      </c>
    </row>
    <row r="122" spans="1:19">
      <c r="A122" s="121"/>
      <c r="B122" s="121"/>
      <c r="C122" s="122"/>
      <c r="D122" s="123"/>
      <c r="E122" s="124"/>
      <c r="F122" s="125"/>
      <c r="G122" s="126"/>
      <c r="H122" s="127"/>
      <c r="I122" s="118"/>
      <c r="J122" s="119"/>
      <c r="K122" s="119"/>
      <c r="L122" s="119"/>
      <c r="M122" s="119"/>
      <c r="N122" s="117" t="str">
        <f t="shared" si="7"/>
        <v/>
      </c>
      <c r="O122" s="97" t="str">
        <f t="shared" si="6"/>
        <v/>
      </c>
      <c r="P122" s="97" t="str">
        <f t="shared" si="8"/>
        <v/>
      </c>
      <c r="Q122" s="97" t="str">
        <f t="shared" si="9"/>
        <v/>
      </c>
      <c r="R122" s="97" t="str">
        <f t="shared" si="10"/>
        <v/>
      </c>
      <c r="S122" s="97" t="str">
        <f t="shared" si="11"/>
        <v/>
      </c>
    </row>
    <row r="123" spans="1:19">
      <c r="A123" s="121"/>
      <c r="B123" s="121"/>
      <c r="C123" s="122"/>
      <c r="D123" s="123"/>
      <c r="E123" s="124"/>
      <c r="F123" s="125"/>
      <c r="G123" s="126"/>
      <c r="H123" s="127"/>
      <c r="I123" s="118"/>
      <c r="J123" s="119"/>
      <c r="K123" s="119"/>
      <c r="L123" s="119"/>
      <c r="M123" s="119"/>
      <c r="N123" s="117" t="str">
        <f t="shared" si="7"/>
        <v/>
      </c>
      <c r="O123" s="97" t="str">
        <f t="shared" si="6"/>
        <v/>
      </c>
      <c r="P123" s="97" t="str">
        <f t="shared" si="8"/>
        <v/>
      </c>
      <c r="Q123" s="97" t="str">
        <f t="shared" si="9"/>
        <v/>
      </c>
      <c r="R123" s="97" t="str">
        <f t="shared" si="10"/>
        <v/>
      </c>
      <c r="S123" s="97" t="str">
        <f t="shared" si="11"/>
        <v/>
      </c>
    </row>
    <row r="124" spans="1:19">
      <c r="A124" s="121"/>
      <c r="B124" s="121"/>
      <c r="C124" s="122"/>
      <c r="D124" s="123"/>
      <c r="E124" s="124"/>
      <c r="F124" s="125"/>
      <c r="G124" s="126"/>
      <c r="H124" s="127"/>
      <c r="I124" s="118"/>
      <c r="J124" s="119"/>
      <c r="K124" s="119"/>
      <c r="L124" s="119"/>
      <c r="M124" s="119"/>
      <c r="N124" s="117" t="str">
        <f t="shared" si="7"/>
        <v/>
      </c>
      <c r="O124" s="97" t="str">
        <f t="shared" si="6"/>
        <v/>
      </c>
      <c r="P124" s="97" t="str">
        <f t="shared" si="8"/>
        <v/>
      </c>
      <c r="Q124" s="97" t="str">
        <f t="shared" si="9"/>
        <v/>
      </c>
      <c r="R124" s="97" t="str">
        <f t="shared" si="10"/>
        <v/>
      </c>
      <c r="S124" s="97" t="str">
        <f t="shared" si="11"/>
        <v/>
      </c>
    </row>
    <row r="125" spans="1:19">
      <c r="A125" s="121"/>
      <c r="B125" s="121"/>
      <c r="C125" s="122"/>
      <c r="D125" s="123"/>
      <c r="E125" s="124"/>
      <c r="F125" s="125"/>
      <c r="G125" s="126"/>
      <c r="H125" s="127"/>
      <c r="I125" s="118"/>
      <c r="J125" s="119"/>
      <c r="K125" s="119"/>
      <c r="L125" s="119"/>
      <c r="M125" s="119"/>
      <c r="N125" s="117" t="str">
        <f t="shared" si="7"/>
        <v/>
      </c>
      <c r="O125" s="97" t="str">
        <f t="shared" si="6"/>
        <v/>
      </c>
      <c r="P125" s="97" t="str">
        <f t="shared" si="8"/>
        <v/>
      </c>
      <c r="Q125" s="97" t="str">
        <f t="shared" si="9"/>
        <v/>
      </c>
      <c r="R125" s="97" t="str">
        <f t="shared" si="10"/>
        <v/>
      </c>
      <c r="S125" s="97" t="str">
        <f t="shared" si="11"/>
        <v/>
      </c>
    </row>
    <row r="126" spans="1:19">
      <c r="A126" s="121"/>
      <c r="B126" s="121"/>
      <c r="C126" s="122"/>
      <c r="D126" s="123"/>
      <c r="E126" s="124"/>
      <c r="F126" s="125"/>
      <c r="G126" s="126"/>
      <c r="H126" s="127"/>
      <c r="I126" s="118"/>
      <c r="J126" s="119"/>
      <c r="K126" s="119"/>
      <c r="L126" s="119"/>
      <c r="M126" s="119"/>
      <c r="N126" s="117" t="str">
        <f t="shared" si="7"/>
        <v/>
      </c>
      <c r="O126" s="97" t="str">
        <f t="shared" si="6"/>
        <v/>
      </c>
      <c r="P126" s="97" t="str">
        <f t="shared" si="8"/>
        <v/>
      </c>
      <c r="Q126" s="97" t="str">
        <f t="shared" si="9"/>
        <v/>
      </c>
      <c r="R126" s="97" t="str">
        <f t="shared" si="10"/>
        <v/>
      </c>
      <c r="S126" s="97" t="str">
        <f t="shared" si="11"/>
        <v/>
      </c>
    </row>
    <row r="127" spans="1:19">
      <c r="A127" s="121"/>
      <c r="B127" s="121"/>
      <c r="C127" s="122"/>
      <c r="D127" s="123"/>
      <c r="E127" s="124"/>
      <c r="F127" s="125"/>
      <c r="G127" s="126"/>
      <c r="H127" s="127"/>
      <c r="I127" s="118"/>
      <c r="J127" s="119"/>
      <c r="K127" s="119"/>
      <c r="L127" s="119"/>
      <c r="M127" s="119"/>
      <c r="N127" s="117" t="str">
        <f t="shared" si="7"/>
        <v/>
      </c>
      <c r="O127" s="97" t="str">
        <f t="shared" si="6"/>
        <v/>
      </c>
      <c r="P127" s="97" t="str">
        <f t="shared" si="8"/>
        <v/>
      </c>
      <c r="Q127" s="97" t="str">
        <f t="shared" si="9"/>
        <v/>
      </c>
      <c r="R127" s="97" t="str">
        <f t="shared" si="10"/>
        <v/>
      </c>
      <c r="S127" s="97" t="str">
        <f t="shared" si="11"/>
        <v/>
      </c>
    </row>
    <row r="128" spans="1:19">
      <c r="A128" s="121"/>
      <c r="B128" s="121"/>
      <c r="C128" s="122"/>
      <c r="D128" s="123"/>
      <c r="E128" s="124"/>
      <c r="F128" s="125"/>
      <c r="G128" s="126"/>
      <c r="H128" s="127"/>
      <c r="I128" s="118"/>
      <c r="J128" s="119"/>
      <c r="K128" s="119"/>
      <c r="L128" s="119"/>
      <c r="M128" s="119"/>
      <c r="N128" s="117" t="str">
        <f t="shared" si="7"/>
        <v/>
      </c>
      <c r="O128" s="97" t="str">
        <f t="shared" si="6"/>
        <v/>
      </c>
      <c r="P128" s="97" t="str">
        <f t="shared" si="8"/>
        <v/>
      </c>
      <c r="Q128" s="97" t="str">
        <f t="shared" si="9"/>
        <v/>
      </c>
      <c r="R128" s="97" t="str">
        <f t="shared" si="10"/>
        <v/>
      </c>
      <c r="S128" s="97" t="str">
        <f t="shared" si="11"/>
        <v/>
      </c>
    </row>
    <row r="129" spans="1:19">
      <c r="A129" s="121"/>
      <c r="B129" s="121"/>
      <c r="C129" s="122"/>
      <c r="D129" s="123"/>
      <c r="E129" s="124"/>
      <c r="F129" s="125"/>
      <c r="G129" s="126"/>
      <c r="H129" s="127"/>
      <c r="I129" s="118"/>
      <c r="J129" s="119"/>
      <c r="K129" s="119"/>
      <c r="L129" s="119"/>
      <c r="M129" s="119"/>
      <c r="N129" s="117" t="str">
        <f t="shared" si="7"/>
        <v/>
      </c>
      <c r="O129" s="97" t="str">
        <f t="shared" si="6"/>
        <v/>
      </c>
      <c r="P129" s="97" t="str">
        <f t="shared" si="8"/>
        <v/>
      </c>
      <c r="Q129" s="97" t="str">
        <f t="shared" si="9"/>
        <v/>
      </c>
      <c r="R129" s="97" t="str">
        <f t="shared" si="10"/>
        <v/>
      </c>
      <c r="S129" s="97" t="str">
        <f t="shared" si="11"/>
        <v/>
      </c>
    </row>
    <row r="130" spans="1:19">
      <c r="A130" s="121"/>
      <c r="B130" s="121"/>
      <c r="C130" s="122"/>
      <c r="D130" s="123"/>
      <c r="E130" s="124"/>
      <c r="F130" s="125"/>
      <c r="G130" s="126"/>
      <c r="H130" s="127"/>
      <c r="I130" s="118"/>
      <c r="J130" s="119"/>
      <c r="K130" s="119"/>
      <c r="L130" s="119"/>
      <c r="M130" s="119"/>
      <c r="N130" s="117" t="str">
        <f t="shared" si="7"/>
        <v/>
      </c>
      <c r="O130" s="97" t="str">
        <f t="shared" si="6"/>
        <v/>
      </c>
      <c r="P130" s="97" t="str">
        <f t="shared" si="8"/>
        <v/>
      </c>
      <c r="Q130" s="97" t="str">
        <f t="shared" si="9"/>
        <v/>
      </c>
      <c r="R130" s="97" t="str">
        <f t="shared" si="10"/>
        <v/>
      </c>
      <c r="S130" s="97" t="str">
        <f t="shared" si="11"/>
        <v/>
      </c>
    </row>
    <row r="131" spans="1:19">
      <c r="A131" s="121"/>
      <c r="B131" s="121"/>
      <c r="C131" s="122"/>
      <c r="D131" s="123"/>
      <c r="E131" s="124"/>
      <c r="F131" s="125"/>
      <c r="G131" s="126"/>
      <c r="H131" s="127"/>
      <c r="I131" s="118"/>
      <c r="J131" s="119"/>
      <c r="K131" s="119"/>
      <c r="L131" s="119"/>
      <c r="M131" s="119"/>
      <c r="N131" s="117" t="str">
        <f t="shared" si="7"/>
        <v/>
      </c>
      <c r="O131" s="97" t="str">
        <f t="shared" si="6"/>
        <v/>
      </c>
      <c r="P131" s="97" t="str">
        <f t="shared" si="8"/>
        <v/>
      </c>
      <c r="Q131" s="97" t="str">
        <f t="shared" si="9"/>
        <v/>
      </c>
      <c r="R131" s="97" t="str">
        <f t="shared" si="10"/>
        <v/>
      </c>
      <c r="S131" s="97" t="str">
        <f t="shared" si="11"/>
        <v/>
      </c>
    </row>
    <row r="132" spans="1:19">
      <c r="A132" s="121"/>
      <c r="B132" s="121"/>
      <c r="C132" s="122"/>
      <c r="D132" s="123"/>
      <c r="E132" s="124"/>
      <c r="F132" s="125"/>
      <c r="G132" s="126"/>
      <c r="H132" s="127"/>
      <c r="I132" s="118"/>
      <c r="J132" s="119"/>
      <c r="K132" s="119"/>
      <c r="L132" s="119"/>
      <c r="M132" s="119"/>
      <c r="N132" s="117" t="str">
        <f t="shared" si="7"/>
        <v/>
      </c>
      <c r="O132" s="97" t="str">
        <f t="shared" si="6"/>
        <v/>
      </c>
      <c r="P132" s="97" t="str">
        <f t="shared" si="8"/>
        <v/>
      </c>
      <c r="Q132" s="97" t="str">
        <f t="shared" si="9"/>
        <v/>
      </c>
      <c r="R132" s="97" t="str">
        <f t="shared" si="10"/>
        <v/>
      </c>
      <c r="S132" s="97" t="str">
        <f t="shared" si="11"/>
        <v/>
      </c>
    </row>
    <row r="133" spans="1:19">
      <c r="A133" s="121"/>
      <c r="B133" s="121"/>
      <c r="C133" s="122"/>
      <c r="D133" s="123"/>
      <c r="E133" s="124"/>
      <c r="F133" s="125"/>
      <c r="G133" s="126"/>
      <c r="H133" s="127"/>
      <c r="I133" s="118"/>
      <c r="J133" s="119"/>
      <c r="K133" s="119"/>
      <c r="L133" s="119"/>
      <c r="M133" s="119"/>
      <c r="N133" s="117" t="str">
        <f t="shared" si="7"/>
        <v/>
      </c>
      <c r="O133" s="97" t="str">
        <f t="shared" si="6"/>
        <v/>
      </c>
      <c r="P133" s="97" t="str">
        <f t="shared" si="8"/>
        <v/>
      </c>
      <c r="Q133" s="97" t="str">
        <f t="shared" si="9"/>
        <v/>
      </c>
      <c r="R133" s="97" t="str">
        <f t="shared" si="10"/>
        <v/>
      </c>
      <c r="S133" s="97" t="str">
        <f t="shared" si="11"/>
        <v/>
      </c>
    </row>
    <row r="134" spans="1:19">
      <c r="A134" s="121"/>
      <c r="B134" s="121"/>
      <c r="C134" s="122"/>
      <c r="D134" s="123"/>
      <c r="E134" s="124"/>
      <c r="F134" s="125"/>
      <c r="G134" s="126"/>
      <c r="H134" s="127"/>
      <c r="I134" s="118"/>
      <c r="J134" s="119"/>
      <c r="K134" s="119"/>
      <c r="L134" s="119"/>
      <c r="M134" s="119"/>
      <c r="N134" s="117" t="str">
        <f t="shared" si="7"/>
        <v/>
      </c>
      <c r="O134" s="97" t="str">
        <f t="shared" ref="O134:O197" si="12">IF($C134="","",IF($B134="beginning",($I134*35.44),IF($B134="middle",($I134*8.86),IF($B134="end",($I134*8.86),""))))</f>
        <v/>
      </c>
      <c r="P134" s="97" t="str">
        <f t="shared" si="8"/>
        <v/>
      </c>
      <c r="Q134" s="97" t="str">
        <f t="shared" si="9"/>
        <v/>
      </c>
      <c r="R134" s="97" t="str">
        <f t="shared" si="10"/>
        <v/>
      </c>
      <c r="S134" s="97" t="str">
        <f t="shared" si="11"/>
        <v/>
      </c>
    </row>
    <row r="135" spans="1:19">
      <c r="A135" s="128"/>
      <c r="B135" s="129"/>
      <c r="C135" s="125"/>
      <c r="D135" s="125"/>
      <c r="E135" s="125"/>
      <c r="F135" s="125"/>
      <c r="G135" s="126"/>
      <c r="H135" s="127"/>
      <c r="I135" s="118"/>
      <c r="J135" s="119"/>
      <c r="K135" s="119"/>
      <c r="L135" s="119"/>
      <c r="M135" s="119"/>
      <c r="N135" s="117" t="str">
        <f t="shared" ref="N135:N198" si="13">IF($C135="","",IF(TRIM($B135)="beginning",(((SUM($O135:$S135)-729)/630)*40)+289,IF(TRIM($B135)="middle",(((SUM($O135:$S135)-729)/630)*40)+364,IF(TRIM($B135)="end",(((SUM($O135:$S135)-729)/630)*40)+398,""))))</f>
        <v/>
      </c>
      <c r="O135" s="97" t="str">
        <f t="shared" si="12"/>
        <v/>
      </c>
      <c r="P135" s="97" t="str">
        <f t="shared" ref="P135:P198" si="14">IF($C135="","",$J135*4.13)</f>
        <v/>
      </c>
      <c r="Q135" s="97" t="str">
        <f t="shared" ref="Q135:Q198" si="15">IF($C135="","",$K135*14.93)</f>
        <v/>
      </c>
      <c r="R135" s="97" t="str">
        <f t="shared" ref="R135:R198" si="16">IF($C135="","",$L135*3.56)</f>
        <v/>
      </c>
      <c r="S135" s="97" t="str">
        <f t="shared" ref="S135:S198" si="17">IF($C135="","",$M135*5.62)</f>
        <v/>
      </c>
    </row>
    <row r="136" spans="1:19">
      <c r="A136" s="128"/>
      <c r="B136" s="129"/>
      <c r="C136" s="125"/>
      <c r="D136" s="125"/>
      <c r="E136" s="125"/>
      <c r="F136" s="125"/>
      <c r="G136" s="126"/>
      <c r="H136" s="127"/>
      <c r="I136" s="118"/>
      <c r="J136" s="119"/>
      <c r="K136" s="119"/>
      <c r="L136" s="119"/>
      <c r="M136" s="119"/>
      <c r="N136" s="117" t="str">
        <f t="shared" si="13"/>
        <v/>
      </c>
      <c r="O136" s="97" t="str">
        <f t="shared" si="12"/>
        <v/>
      </c>
      <c r="P136" s="97" t="str">
        <f t="shared" si="14"/>
        <v/>
      </c>
      <c r="Q136" s="97" t="str">
        <f t="shared" si="15"/>
        <v/>
      </c>
      <c r="R136" s="97" t="str">
        <f t="shared" si="16"/>
        <v/>
      </c>
      <c r="S136" s="97" t="str">
        <f t="shared" si="17"/>
        <v/>
      </c>
    </row>
    <row r="137" spans="1:19">
      <c r="A137" s="128"/>
      <c r="B137" s="129"/>
      <c r="C137" s="125"/>
      <c r="D137" s="125"/>
      <c r="E137" s="125"/>
      <c r="F137" s="125"/>
      <c r="G137" s="126"/>
      <c r="H137" s="127"/>
      <c r="I137" s="118"/>
      <c r="J137" s="119"/>
      <c r="K137" s="119"/>
      <c r="L137" s="119"/>
      <c r="M137" s="119"/>
      <c r="N137" s="117" t="str">
        <f t="shared" si="13"/>
        <v/>
      </c>
      <c r="O137" s="97" t="str">
        <f t="shared" si="12"/>
        <v/>
      </c>
      <c r="P137" s="97" t="str">
        <f t="shared" si="14"/>
        <v/>
      </c>
      <c r="Q137" s="97" t="str">
        <f t="shared" si="15"/>
        <v/>
      </c>
      <c r="R137" s="97" t="str">
        <f t="shared" si="16"/>
        <v/>
      </c>
      <c r="S137" s="97" t="str">
        <f t="shared" si="17"/>
        <v/>
      </c>
    </row>
    <row r="138" spans="1:19">
      <c r="A138" s="128"/>
      <c r="B138" s="129"/>
      <c r="C138" s="125"/>
      <c r="D138" s="125"/>
      <c r="E138" s="125"/>
      <c r="F138" s="125"/>
      <c r="G138" s="126"/>
      <c r="H138" s="127"/>
      <c r="I138" s="118"/>
      <c r="J138" s="119"/>
      <c r="K138" s="119"/>
      <c r="L138" s="119"/>
      <c r="M138" s="119"/>
      <c r="N138" s="117" t="str">
        <f t="shared" si="13"/>
        <v/>
      </c>
      <c r="O138" s="97" t="str">
        <f t="shared" si="12"/>
        <v/>
      </c>
      <c r="P138" s="97" t="str">
        <f t="shared" si="14"/>
        <v/>
      </c>
      <c r="Q138" s="97" t="str">
        <f t="shared" si="15"/>
        <v/>
      </c>
      <c r="R138" s="97" t="str">
        <f t="shared" si="16"/>
        <v/>
      </c>
      <c r="S138" s="97" t="str">
        <f t="shared" si="17"/>
        <v/>
      </c>
    </row>
    <row r="139" spans="1:19">
      <c r="A139" s="128"/>
      <c r="B139" s="129"/>
      <c r="C139" s="125"/>
      <c r="D139" s="125"/>
      <c r="E139" s="125"/>
      <c r="F139" s="125"/>
      <c r="G139" s="126"/>
      <c r="H139" s="127"/>
      <c r="I139" s="118"/>
      <c r="J139" s="119"/>
      <c r="K139" s="119"/>
      <c r="L139" s="119"/>
      <c r="M139" s="119"/>
      <c r="N139" s="117" t="str">
        <f t="shared" si="13"/>
        <v/>
      </c>
      <c r="O139" s="97" t="str">
        <f t="shared" si="12"/>
        <v/>
      </c>
      <c r="P139" s="97" t="str">
        <f t="shared" si="14"/>
        <v/>
      </c>
      <c r="Q139" s="97" t="str">
        <f t="shared" si="15"/>
        <v/>
      </c>
      <c r="R139" s="97" t="str">
        <f t="shared" si="16"/>
        <v/>
      </c>
      <c r="S139" s="97" t="str">
        <f t="shared" si="17"/>
        <v/>
      </c>
    </row>
    <row r="140" spans="1:19">
      <c r="A140" s="128"/>
      <c r="B140" s="129"/>
      <c r="C140" s="125"/>
      <c r="D140" s="125"/>
      <c r="E140" s="125"/>
      <c r="F140" s="125"/>
      <c r="G140" s="126"/>
      <c r="H140" s="127"/>
      <c r="I140" s="118"/>
      <c r="J140" s="119"/>
      <c r="K140" s="119"/>
      <c r="L140" s="119"/>
      <c r="M140" s="119"/>
      <c r="N140" s="117" t="str">
        <f t="shared" si="13"/>
        <v/>
      </c>
      <c r="O140" s="97" t="str">
        <f t="shared" si="12"/>
        <v/>
      </c>
      <c r="P140" s="97" t="str">
        <f t="shared" si="14"/>
        <v/>
      </c>
      <c r="Q140" s="97" t="str">
        <f t="shared" si="15"/>
        <v/>
      </c>
      <c r="R140" s="97" t="str">
        <f t="shared" si="16"/>
        <v/>
      </c>
      <c r="S140" s="97" t="str">
        <f t="shared" si="17"/>
        <v/>
      </c>
    </row>
    <row r="141" spans="1:19">
      <c r="A141" s="128"/>
      <c r="B141" s="129"/>
      <c r="C141" s="125"/>
      <c r="D141" s="125"/>
      <c r="E141" s="125"/>
      <c r="F141" s="125"/>
      <c r="G141" s="126"/>
      <c r="H141" s="127"/>
      <c r="I141" s="118"/>
      <c r="J141" s="119"/>
      <c r="K141" s="119"/>
      <c r="L141" s="119"/>
      <c r="M141" s="119"/>
      <c r="N141" s="117" t="str">
        <f t="shared" si="13"/>
        <v/>
      </c>
      <c r="O141" s="97" t="str">
        <f t="shared" si="12"/>
        <v/>
      </c>
      <c r="P141" s="97" t="str">
        <f t="shared" si="14"/>
        <v/>
      </c>
      <c r="Q141" s="97" t="str">
        <f t="shared" si="15"/>
        <v/>
      </c>
      <c r="R141" s="97" t="str">
        <f t="shared" si="16"/>
        <v/>
      </c>
      <c r="S141" s="97" t="str">
        <f t="shared" si="17"/>
        <v/>
      </c>
    </row>
    <row r="142" spans="1:19">
      <c r="A142" s="128"/>
      <c r="B142" s="129"/>
      <c r="C142" s="125"/>
      <c r="D142" s="125"/>
      <c r="E142" s="125"/>
      <c r="F142" s="125"/>
      <c r="G142" s="126"/>
      <c r="H142" s="127"/>
      <c r="I142" s="118"/>
      <c r="J142" s="119"/>
      <c r="K142" s="119"/>
      <c r="L142" s="119"/>
      <c r="M142" s="119"/>
      <c r="N142" s="117" t="str">
        <f t="shared" si="13"/>
        <v/>
      </c>
      <c r="O142" s="97" t="str">
        <f t="shared" si="12"/>
        <v/>
      </c>
      <c r="P142" s="97" t="str">
        <f t="shared" si="14"/>
        <v/>
      </c>
      <c r="Q142" s="97" t="str">
        <f t="shared" si="15"/>
        <v/>
      </c>
      <c r="R142" s="97" t="str">
        <f t="shared" si="16"/>
        <v/>
      </c>
      <c r="S142" s="97" t="str">
        <f t="shared" si="17"/>
        <v/>
      </c>
    </row>
    <row r="143" spans="1:19">
      <c r="A143" s="128"/>
      <c r="B143" s="129"/>
      <c r="C143" s="125"/>
      <c r="D143" s="125"/>
      <c r="E143" s="125"/>
      <c r="F143" s="125"/>
      <c r="G143" s="126"/>
      <c r="H143" s="127"/>
      <c r="I143" s="118"/>
      <c r="J143" s="119"/>
      <c r="K143" s="119"/>
      <c r="L143" s="119"/>
      <c r="M143" s="119"/>
      <c r="N143" s="117" t="str">
        <f t="shared" si="13"/>
        <v/>
      </c>
      <c r="O143" s="97" t="str">
        <f t="shared" si="12"/>
        <v/>
      </c>
      <c r="P143" s="97" t="str">
        <f t="shared" si="14"/>
        <v/>
      </c>
      <c r="Q143" s="97" t="str">
        <f t="shared" si="15"/>
        <v/>
      </c>
      <c r="R143" s="97" t="str">
        <f t="shared" si="16"/>
        <v/>
      </c>
      <c r="S143" s="97" t="str">
        <f t="shared" si="17"/>
        <v/>
      </c>
    </row>
    <row r="144" spans="1:19">
      <c r="A144" s="128"/>
      <c r="B144" s="129"/>
      <c r="C144" s="125"/>
      <c r="D144" s="125"/>
      <c r="E144" s="125"/>
      <c r="F144" s="125"/>
      <c r="G144" s="126"/>
      <c r="H144" s="127"/>
      <c r="I144" s="118"/>
      <c r="J144" s="119"/>
      <c r="K144" s="119"/>
      <c r="L144" s="119"/>
      <c r="M144" s="119"/>
      <c r="N144" s="117" t="str">
        <f t="shared" si="13"/>
        <v/>
      </c>
      <c r="O144" s="97" t="str">
        <f t="shared" si="12"/>
        <v/>
      </c>
      <c r="P144" s="97" t="str">
        <f t="shared" si="14"/>
        <v/>
      </c>
      <c r="Q144" s="97" t="str">
        <f t="shared" si="15"/>
        <v/>
      </c>
      <c r="R144" s="97" t="str">
        <f t="shared" si="16"/>
        <v/>
      </c>
      <c r="S144" s="97" t="str">
        <f t="shared" si="17"/>
        <v/>
      </c>
    </row>
    <row r="145" spans="1:19">
      <c r="A145" s="128"/>
      <c r="B145" s="129"/>
      <c r="C145" s="125"/>
      <c r="D145" s="125"/>
      <c r="E145" s="125"/>
      <c r="F145" s="125"/>
      <c r="G145" s="126"/>
      <c r="H145" s="127"/>
      <c r="I145" s="118"/>
      <c r="J145" s="119"/>
      <c r="K145" s="119"/>
      <c r="L145" s="119"/>
      <c r="M145" s="119"/>
      <c r="N145" s="117" t="str">
        <f t="shared" si="13"/>
        <v/>
      </c>
      <c r="O145" s="97" t="str">
        <f t="shared" si="12"/>
        <v/>
      </c>
      <c r="P145" s="97" t="str">
        <f t="shared" si="14"/>
        <v/>
      </c>
      <c r="Q145" s="97" t="str">
        <f t="shared" si="15"/>
        <v/>
      </c>
      <c r="R145" s="97" t="str">
        <f t="shared" si="16"/>
        <v/>
      </c>
      <c r="S145" s="97" t="str">
        <f t="shared" si="17"/>
        <v/>
      </c>
    </row>
    <row r="146" spans="1:19">
      <c r="A146" s="128"/>
      <c r="B146" s="129"/>
      <c r="C146" s="125"/>
      <c r="D146" s="125"/>
      <c r="E146" s="125"/>
      <c r="F146" s="125"/>
      <c r="G146" s="126"/>
      <c r="H146" s="127"/>
      <c r="I146" s="118"/>
      <c r="J146" s="119"/>
      <c r="K146" s="119"/>
      <c r="L146" s="119"/>
      <c r="M146" s="119"/>
      <c r="N146" s="117" t="str">
        <f t="shared" si="13"/>
        <v/>
      </c>
      <c r="O146" s="97" t="str">
        <f t="shared" si="12"/>
        <v/>
      </c>
      <c r="P146" s="97" t="str">
        <f t="shared" si="14"/>
        <v/>
      </c>
      <c r="Q146" s="97" t="str">
        <f t="shared" si="15"/>
        <v/>
      </c>
      <c r="R146" s="97" t="str">
        <f t="shared" si="16"/>
        <v/>
      </c>
      <c r="S146" s="97" t="str">
        <f t="shared" si="17"/>
        <v/>
      </c>
    </row>
    <row r="147" spans="1:19">
      <c r="A147" s="128"/>
      <c r="B147" s="129"/>
      <c r="C147" s="125"/>
      <c r="D147" s="125"/>
      <c r="E147" s="125"/>
      <c r="F147" s="125"/>
      <c r="G147" s="126"/>
      <c r="H147" s="127"/>
      <c r="I147" s="118"/>
      <c r="J147" s="119"/>
      <c r="K147" s="119"/>
      <c r="L147" s="119"/>
      <c r="M147" s="119"/>
      <c r="N147" s="117" t="str">
        <f t="shared" si="13"/>
        <v/>
      </c>
      <c r="O147" s="97" t="str">
        <f t="shared" si="12"/>
        <v/>
      </c>
      <c r="P147" s="97" t="str">
        <f t="shared" si="14"/>
        <v/>
      </c>
      <c r="Q147" s="97" t="str">
        <f t="shared" si="15"/>
        <v/>
      </c>
      <c r="R147" s="97" t="str">
        <f t="shared" si="16"/>
        <v/>
      </c>
      <c r="S147" s="97" t="str">
        <f t="shared" si="17"/>
        <v/>
      </c>
    </row>
    <row r="148" spans="1:19">
      <c r="A148" s="128"/>
      <c r="B148" s="129"/>
      <c r="C148" s="125"/>
      <c r="D148" s="125"/>
      <c r="E148" s="125"/>
      <c r="F148" s="125"/>
      <c r="G148" s="126"/>
      <c r="H148" s="127"/>
      <c r="I148" s="118"/>
      <c r="J148" s="119"/>
      <c r="K148" s="119"/>
      <c r="L148" s="119"/>
      <c r="M148" s="119"/>
      <c r="N148" s="117" t="str">
        <f t="shared" si="13"/>
        <v/>
      </c>
      <c r="O148" s="97" t="str">
        <f t="shared" si="12"/>
        <v/>
      </c>
      <c r="P148" s="97" t="str">
        <f t="shared" si="14"/>
        <v/>
      </c>
      <c r="Q148" s="97" t="str">
        <f t="shared" si="15"/>
        <v/>
      </c>
      <c r="R148" s="97" t="str">
        <f t="shared" si="16"/>
        <v/>
      </c>
      <c r="S148" s="97" t="str">
        <f t="shared" si="17"/>
        <v/>
      </c>
    </row>
    <row r="149" spans="1:19">
      <c r="A149" s="128"/>
      <c r="B149" s="129"/>
      <c r="C149" s="125"/>
      <c r="D149" s="125"/>
      <c r="E149" s="125"/>
      <c r="F149" s="125"/>
      <c r="G149" s="126"/>
      <c r="H149" s="127"/>
      <c r="I149" s="118"/>
      <c r="J149" s="119"/>
      <c r="K149" s="119"/>
      <c r="L149" s="119"/>
      <c r="M149" s="119"/>
      <c r="N149" s="117" t="str">
        <f t="shared" si="13"/>
        <v/>
      </c>
      <c r="O149" s="97" t="str">
        <f t="shared" si="12"/>
        <v/>
      </c>
      <c r="P149" s="97" t="str">
        <f t="shared" si="14"/>
        <v/>
      </c>
      <c r="Q149" s="97" t="str">
        <f t="shared" si="15"/>
        <v/>
      </c>
      <c r="R149" s="97" t="str">
        <f t="shared" si="16"/>
        <v/>
      </c>
      <c r="S149" s="97" t="str">
        <f t="shared" si="17"/>
        <v/>
      </c>
    </row>
    <row r="150" spans="1:19">
      <c r="A150" s="128"/>
      <c r="B150" s="129"/>
      <c r="C150" s="125"/>
      <c r="D150" s="125"/>
      <c r="E150" s="125"/>
      <c r="F150" s="125"/>
      <c r="G150" s="126"/>
      <c r="H150" s="127"/>
      <c r="I150" s="118"/>
      <c r="J150" s="119"/>
      <c r="K150" s="119"/>
      <c r="L150" s="119"/>
      <c r="M150" s="119"/>
      <c r="N150" s="117" t="str">
        <f t="shared" si="13"/>
        <v/>
      </c>
      <c r="O150" s="97" t="str">
        <f t="shared" si="12"/>
        <v/>
      </c>
      <c r="P150" s="97" t="str">
        <f t="shared" si="14"/>
        <v/>
      </c>
      <c r="Q150" s="97" t="str">
        <f t="shared" si="15"/>
        <v/>
      </c>
      <c r="R150" s="97" t="str">
        <f t="shared" si="16"/>
        <v/>
      </c>
      <c r="S150" s="97" t="str">
        <f t="shared" si="17"/>
        <v/>
      </c>
    </row>
    <row r="151" spans="1:19">
      <c r="A151" s="128"/>
      <c r="B151" s="129"/>
      <c r="C151" s="125"/>
      <c r="D151" s="125"/>
      <c r="E151" s="125"/>
      <c r="F151" s="125"/>
      <c r="G151" s="126"/>
      <c r="H151" s="127"/>
      <c r="I151" s="118"/>
      <c r="J151" s="119"/>
      <c r="K151" s="119"/>
      <c r="L151" s="119"/>
      <c r="M151" s="119"/>
      <c r="N151" s="117" t="str">
        <f t="shared" si="13"/>
        <v/>
      </c>
      <c r="O151" s="97" t="str">
        <f t="shared" si="12"/>
        <v/>
      </c>
      <c r="P151" s="97" t="str">
        <f t="shared" si="14"/>
        <v/>
      </c>
      <c r="Q151" s="97" t="str">
        <f t="shared" si="15"/>
        <v/>
      </c>
      <c r="R151" s="97" t="str">
        <f t="shared" si="16"/>
        <v/>
      </c>
      <c r="S151" s="97" t="str">
        <f t="shared" si="17"/>
        <v/>
      </c>
    </row>
    <row r="152" spans="1:19">
      <c r="A152" s="128"/>
      <c r="B152" s="129"/>
      <c r="C152" s="125"/>
      <c r="D152" s="125"/>
      <c r="E152" s="125"/>
      <c r="F152" s="125"/>
      <c r="G152" s="126"/>
      <c r="H152" s="127"/>
      <c r="I152" s="118"/>
      <c r="J152" s="119"/>
      <c r="K152" s="119"/>
      <c r="L152" s="119"/>
      <c r="M152" s="119"/>
      <c r="N152" s="117" t="str">
        <f t="shared" si="13"/>
        <v/>
      </c>
      <c r="O152" s="97" t="str">
        <f t="shared" si="12"/>
        <v/>
      </c>
      <c r="P152" s="97" t="str">
        <f t="shared" si="14"/>
        <v/>
      </c>
      <c r="Q152" s="97" t="str">
        <f t="shared" si="15"/>
        <v/>
      </c>
      <c r="R152" s="97" t="str">
        <f t="shared" si="16"/>
        <v/>
      </c>
      <c r="S152" s="97" t="str">
        <f t="shared" si="17"/>
        <v/>
      </c>
    </row>
    <row r="153" spans="1:19">
      <c r="A153" s="128"/>
      <c r="B153" s="129"/>
      <c r="C153" s="125"/>
      <c r="D153" s="125"/>
      <c r="E153" s="125"/>
      <c r="F153" s="125"/>
      <c r="G153" s="126"/>
      <c r="H153" s="127"/>
      <c r="I153" s="118"/>
      <c r="J153" s="119"/>
      <c r="K153" s="119"/>
      <c r="L153" s="119"/>
      <c r="M153" s="119"/>
      <c r="N153" s="117" t="str">
        <f t="shared" si="13"/>
        <v/>
      </c>
      <c r="O153" s="97" t="str">
        <f t="shared" si="12"/>
        <v/>
      </c>
      <c r="P153" s="97" t="str">
        <f t="shared" si="14"/>
        <v/>
      </c>
      <c r="Q153" s="97" t="str">
        <f t="shared" si="15"/>
        <v/>
      </c>
      <c r="R153" s="97" t="str">
        <f t="shared" si="16"/>
        <v/>
      </c>
      <c r="S153" s="97" t="str">
        <f t="shared" si="17"/>
        <v/>
      </c>
    </row>
    <row r="154" spans="1:19">
      <c r="A154" s="128"/>
      <c r="B154" s="129"/>
      <c r="C154" s="125"/>
      <c r="D154" s="125"/>
      <c r="E154" s="125"/>
      <c r="F154" s="125"/>
      <c r="G154" s="126"/>
      <c r="H154" s="127"/>
      <c r="I154" s="118"/>
      <c r="J154" s="119"/>
      <c r="K154" s="119"/>
      <c r="L154" s="119"/>
      <c r="M154" s="119"/>
      <c r="N154" s="117" t="str">
        <f t="shared" si="13"/>
        <v/>
      </c>
      <c r="O154" s="97" t="str">
        <f t="shared" si="12"/>
        <v/>
      </c>
      <c r="P154" s="97" t="str">
        <f t="shared" si="14"/>
        <v/>
      </c>
      <c r="Q154" s="97" t="str">
        <f t="shared" si="15"/>
        <v/>
      </c>
      <c r="R154" s="97" t="str">
        <f t="shared" si="16"/>
        <v/>
      </c>
      <c r="S154" s="97" t="str">
        <f t="shared" si="17"/>
        <v/>
      </c>
    </row>
    <row r="155" spans="1:19">
      <c r="A155" s="128"/>
      <c r="B155" s="129"/>
      <c r="C155" s="125"/>
      <c r="D155" s="125"/>
      <c r="E155" s="125"/>
      <c r="F155" s="125"/>
      <c r="G155" s="126"/>
      <c r="H155" s="127"/>
      <c r="I155" s="118"/>
      <c r="J155" s="119"/>
      <c r="K155" s="119"/>
      <c r="L155" s="119"/>
      <c r="M155" s="119"/>
      <c r="N155" s="117" t="str">
        <f t="shared" si="13"/>
        <v/>
      </c>
      <c r="O155" s="97" t="str">
        <f t="shared" si="12"/>
        <v/>
      </c>
      <c r="P155" s="97" t="str">
        <f t="shared" si="14"/>
        <v/>
      </c>
      <c r="Q155" s="97" t="str">
        <f t="shared" si="15"/>
        <v/>
      </c>
      <c r="R155" s="97" t="str">
        <f t="shared" si="16"/>
        <v/>
      </c>
      <c r="S155" s="97" t="str">
        <f t="shared" si="17"/>
        <v/>
      </c>
    </row>
    <row r="156" spans="1:19">
      <c r="A156" s="128"/>
      <c r="B156" s="129"/>
      <c r="C156" s="125"/>
      <c r="D156" s="125"/>
      <c r="E156" s="125"/>
      <c r="F156" s="125"/>
      <c r="G156" s="126"/>
      <c r="H156" s="127"/>
      <c r="I156" s="118"/>
      <c r="J156" s="119"/>
      <c r="K156" s="119"/>
      <c r="L156" s="119"/>
      <c r="M156" s="119"/>
      <c r="N156" s="117" t="str">
        <f t="shared" si="13"/>
        <v/>
      </c>
      <c r="O156" s="97" t="str">
        <f t="shared" si="12"/>
        <v/>
      </c>
      <c r="P156" s="97" t="str">
        <f t="shared" si="14"/>
        <v/>
      </c>
      <c r="Q156" s="97" t="str">
        <f t="shared" si="15"/>
        <v/>
      </c>
      <c r="R156" s="97" t="str">
        <f t="shared" si="16"/>
        <v/>
      </c>
      <c r="S156" s="97" t="str">
        <f t="shared" si="17"/>
        <v/>
      </c>
    </row>
    <row r="157" spans="1:19">
      <c r="A157" s="128"/>
      <c r="B157" s="129"/>
      <c r="C157" s="125"/>
      <c r="D157" s="125"/>
      <c r="E157" s="125"/>
      <c r="F157" s="125"/>
      <c r="G157" s="126"/>
      <c r="H157" s="127"/>
      <c r="I157" s="118"/>
      <c r="J157" s="119"/>
      <c r="K157" s="119"/>
      <c r="L157" s="119"/>
      <c r="M157" s="119"/>
      <c r="N157" s="117" t="str">
        <f t="shared" si="13"/>
        <v/>
      </c>
      <c r="O157" s="97" t="str">
        <f t="shared" si="12"/>
        <v/>
      </c>
      <c r="P157" s="97" t="str">
        <f t="shared" si="14"/>
        <v/>
      </c>
      <c r="Q157" s="97" t="str">
        <f t="shared" si="15"/>
        <v/>
      </c>
      <c r="R157" s="97" t="str">
        <f t="shared" si="16"/>
        <v/>
      </c>
      <c r="S157" s="97" t="str">
        <f t="shared" si="17"/>
        <v/>
      </c>
    </row>
    <row r="158" spans="1:19">
      <c r="A158" s="128"/>
      <c r="B158" s="129"/>
      <c r="C158" s="125"/>
      <c r="D158" s="125"/>
      <c r="E158" s="125"/>
      <c r="F158" s="125"/>
      <c r="G158" s="126"/>
      <c r="H158" s="127"/>
      <c r="I158" s="118"/>
      <c r="J158" s="119"/>
      <c r="K158" s="119"/>
      <c r="L158" s="119"/>
      <c r="M158" s="119"/>
      <c r="N158" s="117" t="str">
        <f t="shared" si="13"/>
        <v/>
      </c>
      <c r="O158" s="97" t="str">
        <f t="shared" si="12"/>
        <v/>
      </c>
      <c r="P158" s="97" t="str">
        <f t="shared" si="14"/>
        <v/>
      </c>
      <c r="Q158" s="97" t="str">
        <f t="shared" si="15"/>
        <v/>
      </c>
      <c r="R158" s="97" t="str">
        <f t="shared" si="16"/>
        <v/>
      </c>
      <c r="S158" s="97" t="str">
        <f t="shared" si="17"/>
        <v/>
      </c>
    </row>
    <row r="159" spans="1:19">
      <c r="A159" s="128"/>
      <c r="B159" s="129"/>
      <c r="C159" s="125"/>
      <c r="D159" s="125"/>
      <c r="E159" s="125"/>
      <c r="F159" s="125"/>
      <c r="G159" s="126"/>
      <c r="H159" s="127"/>
      <c r="I159" s="118"/>
      <c r="J159" s="119"/>
      <c r="K159" s="119"/>
      <c r="L159" s="119"/>
      <c r="M159" s="119"/>
      <c r="N159" s="117" t="str">
        <f t="shared" si="13"/>
        <v/>
      </c>
      <c r="O159" s="97" t="str">
        <f t="shared" si="12"/>
        <v/>
      </c>
      <c r="P159" s="97" t="str">
        <f t="shared" si="14"/>
        <v/>
      </c>
      <c r="Q159" s="97" t="str">
        <f t="shared" si="15"/>
        <v/>
      </c>
      <c r="R159" s="97" t="str">
        <f t="shared" si="16"/>
        <v/>
      </c>
      <c r="S159" s="97" t="str">
        <f t="shared" si="17"/>
        <v/>
      </c>
    </row>
    <row r="160" spans="1:19">
      <c r="A160" s="128"/>
      <c r="B160" s="129"/>
      <c r="C160" s="125"/>
      <c r="D160" s="125"/>
      <c r="E160" s="125"/>
      <c r="F160" s="125"/>
      <c r="G160" s="126"/>
      <c r="H160" s="127"/>
      <c r="I160" s="118"/>
      <c r="J160" s="119"/>
      <c r="K160" s="119"/>
      <c r="L160" s="119"/>
      <c r="M160" s="119"/>
      <c r="N160" s="117" t="str">
        <f t="shared" si="13"/>
        <v/>
      </c>
      <c r="O160" s="97" t="str">
        <f t="shared" si="12"/>
        <v/>
      </c>
      <c r="P160" s="97" t="str">
        <f t="shared" si="14"/>
        <v/>
      </c>
      <c r="Q160" s="97" t="str">
        <f t="shared" si="15"/>
        <v/>
      </c>
      <c r="R160" s="97" t="str">
        <f t="shared" si="16"/>
        <v/>
      </c>
      <c r="S160" s="97" t="str">
        <f t="shared" si="17"/>
        <v/>
      </c>
    </row>
    <row r="161" spans="1:19">
      <c r="A161" s="128"/>
      <c r="B161" s="129"/>
      <c r="C161" s="125"/>
      <c r="D161" s="125"/>
      <c r="E161" s="125"/>
      <c r="F161" s="125"/>
      <c r="G161" s="126"/>
      <c r="H161" s="127"/>
      <c r="I161" s="118"/>
      <c r="J161" s="119"/>
      <c r="K161" s="119"/>
      <c r="L161" s="119"/>
      <c r="M161" s="119"/>
      <c r="N161" s="117" t="str">
        <f t="shared" si="13"/>
        <v/>
      </c>
      <c r="O161" s="97" t="str">
        <f t="shared" si="12"/>
        <v/>
      </c>
      <c r="P161" s="97" t="str">
        <f t="shared" si="14"/>
        <v/>
      </c>
      <c r="Q161" s="97" t="str">
        <f t="shared" si="15"/>
        <v/>
      </c>
      <c r="R161" s="97" t="str">
        <f t="shared" si="16"/>
        <v/>
      </c>
      <c r="S161" s="97" t="str">
        <f t="shared" si="17"/>
        <v/>
      </c>
    </row>
    <row r="162" spans="1:19">
      <c r="A162" s="128"/>
      <c r="B162" s="129"/>
      <c r="C162" s="125"/>
      <c r="D162" s="125"/>
      <c r="E162" s="125"/>
      <c r="F162" s="125"/>
      <c r="G162" s="126"/>
      <c r="H162" s="127"/>
      <c r="I162" s="118"/>
      <c r="J162" s="119"/>
      <c r="K162" s="119"/>
      <c r="L162" s="119"/>
      <c r="M162" s="119"/>
      <c r="N162" s="117" t="str">
        <f t="shared" si="13"/>
        <v/>
      </c>
      <c r="O162" s="97" t="str">
        <f t="shared" si="12"/>
        <v/>
      </c>
      <c r="P162" s="97" t="str">
        <f t="shared" si="14"/>
        <v/>
      </c>
      <c r="Q162" s="97" t="str">
        <f t="shared" si="15"/>
        <v/>
      </c>
      <c r="R162" s="97" t="str">
        <f t="shared" si="16"/>
        <v/>
      </c>
      <c r="S162" s="97" t="str">
        <f t="shared" si="17"/>
        <v/>
      </c>
    </row>
    <row r="163" spans="1:19">
      <c r="A163" s="128"/>
      <c r="B163" s="129"/>
      <c r="C163" s="125"/>
      <c r="D163" s="125"/>
      <c r="E163" s="125"/>
      <c r="F163" s="125"/>
      <c r="G163" s="126"/>
      <c r="H163" s="127"/>
      <c r="I163" s="118"/>
      <c r="J163" s="119"/>
      <c r="K163" s="119"/>
      <c r="L163" s="119"/>
      <c r="M163" s="119"/>
      <c r="N163" s="117" t="str">
        <f t="shared" si="13"/>
        <v/>
      </c>
      <c r="O163" s="97" t="str">
        <f t="shared" si="12"/>
        <v/>
      </c>
      <c r="P163" s="97" t="str">
        <f t="shared" si="14"/>
        <v/>
      </c>
      <c r="Q163" s="97" t="str">
        <f t="shared" si="15"/>
        <v/>
      </c>
      <c r="R163" s="97" t="str">
        <f t="shared" si="16"/>
        <v/>
      </c>
      <c r="S163" s="97" t="str">
        <f t="shared" si="17"/>
        <v/>
      </c>
    </row>
    <row r="164" spans="1:19">
      <c r="A164" s="128"/>
      <c r="B164" s="129"/>
      <c r="C164" s="125"/>
      <c r="D164" s="125"/>
      <c r="E164" s="125"/>
      <c r="F164" s="125"/>
      <c r="G164" s="126"/>
      <c r="H164" s="127"/>
      <c r="I164" s="118"/>
      <c r="J164" s="119"/>
      <c r="K164" s="119"/>
      <c r="L164" s="119"/>
      <c r="M164" s="119"/>
      <c r="N164" s="117" t="str">
        <f t="shared" si="13"/>
        <v/>
      </c>
      <c r="O164" s="97" t="str">
        <f t="shared" si="12"/>
        <v/>
      </c>
      <c r="P164" s="97" t="str">
        <f t="shared" si="14"/>
        <v/>
      </c>
      <c r="Q164" s="97" t="str">
        <f t="shared" si="15"/>
        <v/>
      </c>
      <c r="R164" s="97" t="str">
        <f t="shared" si="16"/>
        <v/>
      </c>
      <c r="S164" s="97" t="str">
        <f t="shared" si="17"/>
        <v/>
      </c>
    </row>
    <row r="165" spans="1:19">
      <c r="A165" s="128"/>
      <c r="B165" s="129"/>
      <c r="C165" s="125"/>
      <c r="D165" s="125"/>
      <c r="E165" s="125"/>
      <c r="F165" s="125"/>
      <c r="G165" s="126"/>
      <c r="H165" s="127"/>
      <c r="I165" s="118"/>
      <c r="J165" s="119"/>
      <c r="K165" s="119"/>
      <c r="L165" s="119"/>
      <c r="M165" s="119"/>
      <c r="N165" s="117" t="str">
        <f t="shared" si="13"/>
        <v/>
      </c>
      <c r="O165" s="97" t="str">
        <f t="shared" si="12"/>
        <v/>
      </c>
      <c r="P165" s="97" t="str">
        <f t="shared" si="14"/>
        <v/>
      </c>
      <c r="Q165" s="97" t="str">
        <f t="shared" si="15"/>
        <v/>
      </c>
      <c r="R165" s="97" t="str">
        <f t="shared" si="16"/>
        <v/>
      </c>
      <c r="S165" s="97" t="str">
        <f t="shared" si="17"/>
        <v/>
      </c>
    </row>
    <row r="166" spans="1:19">
      <c r="A166" s="128"/>
      <c r="B166" s="129"/>
      <c r="C166" s="125"/>
      <c r="D166" s="125"/>
      <c r="E166" s="125"/>
      <c r="F166" s="125"/>
      <c r="G166" s="126"/>
      <c r="H166" s="127"/>
      <c r="I166" s="118"/>
      <c r="J166" s="119"/>
      <c r="K166" s="119"/>
      <c r="L166" s="119"/>
      <c r="M166" s="119"/>
      <c r="N166" s="117" t="str">
        <f t="shared" si="13"/>
        <v/>
      </c>
      <c r="O166" s="97" t="str">
        <f t="shared" si="12"/>
        <v/>
      </c>
      <c r="P166" s="97" t="str">
        <f t="shared" si="14"/>
        <v/>
      </c>
      <c r="Q166" s="97" t="str">
        <f t="shared" si="15"/>
        <v/>
      </c>
      <c r="R166" s="97" t="str">
        <f t="shared" si="16"/>
        <v/>
      </c>
      <c r="S166" s="97" t="str">
        <f t="shared" si="17"/>
        <v/>
      </c>
    </row>
    <row r="167" spans="1:19">
      <c r="A167" s="128"/>
      <c r="B167" s="129"/>
      <c r="C167" s="125"/>
      <c r="D167" s="125"/>
      <c r="E167" s="125"/>
      <c r="F167" s="125"/>
      <c r="G167" s="126"/>
      <c r="H167" s="127"/>
      <c r="I167" s="118"/>
      <c r="J167" s="119"/>
      <c r="K167" s="119"/>
      <c r="L167" s="119"/>
      <c r="M167" s="119"/>
      <c r="N167" s="117" t="str">
        <f t="shared" si="13"/>
        <v/>
      </c>
      <c r="O167" s="97" t="str">
        <f t="shared" si="12"/>
        <v/>
      </c>
      <c r="P167" s="97" t="str">
        <f t="shared" si="14"/>
        <v/>
      </c>
      <c r="Q167" s="97" t="str">
        <f t="shared" si="15"/>
        <v/>
      </c>
      <c r="R167" s="97" t="str">
        <f t="shared" si="16"/>
        <v/>
      </c>
      <c r="S167" s="97" t="str">
        <f t="shared" si="17"/>
        <v/>
      </c>
    </row>
    <row r="168" spans="1:19">
      <c r="A168" s="128"/>
      <c r="B168" s="129"/>
      <c r="C168" s="125"/>
      <c r="D168" s="125"/>
      <c r="E168" s="125"/>
      <c r="F168" s="125"/>
      <c r="G168" s="126"/>
      <c r="H168" s="127"/>
      <c r="I168" s="118"/>
      <c r="J168" s="119"/>
      <c r="K168" s="119"/>
      <c r="L168" s="119"/>
      <c r="M168" s="119"/>
      <c r="N168" s="117" t="str">
        <f t="shared" si="13"/>
        <v/>
      </c>
      <c r="O168" s="97" t="str">
        <f t="shared" si="12"/>
        <v/>
      </c>
      <c r="P168" s="97" t="str">
        <f t="shared" si="14"/>
        <v/>
      </c>
      <c r="Q168" s="97" t="str">
        <f t="shared" si="15"/>
        <v/>
      </c>
      <c r="R168" s="97" t="str">
        <f t="shared" si="16"/>
        <v/>
      </c>
      <c r="S168" s="97" t="str">
        <f t="shared" si="17"/>
        <v/>
      </c>
    </row>
    <row r="169" spans="1:19">
      <c r="A169" s="128"/>
      <c r="B169" s="129"/>
      <c r="C169" s="125"/>
      <c r="D169" s="125"/>
      <c r="E169" s="125"/>
      <c r="F169" s="125"/>
      <c r="G169" s="126"/>
      <c r="H169" s="127"/>
      <c r="I169" s="118"/>
      <c r="J169" s="119"/>
      <c r="K169" s="119"/>
      <c r="L169" s="119"/>
      <c r="M169" s="119"/>
      <c r="N169" s="117" t="str">
        <f t="shared" si="13"/>
        <v/>
      </c>
      <c r="O169" s="97" t="str">
        <f t="shared" si="12"/>
        <v/>
      </c>
      <c r="P169" s="97" t="str">
        <f t="shared" si="14"/>
        <v/>
      </c>
      <c r="Q169" s="97" t="str">
        <f t="shared" si="15"/>
        <v/>
      </c>
      <c r="R169" s="97" t="str">
        <f t="shared" si="16"/>
        <v/>
      </c>
      <c r="S169" s="97" t="str">
        <f t="shared" si="17"/>
        <v/>
      </c>
    </row>
    <row r="170" spans="1:19">
      <c r="A170" s="128"/>
      <c r="B170" s="129"/>
      <c r="C170" s="125"/>
      <c r="D170" s="125"/>
      <c r="E170" s="125"/>
      <c r="F170" s="125"/>
      <c r="G170" s="126"/>
      <c r="H170" s="127"/>
      <c r="I170" s="118"/>
      <c r="J170" s="119"/>
      <c r="K170" s="119"/>
      <c r="L170" s="119"/>
      <c r="M170" s="119"/>
      <c r="N170" s="117" t="str">
        <f t="shared" si="13"/>
        <v/>
      </c>
      <c r="O170" s="97" t="str">
        <f t="shared" si="12"/>
        <v/>
      </c>
      <c r="P170" s="97" t="str">
        <f t="shared" si="14"/>
        <v/>
      </c>
      <c r="Q170" s="97" t="str">
        <f t="shared" si="15"/>
        <v/>
      </c>
      <c r="R170" s="97" t="str">
        <f t="shared" si="16"/>
        <v/>
      </c>
      <c r="S170" s="97" t="str">
        <f t="shared" si="17"/>
        <v/>
      </c>
    </row>
    <row r="171" spans="1:19">
      <c r="A171" s="128"/>
      <c r="B171" s="129"/>
      <c r="C171" s="125"/>
      <c r="D171" s="125"/>
      <c r="E171" s="125"/>
      <c r="F171" s="125"/>
      <c r="G171" s="126"/>
      <c r="H171" s="127"/>
      <c r="I171" s="118"/>
      <c r="J171" s="119"/>
      <c r="K171" s="119"/>
      <c r="L171" s="119"/>
      <c r="M171" s="119"/>
      <c r="N171" s="117" t="str">
        <f t="shared" si="13"/>
        <v/>
      </c>
      <c r="O171" s="97" t="str">
        <f t="shared" si="12"/>
        <v/>
      </c>
      <c r="P171" s="97" t="str">
        <f t="shared" si="14"/>
        <v/>
      </c>
      <c r="Q171" s="97" t="str">
        <f t="shared" si="15"/>
        <v/>
      </c>
      <c r="R171" s="97" t="str">
        <f t="shared" si="16"/>
        <v/>
      </c>
      <c r="S171" s="97" t="str">
        <f t="shared" si="17"/>
        <v/>
      </c>
    </row>
    <row r="172" spans="1:19">
      <c r="A172" s="128"/>
      <c r="B172" s="129"/>
      <c r="C172" s="125"/>
      <c r="D172" s="125"/>
      <c r="E172" s="125"/>
      <c r="F172" s="125"/>
      <c r="G172" s="126"/>
      <c r="H172" s="127"/>
      <c r="I172" s="118"/>
      <c r="J172" s="119"/>
      <c r="K172" s="119"/>
      <c r="L172" s="119"/>
      <c r="M172" s="119"/>
      <c r="N172" s="117" t="str">
        <f t="shared" si="13"/>
        <v/>
      </c>
      <c r="O172" s="97" t="str">
        <f t="shared" si="12"/>
        <v/>
      </c>
      <c r="P172" s="97" t="str">
        <f t="shared" si="14"/>
        <v/>
      </c>
      <c r="Q172" s="97" t="str">
        <f t="shared" si="15"/>
        <v/>
      </c>
      <c r="R172" s="97" t="str">
        <f t="shared" si="16"/>
        <v/>
      </c>
      <c r="S172" s="97" t="str">
        <f t="shared" si="17"/>
        <v/>
      </c>
    </row>
    <row r="173" spans="1:19">
      <c r="A173" s="128"/>
      <c r="B173" s="129"/>
      <c r="C173" s="125"/>
      <c r="D173" s="125"/>
      <c r="E173" s="125"/>
      <c r="F173" s="125"/>
      <c r="G173" s="126"/>
      <c r="H173" s="127"/>
      <c r="I173" s="118"/>
      <c r="J173" s="119"/>
      <c r="K173" s="119"/>
      <c r="L173" s="119"/>
      <c r="M173" s="119"/>
      <c r="N173" s="117" t="str">
        <f t="shared" si="13"/>
        <v/>
      </c>
      <c r="O173" s="97" t="str">
        <f t="shared" si="12"/>
        <v/>
      </c>
      <c r="P173" s="97" t="str">
        <f t="shared" si="14"/>
        <v/>
      </c>
      <c r="Q173" s="97" t="str">
        <f t="shared" si="15"/>
        <v/>
      </c>
      <c r="R173" s="97" t="str">
        <f t="shared" si="16"/>
        <v/>
      </c>
      <c r="S173" s="97" t="str">
        <f t="shared" si="17"/>
        <v/>
      </c>
    </row>
    <row r="174" spans="1:19">
      <c r="A174" s="128"/>
      <c r="B174" s="129"/>
      <c r="C174" s="125"/>
      <c r="D174" s="125"/>
      <c r="E174" s="125"/>
      <c r="F174" s="125"/>
      <c r="G174" s="126"/>
      <c r="H174" s="127"/>
      <c r="I174" s="118"/>
      <c r="J174" s="119"/>
      <c r="K174" s="119"/>
      <c r="L174" s="119"/>
      <c r="M174" s="119"/>
      <c r="N174" s="117" t="str">
        <f t="shared" si="13"/>
        <v/>
      </c>
      <c r="O174" s="97" t="str">
        <f t="shared" si="12"/>
        <v/>
      </c>
      <c r="P174" s="97" t="str">
        <f t="shared" si="14"/>
        <v/>
      </c>
      <c r="Q174" s="97" t="str">
        <f t="shared" si="15"/>
        <v/>
      </c>
      <c r="R174" s="97" t="str">
        <f t="shared" si="16"/>
        <v/>
      </c>
      <c r="S174" s="97" t="str">
        <f t="shared" si="17"/>
        <v/>
      </c>
    </row>
    <row r="175" spans="1:19">
      <c r="A175" s="128"/>
      <c r="B175" s="129"/>
      <c r="C175" s="125"/>
      <c r="D175" s="125"/>
      <c r="E175" s="125"/>
      <c r="F175" s="125"/>
      <c r="G175" s="126"/>
      <c r="H175" s="127"/>
      <c r="I175" s="118"/>
      <c r="J175" s="119"/>
      <c r="K175" s="119"/>
      <c r="L175" s="119"/>
      <c r="M175" s="119"/>
      <c r="N175" s="117" t="str">
        <f t="shared" si="13"/>
        <v/>
      </c>
      <c r="O175" s="97" t="str">
        <f t="shared" si="12"/>
        <v/>
      </c>
      <c r="P175" s="97" t="str">
        <f t="shared" si="14"/>
        <v/>
      </c>
      <c r="Q175" s="97" t="str">
        <f t="shared" si="15"/>
        <v/>
      </c>
      <c r="R175" s="97" t="str">
        <f t="shared" si="16"/>
        <v/>
      </c>
      <c r="S175" s="97" t="str">
        <f t="shared" si="17"/>
        <v/>
      </c>
    </row>
    <row r="176" spans="1:19">
      <c r="A176" s="128"/>
      <c r="B176" s="129"/>
      <c r="C176" s="125"/>
      <c r="D176" s="125"/>
      <c r="E176" s="125"/>
      <c r="F176" s="125"/>
      <c r="G176" s="126"/>
      <c r="H176" s="127"/>
      <c r="I176" s="118"/>
      <c r="J176" s="119"/>
      <c r="K176" s="119"/>
      <c r="L176" s="119"/>
      <c r="M176" s="119"/>
      <c r="N176" s="117" t="str">
        <f t="shared" si="13"/>
        <v/>
      </c>
      <c r="O176" s="97" t="str">
        <f t="shared" si="12"/>
        <v/>
      </c>
      <c r="P176" s="97" t="str">
        <f t="shared" si="14"/>
        <v/>
      </c>
      <c r="Q176" s="97" t="str">
        <f t="shared" si="15"/>
        <v/>
      </c>
      <c r="R176" s="97" t="str">
        <f t="shared" si="16"/>
        <v/>
      </c>
      <c r="S176" s="97" t="str">
        <f t="shared" si="17"/>
        <v/>
      </c>
    </row>
    <row r="177" spans="1:19">
      <c r="A177" s="128"/>
      <c r="B177" s="129"/>
      <c r="C177" s="125"/>
      <c r="D177" s="125"/>
      <c r="E177" s="125"/>
      <c r="F177" s="125"/>
      <c r="G177" s="126"/>
      <c r="H177" s="127"/>
      <c r="I177" s="118"/>
      <c r="J177" s="119"/>
      <c r="K177" s="119"/>
      <c r="L177" s="119"/>
      <c r="M177" s="119"/>
      <c r="N177" s="117" t="str">
        <f t="shared" si="13"/>
        <v/>
      </c>
      <c r="O177" s="97" t="str">
        <f t="shared" si="12"/>
        <v/>
      </c>
      <c r="P177" s="97" t="str">
        <f t="shared" si="14"/>
        <v/>
      </c>
      <c r="Q177" s="97" t="str">
        <f t="shared" si="15"/>
        <v/>
      </c>
      <c r="R177" s="97" t="str">
        <f t="shared" si="16"/>
        <v/>
      </c>
      <c r="S177" s="97" t="str">
        <f t="shared" si="17"/>
        <v/>
      </c>
    </row>
    <row r="178" spans="1:19">
      <c r="A178" s="128"/>
      <c r="B178" s="129"/>
      <c r="C178" s="125"/>
      <c r="D178" s="125"/>
      <c r="E178" s="125"/>
      <c r="F178" s="125"/>
      <c r="G178" s="126"/>
      <c r="H178" s="127"/>
      <c r="I178" s="118"/>
      <c r="J178" s="119"/>
      <c r="K178" s="119"/>
      <c r="L178" s="119"/>
      <c r="M178" s="119"/>
      <c r="N178" s="117" t="str">
        <f t="shared" si="13"/>
        <v/>
      </c>
      <c r="O178" s="97" t="str">
        <f t="shared" si="12"/>
        <v/>
      </c>
      <c r="P178" s="97" t="str">
        <f t="shared" si="14"/>
        <v/>
      </c>
      <c r="Q178" s="97" t="str">
        <f t="shared" si="15"/>
        <v/>
      </c>
      <c r="R178" s="97" t="str">
        <f t="shared" si="16"/>
        <v/>
      </c>
      <c r="S178" s="97" t="str">
        <f t="shared" si="17"/>
        <v/>
      </c>
    </row>
    <row r="179" spans="1:19">
      <c r="A179" s="128"/>
      <c r="B179" s="129"/>
      <c r="C179" s="125"/>
      <c r="D179" s="125"/>
      <c r="E179" s="125"/>
      <c r="F179" s="125"/>
      <c r="G179" s="126"/>
      <c r="H179" s="127"/>
      <c r="I179" s="118"/>
      <c r="J179" s="119"/>
      <c r="K179" s="119"/>
      <c r="L179" s="119"/>
      <c r="M179" s="119"/>
      <c r="N179" s="117" t="str">
        <f t="shared" si="13"/>
        <v/>
      </c>
      <c r="O179" s="97" t="str">
        <f t="shared" si="12"/>
        <v/>
      </c>
      <c r="P179" s="97" t="str">
        <f t="shared" si="14"/>
        <v/>
      </c>
      <c r="Q179" s="97" t="str">
        <f t="shared" si="15"/>
        <v/>
      </c>
      <c r="R179" s="97" t="str">
        <f t="shared" si="16"/>
        <v/>
      </c>
      <c r="S179" s="97" t="str">
        <f t="shared" si="17"/>
        <v/>
      </c>
    </row>
    <row r="180" spans="1:19">
      <c r="A180" s="128"/>
      <c r="B180" s="129"/>
      <c r="C180" s="125"/>
      <c r="D180" s="125"/>
      <c r="E180" s="125"/>
      <c r="F180" s="125"/>
      <c r="G180" s="126"/>
      <c r="H180" s="127"/>
      <c r="I180" s="118"/>
      <c r="J180" s="119"/>
      <c r="K180" s="119"/>
      <c r="L180" s="119"/>
      <c r="M180" s="119"/>
      <c r="N180" s="117" t="str">
        <f t="shared" si="13"/>
        <v/>
      </c>
      <c r="O180" s="97" t="str">
        <f t="shared" si="12"/>
        <v/>
      </c>
      <c r="P180" s="97" t="str">
        <f t="shared" si="14"/>
        <v/>
      </c>
      <c r="Q180" s="97" t="str">
        <f t="shared" si="15"/>
        <v/>
      </c>
      <c r="R180" s="97" t="str">
        <f t="shared" si="16"/>
        <v/>
      </c>
      <c r="S180" s="97" t="str">
        <f t="shared" si="17"/>
        <v/>
      </c>
    </row>
    <row r="181" spans="1:19">
      <c r="A181" s="128"/>
      <c r="B181" s="129"/>
      <c r="C181" s="125"/>
      <c r="D181" s="125"/>
      <c r="E181" s="125"/>
      <c r="F181" s="125"/>
      <c r="G181" s="126"/>
      <c r="H181" s="127"/>
      <c r="I181" s="118"/>
      <c r="J181" s="119"/>
      <c r="K181" s="119"/>
      <c r="L181" s="119"/>
      <c r="M181" s="119"/>
      <c r="N181" s="117" t="str">
        <f t="shared" si="13"/>
        <v/>
      </c>
      <c r="O181" s="97" t="str">
        <f t="shared" si="12"/>
        <v/>
      </c>
      <c r="P181" s="97" t="str">
        <f t="shared" si="14"/>
        <v/>
      </c>
      <c r="Q181" s="97" t="str">
        <f t="shared" si="15"/>
        <v/>
      </c>
      <c r="R181" s="97" t="str">
        <f t="shared" si="16"/>
        <v/>
      </c>
      <c r="S181" s="97" t="str">
        <f t="shared" si="17"/>
        <v/>
      </c>
    </row>
    <row r="182" spans="1:19">
      <c r="A182" s="128"/>
      <c r="B182" s="129"/>
      <c r="C182" s="125"/>
      <c r="D182" s="125"/>
      <c r="E182" s="125"/>
      <c r="F182" s="125"/>
      <c r="G182" s="126"/>
      <c r="H182" s="127"/>
      <c r="I182" s="118"/>
      <c r="J182" s="119"/>
      <c r="K182" s="119"/>
      <c r="L182" s="119"/>
      <c r="M182" s="119"/>
      <c r="N182" s="117" t="str">
        <f t="shared" si="13"/>
        <v/>
      </c>
      <c r="O182" s="97" t="str">
        <f t="shared" si="12"/>
        <v/>
      </c>
      <c r="P182" s="97" t="str">
        <f t="shared" si="14"/>
        <v/>
      </c>
      <c r="Q182" s="97" t="str">
        <f t="shared" si="15"/>
        <v/>
      </c>
      <c r="R182" s="97" t="str">
        <f t="shared" si="16"/>
        <v/>
      </c>
      <c r="S182" s="97" t="str">
        <f t="shared" si="17"/>
        <v/>
      </c>
    </row>
    <row r="183" spans="1:19">
      <c r="A183" s="128"/>
      <c r="B183" s="129"/>
      <c r="C183" s="125"/>
      <c r="D183" s="125"/>
      <c r="E183" s="125"/>
      <c r="F183" s="125"/>
      <c r="G183" s="126"/>
      <c r="H183" s="127"/>
      <c r="I183" s="118"/>
      <c r="J183" s="119"/>
      <c r="K183" s="119"/>
      <c r="L183" s="119"/>
      <c r="M183" s="119"/>
      <c r="N183" s="117" t="str">
        <f t="shared" si="13"/>
        <v/>
      </c>
      <c r="O183" s="97" t="str">
        <f t="shared" si="12"/>
        <v/>
      </c>
      <c r="P183" s="97" t="str">
        <f t="shared" si="14"/>
        <v/>
      </c>
      <c r="Q183" s="97" t="str">
        <f t="shared" si="15"/>
        <v/>
      </c>
      <c r="R183" s="97" t="str">
        <f t="shared" si="16"/>
        <v/>
      </c>
      <c r="S183" s="97" t="str">
        <f t="shared" si="17"/>
        <v/>
      </c>
    </row>
    <row r="184" spans="1:19">
      <c r="A184" s="128"/>
      <c r="B184" s="129"/>
      <c r="C184" s="125"/>
      <c r="D184" s="125"/>
      <c r="E184" s="125"/>
      <c r="F184" s="125"/>
      <c r="G184" s="126"/>
      <c r="H184" s="127"/>
      <c r="I184" s="118"/>
      <c r="J184" s="119"/>
      <c r="K184" s="119"/>
      <c r="L184" s="119"/>
      <c r="M184" s="119"/>
      <c r="N184" s="117" t="str">
        <f t="shared" si="13"/>
        <v/>
      </c>
      <c r="O184" s="97" t="str">
        <f t="shared" si="12"/>
        <v/>
      </c>
      <c r="P184" s="97" t="str">
        <f t="shared" si="14"/>
        <v/>
      </c>
      <c r="Q184" s="97" t="str">
        <f t="shared" si="15"/>
        <v/>
      </c>
      <c r="R184" s="97" t="str">
        <f t="shared" si="16"/>
        <v/>
      </c>
      <c r="S184" s="97" t="str">
        <f t="shared" si="17"/>
        <v/>
      </c>
    </row>
    <row r="185" spans="1:19">
      <c r="A185" s="128"/>
      <c r="B185" s="129"/>
      <c r="C185" s="125"/>
      <c r="D185" s="125"/>
      <c r="E185" s="125"/>
      <c r="F185" s="125"/>
      <c r="G185" s="126"/>
      <c r="H185" s="127"/>
      <c r="I185" s="118"/>
      <c r="J185" s="119"/>
      <c r="K185" s="119"/>
      <c r="L185" s="119"/>
      <c r="M185" s="119"/>
      <c r="N185" s="117" t="str">
        <f t="shared" si="13"/>
        <v/>
      </c>
      <c r="O185" s="97" t="str">
        <f t="shared" si="12"/>
        <v/>
      </c>
      <c r="P185" s="97" t="str">
        <f t="shared" si="14"/>
        <v/>
      </c>
      <c r="Q185" s="97" t="str">
        <f t="shared" si="15"/>
        <v/>
      </c>
      <c r="R185" s="97" t="str">
        <f t="shared" si="16"/>
        <v/>
      </c>
      <c r="S185" s="97" t="str">
        <f t="shared" si="17"/>
        <v/>
      </c>
    </row>
    <row r="186" spans="1:19">
      <c r="A186" s="128"/>
      <c r="B186" s="129"/>
      <c r="C186" s="125"/>
      <c r="D186" s="125"/>
      <c r="E186" s="125"/>
      <c r="F186" s="125"/>
      <c r="G186" s="126"/>
      <c r="H186" s="127"/>
      <c r="I186" s="118"/>
      <c r="J186" s="119"/>
      <c r="K186" s="119"/>
      <c r="L186" s="119"/>
      <c r="M186" s="119"/>
      <c r="N186" s="117" t="str">
        <f t="shared" si="13"/>
        <v/>
      </c>
      <c r="O186" s="97" t="str">
        <f t="shared" si="12"/>
        <v/>
      </c>
      <c r="P186" s="97" t="str">
        <f t="shared" si="14"/>
        <v/>
      </c>
      <c r="Q186" s="97" t="str">
        <f t="shared" si="15"/>
        <v/>
      </c>
      <c r="R186" s="97" t="str">
        <f t="shared" si="16"/>
        <v/>
      </c>
      <c r="S186" s="97" t="str">
        <f t="shared" si="17"/>
        <v/>
      </c>
    </row>
    <row r="187" spans="1:19">
      <c r="A187" s="128"/>
      <c r="B187" s="129"/>
      <c r="C187" s="125"/>
      <c r="D187" s="125"/>
      <c r="E187" s="125"/>
      <c r="F187" s="125"/>
      <c r="G187" s="126"/>
      <c r="H187" s="127"/>
      <c r="I187" s="118"/>
      <c r="J187" s="119"/>
      <c r="K187" s="119"/>
      <c r="L187" s="119"/>
      <c r="M187" s="119"/>
      <c r="N187" s="117" t="str">
        <f t="shared" si="13"/>
        <v/>
      </c>
      <c r="O187" s="97" t="str">
        <f t="shared" si="12"/>
        <v/>
      </c>
      <c r="P187" s="97" t="str">
        <f t="shared" si="14"/>
        <v/>
      </c>
      <c r="Q187" s="97" t="str">
        <f t="shared" si="15"/>
        <v/>
      </c>
      <c r="R187" s="97" t="str">
        <f t="shared" si="16"/>
        <v/>
      </c>
      <c r="S187" s="97" t="str">
        <f t="shared" si="17"/>
        <v/>
      </c>
    </row>
    <row r="188" spans="1:19">
      <c r="A188" s="128"/>
      <c r="B188" s="129"/>
      <c r="C188" s="125"/>
      <c r="D188" s="125"/>
      <c r="E188" s="125"/>
      <c r="F188" s="125"/>
      <c r="G188" s="126"/>
      <c r="H188" s="127"/>
      <c r="I188" s="118"/>
      <c r="J188" s="119"/>
      <c r="K188" s="119"/>
      <c r="L188" s="119"/>
      <c r="M188" s="119"/>
      <c r="N188" s="117" t="str">
        <f t="shared" si="13"/>
        <v/>
      </c>
      <c r="O188" s="97" t="str">
        <f t="shared" si="12"/>
        <v/>
      </c>
      <c r="P188" s="97" t="str">
        <f t="shared" si="14"/>
        <v/>
      </c>
      <c r="Q188" s="97" t="str">
        <f t="shared" si="15"/>
        <v/>
      </c>
      <c r="R188" s="97" t="str">
        <f t="shared" si="16"/>
        <v/>
      </c>
      <c r="S188" s="97" t="str">
        <f t="shared" si="17"/>
        <v/>
      </c>
    </row>
    <row r="189" spans="1:19">
      <c r="A189" s="128"/>
      <c r="B189" s="129"/>
      <c r="C189" s="125"/>
      <c r="D189" s="125"/>
      <c r="E189" s="125"/>
      <c r="F189" s="125"/>
      <c r="G189" s="126"/>
      <c r="H189" s="127"/>
      <c r="I189" s="118"/>
      <c r="J189" s="119"/>
      <c r="K189" s="119"/>
      <c r="L189" s="119"/>
      <c r="M189" s="119"/>
      <c r="N189" s="117" t="str">
        <f t="shared" si="13"/>
        <v/>
      </c>
      <c r="O189" s="97" t="str">
        <f t="shared" si="12"/>
        <v/>
      </c>
      <c r="P189" s="97" t="str">
        <f t="shared" si="14"/>
        <v/>
      </c>
      <c r="Q189" s="97" t="str">
        <f t="shared" si="15"/>
        <v/>
      </c>
      <c r="R189" s="97" t="str">
        <f t="shared" si="16"/>
        <v/>
      </c>
      <c r="S189" s="97" t="str">
        <f t="shared" si="17"/>
        <v/>
      </c>
    </row>
    <row r="190" spans="1:19">
      <c r="A190" s="128"/>
      <c r="B190" s="129"/>
      <c r="C190" s="125"/>
      <c r="D190" s="125"/>
      <c r="E190" s="125"/>
      <c r="F190" s="125"/>
      <c r="G190" s="126"/>
      <c r="H190" s="127"/>
      <c r="I190" s="118"/>
      <c r="J190" s="119"/>
      <c r="K190" s="119"/>
      <c r="L190" s="119"/>
      <c r="M190" s="119"/>
      <c r="N190" s="117" t="str">
        <f t="shared" si="13"/>
        <v/>
      </c>
      <c r="O190" s="97" t="str">
        <f t="shared" si="12"/>
        <v/>
      </c>
      <c r="P190" s="97" t="str">
        <f t="shared" si="14"/>
        <v/>
      </c>
      <c r="Q190" s="97" t="str">
        <f t="shared" si="15"/>
        <v/>
      </c>
      <c r="R190" s="97" t="str">
        <f t="shared" si="16"/>
        <v/>
      </c>
      <c r="S190" s="97" t="str">
        <f t="shared" si="17"/>
        <v/>
      </c>
    </row>
    <row r="191" spans="1:19">
      <c r="A191" s="128"/>
      <c r="B191" s="129"/>
      <c r="C191" s="125"/>
      <c r="D191" s="125"/>
      <c r="E191" s="125"/>
      <c r="F191" s="125"/>
      <c r="G191" s="126"/>
      <c r="H191" s="127"/>
      <c r="I191" s="118"/>
      <c r="J191" s="119"/>
      <c r="K191" s="119"/>
      <c r="L191" s="119"/>
      <c r="M191" s="119"/>
      <c r="N191" s="117" t="str">
        <f t="shared" si="13"/>
        <v/>
      </c>
      <c r="O191" s="97" t="str">
        <f t="shared" si="12"/>
        <v/>
      </c>
      <c r="P191" s="97" t="str">
        <f t="shared" si="14"/>
        <v/>
      </c>
      <c r="Q191" s="97" t="str">
        <f t="shared" si="15"/>
        <v/>
      </c>
      <c r="R191" s="97" t="str">
        <f t="shared" si="16"/>
        <v/>
      </c>
      <c r="S191" s="97" t="str">
        <f t="shared" si="17"/>
        <v/>
      </c>
    </row>
    <row r="192" spans="1:19">
      <c r="A192" s="128"/>
      <c r="B192" s="129"/>
      <c r="C192" s="125"/>
      <c r="D192" s="125"/>
      <c r="E192" s="125"/>
      <c r="F192" s="125"/>
      <c r="G192" s="126"/>
      <c r="H192" s="127"/>
      <c r="I192" s="118"/>
      <c r="J192" s="119"/>
      <c r="K192" s="119"/>
      <c r="L192" s="119"/>
      <c r="M192" s="119"/>
      <c r="N192" s="117" t="str">
        <f t="shared" si="13"/>
        <v/>
      </c>
      <c r="O192" s="97" t="str">
        <f t="shared" si="12"/>
        <v/>
      </c>
      <c r="P192" s="97" t="str">
        <f t="shared" si="14"/>
        <v/>
      </c>
      <c r="Q192" s="97" t="str">
        <f t="shared" si="15"/>
        <v/>
      </c>
      <c r="R192" s="97" t="str">
        <f t="shared" si="16"/>
        <v/>
      </c>
      <c r="S192" s="97" t="str">
        <f t="shared" si="17"/>
        <v/>
      </c>
    </row>
    <row r="193" spans="1:19">
      <c r="A193" s="128"/>
      <c r="B193" s="129"/>
      <c r="C193" s="125"/>
      <c r="D193" s="125"/>
      <c r="E193" s="125"/>
      <c r="F193" s="125"/>
      <c r="G193" s="126"/>
      <c r="H193" s="127"/>
      <c r="I193" s="118"/>
      <c r="J193" s="119"/>
      <c r="K193" s="119"/>
      <c r="L193" s="119"/>
      <c r="M193" s="119"/>
      <c r="N193" s="117" t="str">
        <f t="shared" si="13"/>
        <v/>
      </c>
      <c r="O193" s="97" t="str">
        <f t="shared" si="12"/>
        <v/>
      </c>
      <c r="P193" s="97" t="str">
        <f t="shared" si="14"/>
        <v/>
      </c>
      <c r="Q193" s="97" t="str">
        <f t="shared" si="15"/>
        <v/>
      </c>
      <c r="R193" s="97" t="str">
        <f t="shared" si="16"/>
        <v/>
      </c>
      <c r="S193" s="97" t="str">
        <f t="shared" si="17"/>
        <v/>
      </c>
    </row>
    <row r="194" spans="1:19">
      <c r="A194" s="128"/>
      <c r="B194" s="129"/>
      <c r="C194" s="125"/>
      <c r="D194" s="125"/>
      <c r="E194" s="125"/>
      <c r="F194" s="125"/>
      <c r="G194" s="126"/>
      <c r="H194" s="127"/>
      <c r="I194" s="118"/>
      <c r="J194" s="119"/>
      <c r="K194" s="119"/>
      <c r="L194" s="119"/>
      <c r="M194" s="119"/>
      <c r="N194" s="117" t="str">
        <f t="shared" si="13"/>
        <v/>
      </c>
      <c r="O194" s="97" t="str">
        <f t="shared" si="12"/>
        <v/>
      </c>
      <c r="P194" s="97" t="str">
        <f t="shared" si="14"/>
        <v/>
      </c>
      <c r="Q194" s="97" t="str">
        <f t="shared" si="15"/>
        <v/>
      </c>
      <c r="R194" s="97" t="str">
        <f t="shared" si="16"/>
        <v/>
      </c>
      <c r="S194" s="97" t="str">
        <f t="shared" si="17"/>
        <v/>
      </c>
    </row>
    <row r="195" spans="1:19">
      <c r="A195" s="128"/>
      <c r="B195" s="129"/>
      <c r="C195" s="125"/>
      <c r="D195" s="125"/>
      <c r="E195" s="125"/>
      <c r="F195" s="125"/>
      <c r="G195" s="126"/>
      <c r="H195" s="127"/>
      <c r="I195" s="118"/>
      <c r="J195" s="119"/>
      <c r="K195" s="119"/>
      <c r="L195" s="119"/>
      <c r="M195" s="119"/>
      <c r="N195" s="117" t="str">
        <f t="shared" si="13"/>
        <v/>
      </c>
      <c r="O195" s="97" t="str">
        <f t="shared" si="12"/>
        <v/>
      </c>
      <c r="P195" s="97" t="str">
        <f t="shared" si="14"/>
        <v/>
      </c>
      <c r="Q195" s="97" t="str">
        <f t="shared" si="15"/>
        <v/>
      </c>
      <c r="R195" s="97" t="str">
        <f t="shared" si="16"/>
        <v/>
      </c>
      <c r="S195" s="97" t="str">
        <f t="shared" si="17"/>
        <v/>
      </c>
    </row>
    <row r="196" spans="1:19">
      <c r="A196" s="128"/>
      <c r="B196" s="129"/>
      <c r="C196" s="125"/>
      <c r="D196" s="125"/>
      <c r="E196" s="125"/>
      <c r="F196" s="125"/>
      <c r="G196" s="126"/>
      <c r="H196" s="127"/>
      <c r="I196" s="118"/>
      <c r="J196" s="119"/>
      <c r="K196" s="119"/>
      <c r="L196" s="119"/>
      <c r="M196" s="119"/>
      <c r="N196" s="117" t="str">
        <f t="shared" si="13"/>
        <v/>
      </c>
      <c r="O196" s="97" t="str">
        <f t="shared" si="12"/>
        <v/>
      </c>
      <c r="P196" s="97" t="str">
        <f t="shared" si="14"/>
        <v/>
      </c>
      <c r="Q196" s="97" t="str">
        <f t="shared" si="15"/>
        <v/>
      </c>
      <c r="R196" s="97" t="str">
        <f t="shared" si="16"/>
        <v/>
      </c>
      <c r="S196" s="97" t="str">
        <f t="shared" si="17"/>
        <v/>
      </c>
    </row>
    <row r="197" spans="1:19">
      <c r="A197" s="128"/>
      <c r="B197" s="129"/>
      <c r="C197" s="125"/>
      <c r="D197" s="125"/>
      <c r="E197" s="125"/>
      <c r="F197" s="125"/>
      <c r="G197" s="126"/>
      <c r="H197" s="127"/>
      <c r="I197" s="118"/>
      <c r="J197" s="119"/>
      <c r="K197" s="119"/>
      <c r="L197" s="119"/>
      <c r="M197" s="119"/>
      <c r="N197" s="117" t="str">
        <f t="shared" si="13"/>
        <v/>
      </c>
      <c r="O197" s="97" t="str">
        <f t="shared" si="12"/>
        <v/>
      </c>
      <c r="P197" s="97" t="str">
        <f t="shared" si="14"/>
        <v/>
      </c>
      <c r="Q197" s="97" t="str">
        <f t="shared" si="15"/>
        <v/>
      </c>
      <c r="R197" s="97" t="str">
        <f t="shared" si="16"/>
        <v/>
      </c>
      <c r="S197" s="97" t="str">
        <f t="shared" si="17"/>
        <v/>
      </c>
    </row>
    <row r="198" spans="1:19">
      <c r="A198" s="128"/>
      <c r="B198" s="129"/>
      <c r="C198" s="125"/>
      <c r="D198" s="125"/>
      <c r="E198" s="125"/>
      <c r="F198" s="125"/>
      <c r="G198" s="126"/>
      <c r="H198" s="127"/>
      <c r="I198" s="118"/>
      <c r="J198" s="119"/>
      <c r="K198" s="119"/>
      <c r="L198" s="119"/>
      <c r="M198" s="119"/>
      <c r="N198" s="117" t="str">
        <f t="shared" si="13"/>
        <v/>
      </c>
      <c r="O198" s="97" t="str">
        <f t="shared" ref="O198:O261" si="18">IF($C198="","",IF($B198="beginning",($I198*35.44),IF($B198="middle",($I198*8.86),IF($B198="end",($I198*8.86),""))))</f>
        <v/>
      </c>
      <c r="P198" s="97" t="str">
        <f t="shared" si="14"/>
        <v/>
      </c>
      <c r="Q198" s="97" t="str">
        <f t="shared" si="15"/>
        <v/>
      </c>
      <c r="R198" s="97" t="str">
        <f t="shared" si="16"/>
        <v/>
      </c>
      <c r="S198" s="97" t="str">
        <f t="shared" si="17"/>
        <v/>
      </c>
    </row>
    <row r="199" spans="1:19">
      <c r="A199" s="128"/>
      <c r="B199" s="129"/>
      <c r="C199" s="125"/>
      <c r="D199" s="125"/>
      <c r="E199" s="125"/>
      <c r="F199" s="125"/>
      <c r="G199" s="126"/>
      <c r="H199" s="127"/>
      <c r="I199" s="118"/>
      <c r="J199" s="119"/>
      <c r="K199" s="119"/>
      <c r="L199" s="119"/>
      <c r="M199" s="119"/>
      <c r="N199" s="117" t="str">
        <f t="shared" ref="N199:N262" si="19">IF($C199="","",IF(TRIM($B199)="beginning",(((SUM($O199:$S199)-729)/630)*40)+289,IF(TRIM($B199)="middle",(((SUM($O199:$S199)-729)/630)*40)+364,IF(TRIM($B199)="end",(((SUM($O199:$S199)-729)/630)*40)+398,""))))</f>
        <v/>
      </c>
      <c r="O199" s="97" t="str">
        <f t="shared" si="18"/>
        <v/>
      </c>
      <c r="P199" s="97" t="str">
        <f t="shared" ref="P199:P262" si="20">IF($C199="","",$J199*4.13)</f>
        <v/>
      </c>
      <c r="Q199" s="97" t="str">
        <f t="shared" ref="Q199:Q262" si="21">IF($C199="","",$K199*14.93)</f>
        <v/>
      </c>
      <c r="R199" s="97" t="str">
        <f t="shared" ref="R199:R262" si="22">IF($C199="","",$L199*3.56)</f>
        <v/>
      </c>
      <c r="S199" s="97" t="str">
        <f t="shared" ref="S199:S262" si="23">IF($C199="","",$M199*5.62)</f>
        <v/>
      </c>
    </row>
    <row r="200" spans="1:19">
      <c r="A200" s="128"/>
      <c r="B200" s="129"/>
      <c r="C200" s="125"/>
      <c r="D200" s="125"/>
      <c r="E200" s="125"/>
      <c r="F200" s="125"/>
      <c r="G200" s="126"/>
      <c r="H200" s="127"/>
      <c r="I200" s="118"/>
      <c r="J200" s="119"/>
      <c r="K200" s="119"/>
      <c r="L200" s="119"/>
      <c r="M200" s="119"/>
      <c r="N200" s="117" t="str">
        <f t="shared" si="19"/>
        <v/>
      </c>
      <c r="O200" s="97" t="str">
        <f t="shared" si="18"/>
        <v/>
      </c>
      <c r="P200" s="97" t="str">
        <f t="shared" si="20"/>
        <v/>
      </c>
      <c r="Q200" s="97" t="str">
        <f t="shared" si="21"/>
        <v/>
      </c>
      <c r="R200" s="97" t="str">
        <f t="shared" si="22"/>
        <v/>
      </c>
      <c r="S200" s="97" t="str">
        <f t="shared" si="23"/>
        <v/>
      </c>
    </row>
    <row r="201" spans="1:19">
      <c r="A201" s="128"/>
      <c r="B201" s="129"/>
      <c r="C201" s="125"/>
      <c r="D201" s="125"/>
      <c r="E201" s="125"/>
      <c r="F201" s="125"/>
      <c r="G201" s="126"/>
      <c r="H201" s="127"/>
      <c r="I201" s="118"/>
      <c r="J201" s="119"/>
      <c r="K201" s="119"/>
      <c r="L201" s="119"/>
      <c r="M201" s="119"/>
      <c r="N201" s="117" t="str">
        <f t="shared" si="19"/>
        <v/>
      </c>
      <c r="O201" s="97" t="str">
        <f t="shared" si="18"/>
        <v/>
      </c>
      <c r="P201" s="97" t="str">
        <f t="shared" si="20"/>
        <v/>
      </c>
      <c r="Q201" s="97" t="str">
        <f t="shared" si="21"/>
        <v/>
      </c>
      <c r="R201" s="97" t="str">
        <f t="shared" si="22"/>
        <v/>
      </c>
      <c r="S201" s="97" t="str">
        <f t="shared" si="23"/>
        <v/>
      </c>
    </row>
    <row r="202" spans="1:19">
      <c r="A202" s="128"/>
      <c r="B202" s="129"/>
      <c r="C202" s="125"/>
      <c r="D202" s="125"/>
      <c r="E202" s="125"/>
      <c r="F202" s="125"/>
      <c r="G202" s="126"/>
      <c r="H202" s="127"/>
      <c r="I202" s="118"/>
      <c r="J202" s="119"/>
      <c r="K202" s="119"/>
      <c r="L202" s="119"/>
      <c r="M202" s="119"/>
      <c r="N202" s="117" t="str">
        <f t="shared" si="19"/>
        <v/>
      </c>
      <c r="O202" s="97" t="str">
        <f t="shared" si="18"/>
        <v/>
      </c>
      <c r="P202" s="97" t="str">
        <f t="shared" si="20"/>
        <v/>
      </c>
      <c r="Q202" s="97" t="str">
        <f t="shared" si="21"/>
        <v/>
      </c>
      <c r="R202" s="97" t="str">
        <f t="shared" si="22"/>
        <v/>
      </c>
      <c r="S202" s="97" t="str">
        <f t="shared" si="23"/>
        <v/>
      </c>
    </row>
    <row r="203" spans="1:19">
      <c r="A203" s="128"/>
      <c r="B203" s="129"/>
      <c r="C203" s="125"/>
      <c r="D203" s="125"/>
      <c r="E203" s="125"/>
      <c r="F203" s="125"/>
      <c r="G203" s="126"/>
      <c r="H203" s="127"/>
      <c r="I203" s="118"/>
      <c r="J203" s="119"/>
      <c r="K203" s="119"/>
      <c r="L203" s="119"/>
      <c r="M203" s="119"/>
      <c r="N203" s="117" t="str">
        <f t="shared" si="19"/>
        <v/>
      </c>
      <c r="O203" s="97" t="str">
        <f t="shared" si="18"/>
        <v/>
      </c>
      <c r="P203" s="97" t="str">
        <f t="shared" si="20"/>
        <v/>
      </c>
      <c r="Q203" s="97" t="str">
        <f t="shared" si="21"/>
        <v/>
      </c>
      <c r="R203" s="97" t="str">
        <f t="shared" si="22"/>
        <v/>
      </c>
      <c r="S203" s="97" t="str">
        <f t="shared" si="23"/>
        <v/>
      </c>
    </row>
    <row r="204" spans="1:19">
      <c r="A204" s="128"/>
      <c r="B204" s="129"/>
      <c r="C204" s="125"/>
      <c r="D204" s="125"/>
      <c r="E204" s="125"/>
      <c r="F204" s="125"/>
      <c r="G204" s="126"/>
      <c r="H204" s="127"/>
      <c r="I204" s="118"/>
      <c r="J204" s="119"/>
      <c r="K204" s="119"/>
      <c r="L204" s="119"/>
      <c r="M204" s="119"/>
      <c r="N204" s="117" t="str">
        <f t="shared" si="19"/>
        <v/>
      </c>
      <c r="O204" s="97" t="str">
        <f t="shared" si="18"/>
        <v/>
      </c>
      <c r="P204" s="97" t="str">
        <f t="shared" si="20"/>
        <v/>
      </c>
      <c r="Q204" s="97" t="str">
        <f t="shared" si="21"/>
        <v/>
      </c>
      <c r="R204" s="97" t="str">
        <f t="shared" si="22"/>
        <v/>
      </c>
      <c r="S204" s="97" t="str">
        <f t="shared" si="23"/>
        <v/>
      </c>
    </row>
    <row r="205" spans="1:19">
      <c r="A205" s="128"/>
      <c r="B205" s="129"/>
      <c r="C205" s="125"/>
      <c r="D205" s="125"/>
      <c r="E205" s="125"/>
      <c r="F205" s="125"/>
      <c r="G205" s="126"/>
      <c r="H205" s="127"/>
      <c r="I205" s="118"/>
      <c r="J205" s="119"/>
      <c r="K205" s="119"/>
      <c r="L205" s="119"/>
      <c r="M205" s="119"/>
      <c r="N205" s="117" t="str">
        <f t="shared" si="19"/>
        <v/>
      </c>
      <c r="O205" s="97" t="str">
        <f t="shared" si="18"/>
        <v/>
      </c>
      <c r="P205" s="97" t="str">
        <f t="shared" si="20"/>
        <v/>
      </c>
      <c r="Q205" s="97" t="str">
        <f t="shared" si="21"/>
        <v/>
      </c>
      <c r="R205" s="97" t="str">
        <f t="shared" si="22"/>
        <v/>
      </c>
      <c r="S205" s="97" t="str">
        <f t="shared" si="23"/>
        <v/>
      </c>
    </row>
    <row r="206" spans="1:19">
      <c r="A206" s="128"/>
      <c r="B206" s="129"/>
      <c r="C206" s="125"/>
      <c r="D206" s="125"/>
      <c r="E206" s="125"/>
      <c r="F206" s="125"/>
      <c r="G206" s="126"/>
      <c r="H206" s="127"/>
      <c r="I206" s="118"/>
      <c r="J206" s="119"/>
      <c r="K206" s="119"/>
      <c r="L206" s="119"/>
      <c r="M206" s="119"/>
      <c r="N206" s="117" t="str">
        <f t="shared" si="19"/>
        <v/>
      </c>
      <c r="O206" s="97" t="str">
        <f t="shared" si="18"/>
        <v/>
      </c>
      <c r="P206" s="97" t="str">
        <f t="shared" si="20"/>
        <v/>
      </c>
      <c r="Q206" s="97" t="str">
        <f t="shared" si="21"/>
        <v/>
      </c>
      <c r="R206" s="97" t="str">
        <f t="shared" si="22"/>
        <v/>
      </c>
      <c r="S206" s="97" t="str">
        <f t="shared" si="23"/>
        <v/>
      </c>
    </row>
    <row r="207" spans="1:19">
      <c r="A207" s="128"/>
      <c r="B207" s="129"/>
      <c r="C207" s="125"/>
      <c r="D207" s="125"/>
      <c r="E207" s="125"/>
      <c r="F207" s="125"/>
      <c r="G207" s="126"/>
      <c r="H207" s="127"/>
      <c r="I207" s="118"/>
      <c r="J207" s="119"/>
      <c r="K207" s="119"/>
      <c r="L207" s="119"/>
      <c r="M207" s="119"/>
      <c r="N207" s="117" t="str">
        <f t="shared" si="19"/>
        <v/>
      </c>
      <c r="O207" s="97" t="str">
        <f t="shared" si="18"/>
        <v/>
      </c>
      <c r="P207" s="97" t="str">
        <f t="shared" si="20"/>
        <v/>
      </c>
      <c r="Q207" s="97" t="str">
        <f t="shared" si="21"/>
        <v/>
      </c>
      <c r="R207" s="97" t="str">
        <f t="shared" si="22"/>
        <v/>
      </c>
      <c r="S207" s="97" t="str">
        <f t="shared" si="23"/>
        <v/>
      </c>
    </row>
    <row r="208" spans="1:19">
      <c r="A208" s="128"/>
      <c r="B208" s="129"/>
      <c r="C208" s="125"/>
      <c r="D208" s="125"/>
      <c r="E208" s="125"/>
      <c r="F208" s="125"/>
      <c r="G208" s="126"/>
      <c r="H208" s="127"/>
      <c r="I208" s="118"/>
      <c r="J208" s="119"/>
      <c r="K208" s="119"/>
      <c r="L208" s="119"/>
      <c r="M208" s="119"/>
      <c r="N208" s="117" t="str">
        <f t="shared" si="19"/>
        <v/>
      </c>
      <c r="O208" s="97" t="str">
        <f t="shared" si="18"/>
        <v/>
      </c>
      <c r="P208" s="97" t="str">
        <f t="shared" si="20"/>
        <v/>
      </c>
      <c r="Q208" s="97" t="str">
        <f t="shared" si="21"/>
        <v/>
      </c>
      <c r="R208" s="97" t="str">
        <f t="shared" si="22"/>
        <v/>
      </c>
      <c r="S208" s="97" t="str">
        <f t="shared" si="23"/>
        <v/>
      </c>
    </row>
    <row r="209" spans="1:19">
      <c r="A209" s="128"/>
      <c r="B209" s="129"/>
      <c r="C209" s="125"/>
      <c r="D209" s="125"/>
      <c r="E209" s="125"/>
      <c r="F209" s="125"/>
      <c r="G209" s="126"/>
      <c r="H209" s="127"/>
      <c r="I209" s="118"/>
      <c r="J209" s="119"/>
      <c r="K209" s="119"/>
      <c r="L209" s="119"/>
      <c r="M209" s="119"/>
      <c r="N209" s="117" t="str">
        <f t="shared" si="19"/>
        <v/>
      </c>
      <c r="O209" s="97" t="str">
        <f t="shared" si="18"/>
        <v/>
      </c>
      <c r="P209" s="97" t="str">
        <f t="shared" si="20"/>
        <v/>
      </c>
      <c r="Q209" s="97" t="str">
        <f t="shared" si="21"/>
        <v/>
      </c>
      <c r="R209" s="97" t="str">
        <f t="shared" si="22"/>
        <v/>
      </c>
      <c r="S209" s="97" t="str">
        <f t="shared" si="23"/>
        <v/>
      </c>
    </row>
    <row r="210" spans="1:19">
      <c r="A210" s="128"/>
      <c r="B210" s="129"/>
      <c r="C210" s="125"/>
      <c r="D210" s="125"/>
      <c r="E210" s="125"/>
      <c r="F210" s="125"/>
      <c r="G210" s="126"/>
      <c r="H210" s="127"/>
      <c r="I210" s="118"/>
      <c r="J210" s="119"/>
      <c r="K210" s="119"/>
      <c r="L210" s="119"/>
      <c r="M210" s="119"/>
      <c r="N210" s="117" t="str">
        <f t="shared" si="19"/>
        <v/>
      </c>
      <c r="O210" s="97" t="str">
        <f t="shared" si="18"/>
        <v/>
      </c>
      <c r="P210" s="97" t="str">
        <f t="shared" si="20"/>
        <v/>
      </c>
      <c r="Q210" s="97" t="str">
        <f t="shared" si="21"/>
        <v/>
      </c>
      <c r="R210" s="97" t="str">
        <f t="shared" si="22"/>
        <v/>
      </c>
      <c r="S210" s="97" t="str">
        <f t="shared" si="23"/>
        <v/>
      </c>
    </row>
    <row r="211" spans="1:19">
      <c r="A211" s="128"/>
      <c r="B211" s="129"/>
      <c r="C211" s="125"/>
      <c r="D211" s="125"/>
      <c r="E211" s="125"/>
      <c r="F211" s="125"/>
      <c r="G211" s="126"/>
      <c r="H211" s="127"/>
      <c r="I211" s="118"/>
      <c r="J211" s="119"/>
      <c r="K211" s="119"/>
      <c r="L211" s="119"/>
      <c r="M211" s="119"/>
      <c r="N211" s="117" t="str">
        <f t="shared" si="19"/>
        <v/>
      </c>
      <c r="O211" s="97" t="str">
        <f t="shared" si="18"/>
        <v/>
      </c>
      <c r="P211" s="97" t="str">
        <f t="shared" si="20"/>
        <v/>
      </c>
      <c r="Q211" s="97" t="str">
        <f t="shared" si="21"/>
        <v/>
      </c>
      <c r="R211" s="97" t="str">
        <f t="shared" si="22"/>
        <v/>
      </c>
      <c r="S211" s="97" t="str">
        <f t="shared" si="23"/>
        <v/>
      </c>
    </row>
    <row r="212" spans="1:19">
      <c r="A212" s="128"/>
      <c r="B212" s="129"/>
      <c r="C212" s="125"/>
      <c r="D212" s="125"/>
      <c r="E212" s="125"/>
      <c r="F212" s="125"/>
      <c r="G212" s="126"/>
      <c r="H212" s="127"/>
      <c r="I212" s="118"/>
      <c r="J212" s="119"/>
      <c r="K212" s="119"/>
      <c r="L212" s="119"/>
      <c r="M212" s="119"/>
      <c r="N212" s="117" t="str">
        <f t="shared" si="19"/>
        <v/>
      </c>
      <c r="O212" s="97" t="str">
        <f t="shared" si="18"/>
        <v/>
      </c>
      <c r="P212" s="97" t="str">
        <f t="shared" si="20"/>
        <v/>
      </c>
      <c r="Q212" s="97" t="str">
        <f t="shared" si="21"/>
        <v/>
      </c>
      <c r="R212" s="97" t="str">
        <f t="shared" si="22"/>
        <v/>
      </c>
      <c r="S212" s="97" t="str">
        <f t="shared" si="23"/>
        <v/>
      </c>
    </row>
    <row r="213" spans="1:19">
      <c r="A213" s="128"/>
      <c r="B213" s="129"/>
      <c r="C213" s="125"/>
      <c r="D213" s="125"/>
      <c r="E213" s="125"/>
      <c r="F213" s="125"/>
      <c r="G213" s="126"/>
      <c r="H213" s="127"/>
      <c r="I213" s="118"/>
      <c r="J213" s="119"/>
      <c r="K213" s="119"/>
      <c r="L213" s="119"/>
      <c r="M213" s="119"/>
      <c r="N213" s="117" t="str">
        <f t="shared" si="19"/>
        <v/>
      </c>
      <c r="O213" s="97" t="str">
        <f t="shared" si="18"/>
        <v/>
      </c>
      <c r="P213" s="97" t="str">
        <f t="shared" si="20"/>
        <v/>
      </c>
      <c r="Q213" s="97" t="str">
        <f t="shared" si="21"/>
        <v/>
      </c>
      <c r="R213" s="97" t="str">
        <f t="shared" si="22"/>
        <v/>
      </c>
      <c r="S213" s="97" t="str">
        <f t="shared" si="23"/>
        <v/>
      </c>
    </row>
    <row r="214" spans="1:19">
      <c r="A214" s="128"/>
      <c r="B214" s="129"/>
      <c r="C214" s="125"/>
      <c r="D214" s="125"/>
      <c r="E214" s="125"/>
      <c r="F214" s="125"/>
      <c r="G214" s="126"/>
      <c r="H214" s="127"/>
      <c r="I214" s="118"/>
      <c r="J214" s="119"/>
      <c r="K214" s="119"/>
      <c r="L214" s="119"/>
      <c r="M214" s="119"/>
      <c r="N214" s="117" t="str">
        <f t="shared" si="19"/>
        <v/>
      </c>
      <c r="O214" s="97" t="str">
        <f t="shared" si="18"/>
        <v/>
      </c>
      <c r="P214" s="97" t="str">
        <f t="shared" si="20"/>
        <v/>
      </c>
      <c r="Q214" s="97" t="str">
        <f t="shared" si="21"/>
        <v/>
      </c>
      <c r="R214" s="97" t="str">
        <f t="shared" si="22"/>
        <v/>
      </c>
      <c r="S214" s="97" t="str">
        <f t="shared" si="23"/>
        <v/>
      </c>
    </row>
    <row r="215" spans="1:19">
      <c r="A215" s="128"/>
      <c r="B215" s="129"/>
      <c r="C215" s="125"/>
      <c r="D215" s="125"/>
      <c r="E215" s="125"/>
      <c r="F215" s="125"/>
      <c r="G215" s="126"/>
      <c r="H215" s="127"/>
      <c r="I215" s="118"/>
      <c r="J215" s="119"/>
      <c r="K215" s="119"/>
      <c r="L215" s="119"/>
      <c r="M215" s="119"/>
      <c r="N215" s="117" t="str">
        <f t="shared" si="19"/>
        <v/>
      </c>
      <c r="O215" s="97" t="str">
        <f t="shared" si="18"/>
        <v/>
      </c>
      <c r="P215" s="97" t="str">
        <f t="shared" si="20"/>
        <v/>
      </c>
      <c r="Q215" s="97" t="str">
        <f t="shared" si="21"/>
        <v/>
      </c>
      <c r="R215" s="97" t="str">
        <f t="shared" si="22"/>
        <v/>
      </c>
      <c r="S215" s="97" t="str">
        <f t="shared" si="23"/>
        <v/>
      </c>
    </row>
    <row r="216" spans="1:19">
      <c r="A216" s="128"/>
      <c r="B216" s="129"/>
      <c r="C216" s="125"/>
      <c r="D216" s="125"/>
      <c r="E216" s="125"/>
      <c r="F216" s="125"/>
      <c r="G216" s="126"/>
      <c r="H216" s="127"/>
      <c r="I216" s="118"/>
      <c r="J216" s="119"/>
      <c r="K216" s="119"/>
      <c r="L216" s="119"/>
      <c r="M216" s="119"/>
      <c r="N216" s="117" t="str">
        <f t="shared" si="19"/>
        <v/>
      </c>
      <c r="O216" s="97" t="str">
        <f t="shared" si="18"/>
        <v/>
      </c>
      <c r="P216" s="97" t="str">
        <f t="shared" si="20"/>
        <v/>
      </c>
      <c r="Q216" s="97" t="str">
        <f t="shared" si="21"/>
        <v/>
      </c>
      <c r="R216" s="97" t="str">
        <f t="shared" si="22"/>
        <v/>
      </c>
      <c r="S216" s="97" t="str">
        <f t="shared" si="23"/>
        <v/>
      </c>
    </row>
    <row r="217" spans="1:19">
      <c r="A217" s="128"/>
      <c r="B217" s="129"/>
      <c r="C217" s="125"/>
      <c r="D217" s="125"/>
      <c r="E217" s="125"/>
      <c r="F217" s="125"/>
      <c r="G217" s="126"/>
      <c r="H217" s="127"/>
      <c r="I217" s="118"/>
      <c r="J217" s="119"/>
      <c r="K217" s="119"/>
      <c r="L217" s="119"/>
      <c r="M217" s="119"/>
      <c r="N217" s="117" t="str">
        <f t="shared" si="19"/>
        <v/>
      </c>
      <c r="O217" s="97" t="str">
        <f t="shared" si="18"/>
        <v/>
      </c>
      <c r="P217" s="97" t="str">
        <f t="shared" si="20"/>
        <v/>
      </c>
      <c r="Q217" s="97" t="str">
        <f t="shared" si="21"/>
        <v/>
      </c>
      <c r="R217" s="97" t="str">
        <f t="shared" si="22"/>
        <v/>
      </c>
      <c r="S217" s="97" t="str">
        <f t="shared" si="23"/>
        <v/>
      </c>
    </row>
    <row r="218" spans="1:19">
      <c r="A218" s="128"/>
      <c r="B218" s="129"/>
      <c r="C218" s="125"/>
      <c r="D218" s="125"/>
      <c r="E218" s="125"/>
      <c r="F218" s="125"/>
      <c r="G218" s="126"/>
      <c r="H218" s="127"/>
      <c r="I218" s="118"/>
      <c r="J218" s="119"/>
      <c r="K218" s="119"/>
      <c r="L218" s="119"/>
      <c r="M218" s="119"/>
      <c r="N218" s="117" t="str">
        <f t="shared" si="19"/>
        <v/>
      </c>
      <c r="O218" s="97" t="str">
        <f t="shared" si="18"/>
        <v/>
      </c>
      <c r="P218" s="97" t="str">
        <f t="shared" si="20"/>
        <v/>
      </c>
      <c r="Q218" s="97" t="str">
        <f t="shared" si="21"/>
        <v/>
      </c>
      <c r="R218" s="97" t="str">
        <f t="shared" si="22"/>
        <v/>
      </c>
      <c r="S218" s="97" t="str">
        <f t="shared" si="23"/>
        <v/>
      </c>
    </row>
    <row r="219" spans="1:19">
      <c r="A219" s="128"/>
      <c r="B219" s="129"/>
      <c r="C219" s="125"/>
      <c r="D219" s="125"/>
      <c r="E219" s="125"/>
      <c r="F219" s="125"/>
      <c r="G219" s="126"/>
      <c r="H219" s="127"/>
      <c r="I219" s="118"/>
      <c r="J219" s="119"/>
      <c r="K219" s="119"/>
      <c r="L219" s="119"/>
      <c r="M219" s="119"/>
      <c r="N219" s="117" t="str">
        <f t="shared" si="19"/>
        <v/>
      </c>
      <c r="O219" s="97" t="str">
        <f t="shared" si="18"/>
        <v/>
      </c>
      <c r="P219" s="97" t="str">
        <f t="shared" si="20"/>
        <v/>
      </c>
      <c r="Q219" s="97" t="str">
        <f t="shared" si="21"/>
        <v/>
      </c>
      <c r="R219" s="97" t="str">
        <f t="shared" si="22"/>
        <v/>
      </c>
      <c r="S219" s="97" t="str">
        <f t="shared" si="23"/>
        <v/>
      </c>
    </row>
    <row r="220" spans="1:19">
      <c r="A220" s="128"/>
      <c r="B220" s="129"/>
      <c r="C220" s="125"/>
      <c r="D220" s="125"/>
      <c r="E220" s="125"/>
      <c r="F220" s="125"/>
      <c r="G220" s="126"/>
      <c r="H220" s="127"/>
      <c r="I220" s="118"/>
      <c r="J220" s="119"/>
      <c r="K220" s="119"/>
      <c r="L220" s="119"/>
      <c r="M220" s="119"/>
      <c r="N220" s="117" t="str">
        <f t="shared" si="19"/>
        <v/>
      </c>
      <c r="O220" s="97" t="str">
        <f t="shared" si="18"/>
        <v/>
      </c>
      <c r="P220" s="97" t="str">
        <f t="shared" si="20"/>
        <v/>
      </c>
      <c r="Q220" s="97" t="str">
        <f t="shared" si="21"/>
        <v/>
      </c>
      <c r="R220" s="97" t="str">
        <f t="shared" si="22"/>
        <v/>
      </c>
      <c r="S220" s="97" t="str">
        <f t="shared" si="23"/>
        <v/>
      </c>
    </row>
    <row r="221" spans="1:19">
      <c r="A221" s="128"/>
      <c r="B221" s="129"/>
      <c r="C221" s="125"/>
      <c r="D221" s="125"/>
      <c r="E221" s="125"/>
      <c r="F221" s="125"/>
      <c r="G221" s="126"/>
      <c r="H221" s="127"/>
      <c r="I221" s="118"/>
      <c r="J221" s="119"/>
      <c r="K221" s="119"/>
      <c r="L221" s="119"/>
      <c r="M221" s="119"/>
      <c r="N221" s="117" t="str">
        <f t="shared" si="19"/>
        <v/>
      </c>
      <c r="O221" s="97" t="str">
        <f t="shared" si="18"/>
        <v/>
      </c>
      <c r="P221" s="97" t="str">
        <f t="shared" si="20"/>
        <v/>
      </c>
      <c r="Q221" s="97" t="str">
        <f t="shared" si="21"/>
        <v/>
      </c>
      <c r="R221" s="97" t="str">
        <f t="shared" si="22"/>
        <v/>
      </c>
      <c r="S221" s="97" t="str">
        <f t="shared" si="23"/>
        <v/>
      </c>
    </row>
    <row r="222" spans="1:19">
      <c r="A222" s="128"/>
      <c r="B222" s="129"/>
      <c r="C222" s="125"/>
      <c r="D222" s="125"/>
      <c r="E222" s="125"/>
      <c r="F222" s="125"/>
      <c r="G222" s="126"/>
      <c r="H222" s="127"/>
      <c r="I222" s="118"/>
      <c r="J222" s="119"/>
      <c r="K222" s="119"/>
      <c r="L222" s="119"/>
      <c r="M222" s="119"/>
      <c r="N222" s="117" t="str">
        <f t="shared" si="19"/>
        <v/>
      </c>
      <c r="O222" s="97" t="str">
        <f t="shared" si="18"/>
        <v/>
      </c>
      <c r="P222" s="97" t="str">
        <f t="shared" si="20"/>
        <v/>
      </c>
      <c r="Q222" s="97" t="str">
        <f t="shared" si="21"/>
        <v/>
      </c>
      <c r="R222" s="97" t="str">
        <f t="shared" si="22"/>
        <v/>
      </c>
      <c r="S222" s="97" t="str">
        <f t="shared" si="23"/>
        <v/>
      </c>
    </row>
    <row r="223" spans="1:19">
      <c r="A223" s="128"/>
      <c r="B223" s="129"/>
      <c r="C223" s="125"/>
      <c r="D223" s="125"/>
      <c r="E223" s="125"/>
      <c r="F223" s="125"/>
      <c r="G223" s="126"/>
      <c r="H223" s="127"/>
      <c r="I223" s="118"/>
      <c r="J223" s="119"/>
      <c r="K223" s="119"/>
      <c r="L223" s="119"/>
      <c r="M223" s="119"/>
      <c r="N223" s="117" t="str">
        <f t="shared" si="19"/>
        <v/>
      </c>
      <c r="O223" s="97" t="str">
        <f t="shared" si="18"/>
        <v/>
      </c>
      <c r="P223" s="97" t="str">
        <f t="shared" si="20"/>
        <v/>
      </c>
      <c r="Q223" s="97" t="str">
        <f t="shared" si="21"/>
        <v/>
      </c>
      <c r="R223" s="97" t="str">
        <f t="shared" si="22"/>
        <v/>
      </c>
      <c r="S223" s="97" t="str">
        <f t="shared" si="23"/>
        <v/>
      </c>
    </row>
    <row r="224" spans="1:19">
      <c r="A224" s="128"/>
      <c r="B224" s="129"/>
      <c r="C224" s="125"/>
      <c r="D224" s="125"/>
      <c r="E224" s="125"/>
      <c r="F224" s="125"/>
      <c r="G224" s="126"/>
      <c r="H224" s="127"/>
      <c r="I224" s="118"/>
      <c r="J224" s="119"/>
      <c r="K224" s="119"/>
      <c r="L224" s="119"/>
      <c r="M224" s="119"/>
      <c r="N224" s="117" t="str">
        <f t="shared" si="19"/>
        <v/>
      </c>
      <c r="O224" s="97" t="str">
        <f t="shared" si="18"/>
        <v/>
      </c>
      <c r="P224" s="97" t="str">
        <f t="shared" si="20"/>
        <v/>
      </c>
      <c r="Q224" s="97" t="str">
        <f t="shared" si="21"/>
        <v/>
      </c>
      <c r="R224" s="97" t="str">
        <f t="shared" si="22"/>
        <v/>
      </c>
      <c r="S224" s="97" t="str">
        <f t="shared" si="23"/>
        <v/>
      </c>
    </row>
    <row r="225" spans="1:19">
      <c r="A225" s="128"/>
      <c r="B225" s="129"/>
      <c r="C225" s="125"/>
      <c r="D225" s="125"/>
      <c r="E225" s="125"/>
      <c r="F225" s="125"/>
      <c r="G225" s="126"/>
      <c r="H225" s="127"/>
      <c r="I225" s="118"/>
      <c r="J225" s="119"/>
      <c r="K225" s="119"/>
      <c r="L225" s="119"/>
      <c r="M225" s="119"/>
      <c r="N225" s="117" t="str">
        <f t="shared" si="19"/>
        <v/>
      </c>
      <c r="O225" s="97" t="str">
        <f t="shared" si="18"/>
        <v/>
      </c>
      <c r="P225" s="97" t="str">
        <f t="shared" si="20"/>
        <v/>
      </c>
      <c r="Q225" s="97" t="str">
        <f t="shared" si="21"/>
        <v/>
      </c>
      <c r="R225" s="97" t="str">
        <f t="shared" si="22"/>
        <v/>
      </c>
      <c r="S225" s="97" t="str">
        <f t="shared" si="23"/>
        <v/>
      </c>
    </row>
    <row r="226" spans="1:19">
      <c r="A226" s="128"/>
      <c r="B226" s="129"/>
      <c r="C226" s="125"/>
      <c r="D226" s="125"/>
      <c r="E226" s="125"/>
      <c r="F226" s="125"/>
      <c r="G226" s="126"/>
      <c r="H226" s="127"/>
      <c r="I226" s="118"/>
      <c r="J226" s="119"/>
      <c r="K226" s="119"/>
      <c r="L226" s="119"/>
      <c r="M226" s="119"/>
      <c r="N226" s="117" t="str">
        <f t="shared" si="19"/>
        <v/>
      </c>
      <c r="O226" s="97" t="str">
        <f t="shared" si="18"/>
        <v/>
      </c>
      <c r="P226" s="97" t="str">
        <f t="shared" si="20"/>
        <v/>
      </c>
      <c r="Q226" s="97" t="str">
        <f t="shared" si="21"/>
        <v/>
      </c>
      <c r="R226" s="97" t="str">
        <f t="shared" si="22"/>
        <v/>
      </c>
      <c r="S226" s="97" t="str">
        <f t="shared" si="23"/>
        <v/>
      </c>
    </row>
    <row r="227" spans="1:19">
      <c r="A227" s="128"/>
      <c r="B227" s="129"/>
      <c r="C227" s="125"/>
      <c r="D227" s="125"/>
      <c r="E227" s="125"/>
      <c r="F227" s="125"/>
      <c r="G227" s="126"/>
      <c r="H227" s="127"/>
      <c r="I227" s="118"/>
      <c r="J227" s="119"/>
      <c r="K227" s="119"/>
      <c r="L227" s="119"/>
      <c r="M227" s="119"/>
      <c r="N227" s="117" t="str">
        <f t="shared" si="19"/>
        <v/>
      </c>
      <c r="O227" s="97" t="str">
        <f t="shared" si="18"/>
        <v/>
      </c>
      <c r="P227" s="97" t="str">
        <f t="shared" si="20"/>
        <v/>
      </c>
      <c r="Q227" s="97" t="str">
        <f t="shared" si="21"/>
        <v/>
      </c>
      <c r="R227" s="97" t="str">
        <f t="shared" si="22"/>
        <v/>
      </c>
      <c r="S227" s="97" t="str">
        <f t="shared" si="23"/>
        <v/>
      </c>
    </row>
    <row r="228" spans="1:19">
      <c r="A228" s="128"/>
      <c r="B228" s="129"/>
      <c r="C228" s="125"/>
      <c r="D228" s="125"/>
      <c r="E228" s="125"/>
      <c r="F228" s="125"/>
      <c r="G228" s="126"/>
      <c r="H228" s="127"/>
      <c r="I228" s="118"/>
      <c r="J228" s="119"/>
      <c r="K228" s="119"/>
      <c r="L228" s="119"/>
      <c r="M228" s="119"/>
      <c r="N228" s="117" t="str">
        <f t="shared" si="19"/>
        <v/>
      </c>
      <c r="O228" s="97" t="str">
        <f t="shared" si="18"/>
        <v/>
      </c>
      <c r="P228" s="97" t="str">
        <f t="shared" si="20"/>
        <v/>
      </c>
      <c r="Q228" s="97" t="str">
        <f t="shared" si="21"/>
        <v/>
      </c>
      <c r="R228" s="97" t="str">
        <f t="shared" si="22"/>
        <v/>
      </c>
      <c r="S228" s="97" t="str">
        <f t="shared" si="23"/>
        <v/>
      </c>
    </row>
    <row r="229" spans="1:19">
      <c r="A229" s="128"/>
      <c r="B229" s="129"/>
      <c r="C229" s="125"/>
      <c r="D229" s="125"/>
      <c r="E229" s="125"/>
      <c r="F229" s="125"/>
      <c r="G229" s="126"/>
      <c r="H229" s="127"/>
      <c r="I229" s="118"/>
      <c r="J229" s="119"/>
      <c r="K229" s="119"/>
      <c r="L229" s="119"/>
      <c r="M229" s="119"/>
      <c r="N229" s="117" t="str">
        <f t="shared" si="19"/>
        <v/>
      </c>
      <c r="O229" s="97" t="str">
        <f t="shared" si="18"/>
        <v/>
      </c>
      <c r="P229" s="97" t="str">
        <f t="shared" si="20"/>
        <v/>
      </c>
      <c r="Q229" s="97" t="str">
        <f t="shared" si="21"/>
        <v/>
      </c>
      <c r="R229" s="97" t="str">
        <f t="shared" si="22"/>
        <v/>
      </c>
      <c r="S229" s="97" t="str">
        <f t="shared" si="23"/>
        <v/>
      </c>
    </row>
    <row r="230" spans="1:19">
      <c r="A230" s="128"/>
      <c r="B230" s="129"/>
      <c r="C230" s="125"/>
      <c r="D230" s="125"/>
      <c r="E230" s="125"/>
      <c r="F230" s="125"/>
      <c r="G230" s="126"/>
      <c r="H230" s="127"/>
      <c r="I230" s="118"/>
      <c r="J230" s="119"/>
      <c r="K230" s="119"/>
      <c r="L230" s="119"/>
      <c r="M230" s="119"/>
      <c r="N230" s="117" t="str">
        <f t="shared" si="19"/>
        <v/>
      </c>
      <c r="O230" s="97" t="str">
        <f t="shared" si="18"/>
        <v/>
      </c>
      <c r="P230" s="97" t="str">
        <f t="shared" si="20"/>
        <v/>
      </c>
      <c r="Q230" s="97" t="str">
        <f t="shared" si="21"/>
        <v/>
      </c>
      <c r="R230" s="97" t="str">
        <f t="shared" si="22"/>
        <v/>
      </c>
      <c r="S230" s="97" t="str">
        <f t="shared" si="23"/>
        <v/>
      </c>
    </row>
    <row r="231" spans="1:19">
      <c r="A231" s="128"/>
      <c r="B231" s="129"/>
      <c r="C231" s="125"/>
      <c r="D231" s="125"/>
      <c r="E231" s="125"/>
      <c r="F231" s="125"/>
      <c r="G231" s="126"/>
      <c r="H231" s="127"/>
      <c r="I231" s="118"/>
      <c r="J231" s="119"/>
      <c r="K231" s="119"/>
      <c r="L231" s="119"/>
      <c r="M231" s="119"/>
      <c r="N231" s="117" t="str">
        <f t="shared" si="19"/>
        <v/>
      </c>
      <c r="O231" s="97" t="str">
        <f t="shared" si="18"/>
        <v/>
      </c>
      <c r="P231" s="97" t="str">
        <f t="shared" si="20"/>
        <v/>
      </c>
      <c r="Q231" s="97" t="str">
        <f t="shared" si="21"/>
        <v/>
      </c>
      <c r="R231" s="97" t="str">
        <f t="shared" si="22"/>
        <v/>
      </c>
      <c r="S231" s="97" t="str">
        <f t="shared" si="23"/>
        <v/>
      </c>
    </row>
    <row r="232" spans="1:19">
      <c r="A232" s="128"/>
      <c r="B232" s="129"/>
      <c r="C232" s="125"/>
      <c r="D232" s="125"/>
      <c r="E232" s="125"/>
      <c r="F232" s="125"/>
      <c r="G232" s="126"/>
      <c r="H232" s="127"/>
      <c r="I232" s="118"/>
      <c r="J232" s="119"/>
      <c r="K232" s="119"/>
      <c r="L232" s="119"/>
      <c r="M232" s="119"/>
      <c r="N232" s="117" t="str">
        <f t="shared" si="19"/>
        <v/>
      </c>
      <c r="O232" s="97" t="str">
        <f t="shared" si="18"/>
        <v/>
      </c>
      <c r="P232" s="97" t="str">
        <f t="shared" si="20"/>
        <v/>
      </c>
      <c r="Q232" s="97" t="str">
        <f t="shared" si="21"/>
        <v/>
      </c>
      <c r="R232" s="97" t="str">
        <f t="shared" si="22"/>
        <v/>
      </c>
      <c r="S232" s="97" t="str">
        <f t="shared" si="23"/>
        <v/>
      </c>
    </row>
    <row r="233" spans="1:19">
      <c r="A233" s="128"/>
      <c r="B233" s="129"/>
      <c r="C233" s="125"/>
      <c r="D233" s="125"/>
      <c r="E233" s="125"/>
      <c r="F233" s="125"/>
      <c r="G233" s="126"/>
      <c r="H233" s="127"/>
      <c r="I233" s="118"/>
      <c r="J233" s="119"/>
      <c r="K233" s="119"/>
      <c r="L233" s="119"/>
      <c r="M233" s="119"/>
      <c r="N233" s="117" t="str">
        <f t="shared" si="19"/>
        <v/>
      </c>
      <c r="O233" s="97" t="str">
        <f t="shared" si="18"/>
        <v/>
      </c>
      <c r="P233" s="97" t="str">
        <f t="shared" si="20"/>
        <v/>
      </c>
      <c r="Q233" s="97" t="str">
        <f t="shared" si="21"/>
        <v/>
      </c>
      <c r="R233" s="97" t="str">
        <f t="shared" si="22"/>
        <v/>
      </c>
      <c r="S233" s="97" t="str">
        <f t="shared" si="23"/>
        <v/>
      </c>
    </row>
    <row r="234" spans="1:19">
      <c r="A234" s="128"/>
      <c r="B234" s="129"/>
      <c r="C234" s="125"/>
      <c r="D234" s="125"/>
      <c r="E234" s="125"/>
      <c r="F234" s="125"/>
      <c r="G234" s="126"/>
      <c r="H234" s="127"/>
      <c r="I234" s="118"/>
      <c r="J234" s="119"/>
      <c r="K234" s="119"/>
      <c r="L234" s="119"/>
      <c r="M234" s="119"/>
      <c r="N234" s="117" t="str">
        <f t="shared" si="19"/>
        <v/>
      </c>
      <c r="O234" s="97" t="str">
        <f t="shared" si="18"/>
        <v/>
      </c>
      <c r="P234" s="97" t="str">
        <f t="shared" si="20"/>
        <v/>
      </c>
      <c r="Q234" s="97" t="str">
        <f t="shared" si="21"/>
        <v/>
      </c>
      <c r="R234" s="97" t="str">
        <f t="shared" si="22"/>
        <v/>
      </c>
      <c r="S234" s="97" t="str">
        <f t="shared" si="23"/>
        <v/>
      </c>
    </row>
    <row r="235" spans="1:19">
      <c r="A235" s="128"/>
      <c r="B235" s="129"/>
      <c r="C235" s="125"/>
      <c r="D235" s="125"/>
      <c r="E235" s="125"/>
      <c r="F235" s="125"/>
      <c r="G235" s="126"/>
      <c r="H235" s="127"/>
      <c r="I235" s="118"/>
      <c r="J235" s="119"/>
      <c r="K235" s="119"/>
      <c r="L235" s="119"/>
      <c r="M235" s="119"/>
      <c r="N235" s="117" t="str">
        <f t="shared" si="19"/>
        <v/>
      </c>
      <c r="O235" s="97" t="str">
        <f t="shared" si="18"/>
        <v/>
      </c>
      <c r="P235" s="97" t="str">
        <f t="shared" si="20"/>
        <v/>
      </c>
      <c r="Q235" s="97" t="str">
        <f t="shared" si="21"/>
        <v/>
      </c>
      <c r="R235" s="97" t="str">
        <f t="shared" si="22"/>
        <v/>
      </c>
      <c r="S235" s="97" t="str">
        <f t="shared" si="23"/>
        <v/>
      </c>
    </row>
    <row r="236" spans="1:19">
      <c r="A236" s="128"/>
      <c r="B236" s="129"/>
      <c r="C236" s="125"/>
      <c r="D236" s="125"/>
      <c r="E236" s="125"/>
      <c r="F236" s="125"/>
      <c r="G236" s="126"/>
      <c r="H236" s="127"/>
      <c r="I236" s="118"/>
      <c r="J236" s="119"/>
      <c r="K236" s="119"/>
      <c r="L236" s="119"/>
      <c r="M236" s="119"/>
      <c r="N236" s="117" t="str">
        <f t="shared" si="19"/>
        <v/>
      </c>
      <c r="O236" s="97" t="str">
        <f t="shared" si="18"/>
        <v/>
      </c>
      <c r="P236" s="97" t="str">
        <f t="shared" si="20"/>
        <v/>
      </c>
      <c r="Q236" s="97" t="str">
        <f t="shared" si="21"/>
        <v/>
      </c>
      <c r="R236" s="97" t="str">
        <f t="shared" si="22"/>
        <v/>
      </c>
      <c r="S236" s="97" t="str">
        <f t="shared" si="23"/>
        <v/>
      </c>
    </row>
    <row r="237" spans="1:19">
      <c r="A237" s="128"/>
      <c r="B237" s="129"/>
      <c r="C237" s="125"/>
      <c r="D237" s="125"/>
      <c r="E237" s="125"/>
      <c r="F237" s="125"/>
      <c r="G237" s="126"/>
      <c r="H237" s="127"/>
      <c r="I237" s="118"/>
      <c r="J237" s="119"/>
      <c r="K237" s="119"/>
      <c r="L237" s="119"/>
      <c r="M237" s="119"/>
      <c r="N237" s="117" t="str">
        <f t="shared" si="19"/>
        <v/>
      </c>
      <c r="O237" s="97" t="str">
        <f t="shared" si="18"/>
        <v/>
      </c>
      <c r="P237" s="97" t="str">
        <f t="shared" si="20"/>
        <v/>
      </c>
      <c r="Q237" s="97" t="str">
        <f t="shared" si="21"/>
        <v/>
      </c>
      <c r="R237" s="97" t="str">
        <f t="shared" si="22"/>
        <v/>
      </c>
      <c r="S237" s="97" t="str">
        <f t="shared" si="23"/>
        <v/>
      </c>
    </row>
    <row r="238" spans="1:19">
      <c r="A238" s="128"/>
      <c r="B238" s="129"/>
      <c r="C238" s="125"/>
      <c r="D238" s="125"/>
      <c r="E238" s="125"/>
      <c r="F238" s="125"/>
      <c r="G238" s="126"/>
      <c r="H238" s="127"/>
      <c r="I238" s="118"/>
      <c r="J238" s="119"/>
      <c r="K238" s="119"/>
      <c r="L238" s="119"/>
      <c r="M238" s="119"/>
      <c r="N238" s="117" t="str">
        <f t="shared" si="19"/>
        <v/>
      </c>
      <c r="O238" s="97" t="str">
        <f t="shared" si="18"/>
        <v/>
      </c>
      <c r="P238" s="97" t="str">
        <f t="shared" si="20"/>
        <v/>
      </c>
      <c r="Q238" s="97" t="str">
        <f t="shared" si="21"/>
        <v/>
      </c>
      <c r="R238" s="97" t="str">
        <f t="shared" si="22"/>
        <v/>
      </c>
      <c r="S238" s="97" t="str">
        <f t="shared" si="23"/>
        <v/>
      </c>
    </row>
    <row r="239" spans="1:19">
      <c r="A239" s="128"/>
      <c r="B239" s="129"/>
      <c r="C239" s="125"/>
      <c r="D239" s="125"/>
      <c r="E239" s="125"/>
      <c r="F239" s="125"/>
      <c r="G239" s="126"/>
      <c r="H239" s="127"/>
      <c r="I239" s="118"/>
      <c r="J239" s="119"/>
      <c r="K239" s="119"/>
      <c r="L239" s="119"/>
      <c r="M239" s="119"/>
      <c r="N239" s="117" t="str">
        <f t="shared" si="19"/>
        <v/>
      </c>
      <c r="O239" s="97" t="str">
        <f t="shared" si="18"/>
        <v/>
      </c>
      <c r="P239" s="97" t="str">
        <f t="shared" si="20"/>
        <v/>
      </c>
      <c r="Q239" s="97" t="str">
        <f t="shared" si="21"/>
        <v/>
      </c>
      <c r="R239" s="97" t="str">
        <f t="shared" si="22"/>
        <v/>
      </c>
      <c r="S239" s="97" t="str">
        <f t="shared" si="23"/>
        <v/>
      </c>
    </row>
    <row r="240" spans="1:19">
      <c r="A240" s="128"/>
      <c r="B240" s="129"/>
      <c r="C240" s="125"/>
      <c r="D240" s="125"/>
      <c r="E240" s="125"/>
      <c r="F240" s="125"/>
      <c r="G240" s="126"/>
      <c r="H240" s="127"/>
      <c r="I240" s="118"/>
      <c r="J240" s="119"/>
      <c r="K240" s="119"/>
      <c r="L240" s="119"/>
      <c r="M240" s="119"/>
      <c r="N240" s="117" t="str">
        <f t="shared" si="19"/>
        <v/>
      </c>
      <c r="O240" s="97" t="str">
        <f t="shared" si="18"/>
        <v/>
      </c>
      <c r="P240" s="97" t="str">
        <f t="shared" si="20"/>
        <v/>
      </c>
      <c r="Q240" s="97" t="str">
        <f t="shared" si="21"/>
        <v/>
      </c>
      <c r="R240" s="97" t="str">
        <f t="shared" si="22"/>
        <v/>
      </c>
      <c r="S240" s="97" t="str">
        <f t="shared" si="23"/>
        <v/>
      </c>
    </row>
    <row r="241" spans="1:19">
      <c r="A241" s="128"/>
      <c r="B241" s="129"/>
      <c r="C241" s="125"/>
      <c r="D241" s="125"/>
      <c r="E241" s="125"/>
      <c r="F241" s="125"/>
      <c r="G241" s="126"/>
      <c r="H241" s="127"/>
      <c r="I241" s="118"/>
      <c r="J241" s="119"/>
      <c r="K241" s="119"/>
      <c r="L241" s="119"/>
      <c r="M241" s="119"/>
      <c r="N241" s="117" t="str">
        <f t="shared" si="19"/>
        <v/>
      </c>
      <c r="O241" s="97" t="str">
        <f t="shared" si="18"/>
        <v/>
      </c>
      <c r="P241" s="97" t="str">
        <f t="shared" si="20"/>
        <v/>
      </c>
      <c r="Q241" s="97" t="str">
        <f t="shared" si="21"/>
        <v/>
      </c>
      <c r="R241" s="97" t="str">
        <f t="shared" si="22"/>
        <v/>
      </c>
      <c r="S241" s="97" t="str">
        <f t="shared" si="23"/>
        <v/>
      </c>
    </row>
    <row r="242" spans="1:19">
      <c r="A242" s="128"/>
      <c r="B242" s="129"/>
      <c r="C242" s="125"/>
      <c r="D242" s="125"/>
      <c r="E242" s="125"/>
      <c r="F242" s="125"/>
      <c r="G242" s="126"/>
      <c r="H242" s="127"/>
      <c r="I242" s="118"/>
      <c r="J242" s="119"/>
      <c r="K242" s="119"/>
      <c r="L242" s="119"/>
      <c r="M242" s="119"/>
      <c r="N242" s="117" t="str">
        <f t="shared" si="19"/>
        <v/>
      </c>
      <c r="O242" s="97" t="str">
        <f t="shared" si="18"/>
        <v/>
      </c>
      <c r="P242" s="97" t="str">
        <f t="shared" si="20"/>
        <v/>
      </c>
      <c r="Q242" s="97" t="str">
        <f t="shared" si="21"/>
        <v/>
      </c>
      <c r="R242" s="97" t="str">
        <f t="shared" si="22"/>
        <v/>
      </c>
      <c r="S242" s="97" t="str">
        <f t="shared" si="23"/>
        <v/>
      </c>
    </row>
    <row r="243" spans="1:19">
      <c r="A243" s="128"/>
      <c r="B243" s="129"/>
      <c r="C243" s="125"/>
      <c r="D243" s="125"/>
      <c r="E243" s="125"/>
      <c r="F243" s="125"/>
      <c r="G243" s="126"/>
      <c r="H243" s="127"/>
      <c r="I243" s="118"/>
      <c r="J243" s="119"/>
      <c r="K243" s="119"/>
      <c r="L243" s="119"/>
      <c r="M243" s="119"/>
      <c r="N243" s="117" t="str">
        <f t="shared" si="19"/>
        <v/>
      </c>
      <c r="O243" s="97" t="str">
        <f t="shared" si="18"/>
        <v/>
      </c>
      <c r="P243" s="97" t="str">
        <f t="shared" si="20"/>
        <v/>
      </c>
      <c r="Q243" s="97" t="str">
        <f t="shared" si="21"/>
        <v/>
      </c>
      <c r="R243" s="97" t="str">
        <f t="shared" si="22"/>
        <v/>
      </c>
      <c r="S243" s="97" t="str">
        <f t="shared" si="23"/>
        <v/>
      </c>
    </row>
    <row r="244" spans="1:19">
      <c r="A244" s="128"/>
      <c r="B244" s="129"/>
      <c r="C244" s="125"/>
      <c r="D244" s="125"/>
      <c r="E244" s="125"/>
      <c r="F244" s="125"/>
      <c r="G244" s="126"/>
      <c r="H244" s="127"/>
      <c r="I244" s="118"/>
      <c r="J244" s="119"/>
      <c r="K244" s="119"/>
      <c r="L244" s="119"/>
      <c r="M244" s="119"/>
      <c r="N244" s="117" t="str">
        <f t="shared" si="19"/>
        <v/>
      </c>
      <c r="O244" s="97" t="str">
        <f t="shared" si="18"/>
        <v/>
      </c>
      <c r="P244" s="97" t="str">
        <f t="shared" si="20"/>
        <v/>
      </c>
      <c r="Q244" s="97" t="str">
        <f t="shared" si="21"/>
        <v/>
      </c>
      <c r="R244" s="97" t="str">
        <f t="shared" si="22"/>
        <v/>
      </c>
      <c r="S244" s="97" t="str">
        <f t="shared" si="23"/>
        <v/>
      </c>
    </row>
    <row r="245" spans="1:19">
      <c r="A245" s="128"/>
      <c r="B245" s="129"/>
      <c r="C245" s="125"/>
      <c r="D245" s="125"/>
      <c r="E245" s="125"/>
      <c r="F245" s="125"/>
      <c r="G245" s="126"/>
      <c r="H245" s="127"/>
      <c r="I245" s="118"/>
      <c r="J245" s="119"/>
      <c r="K245" s="119"/>
      <c r="L245" s="119"/>
      <c r="M245" s="119"/>
      <c r="N245" s="117" t="str">
        <f t="shared" si="19"/>
        <v/>
      </c>
      <c r="O245" s="97" t="str">
        <f t="shared" si="18"/>
        <v/>
      </c>
      <c r="P245" s="97" t="str">
        <f t="shared" si="20"/>
        <v/>
      </c>
      <c r="Q245" s="97" t="str">
        <f t="shared" si="21"/>
        <v/>
      </c>
      <c r="R245" s="97" t="str">
        <f t="shared" si="22"/>
        <v/>
      </c>
      <c r="S245" s="97" t="str">
        <f t="shared" si="23"/>
        <v/>
      </c>
    </row>
    <row r="246" spans="1:19">
      <c r="A246" s="128"/>
      <c r="B246" s="129"/>
      <c r="C246" s="125"/>
      <c r="D246" s="125"/>
      <c r="E246" s="125"/>
      <c r="F246" s="125"/>
      <c r="G246" s="126"/>
      <c r="H246" s="127"/>
      <c r="I246" s="118"/>
      <c r="J246" s="119"/>
      <c r="K246" s="119"/>
      <c r="L246" s="119"/>
      <c r="M246" s="119"/>
      <c r="N246" s="117" t="str">
        <f t="shared" si="19"/>
        <v/>
      </c>
      <c r="O246" s="97" t="str">
        <f t="shared" si="18"/>
        <v/>
      </c>
      <c r="P246" s="97" t="str">
        <f t="shared" si="20"/>
        <v/>
      </c>
      <c r="Q246" s="97" t="str">
        <f t="shared" si="21"/>
        <v/>
      </c>
      <c r="R246" s="97" t="str">
        <f t="shared" si="22"/>
        <v/>
      </c>
      <c r="S246" s="97" t="str">
        <f t="shared" si="23"/>
        <v/>
      </c>
    </row>
    <row r="247" spans="1:19">
      <c r="A247" s="128"/>
      <c r="B247" s="129"/>
      <c r="C247" s="125"/>
      <c r="D247" s="125"/>
      <c r="E247" s="125"/>
      <c r="F247" s="125"/>
      <c r="G247" s="126"/>
      <c r="H247" s="127"/>
      <c r="I247" s="118"/>
      <c r="J247" s="119"/>
      <c r="K247" s="119"/>
      <c r="L247" s="119"/>
      <c r="M247" s="119"/>
      <c r="N247" s="117" t="str">
        <f t="shared" si="19"/>
        <v/>
      </c>
      <c r="O247" s="97" t="str">
        <f t="shared" si="18"/>
        <v/>
      </c>
      <c r="P247" s="97" t="str">
        <f t="shared" si="20"/>
        <v/>
      </c>
      <c r="Q247" s="97" t="str">
        <f t="shared" si="21"/>
        <v/>
      </c>
      <c r="R247" s="97" t="str">
        <f t="shared" si="22"/>
        <v/>
      </c>
      <c r="S247" s="97" t="str">
        <f t="shared" si="23"/>
        <v/>
      </c>
    </row>
    <row r="248" spans="1:19">
      <c r="A248" s="128"/>
      <c r="B248" s="129"/>
      <c r="C248" s="125"/>
      <c r="D248" s="125"/>
      <c r="E248" s="125"/>
      <c r="F248" s="125"/>
      <c r="G248" s="126"/>
      <c r="H248" s="127"/>
      <c r="I248" s="118"/>
      <c r="J248" s="119"/>
      <c r="K248" s="119"/>
      <c r="L248" s="119"/>
      <c r="M248" s="119"/>
      <c r="N248" s="117" t="str">
        <f t="shared" si="19"/>
        <v/>
      </c>
      <c r="O248" s="97" t="str">
        <f t="shared" si="18"/>
        <v/>
      </c>
      <c r="P248" s="97" t="str">
        <f t="shared" si="20"/>
        <v/>
      </c>
      <c r="Q248" s="97" t="str">
        <f t="shared" si="21"/>
        <v/>
      </c>
      <c r="R248" s="97" t="str">
        <f t="shared" si="22"/>
        <v/>
      </c>
      <c r="S248" s="97" t="str">
        <f t="shared" si="23"/>
        <v/>
      </c>
    </row>
    <row r="249" spans="1:19">
      <c r="A249" s="128"/>
      <c r="B249" s="129"/>
      <c r="C249" s="125"/>
      <c r="D249" s="125"/>
      <c r="E249" s="125"/>
      <c r="F249" s="125"/>
      <c r="G249" s="126"/>
      <c r="H249" s="127"/>
      <c r="I249" s="118"/>
      <c r="J249" s="119"/>
      <c r="K249" s="119"/>
      <c r="L249" s="119"/>
      <c r="M249" s="119"/>
      <c r="N249" s="117" t="str">
        <f t="shared" si="19"/>
        <v/>
      </c>
      <c r="O249" s="97" t="str">
        <f t="shared" si="18"/>
        <v/>
      </c>
      <c r="P249" s="97" t="str">
        <f t="shared" si="20"/>
        <v/>
      </c>
      <c r="Q249" s="97" t="str">
        <f t="shared" si="21"/>
        <v/>
      </c>
      <c r="R249" s="97" t="str">
        <f t="shared" si="22"/>
        <v/>
      </c>
      <c r="S249" s="97" t="str">
        <f t="shared" si="23"/>
        <v/>
      </c>
    </row>
    <row r="250" spans="1:19">
      <c r="A250" s="128"/>
      <c r="B250" s="129"/>
      <c r="C250" s="125"/>
      <c r="D250" s="125"/>
      <c r="E250" s="125"/>
      <c r="F250" s="125"/>
      <c r="G250" s="126"/>
      <c r="H250" s="127"/>
      <c r="I250" s="118"/>
      <c r="J250" s="119"/>
      <c r="K250" s="119"/>
      <c r="L250" s="119"/>
      <c r="M250" s="119"/>
      <c r="N250" s="117" t="str">
        <f t="shared" si="19"/>
        <v/>
      </c>
      <c r="O250" s="97" t="str">
        <f t="shared" si="18"/>
        <v/>
      </c>
      <c r="P250" s="97" t="str">
        <f t="shared" si="20"/>
        <v/>
      </c>
      <c r="Q250" s="97" t="str">
        <f t="shared" si="21"/>
        <v/>
      </c>
      <c r="R250" s="97" t="str">
        <f t="shared" si="22"/>
        <v/>
      </c>
      <c r="S250" s="97" t="str">
        <f t="shared" si="23"/>
        <v/>
      </c>
    </row>
    <row r="251" spans="1:19">
      <c r="A251" s="128"/>
      <c r="B251" s="129"/>
      <c r="C251" s="125"/>
      <c r="D251" s="125"/>
      <c r="E251" s="125"/>
      <c r="F251" s="125"/>
      <c r="G251" s="126"/>
      <c r="H251" s="127"/>
      <c r="I251" s="118"/>
      <c r="J251" s="119"/>
      <c r="K251" s="119"/>
      <c r="L251" s="119"/>
      <c r="M251" s="119"/>
      <c r="N251" s="117" t="str">
        <f t="shared" si="19"/>
        <v/>
      </c>
      <c r="O251" s="97" t="str">
        <f t="shared" si="18"/>
        <v/>
      </c>
      <c r="P251" s="97" t="str">
        <f t="shared" si="20"/>
        <v/>
      </c>
      <c r="Q251" s="97" t="str">
        <f t="shared" si="21"/>
        <v/>
      </c>
      <c r="R251" s="97" t="str">
        <f t="shared" si="22"/>
        <v/>
      </c>
      <c r="S251" s="97" t="str">
        <f t="shared" si="23"/>
        <v/>
      </c>
    </row>
    <row r="252" spans="1:19">
      <c r="A252" s="128"/>
      <c r="B252" s="129"/>
      <c r="C252" s="125"/>
      <c r="D252" s="125"/>
      <c r="E252" s="125"/>
      <c r="F252" s="125"/>
      <c r="G252" s="126"/>
      <c r="H252" s="127"/>
      <c r="I252" s="118"/>
      <c r="J252" s="119"/>
      <c r="K252" s="119"/>
      <c r="L252" s="119"/>
      <c r="M252" s="119"/>
      <c r="N252" s="117" t="str">
        <f t="shared" si="19"/>
        <v/>
      </c>
      <c r="O252" s="97" t="str">
        <f t="shared" si="18"/>
        <v/>
      </c>
      <c r="P252" s="97" t="str">
        <f t="shared" si="20"/>
        <v/>
      </c>
      <c r="Q252" s="97" t="str">
        <f t="shared" si="21"/>
        <v/>
      </c>
      <c r="R252" s="97" t="str">
        <f t="shared" si="22"/>
        <v/>
      </c>
      <c r="S252" s="97" t="str">
        <f t="shared" si="23"/>
        <v/>
      </c>
    </row>
    <row r="253" spans="1:19">
      <c r="A253" s="128"/>
      <c r="B253" s="129"/>
      <c r="C253" s="125"/>
      <c r="D253" s="125"/>
      <c r="E253" s="125"/>
      <c r="F253" s="125"/>
      <c r="G253" s="126"/>
      <c r="H253" s="127"/>
      <c r="I253" s="118"/>
      <c r="J253" s="119"/>
      <c r="K253" s="119"/>
      <c r="L253" s="119"/>
      <c r="M253" s="119"/>
      <c r="N253" s="117" t="str">
        <f t="shared" si="19"/>
        <v/>
      </c>
      <c r="O253" s="97" t="str">
        <f t="shared" si="18"/>
        <v/>
      </c>
      <c r="P253" s="97" t="str">
        <f t="shared" si="20"/>
        <v/>
      </c>
      <c r="Q253" s="97" t="str">
        <f t="shared" si="21"/>
        <v/>
      </c>
      <c r="R253" s="97" t="str">
        <f t="shared" si="22"/>
        <v/>
      </c>
      <c r="S253" s="97" t="str">
        <f t="shared" si="23"/>
        <v/>
      </c>
    </row>
    <row r="254" spans="1:19">
      <c r="A254" s="128"/>
      <c r="B254" s="129"/>
      <c r="C254" s="125"/>
      <c r="D254" s="125"/>
      <c r="E254" s="125"/>
      <c r="F254" s="125"/>
      <c r="G254" s="126"/>
      <c r="H254" s="127"/>
      <c r="I254" s="118"/>
      <c r="J254" s="119"/>
      <c r="K254" s="119"/>
      <c r="L254" s="119"/>
      <c r="M254" s="119"/>
      <c r="N254" s="117" t="str">
        <f t="shared" si="19"/>
        <v/>
      </c>
      <c r="O254" s="97" t="str">
        <f t="shared" si="18"/>
        <v/>
      </c>
      <c r="P254" s="97" t="str">
        <f t="shared" si="20"/>
        <v/>
      </c>
      <c r="Q254" s="97" t="str">
        <f t="shared" si="21"/>
        <v/>
      </c>
      <c r="R254" s="97" t="str">
        <f t="shared" si="22"/>
        <v/>
      </c>
      <c r="S254" s="97" t="str">
        <f t="shared" si="23"/>
        <v/>
      </c>
    </row>
    <row r="255" spans="1:19">
      <c r="A255" s="128"/>
      <c r="B255" s="129"/>
      <c r="C255" s="125"/>
      <c r="D255" s="125"/>
      <c r="E255" s="125"/>
      <c r="F255" s="125"/>
      <c r="G255" s="126"/>
      <c r="H255" s="127"/>
      <c r="I255" s="118"/>
      <c r="J255" s="119"/>
      <c r="K255" s="119"/>
      <c r="L255" s="119"/>
      <c r="M255" s="119"/>
      <c r="N255" s="117" t="str">
        <f t="shared" si="19"/>
        <v/>
      </c>
      <c r="O255" s="97" t="str">
        <f t="shared" si="18"/>
        <v/>
      </c>
      <c r="P255" s="97" t="str">
        <f t="shared" si="20"/>
        <v/>
      </c>
      <c r="Q255" s="97" t="str">
        <f t="shared" si="21"/>
        <v/>
      </c>
      <c r="R255" s="97" t="str">
        <f t="shared" si="22"/>
        <v/>
      </c>
      <c r="S255" s="97" t="str">
        <f t="shared" si="23"/>
        <v/>
      </c>
    </row>
    <row r="256" spans="1:19">
      <c r="A256" s="128"/>
      <c r="B256" s="129"/>
      <c r="C256" s="125"/>
      <c r="D256" s="125"/>
      <c r="E256" s="125"/>
      <c r="F256" s="125"/>
      <c r="G256" s="126"/>
      <c r="H256" s="127"/>
      <c r="I256" s="118"/>
      <c r="J256" s="119"/>
      <c r="K256" s="119"/>
      <c r="L256" s="119"/>
      <c r="M256" s="119"/>
      <c r="N256" s="117" t="str">
        <f t="shared" si="19"/>
        <v/>
      </c>
      <c r="O256" s="97" t="str">
        <f t="shared" si="18"/>
        <v/>
      </c>
      <c r="P256" s="97" t="str">
        <f t="shared" si="20"/>
        <v/>
      </c>
      <c r="Q256" s="97" t="str">
        <f t="shared" si="21"/>
        <v/>
      </c>
      <c r="R256" s="97" t="str">
        <f t="shared" si="22"/>
        <v/>
      </c>
      <c r="S256" s="97" t="str">
        <f t="shared" si="23"/>
        <v/>
      </c>
    </row>
    <row r="257" spans="1:19">
      <c r="A257" s="128"/>
      <c r="B257" s="129"/>
      <c r="C257" s="125"/>
      <c r="D257" s="125"/>
      <c r="E257" s="125"/>
      <c r="F257" s="125"/>
      <c r="G257" s="126"/>
      <c r="H257" s="127"/>
      <c r="I257" s="118"/>
      <c r="J257" s="119"/>
      <c r="K257" s="119"/>
      <c r="L257" s="119"/>
      <c r="M257" s="119"/>
      <c r="N257" s="117" t="str">
        <f t="shared" si="19"/>
        <v/>
      </c>
      <c r="O257" s="97" t="str">
        <f t="shared" si="18"/>
        <v/>
      </c>
      <c r="P257" s="97" t="str">
        <f t="shared" si="20"/>
        <v/>
      </c>
      <c r="Q257" s="97" t="str">
        <f t="shared" si="21"/>
        <v/>
      </c>
      <c r="R257" s="97" t="str">
        <f t="shared" si="22"/>
        <v/>
      </c>
      <c r="S257" s="97" t="str">
        <f t="shared" si="23"/>
        <v/>
      </c>
    </row>
    <row r="258" spans="1:19">
      <c r="A258" s="128"/>
      <c r="B258" s="129"/>
      <c r="C258" s="125"/>
      <c r="D258" s="125"/>
      <c r="E258" s="125"/>
      <c r="F258" s="125"/>
      <c r="G258" s="126"/>
      <c r="H258" s="127"/>
      <c r="I258" s="118"/>
      <c r="J258" s="119"/>
      <c r="K258" s="119"/>
      <c r="L258" s="119"/>
      <c r="M258" s="119"/>
      <c r="N258" s="117" t="str">
        <f t="shared" si="19"/>
        <v/>
      </c>
      <c r="O258" s="97" t="str">
        <f t="shared" si="18"/>
        <v/>
      </c>
      <c r="P258" s="97" t="str">
        <f t="shared" si="20"/>
        <v/>
      </c>
      <c r="Q258" s="97" t="str">
        <f t="shared" si="21"/>
        <v/>
      </c>
      <c r="R258" s="97" t="str">
        <f t="shared" si="22"/>
        <v/>
      </c>
      <c r="S258" s="97" t="str">
        <f t="shared" si="23"/>
        <v/>
      </c>
    </row>
    <row r="259" spans="1:19">
      <c r="A259" s="128"/>
      <c r="B259" s="129"/>
      <c r="C259" s="125"/>
      <c r="D259" s="125"/>
      <c r="E259" s="125"/>
      <c r="F259" s="125"/>
      <c r="G259" s="126"/>
      <c r="H259" s="127"/>
      <c r="I259" s="118"/>
      <c r="J259" s="119"/>
      <c r="K259" s="119"/>
      <c r="L259" s="119"/>
      <c r="M259" s="119"/>
      <c r="N259" s="117" t="str">
        <f t="shared" si="19"/>
        <v/>
      </c>
      <c r="O259" s="97" t="str">
        <f t="shared" si="18"/>
        <v/>
      </c>
      <c r="P259" s="97" t="str">
        <f t="shared" si="20"/>
        <v/>
      </c>
      <c r="Q259" s="97" t="str">
        <f t="shared" si="21"/>
        <v/>
      </c>
      <c r="R259" s="97" t="str">
        <f t="shared" si="22"/>
        <v/>
      </c>
      <c r="S259" s="97" t="str">
        <f t="shared" si="23"/>
        <v/>
      </c>
    </row>
    <row r="260" spans="1:19">
      <c r="A260" s="128"/>
      <c r="B260" s="129"/>
      <c r="C260" s="125"/>
      <c r="D260" s="125"/>
      <c r="E260" s="125"/>
      <c r="F260" s="125"/>
      <c r="G260" s="126"/>
      <c r="H260" s="127"/>
      <c r="I260" s="118"/>
      <c r="J260" s="119"/>
      <c r="K260" s="119"/>
      <c r="L260" s="119"/>
      <c r="M260" s="119"/>
      <c r="N260" s="117" t="str">
        <f t="shared" si="19"/>
        <v/>
      </c>
      <c r="O260" s="97" t="str">
        <f t="shared" si="18"/>
        <v/>
      </c>
      <c r="P260" s="97" t="str">
        <f t="shared" si="20"/>
        <v/>
      </c>
      <c r="Q260" s="97" t="str">
        <f t="shared" si="21"/>
        <v/>
      </c>
      <c r="R260" s="97" t="str">
        <f t="shared" si="22"/>
        <v/>
      </c>
      <c r="S260" s="97" t="str">
        <f t="shared" si="23"/>
        <v/>
      </c>
    </row>
    <row r="261" spans="1:19">
      <c r="A261" s="128"/>
      <c r="B261" s="129"/>
      <c r="C261" s="125"/>
      <c r="D261" s="125"/>
      <c r="E261" s="125"/>
      <c r="F261" s="125"/>
      <c r="G261" s="126"/>
      <c r="H261" s="127"/>
      <c r="I261" s="118"/>
      <c r="J261" s="119"/>
      <c r="K261" s="119"/>
      <c r="L261" s="119"/>
      <c r="M261" s="119"/>
      <c r="N261" s="117" t="str">
        <f t="shared" si="19"/>
        <v/>
      </c>
      <c r="O261" s="97" t="str">
        <f t="shared" si="18"/>
        <v/>
      </c>
      <c r="P261" s="97" t="str">
        <f t="shared" si="20"/>
        <v/>
      </c>
      <c r="Q261" s="97" t="str">
        <f t="shared" si="21"/>
        <v/>
      </c>
      <c r="R261" s="97" t="str">
        <f t="shared" si="22"/>
        <v/>
      </c>
      <c r="S261" s="97" t="str">
        <f t="shared" si="23"/>
        <v/>
      </c>
    </row>
    <row r="262" spans="1:19">
      <c r="A262" s="128"/>
      <c r="B262" s="129"/>
      <c r="C262" s="125"/>
      <c r="D262" s="125"/>
      <c r="E262" s="125"/>
      <c r="F262" s="125"/>
      <c r="G262" s="126"/>
      <c r="H262" s="127"/>
      <c r="I262" s="118"/>
      <c r="J262" s="119"/>
      <c r="K262" s="119"/>
      <c r="L262" s="119"/>
      <c r="M262" s="119"/>
      <c r="N262" s="117" t="str">
        <f t="shared" si="19"/>
        <v/>
      </c>
      <c r="O262" s="97" t="str">
        <f t="shared" ref="O262:O325" si="24">IF($C262="","",IF($B262="beginning",($I262*35.44),IF($B262="middle",($I262*8.86),IF($B262="end",($I262*8.86),""))))</f>
        <v/>
      </c>
      <c r="P262" s="97" t="str">
        <f t="shared" si="20"/>
        <v/>
      </c>
      <c r="Q262" s="97" t="str">
        <f t="shared" si="21"/>
        <v/>
      </c>
      <c r="R262" s="97" t="str">
        <f t="shared" si="22"/>
        <v/>
      </c>
      <c r="S262" s="97" t="str">
        <f t="shared" si="23"/>
        <v/>
      </c>
    </row>
    <row r="263" spans="1:19">
      <c r="A263" s="128"/>
      <c r="B263" s="129"/>
      <c r="C263" s="125"/>
      <c r="D263" s="125"/>
      <c r="E263" s="125"/>
      <c r="F263" s="125"/>
      <c r="G263" s="126"/>
      <c r="H263" s="127"/>
      <c r="I263" s="118"/>
      <c r="J263" s="119"/>
      <c r="K263" s="119"/>
      <c r="L263" s="119"/>
      <c r="M263" s="119"/>
      <c r="N263" s="117" t="str">
        <f t="shared" ref="N263:N326" si="25">IF($C263="","",IF(TRIM($B263)="beginning",(((SUM($O263:$S263)-729)/630)*40)+289,IF(TRIM($B263)="middle",(((SUM($O263:$S263)-729)/630)*40)+364,IF(TRIM($B263)="end",(((SUM($O263:$S263)-729)/630)*40)+398,""))))</f>
        <v/>
      </c>
      <c r="O263" s="97" t="str">
        <f t="shared" si="24"/>
        <v/>
      </c>
      <c r="P263" s="97" t="str">
        <f t="shared" ref="P263:P326" si="26">IF($C263="","",$J263*4.13)</f>
        <v/>
      </c>
      <c r="Q263" s="97" t="str">
        <f t="shared" ref="Q263:Q326" si="27">IF($C263="","",$K263*14.93)</f>
        <v/>
      </c>
      <c r="R263" s="97" t="str">
        <f t="shared" ref="R263:R326" si="28">IF($C263="","",$L263*3.56)</f>
        <v/>
      </c>
      <c r="S263" s="97" t="str">
        <f t="shared" ref="S263:S326" si="29">IF($C263="","",$M263*5.62)</f>
        <v/>
      </c>
    </row>
    <row r="264" spans="1:19">
      <c r="A264" s="128"/>
      <c r="B264" s="129"/>
      <c r="C264" s="125"/>
      <c r="D264" s="125"/>
      <c r="E264" s="125"/>
      <c r="F264" s="125"/>
      <c r="G264" s="126"/>
      <c r="H264" s="127"/>
      <c r="I264" s="118"/>
      <c r="J264" s="119"/>
      <c r="K264" s="119"/>
      <c r="L264" s="119"/>
      <c r="M264" s="119"/>
      <c r="N264" s="117" t="str">
        <f t="shared" si="25"/>
        <v/>
      </c>
      <c r="O264" s="97" t="str">
        <f t="shared" si="24"/>
        <v/>
      </c>
      <c r="P264" s="97" t="str">
        <f t="shared" si="26"/>
        <v/>
      </c>
      <c r="Q264" s="97" t="str">
        <f t="shared" si="27"/>
        <v/>
      </c>
      <c r="R264" s="97" t="str">
        <f t="shared" si="28"/>
        <v/>
      </c>
      <c r="S264" s="97" t="str">
        <f t="shared" si="29"/>
        <v/>
      </c>
    </row>
    <row r="265" spans="1:19">
      <c r="A265" s="128"/>
      <c r="B265" s="129"/>
      <c r="C265" s="125"/>
      <c r="D265" s="125"/>
      <c r="E265" s="125"/>
      <c r="F265" s="125"/>
      <c r="G265" s="126"/>
      <c r="H265" s="127"/>
      <c r="I265" s="118"/>
      <c r="J265" s="119"/>
      <c r="K265" s="119"/>
      <c r="L265" s="119"/>
      <c r="M265" s="119"/>
      <c r="N265" s="117" t="str">
        <f t="shared" si="25"/>
        <v/>
      </c>
      <c r="O265" s="97" t="str">
        <f t="shared" si="24"/>
        <v/>
      </c>
      <c r="P265" s="97" t="str">
        <f t="shared" si="26"/>
        <v/>
      </c>
      <c r="Q265" s="97" t="str">
        <f t="shared" si="27"/>
        <v/>
      </c>
      <c r="R265" s="97" t="str">
        <f t="shared" si="28"/>
        <v/>
      </c>
      <c r="S265" s="97" t="str">
        <f t="shared" si="29"/>
        <v/>
      </c>
    </row>
    <row r="266" spans="1:19">
      <c r="A266" s="128"/>
      <c r="B266" s="129"/>
      <c r="C266" s="125"/>
      <c r="D266" s="125"/>
      <c r="E266" s="125"/>
      <c r="F266" s="125"/>
      <c r="G266" s="126"/>
      <c r="H266" s="127"/>
      <c r="I266" s="118"/>
      <c r="J266" s="119"/>
      <c r="K266" s="119"/>
      <c r="L266" s="119"/>
      <c r="M266" s="119"/>
      <c r="N266" s="117" t="str">
        <f t="shared" si="25"/>
        <v/>
      </c>
      <c r="O266" s="97" t="str">
        <f t="shared" si="24"/>
        <v/>
      </c>
      <c r="P266" s="97" t="str">
        <f t="shared" si="26"/>
        <v/>
      </c>
      <c r="Q266" s="97" t="str">
        <f t="shared" si="27"/>
        <v/>
      </c>
      <c r="R266" s="97" t="str">
        <f t="shared" si="28"/>
        <v/>
      </c>
      <c r="S266" s="97" t="str">
        <f t="shared" si="29"/>
        <v/>
      </c>
    </row>
    <row r="267" spans="1:19">
      <c r="A267" s="128"/>
      <c r="B267" s="129"/>
      <c r="C267" s="125"/>
      <c r="D267" s="125"/>
      <c r="E267" s="125"/>
      <c r="F267" s="125"/>
      <c r="G267" s="126"/>
      <c r="H267" s="127"/>
      <c r="I267" s="118"/>
      <c r="J267" s="119"/>
      <c r="K267" s="119"/>
      <c r="L267" s="119"/>
      <c r="M267" s="119"/>
      <c r="N267" s="117" t="str">
        <f t="shared" si="25"/>
        <v/>
      </c>
      <c r="O267" s="97" t="str">
        <f t="shared" si="24"/>
        <v/>
      </c>
      <c r="P267" s="97" t="str">
        <f t="shared" si="26"/>
        <v/>
      </c>
      <c r="Q267" s="97" t="str">
        <f t="shared" si="27"/>
        <v/>
      </c>
      <c r="R267" s="97" t="str">
        <f t="shared" si="28"/>
        <v/>
      </c>
      <c r="S267" s="97" t="str">
        <f t="shared" si="29"/>
        <v/>
      </c>
    </row>
    <row r="268" spans="1:19">
      <c r="A268" s="128"/>
      <c r="B268" s="129"/>
      <c r="C268" s="125"/>
      <c r="D268" s="125"/>
      <c r="E268" s="125"/>
      <c r="F268" s="125"/>
      <c r="G268" s="126"/>
      <c r="H268" s="127"/>
      <c r="I268" s="118"/>
      <c r="J268" s="119"/>
      <c r="K268" s="119"/>
      <c r="L268" s="119"/>
      <c r="M268" s="119"/>
      <c r="N268" s="117" t="str">
        <f t="shared" si="25"/>
        <v/>
      </c>
      <c r="O268" s="97" t="str">
        <f t="shared" si="24"/>
        <v/>
      </c>
      <c r="P268" s="97" t="str">
        <f t="shared" si="26"/>
        <v/>
      </c>
      <c r="Q268" s="97" t="str">
        <f t="shared" si="27"/>
        <v/>
      </c>
      <c r="R268" s="97" t="str">
        <f t="shared" si="28"/>
        <v/>
      </c>
      <c r="S268" s="97" t="str">
        <f t="shared" si="29"/>
        <v/>
      </c>
    </row>
    <row r="269" spans="1:19">
      <c r="A269" s="128"/>
      <c r="B269" s="129"/>
      <c r="C269" s="125"/>
      <c r="D269" s="125"/>
      <c r="E269" s="125"/>
      <c r="F269" s="125"/>
      <c r="G269" s="126"/>
      <c r="H269" s="127"/>
      <c r="I269" s="118"/>
      <c r="J269" s="119"/>
      <c r="K269" s="119"/>
      <c r="L269" s="119"/>
      <c r="M269" s="119"/>
      <c r="N269" s="117" t="str">
        <f t="shared" si="25"/>
        <v/>
      </c>
      <c r="O269" s="97" t="str">
        <f t="shared" si="24"/>
        <v/>
      </c>
      <c r="P269" s="97" t="str">
        <f t="shared" si="26"/>
        <v/>
      </c>
      <c r="Q269" s="97" t="str">
        <f t="shared" si="27"/>
        <v/>
      </c>
      <c r="R269" s="97" t="str">
        <f t="shared" si="28"/>
        <v/>
      </c>
      <c r="S269" s="97" t="str">
        <f t="shared" si="29"/>
        <v/>
      </c>
    </row>
    <row r="270" spans="1:19">
      <c r="A270" s="128"/>
      <c r="B270" s="129"/>
      <c r="C270" s="125"/>
      <c r="D270" s="125"/>
      <c r="E270" s="125"/>
      <c r="F270" s="125"/>
      <c r="G270" s="126"/>
      <c r="H270" s="127"/>
      <c r="I270" s="118"/>
      <c r="J270" s="119"/>
      <c r="K270" s="119"/>
      <c r="L270" s="119"/>
      <c r="M270" s="119"/>
      <c r="N270" s="117" t="str">
        <f t="shared" si="25"/>
        <v/>
      </c>
      <c r="O270" s="97" t="str">
        <f t="shared" si="24"/>
        <v/>
      </c>
      <c r="P270" s="97" t="str">
        <f t="shared" si="26"/>
        <v/>
      </c>
      <c r="Q270" s="97" t="str">
        <f t="shared" si="27"/>
        <v/>
      </c>
      <c r="R270" s="97" t="str">
        <f t="shared" si="28"/>
        <v/>
      </c>
      <c r="S270" s="97" t="str">
        <f t="shared" si="29"/>
        <v/>
      </c>
    </row>
    <row r="271" spans="1:19">
      <c r="A271" s="128"/>
      <c r="B271" s="129"/>
      <c r="C271" s="125"/>
      <c r="D271" s="125"/>
      <c r="E271" s="125"/>
      <c r="F271" s="125"/>
      <c r="G271" s="126"/>
      <c r="H271" s="127"/>
      <c r="I271" s="118"/>
      <c r="J271" s="119"/>
      <c r="K271" s="119"/>
      <c r="L271" s="119"/>
      <c r="M271" s="119"/>
      <c r="N271" s="117" t="str">
        <f t="shared" si="25"/>
        <v/>
      </c>
      <c r="O271" s="97" t="str">
        <f t="shared" si="24"/>
        <v/>
      </c>
      <c r="P271" s="97" t="str">
        <f t="shared" si="26"/>
        <v/>
      </c>
      <c r="Q271" s="97" t="str">
        <f t="shared" si="27"/>
        <v/>
      </c>
      <c r="R271" s="97" t="str">
        <f t="shared" si="28"/>
        <v/>
      </c>
      <c r="S271" s="97" t="str">
        <f t="shared" si="29"/>
        <v/>
      </c>
    </row>
    <row r="272" spans="1:19">
      <c r="A272" s="128"/>
      <c r="B272" s="129"/>
      <c r="C272" s="125"/>
      <c r="D272" s="125"/>
      <c r="E272" s="125"/>
      <c r="F272" s="125"/>
      <c r="G272" s="126"/>
      <c r="H272" s="127"/>
      <c r="I272" s="118"/>
      <c r="J272" s="119"/>
      <c r="K272" s="119"/>
      <c r="L272" s="119"/>
      <c r="M272" s="119"/>
      <c r="N272" s="117" t="str">
        <f t="shared" si="25"/>
        <v/>
      </c>
      <c r="O272" s="97" t="str">
        <f t="shared" si="24"/>
        <v/>
      </c>
      <c r="P272" s="97" t="str">
        <f t="shared" si="26"/>
        <v/>
      </c>
      <c r="Q272" s="97" t="str">
        <f t="shared" si="27"/>
        <v/>
      </c>
      <c r="R272" s="97" t="str">
        <f t="shared" si="28"/>
        <v/>
      </c>
      <c r="S272" s="97" t="str">
        <f t="shared" si="29"/>
        <v/>
      </c>
    </row>
    <row r="273" spans="1:19">
      <c r="A273" s="128"/>
      <c r="B273" s="129"/>
      <c r="C273" s="125"/>
      <c r="D273" s="125"/>
      <c r="E273" s="125"/>
      <c r="F273" s="125"/>
      <c r="G273" s="126"/>
      <c r="H273" s="127"/>
      <c r="I273" s="118"/>
      <c r="J273" s="119"/>
      <c r="K273" s="119"/>
      <c r="L273" s="119"/>
      <c r="M273" s="119"/>
      <c r="N273" s="117" t="str">
        <f t="shared" si="25"/>
        <v/>
      </c>
      <c r="O273" s="97" t="str">
        <f t="shared" si="24"/>
        <v/>
      </c>
      <c r="P273" s="97" t="str">
        <f t="shared" si="26"/>
        <v/>
      </c>
      <c r="Q273" s="97" t="str">
        <f t="shared" si="27"/>
        <v/>
      </c>
      <c r="R273" s="97" t="str">
        <f t="shared" si="28"/>
        <v/>
      </c>
      <c r="S273" s="97" t="str">
        <f t="shared" si="29"/>
        <v/>
      </c>
    </row>
    <row r="274" spans="1:19">
      <c r="A274" s="128"/>
      <c r="B274" s="129"/>
      <c r="C274" s="125"/>
      <c r="D274" s="125"/>
      <c r="E274" s="125"/>
      <c r="F274" s="125"/>
      <c r="G274" s="126"/>
      <c r="H274" s="127"/>
      <c r="I274" s="118"/>
      <c r="J274" s="119"/>
      <c r="K274" s="119"/>
      <c r="L274" s="119"/>
      <c r="M274" s="119"/>
      <c r="N274" s="117" t="str">
        <f t="shared" si="25"/>
        <v/>
      </c>
      <c r="O274" s="97" t="str">
        <f t="shared" si="24"/>
        <v/>
      </c>
      <c r="P274" s="97" t="str">
        <f t="shared" si="26"/>
        <v/>
      </c>
      <c r="Q274" s="97" t="str">
        <f t="shared" si="27"/>
        <v/>
      </c>
      <c r="R274" s="97" t="str">
        <f t="shared" si="28"/>
        <v/>
      </c>
      <c r="S274" s="97" t="str">
        <f t="shared" si="29"/>
        <v/>
      </c>
    </row>
    <row r="275" spans="1:19">
      <c r="A275" s="128"/>
      <c r="B275" s="129"/>
      <c r="C275" s="125"/>
      <c r="D275" s="125"/>
      <c r="E275" s="125"/>
      <c r="F275" s="125"/>
      <c r="G275" s="126"/>
      <c r="H275" s="127"/>
      <c r="I275" s="118"/>
      <c r="J275" s="119"/>
      <c r="K275" s="119"/>
      <c r="L275" s="119"/>
      <c r="M275" s="119"/>
      <c r="N275" s="117" t="str">
        <f t="shared" si="25"/>
        <v/>
      </c>
      <c r="O275" s="97" t="str">
        <f t="shared" si="24"/>
        <v/>
      </c>
      <c r="P275" s="97" t="str">
        <f t="shared" si="26"/>
        <v/>
      </c>
      <c r="Q275" s="97" t="str">
        <f t="shared" si="27"/>
        <v/>
      </c>
      <c r="R275" s="97" t="str">
        <f t="shared" si="28"/>
        <v/>
      </c>
      <c r="S275" s="97" t="str">
        <f t="shared" si="29"/>
        <v/>
      </c>
    </row>
    <row r="276" spans="1:19">
      <c r="A276" s="128"/>
      <c r="B276" s="129"/>
      <c r="C276" s="125"/>
      <c r="D276" s="125"/>
      <c r="E276" s="125"/>
      <c r="F276" s="125"/>
      <c r="G276" s="126"/>
      <c r="H276" s="127"/>
      <c r="I276" s="118"/>
      <c r="J276" s="119"/>
      <c r="K276" s="119"/>
      <c r="L276" s="119"/>
      <c r="M276" s="119"/>
      <c r="N276" s="117" t="str">
        <f t="shared" si="25"/>
        <v/>
      </c>
      <c r="O276" s="97" t="str">
        <f t="shared" si="24"/>
        <v/>
      </c>
      <c r="P276" s="97" t="str">
        <f t="shared" si="26"/>
        <v/>
      </c>
      <c r="Q276" s="97" t="str">
        <f t="shared" si="27"/>
        <v/>
      </c>
      <c r="R276" s="97" t="str">
        <f t="shared" si="28"/>
        <v/>
      </c>
      <c r="S276" s="97" t="str">
        <f t="shared" si="29"/>
        <v/>
      </c>
    </row>
    <row r="277" spans="1:19">
      <c r="A277" s="128"/>
      <c r="B277" s="129"/>
      <c r="C277" s="125"/>
      <c r="D277" s="125"/>
      <c r="E277" s="125"/>
      <c r="F277" s="125"/>
      <c r="G277" s="126"/>
      <c r="H277" s="127"/>
      <c r="I277" s="118"/>
      <c r="J277" s="119"/>
      <c r="K277" s="119"/>
      <c r="L277" s="119"/>
      <c r="M277" s="119"/>
      <c r="N277" s="117" t="str">
        <f t="shared" si="25"/>
        <v/>
      </c>
      <c r="O277" s="97" t="str">
        <f t="shared" si="24"/>
        <v/>
      </c>
      <c r="P277" s="97" t="str">
        <f t="shared" si="26"/>
        <v/>
      </c>
      <c r="Q277" s="97" t="str">
        <f t="shared" si="27"/>
        <v/>
      </c>
      <c r="R277" s="97" t="str">
        <f t="shared" si="28"/>
        <v/>
      </c>
      <c r="S277" s="97" t="str">
        <f t="shared" si="29"/>
        <v/>
      </c>
    </row>
    <row r="278" spans="1:19">
      <c r="A278" s="128"/>
      <c r="B278" s="129"/>
      <c r="C278" s="125"/>
      <c r="D278" s="125"/>
      <c r="E278" s="125"/>
      <c r="F278" s="125"/>
      <c r="G278" s="126"/>
      <c r="H278" s="127"/>
      <c r="I278" s="118"/>
      <c r="J278" s="119"/>
      <c r="K278" s="119"/>
      <c r="L278" s="119"/>
      <c r="M278" s="119"/>
      <c r="N278" s="117" t="str">
        <f t="shared" si="25"/>
        <v/>
      </c>
      <c r="O278" s="97" t="str">
        <f t="shared" si="24"/>
        <v/>
      </c>
      <c r="P278" s="97" t="str">
        <f t="shared" si="26"/>
        <v/>
      </c>
      <c r="Q278" s="97" t="str">
        <f t="shared" si="27"/>
        <v/>
      </c>
      <c r="R278" s="97" t="str">
        <f t="shared" si="28"/>
        <v/>
      </c>
      <c r="S278" s="97" t="str">
        <f t="shared" si="29"/>
        <v/>
      </c>
    </row>
    <row r="279" spans="1:19">
      <c r="A279" s="128"/>
      <c r="B279" s="129"/>
      <c r="C279" s="125"/>
      <c r="D279" s="125"/>
      <c r="E279" s="125"/>
      <c r="F279" s="125"/>
      <c r="G279" s="126"/>
      <c r="H279" s="127"/>
      <c r="I279" s="118"/>
      <c r="J279" s="119"/>
      <c r="K279" s="119"/>
      <c r="L279" s="119"/>
      <c r="M279" s="119"/>
      <c r="N279" s="117" t="str">
        <f t="shared" si="25"/>
        <v/>
      </c>
      <c r="O279" s="97" t="str">
        <f t="shared" si="24"/>
        <v/>
      </c>
      <c r="P279" s="97" t="str">
        <f t="shared" si="26"/>
        <v/>
      </c>
      <c r="Q279" s="97" t="str">
        <f t="shared" si="27"/>
        <v/>
      </c>
      <c r="R279" s="97" t="str">
        <f t="shared" si="28"/>
        <v/>
      </c>
      <c r="S279" s="97" t="str">
        <f t="shared" si="29"/>
        <v/>
      </c>
    </row>
    <row r="280" spans="1:19">
      <c r="A280" s="128"/>
      <c r="B280" s="129"/>
      <c r="C280" s="125"/>
      <c r="D280" s="125"/>
      <c r="E280" s="125"/>
      <c r="F280" s="125"/>
      <c r="G280" s="126"/>
      <c r="H280" s="127"/>
      <c r="I280" s="118"/>
      <c r="J280" s="119"/>
      <c r="K280" s="119"/>
      <c r="L280" s="119"/>
      <c r="M280" s="119"/>
      <c r="N280" s="117" t="str">
        <f t="shared" si="25"/>
        <v/>
      </c>
      <c r="O280" s="97" t="str">
        <f t="shared" si="24"/>
        <v/>
      </c>
      <c r="P280" s="97" t="str">
        <f t="shared" si="26"/>
        <v/>
      </c>
      <c r="Q280" s="97" t="str">
        <f t="shared" si="27"/>
        <v/>
      </c>
      <c r="R280" s="97" t="str">
        <f t="shared" si="28"/>
        <v/>
      </c>
      <c r="S280" s="97" t="str">
        <f t="shared" si="29"/>
        <v/>
      </c>
    </row>
    <row r="281" spans="1:19">
      <c r="A281" s="128"/>
      <c r="B281" s="129"/>
      <c r="C281" s="125"/>
      <c r="D281" s="125"/>
      <c r="E281" s="125"/>
      <c r="F281" s="125"/>
      <c r="G281" s="126"/>
      <c r="H281" s="127"/>
      <c r="I281" s="118"/>
      <c r="J281" s="119"/>
      <c r="K281" s="119"/>
      <c r="L281" s="119"/>
      <c r="M281" s="119"/>
      <c r="N281" s="117" t="str">
        <f t="shared" si="25"/>
        <v/>
      </c>
      <c r="O281" s="97" t="str">
        <f t="shared" si="24"/>
        <v/>
      </c>
      <c r="P281" s="97" t="str">
        <f t="shared" si="26"/>
        <v/>
      </c>
      <c r="Q281" s="97" t="str">
        <f t="shared" si="27"/>
        <v/>
      </c>
      <c r="R281" s="97" t="str">
        <f t="shared" si="28"/>
        <v/>
      </c>
      <c r="S281" s="97" t="str">
        <f t="shared" si="29"/>
        <v/>
      </c>
    </row>
    <row r="282" spans="1:19">
      <c r="A282" s="128"/>
      <c r="B282" s="129"/>
      <c r="C282" s="125"/>
      <c r="D282" s="125"/>
      <c r="E282" s="125"/>
      <c r="F282" s="125"/>
      <c r="G282" s="126"/>
      <c r="H282" s="127"/>
      <c r="I282" s="118"/>
      <c r="J282" s="119"/>
      <c r="K282" s="119"/>
      <c r="L282" s="119"/>
      <c r="M282" s="119"/>
      <c r="N282" s="117" t="str">
        <f t="shared" si="25"/>
        <v/>
      </c>
      <c r="O282" s="97" t="str">
        <f t="shared" si="24"/>
        <v/>
      </c>
      <c r="P282" s="97" t="str">
        <f t="shared" si="26"/>
        <v/>
      </c>
      <c r="Q282" s="97" t="str">
        <f t="shared" si="27"/>
        <v/>
      </c>
      <c r="R282" s="97" t="str">
        <f t="shared" si="28"/>
        <v/>
      </c>
      <c r="S282" s="97" t="str">
        <f t="shared" si="29"/>
        <v/>
      </c>
    </row>
    <row r="283" spans="1:19">
      <c r="A283" s="128"/>
      <c r="B283" s="129"/>
      <c r="C283" s="125"/>
      <c r="D283" s="125"/>
      <c r="E283" s="125"/>
      <c r="F283" s="125"/>
      <c r="G283" s="126"/>
      <c r="H283" s="127"/>
      <c r="I283" s="118"/>
      <c r="J283" s="119"/>
      <c r="K283" s="119"/>
      <c r="L283" s="119"/>
      <c r="M283" s="119"/>
      <c r="N283" s="117" t="str">
        <f t="shared" si="25"/>
        <v/>
      </c>
      <c r="O283" s="97" t="str">
        <f t="shared" si="24"/>
        <v/>
      </c>
      <c r="P283" s="97" t="str">
        <f t="shared" si="26"/>
        <v/>
      </c>
      <c r="Q283" s="97" t="str">
        <f t="shared" si="27"/>
        <v/>
      </c>
      <c r="R283" s="97" t="str">
        <f t="shared" si="28"/>
        <v/>
      </c>
      <c r="S283" s="97" t="str">
        <f t="shared" si="29"/>
        <v/>
      </c>
    </row>
    <row r="284" spans="1:19">
      <c r="A284" s="128"/>
      <c r="B284" s="129"/>
      <c r="C284" s="125"/>
      <c r="D284" s="125"/>
      <c r="E284" s="125"/>
      <c r="F284" s="125"/>
      <c r="G284" s="126"/>
      <c r="H284" s="127"/>
      <c r="I284" s="118"/>
      <c r="J284" s="119"/>
      <c r="K284" s="119"/>
      <c r="L284" s="119"/>
      <c r="M284" s="119"/>
      <c r="N284" s="117" t="str">
        <f t="shared" si="25"/>
        <v/>
      </c>
      <c r="O284" s="97" t="str">
        <f t="shared" si="24"/>
        <v/>
      </c>
      <c r="P284" s="97" t="str">
        <f t="shared" si="26"/>
        <v/>
      </c>
      <c r="Q284" s="97" t="str">
        <f t="shared" si="27"/>
        <v/>
      </c>
      <c r="R284" s="97" t="str">
        <f t="shared" si="28"/>
        <v/>
      </c>
      <c r="S284" s="97" t="str">
        <f t="shared" si="29"/>
        <v/>
      </c>
    </row>
    <row r="285" spans="1:19">
      <c r="A285" s="128"/>
      <c r="B285" s="129"/>
      <c r="C285" s="125"/>
      <c r="D285" s="125"/>
      <c r="E285" s="125"/>
      <c r="F285" s="125"/>
      <c r="G285" s="126"/>
      <c r="H285" s="127"/>
      <c r="I285" s="118"/>
      <c r="J285" s="119"/>
      <c r="K285" s="119"/>
      <c r="L285" s="119"/>
      <c r="M285" s="119"/>
      <c r="N285" s="117" t="str">
        <f t="shared" si="25"/>
        <v/>
      </c>
      <c r="O285" s="97" t="str">
        <f t="shared" si="24"/>
        <v/>
      </c>
      <c r="P285" s="97" t="str">
        <f t="shared" si="26"/>
        <v/>
      </c>
      <c r="Q285" s="97" t="str">
        <f t="shared" si="27"/>
        <v/>
      </c>
      <c r="R285" s="97" t="str">
        <f t="shared" si="28"/>
        <v/>
      </c>
      <c r="S285" s="97" t="str">
        <f t="shared" si="29"/>
        <v/>
      </c>
    </row>
    <row r="286" spans="1:19">
      <c r="A286" s="128"/>
      <c r="B286" s="129"/>
      <c r="C286" s="125"/>
      <c r="D286" s="125"/>
      <c r="E286" s="125"/>
      <c r="F286" s="125"/>
      <c r="G286" s="126"/>
      <c r="H286" s="127"/>
      <c r="I286" s="118"/>
      <c r="J286" s="119"/>
      <c r="K286" s="119"/>
      <c r="L286" s="119"/>
      <c r="M286" s="119"/>
      <c r="N286" s="117" t="str">
        <f t="shared" si="25"/>
        <v/>
      </c>
      <c r="O286" s="97" t="str">
        <f t="shared" si="24"/>
        <v/>
      </c>
      <c r="P286" s="97" t="str">
        <f t="shared" si="26"/>
        <v/>
      </c>
      <c r="Q286" s="97" t="str">
        <f t="shared" si="27"/>
        <v/>
      </c>
      <c r="R286" s="97" t="str">
        <f t="shared" si="28"/>
        <v/>
      </c>
      <c r="S286" s="97" t="str">
        <f t="shared" si="29"/>
        <v/>
      </c>
    </row>
    <row r="287" spans="1:19">
      <c r="A287" s="128"/>
      <c r="B287" s="129"/>
      <c r="C287" s="125"/>
      <c r="D287" s="125"/>
      <c r="E287" s="125"/>
      <c r="F287" s="125"/>
      <c r="G287" s="126"/>
      <c r="H287" s="127"/>
      <c r="I287" s="118"/>
      <c r="J287" s="119"/>
      <c r="K287" s="119"/>
      <c r="L287" s="119"/>
      <c r="M287" s="119"/>
      <c r="N287" s="117" t="str">
        <f t="shared" si="25"/>
        <v/>
      </c>
      <c r="O287" s="97" t="str">
        <f t="shared" si="24"/>
        <v/>
      </c>
      <c r="P287" s="97" t="str">
        <f t="shared" si="26"/>
        <v/>
      </c>
      <c r="Q287" s="97" t="str">
        <f t="shared" si="27"/>
        <v/>
      </c>
      <c r="R287" s="97" t="str">
        <f t="shared" si="28"/>
        <v/>
      </c>
      <c r="S287" s="97" t="str">
        <f t="shared" si="29"/>
        <v/>
      </c>
    </row>
    <row r="288" spans="1:19">
      <c r="A288" s="128"/>
      <c r="B288" s="129"/>
      <c r="C288" s="125"/>
      <c r="D288" s="125"/>
      <c r="E288" s="125"/>
      <c r="F288" s="125"/>
      <c r="G288" s="126"/>
      <c r="H288" s="127"/>
      <c r="I288" s="118"/>
      <c r="J288" s="119"/>
      <c r="K288" s="119"/>
      <c r="L288" s="119"/>
      <c r="M288" s="119"/>
      <c r="N288" s="117" t="str">
        <f t="shared" si="25"/>
        <v/>
      </c>
      <c r="O288" s="97" t="str">
        <f t="shared" si="24"/>
        <v/>
      </c>
      <c r="P288" s="97" t="str">
        <f t="shared" si="26"/>
        <v/>
      </c>
      <c r="Q288" s="97" t="str">
        <f t="shared" si="27"/>
        <v/>
      </c>
      <c r="R288" s="97" t="str">
        <f t="shared" si="28"/>
        <v/>
      </c>
      <c r="S288" s="97" t="str">
        <f t="shared" si="29"/>
        <v/>
      </c>
    </row>
    <row r="289" spans="1:19">
      <c r="A289" s="128"/>
      <c r="B289" s="129"/>
      <c r="C289" s="125"/>
      <c r="D289" s="125"/>
      <c r="E289" s="125"/>
      <c r="F289" s="125"/>
      <c r="G289" s="126"/>
      <c r="H289" s="127"/>
      <c r="I289" s="118"/>
      <c r="J289" s="119"/>
      <c r="K289" s="119"/>
      <c r="L289" s="119"/>
      <c r="M289" s="119"/>
      <c r="N289" s="117" t="str">
        <f t="shared" si="25"/>
        <v/>
      </c>
      <c r="O289" s="97" t="str">
        <f t="shared" si="24"/>
        <v/>
      </c>
      <c r="P289" s="97" t="str">
        <f t="shared" si="26"/>
        <v/>
      </c>
      <c r="Q289" s="97" t="str">
        <f t="shared" si="27"/>
        <v/>
      </c>
      <c r="R289" s="97" t="str">
        <f t="shared" si="28"/>
        <v/>
      </c>
      <c r="S289" s="97" t="str">
        <f t="shared" si="29"/>
        <v/>
      </c>
    </row>
    <row r="290" spans="1:19">
      <c r="A290" s="128"/>
      <c r="B290" s="129"/>
      <c r="C290" s="125"/>
      <c r="D290" s="125"/>
      <c r="E290" s="125"/>
      <c r="F290" s="125"/>
      <c r="G290" s="126"/>
      <c r="H290" s="127"/>
      <c r="I290" s="118"/>
      <c r="J290" s="119"/>
      <c r="K290" s="119"/>
      <c r="L290" s="119"/>
      <c r="M290" s="119"/>
      <c r="N290" s="117" t="str">
        <f t="shared" si="25"/>
        <v/>
      </c>
      <c r="O290" s="97" t="str">
        <f t="shared" si="24"/>
        <v/>
      </c>
      <c r="P290" s="97" t="str">
        <f t="shared" si="26"/>
        <v/>
      </c>
      <c r="Q290" s="97" t="str">
        <f t="shared" si="27"/>
        <v/>
      </c>
      <c r="R290" s="97" t="str">
        <f t="shared" si="28"/>
        <v/>
      </c>
      <c r="S290" s="97" t="str">
        <f t="shared" si="29"/>
        <v/>
      </c>
    </row>
    <row r="291" spans="1:19">
      <c r="A291" s="128"/>
      <c r="B291" s="129"/>
      <c r="C291" s="125"/>
      <c r="D291" s="125"/>
      <c r="E291" s="125"/>
      <c r="F291" s="125"/>
      <c r="G291" s="126"/>
      <c r="H291" s="127"/>
      <c r="I291" s="118"/>
      <c r="J291" s="119"/>
      <c r="K291" s="119"/>
      <c r="L291" s="119"/>
      <c r="M291" s="119"/>
      <c r="N291" s="117" t="str">
        <f t="shared" si="25"/>
        <v/>
      </c>
      <c r="O291" s="97" t="str">
        <f t="shared" si="24"/>
        <v/>
      </c>
      <c r="P291" s="97" t="str">
        <f t="shared" si="26"/>
        <v/>
      </c>
      <c r="Q291" s="97" t="str">
        <f t="shared" si="27"/>
        <v/>
      </c>
      <c r="R291" s="97" t="str">
        <f t="shared" si="28"/>
        <v/>
      </c>
      <c r="S291" s="97" t="str">
        <f t="shared" si="29"/>
        <v/>
      </c>
    </row>
    <row r="292" spans="1:19">
      <c r="A292" s="128"/>
      <c r="B292" s="129"/>
      <c r="C292" s="125"/>
      <c r="D292" s="125"/>
      <c r="E292" s="125"/>
      <c r="F292" s="125"/>
      <c r="G292" s="126"/>
      <c r="H292" s="127"/>
      <c r="I292" s="118"/>
      <c r="J292" s="119"/>
      <c r="K292" s="119"/>
      <c r="L292" s="119"/>
      <c r="M292" s="119"/>
      <c r="N292" s="117" t="str">
        <f t="shared" si="25"/>
        <v/>
      </c>
      <c r="O292" s="97" t="str">
        <f t="shared" si="24"/>
        <v/>
      </c>
      <c r="P292" s="97" t="str">
        <f t="shared" si="26"/>
        <v/>
      </c>
      <c r="Q292" s="97" t="str">
        <f t="shared" si="27"/>
        <v/>
      </c>
      <c r="R292" s="97" t="str">
        <f t="shared" si="28"/>
        <v/>
      </c>
      <c r="S292" s="97" t="str">
        <f t="shared" si="29"/>
        <v/>
      </c>
    </row>
    <row r="293" spans="1:19">
      <c r="A293" s="128"/>
      <c r="B293" s="129"/>
      <c r="C293" s="125"/>
      <c r="D293" s="125"/>
      <c r="E293" s="125"/>
      <c r="F293" s="125"/>
      <c r="G293" s="126"/>
      <c r="H293" s="127"/>
      <c r="I293" s="118"/>
      <c r="J293" s="119"/>
      <c r="K293" s="119"/>
      <c r="L293" s="119"/>
      <c r="M293" s="119"/>
      <c r="N293" s="117" t="str">
        <f t="shared" si="25"/>
        <v/>
      </c>
      <c r="O293" s="97" t="str">
        <f t="shared" si="24"/>
        <v/>
      </c>
      <c r="P293" s="97" t="str">
        <f t="shared" si="26"/>
        <v/>
      </c>
      <c r="Q293" s="97" t="str">
        <f t="shared" si="27"/>
        <v/>
      </c>
      <c r="R293" s="97" t="str">
        <f t="shared" si="28"/>
        <v/>
      </c>
      <c r="S293" s="97" t="str">
        <f t="shared" si="29"/>
        <v/>
      </c>
    </row>
    <row r="294" spans="1:19">
      <c r="A294" s="128"/>
      <c r="B294" s="129"/>
      <c r="C294" s="125"/>
      <c r="D294" s="125"/>
      <c r="E294" s="125"/>
      <c r="F294" s="125"/>
      <c r="G294" s="126"/>
      <c r="H294" s="127"/>
      <c r="I294" s="118"/>
      <c r="J294" s="119"/>
      <c r="K294" s="119"/>
      <c r="L294" s="119"/>
      <c r="M294" s="119"/>
      <c r="N294" s="117" t="str">
        <f t="shared" si="25"/>
        <v/>
      </c>
      <c r="O294" s="97" t="str">
        <f t="shared" si="24"/>
        <v/>
      </c>
      <c r="P294" s="97" t="str">
        <f t="shared" si="26"/>
        <v/>
      </c>
      <c r="Q294" s="97" t="str">
        <f t="shared" si="27"/>
        <v/>
      </c>
      <c r="R294" s="97" t="str">
        <f t="shared" si="28"/>
        <v/>
      </c>
      <c r="S294" s="97" t="str">
        <f t="shared" si="29"/>
        <v/>
      </c>
    </row>
    <row r="295" spans="1:19">
      <c r="A295" s="128"/>
      <c r="B295" s="129"/>
      <c r="C295" s="125"/>
      <c r="D295" s="125"/>
      <c r="E295" s="125"/>
      <c r="F295" s="125"/>
      <c r="G295" s="126"/>
      <c r="H295" s="127"/>
      <c r="I295" s="118"/>
      <c r="J295" s="119"/>
      <c r="K295" s="119"/>
      <c r="L295" s="119"/>
      <c r="M295" s="119"/>
      <c r="N295" s="117" t="str">
        <f t="shared" si="25"/>
        <v/>
      </c>
      <c r="O295" s="97" t="str">
        <f t="shared" si="24"/>
        <v/>
      </c>
      <c r="P295" s="97" t="str">
        <f t="shared" si="26"/>
        <v/>
      </c>
      <c r="Q295" s="97" t="str">
        <f t="shared" si="27"/>
        <v/>
      </c>
      <c r="R295" s="97" t="str">
        <f t="shared" si="28"/>
        <v/>
      </c>
      <c r="S295" s="97" t="str">
        <f t="shared" si="29"/>
        <v/>
      </c>
    </row>
    <row r="296" spans="1:19">
      <c r="A296" s="128"/>
      <c r="B296" s="129"/>
      <c r="C296" s="125"/>
      <c r="D296" s="125"/>
      <c r="E296" s="125"/>
      <c r="F296" s="125"/>
      <c r="G296" s="126"/>
      <c r="H296" s="127"/>
      <c r="I296" s="118"/>
      <c r="J296" s="119"/>
      <c r="K296" s="119"/>
      <c r="L296" s="119"/>
      <c r="M296" s="119"/>
      <c r="N296" s="117" t="str">
        <f t="shared" si="25"/>
        <v/>
      </c>
      <c r="O296" s="97" t="str">
        <f t="shared" si="24"/>
        <v/>
      </c>
      <c r="P296" s="97" t="str">
        <f t="shared" si="26"/>
        <v/>
      </c>
      <c r="Q296" s="97" t="str">
        <f t="shared" si="27"/>
        <v/>
      </c>
      <c r="R296" s="97" t="str">
        <f t="shared" si="28"/>
        <v/>
      </c>
      <c r="S296" s="97" t="str">
        <f t="shared" si="29"/>
        <v/>
      </c>
    </row>
    <row r="297" spans="1:19">
      <c r="A297" s="128"/>
      <c r="B297" s="129"/>
      <c r="C297" s="125"/>
      <c r="D297" s="125"/>
      <c r="E297" s="125"/>
      <c r="F297" s="125"/>
      <c r="G297" s="126"/>
      <c r="H297" s="127"/>
      <c r="I297" s="118"/>
      <c r="J297" s="119"/>
      <c r="K297" s="119"/>
      <c r="L297" s="119"/>
      <c r="M297" s="119"/>
      <c r="N297" s="117" t="str">
        <f t="shared" si="25"/>
        <v/>
      </c>
      <c r="O297" s="97" t="str">
        <f t="shared" si="24"/>
        <v/>
      </c>
      <c r="P297" s="97" t="str">
        <f t="shared" si="26"/>
        <v/>
      </c>
      <c r="Q297" s="97" t="str">
        <f t="shared" si="27"/>
        <v/>
      </c>
      <c r="R297" s="97" t="str">
        <f t="shared" si="28"/>
        <v/>
      </c>
      <c r="S297" s="97" t="str">
        <f t="shared" si="29"/>
        <v/>
      </c>
    </row>
    <row r="298" spans="1:19">
      <c r="A298" s="128"/>
      <c r="B298" s="129"/>
      <c r="C298" s="125"/>
      <c r="D298" s="125"/>
      <c r="E298" s="125"/>
      <c r="F298" s="125"/>
      <c r="G298" s="126"/>
      <c r="H298" s="127"/>
      <c r="I298" s="118"/>
      <c r="J298" s="119"/>
      <c r="K298" s="119"/>
      <c r="L298" s="119"/>
      <c r="M298" s="119"/>
      <c r="N298" s="117" t="str">
        <f t="shared" si="25"/>
        <v/>
      </c>
      <c r="O298" s="97" t="str">
        <f t="shared" si="24"/>
        <v/>
      </c>
      <c r="P298" s="97" t="str">
        <f t="shared" si="26"/>
        <v/>
      </c>
      <c r="Q298" s="97" t="str">
        <f t="shared" si="27"/>
        <v/>
      </c>
      <c r="R298" s="97" t="str">
        <f t="shared" si="28"/>
        <v/>
      </c>
      <c r="S298" s="97" t="str">
        <f t="shared" si="29"/>
        <v/>
      </c>
    </row>
    <row r="299" spans="1:19">
      <c r="A299" s="128"/>
      <c r="B299" s="129"/>
      <c r="C299" s="125"/>
      <c r="D299" s="125"/>
      <c r="E299" s="125"/>
      <c r="F299" s="125"/>
      <c r="G299" s="126"/>
      <c r="H299" s="127"/>
      <c r="I299" s="118"/>
      <c r="J299" s="119"/>
      <c r="K299" s="119"/>
      <c r="L299" s="119"/>
      <c r="M299" s="119"/>
      <c r="N299" s="117" t="str">
        <f t="shared" si="25"/>
        <v/>
      </c>
      <c r="O299" s="97" t="str">
        <f t="shared" si="24"/>
        <v/>
      </c>
      <c r="P299" s="97" t="str">
        <f t="shared" si="26"/>
        <v/>
      </c>
      <c r="Q299" s="97" t="str">
        <f t="shared" si="27"/>
        <v/>
      </c>
      <c r="R299" s="97" t="str">
        <f t="shared" si="28"/>
        <v/>
      </c>
      <c r="S299" s="97" t="str">
        <f t="shared" si="29"/>
        <v/>
      </c>
    </row>
    <row r="300" spans="1:19">
      <c r="A300" s="128"/>
      <c r="B300" s="129"/>
      <c r="C300" s="125"/>
      <c r="D300" s="125"/>
      <c r="E300" s="125"/>
      <c r="F300" s="125"/>
      <c r="G300" s="126"/>
      <c r="H300" s="127"/>
      <c r="I300" s="118"/>
      <c r="J300" s="119"/>
      <c r="K300" s="119"/>
      <c r="L300" s="119"/>
      <c r="M300" s="119"/>
      <c r="N300" s="117" t="str">
        <f t="shared" si="25"/>
        <v/>
      </c>
      <c r="O300" s="97" t="str">
        <f t="shared" si="24"/>
        <v/>
      </c>
      <c r="P300" s="97" t="str">
        <f t="shared" si="26"/>
        <v/>
      </c>
      <c r="Q300" s="97" t="str">
        <f t="shared" si="27"/>
        <v/>
      </c>
      <c r="R300" s="97" t="str">
        <f t="shared" si="28"/>
        <v/>
      </c>
      <c r="S300" s="97" t="str">
        <f t="shared" si="29"/>
        <v/>
      </c>
    </row>
    <row r="301" spans="1:19">
      <c r="A301" s="128"/>
      <c r="B301" s="129"/>
      <c r="C301" s="125"/>
      <c r="D301" s="125"/>
      <c r="E301" s="125"/>
      <c r="F301" s="125"/>
      <c r="G301" s="126"/>
      <c r="H301" s="127"/>
      <c r="I301" s="118"/>
      <c r="J301" s="119"/>
      <c r="K301" s="119"/>
      <c r="L301" s="119"/>
      <c r="M301" s="119"/>
      <c r="N301" s="117" t="str">
        <f t="shared" si="25"/>
        <v/>
      </c>
      <c r="O301" s="97" t="str">
        <f t="shared" si="24"/>
        <v/>
      </c>
      <c r="P301" s="97" t="str">
        <f t="shared" si="26"/>
        <v/>
      </c>
      <c r="Q301" s="97" t="str">
        <f t="shared" si="27"/>
        <v/>
      </c>
      <c r="R301" s="97" t="str">
        <f t="shared" si="28"/>
        <v/>
      </c>
      <c r="S301" s="97" t="str">
        <f t="shared" si="29"/>
        <v/>
      </c>
    </row>
    <row r="302" spans="1:19">
      <c r="A302" s="128"/>
      <c r="B302" s="129"/>
      <c r="C302" s="125"/>
      <c r="D302" s="125"/>
      <c r="E302" s="125"/>
      <c r="F302" s="125"/>
      <c r="G302" s="126"/>
      <c r="H302" s="127"/>
      <c r="I302" s="118"/>
      <c r="J302" s="119"/>
      <c r="K302" s="119"/>
      <c r="L302" s="119"/>
      <c r="M302" s="119"/>
      <c r="N302" s="117" t="str">
        <f t="shared" si="25"/>
        <v/>
      </c>
      <c r="O302" s="97" t="str">
        <f t="shared" si="24"/>
        <v/>
      </c>
      <c r="P302" s="97" t="str">
        <f t="shared" si="26"/>
        <v/>
      </c>
      <c r="Q302" s="97" t="str">
        <f t="shared" si="27"/>
        <v/>
      </c>
      <c r="R302" s="97" t="str">
        <f t="shared" si="28"/>
        <v/>
      </c>
      <c r="S302" s="97" t="str">
        <f t="shared" si="29"/>
        <v/>
      </c>
    </row>
    <row r="303" spans="1:19">
      <c r="A303" s="128"/>
      <c r="B303" s="129"/>
      <c r="C303" s="125"/>
      <c r="D303" s="125"/>
      <c r="E303" s="125"/>
      <c r="F303" s="125"/>
      <c r="G303" s="126"/>
      <c r="H303" s="127"/>
      <c r="I303" s="118"/>
      <c r="J303" s="119"/>
      <c r="K303" s="119"/>
      <c r="L303" s="119"/>
      <c r="M303" s="119"/>
      <c r="N303" s="117" t="str">
        <f t="shared" si="25"/>
        <v/>
      </c>
      <c r="O303" s="97" t="str">
        <f t="shared" si="24"/>
        <v/>
      </c>
      <c r="P303" s="97" t="str">
        <f t="shared" si="26"/>
        <v/>
      </c>
      <c r="Q303" s="97" t="str">
        <f t="shared" si="27"/>
        <v/>
      </c>
      <c r="R303" s="97" t="str">
        <f t="shared" si="28"/>
        <v/>
      </c>
      <c r="S303" s="97" t="str">
        <f t="shared" si="29"/>
        <v/>
      </c>
    </row>
    <row r="304" spans="1:19">
      <c r="A304" s="128"/>
      <c r="B304" s="129"/>
      <c r="C304" s="125"/>
      <c r="D304" s="125"/>
      <c r="E304" s="125"/>
      <c r="F304" s="125"/>
      <c r="G304" s="126"/>
      <c r="H304" s="127"/>
      <c r="I304" s="118"/>
      <c r="J304" s="119"/>
      <c r="K304" s="119"/>
      <c r="L304" s="119"/>
      <c r="M304" s="119"/>
      <c r="N304" s="117" t="str">
        <f t="shared" si="25"/>
        <v/>
      </c>
      <c r="O304" s="97" t="str">
        <f t="shared" si="24"/>
        <v/>
      </c>
      <c r="P304" s="97" t="str">
        <f t="shared" si="26"/>
        <v/>
      </c>
      <c r="Q304" s="97" t="str">
        <f t="shared" si="27"/>
        <v/>
      </c>
      <c r="R304" s="97" t="str">
        <f t="shared" si="28"/>
        <v/>
      </c>
      <c r="S304" s="97" t="str">
        <f t="shared" si="29"/>
        <v/>
      </c>
    </row>
    <row r="305" spans="1:19">
      <c r="A305" s="128"/>
      <c r="B305" s="129"/>
      <c r="C305" s="125"/>
      <c r="D305" s="125"/>
      <c r="E305" s="125"/>
      <c r="F305" s="125"/>
      <c r="G305" s="126"/>
      <c r="H305" s="127"/>
      <c r="I305" s="118"/>
      <c r="J305" s="119"/>
      <c r="K305" s="119"/>
      <c r="L305" s="119"/>
      <c r="M305" s="119"/>
      <c r="N305" s="117" t="str">
        <f t="shared" si="25"/>
        <v/>
      </c>
      <c r="O305" s="97" t="str">
        <f t="shared" si="24"/>
        <v/>
      </c>
      <c r="P305" s="97" t="str">
        <f t="shared" si="26"/>
        <v/>
      </c>
      <c r="Q305" s="97" t="str">
        <f t="shared" si="27"/>
        <v/>
      </c>
      <c r="R305" s="97" t="str">
        <f t="shared" si="28"/>
        <v/>
      </c>
      <c r="S305" s="97" t="str">
        <f t="shared" si="29"/>
        <v/>
      </c>
    </row>
    <row r="306" spans="1:19">
      <c r="A306" s="128"/>
      <c r="B306" s="129"/>
      <c r="C306" s="125"/>
      <c r="D306" s="125"/>
      <c r="E306" s="125"/>
      <c r="F306" s="125"/>
      <c r="G306" s="126"/>
      <c r="H306" s="127"/>
      <c r="I306" s="118"/>
      <c r="J306" s="119"/>
      <c r="K306" s="119"/>
      <c r="L306" s="119"/>
      <c r="M306" s="119"/>
      <c r="N306" s="117" t="str">
        <f t="shared" si="25"/>
        <v/>
      </c>
      <c r="O306" s="97" t="str">
        <f t="shared" si="24"/>
        <v/>
      </c>
      <c r="P306" s="97" t="str">
        <f t="shared" si="26"/>
        <v/>
      </c>
      <c r="Q306" s="97" t="str">
        <f t="shared" si="27"/>
        <v/>
      </c>
      <c r="R306" s="97" t="str">
        <f t="shared" si="28"/>
        <v/>
      </c>
      <c r="S306" s="97" t="str">
        <f t="shared" si="29"/>
        <v/>
      </c>
    </row>
    <row r="307" spans="1:19">
      <c r="A307" s="128"/>
      <c r="B307" s="129"/>
      <c r="C307" s="125"/>
      <c r="D307" s="125"/>
      <c r="E307" s="125"/>
      <c r="F307" s="125"/>
      <c r="G307" s="126"/>
      <c r="H307" s="127"/>
      <c r="I307" s="118"/>
      <c r="J307" s="119"/>
      <c r="K307" s="119"/>
      <c r="L307" s="119"/>
      <c r="M307" s="119"/>
      <c r="N307" s="117" t="str">
        <f t="shared" si="25"/>
        <v/>
      </c>
      <c r="O307" s="97" t="str">
        <f t="shared" si="24"/>
        <v/>
      </c>
      <c r="P307" s="97" t="str">
        <f t="shared" si="26"/>
        <v/>
      </c>
      <c r="Q307" s="97" t="str">
        <f t="shared" si="27"/>
        <v/>
      </c>
      <c r="R307" s="97" t="str">
        <f t="shared" si="28"/>
        <v/>
      </c>
      <c r="S307" s="97" t="str">
        <f t="shared" si="29"/>
        <v/>
      </c>
    </row>
    <row r="308" spans="1:19">
      <c r="A308" s="128"/>
      <c r="B308" s="129"/>
      <c r="C308" s="125"/>
      <c r="D308" s="125"/>
      <c r="E308" s="125"/>
      <c r="F308" s="125"/>
      <c r="G308" s="126"/>
      <c r="H308" s="127"/>
      <c r="I308" s="118"/>
      <c r="J308" s="119"/>
      <c r="K308" s="119"/>
      <c r="L308" s="119"/>
      <c r="M308" s="119"/>
      <c r="N308" s="117" t="str">
        <f t="shared" si="25"/>
        <v/>
      </c>
      <c r="O308" s="97" t="str">
        <f t="shared" si="24"/>
        <v/>
      </c>
      <c r="P308" s="97" t="str">
        <f t="shared" si="26"/>
        <v/>
      </c>
      <c r="Q308" s="97" t="str">
        <f t="shared" si="27"/>
        <v/>
      </c>
      <c r="R308" s="97" t="str">
        <f t="shared" si="28"/>
        <v/>
      </c>
      <c r="S308" s="97" t="str">
        <f t="shared" si="29"/>
        <v/>
      </c>
    </row>
    <row r="309" spans="1:19">
      <c r="A309" s="128"/>
      <c r="B309" s="129"/>
      <c r="C309" s="125"/>
      <c r="D309" s="125"/>
      <c r="E309" s="125"/>
      <c r="F309" s="125"/>
      <c r="G309" s="126"/>
      <c r="H309" s="127"/>
      <c r="I309" s="118"/>
      <c r="J309" s="119"/>
      <c r="K309" s="119"/>
      <c r="L309" s="119"/>
      <c r="M309" s="119"/>
      <c r="N309" s="117" t="str">
        <f t="shared" si="25"/>
        <v/>
      </c>
      <c r="O309" s="97" t="str">
        <f t="shared" si="24"/>
        <v/>
      </c>
      <c r="P309" s="97" t="str">
        <f t="shared" si="26"/>
        <v/>
      </c>
      <c r="Q309" s="97" t="str">
        <f t="shared" si="27"/>
        <v/>
      </c>
      <c r="R309" s="97" t="str">
        <f t="shared" si="28"/>
        <v/>
      </c>
      <c r="S309" s="97" t="str">
        <f t="shared" si="29"/>
        <v/>
      </c>
    </row>
    <row r="310" spans="1:19">
      <c r="A310" s="128"/>
      <c r="B310" s="129"/>
      <c r="C310" s="125"/>
      <c r="D310" s="125"/>
      <c r="E310" s="125"/>
      <c r="F310" s="125"/>
      <c r="G310" s="126"/>
      <c r="H310" s="127"/>
      <c r="I310" s="118"/>
      <c r="J310" s="119"/>
      <c r="K310" s="119"/>
      <c r="L310" s="119"/>
      <c r="M310" s="119"/>
      <c r="N310" s="117" t="str">
        <f t="shared" si="25"/>
        <v/>
      </c>
      <c r="O310" s="97" t="str">
        <f t="shared" si="24"/>
        <v/>
      </c>
      <c r="P310" s="97" t="str">
        <f t="shared" si="26"/>
        <v/>
      </c>
      <c r="Q310" s="97" t="str">
        <f t="shared" si="27"/>
        <v/>
      </c>
      <c r="R310" s="97" t="str">
        <f t="shared" si="28"/>
        <v/>
      </c>
      <c r="S310" s="97" t="str">
        <f t="shared" si="29"/>
        <v/>
      </c>
    </row>
    <row r="311" spans="1:19">
      <c r="A311" s="128"/>
      <c r="B311" s="129"/>
      <c r="C311" s="125"/>
      <c r="D311" s="125"/>
      <c r="E311" s="125"/>
      <c r="F311" s="125"/>
      <c r="G311" s="126"/>
      <c r="H311" s="127"/>
      <c r="I311" s="118"/>
      <c r="J311" s="119"/>
      <c r="K311" s="119"/>
      <c r="L311" s="119"/>
      <c r="M311" s="119"/>
      <c r="N311" s="117" t="str">
        <f t="shared" si="25"/>
        <v/>
      </c>
      <c r="O311" s="97" t="str">
        <f t="shared" si="24"/>
        <v/>
      </c>
      <c r="P311" s="97" t="str">
        <f t="shared" si="26"/>
        <v/>
      </c>
      <c r="Q311" s="97" t="str">
        <f t="shared" si="27"/>
        <v/>
      </c>
      <c r="R311" s="97" t="str">
        <f t="shared" si="28"/>
        <v/>
      </c>
      <c r="S311" s="97" t="str">
        <f t="shared" si="29"/>
        <v/>
      </c>
    </row>
    <row r="312" spans="1:19">
      <c r="A312" s="128"/>
      <c r="B312" s="129"/>
      <c r="C312" s="125"/>
      <c r="D312" s="125"/>
      <c r="E312" s="125"/>
      <c r="F312" s="125"/>
      <c r="G312" s="126"/>
      <c r="H312" s="127"/>
      <c r="I312" s="118"/>
      <c r="J312" s="119"/>
      <c r="K312" s="119"/>
      <c r="L312" s="119"/>
      <c r="M312" s="119"/>
      <c r="N312" s="117" t="str">
        <f t="shared" si="25"/>
        <v/>
      </c>
      <c r="O312" s="97" t="str">
        <f t="shared" si="24"/>
        <v/>
      </c>
      <c r="P312" s="97" t="str">
        <f t="shared" si="26"/>
        <v/>
      </c>
      <c r="Q312" s="97" t="str">
        <f t="shared" si="27"/>
        <v/>
      </c>
      <c r="R312" s="97" t="str">
        <f t="shared" si="28"/>
        <v/>
      </c>
      <c r="S312" s="97" t="str">
        <f t="shared" si="29"/>
        <v/>
      </c>
    </row>
    <row r="313" spans="1:19">
      <c r="A313" s="128"/>
      <c r="B313" s="129"/>
      <c r="C313" s="125"/>
      <c r="D313" s="125"/>
      <c r="E313" s="125"/>
      <c r="F313" s="125"/>
      <c r="G313" s="126"/>
      <c r="H313" s="127"/>
      <c r="I313" s="118"/>
      <c r="J313" s="119"/>
      <c r="K313" s="119"/>
      <c r="L313" s="119"/>
      <c r="M313" s="119"/>
      <c r="N313" s="117" t="str">
        <f t="shared" si="25"/>
        <v/>
      </c>
      <c r="O313" s="97" t="str">
        <f t="shared" si="24"/>
        <v/>
      </c>
      <c r="P313" s="97" t="str">
        <f t="shared" si="26"/>
        <v/>
      </c>
      <c r="Q313" s="97" t="str">
        <f t="shared" si="27"/>
        <v/>
      </c>
      <c r="R313" s="97" t="str">
        <f t="shared" si="28"/>
        <v/>
      </c>
      <c r="S313" s="97" t="str">
        <f t="shared" si="29"/>
        <v/>
      </c>
    </row>
    <row r="314" spans="1:19">
      <c r="A314" s="128"/>
      <c r="B314" s="129"/>
      <c r="C314" s="125"/>
      <c r="D314" s="125"/>
      <c r="E314" s="125"/>
      <c r="F314" s="125"/>
      <c r="G314" s="126"/>
      <c r="H314" s="127"/>
      <c r="I314" s="118"/>
      <c r="J314" s="119"/>
      <c r="K314" s="119"/>
      <c r="L314" s="119"/>
      <c r="M314" s="119"/>
      <c r="N314" s="117" t="str">
        <f t="shared" si="25"/>
        <v/>
      </c>
      <c r="O314" s="97" t="str">
        <f t="shared" si="24"/>
        <v/>
      </c>
      <c r="P314" s="97" t="str">
        <f t="shared" si="26"/>
        <v/>
      </c>
      <c r="Q314" s="97" t="str">
        <f t="shared" si="27"/>
        <v/>
      </c>
      <c r="R314" s="97" t="str">
        <f t="shared" si="28"/>
        <v/>
      </c>
      <c r="S314" s="97" t="str">
        <f t="shared" si="29"/>
        <v/>
      </c>
    </row>
    <row r="315" spans="1:19">
      <c r="A315" s="128"/>
      <c r="B315" s="129"/>
      <c r="C315" s="125"/>
      <c r="D315" s="125"/>
      <c r="E315" s="125"/>
      <c r="F315" s="125"/>
      <c r="G315" s="126"/>
      <c r="H315" s="127"/>
      <c r="I315" s="118"/>
      <c r="J315" s="119"/>
      <c r="K315" s="119"/>
      <c r="L315" s="119"/>
      <c r="M315" s="119"/>
      <c r="N315" s="117" t="str">
        <f t="shared" si="25"/>
        <v/>
      </c>
      <c r="O315" s="97" t="str">
        <f t="shared" si="24"/>
        <v/>
      </c>
      <c r="P315" s="97" t="str">
        <f t="shared" si="26"/>
        <v/>
      </c>
      <c r="Q315" s="97" t="str">
        <f t="shared" si="27"/>
        <v/>
      </c>
      <c r="R315" s="97" t="str">
        <f t="shared" si="28"/>
        <v/>
      </c>
      <c r="S315" s="97" t="str">
        <f t="shared" si="29"/>
        <v/>
      </c>
    </row>
    <row r="316" spans="1:19">
      <c r="A316" s="128"/>
      <c r="B316" s="129"/>
      <c r="C316" s="125"/>
      <c r="D316" s="125"/>
      <c r="E316" s="125"/>
      <c r="F316" s="125"/>
      <c r="G316" s="126"/>
      <c r="H316" s="127"/>
      <c r="I316" s="118"/>
      <c r="J316" s="119"/>
      <c r="K316" s="119"/>
      <c r="L316" s="119"/>
      <c r="M316" s="119"/>
      <c r="N316" s="117" t="str">
        <f t="shared" si="25"/>
        <v/>
      </c>
      <c r="O316" s="97" t="str">
        <f t="shared" si="24"/>
        <v/>
      </c>
      <c r="P316" s="97" t="str">
        <f t="shared" si="26"/>
        <v/>
      </c>
      <c r="Q316" s="97" t="str">
        <f t="shared" si="27"/>
        <v/>
      </c>
      <c r="R316" s="97" t="str">
        <f t="shared" si="28"/>
        <v/>
      </c>
      <c r="S316" s="97" t="str">
        <f t="shared" si="29"/>
        <v/>
      </c>
    </row>
    <row r="317" spans="1:19">
      <c r="A317" s="128"/>
      <c r="B317" s="129"/>
      <c r="C317" s="125"/>
      <c r="D317" s="125"/>
      <c r="E317" s="125"/>
      <c r="F317" s="125"/>
      <c r="G317" s="126"/>
      <c r="H317" s="127"/>
      <c r="I317" s="118"/>
      <c r="J317" s="119"/>
      <c r="K317" s="119"/>
      <c r="L317" s="119"/>
      <c r="M317" s="119"/>
      <c r="N317" s="117" t="str">
        <f t="shared" si="25"/>
        <v/>
      </c>
      <c r="O317" s="97" t="str">
        <f t="shared" si="24"/>
        <v/>
      </c>
      <c r="P317" s="97" t="str">
        <f t="shared" si="26"/>
        <v/>
      </c>
      <c r="Q317" s="97" t="str">
        <f t="shared" si="27"/>
        <v/>
      </c>
      <c r="R317" s="97" t="str">
        <f t="shared" si="28"/>
        <v/>
      </c>
      <c r="S317" s="97" t="str">
        <f t="shared" si="29"/>
        <v/>
      </c>
    </row>
    <row r="318" spans="1:19">
      <c r="A318" s="128"/>
      <c r="B318" s="129"/>
      <c r="C318" s="125"/>
      <c r="D318" s="125"/>
      <c r="E318" s="125"/>
      <c r="F318" s="125"/>
      <c r="G318" s="126"/>
      <c r="H318" s="127"/>
      <c r="I318" s="118"/>
      <c r="J318" s="119"/>
      <c r="K318" s="119"/>
      <c r="L318" s="119"/>
      <c r="M318" s="119"/>
      <c r="N318" s="117" t="str">
        <f t="shared" si="25"/>
        <v/>
      </c>
      <c r="O318" s="97" t="str">
        <f t="shared" si="24"/>
        <v/>
      </c>
      <c r="P318" s="97" t="str">
        <f t="shared" si="26"/>
        <v/>
      </c>
      <c r="Q318" s="97" t="str">
        <f t="shared" si="27"/>
        <v/>
      </c>
      <c r="R318" s="97" t="str">
        <f t="shared" si="28"/>
        <v/>
      </c>
      <c r="S318" s="97" t="str">
        <f t="shared" si="29"/>
        <v/>
      </c>
    </row>
    <row r="319" spans="1:19">
      <c r="A319" s="128"/>
      <c r="B319" s="129"/>
      <c r="C319" s="125"/>
      <c r="D319" s="125"/>
      <c r="E319" s="125"/>
      <c r="F319" s="125"/>
      <c r="G319" s="126"/>
      <c r="H319" s="127"/>
      <c r="I319" s="118"/>
      <c r="J319" s="119"/>
      <c r="K319" s="119"/>
      <c r="L319" s="119"/>
      <c r="M319" s="119"/>
      <c r="N319" s="117" t="str">
        <f t="shared" si="25"/>
        <v/>
      </c>
      <c r="O319" s="97" t="str">
        <f t="shared" si="24"/>
        <v/>
      </c>
      <c r="P319" s="97" t="str">
        <f t="shared" si="26"/>
        <v/>
      </c>
      <c r="Q319" s="97" t="str">
        <f t="shared" si="27"/>
        <v/>
      </c>
      <c r="R319" s="97" t="str">
        <f t="shared" si="28"/>
        <v/>
      </c>
      <c r="S319" s="97" t="str">
        <f t="shared" si="29"/>
        <v/>
      </c>
    </row>
    <row r="320" spans="1:19">
      <c r="A320" s="128"/>
      <c r="B320" s="129"/>
      <c r="C320" s="125"/>
      <c r="D320" s="125"/>
      <c r="E320" s="125"/>
      <c r="F320" s="125"/>
      <c r="G320" s="126"/>
      <c r="H320" s="127"/>
      <c r="I320" s="118"/>
      <c r="J320" s="119"/>
      <c r="K320" s="119"/>
      <c r="L320" s="119"/>
      <c r="M320" s="119"/>
      <c r="N320" s="117" t="str">
        <f t="shared" si="25"/>
        <v/>
      </c>
      <c r="O320" s="97" t="str">
        <f t="shared" si="24"/>
        <v/>
      </c>
      <c r="P320" s="97" t="str">
        <f t="shared" si="26"/>
        <v/>
      </c>
      <c r="Q320" s="97" t="str">
        <f t="shared" si="27"/>
        <v/>
      </c>
      <c r="R320" s="97" t="str">
        <f t="shared" si="28"/>
        <v/>
      </c>
      <c r="S320" s="97" t="str">
        <f t="shared" si="29"/>
        <v/>
      </c>
    </row>
    <row r="321" spans="1:19">
      <c r="A321" s="128"/>
      <c r="B321" s="129"/>
      <c r="C321" s="125"/>
      <c r="D321" s="125"/>
      <c r="E321" s="125"/>
      <c r="F321" s="125"/>
      <c r="G321" s="126"/>
      <c r="H321" s="127"/>
      <c r="I321" s="118"/>
      <c r="J321" s="119"/>
      <c r="K321" s="119"/>
      <c r="L321" s="119"/>
      <c r="M321" s="119"/>
      <c r="N321" s="117" t="str">
        <f t="shared" si="25"/>
        <v/>
      </c>
      <c r="O321" s="97" t="str">
        <f t="shared" si="24"/>
        <v/>
      </c>
      <c r="P321" s="97" t="str">
        <f t="shared" si="26"/>
        <v/>
      </c>
      <c r="Q321" s="97" t="str">
        <f t="shared" si="27"/>
        <v/>
      </c>
      <c r="R321" s="97" t="str">
        <f t="shared" si="28"/>
        <v/>
      </c>
      <c r="S321" s="97" t="str">
        <f t="shared" si="29"/>
        <v/>
      </c>
    </row>
    <row r="322" spans="1:19">
      <c r="A322" s="128"/>
      <c r="B322" s="129"/>
      <c r="C322" s="125"/>
      <c r="D322" s="125"/>
      <c r="E322" s="125"/>
      <c r="F322" s="125"/>
      <c r="G322" s="126"/>
      <c r="H322" s="127"/>
      <c r="I322" s="118"/>
      <c r="J322" s="119"/>
      <c r="K322" s="119"/>
      <c r="L322" s="119"/>
      <c r="M322" s="119"/>
      <c r="N322" s="117" t="str">
        <f t="shared" si="25"/>
        <v/>
      </c>
      <c r="O322" s="97" t="str">
        <f t="shared" si="24"/>
        <v/>
      </c>
      <c r="P322" s="97" t="str">
        <f t="shared" si="26"/>
        <v/>
      </c>
      <c r="Q322" s="97" t="str">
        <f t="shared" si="27"/>
        <v/>
      </c>
      <c r="R322" s="97" t="str">
        <f t="shared" si="28"/>
        <v/>
      </c>
      <c r="S322" s="97" t="str">
        <f t="shared" si="29"/>
        <v/>
      </c>
    </row>
    <row r="323" spans="1:19">
      <c r="A323" s="128"/>
      <c r="B323" s="129"/>
      <c r="C323" s="125"/>
      <c r="D323" s="125"/>
      <c r="E323" s="125"/>
      <c r="F323" s="125"/>
      <c r="G323" s="126"/>
      <c r="H323" s="127"/>
      <c r="I323" s="118"/>
      <c r="J323" s="119"/>
      <c r="K323" s="119"/>
      <c r="L323" s="119"/>
      <c r="M323" s="119"/>
      <c r="N323" s="117" t="str">
        <f t="shared" si="25"/>
        <v/>
      </c>
      <c r="O323" s="97" t="str">
        <f t="shared" si="24"/>
        <v/>
      </c>
      <c r="P323" s="97" t="str">
        <f t="shared" si="26"/>
        <v/>
      </c>
      <c r="Q323" s="97" t="str">
        <f t="shared" si="27"/>
        <v/>
      </c>
      <c r="R323" s="97" t="str">
        <f t="shared" si="28"/>
        <v/>
      </c>
      <c r="S323" s="97" t="str">
        <f t="shared" si="29"/>
        <v/>
      </c>
    </row>
    <row r="324" spans="1:19">
      <c r="A324" s="128"/>
      <c r="B324" s="129"/>
      <c r="C324" s="125"/>
      <c r="D324" s="125"/>
      <c r="E324" s="125"/>
      <c r="F324" s="125"/>
      <c r="G324" s="126"/>
      <c r="H324" s="127"/>
      <c r="I324" s="118"/>
      <c r="J324" s="119"/>
      <c r="K324" s="119"/>
      <c r="L324" s="119"/>
      <c r="M324" s="119"/>
      <c r="N324" s="117" t="str">
        <f t="shared" si="25"/>
        <v/>
      </c>
      <c r="O324" s="97" t="str">
        <f t="shared" si="24"/>
        <v/>
      </c>
      <c r="P324" s="97" t="str">
        <f t="shared" si="26"/>
        <v/>
      </c>
      <c r="Q324" s="97" t="str">
        <f t="shared" si="27"/>
        <v/>
      </c>
      <c r="R324" s="97" t="str">
        <f t="shared" si="28"/>
        <v/>
      </c>
      <c r="S324" s="97" t="str">
        <f t="shared" si="29"/>
        <v/>
      </c>
    </row>
    <row r="325" spans="1:19">
      <c r="A325" s="128"/>
      <c r="B325" s="129"/>
      <c r="C325" s="125"/>
      <c r="D325" s="125"/>
      <c r="E325" s="125"/>
      <c r="F325" s="125"/>
      <c r="G325" s="126"/>
      <c r="H325" s="127"/>
      <c r="I325" s="118"/>
      <c r="J325" s="119"/>
      <c r="K325" s="119"/>
      <c r="L325" s="119"/>
      <c r="M325" s="119"/>
      <c r="N325" s="117" t="str">
        <f t="shared" si="25"/>
        <v/>
      </c>
      <c r="O325" s="97" t="str">
        <f t="shared" si="24"/>
        <v/>
      </c>
      <c r="P325" s="97" t="str">
        <f t="shared" si="26"/>
        <v/>
      </c>
      <c r="Q325" s="97" t="str">
        <f t="shared" si="27"/>
        <v/>
      </c>
      <c r="R325" s="97" t="str">
        <f t="shared" si="28"/>
        <v/>
      </c>
      <c r="S325" s="97" t="str">
        <f t="shared" si="29"/>
        <v/>
      </c>
    </row>
    <row r="326" spans="1:19">
      <c r="A326" s="128"/>
      <c r="B326" s="129"/>
      <c r="C326" s="125"/>
      <c r="D326" s="125"/>
      <c r="E326" s="125"/>
      <c r="F326" s="125"/>
      <c r="G326" s="126"/>
      <c r="H326" s="127"/>
      <c r="I326" s="118"/>
      <c r="J326" s="119"/>
      <c r="K326" s="119"/>
      <c r="L326" s="119"/>
      <c r="M326" s="119"/>
      <c r="N326" s="117" t="str">
        <f t="shared" si="25"/>
        <v/>
      </c>
      <c r="O326" s="97" t="str">
        <f t="shared" ref="O326:O389" si="30">IF($C326="","",IF($B326="beginning",($I326*35.44),IF($B326="middle",($I326*8.86),IF($B326="end",($I326*8.86),""))))</f>
        <v/>
      </c>
      <c r="P326" s="97" t="str">
        <f t="shared" si="26"/>
        <v/>
      </c>
      <c r="Q326" s="97" t="str">
        <f t="shared" si="27"/>
        <v/>
      </c>
      <c r="R326" s="97" t="str">
        <f t="shared" si="28"/>
        <v/>
      </c>
      <c r="S326" s="97" t="str">
        <f t="shared" si="29"/>
        <v/>
      </c>
    </row>
    <row r="327" spans="1:19">
      <c r="A327" s="128"/>
      <c r="B327" s="129"/>
      <c r="C327" s="125"/>
      <c r="D327" s="125"/>
      <c r="E327" s="125"/>
      <c r="F327" s="125"/>
      <c r="G327" s="126"/>
      <c r="H327" s="127"/>
      <c r="I327" s="118"/>
      <c r="J327" s="119"/>
      <c r="K327" s="119"/>
      <c r="L327" s="119"/>
      <c r="M327" s="119"/>
      <c r="N327" s="117" t="str">
        <f t="shared" ref="N327:N390" si="31">IF($C327="","",IF(TRIM($B327)="beginning",(((SUM($O327:$S327)-729)/630)*40)+289,IF(TRIM($B327)="middle",(((SUM($O327:$S327)-729)/630)*40)+364,IF(TRIM($B327)="end",(((SUM($O327:$S327)-729)/630)*40)+398,""))))</f>
        <v/>
      </c>
      <c r="O327" s="97" t="str">
        <f t="shared" si="30"/>
        <v/>
      </c>
      <c r="P327" s="97" t="str">
        <f t="shared" ref="P327:P390" si="32">IF($C327="","",$J327*4.13)</f>
        <v/>
      </c>
      <c r="Q327" s="97" t="str">
        <f t="shared" ref="Q327:Q390" si="33">IF($C327="","",$K327*14.93)</f>
        <v/>
      </c>
      <c r="R327" s="97" t="str">
        <f t="shared" ref="R327:R390" si="34">IF($C327="","",$L327*3.56)</f>
        <v/>
      </c>
      <c r="S327" s="97" t="str">
        <f t="shared" ref="S327:S390" si="35">IF($C327="","",$M327*5.62)</f>
        <v/>
      </c>
    </row>
    <row r="328" spans="1:19">
      <c r="A328" s="128"/>
      <c r="B328" s="129"/>
      <c r="C328" s="125"/>
      <c r="D328" s="125"/>
      <c r="E328" s="125"/>
      <c r="F328" s="125"/>
      <c r="G328" s="126"/>
      <c r="H328" s="127"/>
      <c r="I328" s="118"/>
      <c r="J328" s="119"/>
      <c r="K328" s="119"/>
      <c r="L328" s="119"/>
      <c r="M328" s="119"/>
      <c r="N328" s="117" t="str">
        <f t="shared" si="31"/>
        <v/>
      </c>
      <c r="O328" s="97" t="str">
        <f t="shared" si="30"/>
        <v/>
      </c>
      <c r="P328" s="97" t="str">
        <f t="shared" si="32"/>
        <v/>
      </c>
      <c r="Q328" s="97" t="str">
        <f t="shared" si="33"/>
        <v/>
      </c>
      <c r="R328" s="97" t="str">
        <f t="shared" si="34"/>
        <v/>
      </c>
      <c r="S328" s="97" t="str">
        <f t="shared" si="35"/>
        <v/>
      </c>
    </row>
    <row r="329" spans="1:19">
      <c r="A329" s="128"/>
      <c r="B329" s="129"/>
      <c r="C329" s="125"/>
      <c r="D329" s="125"/>
      <c r="E329" s="125"/>
      <c r="F329" s="125"/>
      <c r="G329" s="126"/>
      <c r="H329" s="127"/>
      <c r="I329" s="118"/>
      <c r="J329" s="119"/>
      <c r="K329" s="119"/>
      <c r="L329" s="119"/>
      <c r="M329" s="119"/>
      <c r="N329" s="117" t="str">
        <f t="shared" si="31"/>
        <v/>
      </c>
      <c r="O329" s="97" t="str">
        <f t="shared" si="30"/>
        <v/>
      </c>
      <c r="P329" s="97" t="str">
        <f t="shared" si="32"/>
        <v/>
      </c>
      <c r="Q329" s="97" t="str">
        <f t="shared" si="33"/>
        <v/>
      </c>
      <c r="R329" s="97" t="str">
        <f t="shared" si="34"/>
        <v/>
      </c>
      <c r="S329" s="97" t="str">
        <f t="shared" si="35"/>
        <v/>
      </c>
    </row>
    <row r="330" spans="1:19">
      <c r="A330" s="128"/>
      <c r="B330" s="129"/>
      <c r="C330" s="125"/>
      <c r="D330" s="125"/>
      <c r="E330" s="125"/>
      <c r="F330" s="125"/>
      <c r="G330" s="126"/>
      <c r="H330" s="127"/>
      <c r="I330" s="118"/>
      <c r="J330" s="119"/>
      <c r="K330" s="119"/>
      <c r="L330" s="119"/>
      <c r="M330" s="119"/>
      <c r="N330" s="117" t="str">
        <f t="shared" si="31"/>
        <v/>
      </c>
      <c r="O330" s="97" t="str">
        <f t="shared" si="30"/>
        <v/>
      </c>
      <c r="P330" s="97" t="str">
        <f t="shared" si="32"/>
        <v/>
      </c>
      <c r="Q330" s="97" t="str">
        <f t="shared" si="33"/>
        <v/>
      </c>
      <c r="R330" s="97" t="str">
        <f t="shared" si="34"/>
        <v/>
      </c>
      <c r="S330" s="97" t="str">
        <f t="shared" si="35"/>
        <v/>
      </c>
    </row>
    <row r="331" spans="1:19">
      <c r="A331" s="128"/>
      <c r="B331" s="129"/>
      <c r="C331" s="125"/>
      <c r="D331" s="125"/>
      <c r="E331" s="125"/>
      <c r="F331" s="125"/>
      <c r="G331" s="126"/>
      <c r="H331" s="127"/>
      <c r="I331" s="118"/>
      <c r="J331" s="119"/>
      <c r="K331" s="119"/>
      <c r="L331" s="119"/>
      <c r="M331" s="119"/>
      <c r="N331" s="117" t="str">
        <f t="shared" si="31"/>
        <v/>
      </c>
      <c r="O331" s="97" t="str">
        <f t="shared" si="30"/>
        <v/>
      </c>
      <c r="P331" s="97" t="str">
        <f t="shared" si="32"/>
        <v/>
      </c>
      <c r="Q331" s="97" t="str">
        <f t="shared" si="33"/>
        <v/>
      </c>
      <c r="R331" s="97" t="str">
        <f t="shared" si="34"/>
        <v/>
      </c>
      <c r="S331" s="97" t="str">
        <f t="shared" si="35"/>
        <v/>
      </c>
    </row>
    <row r="332" spans="1:19">
      <c r="A332" s="128"/>
      <c r="B332" s="129"/>
      <c r="C332" s="125"/>
      <c r="D332" s="125"/>
      <c r="E332" s="125"/>
      <c r="F332" s="125"/>
      <c r="G332" s="126"/>
      <c r="H332" s="127"/>
      <c r="I332" s="118"/>
      <c r="J332" s="119"/>
      <c r="K332" s="119"/>
      <c r="L332" s="119"/>
      <c r="M332" s="119"/>
      <c r="N332" s="117" t="str">
        <f t="shared" si="31"/>
        <v/>
      </c>
      <c r="O332" s="97" t="str">
        <f t="shared" si="30"/>
        <v/>
      </c>
      <c r="P332" s="97" t="str">
        <f t="shared" si="32"/>
        <v/>
      </c>
      <c r="Q332" s="97" t="str">
        <f t="shared" si="33"/>
        <v/>
      </c>
      <c r="R332" s="97" t="str">
        <f t="shared" si="34"/>
        <v/>
      </c>
      <c r="S332" s="97" t="str">
        <f t="shared" si="35"/>
        <v/>
      </c>
    </row>
    <row r="333" spans="1:19">
      <c r="A333" s="128"/>
      <c r="B333" s="129"/>
      <c r="C333" s="125"/>
      <c r="D333" s="125"/>
      <c r="E333" s="125"/>
      <c r="F333" s="125"/>
      <c r="G333" s="126"/>
      <c r="H333" s="127"/>
      <c r="I333" s="118"/>
      <c r="J333" s="119"/>
      <c r="K333" s="119"/>
      <c r="L333" s="119"/>
      <c r="M333" s="119"/>
      <c r="N333" s="117" t="str">
        <f t="shared" si="31"/>
        <v/>
      </c>
      <c r="O333" s="97" t="str">
        <f t="shared" si="30"/>
        <v/>
      </c>
      <c r="P333" s="97" t="str">
        <f t="shared" si="32"/>
        <v/>
      </c>
      <c r="Q333" s="97" t="str">
        <f t="shared" si="33"/>
        <v/>
      </c>
      <c r="R333" s="97" t="str">
        <f t="shared" si="34"/>
        <v/>
      </c>
      <c r="S333" s="97" t="str">
        <f t="shared" si="35"/>
        <v/>
      </c>
    </row>
    <row r="334" spans="1:19">
      <c r="A334" s="128"/>
      <c r="B334" s="129"/>
      <c r="C334" s="125"/>
      <c r="D334" s="125"/>
      <c r="E334" s="125"/>
      <c r="F334" s="125"/>
      <c r="G334" s="126"/>
      <c r="H334" s="127"/>
      <c r="I334" s="118"/>
      <c r="J334" s="119"/>
      <c r="K334" s="119"/>
      <c r="L334" s="119"/>
      <c r="M334" s="119"/>
      <c r="N334" s="117" t="str">
        <f t="shared" si="31"/>
        <v/>
      </c>
      <c r="O334" s="97" t="str">
        <f t="shared" si="30"/>
        <v/>
      </c>
      <c r="P334" s="97" t="str">
        <f t="shared" si="32"/>
        <v/>
      </c>
      <c r="Q334" s="97" t="str">
        <f t="shared" si="33"/>
        <v/>
      </c>
      <c r="R334" s="97" t="str">
        <f t="shared" si="34"/>
        <v/>
      </c>
      <c r="S334" s="97" t="str">
        <f t="shared" si="35"/>
        <v/>
      </c>
    </row>
    <row r="335" spans="1:19">
      <c r="A335" s="128"/>
      <c r="B335" s="129"/>
      <c r="C335" s="125"/>
      <c r="D335" s="125"/>
      <c r="E335" s="125"/>
      <c r="F335" s="125"/>
      <c r="G335" s="126"/>
      <c r="H335" s="127"/>
      <c r="I335" s="118"/>
      <c r="J335" s="119"/>
      <c r="K335" s="119"/>
      <c r="L335" s="119"/>
      <c r="M335" s="119"/>
      <c r="N335" s="117" t="str">
        <f t="shared" si="31"/>
        <v/>
      </c>
      <c r="O335" s="97" t="str">
        <f t="shared" si="30"/>
        <v/>
      </c>
      <c r="P335" s="97" t="str">
        <f t="shared" si="32"/>
        <v/>
      </c>
      <c r="Q335" s="97" t="str">
        <f t="shared" si="33"/>
        <v/>
      </c>
      <c r="R335" s="97" t="str">
        <f t="shared" si="34"/>
        <v/>
      </c>
      <c r="S335" s="97" t="str">
        <f t="shared" si="35"/>
        <v/>
      </c>
    </row>
    <row r="336" spans="1:19">
      <c r="A336" s="128"/>
      <c r="B336" s="129"/>
      <c r="C336" s="125"/>
      <c r="D336" s="125"/>
      <c r="E336" s="125"/>
      <c r="F336" s="125"/>
      <c r="G336" s="126"/>
      <c r="H336" s="127"/>
      <c r="I336" s="118"/>
      <c r="J336" s="119"/>
      <c r="K336" s="119"/>
      <c r="L336" s="119"/>
      <c r="M336" s="119"/>
      <c r="N336" s="117" t="str">
        <f t="shared" si="31"/>
        <v/>
      </c>
      <c r="O336" s="97" t="str">
        <f t="shared" si="30"/>
        <v/>
      </c>
      <c r="P336" s="97" t="str">
        <f t="shared" si="32"/>
        <v/>
      </c>
      <c r="Q336" s="97" t="str">
        <f t="shared" si="33"/>
        <v/>
      </c>
      <c r="R336" s="97" t="str">
        <f t="shared" si="34"/>
        <v/>
      </c>
      <c r="S336" s="97" t="str">
        <f t="shared" si="35"/>
        <v/>
      </c>
    </row>
    <row r="337" spans="1:19">
      <c r="A337" s="128"/>
      <c r="B337" s="129"/>
      <c r="C337" s="125"/>
      <c r="D337" s="125"/>
      <c r="E337" s="125"/>
      <c r="F337" s="125"/>
      <c r="G337" s="126"/>
      <c r="H337" s="127"/>
      <c r="I337" s="118"/>
      <c r="J337" s="119"/>
      <c r="K337" s="119"/>
      <c r="L337" s="119"/>
      <c r="M337" s="119"/>
      <c r="N337" s="117" t="str">
        <f t="shared" si="31"/>
        <v/>
      </c>
      <c r="O337" s="97" t="str">
        <f t="shared" si="30"/>
        <v/>
      </c>
      <c r="P337" s="97" t="str">
        <f t="shared" si="32"/>
        <v/>
      </c>
      <c r="Q337" s="97" t="str">
        <f t="shared" si="33"/>
        <v/>
      </c>
      <c r="R337" s="97" t="str">
        <f t="shared" si="34"/>
        <v/>
      </c>
      <c r="S337" s="97" t="str">
        <f t="shared" si="35"/>
        <v/>
      </c>
    </row>
    <row r="338" spans="1:19">
      <c r="A338" s="128"/>
      <c r="B338" s="129"/>
      <c r="C338" s="125"/>
      <c r="D338" s="125"/>
      <c r="E338" s="125"/>
      <c r="F338" s="125"/>
      <c r="G338" s="126"/>
      <c r="H338" s="127"/>
      <c r="I338" s="118"/>
      <c r="J338" s="119"/>
      <c r="K338" s="119"/>
      <c r="L338" s="119"/>
      <c r="M338" s="119"/>
      <c r="N338" s="117" t="str">
        <f t="shared" si="31"/>
        <v/>
      </c>
      <c r="O338" s="97" t="str">
        <f t="shared" si="30"/>
        <v/>
      </c>
      <c r="P338" s="97" t="str">
        <f t="shared" si="32"/>
        <v/>
      </c>
      <c r="Q338" s="97" t="str">
        <f t="shared" si="33"/>
        <v/>
      </c>
      <c r="R338" s="97" t="str">
        <f t="shared" si="34"/>
        <v/>
      </c>
      <c r="S338" s="97" t="str">
        <f t="shared" si="35"/>
        <v/>
      </c>
    </row>
    <row r="339" spans="1:19">
      <c r="A339" s="128"/>
      <c r="B339" s="129"/>
      <c r="C339" s="125"/>
      <c r="D339" s="125"/>
      <c r="E339" s="125"/>
      <c r="F339" s="125"/>
      <c r="G339" s="126"/>
      <c r="H339" s="127"/>
      <c r="I339" s="118"/>
      <c r="J339" s="119"/>
      <c r="K339" s="119"/>
      <c r="L339" s="119"/>
      <c r="M339" s="119"/>
      <c r="N339" s="117" t="str">
        <f t="shared" si="31"/>
        <v/>
      </c>
      <c r="O339" s="97" t="str">
        <f t="shared" si="30"/>
        <v/>
      </c>
      <c r="P339" s="97" t="str">
        <f t="shared" si="32"/>
        <v/>
      </c>
      <c r="Q339" s="97" t="str">
        <f t="shared" si="33"/>
        <v/>
      </c>
      <c r="R339" s="97" t="str">
        <f t="shared" si="34"/>
        <v/>
      </c>
      <c r="S339" s="97" t="str">
        <f t="shared" si="35"/>
        <v/>
      </c>
    </row>
    <row r="340" spans="1:19">
      <c r="A340" s="128"/>
      <c r="B340" s="129"/>
      <c r="C340" s="125"/>
      <c r="D340" s="125"/>
      <c r="E340" s="125"/>
      <c r="F340" s="125"/>
      <c r="G340" s="126"/>
      <c r="H340" s="127"/>
      <c r="I340" s="118"/>
      <c r="J340" s="119"/>
      <c r="K340" s="119"/>
      <c r="L340" s="119"/>
      <c r="M340" s="119"/>
      <c r="N340" s="117" t="str">
        <f t="shared" si="31"/>
        <v/>
      </c>
      <c r="O340" s="97" t="str">
        <f t="shared" si="30"/>
        <v/>
      </c>
      <c r="P340" s="97" t="str">
        <f t="shared" si="32"/>
        <v/>
      </c>
      <c r="Q340" s="97" t="str">
        <f t="shared" si="33"/>
        <v/>
      </c>
      <c r="R340" s="97" t="str">
        <f t="shared" si="34"/>
        <v/>
      </c>
      <c r="S340" s="97" t="str">
        <f t="shared" si="35"/>
        <v/>
      </c>
    </row>
    <row r="341" spans="1:19">
      <c r="A341" s="128"/>
      <c r="B341" s="129"/>
      <c r="C341" s="125"/>
      <c r="D341" s="125"/>
      <c r="E341" s="125"/>
      <c r="F341" s="125"/>
      <c r="G341" s="126"/>
      <c r="H341" s="127"/>
      <c r="I341" s="118"/>
      <c r="J341" s="119"/>
      <c r="K341" s="119"/>
      <c r="L341" s="119"/>
      <c r="M341" s="119"/>
      <c r="N341" s="117" t="str">
        <f t="shared" si="31"/>
        <v/>
      </c>
      <c r="O341" s="97" t="str">
        <f t="shared" si="30"/>
        <v/>
      </c>
      <c r="P341" s="97" t="str">
        <f t="shared" si="32"/>
        <v/>
      </c>
      <c r="Q341" s="97" t="str">
        <f t="shared" si="33"/>
        <v/>
      </c>
      <c r="R341" s="97" t="str">
        <f t="shared" si="34"/>
        <v/>
      </c>
      <c r="S341" s="97" t="str">
        <f t="shared" si="35"/>
        <v/>
      </c>
    </row>
    <row r="342" spans="1:19">
      <c r="A342" s="128"/>
      <c r="B342" s="129"/>
      <c r="C342" s="125"/>
      <c r="D342" s="125"/>
      <c r="E342" s="125"/>
      <c r="F342" s="125"/>
      <c r="G342" s="126"/>
      <c r="H342" s="127"/>
      <c r="I342" s="118"/>
      <c r="J342" s="119"/>
      <c r="K342" s="119"/>
      <c r="L342" s="119"/>
      <c r="M342" s="119"/>
      <c r="N342" s="117" t="str">
        <f t="shared" si="31"/>
        <v/>
      </c>
      <c r="O342" s="97" t="str">
        <f t="shared" si="30"/>
        <v/>
      </c>
      <c r="P342" s="97" t="str">
        <f t="shared" si="32"/>
        <v/>
      </c>
      <c r="Q342" s="97" t="str">
        <f t="shared" si="33"/>
        <v/>
      </c>
      <c r="R342" s="97" t="str">
        <f t="shared" si="34"/>
        <v/>
      </c>
      <c r="S342" s="97" t="str">
        <f t="shared" si="35"/>
        <v/>
      </c>
    </row>
    <row r="343" spans="1:19">
      <c r="A343" s="128"/>
      <c r="B343" s="129"/>
      <c r="C343" s="125"/>
      <c r="D343" s="125"/>
      <c r="E343" s="125"/>
      <c r="F343" s="125"/>
      <c r="G343" s="126"/>
      <c r="H343" s="127"/>
      <c r="I343" s="118"/>
      <c r="J343" s="119"/>
      <c r="K343" s="119"/>
      <c r="L343" s="119"/>
      <c r="M343" s="119"/>
      <c r="N343" s="117" t="str">
        <f t="shared" si="31"/>
        <v/>
      </c>
      <c r="O343" s="97" t="str">
        <f t="shared" si="30"/>
        <v/>
      </c>
      <c r="P343" s="97" t="str">
        <f t="shared" si="32"/>
        <v/>
      </c>
      <c r="Q343" s="97" t="str">
        <f t="shared" si="33"/>
        <v/>
      </c>
      <c r="R343" s="97" t="str">
        <f t="shared" si="34"/>
        <v/>
      </c>
      <c r="S343" s="97" t="str">
        <f t="shared" si="35"/>
        <v/>
      </c>
    </row>
    <row r="344" spans="1:19">
      <c r="A344" s="128"/>
      <c r="B344" s="129"/>
      <c r="C344" s="125"/>
      <c r="D344" s="125"/>
      <c r="E344" s="125"/>
      <c r="F344" s="125"/>
      <c r="G344" s="126"/>
      <c r="H344" s="127"/>
      <c r="I344" s="118"/>
      <c r="J344" s="119"/>
      <c r="K344" s="119"/>
      <c r="L344" s="119"/>
      <c r="M344" s="119"/>
      <c r="N344" s="117" t="str">
        <f t="shared" si="31"/>
        <v/>
      </c>
      <c r="O344" s="97" t="str">
        <f t="shared" si="30"/>
        <v/>
      </c>
      <c r="P344" s="97" t="str">
        <f t="shared" si="32"/>
        <v/>
      </c>
      <c r="Q344" s="97" t="str">
        <f t="shared" si="33"/>
        <v/>
      </c>
      <c r="R344" s="97" t="str">
        <f t="shared" si="34"/>
        <v/>
      </c>
      <c r="S344" s="97" t="str">
        <f t="shared" si="35"/>
        <v/>
      </c>
    </row>
    <row r="345" spans="1:19">
      <c r="A345" s="128"/>
      <c r="B345" s="129"/>
      <c r="C345" s="125"/>
      <c r="D345" s="125"/>
      <c r="E345" s="125"/>
      <c r="F345" s="125"/>
      <c r="G345" s="126"/>
      <c r="H345" s="127"/>
      <c r="I345" s="118"/>
      <c r="J345" s="119"/>
      <c r="K345" s="119"/>
      <c r="L345" s="119"/>
      <c r="M345" s="119"/>
      <c r="N345" s="117" t="str">
        <f t="shared" si="31"/>
        <v/>
      </c>
      <c r="O345" s="97" t="str">
        <f t="shared" si="30"/>
        <v/>
      </c>
      <c r="P345" s="97" t="str">
        <f t="shared" si="32"/>
        <v/>
      </c>
      <c r="Q345" s="97" t="str">
        <f t="shared" si="33"/>
        <v/>
      </c>
      <c r="R345" s="97" t="str">
        <f t="shared" si="34"/>
        <v/>
      </c>
      <c r="S345" s="97" t="str">
        <f t="shared" si="35"/>
        <v/>
      </c>
    </row>
    <row r="346" spans="1:19">
      <c r="A346" s="128"/>
      <c r="B346" s="129"/>
      <c r="C346" s="125"/>
      <c r="D346" s="125"/>
      <c r="E346" s="125"/>
      <c r="F346" s="125"/>
      <c r="G346" s="126"/>
      <c r="H346" s="127"/>
      <c r="I346" s="118"/>
      <c r="J346" s="119"/>
      <c r="K346" s="119"/>
      <c r="L346" s="119"/>
      <c r="M346" s="119"/>
      <c r="N346" s="117" t="str">
        <f t="shared" si="31"/>
        <v/>
      </c>
      <c r="O346" s="97" t="str">
        <f t="shared" si="30"/>
        <v/>
      </c>
      <c r="P346" s="97" t="str">
        <f t="shared" si="32"/>
        <v/>
      </c>
      <c r="Q346" s="97" t="str">
        <f t="shared" si="33"/>
        <v/>
      </c>
      <c r="R346" s="97" t="str">
        <f t="shared" si="34"/>
        <v/>
      </c>
      <c r="S346" s="97" t="str">
        <f t="shared" si="35"/>
        <v/>
      </c>
    </row>
    <row r="347" spans="1:19">
      <c r="A347" s="128"/>
      <c r="B347" s="129"/>
      <c r="C347" s="125"/>
      <c r="D347" s="125"/>
      <c r="E347" s="125"/>
      <c r="F347" s="125"/>
      <c r="G347" s="126"/>
      <c r="H347" s="127"/>
      <c r="I347" s="118"/>
      <c r="J347" s="119"/>
      <c r="K347" s="119"/>
      <c r="L347" s="119"/>
      <c r="M347" s="119"/>
      <c r="N347" s="117" t="str">
        <f t="shared" si="31"/>
        <v/>
      </c>
      <c r="O347" s="97" t="str">
        <f t="shared" si="30"/>
        <v/>
      </c>
      <c r="P347" s="97" t="str">
        <f t="shared" si="32"/>
        <v/>
      </c>
      <c r="Q347" s="97" t="str">
        <f t="shared" si="33"/>
        <v/>
      </c>
      <c r="R347" s="97" t="str">
        <f t="shared" si="34"/>
        <v/>
      </c>
      <c r="S347" s="97" t="str">
        <f t="shared" si="35"/>
        <v/>
      </c>
    </row>
    <row r="348" spans="1:19">
      <c r="A348" s="128"/>
      <c r="B348" s="129"/>
      <c r="C348" s="125"/>
      <c r="D348" s="125"/>
      <c r="E348" s="125"/>
      <c r="F348" s="125"/>
      <c r="G348" s="126"/>
      <c r="H348" s="127"/>
      <c r="I348" s="118"/>
      <c r="J348" s="119"/>
      <c r="K348" s="119"/>
      <c r="L348" s="119"/>
      <c r="M348" s="119"/>
      <c r="N348" s="117" t="str">
        <f t="shared" si="31"/>
        <v/>
      </c>
      <c r="O348" s="97" t="str">
        <f t="shared" si="30"/>
        <v/>
      </c>
      <c r="P348" s="97" t="str">
        <f t="shared" si="32"/>
        <v/>
      </c>
      <c r="Q348" s="97" t="str">
        <f t="shared" si="33"/>
        <v/>
      </c>
      <c r="R348" s="97" t="str">
        <f t="shared" si="34"/>
        <v/>
      </c>
      <c r="S348" s="97" t="str">
        <f t="shared" si="35"/>
        <v/>
      </c>
    </row>
    <row r="349" spans="1:19">
      <c r="A349" s="128"/>
      <c r="B349" s="129"/>
      <c r="C349" s="125"/>
      <c r="D349" s="125"/>
      <c r="E349" s="125"/>
      <c r="F349" s="125"/>
      <c r="G349" s="126"/>
      <c r="H349" s="127"/>
      <c r="I349" s="118"/>
      <c r="J349" s="119"/>
      <c r="K349" s="119"/>
      <c r="L349" s="119"/>
      <c r="M349" s="119"/>
      <c r="N349" s="117" t="str">
        <f t="shared" si="31"/>
        <v/>
      </c>
      <c r="O349" s="97" t="str">
        <f t="shared" si="30"/>
        <v/>
      </c>
      <c r="P349" s="97" t="str">
        <f t="shared" si="32"/>
        <v/>
      </c>
      <c r="Q349" s="97" t="str">
        <f t="shared" si="33"/>
        <v/>
      </c>
      <c r="R349" s="97" t="str">
        <f t="shared" si="34"/>
        <v/>
      </c>
      <c r="S349" s="97" t="str">
        <f t="shared" si="35"/>
        <v/>
      </c>
    </row>
    <row r="350" spans="1:19">
      <c r="A350" s="128"/>
      <c r="B350" s="129"/>
      <c r="C350" s="125"/>
      <c r="D350" s="125"/>
      <c r="E350" s="125"/>
      <c r="F350" s="125"/>
      <c r="G350" s="126"/>
      <c r="H350" s="127"/>
      <c r="I350" s="118"/>
      <c r="J350" s="119"/>
      <c r="K350" s="119"/>
      <c r="L350" s="119"/>
      <c r="M350" s="119"/>
      <c r="N350" s="117" t="str">
        <f t="shared" si="31"/>
        <v/>
      </c>
      <c r="O350" s="97" t="str">
        <f t="shared" si="30"/>
        <v/>
      </c>
      <c r="P350" s="97" t="str">
        <f t="shared" si="32"/>
        <v/>
      </c>
      <c r="Q350" s="97" t="str">
        <f t="shared" si="33"/>
        <v/>
      </c>
      <c r="R350" s="97" t="str">
        <f t="shared" si="34"/>
        <v/>
      </c>
      <c r="S350" s="97" t="str">
        <f t="shared" si="35"/>
        <v/>
      </c>
    </row>
    <row r="351" spans="1:19">
      <c r="A351" s="128"/>
      <c r="B351" s="129"/>
      <c r="C351" s="125"/>
      <c r="D351" s="125"/>
      <c r="E351" s="125"/>
      <c r="F351" s="125"/>
      <c r="G351" s="126"/>
      <c r="H351" s="127"/>
      <c r="I351" s="118"/>
      <c r="J351" s="119"/>
      <c r="K351" s="119"/>
      <c r="L351" s="119"/>
      <c r="M351" s="119"/>
      <c r="N351" s="117" t="str">
        <f t="shared" si="31"/>
        <v/>
      </c>
      <c r="O351" s="97" t="str">
        <f t="shared" si="30"/>
        <v/>
      </c>
      <c r="P351" s="97" t="str">
        <f t="shared" si="32"/>
        <v/>
      </c>
      <c r="Q351" s="97" t="str">
        <f t="shared" si="33"/>
        <v/>
      </c>
      <c r="R351" s="97" t="str">
        <f t="shared" si="34"/>
        <v/>
      </c>
      <c r="S351" s="97" t="str">
        <f t="shared" si="35"/>
        <v/>
      </c>
    </row>
    <row r="352" spans="1:19">
      <c r="A352" s="128"/>
      <c r="B352" s="129"/>
      <c r="C352" s="125"/>
      <c r="D352" s="125"/>
      <c r="E352" s="125"/>
      <c r="F352" s="125"/>
      <c r="G352" s="126"/>
      <c r="H352" s="127"/>
      <c r="I352" s="118"/>
      <c r="J352" s="119"/>
      <c r="K352" s="119"/>
      <c r="L352" s="119"/>
      <c r="M352" s="119"/>
      <c r="N352" s="117" t="str">
        <f t="shared" si="31"/>
        <v/>
      </c>
      <c r="O352" s="97" t="str">
        <f t="shared" si="30"/>
        <v/>
      </c>
      <c r="P352" s="97" t="str">
        <f t="shared" si="32"/>
        <v/>
      </c>
      <c r="Q352" s="97" t="str">
        <f t="shared" si="33"/>
        <v/>
      </c>
      <c r="R352" s="97" t="str">
        <f t="shared" si="34"/>
        <v/>
      </c>
      <c r="S352" s="97" t="str">
        <f t="shared" si="35"/>
        <v/>
      </c>
    </row>
    <row r="353" spans="1:19">
      <c r="A353" s="128"/>
      <c r="B353" s="129"/>
      <c r="C353" s="125"/>
      <c r="D353" s="125"/>
      <c r="E353" s="125"/>
      <c r="F353" s="125"/>
      <c r="G353" s="126"/>
      <c r="H353" s="127"/>
      <c r="I353" s="118"/>
      <c r="J353" s="119"/>
      <c r="K353" s="119"/>
      <c r="L353" s="119"/>
      <c r="M353" s="119"/>
      <c r="N353" s="117" t="str">
        <f t="shared" si="31"/>
        <v/>
      </c>
      <c r="O353" s="97" t="str">
        <f t="shared" si="30"/>
        <v/>
      </c>
      <c r="P353" s="97" t="str">
        <f t="shared" si="32"/>
        <v/>
      </c>
      <c r="Q353" s="97" t="str">
        <f t="shared" si="33"/>
        <v/>
      </c>
      <c r="R353" s="97" t="str">
        <f t="shared" si="34"/>
        <v/>
      </c>
      <c r="S353" s="97" t="str">
        <f t="shared" si="35"/>
        <v/>
      </c>
    </row>
    <row r="354" spans="1:19">
      <c r="A354" s="128"/>
      <c r="B354" s="129"/>
      <c r="C354" s="125"/>
      <c r="D354" s="125"/>
      <c r="E354" s="125"/>
      <c r="F354" s="125"/>
      <c r="G354" s="126"/>
      <c r="H354" s="127"/>
      <c r="I354" s="118"/>
      <c r="J354" s="119"/>
      <c r="K354" s="119"/>
      <c r="L354" s="119"/>
      <c r="M354" s="119"/>
      <c r="N354" s="117" t="str">
        <f t="shared" si="31"/>
        <v/>
      </c>
      <c r="O354" s="97" t="str">
        <f t="shared" si="30"/>
        <v/>
      </c>
      <c r="P354" s="97" t="str">
        <f t="shared" si="32"/>
        <v/>
      </c>
      <c r="Q354" s="97" t="str">
        <f t="shared" si="33"/>
        <v/>
      </c>
      <c r="R354" s="97" t="str">
        <f t="shared" si="34"/>
        <v/>
      </c>
      <c r="S354" s="97" t="str">
        <f t="shared" si="35"/>
        <v/>
      </c>
    </row>
    <row r="355" spans="1:19">
      <c r="A355" s="128"/>
      <c r="B355" s="129"/>
      <c r="C355" s="125"/>
      <c r="D355" s="125"/>
      <c r="E355" s="125"/>
      <c r="F355" s="125"/>
      <c r="G355" s="126"/>
      <c r="H355" s="127"/>
      <c r="I355" s="118"/>
      <c r="J355" s="119"/>
      <c r="K355" s="119"/>
      <c r="L355" s="119"/>
      <c r="M355" s="119"/>
      <c r="N355" s="117" t="str">
        <f t="shared" si="31"/>
        <v/>
      </c>
      <c r="O355" s="97" t="str">
        <f t="shared" si="30"/>
        <v/>
      </c>
      <c r="P355" s="97" t="str">
        <f t="shared" si="32"/>
        <v/>
      </c>
      <c r="Q355" s="97" t="str">
        <f t="shared" si="33"/>
        <v/>
      </c>
      <c r="R355" s="97" t="str">
        <f t="shared" si="34"/>
        <v/>
      </c>
      <c r="S355" s="97" t="str">
        <f t="shared" si="35"/>
        <v/>
      </c>
    </row>
    <row r="356" spans="1:19">
      <c r="A356" s="128"/>
      <c r="B356" s="129"/>
      <c r="C356" s="125"/>
      <c r="D356" s="125"/>
      <c r="E356" s="125"/>
      <c r="F356" s="125"/>
      <c r="G356" s="126"/>
      <c r="H356" s="127"/>
      <c r="I356" s="118"/>
      <c r="J356" s="119"/>
      <c r="K356" s="119"/>
      <c r="L356" s="119"/>
      <c r="M356" s="119"/>
      <c r="N356" s="117" t="str">
        <f t="shared" si="31"/>
        <v/>
      </c>
      <c r="O356" s="97" t="str">
        <f t="shared" si="30"/>
        <v/>
      </c>
      <c r="P356" s="97" t="str">
        <f t="shared" si="32"/>
        <v/>
      </c>
      <c r="Q356" s="97" t="str">
        <f t="shared" si="33"/>
        <v/>
      </c>
      <c r="R356" s="97" t="str">
        <f t="shared" si="34"/>
        <v/>
      </c>
      <c r="S356" s="97" t="str">
        <f t="shared" si="35"/>
        <v/>
      </c>
    </row>
    <row r="357" spans="1:19">
      <c r="A357" s="128"/>
      <c r="B357" s="129"/>
      <c r="C357" s="125"/>
      <c r="D357" s="125"/>
      <c r="E357" s="125"/>
      <c r="F357" s="125"/>
      <c r="G357" s="126"/>
      <c r="H357" s="127"/>
      <c r="I357" s="118"/>
      <c r="J357" s="119"/>
      <c r="K357" s="119"/>
      <c r="L357" s="119"/>
      <c r="M357" s="119"/>
      <c r="N357" s="117" t="str">
        <f t="shared" si="31"/>
        <v/>
      </c>
      <c r="O357" s="97" t="str">
        <f t="shared" si="30"/>
        <v/>
      </c>
      <c r="P357" s="97" t="str">
        <f t="shared" si="32"/>
        <v/>
      </c>
      <c r="Q357" s="97" t="str">
        <f t="shared" si="33"/>
        <v/>
      </c>
      <c r="R357" s="97" t="str">
        <f t="shared" si="34"/>
        <v/>
      </c>
      <c r="S357" s="97" t="str">
        <f t="shared" si="35"/>
        <v/>
      </c>
    </row>
    <row r="358" spans="1:19">
      <c r="A358" s="128"/>
      <c r="B358" s="129"/>
      <c r="C358" s="125"/>
      <c r="D358" s="125"/>
      <c r="E358" s="125"/>
      <c r="F358" s="125"/>
      <c r="G358" s="126"/>
      <c r="H358" s="127"/>
      <c r="I358" s="118"/>
      <c r="J358" s="119"/>
      <c r="K358" s="119"/>
      <c r="L358" s="119"/>
      <c r="M358" s="119"/>
      <c r="N358" s="117" t="str">
        <f t="shared" si="31"/>
        <v/>
      </c>
      <c r="O358" s="97" t="str">
        <f t="shared" si="30"/>
        <v/>
      </c>
      <c r="P358" s="97" t="str">
        <f t="shared" si="32"/>
        <v/>
      </c>
      <c r="Q358" s="97" t="str">
        <f t="shared" si="33"/>
        <v/>
      </c>
      <c r="R358" s="97" t="str">
        <f t="shared" si="34"/>
        <v/>
      </c>
      <c r="S358" s="97" t="str">
        <f t="shared" si="35"/>
        <v/>
      </c>
    </row>
    <row r="359" spans="1:19">
      <c r="A359" s="128"/>
      <c r="B359" s="129"/>
      <c r="C359" s="125"/>
      <c r="D359" s="125"/>
      <c r="E359" s="125"/>
      <c r="F359" s="125"/>
      <c r="G359" s="126"/>
      <c r="H359" s="127"/>
      <c r="I359" s="118"/>
      <c r="J359" s="119"/>
      <c r="K359" s="119"/>
      <c r="L359" s="119"/>
      <c r="M359" s="119"/>
      <c r="N359" s="117" t="str">
        <f t="shared" si="31"/>
        <v/>
      </c>
      <c r="O359" s="97" t="str">
        <f t="shared" si="30"/>
        <v/>
      </c>
      <c r="P359" s="97" t="str">
        <f t="shared" si="32"/>
        <v/>
      </c>
      <c r="Q359" s="97" t="str">
        <f t="shared" si="33"/>
        <v/>
      </c>
      <c r="R359" s="97" t="str">
        <f t="shared" si="34"/>
        <v/>
      </c>
      <c r="S359" s="97" t="str">
        <f t="shared" si="35"/>
        <v/>
      </c>
    </row>
    <row r="360" spans="1:19">
      <c r="A360" s="128"/>
      <c r="B360" s="129"/>
      <c r="C360" s="125"/>
      <c r="D360" s="125"/>
      <c r="E360" s="125"/>
      <c r="F360" s="125"/>
      <c r="G360" s="126"/>
      <c r="H360" s="127"/>
      <c r="I360" s="118"/>
      <c r="J360" s="119"/>
      <c r="K360" s="119"/>
      <c r="L360" s="119"/>
      <c r="M360" s="119"/>
      <c r="N360" s="117" t="str">
        <f t="shared" si="31"/>
        <v/>
      </c>
      <c r="O360" s="97" t="str">
        <f t="shared" si="30"/>
        <v/>
      </c>
      <c r="P360" s="97" t="str">
        <f t="shared" si="32"/>
        <v/>
      </c>
      <c r="Q360" s="97" t="str">
        <f t="shared" si="33"/>
        <v/>
      </c>
      <c r="R360" s="97" t="str">
        <f t="shared" si="34"/>
        <v/>
      </c>
      <c r="S360" s="97" t="str">
        <f t="shared" si="35"/>
        <v/>
      </c>
    </row>
    <row r="361" spans="1:19">
      <c r="A361" s="128"/>
      <c r="B361" s="129"/>
      <c r="C361" s="125"/>
      <c r="D361" s="125"/>
      <c r="E361" s="125"/>
      <c r="F361" s="125"/>
      <c r="G361" s="126"/>
      <c r="H361" s="127"/>
      <c r="I361" s="118"/>
      <c r="J361" s="119"/>
      <c r="K361" s="119"/>
      <c r="L361" s="119"/>
      <c r="M361" s="119"/>
      <c r="N361" s="117" t="str">
        <f t="shared" si="31"/>
        <v/>
      </c>
      <c r="O361" s="97" t="str">
        <f t="shared" si="30"/>
        <v/>
      </c>
      <c r="P361" s="97" t="str">
        <f t="shared" si="32"/>
        <v/>
      </c>
      <c r="Q361" s="97" t="str">
        <f t="shared" si="33"/>
        <v/>
      </c>
      <c r="R361" s="97" t="str">
        <f t="shared" si="34"/>
        <v/>
      </c>
      <c r="S361" s="97" t="str">
        <f t="shared" si="35"/>
        <v/>
      </c>
    </row>
    <row r="362" spans="1:19">
      <c r="A362" s="128"/>
      <c r="B362" s="129"/>
      <c r="C362" s="125"/>
      <c r="D362" s="125"/>
      <c r="E362" s="125"/>
      <c r="F362" s="125"/>
      <c r="G362" s="126"/>
      <c r="H362" s="127"/>
      <c r="I362" s="118"/>
      <c r="J362" s="119"/>
      <c r="K362" s="119"/>
      <c r="L362" s="119"/>
      <c r="M362" s="119"/>
      <c r="N362" s="117" t="str">
        <f t="shared" si="31"/>
        <v/>
      </c>
      <c r="O362" s="97" t="str">
        <f t="shared" si="30"/>
        <v/>
      </c>
      <c r="P362" s="97" t="str">
        <f t="shared" si="32"/>
        <v/>
      </c>
      <c r="Q362" s="97" t="str">
        <f t="shared" si="33"/>
        <v/>
      </c>
      <c r="R362" s="97" t="str">
        <f t="shared" si="34"/>
        <v/>
      </c>
      <c r="S362" s="97" t="str">
        <f t="shared" si="35"/>
        <v/>
      </c>
    </row>
    <row r="363" spans="1:19">
      <c r="A363" s="128"/>
      <c r="B363" s="129"/>
      <c r="C363" s="125"/>
      <c r="D363" s="125"/>
      <c r="E363" s="125"/>
      <c r="F363" s="125"/>
      <c r="G363" s="126"/>
      <c r="H363" s="127"/>
      <c r="I363" s="118"/>
      <c r="J363" s="119"/>
      <c r="K363" s="119"/>
      <c r="L363" s="119"/>
      <c r="M363" s="119"/>
      <c r="N363" s="117" t="str">
        <f t="shared" si="31"/>
        <v/>
      </c>
      <c r="O363" s="97" t="str">
        <f t="shared" si="30"/>
        <v/>
      </c>
      <c r="P363" s="97" t="str">
        <f t="shared" si="32"/>
        <v/>
      </c>
      <c r="Q363" s="97" t="str">
        <f t="shared" si="33"/>
        <v/>
      </c>
      <c r="R363" s="97" t="str">
        <f t="shared" si="34"/>
        <v/>
      </c>
      <c r="S363" s="97" t="str">
        <f t="shared" si="35"/>
        <v/>
      </c>
    </row>
    <row r="364" spans="1:19">
      <c r="A364" s="128"/>
      <c r="B364" s="129"/>
      <c r="C364" s="125"/>
      <c r="D364" s="125"/>
      <c r="E364" s="125"/>
      <c r="F364" s="125"/>
      <c r="G364" s="126"/>
      <c r="H364" s="127"/>
      <c r="I364" s="118"/>
      <c r="J364" s="119"/>
      <c r="K364" s="119"/>
      <c r="L364" s="119"/>
      <c r="M364" s="119"/>
      <c r="N364" s="117" t="str">
        <f t="shared" si="31"/>
        <v/>
      </c>
      <c r="O364" s="97" t="str">
        <f t="shared" si="30"/>
        <v/>
      </c>
      <c r="P364" s="97" t="str">
        <f t="shared" si="32"/>
        <v/>
      </c>
      <c r="Q364" s="97" t="str">
        <f t="shared" si="33"/>
        <v/>
      </c>
      <c r="R364" s="97" t="str">
        <f t="shared" si="34"/>
        <v/>
      </c>
      <c r="S364" s="97" t="str">
        <f t="shared" si="35"/>
        <v/>
      </c>
    </row>
    <row r="365" spans="1:19">
      <c r="A365" s="128"/>
      <c r="B365" s="129"/>
      <c r="C365" s="125"/>
      <c r="D365" s="125"/>
      <c r="E365" s="125"/>
      <c r="F365" s="125"/>
      <c r="G365" s="126"/>
      <c r="H365" s="127"/>
      <c r="I365" s="118"/>
      <c r="J365" s="119"/>
      <c r="K365" s="119"/>
      <c r="L365" s="119"/>
      <c r="M365" s="119"/>
      <c r="N365" s="117" t="str">
        <f t="shared" si="31"/>
        <v/>
      </c>
      <c r="O365" s="97" t="str">
        <f t="shared" si="30"/>
        <v/>
      </c>
      <c r="P365" s="97" t="str">
        <f t="shared" si="32"/>
        <v/>
      </c>
      <c r="Q365" s="97" t="str">
        <f t="shared" si="33"/>
        <v/>
      </c>
      <c r="R365" s="97" t="str">
        <f t="shared" si="34"/>
        <v/>
      </c>
      <c r="S365" s="97" t="str">
        <f t="shared" si="35"/>
        <v/>
      </c>
    </row>
    <row r="366" spans="1:19">
      <c r="A366" s="128"/>
      <c r="B366" s="129"/>
      <c r="C366" s="125"/>
      <c r="D366" s="125"/>
      <c r="E366" s="125"/>
      <c r="F366" s="125"/>
      <c r="G366" s="126"/>
      <c r="H366" s="127"/>
      <c r="I366" s="118"/>
      <c r="J366" s="119"/>
      <c r="K366" s="119"/>
      <c r="L366" s="119"/>
      <c r="M366" s="119"/>
      <c r="N366" s="117" t="str">
        <f t="shared" si="31"/>
        <v/>
      </c>
      <c r="O366" s="97" t="str">
        <f t="shared" si="30"/>
        <v/>
      </c>
      <c r="P366" s="97" t="str">
        <f t="shared" si="32"/>
        <v/>
      </c>
      <c r="Q366" s="97" t="str">
        <f t="shared" si="33"/>
        <v/>
      </c>
      <c r="R366" s="97" t="str">
        <f t="shared" si="34"/>
        <v/>
      </c>
      <c r="S366" s="97" t="str">
        <f t="shared" si="35"/>
        <v/>
      </c>
    </row>
    <row r="367" spans="1:19">
      <c r="A367" s="128"/>
      <c r="B367" s="129"/>
      <c r="C367" s="125"/>
      <c r="D367" s="125"/>
      <c r="E367" s="125"/>
      <c r="F367" s="125"/>
      <c r="G367" s="126"/>
      <c r="H367" s="127"/>
      <c r="I367" s="118"/>
      <c r="J367" s="119"/>
      <c r="K367" s="119"/>
      <c r="L367" s="119"/>
      <c r="M367" s="119"/>
      <c r="N367" s="117" t="str">
        <f t="shared" si="31"/>
        <v/>
      </c>
      <c r="O367" s="97" t="str">
        <f t="shared" si="30"/>
        <v/>
      </c>
      <c r="P367" s="97" t="str">
        <f t="shared" si="32"/>
        <v/>
      </c>
      <c r="Q367" s="97" t="str">
        <f t="shared" si="33"/>
        <v/>
      </c>
      <c r="R367" s="97" t="str">
        <f t="shared" si="34"/>
        <v/>
      </c>
      <c r="S367" s="97" t="str">
        <f t="shared" si="35"/>
        <v/>
      </c>
    </row>
    <row r="368" spans="1:19">
      <c r="A368" s="128"/>
      <c r="B368" s="129"/>
      <c r="C368" s="125"/>
      <c r="D368" s="125"/>
      <c r="E368" s="125"/>
      <c r="F368" s="125"/>
      <c r="G368" s="126"/>
      <c r="H368" s="127"/>
      <c r="I368" s="118"/>
      <c r="J368" s="119"/>
      <c r="K368" s="119"/>
      <c r="L368" s="119"/>
      <c r="M368" s="119"/>
      <c r="N368" s="117" t="str">
        <f t="shared" si="31"/>
        <v/>
      </c>
      <c r="O368" s="97" t="str">
        <f t="shared" si="30"/>
        <v/>
      </c>
      <c r="P368" s="97" t="str">
        <f t="shared" si="32"/>
        <v/>
      </c>
      <c r="Q368" s="97" t="str">
        <f t="shared" si="33"/>
        <v/>
      </c>
      <c r="R368" s="97" t="str">
        <f t="shared" si="34"/>
        <v/>
      </c>
      <c r="S368" s="97" t="str">
        <f t="shared" si="35"/>
        <v/>
      </c>
    </row>
    <row r="369" spans="1:19">
      <c r="A369" s="128"/>
      <c r="B369" s="129"/>
      <c r="C369" s="125"/>
      <c r="D369" s="125"/>
      <c r="E369" s="125"/>
      <c r="F369" s="125"/>
      <c r="G369" s="126"/>
      <c r="H369" s="127"/>
      <c r="I369" s="118"/>
      <c r="J369" s="119"/>
      <c r="K369" s="119"/>
      <c r="L369" s="119"/>
      <c r="M369" s="119"/>
      <c r="N369" s="117" t="str">
        <f t="shared" si="31"/>
        <v/>
      </c>
      <c r="O369" s="97" t="str">
        <f t="shared" si="30"/>
        <v/>
      </c>
      <c r="P369" s="97" t="str">
        <f t="shared" si="32"/>
        <v/>
      </c>
      <c r="Q369" s="97" t="str">
        <f t="shared" si="33"/>
        <v/>
      </c>
      <c r="R369" s="97" t="str">
        <f t="shared" si="34"/>
        <v/>
      </c>
      <c r="S369" s="97" t="str">
        <f t="shared" si="35"/>
        <v/>
      </c>
    </row>
    <row r="370" spans="1:19">
      <c r="A370" s="128"/>
      <c r="B370" s="129"/>
      <c r="C370" s="125"/>
      <c r="D370" s="125"/>
      <c r="E370" s="125"/>
      <c r="F370" s="125"/>
      <c r="G370" s="126"/>
      <c r="H370" s="127"/>
      <c r="I370" s="118"/>
      <c r="J370" s="119"/>
      <c r="K370" s="119"/>
      <c r="L370" s="119"/>
      <c r="M370" s="119"/>
      <c r="N370" s="117" t="str">
        <f t="shared" si="31"/>
        <v/>
      </c>
      <c r="O370" s="97" t="str">
        <f t="shared" si="30"/>
        <v/>
      </c>
      <c r="P370" s="97" t="str">
        <f t="shared" si="32"/>
        <v/>
      </c>
      <c r="Q370" s="97" t="str">
        <f t="shared" si="33"/>
        <v/>
      </c>
      <c r="R370" s="97" t="str">
        <f t="shared" si="34"/>
        <v/>
      </c>
      <c r="S370" s="97" t="str">
        <f t="shared" si="35"/>
        <v/>
      </c>
    </row>
    <row r="371" spans="1:19">
      <c r="A371" s="128"/>
      <c r="B371" s="129"/>
      <c r="C371" s="125"/>
      <c r="D371" s="125"/>
      <c r="E371" s="125"/>
      <c r="F371" s="125"/>
      <c r="G371" s="126"/>
      <c r="H371" s="127"/>
      <c r="I371" s="118"/>
      <c r="J371" s="119"/>
      <c r="K371" s="119"/>
      <c r="L371" s="119"/>
      <c r="M371" s="119"/>
      <c r="N371" s="117" t="str">
        <f t="shared" si="31"/>
        <v/>
      </c>
      <c r="O371" s="97" t="str">
        <f t="shared" si="30"/>
        <v/>
      </c>
      <c r="P371" s="97" t="str">
        <f t="shared" si="32"/>
        <v/>
      </c>
      <c r="Q371" s="97" t="str">
        <f t="shared" si="33"/>
        <v/>
      </c>
      <c r="R371" s="97" t="str">
        <f t="shared" si="34"/>
        <v/>
      </c>
      <c r="S371" s="97" t="str">
        <f t="shared" si="35"/>
        <v/>
      </c>
    </row>
    <row r="372" spans="1:19">
      <c r="A372" s="128"/>
      <c r="B372" s="129"/>
      <c r="C372" s="125"/>
      <c r="D372" s="125"/>
      <c r="E372" s="125"/>
      <c r="F372" s="125"/>
      <c r="G372" s="126"/>
      <c r="H372" s="127"/>
      <c r="I372" s="118"/>
      <c r="J372" s="119"/>
      <c r="K372" s="119"/>
      <c r="L372" s="119"/>
      <c r="M372" s="119"/>
      <c r="N372" s="117" t="str">
        <f t="shared" si="31"/>
        <v/>
      </c>
      <c r="O372" s="97" t="str">
        <f t="shared" si="30"/>
        <v/>
      </c>
      <c r="P372" s="97" t="str">
        <f t="shared" si="32"/>
        <v/>
      </c>
      <c r="Q372" s="97" t="str">
        <f t="shared" si="33"/>
        <v/>
      </c>
      <c r="R372" s="97" t="str">
        <f t="shared" si="34"/>
        <v/>
      </c>
      <c r="S372" s="97" t="str">
        <f t="shared" si="35"/>
        <v/>
      </c>
    </row>
    <row r="373" spans="1:19">
      <c r="A373" s="128"/>
      <c r="B373" s="129"/>
      <c r="C373" s="125"/>
      <c r="D373" s="125"/>
      <c r="E373" s="125"/>
      <c r="F373" s="125"/>
      <c r="G373" s="126"/>
      <c r="H373" s="127"/>
      <c r="I373" s="118"/>
      <c r="J373" s="119"/>
      <c r="K373" s="119"/>
      <c r="L373" s="119"/>
      <c r="M373" s="119"/>
      <c r="N373" s="117" t="str">
        <f t="shared" si="31"/>
        <v/>
      </c>
      <c r="O373" s="97" t="str">
        <f t="shared" si="30"/>
        <v/>
      </c>
      <c r="P373" s="97" t="str">
        <f t="shared" si="32"/>
        <v/>
      </c>
      <c r="Q373" s="97" t="str">
        <f t="shared" si="33"/>
        <v/>
      </c>
      <c r="R373" s="97" t="str">
        <f t="shared" si="34"/>
        <v/>
      </c>
      <c r="S373" s="97" t="str">
        <f t="shared" si="35"/>
        <v/>
      </c>
    </row>
    <row r="374" spans="1:19">
      <c r="A374" s="128"/>
      <c r="B374" s="129"/>
      <c r="C374" s="125"/>
      <c r="D374" s="125"/>
      <c r="E374" s="125"/>
      <c r="F374" s="125"/>
      <c r="G374" s="126"/>
      <c r="H374" s="127"/>
      <c r="I374" s="118"/>
      <c r="J374" s="119"/>
      <c r="K374" s="119"/>
      <c r="L374" s="119"/>
      <c r="M374" s="119"/>
      <c r="N374" s="117" t="str">
        <f t="shared" si="31"/>
        <v/>
      </c>
      <c r="O374" s="97" t="str">
        <f t="shared" si="30"/>
        <v/>
      </c>
      <c r="P374" s="97" t="str">
        <f t="shared" si="32"/>
        <v/>
      </c>
      <c r="Q374" s="97" t="str">
        <f t="shared" si="33"/>
        <v/>
      </c>
      <c r="R374" s="97" t="str">
        <f t="shared" si="34"/>
        <v/>
      </c>
      <c r="S374" s="97" t="str">
        <f t="shared" si="35"/>
        <v/>
      </c>
    </row>
    <row r="375" spans="1:19">
      <c r="A375" s="128"/>
      <c r="B375" s="129"/>
      <c r="C375" s="125"/>
      <c r="D375" s="125"/>
      <c r="E375" s="125"/>
      <c r="F375" s="125"/>
      <c r="G375" s="126"/>
      <c r="H375" s="127"/>
      <c r="I375" s="118"/>
      <c r="J375" s="119"/>
      <c r="K375" s="119"/>
      <c r="L375" s="119"/>
      <c r="M375" s="119"/>
      <c r="N375" s="117" t="str">
        <f t="shared" si="31"/>
        <v/>
      </c>
      <c r="O375" s="97" t="str">
        <f t="shared" si="30"/>
        <v/>
      </c>
      <c r="P375" s="97" t="str">
        <f t="shared" si="32"/>
        <v/>
      </c>
      <c r="Q375" s="97" t="str">
        <f t="shared" si="33"/>
        <v/>
      </c>
      <c r="R375" s="97" t="str">
        <f t="shared" si="34"/>
        <v/>
      </c>
      <c r="S375" s="97" t="str">
        <f t="shared" si="35"/>
        <v/>
      </c>
    </row>
    <row r="376" spans="1:19">
      <c r="A376" s="128"/>
      <c r="B376" s="129"/>
      <c r="C376" s="125"/>
      <c r="D376" s="125"/>
      <c r="E376" s="125"/>
      <c r="F376" s="125"/>
      <c r="G376" s="126"/>
      <c r="H376" s="127"/>
      <c r="I376" s="118"/>
      <c r="J376" s="119"/>
      <c r="K376" s="119"/>
      <c r="L376" s="119"/>
      <c r="M376" s="119"/>
      <c r="N376" s="117" t="str">
        <f t="shared" si="31"/>
        <v/>
      </c>
      <c r="O376" s="97" t="str">
        <f t="shared" si="30"/>
        <v/>
      </c>
      <c r="P376" s="97" t="str">
        <f t="shared" si="32"/>
        <v/>
      </c>
      <c r="Q376" s="97" t="str">
        <f t="shared" si="33"/>
        <v/>
      </c>
      <c r="R376" s="97" t="str">
        <f t="shared" si="34"/>
        <v/>
      </c>
      <c r="S376" s="97" t="str">
        <f t="shared" si="35"/>
        <v/>
      </c>
    </row>
    <row r="377" spans="1:19">
      <c r="A377" s="128"/>
      <c r="B377" s="129"/>
      <c r="C377" s="125"/>
      <c r="D377" s="125"/>
      <c r="E377" s="125"/>
      <c r="F377" s="125"/>
      <c r="G377" s="126"/>
      <c r="H377" s="127"/>
      <c r="I377" s="118"/>
      <c r="J377" s="119"/>
      <c r="K377" s="119"/>
      <c r="L377" s="119"/>
      <c r="M377" s="119"/>
      <c r="N377" s="117" t="str">
        <f t="shared" si="31"/>
        <v/>
      </c>
      <c r="O377" s="97" t="str">
        <f t="shared" si="30"/>
        <v/>
      </c>
      <c r="P377" s="97" t="str">
        <f t="shared" si="32"/>
        <v/>
      </c>
      <c r="Q377" s="97" t="str">
        <f t="shared" si="33"/>
        <v/>
      </c>
      <c r="R377" s="97" t="str">
        <f t="shared" si="34"/>
        <v/>
      </c>
      <c r="S377" s="97" t="str">
        <f t="shared" si="35"/>
        <v/>
      </c>
    </row>
    <row r="378" spans="1:19">
      <c r="A378" s="128"/>
      <c r="B378" s="129"/>
      <c r="C378" s="125"/>
      <c r="D378" s="125"/>
      <c r="E378" s="125"/>
      <c r="F378" s="125"/>
      <c r="G378" s="126"/>
      <c r="H378" s="127"/>
      <c r="I378" s="118"/>
      <c r="J378" s="119"/>
      <c r="K378" s="119"/>
      <c r="L378" s="119"/>
      <c r="M378" s="119"/>
      <c r="N378" s="117" t="str">
        <f t="shared" si="31"/>
        <v/>
      </c>
      <c r="O378" s="97" t="str">
        <f t="shared" si="30"/>
        <v/>
      </c>
      <c r="P378" s="97" t="str">
        <f t="shared" si="32"/>
        <v/>
      </c>
      <c r="Q378" s="97" t="str">
        <f t="shared" si="33"/>
        <v/>
      </c>
      <c r="R378" s="97" t="str">
        <f t="shared" si="34"/>
        <v/>
      </c>
      <c r="S378" s="97" t="str">
        <f t="shared" si="35"/>
        <v/>
      </c>
    </row>
    <row r="379" spans="1:19">
      <c r="A379" s="128"/>
      <c r="B379" s="129"/>
      <c r="C379" s="125"/>
      <c r="D379" s="125"/>
      <c r="E379" s="125"/>
      <c r="F379" s="125"/>
      <c r="G379" s="126"/>
      <c r="H379" s="127"/>
      <c r="I379" s="118"/>
      <c r="J379" s="119"/>
      <c r="K379" s="119"/>
      <c r="L379" s="119"/>
      <c r="M379" s="119"/>
      <c r="N379" s="117" t="str">
        <f t="shared" si="31"/>
        <v/>
      </c>
      <c r="O379" s="97" t="str">
        <f t="shared" si="30"/>
        <v/>
      </c>
      <c r="P379" s="97" t="str">
        <f t="shared" si="32"/>
        <v/>
      </c>
      <c r="Q379" s="97" t="str">
        <f t="shared" si="33"/>
        <v/>
      </c>
      <c r="R379" s="97" t="str">
        <f t="shared" si="34"/>
        <v/>
      </c>
      <c r="S379" s="97" t="str">
        <f t="shared" si="35"/>
        <v/>
      </c>
    </row>
    <row r="380" spans="1:19">
      <c r="A380" s="128"/>
      <c r="B380" s="129"/>
      <c r="C380" s="125"/>
      <c r="D380" s="125"/>
      <c r="E380" s="125"/>
      <c r="F380" s="125"/>
      <c r="G380" s="126"/>
      <c r="H380" s="127"/>
      <c r="I380" s="118"/>
      <c r="J380" s="119"/>
      <c r="K380" s="119"/>
      <c r="L380" s="119"/>
      <c r="M380" s="119"/>
      <c r="N380" s="117" t="str">
        <f t="shared" si="31"/>
        <v/>
      </c>
      <c r="O380" s="97" t="str">
        <f t="shared" si="30"/>
        <v/>
      </c>
      <c r="P380" s="97" t="str">
        <f t="shared" si="32"/>
        <v/>
      </c>
      <c r="Q380" s="97" t="str">
        <f t="shared" si="33"/>
        <v/>
      </c>
      <c r="R380" s="97" t="str">
        <f t="shared" si="34"/>
        <v/>
      </c>
      <c r="S380" s="97" t="str">
        <f t="shared" si="35"/>
        <v/>
      </c>
    </row>
    <row r="381" spans="1:19">
      <c r="A381" s="128"/>
      <c r="B381" s="129"/>
      <c r="C381" s="125"/>
      <c r="D381" s="125"/>
      <c r="E381" s="125"/>
      <c r="F381" s="125"/>
      <c r="G381" s="126"/>
      <c r="H381" s="127"/>
      <c r="I381" s="118"/>
      <c r="J381" s="119"/>
      <c r="K381" s="119"/>
      <c r="L381" s="119"/>
      <c r="M381" s="119"/>
      <c r="N381" s="117" t="str">
        <f t="shared" si="31"/>
        <v/>
      </c>
      <c r="O381" s="97" t="str">
        <f t="shared" si="30"/>
        <v/>
      </c>
      <c r="P381" s="97" t="str">
        <f t="shared" si="32"/>
        <v/>
      </c>
      <c r="Q381" s="97" t="str">
        <f t="shared" si="33"/>
        <v/>
      </c>
      <c r="R381" s="97" t="str">
        <f t="shared" si="34"/>
        <v/>
      </c>
      <c r="S381" s="97" t="str">
        <f t="shared" si="35"/>
        <v/>
      </c>
    </row>
    <row r="382" spans="1:19">
      <c r="A382" s="128"/>
      <c r="B382" s="129"/>
      <c r="C382" s="125"/>
      <c r="D382" s="125"/>
      <c r="E382" s="125"/>
      <c r="F382" s="125"/>
      <c r="G382" s="126"/>
      <c r="H382" s="127"/>
      <c r="I382" s="118"/>
      <c r="J382" s="119"/>
      <c r="K382" s="119"/>
      <c r="L382" s="119"/>
      <c r="M382" s="119"/>
      <c r="N382" s="117" t="str">
        <f t="shared" si="31"/>
        <v/>
      </c>
      <c r="O382" s="97" t="str">
        <f t="shared" si="30"/>
        <v/>
      </c>
      <c r="P382" s="97" t="str">
        <f t="shared" si="32"/>
        <v/>
      </c>
      <c r="Q382" s="97" t="str">
        <f t="shared" si="33"/>
        <v/>
      </c>
      <c r="R382" s="97" t="str">
        <f t="shared" si="34"/>
        <v/>
      </c>
      <c r="S382" s="97" t="str">
        <f t="shared" si="35"/>
        <v/>
      </c>
    </row>
    <row r="383" spans="1:19">
      <c r="A383" s="128"/>
      <c r="B383" s="129"/>
      <c r="C383" s="125"/>
      <c r="D383" s="125"/>
      <c r="E383" s="125"/>
      <c r="F383" s="125"/>
      <c r="G383" s="126"/>
      <c r="H383" s="127"/>
      <c r="I383" s="118"/>
      <c r="J383" s="119"/>
      <c r="K383" s="119"/>
      <c r="L383" s="119"/>
      <c r="M383" s="119"/>
      <c r="N383" s="117" t="str">
        <f t="shared" si="31"/>
        <v/>
      </c>
      <c r="O383" s="97" t="str">
        <f t="shared" si="30"/>
        <v/>
      </c>
      <c r="P383" s="97" t="str">
        <f t="shared" si="32"/>
        <v/>
      </c>
      <c r="Q383" s="97" t="str">
        <f t="shared" si="33"/>
        <v/>
      </c>
      <c r="R383" s="97" t="str">
        <f t="shared" si="34"/>
        <v/>
      </c>
      <c r="S383" s="97" t="str">
        <f t="shared" si="35"/>
        <v/>
      </c>
    </row>
    <row r="384" spans="1:19">
      <c r="A384" s="128"/>
      <c r="B384" s="129"/>
      <c r="C384" s="125"/>
      <c r="D384" s="125"/>
      <c r="E384" s="125"/>
      <c r="F384" s="125"/>
      <c r="G384" s="126"/>
      <c r="H384" s="127"/>
      <c r="I384" s="118"/>
      <c r="J384" s="119"/>
      <c r="K384" s="119"/>
      <c r="L384" s="119"/>
      <c r="M384" s="119"/>
      <c r="N384" s="117" t="str">
        <f t="shared" si="31"/>
        <v/>
      </c>
      <c r="O384" s="97" t="str">
        <f t="shared" si="30"/>
        <v/>
      </c>
      <c r="P384" s="97" t="str">
        <f t="shared" si="32"/>
        <v/>
      </c>
      <c r="Q384" s="97" t="str">
        <f t="shared" si="33"/>
        <v/>
      </c>
      <c r="R384" s="97" t="str">
        <f t="shared" si="34"/>
        <v/>
      </c>
      <c r="S384" s="97" t="str">
        <f t="shared" si="35"/>
        <v/>
      </c>
    </row>
    <row r="385" spans="1:19">
      <c r="A385" s="128"/>
      <c r="B385" s="129"/>
      <c r="C385" s="125"/>
      <c r="D385" s="125"/>
      <c r="E385" s="125"/>
      <c r="F385" s="125"/>
      <c r="G385" s="126"/>
      <c r="H385" s="127"/>
      <c r="I385" s="118"/>
      <c r="J385" s="119"/>
      <c r="K385" s="119"/>
      <c r="L385" s="119"/>
      <c r="M385" s="119"/>
      <c r="N385" s="117" t="str">
        <f t="shared" si="31"/>
        <v/>
      </c>
      <c r="O385" s="97" t="str">
        <f t="shared" si="30"/>
        <v/>
      </c>
      <c r="P385" s="97" t="str">
        <f t="shared" si="32"/>
        <v/>
      </c>
      <c r="Q385" s="97" t="str">
        <f t="shared" si="33"/>
        <v/>
      </c>
      <c r="R385" s="97" t="str">
        <f t="shared" si="34"/>
        <v/>
      </c>
      <c r="S385" s="97" t="str">
        <f t="shared" si="35"/>
        <v/>
      </c>
    </row>
    <row r="386" spans="1:19">
      <c r="A386" s="128"/>
      <c r="B386" s="129"/>
      <c r="C386" s="125"/>
      <c r="D386" s="125"/>
      <c r="E386" s="125"/>
      <c r="F386" s="125"/>
      <c r="G386" s="126"/>
      <c r="H386" s="127"/>
      <c r="I386" s="118"/>
      <c r="J386" s="119"/>
      <c r="K386" s="119"/>
      <c r="L386" s="119"/>
      <c r="M386" s="119"/>
      <c r="N386" s="117" t="str">
        <f t="shared" si="31"/>
        <v/>
      </c>
      <c r="O386" s="97" t="str">
        <f t="shared" si="30"/>
        <v/>
      </c>
      <c r="P386" s="97" t="str">
        <f t="shared" si="32"/>
        <v/>
      </c>
      <c r="Q386" s="97" t="str">
        <f t="shared" si="33"/>
        <v/>
      </c>
      <c r="R386" s="97" t="str">
        <f t="shared" si="34"/>
        <v/>
      </c>
      <c r="S386" s="97" t="str">
        <f t="shared" si="35"/>
        <v/>
      </c>
    </row>
    <row r="387" spans="1:19">
      <c r="A387" s="128"/>
      <c r="B387" s="129"/>
      <c r="C387" s="125"/>
      <c r="D387" s="125"/>
      <c r="E387" s="125"/>
      <c r="F387" s="125"/>
      <c r="G387" s="126"/>
      <c r="H387" s="127"/>
      <c r="I387" s="118"/>
      <c r="J387" s="119"/>
      <c r="K387" s="119"/>
      <c r="L387" s="119"/>
      <c r="M387" s="119"/>
      <c r="N387" s="117" t="str">
        <f t="shared" si="31"/>
        <v/>
      </c>
      <c r="O387" s="97" t="str">
        <f t="shared" si="30"/>
        <v/>
      </c>
      <c r="P387" s="97" t="str">
        <f t="shared" si="32"/>
        <v/>
      </c>
      <c r="Q387" s="97" t="str">
        <f t="shared" si="33"/>
        <v/>
      </c>
      <c r="R387" s="97" t="str">
        <f t="shared" si="34"/>
        <v/>
      </c>
      <c r="S387" s="97" t="str">
        <f t="shared" si="35"/>
        <v/>
      </c>
    </row>
    <row r="388" spans="1:19">
      <c r="A388" s="128"/>
      <c r="B388" s="129"/>
      <c r="C388" s="125"/>
      <c r="D388" s="125"/>
      <c r="E388" s="125"/>
      <c r="F388" s="125"/>
      <c r="G388" s="126"/>
      <c r="H388" s="127"/>
      <c r="I388" s="118"/>
      <c r="J388" s="119"/>
      <c r="K388" s="119"/>
      <c r="L388" s="119"/>
      <c r="M388" s="119"/>
      <c r="N388" s="117" t="str">
        <f t="shared" si="31"/>
        <v/>
      </c>
      <c r="O388" s="97" t="str">
        <f t="shared" si="30"/>
        <v/>
      </c>
      <c r="P388" s="97" t="str">
        <f t="shared" si="32"/>
        <v/>
      </c>
      <c r="Q388" s="97" t="str">
        <f t="shared" si="33"/>
        <v/>
      </c>
      <c r="R388" s="97" t="str">
        <f t="shared" si="34"/>
        <v/>
      </c>
      <c r="S388" s="97" t="str">
        <f t="shared" si="35"/>
        <v/>
      </c>
    </row>
    <row r="389" spans="1:19">
      <c r="A389" s="128"/>
      <c r="B389" s="129"/>
      <c r="C389" s="125"/>
      <c r="D389" s="125"/>
      <c r="E389" s="125"/>
      <c r="F389" s="125"/>
      <c r="G389" s="126"/>
      <c r="H389" s="127"/>
      <c r="I389" s="118"/>
      <c r="J389" s="119"/>
      <c r="K389" s="119"/>
      <c r="L389" s="119"/>
      <c r="M389" s="119"/>
      <c r="N389" s="117" t="str">
        <f t="shared" si="31"/>
        <v/>
      </c>
      <c r="O389" s="97" t="str">
        <f t="shared" si="30"/>
        <v/>
      </c>
      <c r="P389" s="97" t="str">
        <f t="shared" si="32"/>
        <v/>
      </c>
      <c r="Q389" s="97" t="str">
        <f t="shared" si="33"/>
        <v/>
      </c>
      <c r="R389" s="97" t="str">
        <f t="shared" si="34"/>
        <v/>
      </c>
      <c r="S389" s="97" t="str">
        <f t="shared" si="35"/>
        <v/>
      </c>
    </row>
    <row r="390" spans="1:19">
      <c r="A390" s="128"/>
      <c r="B390" s="129"/>
      <c r="C390" s="125"/>
      <c r="D390" s="125"/>
      <c r="E390" s="125"/>
      <c r="F390" s="125"/>
      <c r="G390" s="126"/>
      <c r="H390" s="127"/>
      <c r="I390" s="118"/>
      <c r="J390" s="119"/>
      <c r="K390" s="119"/>
      <c r="L390" s="119"/>
      <c r="M390" s="119"/>
      <c r="N390" s="117" t="str">
        <f t="shared" si="31"/>
        <v/>
      </c>
      <c r="O390" s="97" t="str">
        <f t="shared" ref="O390:O430" si="36">IF($C390="","",IF($B390="beginning",($I390*35.44),IF($B390="middle",($I390*8.86),IF($B390="end",($I390*8.86),""))))</f>
        <v/>
      </c>
      <c r="P390" s="97" t="str">
        <f t="shared" si="32"/>
        <v/>
      </c>
      <c r="Q390" s="97" t="str">
        <f t="shared" si="33"/>
        <v/>
      </c>
      <c r="R390" s="97" t="str">
        <f t="shared" si="34"/>
        <v/>
      </c>
      <c r="S390" s="97" t="str">
        <f t="shared" si="35"/>
        <v/>
      </c>
    </row>
    <row r="391" spans="1:19">
      <c r="A391" s="128"/>
      <c r="B391" s="129"/>
      <c r="C391" s="125"/>
      <c r="D391" s="125"/>
      <c r="E391" s="125"/>
      <c r="F391" s="125"/>
      <c r="G391" s="126"/>
      <c r="H391" s="127"/>
      <c r="I391" s="118"/>
      <c r="J391" s="119"/>
      <c r="K391" s="119"/>
      <c r="L391" s="119"/>
      <c r="M391" s="119"/>
      <c r="N391" s="117" t="str">
        <f t="shared" ref="N391:N430" si="37">IF($C391="","",IF(TRIM($B391)="beginning",(((SUM($O391:$S391)-729)/630)*40)+289,IF(TRIM($B391)="middle",(((SUM($O391:$S391)-729)/630)*40)+364,IF(TRIM($B391)="end",(((SUM($O391:$S391)-729)/630)*40)+398,""))))</f>
        <v/>
      </c>
      <c r="O391" s="97" t="str">
        <f t="shared" si="36"/>
        <v/>
      </c>
      <c r="P391" s="97" t="str">
        <f t="shared" ref="P391:P430" si="38">IF($C391="","",$J391*4.13)</f>
        <v/>
      </c>
      <c r="Q391" s="97" t="str">
        <f t="shared" ref="Q391:Q430" si="39">IF($C391="","",$K391*14.93)</f>
        <v/>
      </c>
      <c r="R391" s="97" t="str">
        <f t="shared" ref="R391:R430" si="40">IF($C391="","",$L391*3.56)</f>
        <v/>
      </c>
      <c r="S391" s="97" t="str">
        <f t="shared" ref="S391:S430" si="41">IF($C391="","",$M391*5.62)</f>
        <v/>
      </c>
    </row>
    <row r="392" spans="1:19">
      <c r="A392" s="128"/>
      <c r="B392" s="129"/>
      <c r="C392" s="125"/>
      <c r="D392" s="125"/>
      <c r="E392" s="125"/>
      <c r="F392" s="125"/>
      <c r="G392" s="126"/>
      <c r="H392" s="127"/>
      <c r="I392" s="118"/>
      <c r="J392" s="119"/>
      <c r="K392" s="119"/>
      <c r="L392" s="119"/>
      <c r="M392" s="119"/>
      <c r="N392" s="117" t="str">
        <f t="shared" si="37"/>
        <v/>
      </c>
      <c r="O392" s="97" t="str">
        <f t="shared" si="36"/>
        <v/>
      </c>
      <c r="P392" s="97" t="str">
        <f t="shared" si="38"/>
        <v/>
      </c>
      <c r="Q392" s="97" t="str">
        <f t="shared" si="39"/>
        <v/>
      </c>
      <c r="R392" s="97" t="str">
        <f t="shared" si="40"/>
        <v/>
      </c>
      <c r="S392" s="97" t="str">
        <f t="shared" si="41"/>
        <v/>
      </c>
    </row>
    <row r="393" spans="1:19">
      <c r="A393" s="128"/>
      <c r="B393" s="129"/>
      <c r="C393" s="125"/>
      <c r="D393" s="125"/>
      <c r="E393" s="125"/>
      <c r="F393" s="125"/>
      <c r="G393" s="126"/>
      <c r="H393" s="127"/>
      <c r="I393" s="118"/>
      <c r="J393" s="119"/>
      <c r="K393" s="119"/>
      <c r="L393" s="119"/>
      <c r="M393" s="119"/>
      <c r="N393" s="117" t="str">
        <f t="shared" si="37"/>
        <v/>
      </c>
      <c r="O393" s="97" t="str">
        <f t="shared" si="36"/>
        <v/>
      </c>
      <c r="P393" s="97" t="str">
        <f t="shared" si="38"/>
        <v/>
      </c>
      <c r="Q393" s="97" t="str">
        <f t="shared" si="39"/>
        <v/>
      </c>
      <c r="R393" s="97" t="str">
        <f t="shared" si="40"/>
        <v/>
      </c>
      <c r="S393" s="97" t="str">
        <f t="shared" si="41"/>
        <v/>
      </c>
    </row>
    <row r="394" spans="1:19">
      <c r="A394" s="128"/>
      <c r="B394" s="129"/>
      <c r="C394" s="125"/>
      <c r="D394" s="125"/>
      <c r="E394" s="125"/>
      <c r="F394" s="125"/>
      <c r="G394" s="126"/>
      <c r="H394" s="127"/>
      <c r="I394" s="118"/>
      <c r="J394" s="119"/>
      <c r="K394" s="119"/>
      <c r="L394" s="119"/>
      <c r="M394" s="119"/>
      <c r="N394" s="117" t="str">
        <f t="shared" si="37"/>
        <v/>
      </c>
      <c r="O394" s="97" t="str">
        <f t="shared" si="36"/>
        <v/>
      </c>
      <c r="P394" s="97" t="str">
        <f t="shared" si="38"/>
        <v/>
      </c>
      <c r="Q394" s="97" t="str">
        <f t="shared" si="39"/>
        <v/>
      </c>
      <c r="R394" s="97" t="str">
        <f t="shared" si="40"/>
        <v/>
      </c>
      <c r="S394" s="97" t="str">
        <f t="shared" si="41"/>
        <v/>
      </c>
    </row>
    <row r="395" spans="1:19">
      <c r="A395" s="128"/>
      <c r="B395" s="129"/>
      <c r="C395" s="125"/>
      <c r="D395" s="125"/>
      <c r="E395" s="125"/>
      <c r="F395" s="125"/>
      <c r="G395" s="126"/>
      <c r="H395" s="127"/>
      <c r="I395" s="118"/>
      <c r="J395" s="119"/>
      <c r="K395" s="119"/>
      <c r="L395" s="119"/>
      <c r="M395" s="119"/>
      <c r="N395" s="117" t="str">
        <f t="shared" si="37"/>
        <v/>
      </c>
      <c r="O395" s="97" t="str">
        <f t="shared" si="36"/>
        <v/>
      </c>
      <c r="P395" s="97" t="str">
        <f t="shared" si="38"/>
        <v/>
      </c>
      <c r="Q395" s="97" t="str">
        <f t="shared" si="39"/>
        <v/>
      </c>
      <c r="R395" s="97" t="str">
        <f t="shared" si="40"/>
        <v/>
      </c>
      <c r="S395" s="97" t="str">
        <f t="shared" si="41"/>
        <v/>
      </c>
    </row>
    <row r="396" spans="1:19">
      <c r="A396" s="128"/>
      <c r="B396" s="129"/>
      <c r="C396" s="125"/>
      <c r="D396" s="125"/>
      <c r="E396" s="125"/>
      <c r="F396" s="125"/>
      <c r="G396" s="126"/>
      <c r="H396" s="127"/>
      <c r="I396" s="118"/>
      <c r="J396" s="119"/>
      <c r="K396" s="119"/>
      <c r="L396" s="119"/>
      <c r="M396" s="119"/>
      <c r="N396" s="117" t="str">
        <f t="shared" si="37"/>
        <v/>
      </c>
      <c r="O396" s="97" t="str">
        <f t="shared" si="36"/>
        <v/>
      </c>
      <c r="P396" s="97" t="str">
        <f t="shared" si="38"/>
        <v/>
      </c>
      <c r="Q396" s="97" t="str">
        <f t="shared" si="39"/>
        <v/>
      </c>
      <c r="R396" s="97" t="str">
        <f t="shared" si="40"/>
        <v/>
      </c>
      <c r="S396" s="97" t="str">
        <f t="shared" si="41"/>
        <v/>
      </c>
    </row>
    <row r="397" spans="1:19">
      <c r="A397" s="128"/>
      <c r="B397" s="129"/>
      <c r="C397" s="125"/>
      <c r="D397" s="125"/>
      <c r="E397" s="125"/>
      <c r="F397" s="125"/>
      <c r="G397" s="126"/>
      <c r="H397" s="127"/>
      <c r="I397" s="118"/>
      <c r="J397" s="119"/>
      <c r="K397" s="119"/>
      <c r="L397" s="119"/>
      <c r="M397" s="119"/>
      <c r="N397" s="117" t="str">
        <f t="shared" si="37"/>
        <v/>
      </c>
      <c r="O397" s="97" t="str">
        <f t="shared" si="36"/>
        <v/>
      </c>
      <c r="P397" s="97" t="str">
        <f t="shared" si="38"/>
        <v/>
      </c>
      <c r="Q397" s="97" t="str">
        <f t="shared" si="39"/>
        <v/>
      </c>
      <c r="R397" s="97" t="str">
        <f t="shared" si="40"/>
        <v/>
      </c>
      <c r="S397" s="97" t="str">
        <f t="shared" si="41"/>
        <v/>
      </c>
    </row>
    <row r="398" spans="1:19">
      <c r="A398" s="128"/>
      <c r="B398" s="129"/>
      <c r="C398" s="125"/>
      <c r="D398" s="125"/>
      <c r="E398" s="125"/>
      <c r="F398" s="125"/>
      <c r="G398" s="126"/>
      <c r="H398" s="127"/>
      <c r="I398" s="118"/>
      <c r="J398" s="119"/>
      <c r="K398" s="119"/>
      <c r="L398" s="119"/>
      <c r="M398" s="119"/>
      <c r="N398" s="117" t="str">
        <f t="shared" si="37"/>
        <v/>
      </c>
      <c r="O398" s="97" t="str">
        <f t="shared" si="36"/>
        <v/>
      </c>
      <c r="P398" s="97" t="str">
        <f t="shared" si="38"/>
        <v/>
      </c>
      <c r="Q398" s="97" t="str">
        <f t="shared" si="39"/>
        <v/>
      </c>
      <c r="R398" s="97" t="str">
        <f t="shared" si="40"/>
        <v/>
      </c>
      <c r="S398" s="97" t="str">
        <f t="shared" si="41"/>
        <v/>
      </c>
    </row>
    <row r="399" spans="1:19">
      <c r="A399" s="128"/>
      <c r="B399" s="129"/>
      <c r="C399" s="125"/>
      <c r="D399" s="125"/>
      <c r="E399" s="125"/>
      <c r="F399" s="125"/>
      <c r="G399" s="126"/>
      <c r="H399" s="127"/>
      <c r="I399" s="118"/>
      <c r="J399" s="119"/>
      <c r="K399" s="119"/>
      <c r="L399" s="119"/>
      <c r="M399" s="119"/>
      <c r="N399" s="117" t="str">
        <f t="shared" si="37"/>
        <v/>
      </c>
      <c r="O399" s="97" t="str">
        <f t="shared" si="36"/>
        <v/>
      </c>
      <c r="P399" s="97" t="str">
        <f t="shared" si="38"/>
        <v/>
      </c>
      <c r="Q399" s="97" t="str">
        <f t="shared" si="39"/>
        <v/>
      </c>
      <c r="R399" s="97" t="str">
        <f t="shared" si="40"/>
        <v/>
      </c>
      <c r="S399" s="97" t="str">
        <f t="shared" si="41"/>
        <v/>
      </c>
    </row>
    <row r="400" spans="1:19">
      <c r="A400" s="128"/>
      <c r="B400" s="129"/>
      <c r="C400" s="125"/>
      <c r="D400" s="125"/>
      <c r="E400" s="125"/>
      <c r="F400" s="125"/>
      <c r="G400" s="126"/>
      <c r="H400" s="127"/>
      <c r="I400" s="118"/>
      <c r="J400" s="119"/>
      <c r="K400" s="119"/>
      <c r="L400" s="119"/>
      <c r="M400" s="119"/>
      <c r="N400" s="117" t="str">
        <f t="shared" si="37"/>
        <v/>
      </c>
      <c r="O400" s="97" t="str">
        <f t="shared" si="36"/>
        <v/>
      </c>
      <c r="P400" s="97" t="str">
        <f t="shared" si="38"/>
        <v/>
      </c>
      <c r="Q400" s="97" t="str">
        <f t="shared" si="39"/>
        <v/>
      </c>
      <c r="R400" s="97" t="str">
        <f t="shared" si="40"/>
        <v/>
      </c>
      <c r="S400" s="97" t="str">
        <f t="shared" si="41"/>
        <v/>
      </c>
    </row>
    <row r="401" spans="1:19">
      <c r="A401" s="128"/>
      <c r="B401" s="129"/>
      <c r="C401" s="125"/>
      <c r="D401" s="125"/>
      <c r="E401" s="125"/>
      <c r="F401" s="125"/>
      <c r="G401" s="126"/>
      <c r="H401" s="127"/>
      <c r="I401" s="118"/>
      <c r="J401" s="119"/>
      <c r="K401" s="119"/>
      <c r="L401" s="119"/>
      <c r="M401" s="119"/>
      <c r="N401" s="117" t="str">
        <f t="shared" si="37"/>
        <v/>
      </c>
      <c r="O401" s="97" t="str">
        <f t="shared" si="36"/>
        <v/>
      </c>
      <c r="P401" s="97" t="str">
        <f t="shared" si="38"/>
        <v/>
      </c>
      <c r="Q401" s="97" t="str">
        <f t="shared" si="39"/>
        <v/>
      </c>
      <c r="R401" s="97" t="str">
        <f t="shared" si="40"/>
        <v/>
      </c>
      <c r="S401" s="97" t="str">
        <f t="shared" si="41"/>
        <v/>
      </c>
    </row>
    <row r="402" spans="1:19">
      <c r="A402" s="128"/>
      <c r="B402" s="129"/>
      <c r="C402" s="125"/>
      <c r="D402" s="125"/>
      <c r="E402" s="125"/>
      <c r="F402" s="125"/>
      <c r="G402" s="126"/>
      <c r="H402" s="127"/>
      <c r="I402" s="118"/>
      <c r="J402" s="119"/>
      <c r="K402" s="119"/>
      <c r="L402" s="119"/>
      <c r="M402" s="119"/>
      <c r="N402" s="117" t="str">
        <f t="shared" si="37"/>
        <v/>
      </c>
      <c r="O402" s="97" t="str">
        <f t="shared" si="36"/>
        <v/>
      </c>
      <c r="P402" s="97" t="str">
        <f t="shared" si="38"/>
        <v/>
      </c>
      <c r="Q402" s="97" t="str">
        <f t="shared" si="39"/>
        <v/>
      </c>
      <c r="R402" s="97" t="str">
        <f t="shared" si="40"/>
        <v/>
      </c>
      <c r="S402" s="97" t="str">
        <f t="shared" si="41"/>
        <v/>
      </c>
    </row>
    <row r="403" spans="1:19">
      <c r="A403" s="128"/>
      <c r="B403" s="129"/>
      <c r="C403" s="125"/>
      <c r="D403" s="125"/>
      <c r="E403" s="125"/>
      <c r="F403" s="125"/>
      <c r="G403" s="126"/>
      <c r="H403" s="127"/>
      <c r="I403" s="118"/>
      <c r="J403" s="119"/>
      <c r="K403" s="119"/>
      <c r="L403" s="119"/>
      <c r="M403" s="119"/>
      <c r="N403" s="117" t="str">
        <f t="shared" si="37"/>
        <v/>
      </c>
      <c r="O403" s="97" t="str">
        <f t="shared" si="36"/>
        <v/>
      </c>
      <c r="P403" s="97" t="str">
        <f t="shared" si="38"/>
        <v/>
      </c>
      <c r="Q403" s="97" t="str">
        <f t="shared" si="39"/>
        <v/>
      </c>
      <c r="R403" s="97" t="str">
        <f t="shared" si="40"/>
        <v/>
      </c>
      <c r="S403" s="97" t="str">
        <f t="shared" si="41"/>
        <v/>
      </c>
    </row>
    <row r="404" spans="1:19">
      <c r="A404" s="128"/>
      <c r="B404" s="129"/>
      <c r="C404" s="125"/>
      <c r="D404" s="125"/>
      <c r="E404" s="125"/>
      <c r="F404" s="125"/>
      <c r="G404" s="126"/>
      <c r="H404" s="127"/>
      <c r="I404" s="118"/>
      <c r="J404" s="119"/>
      <c r="K404" s="119"/>
      <c r="L404" s="119"/>
      <c r="M404" s="119"/>
      <c r="N404" s="117" t="str">
        <f t="shared" si="37"/>
        <v/>
      </c>
      <c r="O404" s="97" t="str">
        <f t="shared" si="36"/>
        <v/>
      </c>
      <c r="P404" s="97" t="str">
        <f t="shared" si="38"/>
        <v/>
      </c>
      <c r="Q404" s="97" t="str">
        <f t="shared" si="39"/>
        <v/>
      </c>
      <c r="R404" s="97" t="str">
        <f t="shared" si="40"/>
        <v/>
      </c>
      <c r="S404" s="97" t="str">
        <f t="shared" si="41"/>
        <v/>
      </c>
    </row>
    <row r="405" spans="1:19">
      <c r="A405" s="128"/>
      <c r="B405" s="129"/>
      <c r="C405" s="125"/>
      <c r="D405" s="125"/>
      <c r="E405" s="125"/>
      <c r="F405" s="125"/>
      <c r="G405" s="126"/>
      <c r="H405" s="127"/>
      <c r="I405" s="118"/>
      <c r="J405" s="119"/>
      <c r="K405" s="119"/>
      <c r="L405" s="119"/>
      <c r="M405" s="119"/>
      <c r="N405" s="117" t="str">
        <f t="shared" si="37"/>
        <v/>
      </c>
      <c r="O405" s="97" t="str">
        <f t="shared" si="36"/>
        <v/>
      </c>
      <c r="P405" s="97" t="str">
        <f t="shared" si="38"/>
        <v/>
      </c>
      <c r="Q405" s="97" t="str">
        <f t="shared" si="39"/>
        <v/>
      </c>
      <c r="R405" s="97" t="str">
        <f t="shared" si="40"/>
        <v/>
      </c>
      <c r="S405" s="97" t="str">
        <f t="shared" si="41"/>
        <v/>
      </c>
    </row>
    <row r="406" spans="1:19">
      <c r="A406" s="128"/>
      <c r="B406" s="129"/>
      <c r="C406" s="125"/>
      <c r="D406" s="125"/>
      <c r="E406" s="125"/>
      <c r="F406" s="125"/>
      <c r="G406" s="126"/>
      <c r="H406" s="127"/>
      <c r="I406" s="118"/>
      <c r="J406" s="119"/>
      <c r="K406" s="119"/>
      <c r="L406" s="119"/>
      <c r="M406" s="119"/>
      <c r="N406" s="117" t="str">
        <f t="shared" si="37"/>
        <v/>
      </c>
      <c r="O406" s="97" t="str">
        <f t="shared" si="36"/>
        <v/>
      </c>
      <c r="P406" s="97" t="str">
        <f t="shared" si="38"/>
        <v/>
      </c>
      <c r="Q406" s="97" t="str">
        <f t="shared" si="39"/>
        <v/>
      </c>
      <c r="R406" s="97" t="str">
        <f t="shared" si="40"/>
        <v/>
      </c>
      <c r="S406" s="97" t="str">
        <f t="shared" si="41"/>
        <v/>
      </c>
    </row>
    <row r="407" spans="1:19">
      <c r="A407" s="128"/>
      <c r="B407" s="129"/>
      <c r="C407" s="125"/>
      <c r="D407" s="125"/>
      <c r="E407" s="125"/>
      <c r="F407" s="125"/>
      <c r="G407" s="126"/>
      <c r="H407" s="127"/>
      <c r="I407" s="118"/>
      <c r="J407" s="119"/>
      <c r="K407" s="119"/>
      <c r="L407" s="119"/>
      <c r="M407" s="119"/>
      <c r="N407" s="117" t="str">
        <f t="shared" si="37"/>
        <v/>
      </c>
      <c r="O407" s="97" t="str">
        <f t="shared" si="36"/>
        <v/>
      </c>
      <c r="P407" s="97" t="str">
        <f t="shared" si="38"/>
        <v/>
      </c>
      <c r="Q407" s="97" t="str">
        <f t="shared" si="39"/>
        <v/>
      </c>
      <c r="R407" s="97" t="str">
        <f t="shared" si="40"/>
        <v/>
      </c>
      <c r="S407" s="97" t="str">
        <f t="shared" si="41"/>
        <v/>
      </c>
    </row>
    <row r="408" spans="1:19">
      <c r="A408" s="128"/>
      <c r="B408" s="129"/>
      <c r="C408" s="125"/>
      <c r="D408" s="125"/>
      <c r="E408" s="125"/>
      <c r="F408" s="125"/>
      <c r="G408" s="126"/>
      <c r="H408" s="127"/>
      <c r="I408" s="118"/>
      <c r="J408" s="119"/>
      <c r="K408" s="119"/>
      <c r="L408" s="119"/>
      <c r="M408" s="119"/>
      <c r="N408" s="117" t="str">
        <f t="shared" si="37"/>
        <v/>
      </c>
      <c r="O408" s="97" t="str">
        <f t="shared" si="36"/>
        <v/>
      </c>
      <c r="P408" s="97" t="str">
        <f t="shared" si="38"/>
        <v/>
      </c>
      <c r="Q408" s="97" t="str">
        <f t="shared" si="39"/>
        <v/>
      </c>
      <c r="R408" s="97" t="str">
        <f t="shared" si="40"/>
        <v/>
      </c>
      <c r="S408" s="97" t="str">
        <f t="shared" si="41"/>
        <v/>
      </c>
    </row>
    <row r="409" spans="1:19">
      <c r="A409" s="128"/>
      <c r="B409" s="129"/>
      <c r="C409" s="125"/>
      <c r="D409" s="125"/>
      <c r="E409" s="125"/>
      <c r="F409" s="125"/>
      <c r="G409" s="126"/>
      <c r="H409" s="127"/>
      <c r="I409" s="118"/>
      <c r="J409" s="119"/>
      <c r="K409" s="119"/>
      <c r="L409" s="119"/>
      <c r="M409" s="119"/>
      <c r="N409" s="117" t="str">
        <f t="shared" si="37"/>
        <v/>
      </c>
      <c r="O409" s="97" t="str">
        <f t="shared" si="36"/>
        <v/>
      </c>
      <c r="P409" s="97" t="str">
        <f t="shared" si="38"/>
        <v/>
      </c>
      <c r="Q409" s="97" t="str">
        <f t="shared" si="39"/>
        <v/>
      </c>
      <c r="R409" s="97" t="str">
        <f t="shared" si="40"/>
        <v/>
      </c>
      <c r="S409" s="97" t="str">
        <f t="shared" si="41"/>
        <v/>
      </c>
    </row>
    <row r="410" spans="1:19">
      <c r="A410" s="128"/>
      <c r="B410" s="129"/>
      <c r="C410" s="125"/>
      <c r="D410" s="125"/>
      <c r="E410" s="125"/>
      <c r="F410" s="125"/>
      <c r="G410" s="126"/>
      <c r="H410" s="127"/>
      <c r="I410" s="118"/>
      <c r="J410" s="119"/>
      <c r="K410" s="119"/>
      <c r="L410" s="119"/>
      <c r="M410" s="119"/>
      <c r="N410" s="117" t="str">
        <f t="shared" si="37"/>
        <v/>
      </c>
      <c r="O410" s="97" t="str">
        <f t="shared" si="36"/>
        <v/>
      </c>
      <c r="P410" s="97" t="str">
        <f t="shared" si="38"/>
        <v/>
      </c>
      <c r="Q410" s="97" t="str">
        <f t="shared" si="39"/>
        <v/>
      </c>
      <c r="R410" s="97" t="str">
        <f t="shared" si="40"/>
        <v/>
      </c>
      <c r="S410" s="97" t="str">
        <f t="shared" si="41"/>
        <v/>
      </c>
    </row>
    <row r="411" spans="1:19">
      <c r="A411" s="128"/>
      <c r="B411" s="129"/>
      <c r="C411" s="125"/>
      <c r="D411" s="125"/>
      <c r="E411" s="125"/>
      <c r="F411" s="125"/>
      <c r="G411" s="126"/>
      <c r="H411" s="127"/>
      <c r="I411" s="118"/>
      <c r="J411" s="119"/>
      <c r="K411" s="119"/>
      <c r="L411" s="119"/>
      <c r="M411" s="119"/>
      <c r="N411" s="117" t="str">
        <f t="shared" si="37"/>
        <v/>
      </c>
      <c r="O411" s="97" t="str">
        <f t="shared" si="36"/>
        <v/>
      </c>
      <c r="P411" s="97" t="str">
        <f t="shared" si="38"/>
        <v/>
      </c>
      <c r="Q411" s="97" t="str">
        <f t="shared" si="39"/>
        <v/>
      </c>
      <c r="R411" s="97" t="str">
        <f t="shared" si="40"/>
        <v/>
      </c>
      <c r="S411" s="97" t="str">
        <f t="shared" si="41"/>
        <v/>
      </c>
    </row>
    <row r="412" spans="1:19">
      <c r="A412" s="128"/>
      <c r="B412" s="129"/>
      <c r="C412" s="125"/>
      <c r="D412" s="125"/>
      <c r="E412" s="125"/>
      <c r="F412" s="125"/>
      <c r="G412" s="126"/>
      <c r="H412" s="127"/>
      <c r="I412" s="118"/>
      <c r="J412" s="119"/>
      <c r="K412" s="119"/>
      <c r="L412" s="119"/>
      <c r="M412" s="119"/>
      <c r="N412" s="117" t="str">
        <f t="shared" si="37"/>
        <v/>
      </c>
      <c r="O412" s="97" t="str">
        <f t="shared" si="36"/>
        <v/>
      </c>
      <c r="P412" s="97" t="str">
        <f t="shared" si="38"/>
        <v/>
      </c>
      <c r="Q412" s="97" t="str">
        <f t="shared" si="39"/>
        <v/>
      </c>
      <c r="R412" s="97" t="str">
        <f t="shared" si="40"/>
        <v/>
      </c>
      <c r="S412" s="97" t="str">
        <f t="shared" si="41"/>
        <v/>
      </c>
    </row>
    <row r="413" spans="1:19">
      <c r="A413" s="128"/>
      <c r="B413" s="129"/>
      <c r="C413" s="125"/>
      <c r="D413" s="125"/>
      <c r="E413" s="125"/>
      <c r="F413" s="125"/>
      <c r="G413" s="126"/>
      <c r="H413" s="127"/>
      <c r="I413" s="118"/>
      <c r="J413" s="119"/>
      <c r="K413" s="119"/>
      <c r="L413" s="119"/>
      <c r="M413" s="119"/>
      <c r="N413" s="117" t="str">
        <f t="shared" si="37"/>
        <v/>
      </c>
      <c r="O413" s="97" t="str">
        <f t="shared" si="36"/>
        <v/>
      </c>
      <c r="P413" s="97" t="str">
        <f t="shared" si="38"/>
        <v/>
      </c>
      <c r="Q413" s="97" t="str">
        <f t="shared" si="39"/>
        <v/>
      </c>
      <c r="R413" s="97" t="str">
        <f t="shared" si="40"/>
        <v/>
      </c>
      <c r="S413" s="97" t="str">
        <f t="shared" si="41"/>
        <v/>
      </c>
    </row>
    <row r="414" spans="1:19">
      <c r="A414" s="128"/>
      <c r="B414" s="129"/>
      <c r="C414" s="125"/>
      <c r="D414" s="125"/>
      <c r="E414" s="125"/>
      <c r="F414" s="125"/>
      <c r="G414" s="126"/>
      <c r="H414" s="127"/>
      <c r="I414" s="118"/>
      <c r="J414" s="119"/>
      <c r="K414" s="119"/>
      <c r="L414" s="119"/>
      <c r="M414" s="119"/>
      <c r="N414" s="117" t="str">
        <f t="shared" si="37"/>
        <v/>
      </c>
      <c r="O414" s="97" t="str">
        <f t="shared" si="36"/>
        <v/>
      </c>
      <c r="P414" s="97" t="str">
        <f t="shared" si="38"/>
        <v/>
      </c>
      <c r="Q414" s="97" t="str">
        <f t="shared" si="39"/>
        <v/>
      </c>
      <c r="R414" s="97" t="str">
        <f t="shared" si="40"/>
        <v/>
      </c>
      <c r="S414" s="97" t="str">
        <f t="shared" si="41"/>
        <v/>
      </c>
    </row>
    <row r="415" spans="1:19">
      <c r="A415" s="128"/>
      <c r="B415" s="129"/>
      <c r="C415" s="125"/>
      <c r="D415" s="125"/>
      <c r="E415" s="125"/>
      <c r="F415" s="125"/>
      <c r="G415" s="126"/>
      <c r="H415" s="127"/>
      <c r="I415" s="118"/>
      <c r="J415" s="119"/>
      <c r="K415" s="119"/>
      <c r="L415" s="119"/>
      <c r="M415" s="119"/>
      <c r="N415" s="117" t="str">
        <f t="shared" si="37"/>
        <v/>
      </c>
      <c r="O415" s="97" t="str">
        <f t="shared" si="36"/>
        <v/>
      </c>
      <c r="P415" s="97" t="str">
        <f t="shared" si="38"/>
        <v/>
      </c>
      <c r="Q415" s="97" t="str">
        <f t="shared" si="39"/>
        <v/>
      </c>
      <c r="R415" s="97" t="str">
        <f t="shared" si="40"/>
        <v/>
      </c>
      <c r="S415" s="97" t="str">
        <f t="shared" si="41"/>
        <v/>
      </c>
    </row>
    <row r="416" spans="1:19">
      <c r="A416" s="128"/>
      <c r="B416" s="129"/>
      <c r="C416" s="125"/>
      <c r="D416" s="125"/>
      <c r="E416" s="125"/>
      <c r="F416" s="125"/>
      <c r="G416" s="126"/>
      <c r="H416" s="127"/>
      <c r="I416" s="118"/>
      <c r="J416" s="119"/>
      <c r="K416" s="119"/>
      <c r="L416" s="119"/>
      <c r="M416" s="119"/>
      <c r="N416" s="117" t="str">
        <f t="shared" si="37"/>
        <v/>
      </c>
      <c r="O416" s="97" t="str">
        <f t="shared" si="36"/>
        <v/>
      </c>
      <c r="P416" s="97" t="str">
        <f t="shared" si="38"/>
        <v/>
      </c>
      <c r="Q416" s="97" t="str">
        <f t="shared" si="39"/>
        <v/>
      </c>
      <c r="R416" s="97" t="str">
        <f t="shared" si="40"/>
        <v/>
      </c>
      <c r="S416" s="97" t="str">
        <f t="shared" si="41"/>
        <v/>
      </c>
    </row>
    <row r="417" spans="1:19">
      <c r="A417" s="128"/>
      <c r="B417" s="129"/>
      <c r="C417" s="125"/>
      <c r="D417" s="125"/>
      <c r="E417" s="125"/>
      <c r="F417" s="125"/>
      <c r="G417" s="126"/>
      <c r="H417" s="127"/>
      <c r="I417" s="118"/>
      <c r="J417" s="119"/>
      <c r="K417" s="119"/>
      <c r="L417" s="119"/>
      <c r="M417" s="119"/>
      <c r="N417" s="117" t="str">
        <f t="shared" si="37"/>
        <v/>
      </c>
      <c r="O417" s="97" t="str">
        <f t="shared" si="36"/>
        <v/>
      </c>
      <c r="P417" s="97" t="str">
        <f t="shared" si="38"/>
        <v/>
      </c>
      <c r="Q417" s="97" t="str">
        <f t="shared" si="39"/>
        <v/>
      </c>
      <c r="R417" s="97" t="str">
        <f t="shared" si="40"/>
        <v/>
      </c>
      <c r="S417" s="97" t="str">
        <f t="shared" si="41"/>
        <v/>
      </c>
    </row>
    <row r="418" spans="1:19">
      <c r="A418" s="128"/>
      <c r="B418" s="129"/>
      <c r="C418" s="125"/>
      <c r="D418" s="125"/>
      <c r="E418" s="125"/>
      <c r="F418" s="125"/>
      <c r="G418" s="126"/>
      <c r="H418" s="127"/>
      <c r="I418" s="118"/>
      <c r="J418" s="119"/>
      <c r="K418" s="119"/>
      <c r="L418" s="119"/>
      <c r="M418" s="119"/>
      <c r="N418" s="117" t="str">
        <f t="shared" si="37"/>
        <v/>
      </c>
      <c r="O418" s="97" t="str">
        <f t="shared" si="36"/>
        <v/>
      </c>
      <c r="P418" s="97" t="str">
        <f t="shared" si="38"/>
        <v/>
      </c>
      <c r="Q418" s="97" t="str">
        <f t="shared" si="39"/>
        <v/>
      </c>
      <c r="R418" s="97" t="str">
        <f t="shared" si="40"/>
        <v/>
      </c>
      <c r="S418" s="97" t="str">
        <f t="shared" si="41"/>
        <v/>
      </c>
    </row>
    <row r="419" spans="1:19">
      <c r="A419" s="128"/>
      <c r="B419" s="129"/>
      <c r="C419" s="125"/>
      <c r="D419" s="125"/>
      <c r="E419" s="125"/>
      <c r="F419" s="125"/>
      <c r="G419" s="126"/>
      <c r="H419" s="127"/>
      <c r="I419" s="118"/>
      <c r="J419" s="119"/>
      <c r="K419" s="119"/>
      <c r="L419" s="119"/>
      <c r="M419" s="119"/>
      <c r="N419" s="117" t="str">
        <f t="shared" si="37"/>
        <v/>
      </c>
      <c r="O419" s="97" t="str">
        <f t="shared" si="36"/>
        <v/>
      </c>
      <c r="P419" s="97" t="str">
        <f t="shared" si="38"/>
        <v/>
      </c>
      <c r="Q419" s="97" t="str">
        <f t="shared" si="39"/>
        <v/>
      </c>
      <c r="R419" s="97" t="str">
        <f t="shared" si="40"/>
        <v/>
      </c>
      <c r="S419" s="97" t="str">
        <f t="shared" si="41"/>
        <v/>
      </c>
    </row>
    <row r="420" spans="1:19">
      <c r="A420" s="128"/>
      <c r="B420" s="129"/>
      <c r="C420" s="125"/>
      <c r="D420" s="125"/>
      <c r="E420" s="125"/>
      <c r="F420" s="125"/>
      <c r="G420" s="126"/>
      <c r="H420" s="127"/>
      <c r="I420" s="118"/>
      <c r="J420" s="119"/>
      <c r="K420" s="119"/>
      <c r="L420" s="119"/>
      <c r="M420" s="119"/>
      <c r="N420" s="117" t="str">
        <f t="shared" si="37"/>
        <v/>
      </c>
      <c r="O420" s="97" t="str">
        <f t="shared" si="36"/>
        <v/>
      </c>
      <c r="P420" s="97" t="str">
        <f t="shared" si="38"/>
        <v/>
      </c>
      <c r="Q420" s="97" t="str">
        <f t="shared" si="39"/>
        <v/>
      </c>
      <c r="R420" s="97" t="str">
        <f t="shared" si="40"/>
        <v/>
      </c>
      <c r="S420" s="97" t="str">
        <f t="shared" si="41"/>
        <v/>
      </c>
    </row>
    <row r="421" spans="1:19">
      <c r="A421" s="128"/>
      <c r="B421" s="129"/>
      <c r="C421" s="125"/>
      <c r="D421" s="125"/>
      <c r="E421" s="125"/>
      <c r="F421" s="125"/>
      <c r="G421" s="126"/>
      <c r="H421" s="127"/>
      <c r="I421" s="118"/>
      <c r="J421" s="119"/>
      <c r="K421" s="119"/>
      <c r="L421" s="119"/>
      <c r="M421" s="119"/>
      <c r="N421" s="117" t="str">
        <f t="shared" si="37"/>
        <v/>
      </c>
      <c r="O421" s="97" t="str">
        <f t="shared" si="36"/>
        <v/>
      </c>
      <c r="P421" s="97" t="str">
        <f t="shared" si="38"/>
        <v/>
      </c>
      <c r="Q421" s="97" t="str">
        <f t="shared" si="39"/>
        <v/>
      </c>
      <c r="R421" s="97" t="str">
        <f t="shared" si="40"/>
        <v/>
      </c>
      <c r="S421" s="97" t="str">
        <f t="shared" si="41"/>
        <v/>
      </c>
    </row>
    <row r="422" spans="1:19">
      <c r="A422" s="128"/>
      <c r="B422" s="129"/>
      <c r="C422" s="125"/>
      <c r="D422" s="125"/>
      <c r="E422" s="125"/>
      <c r="F422" s="125"/>
      <c r="G422" s="126"/>
      <c r="H422" s="127"/>
      <c r="I422" s="118"/>
      <c r="J422" s="119"/>
      <c r="K422" s="119"/>
      <c r="L422" s="119"/>
      <c r="M422" s="119"/>
      <c r="N422" s="117" t="str">
        <f t="shared" si="37"/>
        <v/>
      </c>
      <c r="O422" s="97" t="str">
        <f t="shared" si="36"/>
        <v/>
      </c>
      <c r="P422" s="97" t="str">
        <f t="shared" si="38"/>
        <v/>
      </c>
      <c r="Q422" s="97" t="str">
        <f t="shared" si="39"/>
        <v/>
      </c>
      <c r="R422" s="97" t="str">
        <f t="shared" si="40"/>
        <v/>
      </c>
      <c r="S422" s="97" t="str">
        <f t="shared" si="41"/>
        <v/>
      </c>
    </row>
    <row r="423" spans="1:19">
      <c r="A423" s="128"/>
      <c r="B423" s="129"/>
      <c r="C423" s="125"/>
      <c r="D423" s="125"/>
      <c r="E423" s="125"/>
      <c r="F423" s="125"/>
      <c r="G423" s="126"/>
      <c r="H423" s="127"/>
      <c r="I423" s="118"/>
      <c r="J423" s="119"/>
      <c r="K423" s="119"/>
      <c r="L423" s="119"/>
      <c r="M423" s="119"/>
      <c r="N423" s="117" t="str">
        <f t="shared" si="37"/>
        <v/>
      </c>
      <c r="O423" s="97" t="str">
        <f t="shared" si="36"/>
        <v/>
      </c>
      <c r="P423" s="97" t="str">
        <f t="shared" si="38"/>
        <v/>
      </c>
      <c r="Q423" s="97" t="str">
        <f t="shared" si="39"/>
        <v/>
      </c>
      <c r="R423" s="97" t="str">
        <f t="shared" si="40"/>
        <v/>
      </c>
      <c r="S423" s="97" t="str">
        <f t="shared" si="41"/>
        <v/>
      </c>
    </row>
    <row r="424" spans="1:19">
      <c r="A424" s="128"/>
      <c r="B424" s="129"/>
      <c r="C424" s="125"/>
      <c r="D424" s="125"/>
      <c r="E424" s="125"/>
      <c r="F424" s="125"/>
      <c r="G424" s="126"/>
      <c r="H424" s="127"/>
      <c r="I424" s="118"/>
      <c r="J424" s="119"/>
      <c r="K424" s="119"/>
      <c r="L424" s="119"/>
      <c r="M424" s="119"/>
      <c r="N424" s="117" t="str">
        <f t="shared" si="37"/>
        <v/>
      </c>
      <c r="O424" s="97" t="str">
        <f t="shared" si="36"/>
        <v/>
      </c>
      <c r="P424" s="97" t="str">
        <f t="shared" si="38"/>
        <v/>
      </c>
      <c r="Q424" s="97" t="str">
        <f t="shared" si="39"/>
        <v/>
      </c>
      <c r="R424" s="97" t="str">
        <f t="shared" si="40"/>
        <v/>
      </c>
      <c r="S424" s="97" t="str">
        <f t="shared" si="41"/>
        <v/>
      </c>
    </row>
    <row r="425" spans="1:19">
      <c r="A425" s="128"/>
      <c r="B425" s="129"/>
      <c r="C425" s="125"/>
      <c r="D425" s="125"/>
      <c r="E425" s="125"/>
      <c r="F425" s="125"/>
      <c r="G425" s="126"/>
      <c r="H425" s="127"/>
      <c r="I425" s="118"/>
      <c r="J425" s="119"/>
      <c r="K425" s="119"/>
      <c r="L425" s="119"/>
      <c r="M425" s="119"/>
      <c r="N425" s="117" t="str">
        <f t="shared" si="37"/>
        <v/>
      </c>
      <c r="O425" s="97" t="str">
        <f t="shared" si="36"/>
        <v/>
      </c>
      <c r="P425" s="97" t="str">
        <f t="shared" si="38"/>
        <v/>
      </c>
      <c r="Q425" s="97" t="str">
        <f t="shared" si="39"/>
        <v/>
      </c>
      <c r="R425" s="97" t="str">
        <f t="shared" si="40"/>
        <v/>
      </c>
      <c r="S425" s="97" t="str">
        <f t="shared" si="41"/>
        <v/>
      </c>
    </row>
    <row r="426" spans="1:19">
      <c r="A426" s="128"/>
      <c r="B426" s="129"/>
      <c r="C426" s="125"/>
      <c r="D426" s="125"/>
      <c r="E426" s="125"/>
      <c r="F426" s="125"/>
      <c r="G426" s="126"/>
      <c r="H426" s="127"/>
      <c r="I426" s="118"/>
      <c r="J426" s="119"/>
      <c r="K426" s="119"/>
      <c r="L426" s="119"/>
      <c r="M426" s="119"/>
      <c r="N426" s="117" t="str">
        <f t="shared" si="37"/>
        <v/>
      </c>
      <c r="O426" s="97" t="str">
        <f t="shared" si="36"/>
        <v/>
      </c>
      <c r="P426" s="97" t="str">
        <f t="shared" si="38"/>
        <v/>
      </c>
      <c r="Q426" s="97" t="str">
        <f t="shared" si="39"/>
        <v/>
      </c>
      <c r="R426" s="97" t="str">
        <f t="shared" si="40"/>
        <v/>
      </c>
      <c r="S426" s="97" t="str">
        <f t="shared" si="41"/>
        <v/>
      </c>
    </row>
    <row r="427" spans="1:19">
      <c r="A427" s="128"/>
      <c r="B427" s="129"/>
      <c r="C427" s="125"/>
      <c r="D427" s="125"/>
      <c r="E427" s="125"/>
      <c r="F427" s="125"/>
      <c r="G427" s="126"/>
      <c r="H427" s="127"/>
      <c r="I427" s="118"/>
      <c r="J427" s="119"/>
      <c r="K427" s="119"/>
      <c r="L427" s="119"/>
      <c r="M427" s="119"/>
      <c r="N427" s="117" t="str">
        <f t="shared" si="37"/>
        <v/>
      </c>
      <c r="O427" s="97" t="str">
        <f t="shared" si="36"/>
        <v/>
      </c>
      <c r="P427" s="97" t="str">
        <f t="shared" si="38"/>
        <v/>
      </c>
      <c r="Q427" s="97" t="str">
        <f t="shared" si="39"/>
        <v/>
      </c>
      <c r="R427" s="97" t="str">
        <f t="shared" si="40"/>
        <v/>
      </c>
      <c r="S427" s="97" t="str">
        <f t="shared" si="41"/>
        <v/>
      </c>
    </row>
    <row r="428" spans="1:19">
      <c r="A428" s="128"/>
      <c r="B428" s="129"/>
      <c r="C428" s="125"/>
      <c r="D428" s="125"/>
      <c r="E428" s="125"/>
      <c r="F428" s="125"/>
      <c r="G428" s="126"/>
      <c r="H428" s="127"/>
      <c r="I428" s="118"/>
      <c r="J428" s="119"/>
      <c r="K428" s="119"/>
      <c r="L428" s="119"/>
      <c r="M428" s="119"/>
      <c r="N428" s="117" t="str">
        <f t="shared" si="37"/>
        <v/>
      </c>
      <c r="O428" s="97" t="str">
        <f t="shared" si="36"/>
        <v/>
      </c>
      <c r="P428" s="97" t="str">
        <f t="shared" si="38"/>
        <v/>
      </c>
      <c r="Q428" s="97" t="str">
        <f t="shared" si="39"/>
        <v/>
      </c>
      <c r="R428" s="97" t="str">
        <f t="shared" si="40"/>
        <v/>
      </c>
      <c r="S428" s="97" t="str">
        <f t="shared" si="41"/>
        <v/>
      </c>
    </row>
    <row r="429" spans="1:19">
      <c r="A429" s="128"/>
      <c r="B429" s="129"/>
      <c r="C429" s="125"/>
      <c r="D429" s="125"/>
      <c r="E429" s="125"/>
      <c r="F429" s="125"/>
      <c r="G429" s="126"/>
      <c r="H429" s="127"/>
      <c r="I429" s="118"/>
      <c r="J429" s="119"/>
      <c r="K429" s="119"/>
      <c r="L429" s="119"/>
      <c r="M429" s="119"/>
      <c r="N429" s="117" t="str">
        <f t="shared" si="37"/>
        <v/>
      </c>
      <c r="O429" s="97" t="str">
        <f t="shared" si="36"/>
        <v/>
      </c>
      <c r="P429" s="97" t="str">
        <f t="shared" si="38"/>
        <v/>
      </c>
      <c r="Q429" s="97" t="str">
        <f t="shared" si="39"/>
        <v/>
      </c>
      <c r="R429" s="97" t="str">
        <f t="shared" si="40"/>
        <v/>
      </c>
      <c r="S429" s="97" t="str">
        <f t="shared" si="41"/>
        <v/>
      </c>
    </row>
    <row r="430" spans="1:19" ht="15.75" thickBot="1">
      <c r="A430" s="130"/>
      <c r="B430" s="131"/>
      <c r="C430" s="132"/>
      <c r="D430" s="132"/>
      <c r="E430" s="132"/>
      <c r="F430" s="132"/>
      <c r="G430" s="133"/>
      <c r="H430" s="134"/>
      <c r="I430" s="135"/>
      <c r="J430" s="136"/>
      <c r="K430" s="136"/>
      <c r="L430" s="136"/>
      <c r="M430" s="136"/>
      <c r="N430" s="117" t="str">
        <f t="shared" si="37"/>
        <v/>
      </c>
      <c r="O430" s="97" t="str">
        <f t="shared" si="36"/>
        <v/>
      </c>
      <c r="P430" s="97" t="str">
        <f t="shared" si="38"/>
        <v/>
      </c>
      <c r="Q430" s="97" t="str">
        <f t="shared" si="39"/>
        <v/>
      </c>
      <c r="R430" s="97" t="str">
        <f t="shared" si="40"/>
        <v/>
      </c>
      <c r="S430" s="97" t="str">
        <f t="shared" si="41"/>
        <v/>
      </c>
    </row>
    <row r="431" spans="1:19">
      <c r="A431" s="137"/>
      <c r="G431" s="138"/>
    </row>
    <row r="432" spans="1:19">
      <c r="G432" s="138"/>
    </row>
    <row r="433" spans="7:7">
      <c r="G433" s="138"/>
    </row>
    <row r="434" spans="7:7">
      <c r="G434" s="138"/>
    </row>
    <row r="435" spans="7:7">
      <c r="G435" s="138"/>
    </row>
    <row r="436" spans="7:7">
      <c r="G436" s="138"/>
    </row>
    <row r="437" spans="7:7">
      <c r="G437" s="138"/>
    </row>
    <row r="438" spans="7:7">
      <c r="G438" s="138"/>
    </row>
    <row r="439" spans="7:7">
      <c r="G439" s="138"/>
    </row>
  </sheetData>
  <sheetProtection algorithmName="SHA-512" hashValue="aGn8eVjs1ydbr93TJe5NsaGLDBZHy7N7noNVPo05JoYRbCqp0GgNrsXP09hDgV1lS+AqBTcX/sM+P/WnjcjhSA==" saltValue="hSJaQIc5E23xDkaT1cENQw==" spinCount="100000" sheet="1" objects="1" scenarios="1" formatCells="0" formatColumns="0" formatRows="0" deleteRows="0" sort="0" autoFilter="0"/>
  <mergeCells count="3">
    <mergeCell ref="O4:S4"/>
    <mergeCell ref="A1:H1"/>
    <mergeCell ref="K4:L4"/>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3A84-91FA-E240-A9F4-F3F5ABF9287C}">
  <dimension ref="A1:X439"/>
  <sheetViews>
    <sheetView workbookViewId="0">
      <selection activeCell="A6" sqref="A6:H16"/>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6" width="13.140625" style="5" customWidth="1"/>
    <col min="17" max="17" width="12.42578125" style="78" customWidth="1"/>
    <col min="18" max="24" width="3.42578125" style="5" hidden="1" customWidth="1"/>
    <col min="25" max="16384" width="10" style="5"/>
  </cols>
  <sheetData>
    <row r="1" spans="1:24" ht="30" customHeight="1" thickBot="1">
      <c r="A1" s="213" t="s">
        <v>17</v>
      </c>
      <c r="B1" s="214"/>
      <c r="C1" s="214"/>
      <c r="D1" s="214"/>
      <c r="E1" s="214"/>
      <c r="F1" s="214"/>
      <c r="G1" s="214"/>
      <c r="H1" s="215"/>
      <c r="I1" s="4"/>
      <c r="J1" s="4"/>
      <c r="K1" s="4"/>
    </row>
    <row r="2" spans="1:24" ht="15" customHeight="1" thickBot="1">
      <c r="D2" s="79"/>
    </row>
    <row r="3" spans="1:24" s="175" customFormat="1" ht="15.75" thickBot="1">
      <c r="A3" s="170" t="s">
        <v>5</v>
      </c>
      <c r="B3" s="171" t="s">
        <v>5</v>
      </c>
      <c r="C3" s="171" t="s">
        <v>5</v>
      </c>
      <c r="D3" s="171" t="s">
        <v>5</v>
      </c>
      <c r="E3" s="171" t="s">
        <v>5</v>
      </c>
      <c r="F3" s="172" t="s">
        <v>4</v>
      </c>
      <c r="G3" s="172" t="s">
        <v>4</v>
      </c>
      <c r="H3" s="173" t="s">
        <v>4</v>
      </c>
      <c r="I3" s="177" t="s">
        <v>5</v>
      </c>
      <c r="J3" s="178" t="s">
        <v>5</v>
      </c>
      <c r="K3" s="178" t="s">
        <v>5</v>
      </c>
      <c r="L3" s="178" t="s">
        <v>5</v>
      </c>
      <c r="M3" s="180" t="s">
        <v>5</v>
      </c>
      <c r="N3" s="178" t="s">
        <v>5</v>
      </c>
      <c r="O3" s="178" t="s">
        <v>5</v>
      </c>
      <c r="P3" s="178" t="s">
        <v>5</v>
      </c>
      <c r="Q3" s="176" t="s">
        <v>5</v>
      </c>
    </row>
    <row r="4" spans="1:24" s="6" customFormat="1" ht="33" customHeight="1" thickBot="1">
      <c r="A4" s="80"/>
      <c r="B4" s="81"/>
      <c r="C4" s="82"/>
      <c r="D4" s="81"/>
      <c r="E4" s="82"/>
      <c r="F4" s="83"/>
      <c r="G4" s="84"/>
      <c r="H4" s="83"/>
      <c r="I4" s="148"/>
      <c r="J4" s="149"/>
      <c r="K4" s="216" t="s">
        <v>13</v>
      </c>
      <c r="L4" s="217"/>
      <c r="M4" s="150"/>
      <c r="N4" s="209" t="s">
        <v>36</v>
      </c>
      <c r="O4" s="210"/>
      <c r="P4" s="211"/>
      <c r="Q4" s="85"/>
      <c r="R4" s="212" t="s">
        <v>28</v>
      </c>
      <c r="S4" s="212"/>
      <c r="T4" s="212"/>
      <c r="U4" s="212"/>
      <c r="V4" s="212"/>
      <c r="W4" s="212"/>
      <c r="X4" s="212"/>
    </row>
    <row r="5" spans="1:24" ht="60.75" thickBot="1">
      <c r="A5" s="50" t="s">
        <v>7</v>
      </c>
      <c r="B5" s="50" t="s">
        <v>19</v>
      </c>
      <c r="C5" s="51" t="s">
        <v>0</v>
      </c>
      <c r="D5" s="52" t="s">
        <v>6</v>
      </c>
      <c r="E5" s="53" t="s">
        <v>1</v>
      </c>
      <c r="F5" s="54" t="s">
        <v>2</v>
      </c>
      <c r="G5" s="55" t="s">
        <v>8</v>
      </c>
      <c r="H5" s="56" t="s">
        <v>3</v>
      </c>
      <c r="I5" s="139" t="s">
        <v>9</v>
      </c>
      <c r="J5" s="140" t="s">
        <v>10</v>
      </c>
      <c r="K5" s="58" t="s">
        <v>12</v>
      </c>
      <c r="L5" s="59" t="s">
        <v>14</v>
      </c>
      <c r="M5" s="140" t="s">
        <v>15</v>
      </c>
      <c r="N5" s="58" t="s">
        <v>32</v>
      </c>
      <c r="O5" s="141" t="s">
        <v>21</v>
      </c>
      <c r="P5" s="59" t="s">
        <v>33</v>
      </c>
      <c r="Q5" s="60" t="s">
        <v>11</v>
      </c>
      <c r="R5" s="18" t="s">
        <v>34</v>
      </c>
      <c r="S5" s="18" t="s">
        <v>35</v>
      </c>
      <c r="T5" s="18" t="s">
        <v>31</v>
      </c>
      <c r="U5" s="18" t="s">
        <v>30</v>
      </c>
      <c r="V5" s="18" t="s">
        <v>29</v>
      </c>
      <c r="W5" s="18" t="s">
        <v>26</v>
      </c>
      <c r="X5" s="18" t="s">
        <v>27</v>
      </c>
    </row>
    <row r="6" spans="1:24">
      <c r="A6" s="86">
        <v>45780</v>
      </c>
      <c r="B6" s="86" t="s">
        <v>87</v>
      </c>
      <c r="C6" s="189" t="s">
        <v>63</v>
      </c>
      <c r="D6" s="189" t="s">
        <v>64</v>
      </c>
      <c r="E6" s="189" t="s">
        <v>52</v>
      </c>
      <c r="F6" s="142" t="s">
        <v>88</v>
      </c>
      <c r="G6" s="143">
        <v>40959</v>
      </c>
      <c r="H6" s="61" t="s">
        <v>85</v>
      </c>
      <c r="I6" s="62"/>
      <c r="J6" s="63"/>
      <c r="K6" s="64"/>
      <c r="L6" s="64"/>
      <c r="M6" s="64"/>
      <c r="N6" s="144"/>
      <c r="O6" s="144"/>
      <c r="P6" s="145">
        <f>IF($C6="","",IF($N6+$O6=0,0,$N6/($N6+$O6)))</f>
        <v>0</v>
      </c>
      <c r="Q6" s="65">
        <f>IF($C6="","",IF(TRIM($B6)="beginning",(((SUM($R6:$X6)-3371)/2251)*40)+360,IF(TRIM($B6)="middle",(((SUM($R6:$X6)-3371)/2251)*40)+400,IF(TRIM($B6)="end",(((SUM($R6:$X6)-3371)/2251)*40)+440,""))))</f>
        <v>300.09773434029319</v>
      </c>
      <c r="R6" s="5">
        <f>IF($C6="","",I6*10.72)</f>
        <v>0</v>
      </c>
      <c r="S6" s="5">
        <f>IF($C6="","",J6*2.13)</f>
        <v>0</v>
      </c>
      <c r="T6" s="5">
        <f>IF($C6="","",K6*23.13)</f>
        <v>0</v>
      </c>
      <c r="U6" s="5">
        <f>IF($C6="","",L6*7.79)</f>
        <v>0</v>
      </c>
      <c r="V6" s="5">
        <f>IF($C6="","",M6*13.51)</f>
        <v>0</v>
      </c>
      <c r="W6" s="5">
        <f>IF($C6="","",N6*25.36)</f>
        <v>0</v>
      </c>
      <c r="X6" s="5">
        <f>IF($C6="","",P6*0.25)</f>
        <v>0</v>
      </c>
    </row>
    <row r="7" spans="1:24">
      <c r="A7" s="87">
        <v>45780</v>
      </c>
      <c r="B7" s="86" t="s">
        <v>87</v>
      </c>
      <c r="C7" s="189" t="s">
        <v>65</v>
      </c>
      <c r="D7" s="189" t="s">
        <v>66</v>
      </c>
      <c r="E7" s="189" t="s">
        <v>53</v>
      </c>
      <c r="F7" s="69" t="s">
        <v>89</v>
      </c>
      <c r="G7" s="70">
        <v>40960</v>
      </c>
      <c r="H7" s="71" t="s">
        <v>85</v>
      </c>
      <c r="I7" s="66"/>
      <c r="J7" s="67"/>
      <c r="K7" s="67"/>
      <c r="L7" s="67"/>
      <c r="M7" s="67"/>
      <c r="N7" s="67"/>
      <c r="O7" s="67"/>
      <c r="P7" s="145">
        <f t="shared" ref="P7:P70" si="0">IF($C7="","",IF($N7+$O7=0,0,$N7/($N7+$O7)))</f>
        <v>0</v>
      </c>
      <c r="Q7" s="65">
        <f t="shared" ref="Q7:Q70" si="1">IF($C7="","",IF(TRIM($B7)="beginning",(((SUM($R7:$X7)-3371)/2251)*40)+360,IF(TRIM($B7)="middle",(((SUM($R7:$X7)-3371)/2251)*40)+400,IF(TRIM($B7)="end",(((SUM($R7:$X7)-3371)/2251)*40)+440,""))))</f>
        <v>300.09773434029319</v>
      </c>
      <c r="R7" s="5">
        <f t="shared" ref="R7:R70" si="2">IF($C7="","",I7*10.72)</f>
        <v>0</v>
      </c>
      <c r="S7" s="5">
        <f t="shared" ref="S7:S70" si="3">IF($C7="","",J7*2.13)</f>
        <v>0</v>
      </c>
      <c r="T7" s="5">
        <f t="shared" ref="T7:T70" si="4">IF($C7="","",K7*23.13)</f>
        <v>0</v>
      </c>
      <c r="U7" s="5">
        <f t="shared" ref="U7:U70" si="5">IF($C7="","",L7*7.79)</f>
        <v>0</v>
      </c>
      <c r="V7" s="5">
        <f t="shared" ref="V7:V70" si="6">IF($C7="","",M7*13.51)</f>
        <v>0</v>
      </c>
      <c r="W7" s="5">
        <f t="shared" ref="W7:W70" si="7">IF($C7="","",N7*25.36)</f>
        <v>0</v>
      </c>
      <c r="X7" s="5">
        <f t="shared" ref="X7:X70" si="8">IF($C7="","",P7*0.25)</f>
        <v>0</v>
      </c>
    </row>
    <row r="8" spans="1:24">
      <c r="A8" s="87">
        <v>45780</v>
      </c>
      <c r="B8" s="86" t="s">
        <v>87</v>
      </c>
      <c r="C8" s="189" t="s">
        <v>67</v>
      </c>
      <c r="D8" s="189" t="s">
        <v>68</v>
      </c>
      <c r="E8" s="189" t="s">
        <v>54</v>
      </c>
      <c r="F8" s="69" t="s">
        <v>88</v>
      </c>
      <c r="G8" s="70">
        <v>40961</v>
      </c>
      <c r="H8" s="71" t="s">
        <v>85</v>
      </c>
      <c r="I8" s="66"/>
      <c r="J8" s="67"/>
      <c r="K8" s="67"/>
      <c r="L8" s="67"/>
      <c r="M8" s="67"/>
      <c r="N8" s="67"/>
      <c r="O8" s="67"/>
      <c r="P8" s="145">
        <f t="shared" si="0"/>
        <v>0</v>
      </c>
      <c r="Q8" s="65">
        <f t="shared" si="1"/>
        <v>300.09773434029319</v>
      </c>
      <c r="R8" s="5">
        <f t="shared" si="2"/>
        <v>0</v>
      </c>
      <c r="S8" s="5">
        <f t="shared" si="3"/>
        <v>0</v>
      </c>
      <c r="T8" s="5">
        <f t="shared" si="4"/>
        <v>0</v>
      </c>
      <c r="U8" s="5">
        <f t="shared" si="5"/>
        <v>0</v>
      </c>
      <c r="V8" s="5">
        <f t="shared" si="6"/>
        <v>0</v>
      </c>
      <c r="W8" s="5">
        <f t="shared" si="7"/>
        <v>0</v>
      </c>
      <c r="X8" s="5">
        <f t="shared" si="8"/>
        <v>0</v>
      </c>
    </row>
    <row r="9" spans="1:24">
      <c r="A9" s="87">
        <v>45780</v>
      </c>
      <c r="B9" s="86" t="s">
        <v>87</v>
      </c>
      <c r="C9" s="189" t="s">
        <v>69</v>
      </c>
      <c r="D9" s="189" t="s">
        <v>70</v>
      </c>
      <c r="E9" s="189" t="s">
        <v>55</v>
      </c>
      <c r="F9" s="69" t="s">
        <v>88</v>
      </c>
      <c r="G9" s="70">
        <v>40962</v>
      </c>
      <c r="H9" s="71" t="s">
        <v>85</v>
      </c>
      <c r="I9" s="66"/>
      <c r="J9" s="67"/>
      <c r="K9" s="67"/>
      <c r="L9" s="67"/>
      <c r="M9" s="67"/>
      <c r="N9" s="67"/>
      <c r="O9" s="67"/>
      <c r="P9" s="145">
        <f t="shared" si="0"/>
        <v>0</v>
      </c>
      <c r="Q9" s="65">
        <f t="shared" si="1"/>
        <v>300.09773434029319</v>
      </c>
      <c r="R9" s="5">
        <f t="shared" si="2"/>
        <v>0</v>
      </c>
      <c r="S9" s="5">
        <f t="shared" si="3"/>
        <v>0</v>
      </c>
      <c r="T9" s="5">
        <f t="shared" si="4"/>
        <v>0</v>
      </c>
      <c r="U9" s="5">
        <f t="shared" si="5"/>
        <v>0</v>
      </c>
      <c r="V9" s="5">
        <f t="shared" si="6"/>
        <v>0</v>
      </c>
      <c r="W9" s="5">
        <f t="shared" si="7"/>
        <v>0</v>
      </c>
      <c r="X9" s="5">
        <f t="shared" si="8"/>
        <v>0</v>
      </c>
    </row>
    <row r="10" spans="1:24">
      <c r="A10" s="87">
        <v>45780</v>
      </c>
      <c r="B10" s="86" t="s">
        <v>87</v>
      </c>
      <c r="C10" s="189" t="s">
        <v>71</v>
      </c>
      <c r="D10" s="189" t="s">
        <v>72</v>
      </c>
      <c r="E10" s="189" t="s">
        <v>56</v>
      </c>
      <c r="F10" s="69" t="s">
        <v>89</v>
      </c>
      <c r="G10" s="70">
        <v>40970</v>
      </c>
      <c r="H10" s="71" t="s">
        <v>86</v>
      </c>
      <c r="I10" s="66"/>
      <c r="J10" s="67"/>
      <c r="K10" s="67"/>
      <c r="L10" s="67"/>
      <c r="M10" s="67"/>
      <c r="N10" s="67"/>
      <c r="O10" s="67"/>
      <c r="P10" s="145">
        <f t="shared" si="0"/>
        <v>0</v>
      </c>
      <c r="Q10" s="65">
        <f t="shared" si="1"/>
        <v>300.09773434029319</v>
      </c>
      <c r="R10" s="5">
        <f t="shared" si="2"/>
        <v>0</v>
      </c>
      <c r="S10" s="5">
        <f t="shared" si="3"/>
        <v>0</v>
      </c>
      <c r="T10" s="5">
        <f t="shared" si="4"/>
        <v>0</v>
      </c>
      <c r="U10" s="5">
        <f t="shared" si="5"/>
        <v>0</v>
      </c>
      <c r="V10" s="5">
        <f t="shared" si="6"/>
        <v>0</v>
      </c>
      <c r="W10" s="5">
        <f t="shared" si="7"/>
        <v>0</v>
      </c>
      <c r="X10" s="5">
        <f t="shared" si="8"/>
        <v>0</v>
      </c>
    </row>
    <row r="11" spans="1:24">
      <c r="A11" s="87">
        <v>45780</v>
      </c>
      <c r="B11" s="86" t="s">
        <v>87</v>
      </c>
      <c r="C11" s="189" t="s">
        <v>73</v>
      </c>
      <c r="D11" s="189" t="s">
        <v>74</v>
      </c>
      <c r="E11" s="189" t="s">
        <v>57</v>
      </c>
      <c r="F11" s="69" t="s">
        <v>89</v>
      </c>
      <c r="G11" s="70">
        <v>40963</v>
      </c>
      <c r="H11" s="71" t="s">
        <v>85</v>
      </c>
      <c r="I11" s="66"/>
      <c r="J11" s="67"/>
      <c r="K11" s="67"/>
      <c r="L11" s="67"/>
      <c r="M11" s="67"/>
      <c r="N11" s="67"/>
      <c r="O11" s="67"/>
      <c r="P11" s="145">
        <f t="shared" si="0"/>
        <v>0</v>
      </c>
      <c r="Q11" s="65">
        <f t="shared" si="1"/>
        <v>300.09773434029319</v>
      </c>
      <c r="R11" s="5">
        <f t="shared" si="2"/>
        <v>0</v>
      </c>
      <c r="S11" s="5">
        <f t="shared" si="3"/>
        <v>0</v>
      </c>
      <c r="T11" s="5">
        <f t="shared" si="4"/>
        <v>0</v>
      </c>
      <c r="U11" s="5">
        <f t="shared" si="5"/>
        <v>0</v>
      </c>
      <c r="V11" s="5">
        <f t="shared" si="6"/>
        <v>0</v>
      </c>
      <c r="W11" s="5">
        <f t="shared" si="7"/>
        <v>0</v>
      </c>
      <c r="X11" s="5">
        <f t="shared" si="8"/>
        <v>0</v>
      </c>
    </row>
    <row r="12" spans="1:24">
      <c r="A12" s="87">
        <v>45780</v>
      </c>
      <c r="B12" s="86" t="s">
        <v>87</v>
      </c>
      <c r="C12" s="189" t="s">
        <v>75</v>
      </c>
      <c r="D12" s="189" t="s">
        <v>76</v>
      </c>
      <c r="E12" s="189" t="s">
        <v>58</v>
      </c>
      <c r="F12" s="69" t="s">
        <v>88</v>
      </c>
      <c r="G12" s="70">
        <v>40964</v>
      </c>
      <c r="H12" s="71" t="s">
        <v>86</v>
      </c>
      <c r="I12" s="66"/>
      <c r="J12" s="67"/>
      <c r="K12" s="67"/>
      <c r="L12" s="67"/>
      <c r="M12" s="67"/>
      <c r="N12" s="67"/>
      <c r="O12" s="67"/>
      <c r="P12" s="145">
        <f t="shared" si="0"/>
        <v>0</v>
      </c>
      <c r="Q12" s="65">
        <f t="shared" si="1"/>
        <v>300.09773434029319</v>
      </c>
      <c r="R12" s="5">
        <f t="shared" si="2"/>
        <v>0</v>
      </c>
      <c r="S12" s="5">
        <f t="shared" si="3"/>
        <v>0</v>
      </c>
      <c r="T12" s="5">
        <f t="shared" si="4"/>
        <v>0</v>
      </c>
      <c r="U12" s="5">
        <f t="shared" si="5"/>
        <v>0</v>
      </c>
      <c r="V12" s="5">
        <f t="shared" si="6"/>
        <v>0</v>
      </c>
      <c r="W12" s="5">
        <f t="shared" si="7"/>
        <v>0</v>
      </c>
      <c r="X12" s="5">
        <f t="shared" si="8"/>
        <v>0</v>
      </c>
    </row>
    <row r="13" spans="1:24">
      <c r="A13" s="87">
        <v>45780</v>
      </c>
      <c r="B13" s="86" t="s">
        <v>87</v>
      </c>
      <c r="C13" s="189" t="s">
        <v>77</v>
      </c>
      <c r="D13" s="189" t="s">
        <v>78</v>
      </c>
      <c r="E13" s="189" t="s">
        <v>59</v>
      </c>
      <c r="F13" s="69" t="s">
        <v>89</v>
      </c>
      <c r="G13" s="70">
        <v>40965</v>
      </c>
      <c r="H13" s="71" t="s">
        <v>86</v>
      </c>
      <c r="I13" s="66"/>
      <c r="J13" s="67"/>
      <c r="K13" s="67"/>
      <c r="L13" s="67"/>
      <c r="M13" s="67"/>
      <c r="N13" s="67"/>
      <c r="O13" s="67"/>
      <c r="P13" s="145">
        <f t="shared" si="0"/>
        <v>0</v>
      </c>
      <c r="Q13" s="65">
        <f t="shared" si="1"/>
        <v>300.09773434029319</v>
      </c>
      <c r="R13" s="5">
        <f t="shared" si="2"/>
        <v>0</v>
      </c>
      <c r="S13" s="5">
        <f t="shared" si="3"/>
        <v>0</v>
      </c>
      <c r="T13" s="5">
        <f t="shared" si="4"/>
        <v>0</v>
      </c>
      <c r="U13" s="5">
        <f t="shared" si="5"/>
        <v>0</v>
      </c>
      <c r="V13" s="5">
        <f t="shared" si="6"/>
        <v>0</v>
      </c>
      <c r="W13" s="5">
        <f t="shared" si="7"/>
        <v>0</v>
      </c>
      <c r="X13" s="5">
        <f t="shared" si="8"/>
        <v>0</v>
      </c>
    </row>
    <row r="14" spans="1:24">
      <c r="A14" s="87">
        <v>45780</v>
      </c>
      <c r="B14" s="86" t="s">
        <v>87</v>
      </c>
      <c r="C14" s="189" t="s">
        <v>79</v>
      </c>
      <c r="D14" s="189" t="s">
        <v>80</v>
      </c>
      <c r="E14" s="189" t="s">
        <v>60</v>
      </c>
      <c r="F14" s="69" t="s">
        <v>88</v>
      </c>
      <c r="G14" s="70">
        <v>40966</v>
      </c>
      <c r="H14" s="71" t="s">
        <v>86</v>
      </c>
      <c r="I14" s="66"/>
      <c r="J14" s="67"/>
      <c r="K14" s="67"/>
      <c r="L14" s="67"/>
      <c r="M14" s="67"/>
      <c r="N14" s="67"/>
      <c r="O14" s="67"/>
      <c r="P14" s="145">
        <f t="shared" si="0"/>
        <v>0</v>
      </c>
      <c r="Q14" s="65">
        <f t="shared" si="1"/>
        <v>300.09773434029319</v>
      </c>
      <c r="R14" s="5">
        <f t="shared" si="2"/>
        <v>0</v>
      </c>
      <c r="S14" s="5">
        <f t="shared" si="3"/>
        <v>0</v>
      </c>
      <c r="T14" s="5">
        <f t="shared" si="4"/>
        <v>0</v>
      </c>
      <c r="U14" s="5">
        <f t="shared" si="5"/>
        <v>0</v>
      </c>
      <c r="V14" s="5">
        <f t="shared" si="6"/>
        <v>0</v>
      </c>
      <c r="W14" s="5">
        <f t="shared" si="7"/>
        <v>0</v>
      </c>
      <c r="X14" s="5">
        <f t="shared" si="8"/>
        <v>0</v>
      </c>
    </row>
    <row r="15" spans="1:24">
      <c r="A15" s="87">
        <v>45780</v>
      </c>
      <c r="B15" s="86" t="s">
        <v>87</v>
      </c>
      <c r="C15" s="189" t="s">
        <v>81</v>
      </c>
      <c r="D15" s="189" t="s">
        <v>82</v>
      </c>
      <c r="E15" s="189" t="s">
        <v>61</v>
      </c>
      <c r="F15" s="69" t="s">
        <v>88</v>
      </c>
      <c r="G15" s="70">
        <v>40967</v>
      </c>
      <c r="H15" s="71" t="s">
        <v>86</v>
      </c>
      <c r="I15" s="66"/>
      <c r="J15" s="67"/>
      <c r="K15" s="67"/>
      <c r="L15" s="67"/>
      <c r="M15" s="67"/>
      <c r="N15" s="67"/>
      <c r="O15" s="67"/>
      <c r="P15" s="145">
        <f t="shared" si="0"/>
        <v>0</v>
      </c>
      <c r="Q15" s="65">
        <f t="shared" si="1"/>
        <v>300.09773434029319</v>
      </c>
      <c r="R15" s="5">
        <f t="shared" si="2"/>
        <v>0</v>
      </c>
      <c r="S15" s="5">
        <f t="shared" si="3"/>
        <v>0</v>
      </c>
      <c r="T15" s="5">
        <f t="shared" si="4"/>
        <v>0</v>
      </c>
      <c r="U15" s="5">
        <f t="shared" si="5"/>
        <v>0</v>
      </c>
      <c r="V15" s="5">
        <f t="shared" si="6"/>
        <v>0</v>
      </c>
      <c r="W15" s="5">
        <f t="shared" si="7"/>
        <v>0</v>
      </c>
      <c r="X15" s="5">
        <f t="shared" si="8"/>
        <v>0</v>
      </c>
    </row>
    <row r="16" spans="1:24">
      <c r="A16" s="87">
        <v>45780</v>
      </c>
      <c r="B16" s="86" t="s">
        <v>87</v>
      </c>
      <c r="C16" s="189" t="s">
        <v>83</v>
      </c>
      <c r="D16" s="189" t="s">
        <v>84</v>
      </c>
      <c r="E16" s="189" t="s">
        <v>62</v>
      </c>
      <c r="F16" s="69" t="s">
        <v>88</v>
      </c>
      <c r="G16" s="70">
        <v>40968</v>
      </c>
      <c r="H16" s="71" t="s">
        <v>86</v>
      </c>
      <c r="I16" s="66"/>
      <c r="J16" s="67"/>
      <c r="K16" s="67"/>
      <c r="L16" s="67"/>
      <c r="M16" s="67"/>
      <c r="N16" s="67"/>
      <c r="O16" s="67"/>
      <c r="P16" s="145">
        <f t="shared" si="0"/>
        <v>0</v>
      </c>
      <c r="Q16" s="65">
        <f t="shared" si="1"/>
        <v>300.09773434029319</v>
      </c>
      <c r="R16" s="5">
        <f t="shared" si="2"/>
        <v>0</v>
      </c>
      <c r="S16" s="5">
        <f t="shared" si="3"/>
        <v>0</v>
      </c>
      <c r="T16" s="5">
        <f t="shared" si="4"/>
        <v>0</v>
      </c>
      <c r="U16" s="5">
        <f t="shared" si="5"/>
        <v>0</v>
      </c>
      <c r="V16" s="5">
        <f t="shared" si="6"/>
        <v>0</v>
      </c>
      <c r="W16" s="5">
        <f t="shared" si="7"/>
        <v>0</v>
      </c>
      <c r="X16" s="5">
        <f t="shared" si="8"/>
        <v>0</v>
      </c>
    </row>
    <row r="17" spans="1:24">
      <c r="A17" s="87"/>
      <c r="B17" s="86"/>
      <c r="C17" s="88"/>
      <c r="D17" s="89"/>
      <c r="E17" s="90"/>
      <c r="F17" s="69"/>
      <c r="G17" s="70"/>
      <c r="H17" s="71"/>
      <c r="I17" s="66"/>
      <c r="J17" s="67"/>
      <c r="K17" s="67"/>
      <c r="L17" s="67"/>
      <c r="M17" s="67"/>
      <c r="N17" s="67"/>
      <c r="O17" s="67"/>
      <c r="P17" s="145" t="str">
        <f t="shared" si="0"/>
        <v/>
      </c>
      <c r="Q17" s="65" t="str">
        <f t="shared" si="1"/>
        <v/>
      </c>
      <c r="R17" s="5" t="str">
        <f t="shared" si="2"/>
        <v/>
      </c>
      <c r="S17" s="5" t="str">
        <f t="shared" si="3"/>
        <v/>
      </c>
      <c r="T17" s="5" t="str">
        <f t="shared" si="4"/>
        <v/>
      </c>
      <c r="U17" s="5" t="str">
        <f t="shared" si="5"/>
        <v/>
      </c>
      <c r="V17" s="5" t="str">
        <f t="shared" si="6"/>
        <v/>
      </c>
      <c r="W17" s="5" t="str">
        <f t="shared" si="7"/>
        <v/>
      </c>
      <c r="X17" s="5" t="str">
        <f t="shared" si="8"/>
        <v/>
      </c>
    </row>
    <row r="18" spans="1:24">
      <c r="A18" s="87"/>
      <c r="B18" s="87"/>
      <c r="C18" s="88"/>
      <c r="D18" s="89"/>
      <c r="E18" s="90"/>
      <c r="F18" s="69"/>
      <c r="G18" s="70"/>
      <c r="H18" s="71"/>
      <c r="I18" s="66"/>
      <c r="J18" s="67"/>
      <c r="K18" s="67"/>
      <c r="L18" s="67"/>
      <c r="M18" s="67"/>
      <c r="N18" s="67"/>
      <c r="O18" s="67"/>
      <c r="P18" s="145" t="str">
        <f t="shared" si="0"/>
        <v/>
      </c>
      <c r="Q18" s="65" t="str">
        <f t="shared" si="1"/>
        <v/>
      </c>
      <c r="R18" s="5" t="str">
        <f t="shared" si="2"/>
        <v/>
      </c>
      <c r="S18" s="5" t="str">
        <f t="shared" si="3"/>
        <v/>
      </c>
      <c r="T18" s="5" t="str">
        <f t="shared" si="4"/>
        <v/>
      </c>
      <c r="U18" s="5" t="str">
        <f t="shared" si="5"/>
        <v/>
      </c>
      <c r="V18" s="5" t="str">
        <f t="shared" si="6"/>
        <v/>
      </c>
      <c r="W18" s="5" t="str">
        <f t="shared" si="7"/>
        <v/>
      </c>
      <c r="X18" s="5" t="str">
        <f t="shared" si="8"/>
        <v/>
      </c>
    </row>
    <row r="19" spans="1:24">
      <c r="A19" s="87"/>
      <c r="B19" s="87"/>
      <c r="C19" s="88"/>
      <c r="D19" s="89"/>
      <c r="E19" s="90"/>
      <c r="F19" s="69"/>
      <c r="G19" s="70"/>
      <c r="H19" s="71"/>
      <c r="I19" s="66"/>
      <c r="J19" s="67"/>
      <c r="K19" s="67"/>
      <c r="L19" s="67"/>
      <c r="M19" s="67"/>
      <c r="N19" s="67"/>
      <c r="O19" s="67"/>
      <c r="P19" s="145" t="str">
        <f t="shared" si="0"/>
        <v/>
      </c>
      <c r="Q19" s="65" t="str">
        <f t="shared" si="1"/>
        <v/>
      </c>
      <c r="R19" s="5" t="str">
        <f t="shared" si="2"/>
        <v/>
      </c>
      <c r="S19" s="5" t="str">
        <f t="shared" si="3"/>
        <v/>
      </c>
      <c r="T19" s="5" t="str">
        <f t="shared" si="4"/>
        <v/>
      </c>
      <c r="U19" s="5" t="str">
        <f t="shared" si="5"/>
        <v/>
      </c>
      <c r="V19" s="5" t="str">
        <f t="shared" si="6"/>
        <v/>
      </c>
      <c r="W19" s="5" t="str">
        <f t="shared" si="7"/>
        <v/>
      </c>
      <c r="X19" s="5" t="str">
        <f t="shared" si="8"/>
        <v/>
      </c>
    </row>
    <row r="20" spans="1:24">
      <c r="A20" s="87"/>
      <c r="B20" s="87"/>
      <c r="C20" s="88"/>
      <c r="D20" s="89"/>
      <c r="E20" s="90"/>
      <c r="F20" s="69"/>
      <c r="G20" s="70"/>
      <c r="H20" s="71"/>
      <c r="I20" s="66"/>
      <c r="J20" s="67"/>
      <c r="K20" s="67"/>
      <c r="L20" s="67"/>
      <c r="M20" s="67"/>
      <c r="N20" s="67"/>
      <c r="O20" s="67"/>
      <c r="P20" s="145" t="str">
        <f t="shared" si="0"/>
        <v/>
      </c>
      <c r="Q20" s="65" t="str">
        <f t="shared" si="1"/>
        <v/>
      </c>
      <c r="R20" s="5" t="str">
        <f t="shared" si="2"/>
        <v/>
      </c>
      <c r="S20" s="5" t="str">
        <f t="shared" si="3"/>
        <v/>
      </c>
      <c r="T20" s="5" t="str">
        <f t="shared" si="4"/>
        <v/>
      </c>
      <c r="U20" s="5" t="str">
        <f t="shared" si="5"/>
        <v/>
      </c>
      <c r="V20" s="5" t="str">
        <f t="shared" si="6"/>
        <v/>
      </c>
      <c r="W20" s="5" t="str">
        <f t="shared" si="7"/>
        <v/>
      </c>
      <c r="X20" s="5" t="str">
        <f t="shared" si="8"/>
        <v/>
      </c>
    </row>
    <row r="21" spans="1:24">
      <c r="A21" s="87"/>
      <c r="B21" s="87"/>
      <c r="C21" s="88"/>
      <c r="D21" s="89"/>
      <c r="E21" s="90"/>
      <c r="F21" s="69"/>
      <c r="G21" s="70"/>
      <c r="H21" s="71"/>
      <c r="I21" s="66"/>
      <c r="J21" s="67"/>
      <c r="K21" s="67"/>
      <c r="L21" s="67"/>
      <c r="M21" s="67"/>
      <c r="N21" s="67"/>
      <c r="O21" s="67"/>
      <c r="P21" s="145" t="str">
        <f t="shared" si="0"/>
        <v/>
      </c>
      <c r="Q21" s="65" t="str">
        <f t="shared" si="1"/>
        <v/>
      </c>
      <c r="R21" s="5" t="str">
        <f t="shared" si="2"/>
        <v/>
      </c>
      <c r="S21" s="5" t="str">
        <f t="shared" si="3"/>
        <v/>
      </c>
      <c r="T21" s="5" t="str">
        <f t="shared" si="4"/>
        <v/>
      </c>
      <c r="U21" s="5" t="str">
        <f t="shared" si="5"/>
        <v/>
      </c>
      <c r="V21" s="5" t="str">
        <f t="shared" si="6"/>
        <v/>
      </c>
      <c r="W21" s="5" t="str">
        <f t="shared" si="7"/>
        <v/>
      </c>
      <c r="X21" s="5" t="str">
        <f t="shared" si="8"/>
        <v/>
      </c>
    </row>
    <row r="22" spans="1:24">
      <c r="A22" s="87"/>
      <c r="B22" s="87"/>
      <c r="C22" s="88"/>
      <c r="D22" s="89"/>
      <c r="E22" s="90"/>
      <c r="F22" s="69"/>
      <c r="G22" s="70"/>
      <c r="H22" s="71"/>
      <c r="I22" s="66"/>
      <c r="J22" s="67"/>
      <c r="K22" s="67"/>
      <c r="L22" s="67"/>
      <c r="M22" s="67"/>
      <c r="N22" s="67"/>
      <c r="O22" s="67"/>
      <c r="P22" s="145" t="str">
        <f t="shared" si="0"/>
        <v/>
      </c>
      <c r="Q22" s="65" t="str">
        <f t="shared" si="1"/>
        <v/>
      </c>
      <c r="R22" s="5" t="str">
        <f t="shared" si="2"/>
        <v/>
      </c>
      <c r="S22" s="5" t="str">
        <f t="shared" si="3"/>
        <v/>
      </c>
      <c r="T22" s="5" t="str">
        <f t="shared" si="4"/>
        <v/>
      </c>
      <c r="U22" s="5" t="str">
        <f t="shared" si="5"/>
        <v/>
      </c>
      <c r="V22" s="5" t="str">
        <f t="shared" si="6"/>
        <v/>
      </c>
      <c r="W22" s="5" t="str">
        <f t="shared" si="7"/>
        <v/>
      </c>
      <c r="X22" s="5" t="str">
        <f t="shared" si="8"/>
        <v/>
      </c>
    </row>
    <row r="23" spans="1:24">
      <c r="A23" s="87"/>
      <c r="B23" s="87"/>
      <c r="C23" s="88"/>
      <c r="D23" s="89"/>
      <c r="E23" s="90"/>
      <c r="F23" s="69"/>
      <c r="G23" s="70"/>
      <c r="H23" s="71"/>
      <c r="I23" s="66"/>
      <c r="J23" s="67"/>
      <c r="K23" s="67"/>
      <c r="L23" s="67"/>
      <c r="M23" s="67"/>
      <c r="N23" s="67"/>
      <c r="O23" s="67"/>
      <c r="P23" s="145" t="str">
        <f t="shared" si="0"/>
        <v/>
      </c>
      <c r="Q23" s="65" t="str">
        <f t="shared" si="1"/>
        <v/>
      </c>
      <c r="R23" s="5" t="str">
        <f t="shared" si="2"/>
        <v/>
      </c>
      <c r="S23" s="5" t="str">
        <f t="shared" si="3"/>
        <v/>
      </c>
      <c r="T23" s="5" t="str">
        <f t="shared" si="4"/>
        <v/>
      </c>
      <c r="U23" s="5" t="str">
        <f t="shared" si="5"/>
        <v/>
      </c>
      <c r="V23" s="5" t="str">
        <f t="shared" si="6"/>
        <v/>
      </c>
      <c r="W23" s="5" t="str">
        <f t="shared" si="7"/>
        <v/>
      </c>
      <c r="X23" s="5" t="str">
        <f t="shared" si="8"/>
        <v/>
      </c>
    </row>
    <row r="24" spans="1:24">
      <c r="A24" s="87"/>
      <c r="B24" s="87"/>
      <c r="C24" s="88"/>
      <c r="D24" s="89"/>
      <c r="E24" s="90"/>
      <c r="F24" s="69"/>
      <c r="G24" s="70"/>
      <c r="H24" s="71"/>
      <c r="I24" s="66"/>
      <c r="J24" s="67"/>
      <c r="K24" s="67"/>
      <c r="L24" s="67"/>
      <c r="M24" s="67"/>
      <c r="N24" s="67"/>
      <c r="O24" s="67"/>
      <c r="P24" s="145" t="str">
        <f t="shared" si="0"/>
        <v/>
      </c>
      <c r="Q24" s="65" t="str">
        <f t="shared" si="1"/>
        <v/>
      </c>
      <c r="R24" s="5" t="str">
        <f t="shared" si="2"/>
        <v/>
      </c>
      <c r="S24" s="5" t="str">
        <f t="shared" si="3"/>
        <v/>
      </c>
      <c r="T24" s="5" t="str">
        <f t="shared" si="4"/>
        <v/>
      </c>
      <c r="U24" s="5" t="str">
        <f t="shared" si="5"/>
        <v/>
      </c>
      <c r="V24" s="5" t="str">
        <f t="shared" si="6"/>
        <v/>
      </c>
      <c r="W24" s="5" t="str">
        <f t="shared" si="7"/>
        <v/>
      </c>
      <c r="X24" s="5" t="str">
        <f t="shared" si="8"/>
        <v/>
      </c>
    </row>
    <row r="25" spans="1:24">
      <c r="A25" s="87"/>
      <c r="B25" s="87"/>
      <c r="C25" s="88"/>
      <c r="D25" s="89"/>
      <c r="E25" s="90"/>
      <c r="F25" s="69"/>
      <c r="G25" s="70"/>
      <c r="H25" s="71"/>
      <c r="I25" s="66"/>
      <c r="J25" s="67"/>
      <c r="K25" s="67"/>
      <c r="L25" s="67"/>
      <c r="M25" s="67"/>
      <c r="N25" s="67"/>
      <c r="O25" s="67"/>
      <c r="P25" s="145" t="str">
        <f>IF($C25="","",IF($N25+$O25=0,0,$N25/($N25+$O25)))</f>
        <v/>
      </c>
      <c r="Q25" s="65" t="str">
        <f t="shared" si="1"/>
        <v/>
      </c>
      <c r="R25" s="5" t="str">
        <f t="shared" si="2"/>
        <v/>
      </c>
      <c r="S25" s="5" t="str">
        <f t="shared" si="3"/>
        <v/>
      </c>
      <c r="T25" s="5" t="str">
        <f t="shared" si="4"/>
        <v/>
      </c>
      <c r="U25" s="5" t="str">
        <f t="shared" si="5"/>
        <v/>
      </c>
      <c r="V25" s="5" t="str">
        <f t="shared" si="6"/>
        <v/>
      </c>
      <c r="W25" s="5" t="str">
        <f t="shared" si="7"/>
        <v/>
      </c>
      <c r="X25" s="5" t="str">
        <f t="shared" si="8"/>
        <v/>
      </c>
    </row>
    <row r="26" spans="1:24">
      <c r="A26" s="87"/>
      <c r="B26" s="87"/>
      <c r="C26" s="88"/>
      <c r="D26" s="89"/>
      <c r="E26" s="90"/>
      <c r="F26" s="69"/>
      <c r="G26" s="70"/>
      <c r="H26" s="71"/>
      <c r="I26" s="66"/>
      <c r="J26" s="67"/>
      <c r="K26" s="67"/>
      <c r="L26" s="67"/>
      <c r="M26" s="67"/>
      <c r="N26" s="67"/>
      <c r="O26" s="67"/>
      <c r="P26" s="145" t="str">
        <f t="shared" si="0"/>
        <v/>
      </c>
      <c r="Q26" s="65" t="str">
        <f t="shared" si="1"/>
        <v/>
      </c>
      <c r="R26" s="5" t="str">
        <f t="shared" si="2"/>
        <v/>
      </c>
      <c r="S26" s="5" t="str">
        <f t="shared" si="3"/>
        <v/>
      </c>
      <c r="T26" s="5" t="str">
        <f t="shared" si="4"/>
        <v/>
      </c>
      <c r="U26" s="5" t="str">
        <f t="shared" si="5"/>
        <v/>
      </c>
      <c r="V26" s="5" t="str">
        <f t="shared" si="6"/>
        <v/>
      </c>
      <c r="W26" s="5" t="str">
        <f t="shared" si="7"/>
        <v/>
      </c>
      <c r="X26" s="5" t="str">
        <f t="shared" si="8"/>
        <v/>
      </c>
    </row>
    <row r="27" spans="1:24">
      <c r="A27" s="87"/>
      <c r="B27" s="87"/>
      <c r="C27" s="88"/>
      <c r="D27" s="89"/>
      <c r="E27" s="90"/>
      <c r="F27" s="69"/>
      <c r="G27" s="70"/>
      <c r="H27" s="71"/>
      <c r="I27" s="66"/>
      <c r="J27" s="67"/>
      <c r="K27" s="67"/>
      <c r="L27" s="67"/>
      <c r="M27" s="67"/>
      <c r="N27" s="67"/>
      <c r="O27" s="67"/>
      <c r="P27" s="145" t="str">
        <f>IF($C27="","",IF($N27+$O27=0,0,$N27/($N27+$O27)))</f>
        <v/>
      </c>
      <c r="Q27" s="65" t="str">
        <f t="shared" si="1"/>
        <v/>
      </c>
      <c r="R27" s="5" t="str">
        <f t="shared" si="2"/>
        <v/>
      </c>
      <c r="S27" s="5" t="str">
        <f t="shared" si="3"/>
        <v/>
      </c>
      <c r="T27" s="5" t="str">
        <f t="shared" si="4"/>
        <v/>
      </c>
      <c r="U27" s="5" t="str">
        <f t="shared" si="5"/>
        <v/>
      </c>
      <c r="V27" s="5" t="str">
        <f t="shared" si="6"/>
        <v/>
      </c>
      <c r="W27" s="5" t="str">
        <f t="shared" si="7"/>
        <v/>
      </c>
      <c r="X27" s="5" t="str">
        <f t="shared" si="8"/>
        <v/>
      </c>
    </row>
    <row r="28" spans="1:24">
      <c r="A28" s="87"/>
      <c r="B28" s="87"/>
      <c r="C28" s="88"/>
      <c r="D28" s="89"/>
      <c r="E28" s="90"/>
      <c r="F28" s="69"/>
      <c r="G28" s="70"/>
      <c r="H28" s="71"/>
      <c r="I28" s="66"/>
      <c r="J28" s="67"/>
      <c r="K28" s="67"/>
      <c r="L28" s="67"/>
      <c r="M28" s="67"/>
      <c r="N28" s="67"/>
      <c r="O28" s="67"/>
      <c r="P28" s="145" t="str">
        <f t="shared" si="0"/>
        <v/>
      </c>
      <c r="Q28" s="65" t="str">
        <f t="shared" si="1"/>
        <v/>
      </c>
      <c r="R28" s="5" t="str">
        <f t="shared" si="2"/>
        <v/>
      </c>
      <c r="S28" s="5" t="str">
        <f t="shared" si="3"/>
        <v/>
      </c>
      <c r="T28" s="5" t="str">
        <f t="shared" si="4"/>
        <v/>
      </c>
      <c r="U28" s="5" t="str">
        <f t="shared" si="5"/>
        <v/>
      </c>
      <c r="V28" s="5" t="str">
        <f t="shared" si="6"/>
        <v/>
      </c>
      <c r="W28" s="5" t="str">
        <f t="shared" si="7"/>
        <v/>
      </c>
      <c r="X28" s="5" t="str">
        <f t="shared" si="8"/>
        <v/>
      </c>
    </row>
    <row r="29" spans="1:24">
      <c r="A29" s="87"/>
      <c r="B29" s="87"/>
      <c r="C29" s="88"/>
      <c r="D29" s="89"/>
      <c r="E29" s="90"/>
      <c r="F29" s="69"/>
      <c r="G29" s="70"/>
      <c r="H29" s="71"/>
      <c r="I29" s="66"/>
      <c r="J29" s="67"/>
      <c r="K29" s="67"/>
      <c r="L29" s="67"/>
      <c r="M29" s="67"/>
      <c r="N29" s="67"/>
      <c r="O29" s="67"/>
      <c r="P29" s="145" t="str">
        <f t="shared" si="0"/>
        <v/>
      </c>
      <c r="Q29" s="65" t="str">
        <f t="shared" si="1"/>
        <v/>
      </c>
      <c r="R29" s="5" t="str">
        <f t="shared" si="2"/>
        <v/>
      </c>
      <c r="S29" s="5" t="str">
        <f t="shared" si="3"/>
        <v/>
      </c>
      <c r="T29" s="5" t="str">
        <f t="shared" si="4"/>
        <v/>
      </c>
      <c r="U29" s="5" t="str">
        <f t="shared" si="5"/>
        <v/>
      </c>
      <c r="V29" s="5" t="str">
        <f t="shared" si="6"/>
        <v/>
      </c>
      <c r="W29" s="5" t="str">
        <f t="shared" si="7"/>
        <v/>
      </c>
      <c r="X29" s="5" t="str">
        <f t="shared" si="8"/>
        <v/>
      </c>
    </row>
    <row r="30" spans="1:24">
      <c r="A30" s="87"/>
      <c r="B30" s="87"/>
      <c r="C30" s="88"/>
      <c r="D30" s="89"/>
      <c r="E30" s="90"/>
      <c r="F30" s="69"/>
      <c r="G30" s="70"/>
      <c r="H30" s="71"/>
      <c r="I30" s="66"/>
      <c r="J30" s="67"/>
      <c r="K30" s="67"/>
      <c r="L30" s="67"/>
      <c r="M30" s="67"/>
      <c r="N30" s="67"/>
      <c r="O30" s="67"/>
      <c r="P30" s="145" t="str">
        <f t="shared" si="0"/>
        <v/>
      </c>
      <c r="Q30" s="65" t="str">
        <f t="shared" si="1"/>
        <v/>
      </c>
      <c r="R30" s="5" t="str">
        <f t="shared" si="2"/>
        <v/>
      </c>
      <c r="S30" s="5" t="str">
        <f t="shared" si="3"/>
        <v/>
      </c>
      <c r="T30" s="5" t="str">
        <f t="shared" si="4"/>
        <v/>
      </c>
      <c r="U30" s="5" t="str">
        <f t="shared" si="5"/>
        <v/>
      </c>
      <c r="V30" s="5" t="str">
        <f t="shared" si="6"/>
        <v/>
      </c>
      <c r="W30" s="5" t="str">
        <f t="shared" si="7"/>
        <v/>
      </c>
      <c r="X30" s="5" t="str">
        <f t="shared" si="8"/>
        <v/>
      </c>
    </row>
    <row r="31" spans="1:24">
      <c r="A31" s="87"/>
      <c r="B31" s="87"/>
      <c r="C31" s="88"/>
      <c r="D31" s="89"/>
      <c r="E31" s="90"/>
      <c r="F31" s="69"/>
      <c r="G31" s="70"/>
      <c r="H31" s="71"/>
      <c r="I31" s="66"/>
      <c r="J31" s="67"/>
      <c r="K31" s="67"/>
      <c r="L31" s="67"/>
      <c r="M31" s="67"/>
      <c r="N31" s="67"/>
      <c r="O31" s="67"/>
      <c r="P31" s="145" t="str">
        <f t="shared" si="0"/>
        <v/>
      </c>
      <c r="Q31" s="65" t="str">
        <f t="shared" si="1"/>
        <v/>
      </c>
      <c r="R31" s="5" t="str">
        <f t="shared" si="2"/>
        <v/>
      </c>
      <c r="S31" s="5" t="str">
        <f t="shared" si="3"/>
        <v/>
      </c>
      <c r="T31" s="5" t="str">
        <f t="shared" si="4"/>
        <v/>
      </c>
      <c r="U31" s="5" t="str">
        <f t="shared" si="5"/>
        <v/>
      </c>
      <c r="V31" s="5" t="str">
        <f t="shared" si="6"/>
        <v/>
      </c>
      <c r="W31" s="5" t="str">
        <f t="shared" si="7"/>
        <v/>
      </c>
      <c r="X31" s="5" t="str">
        <f t="shared" si="8"/>
        <v/>
      </c>
    </row>
    <row r="32" spans="1:24">
      <c r="A32" s="87"/>
      <c r="B32" s="87"/>
      <c r="C32" s="88"/>
      <c r="D32" s="89"/>
      <c r="E32" s="90"/>
      <c r="F32" s="69"/>
      <c r="G32" s="70"/>
      <c r="H32" s="71"/>
      <c r="I32" s="66"/>
      <c r="J32" s="67"/>
      <c r="K32" s="67"/>
      <c r="L32" s="67"/>
      <c r="M32" s="67"/>
      <c r="N32" s="67"/>
      <c r="O32" s="67"/>
      <c r="P32" s="145" t="str">
        <f t="shared" si="0"/>
        <v/>
      </c>
      <c r="Q32" s="65" t="str">
        <f t="shared" si="1"/>
        <v/>
      </c>
      <c r="R32" s="5" t="str">
        <f t="shared" si="2"/>
        <v/>
      </c>
      <c r="S32" s="5" t="str">
        <f t="shared" si="3"/>
        <v/>
      </c>
      <c r="T32" s="5" t="str">
        <f t="shared" si="4"/>
        <v/>
      </c>
      <c r="U32" s="5" t="str">
        <f t="shared" si="5"/>
        <v/>
      </c>
      <c r="V32" s="5" t="str">
        <f t="shared" si="6"/>
        <v/>
      </c>
      <c r="W32" s="5" t="str">
        <f t="shared" si="7"/>
        <v/>
      </c>
      <c r="X32" s="5" t="str">
        <f t="shared" si="8"/>
        <v/>
      </c>
    </row>
    <row r="33" spans="1:24">
      <c r="A33" s="87"/>
      <c r="B33" s="87"/>
      <c r="C33" s="88"/>
      <c r="D33" s="89"/>
      <c r="E33" s="90"/>
      <c r="F33" s="69"/>
      <c r="G33" s="70"/>
      <c r="H33" s="71"/>
      <c r="I33" s="66"/>
      <c r="J33" s="67"/>
      <c r="K33" s="67"/>
      <c r="L33" s="67"/>
      <c r="M33" s="67"/>
      <c r="N33" s="67"/>
      <c r="O33" s="67"/>
      <c r="P33" s="145" t="str">
        <f t="shared" si="0"/>
        <v/>
      </c>
      <c r="Q33" s="65" t="str">
        <f t="shared" si="1"/>
        <v/>
      </c>
      <c r="R33" s="5" t="str">
        <f t="shared" si="2"/>
        <v/>
      </c>
      <c r="S33" s="5" t="str">
        <f t="shared" si="3"/>
        <v/>
      </c>
      <c r="T33" s="5" t="str">
        <f t="shared" si="4"/>
        <v/>
      </c>
      <c r="U33" s="5" t="str">
        <f t="shared" si="5"/>
        <v/>
      </c>
      <c r="V33" s="5" t="str">
        <f t="shared" si="6"/>
        <v/>
      </c>
      <c r="W33" s="5" t="str">
        <f t="shared" si="7"/>
        <v/>
      </c>
      <c r="X33" s="5" t="str">
        <f t="shared" si="8"/>
        <v/>
      </c>
    </row>
    <row r="34" spans="1:24">
      <c r="A34" s="87"/>
      <c r="B34" s="87"/>
      <c r="C34" s="88"/>
      <c r="D34" s="89"/>
      <c r="E34" s="90"/>
      <c r="F34" s="69"/>
      <c r="G34" s="70"/>
      <c r="H34" s="71"/>
      <c r="I34" s="66"/>
      <c r="J34" s="67"/>
      <c r="K34" s="67"/>
      <c r="L34" s="67"/>
      <c r="M34" s="67"/>
      <c r="N34" s="67"/>
      <c r="O34" s="67"/>
      <c r="P34" s="145" t="str">
        <f t="shared" si="0"/>
        <v/>
      </c>
      <c r="Q34" s="65" t="str">
        <f t="shared" si="1"/>
        <v/>
      </c>
      <c r="R34" s="5" t="str">
        <f t="shared" si="2"/>
        <v/>
      </c>
      <c r="S34" s="5" t="str">
        <f t="shared" si="3"/>
        <v/>
      </c>
      <c r="T34" s="5" t="str">
        <f t="shared" si="4"/>
        <v/>
      </c>
      <c r="U34" s="5" t="str">
        <f t="shared" si="5"/>
        <v/>
      </c>
      <c r="V34" s="5" t="str">
        <f t="shared" si="6"/>
        <v/>
      </c>
      <c r="W34" s="5" t="str">
        <f t="shared" si="7"/>
        <v/>
      </c>
      <c r="X34" s="5" t="str">
        <f t="shared" si="8"/>
        <v/>
      </c>
    </row>
    <row r="35" spans="1:24">
      <c r="A35" s="87"/>
      <c r="B35" s="87"/>
      <c r="C35" s="88"/>
      <c r="D35" s="89"/>
      <c r="E35" s="90"/>
      <c r="F35" s="69"/>
      <c r="G35" s="70"/>
      <c r="H35" s="71"/>
      <c r="I35" s="66"/>
      <c r="J35" s="67"/>
      <c r="K35" s="67"/>
      <c r="L35" s="67"/>
      <c r="M35" s="67"/>
      <c r="N35" s="67"/>
      <c r="O35" s="67"/>
      <c r="P35" s="145" t="str">
        <f t="shared" si="0"/>
        <v/>
      </c>
      <c r="Q35" s="65" t="str">
        <f t="shared" si="1"/>
        <v/>
      </c>
      <c r="R35" s="5" t="str">
        <f t="shared" si="2"/>
        <v/>
      </c>
      <c r="S35" s="5" t="str">
        <f t="shared" si="3"/>
        <v/>
      </c>
      <c r="T35" s="5" t="str">
        <f t="shared" si="4"/>
        <v/>
      </c>
      <c r="U35" s="5" t="str">
        <f t="shared" si="5"/>
        <v/>
      </c>
      <c r="V35" s="5" t="str">
        <f t="shared" si="6"/>
        <v/>
      </c>
      <c r="W35" s="5" t="str">
        <f t="shared" si="7"/>
        <v/>
      </c>
      <c r="X35" s="5" t="str">
        <f t="shared" si="8"/>
        <v/>
      </c>
    </row>
    <row r="36" spans="1:24">
      <c r="A36" s="87"/>
      <c r="B36" s="87"/>
      <c r="C36" s="88"/>
      <c r="D36" s="89"/>
      <c r="E36" s="90"/>
      <c r="F36" s="69"/>
      <c r="G36" s="70"/>
      <c r="H36" s="71"/>
      <c r="I36" s="66"/>
      <c r="J36" s="67"/>
      <c r="K36" s="67"/>
      <c r="L36" s="67"/>
      <c r="M36" s="67"/>
      <c r="N36" s="67"/>
      <c r="O36" s="67"/>
      <c r="P36" s="145" t="str">
        <f t="shared" si="0"/>
        <v/>
      </c>
      <c r="Q36" s="65" t="str">
        <f t="shared" si="1"/>
        <v/>
      </c>
      <c r="R36" s="5" t="str">
        <f t="shared" si="2"/>
        <v/>
      </c>
      <c r="S36" s="5" t="str">
        <f t="shared" si="3"/>
        <v/>
      </c>
      <c r="T36" s="5" t="str">
        <f t="shared" si="4"/>
        <v/>
      </c>
      <c r="U36" s="5" t="str">
        <f t="shared" si="5"/>
        <v/>
      </c>
      <c r="V36" s="5" t="str">
        <f t="shared" si="6"/>
        <v/>
      </c>
      <c r="W36" s="5" t="str">
        <f t="shared" si="7"/>
        <v/>
      </c>
      <c r="X36" s="5" t="str">
        <f t="shared" si="8"/>
        <v/>
      </c>
    </row>
    <row r="37" spans="1:24">
      <c r="A37" s="87"/>
      <c r="B37" s="87"/>
      <c r="C37" s="88"/>
      <c r="D37" s="89"/>
      <c r="E37" s="90"/>
      <c r="F37" s="69"/>
      <c r="G37" s="70"/>
      <c r="H37" s="71"/>
      <c r="I37" s="66"/>
      <c r="J37" s="67"/>
      <c r="K37" s="67"/>
      <c r="L37" s="67"/>
      <c r="M37" s="67"/>
      <c r="N37" s="67"/>
      <c r="O37" s="67"/>
      <c r="P37" s="145" t="str">
        <f>IF($C37="","",IF($N37+$O37=0,0,$N37/($N37+$O37)))</f>
        <v/>
      </c>
      <c r="Q37" s="65" t="str">
        <f t="shared" si="1"/>
        <v/>
      </c>
      <c r="R37" s="5" t="str">
        <f t="shared" si="2"/>
        <v/>
      </c>
      <c r="S37" s="5" t="str">
        <f t="shared" si="3"/>
        <v/>
      </c>
      <c r="T37" s="5" t="str">
        <f t="shared" si="4"/>
        <v/>
      </c>
      <c r="U37" s="5" t="str">
        <f t="shared" si="5"/>
        <v/>
      </c>
      <c r="V37" s="5" t="str">
        <f t="shared" si="6"/>
        <v/>
      </c>
      <c r="W37" s="5" t="str">
        <f t="shared" si="7"/>
        <v/>
      </c>
      <c r="X37" s="5" t="str">
        <f t="shared" si="8"/>
        <v/>
      </c>
    </row>
    <row r="38" spans="1:24">
      <c r="A38" s="87"/>
      <c r="B38" s="87"/>
      <c r="C38" s="88"/>
      <c r="D38" s="89"/>
      <c r="E38" s="90"/>
      <c r="F38" s="69"/>
      <c r="G38" s="70"/>
      <c r="H38" s="71"/>
      <c r="I38" s="66"/>
      <c r="J38" s="67"/>
      <c r="K38" s="67"/>
      <c r="L38" s="67"/>
      <c r="M38" s="67"/>
      <c r="N38" s="67"/>
      <c r="O38" s="67"/>
      <c r="P38" s="145" t="str">
        <f t="shared" si="0"/>
        <v/>
      </c>
      <c r="Q38" s="65" t="str">
        <f t="shared" si="1"/>
        <v/>
      </c>
      <c r="R38" s="5" t="str">
        <f t="shared" si="2"/>
        <v/>
      </c>
      <c r="S38" s="5" t="str">
        <f t="shared" si="3"/>
        <v/>
      </c>
      <c r="T38" s="5" t="str">
        <f t="shared" si="4"/>
        <v/>
      </c>
      <c r="U38" s="5" t="str">
        <f t="shared" si="5"/>
        <v/>
      </c>
      <c r="V38" s="5" t="str">
        <f t="shared" si="6"/>
        <v/>
      </c>
      <c r="W38" s="5" t="str">
        <f t="shared" si="7"/>
        <v/>
      </c>
      <c r="X38" s="5" t="str">
        <f t="shared" si="8"/>
        <v/>
      </c>
    </row>
    <row r="39" spans="1:24">
      <c r="A39" s="87"/>
      <c r="B39" s="87"/>
      <c r="C39" s="88"/>
      <c r="D39" s="89"/>
      <c r="E39" s="90"/>
      <c r="F39" s="69"/>
      <c r="G39" s="70"/>
      <c r="H39" s="71"/>
      <c r="I39" s="66"/>
      <c r="J39" s="67"/>
      <c r="K39" s="67"/>
      <c r="L39" s="67"/>
      <c r="M39" s="67"/>
      <c r="N39" s="67"/>
      <c r="O39" s="67"/>
      <c r="P39" s="145" t="str">
        <f>IF($C39="","",IF($N39+$O39=0,0,$N39/($N39+$O39)))</f>
        <v/>
      </c>
      <c r="Q39" s="65" t="str">
        <f t="shared" si="1"/>
        <v/>
      </c>
      <c r="R39" s="5" t="str">
        <f t="shared" si="2"/>
        <v/>
      </c>
      <c r="S39" s="5" t="str">
        <f t="shared" si="3"/>
        <v/>
      </c>
      <c r="T39" s="5" t="str">
        <f t="shared" si="4"/>
        <v/>
      </c>
      <c r="U39" s="5" t="str">
        <f t="shared" si="5"/>
        <v/>
      </c>
      <c r="V39" s="5" t="str">
        <f t="shared" si="6"/>
        <v/>
      </c>
      <c r="W39" s="5" t="str">
        <f t="shared" si="7"/>
        <v/>
      </c>
      <c r="X39" s="5" t="str">
        <f t="shared" si="8"/>
        <v/>
      </c>
    </row>
    <row r="40" spans="1:24">
      <c r="A40" s="87"/>
      <c r="B40" s="87"/>
      <c r="C40" s="88"/>
      <c r="D40" s="89"/>
      <c r="E40" s="90"/>
      <c r="F40" s="69"/>
      <c r="G40" s="70"/>
      <c r="H40" s="71"/>
      <c r="I40" s="66"/>
      <c r="J40" s="67"/>
      <c r="K40" s="67"/>
      <c r="L40" s="67"/>
      <c r="M40" s="67"/>
      <c r="N40" s="67"/>
      <c r="O40" s="67"/>
      <c r="P40" s="145" t="str">
        <f t="shared" si="0"/>
        <v/>
      </c>
      <c r="Q40" s="65" t="str">
        <f t="shared" si="1"/>
        <v/>
      </c>
      <c r="R40" s="5" t="str">
        <f t="shared" si="2"/>
        <v/>
      </c>
      <c r="S40" s="5" t="str">
        <f t="shared" si="3"/>
        <v/>
      </c>
      <c r="T40" s="5" t="str">
        <f t="shared" si="4"/>
        <v/>
      </c>
      <c r="U40" s="5" t="str">
        <f t="shared" si="5"/>
        <v/>
      </c>
      <c r="V40" s="5" t="str">
        <f t="shared" si="6"/>
        <v/>
      </c>
      <c r="W40" s="5" t="str">
        <f t="shared" si="7"/>
        <v/>
      </c>
      <c r="X40" s="5" t="str">
        <f t="shared" si="8"/>
        <v/>
      </c>
    </row>
    <row r="41" spans="1:24">
      <c r="A41" s="87"/>
      <c r="B41" s="87"/>
      <c r="C41" s="88"/>
      <c r="D41" s="89"/>
      <c r="E41" s="90"/>
      <c r="F41" s="69"/>
      <c r="G41" s="70"/>
      <c r="H41" s="71"/>
      <c r="I41" s="66"/>
      <c r="J41" s="67"/>
      <c r="K41" s="67"/>
      <c r="L41" s="67"/>
      <c r="M41" s="67"/>
      <c r="N41" s="67"/>
      <c r="O41" s="67"/>
      <c r="P41" s="145" t="str">
        <f t="shared" si="0"/>
        <v/>
      </c>
      <c r="Q41" s="65" t="str">
        <f t="shared" si="1"/>
        <v/>
      </c>
      <c r="R41" s="5" t="str">
        <f t="shared" si="2"/>
        <v/>
      </c>
      <c r="S41" s="5" t="str">
        <f t="shared" si="3"/>
        <v/>
      </c>
      <c r="T41" s="5" t="str">
        <f t="shared" si="4"/>
        <v/>
      </c>
      <c r="U41" s="5" t="str">
        <f t="shared" si="5"/>
        <v/>
      </c>
      <c r="V41" s="5" t="str">
        <f t="shared" si="6"/>
        <v/>
      </c>
      <c r="W41" s="5" t="str">
        <f t="shared" si="7"/>
        <v/>
      </c>
      <c r="X41" s="5" t="str">
        <f t="shared" si="8"/>
        <v/>
      </c>
    </row>
    <row r="42" spans="1:24">
      <c r="A42" s="87"/>
      <c r="B42" s="87"/>
      <c r="C42" s="88"/>
      <c r="D42" s="89"/>
      <c r="E42" s="90"/>
      <c r="F42" s="69"/>
      <c r="G42" s="70"/>
      <c r="H42" s="71"/>
      <c r="I42" s="66"/>
      <c r="J42" s="67"/>
      <c r="K42" s="67"/>
      <c r="L42" s="67"/>
      <c r="M42" s="67"/>
      <c r="N42" s="67"/>
      <c r="O42" s="67"/>
      <c r="P42" s="145" t="str">
        <f t="shared" si="0"/>
        <v/>
      </c>
      <c r="Q42" s="65" t="str">
        <f t="shared" si="1"/>
        <v/>
      </c>
      <c r="R42" s="5" t="str">
        <f t="shared" si="2"/>
        <v/>
      </c>
      <c r="S42" s="5" t="str">
        <f t="shared" si="3"/>
        <v/>
      </c>
      <c r="T42" s="5" t="str">
        <f t="shared" si="4"/>
        <v/>
      </c>
      <c r="U42" s="5" t="str">
        <f t="shared" si="5"/>
        <v/>
      </c>
      <c r="V42" s="5" t="str">
        <f t="shared" si="6"/>
        <v/>
      </c>
      <c r="W42" s="5" t="str">
        <f t="shared" si="7"/>
        <v/>
      </c>
      <c r="X42" s="5" t="str">
        <f t="shared" si="8"/>
        <v/>
      </c>
    </row>
    <row r="43" spans="1:24">
      <c r="A43" s="87"/>
      <c r="B43" s="87"/>
      <c r="C43" s="88"/>
      <c r="D43" s="89"/>
      <c r="E43" s="90"/>
      <c r="F43" s="69"/>
      <c r="G43" s="70"/>
      <c r="H43" s="71"/>
      <c r="I43" s="66"/>
      <c r="J43" s="67"/>
      <c r="K43" s="67"/>
      <c r="L43" s="67"/>
      <c r="M43" s="67"/>
      <c r="N43" s="67"/>
      <c r="O43" s="67"/>
      <c r="P43" s="145" t="str">
        <f t="shared" si="0"/>
        <v/>
      </c>
      <c r="Q43" s="65" t="str">
        <f t="shared" si="1"/>
        <v/>
      </c>
      <c r="R43" s="5" t="str">
        <f t="shared" si="2"/>
        <v/>
      </c>
      <c r="S43" s="5" t="str">
        <f t="shared" si="3"/>
        <v/>
      </c>
      <c r="T43" s="5" t="str">
        <f t="shared" si="4"/>
        <v/>
      </c>
      <c r="U43" s="5" t="str">
        <f t="shared" si="5"/>
        <v/>
      </c>
      <c r="V43" s="5" t="str">
        <f t="shared" si="6"/>
        <v/>
      </c>
      <c r="W43" s="5" t="str">
        <f t="shared" si="7"/>
        <v/>
      </c>
      <c r="X43" s="5" t="str">
        <f t="shared" si="8"/>
        <v/>
      </c>
    </row>
    <row r="44" spans="1:24">
      <c r="A44" s="87"/>
      <c r="B44" s="87"/>
      <c r="C44" s="88"/>
      <c r="D44" s="89"/>
      <c r="E44" s="90"/>
      <c r="F44" s="69"/>
      <c r="G44" s="70"/>
      <c r="H44" s="71"/>
      <c r="I44" s="66"/>
      <c r="J44" s="67"/>
      <c r="K44" s="67"/>
      <c r="L44" s="67"/>
      <c r="M44" s="67"/>
      <c r="N44" s="67"/>
      <c r="O44" s="67"/>
      <c r="P44" s="145" t="str">
        <f t="shared" si="0"/>
        <v/>
      </c>
      <c r="Q44" s="65" t="str">
        <f t="shared" si="1"/>
        <v/>
      </c>
      <c r="R44" s="5" t="str">
        <f t="shared" si="2"/>
        <v/>
      </c>
      <c r="S44" s="5" t="str">
        <f t="shared" si="3"/>
        <v/>
      </c>
      <c r="T44" s="5" t="str">
        <f t="shared" si="4"/>
        <v/>
      </c>
      <c r="U44" s="5" t="str">
        <f t="shared" si="5"/>
        <v/>
      </c>
      <c r="V44" s="5" t="str">
        <f t="shared" si="6"/>
        <v/>
      </c>
      <c r="W44" s="5" t="str">
        <f t="shared" si="7"/>
        <v/>
      </c>
      <c r="X44" s="5" t="str">
        <f t="shared" si="8"/>
        <v/>
      </c>
    </row>
    <row r="45" spans="1:24">
      <c r="A45" s="87"/>
      <c r="B45" s="87"/>
      <c r="C45" s="88"/>
      <c r="D45" s="89"/>
      <c r="E45" s="90"/>
      <c r="F45" s="69"/>
      <c r="G45" s="70"/>
      <c r="H45" s="71"/>
      <c r="I45" s="66"/>
      <c r="J45" s="67"/>
      <c r="K45" s="67"/>
      <c r="L45" s="67"/>
      <c r="M45" s="67"/>
      <c r="N45" s="67"/>
      <c r="O45" s="67"/>
      <c r="P45" s="145" t="str">
        <f t="shared" si="0"/>
        <v/>
      </c>
      <c r="Q45" s="65" t="str">
        <f t="shared" si="1"/>
        <v/>
      </c>
      <c r="R45" s="5" t="str">
        <f t="shared" si="2"/>
        <v/>
      </c>
      <c r="S45" s="5" t="str">
        <f t="shared" si="3"/>
        <v/>
      </c>
      <c r="T45" s="5" t="str">
        <f t="shared" si="4"/>
        <v/>
      </c>
      <c r="U45" s="5" t="str">
        <f t="shared" si="5"/>
        <v/>
      </c>
      <c r="V45" s="5" t="str">
        <f t="shared" si="6"/>
        <v/>
      </c>
      <c r="W45" s="5" t="str">
        <f t="shared" si="7"/>
        <v/>
      </c>
      <c r="X45" s="5" t="str">
        <f t="shared" si="8"/>
        <v/>
      </c>
    </row>
    <row r="46" spans="1:24">
      <c r="A46" s="87"/>
      <c r="B46" s="87"/>
      <c r="C46" s="88"/>
      <c r="D46" s="89"/>
      <c r="E46" s="90"/>
      <c r="F46" s="69"/>
      <c r="G46" s="70"/>
      <c r="H46" s="71"/>
      <c r="I46" s="66"/>
      <c r="J46" s="67"/>
      <c r="K46" s="67"/>
      <c r="L46" s="67"/>
      <c r="M46" s="67"/>
      <c r="N46" s="67"/>
      <c r="O46" s="67"/>
      <c r="P46" s="145" t="str">
        <f t="shared" si="0"/>
        <v/>
      </c>
      <c r="Q46" s="65" t="str">
        <f t="shared" si="1"/>
        <v/>
      </c>
      <c r="R46" s="5" t="str">
        <f t="shared" si="2"/>
        <v/>
      </c>
      <c r="S46" s="5" t="str">
        <f t="shared" si="3"/>
        <v/>
      </c>
      <c r="T46" s="5" t="str">
        <f t="shared" si="4"/>
        <v/>
      </c>
      <c r="U46" s="5" t="str">
        <f t="shared" si="5"/>
        <v/>
      </c>
      <c r="V46" s="5" t="str">
        <f t="shared" si="6"/>
        <v/>
      </c>
      <c r="W46" s="5" t="str">
        <f t="shared" si="7"/>
        <v/>
      </c>
      <c r="X46" s="5" t="str">
        <f t="shared" si="8"/>
        <v/>
      </c>
    </row>
    <row r="47" spans="1:24">
      <c r="A47" s="87"/>
      <c r="B47" s="87"/>
      <c r="C47" s="88"/>
      <c r="D47" s="89"/>
      <c r="E47" s="90"/>
      <c r="F47" s="69"/>
      <c r="G47" s="70"/>
      <c r="H47" s="71"/>
      <c r="I47" s="66"/>
      <c r="J47" s="67"/>
      <c r="K47" s="67"/>
      <c r="L47" s="67"/>
      <c r="M47" s="67"/>
      <c r="N47" s="67"/>
      <c r="O47" s="67"/>
      <c r="P47" s="145" t="str">
        <f t="shared" si="0"/>
        <v/>
      </c>
      <c r="Q47" s="65" t="str">
        <f t="shared" si="1"/>
        <v/>
      </c>
      <c r="R47" s="5" t="str">
        <f t="shared" si="2"/>
        <v/>
      </c>
      <c r="S47" s="5" t="str">
        <f t="shared" si="3"/>
        <v/>
      </c>
      <c r="T47" s="5" t="str">
        <f t="shared" si="4"/>
        <v/>
      </c>
      <c r="U47" s="5" t="str">
        <f t="shared" si="5"/>
        <v/>
      </c>
      <c r="V47" s="5" t="str">
        <f t="shared" si="6"/>
        <v/>
      </c>
      <c r="W47" s="5" t="str">
        <f t="shared" si="7"/>
        <v/>
      </c>
      <c r="X47" s="5" t="str">
        <f t="shared" si="8"/>
        <v/>
      </c>
    </row>
    <row r="48" spans="1:24">
      <c r="A48" s="87"/>
      <c r="B48" s="87"/>
      <c r="C48" s="88"/>
      <c r="D48" s="89"/>
      <c r="E48" s="90"/>
      <c r="F48" s="69"/>
      <c r="G48" s="70"/>
      <c r="H48" s="71"/>
      <c r="I48" s="66"/>
      <c r="J48" s="67"/>
      <c r="K48" s="67"/>
      <c r="L48" s="67"/>
      <c r="M48" s="67"/>
      <c r="N48" s="67"/>
      <c r="O48" s="67"/>
      <c r="P48" s="145" t="str">
        <f t="shared" si="0"/>
        <v/>
      </c>
      <c r="Q48" s="65" t="str">
        <f t="shared" si="1"/>
        <v/>
      </c>
      <c r="R48" s="5" t="str">
        <f t="shared" si="2"/>
        <v/>
      </c>
      <c r="S48" s="5" t="str">
        <f t="shared" si="3"/>
        <v/>
      </c>
      <c r="T48" s="5" t="str">
        <f t="shared" si="4"/>
        <v/>
      </c>
      <c r="U48" s="5" t="str">
        <f t="shared" si="5"/>
        <v/>
      </c>
      <c r="V48" s="5" t="str">
        <f t="shared" si="6"/>
        <v/>
      </c>
      <c r="W48" s="5" t="str">
        <f t="shared" si="7"/>
        <v/>
      </c>
      <c r="X48" s="5" t="str">
        <f t="shared" si="8"/>
        <v/>
      </c>
    </row>
    <row r="49" spans="1:24">
      <c r="A49" s="87"/>
      <c r="B49" s="87"/>
      <c r="C49" s="88"/>
      <c r="D49" s="89"/>
      <c r="E49" s="90"/>
      <c r="F49" s="69"/>
      <c r="G49" s="70"/>
      <c r="H49" s="71"/>
      <c r="I49" s="66"/>
      <c r="J49" s="67"/>
      <c r="K49" s="67"/>
      <c r="L49" s="67"/>
      <c r="M49" s="67"/>
      <c r="N49" s="67"/>
      <c r="O49" s="67"/>
      <c r="P49" s="145" t="str">
        <f t="shared" si="0"/>
        <v/>
      </c>
      <c r="Q49" s="65" t="str">
        <f t="shared" si="1"/>
        <v/>
      </c>
      <c r="R49" s="5" t="str">
        <f t="shared" si="2"/>
        <v/>
      </c>
      <c r="S49" s="5" t="str">
        <f t="shared" si="3"/>
        <v/>
      </c>
      <c r="T49" s="5" t="str">
        <f t="shared" si="4"/>
        <v/>
      </c>
      <c r="U49" s="5" t="str">
        <f t="shared" si="5"/>
        <v/>
      </c>
      <c r="V49" s="5" t="str">
        <f t="shared" si="6"/>
        <v/>
      </c>
      <c r="W49" s="5" t="str">
        <f t="shared" si="7"/>
        <v/>
      </c>
      <c r="X49" s="5" t="str">
        <f t="shared" si="8"/>
        <v/>
      </c>
    </row>
    <row r="50" spans="1:24">
      <c r="A50" s="87"/>
      <c r="B50" s="87"/>
      <c r="C50" s="88"/>
      <c r="D50" s="89"/>
      <c r="E50" s="90"/>
      <c r="F50" s="69"/>
      <c r="G50" s="70"/>
      <c r="H50" s="71"/>
      <c r="I50" s="66"/>
      <c r="J50" s="67"/>
      <c r="K50" s="67"/>
      <c r="L50" s="67"/>
      <c r="M50" s="67"/>
      <c r="N50" s="67"/>
      <c r="O50" s="67"/>
      <c r="P50" s="145" t="str">
        <f t="shared" si="0"/>
        <v/>
      </c>
      <c r="Q50" s="65" t="str">
        <f t="shared" si="1"/>
        <v/>
      </c>
      <c r="R50" s="5" t="str">
        <f t="shared" si="2"/>
        <v/>
      </c>
      <c r="S50" s="5" t="str">
        <f t="shared" si="3"/>
        <v/>
      </c>
      <c r="T50" s="5" t="str">
        <f t="shared" si="4"/>
        <v/>
      </c>
      <c r="U50" s="5" t="str">
        <f t="shared" si="5"/>
        <v/>
      </c>
      <c r="V50" s="5" t="str">
        <f t="shared" si="6"/>
        <v/>
      </c>
      <c r="W50" s="5" t="str">
        <f t="shared" si="7"/>
        <v/>
      </c>
      <c r="X50" s="5" t="str">
        <f t="shared" si="8"/>
        <v/>
      </c>
    </row>
    <row r="51" spans="1:24">
      <c r="A51" s="87"/>
      <c r="B51" s="87"/>
      <c r="C51" s="88"/>
      <c r="D51" s="89"/>
      <c r="E51" s="90"/>
      <c r="F51" s="69"/>
      <c r="G51" s="70"/>
      <c r="H51" s="71"/>
      <c r="I51" s="66"/>
      <c r="J51" s="67"/>
      <c r="K51" s="67"/>
      <c r="L51" s="67"/>
      <c r="M51" s="67"/>
      <c r="N51" s="67"/>
      <c r="O51" s="67"/>
      <c r="P51" s="145" t="str">
        <f t="shared" si="0"/>
        <v/>
      </c>
      <c r="Q51" s="65" t="str">
        <f t="shared" si="1"/>
        <v/>
      </c>
      <c r="R51" s="5" t="str">
        <f t="shared" si="2"/>
        <v/>
      </c>
      <c r="S51" s="5" t="str">
        <f t="shared" si="3"/>
        <v/>
      </c>
      <c r="T51" s="5" t="str">
        <f t="shared" si="4"/>
        <v/>
      </c>
      <c r="U51" s="5" t="str">
        <f t="shared" si="5"/>
        <v/>
      </c>
      <c r="V51" s="5" t="str">
        <f t="shared" si="6"/>
        <v/>
      </c>
      <c r="W51" s="5" t="str">
        <f t="shared" si="7"/>
        <v/>
      </c>
      <c r="X51" s="5" t="str">
        <f t="shared" si="8"/>
        <v/>
      </c>
    </row>
    <row r="52" spans="1:24">
      <c r="A52" s="87"/>
      <c r="B52" s="87"/>
      <c r="C52" s="88"/>
      <c r="D52" s="89"/>
      <c r="E52" s="90"/>
      <c r="F52" s="69"/>
      <c r="G52" s="70"/>
      <c r="H52" s="71"/>
      <c r="I52" s="66"/>
      <c r="J52" s="67"/>
      <c r="K52" s="67"/>
      <c r="L52" s="67"/>
      <c r="M52" s="67"/>
      <c r="N52" s="67"/>
      <c r="O52" s="67"/>
      <c r="P52" s="145" t="str">
        <f t="shared" si="0"/>
        <v/>
      </c>
      <c r="Q52" s="65" t="str">
        <f t="shared" si="1"/>
        <v/>
      </c>
      <c r="R52" s="5" t="str">
        <f t="shared" si="2"/>
        <v/>
      </c>
      <c r="S52" s="5" t="str">
        <f t="shared" si="3"/>
        <v/>
      </c>
      <c r="T52" s="5" t="str">
        <f t="shared" si="4"/>
        <v/>
      </c>
      <c r="U52" s="5" t="str">
        <f t="shared" si="5"/>
        <v/>
      </c>
      <c r="V52" s="5" t="str">
        <f t="shared" si="6"/>
        <v/>
      </c>
      <c r="W52" s="5" t="str">
        <f t="shared" si="7"/>
        <v/>
      </c>
      <c r="X52" s="5" t="str">
        <f t="shared" si="8"/>
        <v/>
      </c>
    </row>
    <row r="53" spans="1:24">
      <c r="A53" s="87"/>
      <c r="B53" s="87"/>
      <c r="C53" s="88"/>
      <c r="D53" s="89"/>
      <c r="E53" s="90"/>
      <c r="F53" s="69"/>
      <c r="G53" s="70"/>
      <c r="H53" s="71"/>
      <c r="I53" s="66"/>
      <c r="J53" s="67"/>
      <c r="K53" s="67"/>
      <c r="L53" s="67"/>
      <c r="M53" s="67"/>
      <c r="N53" s="67"/>
      <c r="O53" s="67"/>
      <c r="P53" s="145" t="str">
        <f t="shared" si="0"/>
        <v/>
      </c>
      <c r="Q53" s="65" t="str">
        <f t="shared" si="1"/>
        <v/>
      </c>
      <c r="R53" s="5" t="str">
        <f t="shared" si="2"/>
        <v/>
      </c>
      <c r="S53" s="5" t="str">
        <f t="shared" si="3"/>
        <v/>
      </c>
      <c r="T53" s="5" t="str">
        <f t="shared" si="4"/>
        <v/>
      </c>
      <c r="U53" s="5" t="str">
        <f t="shared" si="5"/>
        <v/>
      </c>
      <c r="V53" s="5" t="str">
        <f t="shared" si="6"/>
        <v/>
      </c>
      <c r="W53" s="5" t="str">
        <f t="shared" si="7"/>
        <v/>
      </c>
      <c r="X53" s="5" t="str">
        <f t="shared" si="8"/>
        <v/>
      </c>
    </row>
    <row r="54" spans="1:24">
      <c r="A54" s="87"/>
      <c r="B54" s="87"/>
      <c r="C54" s="88"/>
      <c r="D54" s="89"/>
      <c r="E54" s="90"/>
      <c r="F54" s="69"/>
      <c r="G54" s="70"/>
      <c r="H54" s="71"/>
      <c r="I54" s="66"/>
      <c r="J54" s="67"/>
      <c r="K54" s="67"/>
      <c r="L54" s="67"/>
      <c r="M54" s="67"/>
      <c r="N54" s="67"/>
      <c r="O54" s="67"/>
      <c r="P54" s="145" t="str">
        <f t="shared" si="0"/>
        <v/>
      </c>
      <c r="Q54" s="65" t="str">
        <f t="shared" si="1"/>
        <v/>
      </c>
      <c r="R54" s="5" t="str">
        <f t="shared" si="2"/>
        <v/>
      </c>
      <c r="S54" s="5" t="str">
        <f t="shared" si="3"/>
        <v/>
      </c>
      <c r="T54" s="5" t="str">
        <f t="shared" si="4"/>
        <v/>
      </c>
      <c r="U54" s="5" t="str">
        <f t="shared" si="5"/>
        <v/>
      </c>
      <c r="V54" s="5" t="str">
        <f t="shared" si="6"/>
        <v/>
      </c>
      <c r="W54" s="5" t="str">
        <f t="shared" si="7"/>
        <v/>
      </c>
      <c r="X54" s="5" t="str">
        <f t="shared" si="8"/>
        <v/>
      </c>
    </row>
    <row r="55" spans="1:24">
      <c r="A55" s="87"/>
      <c r="B55" s="87"/>
      <c r="C55" s="88"/>
      <c r="D55" s="89"/>
      <c r="E55" s="90"/>
      <c r="F55" s="69"/>
      <c r="G55" s="70"/>
      <c r="H55" s="71"/>
      <c r="I55" s="66"/>
      <c r="J55" s="67"/>
      <c r="K55" s="67"/>
      <c r="L55" s="67"/>
      <c r="M55" s="67"/>
      <c r="N55" s="67"/>
      <c r="O55" s="67"/>
      <c r="P55" s="145" t="str">
        <f t="shared" si="0"/>
        <v/>
      </c>
      <c r="Q55" s="65" t="str">
        <f t="shared" si="1"/>
        <v/>
      </c>
      <c r="R55" s="5" t="str">
        <f t="shared" si="2"/>
        <v/>
      </c>
      <c r="S55" s="5" t="str">
        <f t="shared" si="3"/>
        <v/>
      </c>
      <c r="T55" s="5" t="str">
        <f t="shared" si="4"/>
        <v/>
      </c>
      <c r="U55" s="5" t="str">
        <f t="shared" si="5"/>
        <v/>
      </c>
      <c r="V55" s="5" t="str">
        <f t="shared" si="6"/>
        <v/>
      </c>
      <c r="W55" s="5" t="str">
        <f t="shared" si="7"/>
        <v/>
      </c>
      <c r="X55" s="5" t="str">
        <f t="shared" si="8"/>
        <v/>
      </c>
    </row>
    <row r="56" spans="1:24">
      <c r="A56" s="87"/>
      <c r="B56" s="87"/>
      <c r="C56" s="88"/>
      <c r="D56" s="89"/>
      <c r="E56" s="90"/>
      <c r="F56" s="69"/>
      <c r="G56" s="70"/>
      <c r="H56" s="71"/>
      <c r="I56" s="66"/>
      <c r="J56" s="67"/>
      <c r="K56" s="67"/>
      <c r="L56" s="67"/>
      <c r="M56" s="67"/>
      <c r="N56" s="67"/>
      <c r="O56" s="67"/>
      <c r="P56" s="145" t="str">
        <f t="shared" si="0"/>
        <v/>
      </c>
      <c r="Q56" s="65" t="str">
        <f t="shared" si="1"/>
        <v/>
      </c>
      <c r="R56" s="5" t="str">
        <f t="shared" si="2"/>
        <v/>
      </c>
      <c r="S56" s="5" t="str">
        <f t="shared" si="3"/>
        <v/>
      </c>
      <c r="T56" s="5" t="str">
        <f t="shared" si="4"/>
        <v/>
      </c>
      <c r="U56" s="5" t="str">
        <f t="shared" si="5"/>
        <v/>
      </c>
      <c r="V56" s="5" t="str">
        <f t="shared" si="6"/>
        <v/>
      </c>
      <c r="W56" s="5" t="str">
        <f t="shared" si="7"/>
        <v/>
      </c>
      <c r="X56" s="5" t="str">
        <f t="shared" si="8"/>
        <v/>
      </c>
    </row>
    <row r="57" spans="1:24">
      <c r="A57" s="87"/>
      <c r="B57" s="87"/>
      <c r="C57" s="88"/>
      <c r="D57" s="89"/>
      <c r="E57" s="90"/>
      <c r="F57" s="69"/>
      <c r="G57" s="70"/>
      <c r="H57" s="71"/>
      <c r="I57" s="66"/>
      <c r="J57" s="67"/>
      <c r="K57" s="67"/>
      <c r="L57" s="67"/>
      <c r="M57" s="67"/>
      <c r="N57" s="67"/>
      <c r="O57" s="67"/>
      <c r="P57" s="145" t="str">
        <f t="shared" si="0"/>
        <v/>
      </c>
      <c r="Q57" s="65" t="str">
        <f t="shared" si="1"/>
        <v/>
      </c>
      <c r="R57" s="5" t="str">
        <f t="shared" si="2"/>
        <v/>
      </c>
      <c r="S57" s="5" t="str">
        <f t="shared" si="3"/>
        <v/>
      </c>
      <c r="T57" s="5" t="str">
        <f t="shared" si="4"/>
        <v/>
      </c>
      <c r="U57" s="5" t="str">
        <f t="shared" si="5"/>
        <v/>
      </c>
      <c r="V57" s="5" t="str">
        <f t="shared" si="6"/>
        <v/>
      </c>
      <c r="W57" s="5" t="str">
        <f t="shared" si="7"/>
        <v/>
      </c>
      <c r="X57" s="5" t="str">
        <f t="shared" si="8"/>
        <v/>
      </c>
    </row>
    <row r="58" spans="1:24">
      <c r="A58" s="87"/>
      <c r="B58" s="87"/>
      <c r="C58" s="88"/>
      <c r="D58" s="89"/>
      <c r="E58" s="90"/>
      <c r="F58" s="69"/>
      <c r="G58" s="70"/>
      <c r="H58" s="71"/>
      <c r="I58" s="66"/>
      <c r="J58" s="67"/>
      <c r="K58" s="67"/>
      <c r="L58" s="67"/>
      <c r="M58" s="67"/>
      <c r="N58" s="67"/>
      <c r="O58" s="67"/>
      <c r="P58" s="145" t="str">
        <f t="shared" si="0"/>
        <v/>
      </c>
      <c r="Q58" s="65" t="str">
        <f t="shared" si="1"/>
        <v/>
      </c>
      <c r="R58" s="5" t="str">
        <f t="shared" si="2"/>
        <v/>
      </c>
      <c r="S58" s="5" t="str">
        <f t="shared" si="3"/>
        <v/>
      </c>
      <c r="T58" s="5" t="str">
        <f t="shared" si="4"/>
        <v/>
      </c>
      <c r="U58" s="5" t="str">
        <f t="shared" si="5"/>
        <v/>
      </c>
      <c r="V58" s="5" t="str">
        <f t="shared" si="6"/>
        <v/>
      </c>
      <c r="W58" s="5" t="str">
        <f t="shared" si="7"/>
        <v/>
      </c>
      <c r="X58" s="5" t="str">
        <f t="shared" si="8"/>
        <v/>
      </c>
    </row>
    <row r="59" spans="1:24">
      <c r="A59" s="87"/>
      <c r="B59" s="87"/>
      <c r="C59" s="88"/>
      <c r="D59" s="89"/>
      <c r="E59" s="90"/>
      <c r="F59" s="69"/>
      <c r="G59" s="70"/>
      <c r="H59" s="71"/>
      <c r="I59" s="66"/>
      <c r="J59" s="67"/>
      <c r="K59" s="67"/>
      <c r="L59" s="67"/>
      <c r="M59" s="67"/>
      <c r="N59" s="67"/>
      <c r="O59" s="67"/>
      <c r="P59" s="145" t="str">
        <f t="shared" si="0"/>
        <v/>
      </c>
      <c r="Q59" s="65" t="str">
        <f t="shared" si="1"/>
        <v/>
      </c>
      <c r="R59" s="5" t="str">
        <f t="shared" si="2"/>
        <v/>
      </c>
      <c r="S59" s="5" t="str">
        <f t="shared" si="3"/>
        <v/>
      </c>
      <c r="T59" s="5" t="str">
        <f t="shared" si="4"/>
        <v/>
      </c>
      <c r="U59" s="5" t="str">
        <f t="shared" si="5"/>
        <v/>
      </c>
      <c r="V59" s="5" t="str">
        <f t="shared" si="6"/>
        <v/>
      </c>
      <c r="W59" s="5" t="str">
        <f t="shared" si="7"/>
        <v/>
      </c>
      <c r="X59" s="5" t="str">
        <f t="shared" si="8"/>
        <v/>
      </c>
    </row>
    <row r="60" spans="1:24">
      <c r="A60" s="87"/>
      <c r="B60" s="87"/>
      <c r="C60" s="88"/>
      <c r="D60" s="89"/>
      <c r="E60" s="90"/>
      <c r="F60" s="69"/>
      <c r="G60" s="70"/>
      <c r="H60" s="71"/>
      <c r="I60" s="66"/>
      <c r="J60" s="67"/>
      <c r="K60" s="67"/>
      <c r="L60" s="67"/>
      <c r="M60" s="67"/>
      <c r="N60" s="67"/>
      <c r="O60" s="67"/>
      <c r="P60" s="145" t="str">
        <f t="shared" si="0"/>
        <v/>
      </c>
      <c r="Q60" s="65" t="str">
        <f t="shared" si="1"/>
        <v/>
      </c>
      <c r="R60" s="5" t="str">
        <f t="shared" si="2"/>
        <v/>
      </c>
      <c r="S60" s="5" t="str">
        <f t="shared" si="3"/>
        <v/>
      </c>
      <c r="T60" s="5" t="str">
        <f t="shared" si="4"/>
        <v/>
      </c>
      <c r="U60" s="5" t="str">
        <f t="shared" si="5"/>
        <v/>
      </c>
      <c r="V60" s="5" t="str">
        <f t="shared" si="6"/>
        <v/>
      </c>
      <c r="W60" s="5" t="str">
        <f t="shared" si="7"/>
        <v/>
      </c>
      <c r="X60" s="5" t="str">
        <f t="shared" si="8"/>
        <v/>
      </c>
    </row>
    <row r="61" spans="1:24">
      <c r="A61" s="87"/>
      <c r="B61" s="87"/>
      <c r="C61" s="88"/>
      <c r="D61" s="89"/>
      <c r="E61" s="90"/>
      <c r="F61" s="69"/>
      <c r="G61" s="70"/>
      <c r="H61" s="71"/>
      <c r="I61" s="66"/>
      <c r="J61" s="67"/>
      <c r="K61" s="67"/>
      <c r="L61" s="67"/>
      <c r="M61" s="67"/>
      <c r="N61" s="67"/>
      <c r="O61" s="67"/>
      <c r="P61" s="145" t="str">
        <f t="shared" si="0"/>
        <v/>
      </c>
      <c r="Q61" s="65" t="str">
        <f t="shared" si="1"/>
        <v/>
      </c>
      <c r="R61" s="5" t="str">
        <f t="shared" si="2"/>
        <v/>
      </c>
      <c r="S61" s="5" t="str">
        <f t="shared" si="3"/>
        <v/>
      </c>
      <c r="T61" s="5" t="str">
        <f t="shared" si="4"/>
        <v/>
      </c>
      <c r="U61" s="5" t="str">
        <f t="shared" si="5"/>
        <v/>
      </c>
      <c r="V61" s="5" t="str">
        <f t="shared" si="6"/>
        <v/>
      </c>
      <c r="W61" s="5" t="str">
        <f t="shared" si="7"/>
        <v/>
      </c>
      <c r="X61" s="5" t="str">
        <f t="shared" si="8"/>
        <v/>
      </c>
    </row>
    <row r="62" spans="1:24">
      <c r="A62" s="87"/>
      <c r="B62" s="87"/>
      <c r="C62" s="88"/>
      <c r="D62" s="89"/>
      <c r="E62" s="90"/>
      <c r="F62" s="69"/>
      <c r="G62" s="70"/>
      <c r="H62" s="71"/>
      <c r="I62" s="66"/>
      <c r="J62" s="67"/>
      <c r="K62" s="67"/>
      <c r="L62" s="67"/>
      <c r="M62" s="67"/>
      <c r="N62" s="67"/>
      <c r="O62" s="67"/>
      <c r="P62" s="145" t="str">
        <f t="shared" si="0"/>
        <v/>
      </c>
      <c r="Q62" s="65" t="str">
        <f t="shared" si="1"/>
        <v/>
      </c>
      <c r="R62" s="5" t="str">
        <f t="shared" si="2"/>
        <v/>
      </c>
      <c r="S62" s="5" t="str">
        <f t="shared" si="3"/>
        <v/>
      </c>
      <c r="T62" s="5" t="str">
        <f t="shared" si="4"/>
        <v/>
      </c>
      <c r="U62" s="5" t="str">
        <f t="shared" si="5"/>
        <v/>
      </c>
      <c r="V62" s="5" t="str">
        <f t="shared" si="6"/>
        <v/>
      </c>
      <c r="W62" s="5" t="str">
        <f t="shared" si="7"/>
        <v/>
      </c>
      <c r="X62" s="5" t="str">
        <f t="shared" si="8"/>
        <v/>
      </c>
    </row>
    <row r="63" spans="1:24">
      <c r="A63" s="87"/>
      <c r="B63" s="87"/>
      <c r="C63" s="88"/>
      <c r="D63" s="89"/>
      <c r="E63" s="90"/>
      <c r="F63" s="69"/>
      <c r="G63" s="70"/>
      <c r="H63" s="71"/>
      <c r="I63" s="66"/>
      <c r="J63" s="67"/>
      <c r="K63" s="67"/>
      <c r="L63" s="67"/>
      <c r="M63" s="67"/>
      <c r="N63" s="67"/>
      <c r="O63" s="67"/>
      <c r="P63" s="145" t="str">
        <f t="shared" si="0"/>
        <v/>
      </c>
      <c r="Q63" s="65" t="str">
        <f t="shared" si="1"/>
        <v/>
      </c>
      <c r="R63" s="5" t="str">
        <f t="shared" si="2"/>
        <v/>
      </c>
      <c r="S63" s="5" t="str">
        <f t="shared" si="3"/>
        <v/>
      </c>
      <c r="T63" s="5" t="str">
        <f t="shared" si="4"/>
        <v/>
      </c>
      <c r="U63" s="5" t="str">
        <f t="shared" si="5"/>
        <v/>
      </c>
      <c r="V63" s="5" t="str">
        <f t="shared" si="6"/>
        <v/>
      </c>
      <c r="W63" s="5" t="str">
        <f t="shared" si="7"/>
        <v/>
      </c>
      <c r="X63" s="5" t="str">
        <f t="shared" si="8"/>
        <v/>
      </c>
    </row>
    <row r="64" spans="1:24">
      <c r="A64" s="87"/>
      <c r="B64" s="87"/>
      <c r="C64" s="88"/>
      <c r="D64" s="89"/>
      <c r="E64" s="90"/>
      <c r="F64" s="69"/>
      <c r="G64" s="70"/>
      <c r="H64" s="71"/>
      <c r="I64" s="66"/>
      <c r="J64" s="67"/>
      <c r="K64" s="67"/>
      <c r="L64" s="67"/>
      <c r="M64" s="67"/>
      <c r="N64" s="67"/>
      <c r="O64" s="67"/>
      <c r="P64" s="145" t="str">
        <f t="shared" si="0"/>
        <v/>
      </c>
      <c r="Q64" s="65" t="str">
        <f t="shared" si="1"/>
        <v/>
      </c>
      <c r="R64" s="5" t="str">
        <f t="shared" si="2"/>
        <v/>
      </c>
      <c r="S64" s="5" t="str">
        <f t="shared" si="3"/>
        <v/>
      </c>
      <c r="T64" s="5" t="str">
        <f t="shared" si="4"/>
        <v/>
      </c>
      <c r="U64" s="5" t="str">
        <f t="shared" si="5"/>
        <v/>
      </c>
      <c r="V64" s="5" t="str">
        <f t="shared" si="6"/>
        <v/>
      </c>
      <c r="W64" s="5" t="str">
        <f t="shared" si="7"/>
        <v/>
      </c>
      <c r="X64" s="5" t="str">
        <f t="shared" si="8"/>
        <v/>
      </c>
    </row>
    <row r="65" spans="1:24">
      <c r="A65" s="87"/>
      <c r="B65" s="87"/>
      <c r="C65" s="88"/>
      <c r="D65" s="89"/>
      <c r="E65" s="90"/>
      <c r="F65" s="69"/>
      <c r="G65" s="70"/>
      <c r="H65" s="71"/>
      <c r="I65" s="66"/>
      <c r="J65" s="67"/>
      <c r="K65" s="67"/>
      <c r="L65" s="67"/>
      <c r="M65" s="67"/>
      <c r="N65" s="67"/>
      <c r="O65" s="67"/>
      <c r="P65" s="145" t="str">
        <f t="shared" si="0"/>
        <v/>
      </c>
      <c r="Q65" s="65" t="str">
        <f t="shared" si="1"/>
        <v/>
      </c>
      <c r="R65" s="5" t="str">
        <f t="shared" si="2"/>
        <v/>
      </c>
      <c r="S65" s="5" t="str">
        <f t="shared" si="3"/>
        <v/>
      </c>
      <c r="T65" s="5" t="str">
        <f t="shared" si="4"/>
        <v/>
      </c>
      <c r="U65" s="5" t="str">
        <f t="shared" si="5"/>
        <v/>
      </c>
      <c r="V65" s="5" t="str">
        <f t="shared" si="6"/>
        <v/>
      </c>
      <c r="W65" s="5" t="str">
        <f t="shared" si="7"/>
        <v/>
      </c>
      <c r="X65" s="5" t="str">
        <f t="shared" si="8"/>
        <v/>
      </c>
    </row>
    <row r="66" spans="1:24">
      <c r="A66" s="87"/>
      <c r="B66" s="87"/>
      <c r="C66" s="88"/>
      <c r="D66" s="89"/>
      <c r="E66" s="90"/>
      <c r="F66" s="69"/>
      <c r="G66" s="70"/>
      <c r="H66" s="71"/>
      <c r="I66" s="66"/>
      <c r="J66" s="67"/>
      <c r="K66" s="67"/>
      <c r="L66" s="67"/>
      <c r="M66" s="67"/>
      <c r="N66" s="67"/>
      <c r="O66" s="67"/>
      <c r="P66" s="145" t="str">
        <f t="shared" si="0"/>
        <v/>
      </c>
      <c r="Q66" s="65" t="str">
        <f t="shared" si="1"/>
        <v/>
      </c>
      <c r="R66" s="5" t="str">
        <f t="shared" si="2"/>
        <v/>
      </c>
      <c r="S66" s="5" t="str">
        <f t="shared" si="3"/>
        <v/>
      </c>
      <c r="T66" s="5" t="str">
        <f t="shared" si="4"/>
        <v/>
      </c>
      <c r="U66" s="5" t="str">
        <f t="shared" si="5"/>
        <v/>
      </c>
      <c r="V66" s="5" t="str">
        <f t="shared" si="6"/>
        <v/>
      </c>
      <c r="W66" s="5" t="str">
        <f t="shared" si="7"/>
        <v/>
      </c>
      <c r="X66" s="5" t="str">
        <f t="shared" si="8"/>
        <v/>
      </c>
    </row>
    <row r="67" spans="1:24">
      <c r="A67" s="87"/>
      <c r="B67" s="87"/>
      <c r="C67" s="88"/>
      <c r="D67" s="89"/>
      <c r="E67" s="90"/>
      <c r="F67" s="69"/>
      <c r="G67" s="70"/>
      <c r="H67" s="71"/>
      <c r="I67" s="66"/>
      <c r="J67" s="67"/>
      <c r="K67" s="67"/>
      <c r="L67" s="67"/>
      <c r="M67" s="67"/>
      <c r="N67" s="67"/>
      <c r="O67" s="67"/>
      <c r="P67" s="145" t="str">
        <f t="shared" si="0"/>
        <v/>
      </c>
      <c r="Q67" s="65" t="str">
        <f t="shared" si="1"/>
        <v/>
      </c>
      <c r="R67" s="5" t="str">
        <f t="shared" si="2"/>
        <v/>
      </c>
      <c r="S67" s="5" t="str">
        <f t="shared" si="3"/>
        <v/>
      </c>
      <c r="T67" s="5" t="str">
        <f t="shared" si="4"/>
        <v/>
      </c>
      <c r="U67" s="5" t="str">
        <f t="shared" si="5"/>
        <v/>
      </c>
      <c r="V67" s="5" t="str">
        <f t="shared" si="6"/>
        <v/>
      </c>
      <c r="W67" s="5" t="str">
        <f t="shared" si="7"/>
        <v/>
      </c>
      <c r="X67" s="5" t="str">
        <f t="shared" si="8"/>
        <v/>
      </c>
    </row>
    <row r="68" spans="1:24">
      <c r="A68" s="87"/>
      <c r="B68" s="87"/>
      <c r="C68" s="88"/>
      <c r="D68" s="89"/>
      <c r="E68" s="90"/>
      <c r="F68" s="69"/>
      <c r="G68" s="70"/>
      <c r="H68" s="71"/>
      <c r="I68" s="66"/>
      <c r="J68" s="67"/>
      <c r="K68" s="67"/>
      <c r="L68" s="67"/>
      <c r="M68" s="67"/>
      <c r="N68" s="67"/>
      <c r="O68" s="67"/>
      <c r="P68" s="145" t="str">
        <f t="shared" si="0"/>
        <v/>
      </c>
      <c r="Q68" s="65" t="str">
        <f t="shared" si="1"/>
        <v/>
      </c>
      <c r="R68" s="5" t="str">
        <f t="shared" si="2"/>
        <v/>
      </c>
      <c r="S68" s="5" t="str">
        <f t="shared" si="3"/>
        <v/>
      </c>
      <c r="T68" s="5" t="str">
        <f t="shared" si="4"/>
        <v/>
      </c>
      <c r="U68" s="5" t="str">
        <f t="shared" si="5"/>
        <v/>
      </c>
      <c r="V68" s="5" t="str">
        <f t="shared" si="6"/>
        <v/>
      </c>
      <c r="W68" s="5" t="str">
        <f t="shared" si="7"/>
        <v/>
      </c>
      <c r="X68" s="5" t="str">
        <f t="shared" si="8"/>
        <v/>
      </c>
    </row>
    <row r="69" spans="1:24">
      <c r="A69" s="87"/>
      <c r="B69" s="87"/>
      <c r="C69" s="88"/>
      <c r="D69" s="89"/>
      <c r="E69" s="90"/>
      <c r="F69" s="69"/>
      <c r="G69" s="70"/>
      <c r="H69" s="71"/>
      <c r="I69" s="66"/>
      <c r="J69" s="67"/>
      <c r="K69" s="67"/>
      <c r="L69" s="67"/>
      <c r="M69" s="67"/>
      <c r="N69" s="67"/>
      <c r="O69" s="67"/>
      <c r="P69" s="145" t="str">
        <f t="shared" si="0"/>
        <v/>
      </c>
      <c r="Q69" s="65" t="str">
        <f t="shared" si="1"/>
        <v/>
      </c>
      <c r="R69" s="5" t="str">
        <f t="shared" si="2"/>
        <v/>
      </c>
      <c r="S69" s="5" t="str">
        <f t="shared" si="3"/>
        <v/>
      </c>
      <c r="T69" s="5" t="str">
        <f t="shared" si="4"/>
        <v/>
      </c>
      <c r="U69" s="5" t="str">
        <f t="shared" si="5"/>
        <v/>
      </c>
      <c r="V69" s="5" t="str">
        <f t="shared" si="6"/>
        <v/>
      </c>
      <c r="W69" s="5" t="str">
        <f t="shared" si="7"/>
        <v/>
      </c>
      <c r="X69" s="5" t="str">
        <f t="shared" si="8"/>
        <v/>
      </c>
    </row>
    <row r="70" spans="1:24">
      <c r="A70" s="87"/>
      <c r="B70" s="87"/>
      <c r="C70" s="88"/>
      <c r="D70" s="89"/>
      <c r="E70" s="90"/>
      <c r="F70" s="69"/>
      <c r="G70" s="70"/>
      <c r="H70" s="71"/>
      <c r="I70" s="66"/>
      <c r="J70" s="67"/>
      <c r="K70" s="67"/>
      <c r="L70" s="67"/>
      <c r="M70" s="67"/>
      <c r="N70" s="67"/>
      <c r="O70" s="67"/>
      <c r="P70" s="145" t="str">
        <f t="shared" si="0"/>
        <v/>
      </c>
      <c r="Q70" s="65" t="str">
        <f t="shared" si="1"/>
        <v/>
      </c>
      <c r="R70" s="5" t="str">
        <f t="shared" si="2"/>
        <v/>
      </c>
      <c r="S70" s="5" t="str">
        <f t="shared" si="3"/>
        <v/>
      </c>
      <c r="T70" s="5" t="str">
        <f t="shared" si="4"/>
        <v/>
      </c>
      <c r="U70" s="5" t="str">
        <f t="shared" si="5"/>
        <v/>
      </c>
      <c r="V70" s="5" t="str">
        <f t="shared" si="6"/>
        <v/>
      </c>
      <c r="W70" s="5" t="str">
        <f t="shared" si="7"/>
        <v/>
      </c>
      <c r="X70" s="5" t="str">
        <f t="shared" si="8"/>
        <v/>
      </c>
    </row>
    <row r="71" spans="1:24">
      <c r="A71" s="87"/>
      <c r="B71" s="87"/>
      <c r="C71" s="88"/>
      <c r="D71" s="89"/>
      <c r="E71" s="90"/>
      <c r="F71" s="69"/>
      <c r="G71" s="70"/>
      <c r="H71" s="71"/>
      <c r="I71" s="66"/>
      <c r="J71" s="67"/>
      <c r="K71" s="67"/>
      <c r="L71" s="67"/>
      <c r="M71" s="67"/>
      <c r="N71" s="67"/>
      <c r="O71" s="67"/>
      <c r="P71" s="145" t="str">
        <f t="shared" ref="P71:P134" si="9">IF($C71="","",IF($N71+$O71=0,0,$N71/($N71+$O71)))</f>
        <v/>
      </c>
      <c r="Q71" s="65" t="str">
        <f t="shared" ref="Q71:Q134" si="10">IF($C71="","",IF(TRIM($B71)="beginning",(((SUM($R71:$X71)-3371)/2251)*40)+360,IF(TRIM($B71)="middle",(((SUM($R71:$X71)-3371)/2251)*40)+400,IF(TRIM($B71)="end",(((SUM($R71:$X71)-3371)/2251)*40)+440,""))))</f>
        <v/>
      </c>
      <c r="R71" s="5" t="str">
        <f t="shared" ref="R71:R134" si="11">IF($C71="","",I71*10.72)</f>
        <v/>
      </c>
      <c r="S71" s="5" t="str">
        <f t="shared" ref="S71:S134" si="12">IF($C71="","",J71*2.13)</f>
        <v/>
      </c>
      <c r="T71" s="5" t="str">
        <f t="shared" ref="T71:T134" si="13">IF($C71="","",K71*23.13)</f>
        <v/>
      </c>
      <c r="U71" s="5" t="str">
        <f t="shared" ref="U71:U134" si="14">IF($C71="","",L71*7.79)</f>
        <v/>
      </c>
      <c r="V71" s="5" t="str">
        <f t="shared" ref="V71:V134" si="15">IF($C71="","",M71*13.51)</f>
        <v/>
      </c>
      <c r="W71" s="5" t="str">
        <f t="shared" ref="W71:W134" si="16">IF($C71="","",N71*25.36)</f>
        <v/>
      </c>
      <c r="X71" s="5" t="str">
        <f t="shared" ref="X71:X134" si="17">IF($C71="","",P71*0.25)</f>
        <v/>
      </c>
    </row>
    <row r="72" spans="1:24">
      <c r="A72" s="87"/>
      <c r="B72" s="87"/>
      <c r="C72" s="88"/>
      <c r="D72" s="89"/>
      <c r="E72" s="90"/>
      <c r="F72" s="69"/>
      <c r="G72" s="70"/>
      <c r="H72" s="71"/>
      <c r="I72" s="66"/>
      <c r="J72" s="67"/>
      <c r="K72" s="67"/>
      <c r="L72" s="67"/>
      <c r="M72" s="67"/>
      <c r="N72" s="67"/>
      <c r="O72" s="67"/>
      <c r="P72" s="145" t="str">
        <f t="shared" si="9"/>
        <v/>
      </c>
      <c r="Q72" s="65" t="str">
        <f t="shared" si="10"/>
        <v/>
      </c>
      <c r="R72" s="5" t="str">
        <f t="shared" si="11"/>
        <v/>
      </c>
      <c r="S72" s="5" t="str">
        <f t="shared" si="12"/>
        <v/>
      </c>
      <c r="T72" s="5" t="str">
        <f t="shared" si="13"/>
        <v/>
      </c>
      <c r="U72" s="5" t="str">
        <f t="shared" si="14"/>
        <v/>
      </c>
      <c r="V72" s="5" t="str">
        <f t="shared" si="15"/>
        <v/>
      </c>
      <c r="W72" s="5" t="str">
        <f t="shared" si="16"/>
        <v/>
      </c>
      <c r="X72" s="5" t="str">
        <f t="shared" si="17"/>
        <v/>
      </c>
    </row>
    <row r="73" spans="1:24">
      <c r="A73" s="87"/>
      <c r="B73" s="87"/>
      <c r="C73" s="88"/>
      <c r="D73" s="89"/>
      <c r="E73" s="90"/>
      <c r="F73" s="69"/>
      <c r="G73" s="70"/>
      <c r="H73" s="71"/>
      <c r="I73" s="66"/>
      <c r="J73" s="67"/>
      <c r="K73" s="67"/>
      <c r="L73" s="67"/>
      <c r="M73" s="67"/>
      <c r="N73" s="67"/>
      <c r="O73" s="67"/>
      <c r="P73" s="145" t="str">
        <f t="shared" si="9"/>
        <v/>
      </c>
      <c r="Q73" s="65" t="str">
        <f t="shared" si="10"/>
        <v/>
      </c>
      <c r="R73" s="5" t="str">
        <f t="shared" si="11"/>
        <v/>
      </c>
      <c r="S73" s="5" t="str">
        <f t="shared" si="12"/>
        <v/>
      </c>
      <c r="T73" s="5" t="str">
        <f t="shared" si="13"/>
        <v/>
      </c>
      <c r="U73" s="5" t="str">
        <f t="shared" si="14"/>
        <v/>
      </c>
      <c r="V73" s="5" t="str">
        <f t="shared" si="15"/>
        <v/>
      </c>
      <c r="W73" s="5" t="str">
        <f t="shared" si="16"/>
        <v/>
      </c>
      <c r="X73" s="5" t="str">
        <f t="shared" si="17"/>
        <v/>
      </c>
    </row>
    <row r="74" spans="1:24">
      <c r="A74" s="87"/>
      <c r="B74" s="87"/>
      <c r="C74" s="88"/>
      <c r="D74" s="89"/>
      <c r="E74" s="90"/>
      <c r="F74" s="69"/>
      <c r="G74" s="70"/>
      <c r="H74" s="71"/>
      <c r="I74" s="66"/>
      <c r="J74" s="67"/>
      <c r="K74" s="67"/>
      <c r="L74" s="67"/>
      <c r="M74" s="67"/>
      <c r="N74" s="67"/>
      <c r="O74" s="67"/>
      <c r="P74" s="145" t="str">
        <f t="shared" si="9"/>
        <v/>
      </c>
      <c r="Q74" s="65" t="str">
        <f t="shared" si="10"/>
        <v/>
      </c>
      <c r="R74" s="5" t="str">
        <f t="shared" si="11"/>
        <v/>
      </c>
      <c r="S74" s="5" t="str">
        <f t="shared" si="12"/>
        <v/>
      </c>
      <c r="T74" s="5" t="str">
        <f t="shared" si="13"/>
        <v/>
      </c>
      <c r="U74" s="5" t="str">
        <f t="shared" si="14"/>
        <v/>
      </c>
      <c r="V74" s="5" t="str">
        <f t="shared" si="15"/>
        <v/>
      </c>
      <c r="W74" s="5" t="str">
        <f t="shared" si="16"/>
        <v/>
      </c>
      <c r="X74" s="5" t="str">
        <f t="shared" si="17"/>
        <v/>
      </c>
    </row>
    <row r="75" spans="1:24">
      <c r="A75" s="87"/>
      <c r="B75" s="87"/>
      <c r="C75" s="88"/>
      <c r="D75" s="89"/>
      <c r="E75" s="90"/>
      <c r="F75" s="69"/>
      <c r="G75" s="70"/>
      <c r="H75" s="71"/>
      <c r="I75" s="66"/>
      <c r="J75" s="67"/>
      <c r="K75" s="67"/>
      <c r="L75" s="67"/>
      <c r="M75" s="67"/>
      <c r="N75" s="67"/>
      <c r="O75" s="67"/>
      <c r="P75" s="145" t="str">
        <f t="shared" si="9"/>
        <v/>
      </c>
      <c r="Q75" s="65" t="str">
        <f t="shared" si="10"/>
        <v/>
      </c>
      <c r="R75" s="5" t="str">
        <f t="shared" si="11"/>
        <v/>
      </c>
      <c r="S75" s="5" t="str">
        <f t="shared" si="12"/>
        <v/>
      </c>
      <c r="T75" s="5" t="str">
        <f t="shared" si="13"/>
        <v/>
      </c>
      <c r="U75" s="5" t="str">
        <f t="shared" si="14"/>
        <v/>
      </c>
      <c r="V75" s="5" t="str">
        <f t="shared" si="15"/>
        <v/>
      </c>
      <c r="W75" s="5" t="str">
        <f t="shared" si="16"/>
        <v/>
      </c>
      <c r="X75" s="5" t="str">
        <f t="shared" si="17"/>
        <v/>
      </c>
    </row>
    <row r="76" spans="1:24">
      <c r="A76" s="87"/>
      <c r="B76" s="87"/>
      <c r="C76" s="88"/>
      <c r="D76" s="89"/>
      <c r="E76" s="90"/>
      <c r="F76" s="69"/>
      <c r="G76" s="70"/>
      <c r="H76" s="71"/>
      <c r="I76" s="66"/>
      <c r="J76" s="67"/>
      <c r="K76" s="67"/>
      <c r="L76" s="67"/>
      <c r="M76" s="67"/>
      <c r="N76" s="67"/>
      <c r="O76" s="67"/>
      <c r="P76" s="145" t="str">
        <f t="shared" si="9"/>
        <v/>
      </c>
      <c r="Q76" s="65" t="str">
        <f t="shared" si="10"/>
        <v/>
      </c>
      <c r="R76" s="5" t="str">
        <f t="shared" si="11"/>
        <v/>
      </c>
      <c r="S76" s="5" t="str">
        <f t="shared" si="12"/>
        <v/>
      </c>
      <c r="T76" s="5" t="str">
        <f t="shared" si="13"/>
        <v/>
      </c>
      <c r="U76" s="5" t="str">
        <f t="shared" si="14"/>
        <v/>
      </c>
      <c r="V76" s="5" t="str">
        <f t="shared" si="15"/>
        <v/>
      </c>
      <c r="W76" s="5" t="str">
        <f t="shared" si="16"/>
        <v/>
      </c>
      <c r="X76" s="5" t="str">
        <f t="shared" si="17"/>
        <v/>
      </c>
    </row>
    <row r="77" spans="1:24">
      <c r="A77" s="87"/>
      <c r="B77" s="87"/>
      <c r="C77" s="88"/>
      <c r="D77" s="89"/>
      <c r="E77" s="90"/>
      <c r="F77" s="69"/>
      <c r="G77" s="70"/>
      <c r="H77" s="71"/>
      <c r="I77" s="66"/>
      <c r="J77" s="67"/>
      <c r="K77" s="67"/>
      <c r="L77" s="67"/>
      <c r="M77" s="67"/>
      <c r="N77" s="67"/>
      <c r="O77" s="67"/>
      <c r="P77" s="145" t="str">
        <f t="shared" si="9"/>
        <v/>
      </c>
      <c r="Q77" s="65" t="str">
        <f t="shared" si="10"/>
        <v/>
      </c>
      <c r="R77" s="5" t="str">
        <f t="shared" si="11"/>
        <v/>
      </c>
      <c r="S77" s="5" t="str">
        <f t="shared" si="12"/>
        <v/>
      </c>
      <c r="T77" s="5" t="str">
        <f t="shared" si="13"/>
        <v/>
      </c>
      <c r="U77" s="5" t="str">
        <f t="shared" si="14"/>
        <v/>
      </c>
      <c r="V77" s="5" t="str">
        <f t="shared" si="15"/>
        <v/>
      </c>
      <c r="W77" s="5" t="str">
        <f t="shared" si="16"/>
        <v/>
      </c>
      <c r="X77" s="5" t="str">
        <f t="shared" si="17"/>
        <v/>
      </c>
    </row>
    <row r="78" spans="1:24">
      <c r="A78" s="87"/>
      <c r="B78" s="87"/>
      <c r="C78" s="88"/>
      <c r="D78" s="89"/>
      <c r="E78" s="90"/>
      <c r="F78" s="69"/>
      <c r="G78" s="70"/>
      <c r="H78" s="71"/>
      <c r="I78" s="66"/>
      <c r="J78" s="67"/>
      <c r="K78" s="67"/>
      <c r="L78" s="67"/>
      <c r="M78" s="67"/>
      <c r="N78" s="67"/>
      <c r="O78" s="67"/>
      <c r="P78" s="145" t="str">
        <f t="shared" si="9"/>
        <v/>
      </c>
      <c r="Q78" s="65" t="str">
        <f t="shared" si="10"/>
        <v/>
      </c>
      <c r="R78" s="5" t="str">
        <f t="shared" si="11"/>
        <v/>
      </c>
      <c r="S78" s="5" t="str">
        <f t="shared" si="12"/>
        <v/>
      </c>
      <c r="T78" s="5" t="str">
        <f t="shared" si="13"/>
        <v/>
      </c>
      <c r="U78" s="5" t="str">
        <f t="shared" si="14"/>
        <v/>
      </c>
      <c r="V78" s="5" t="str">
        <f t="shared" si="15"/>
        <v/>
      </c>
      <c r="W78" s="5" t="str">
        <f t="shared" si="16"/>
        <v/>
      </c>
      <c r="X78" s="5" t="str">
        <f t="shared" si="17"/>
        <v/>
      </c>
    </row>
    <row r="79" spans="1:24">
      <c r="A79" s="87"/>
      <c r="B79" s="87"/>
      <c r="C79" s="88"/>
      <c r="D79" s="89"/>
      <c r="E79" s="90"/>
      <c r="F79" s="69"/>
      <c r="G79" s="70"/>
      <c r="H79" s="71"/>
      <c r="I79" s="66"/>
      <c r="J79" s="67"/>
      <c r="K79" s="67"/>
      <c r="L79" s="67"/>
      <c r="M79" s="67"/>
      <c r="N79" s="67"/>
      <c r="O79" s="67"/>
      <c r="P79" s="145" t="str">
        <f t="shared" si="9"/>
        <v/>
      </c>
      <c r="Q79" s="65" t="str">
        <f t="shared" si="10"/>
        <v/>
      </c>
      <c r="R79" s="5" t="str">
        <f t="shared" si="11"/>
        <v/>
      </c>
      <c r="S79" s="5" t="str">
        <f t="shared" si="12"/>
        <v/>
      </c>
      <c r="T79" s="5" t="str">
        <f t="shared" si="13"/>
        <v/>
      </c>
      <c r="U79" s="5" t="str">
        <f t="shared" si="14"/>
        <v/>
      </c>
      <c r="V79" s="5" t="str">
        <f t="shared" si="15"/>
        <v/>
      </c>
      <c r="W79" s="5" t="str">
        <f t="shared" si="16"/>
        <v/>
      </c>
      <c r="X79" s="5" t="str">
        <f t="shared" si="17"/>
        <v/>
      </c>
    </row>
    <row r="80" spans="1:24">
      <c r="A80" s="87"/>
      <c r="B80" s="87"/>
      <c r="C80" s="88"/>
      <c r="D80" s="89"/>
      <c r="E80" s="90"/>
      <c r="F80" s="69"/>
      <c r="G80" s="70"/>
      <c r="H80" s="71"/>
      <c r="I80" s="66"/>
      <c r="J80" s="67"/>
      <c r="K80" s="67"/>
      <c r="L80" s="67"/>
      <c r="M80" s="67"/>
      <c r="N80" s="67"/>
      <c r="O80" s="67"/>
      <c r="P80" s="145" t="str">
        <f t="shared" si="9"/>
        <v/>
      </c>
      <c r="Q80" s="65" t="str">
        <f t="shared" si="10"/>
        <v/>
      </c>
      <c r="R80" s="5" t="str">
        <f t="shared" si="11"/>
        <v/>
      </c>
      <c r="S80" s="5" t="str">
        <f t="shared" si="12"/>
        <v/>
      </c>
      <c r="T80" s="5" t="str">
        <f t="shared" si="13"/>
        <v/>
      </c>
      <c r="U80" s="5" t="str">
        <f t="shared" si="14"/>
        <v/>
      </c>
      <c r="V80" s="5" t="str">
        <f t="shared" si="15"/>
        <v/>
      </c>
      <c r="W80" s="5" t="str">
        <f t="shared" si="16"/>
        <v/>
      </c>
      <c r="X80" s="5" t="str">
        <f t="shared" si="17"/>
        <v/>
      </c>
    </row>
    <row r="81" spans="1:24">
      <c r="A81" s="87"/>
      <c r="B81" s="87"/>
      <c r="C81" s="88"/>
      <c r="D81" s="89"/>
      <c r="E81" s="90"/>
      <c r="F81" s="69"/>
      <c r="G81" s="70"/>
      <c r="H81" s="71"/>
      <c r="I81" s="66"/>
      <c r="J81" s="67"/>
      <c r="K81" s="67"/>
      <c r="L81" s="67"/>
      <c r="M81" s="67"/>
      <c r="N81" s="67"/>
      <c r="O81" s="67"/>
      <c r="P81" s="145" t="str">
        <f t="shared" si="9"/>
        <v/>
      </c>
      <c r="Q81" s="65" t="str">
        <f t="shared" si="10"/>
        <v/>
      </c>
      <c r="R81" s="5" t="str">
        <f t="shared" si="11"/>
        <v/>
      </c>
      <c r="S81" s="5" t="str">
        <f t="shared" si="12"/>
        <v/>
      </c>
      <c r="T81" s="5" t="str">
        <f t="shared" si="13"/>
        <v/>
      </c>
      <c r="U81" s="5" t="str">
        <f t="shared" si="14"/>
        <v/>
      </c>
      <c r="V81" s="5" t="str">
        <f t="shared" si="15"/>
        <v/>
      </c>
      <c r="W81" s="5" t="str">
        <f t="shared" si="16"/>
        <v/>
      </c>
      <c r="X81" s="5" t="str">
        <f t="shared" si="17"/>
        <v/>
      </c>
    </row>
    <row r="82" spans="1:24">
      <c r="A82" s="87"/>
      <c r="B82" s="87"/>
      <c r="C82" s="88"/>
      <c r="D82" s="89"/>
      <c r="E82" s="90"/>
      <c r="F82" s="69"/>
      <c r="G82" s="70"/>
      <c r="H82" s="71"/>
      <c r="I82" s="66"/>
      <c r="J82" s="67"/>
      <c r="K82" s="67"/>
      <c r="L82" s="67"/>
      <c r="M82" s="67"/>
      <c r="N82" s="67"/>
      <c r="O82" s="67"/>
      <c r="P82" s="145" t="str">
        <f t="shared" si="9"/>
        <v/>
      </c>
      <c r="Q82" s="65" t="str">
        <f t="shared" si="10"/>
        <v/>
      </c>
      <c r="R82" s="5" t="str">
        <f t="shared" si="11"/>
        <v/>
      </c>
      <c r="S82" s="5" t="str">
        <f t="shared" si="12"/>
        <v/>
      </c>
      <c r="T82" s="5" t="str">
        <f t="shared" si="13"/>
        <v/>
      </c>
      <c r="U82" s="5" t="str">
        <f t="shared" si="14"/>
        <v/>
      </c>
      <c r="V82" s="5" t="str">
        <f t="shared" si="15"/>
        <v/>
      </c>
      <c r="W82" s="5" t="str">
        <f t="shared" si="16"/>
        <v/>
      </c>
      <c r="X82" s="5" t="str">
        <f t="shared" si="17"/>
        <v/>
      </c>
    </row>
    <row r="83" spans="1:24">
      <c r="A83" s="87"/>
      <c r="B83" s="87"/>
      <c r="C83" s="88"/>
      <c r="D83" s="89"/>
      <c r="E83" s="90"/>
      <c r="F83" s="69"/>
      <c r="G83" s="70"/>
      <c r="H83" s="71"/>
      <c r="I83" s="66"/>
      <c r="J83" s="67"/>
      <c r="K83" s="67"/>
      <c r="L83" s="67"/>
      <c r="M83" s="67"/>
      <c r="N83" s="67"/>
      <c r="O83" s="67"/>
      <c r="P83" s="145" t="str">
        <f t="shared" si="9"/>
        <v/>
      </c>
      <c r="Q83" s="65" t="str">
        <f t="shared" si="10"/>
        <v/>
      </c>
      <c r="R83" s="5" t="str">
        <f t="shared" si="11"/>
        <v/>
      </c>
      <c r="S83" s="5" t="str">
        <f t="shared" si="12"/>
        <v/>
      </c>
      <c r="T83" s="5" t="str">
        <f t="shared" si="13"/>
        <v/>
      </c>
      <c r="U83" s="5" t="str">
        <f t="shared" si="14"/>
        <v/>
      </c>
      <c r="V83" s="5" t="str">
        <f t="shared" si="15"/>
        <v/>
      </c>
      <c r="W83" s="5" t="str">
        <f t="shared" si="16"/>
        <v/>
      </c>
      <c r="X83" s="5" t="str">
        <f t="shared" si="17"/>
        <v/>
      </c>
    </row>
    <row r="84" spans="1:24">
      <c r="A84" s="87"/>
      <c r="B84" s="87"/>
      <c r="C84" s="88"/>
      <c r="D84" s="89"/>
      <c r="E84" s="90"/>
      <c r="F84" s="69"/>
      <c r="G84" s="70"/>
      <c r="H84" s="71"/>
      <c r="I84" s="66"/>
      <c r="J84" s="67"/>
      <c r="K84" s="67"/>
      <c r="L84" s="67"/>
      <c r="M84" s="67"/>
      <c r="N84" s="67"/>
      <c r="O84" s="67"/>
      <c r="P84" s="145" t="str">
        <f t="shared" si="9"/>
        <v/>
      </c>
      <c r="Q84" s="65" t="str">
        <f t="shared" si="10"/>
        <v/>
      </c>
      <c r="R84" s="5" t="str">
        <f t="shared" si="11"/>
        <v/>
      </c>
      <c r="S84" s="5" t="str">
        <f t="shared" si="12"/>
        <v/>
      </c>
      <c r="T84" s="5" t="str">
        <f t="shared" si="13"/>
        <v/>
      </c>
      <c r="U84" s="5" t="str">
        <f t="shared" si="14"/>
        <v/>
      </c>
      <c r="V84" s="5" t="str">
        <f t="shared" si="15"/>
        <v/>
      </c>
      <c r="W84" s="5" t="str">
        <f t="shared" si="16"/>
        <v/>
      </c>
      <c r="X84" s="5" t="str">
        <f t="shared" si="17"/>
        <v/>
      </c>
    </row>
    <row r="85" spans="1:24">
      <c r="A85" s="87"/>
      <c r="B85" s="87"/>
      <c r="C85" s="88"/>
      <c r="D85" s="89"/>
      <c r="E85" s="90"/>
      <c r="F85" s="69"/>
      <c r="G85" s="70"/>
      <c r="H85" s="71"/>
      <c r="I85" s="66"/>
      <c r="J85" s="67"/>
      <c r="K85" s="67"/>
      <c r="L85" s="67"/>
      <c r="M85" s="67"/>
      <c r="N85" s="67"/>
      <c r="O85" s="67"/>
      <c r="P85" s="145" t="str">
        <f t="shared" si="9"/>
        <v/>
      </c>
      <c r="Q85" s="65" t="str">
        <f t="shared" si="10"/>
        <v/>
      </c>
      <c r="R85" s="5" t="str">
        <f t="shared" si="11"/>
        <v/>
      </c>
      <c r="S85" s="5" t="str">
        <f t="shared" si="12"/>
        <v/>
      </c>
      <c r="T85" s="5" t="str">
        <f t="shared" si="13"/>
        <v/>
      </c>
      <c r="U85" s="5" t="str">
        <f t="shared" si="14"/>
        <v/>
      </c>
      <c r="V85" s="5" t="str">
        <f t="shared" si="15"/>
        <v/>
      </c>
      <c r="W85" s="5" t="str">
        <f t="shared" si="16"/>
        <v/>
      </c>
      <c r="X85" s="5" t="str">
        <f t="shared" si="17"/>
        <v/>
      </c>
    </row>
    <row r="86" spans="1:24">
      <c r="A86" s="87"/>
      <c r="B86" s="87"/>
      <c r="C86" s="88"/>
      <c r="D86" s="89"/>
      <c r="E86" s="90"/>
      <c r="F86" s="69"/>
      <c r="G86" s="70"/>
      <c r="H86" s="71"/>
      <c r="I86" s="66"/>
      <c r="J86" s="67"/>
      <c r="K86" s="67"/>
      <c r="L86" s="67"/>
      <c r="M86" s="67"/>
      <c r="N86" s="67"/>
      <c r="O86" s="67"/>
      <c r="P86" s="145" t="str">
        <f t="shared" si="9"/>
        <v/>
      </c>
      <c r="Q86" s="65" t="str">
        <f t="shared" si="10"/>
        <v/>
      </c>
      <c r="R86" s="5" t="str">
        <f t="shared" si="11"/>
        <v/>
      </c>
      <c r="S86" s="5" t="str">
        <f t="shared" si="12"/>
        <v/>
      </c>
      <c r="T86" s="5" t="str">
        <f t="shared" si="13"/>
        <v/>
      </c>
      <c r="U86" s="5" t="str">
        <f t="shared" si="14"/>
        <v/>
      </c>
      <c r="V86" s="5" t="str">
        <f t="shared" si="15"/>
        <v/>
      </c>
      <c r="W86" s="5" t="str">
        <f t="shared" si="16"/>
        <v/>
      </c>
      <c r="X86" s="5" t="str">
        <f t="shared" si="17"/>
        <v/>
      </c>
    </row>
    <row r="87" spans="1:24">
      <c r="A87" s="87"/>
      <c r="B87" s="87"/>
      <c r="C87" s="88"/>
      <c r="D87" s="89"/>
      <c r="E87" s="90"/>
      <c r="F87" s="69"/>
      <c r="G87" s="70"/>
      <c r="H87" s="71"/>
      <c r="I87" s="66"/>
      <c r="J87" s="67"/>
      <c r="K87" s="67"/>
      <c r="L87" s="67"/>
      <c r="M87" s="67"/>
      <c r="N87" s="67"/>
      <c r="O87" s="67"/>
      <c r="P87" s="145" t="str">
        <f t="shared" si="9"/>
        <v/>
      </c>
      <c r="Q87" s="65" t="str">
        <f t="shared" si="10"/>
        <v/>
      </c>
      <c r="R87" s="5" t="str">
        <f t="shared" si="11"/>
        <v/>
      </c>
      <c r="S87" s="5" t="str">
        <f t="shared" si="12"/>
        <v/>
      </c>
      <c r="T87" s="5" t="str">
        <f t="shared" si="13"/>
        <v/>
      </c>
      <c r="U87" s="5" t="str">
        <f t="shared" si="14"/>
        <v/>
      </c>
      <c r="V87" s="5" t="str">
        <f t="shared" si="15"/>
        <v/>
      </c>
      <c r="W87" s="5" t="str">
        <f t="shared" si="16"/>
        <v/>
      </c>
      <c r="X87" s="5" t="str">
        <f t="shared" si="17"/>
        <v/>
      </c>
    </row>
    <row r="88" spans="1:24">
      <c r="A88" s="87"/>
      <c r="B88" s="87"/>
      <c r="C88" s="88"/>
      <c r="D88" s="89"/>
      <c r="E88" s="90"/>
      <c r="F88" s="69"/>
      <c r="G88" s="70"/>
      <c r="H88" s="71"/>
      <c r="I88" s="66"/>
      <c r="J88" s="67"/>
      <c r="K88" s="67"/>
      <c r="L88" s="67"/>
      <c r="M88" s="67"/>
      <c r="N88" s="67"/>
      <c r="O88" s="67"/>
      <c r="P88" s="145" t="str">
        <f t="shared" si="9"/>
        <v/>
      </c>
      <c r="Q88" s="65" t="str">
        <f t="shared" si="10"/>
        <v/>
      </c>
      <c r="R88" s="5" t="str">
        <f t="shared" si="11"/>
        <v/>
      </c>
      <c r="S88" s="5" t="str">
        <f t="shared" si="12"/>
        <v/>
      </c>
      <c r="T88" s="5" t="str">
        <f t="shared" si="13"/>
        <v/>
      </c>
      <c r="U88" s="5" t="str">
        <f t="shared" si="14"/>
        <v/>
      </c>
      <c r="V88" s="5" t="str">
        <f t="shared" si="15"/>
        <v/>
      </c>
      <c r="W88" s="5" t="str">
        <f t="shared" si="16"/>
        <v/>
      </c>
      <c r="X88" s="5" t="str">
        <f t="shared" si="17"/>
        <v/>
      </c>
    </row>
    <row r="89" spans="1:24">
      <c r="A89" s="87"/>
      <c r="B89" s="87"/>
      <c r="C89" s="88"/>
      <c r="D89" s="89"/>
      <c r="E89" s="90"/>
      <c r="F89" s="69"/>
      <c r="G89" s="70"/>
      <c r="H89" s="71"/>
      <c r="I89" s="66"/>
      <c r="J89" s="67"/>
      <c r="K89" s="67"/>
      <c r="L89" s="67"/>
      <c r="M89" s="67"/>
      <c r="N89" s="67"/>
      <c r="O89" s="67"/>
      <c r="P89" s="145" t="str">
        <f t="shared" si="9"/>
        <v/>
      </c>
      <c r="Q89" s="65" t="str">
        <f t="shared" si="10"/>
        <v/>
      </c>
      <c r="R89" s="5" t="str">
        <f t="shared" si="11"/>
        <v/>
      </c>
      <c r="S89" s="5" t="str">
        <f t="shared" si="12"/>
        <v/>
      </c>
      <c r="T89" s="5" t="str">
        <f t="shared" si="13"/>
        <v/>
      </c>
      <c r="U89" s="5" t="str">
        <f t="shared" si="14"/>
        <v/>
      </c>
      <c r="V89" s="5" t="str">
        <f t="shared" si="15"/>
        <v/>
      </c>
      <c r="W89" s="5" t="str">
        <f t="shared" si="16"/>
        <v/>
      </c>
      <c r="X89" s="5" t="str">
        <f t="shared" si="17"/>
        <v/>
      </c>
    </row>
    <row r="90" spans="1:24">
      <c r="A90" s="87"/>
      <c r="B90" s="87"/>
      <c r="C90" s="88"/>
      <c r="D90" s="89"/>
      <c r="E90" s="90"/>
      <c r="F90" s="69"/>
      <c r="G90" s="70"/>
      <c r="H90" s="71"/>
      <c r="I90" s="66"/>
      <c r="J90" s="67"/>
      <c r="K90" s="67"/>
      <c r="L90" s="67"/>
      <c r="M90" s="67"/>
      <c r="N90" s="67"/>
      <c r="O90" s="67"/>
      <c r="P90" s="145" t="str">
        <f t="shared" si="9"/>
        <v/>
      </c>
      <c r="Q90" s="65" t="str">
        <f t="shared" si="10"/>
        <v/>
      </c>
      <c r="R90" s="5" t="str">
        <f t="shared" si="11"/>
        <v/>
      </c>
      <c r="S90" s="5" t="str">
        <f t="shared" si="12"/>
        <v/>
      </c>
      <c r="T90" s="5" t="str">
        <f t="shared" si="13"/>
        <v/>
      </c>
      <c r="U90" s="5" t="str">
        <f t="shared" si="14"/>
        <v/>
      </c>
      <c r="V90" s="5" t="str">
        <f t="shared" si="15"/>
        <v/>
      </c>
      <c r="W90" s="5" t="str">
        <f t="shared" si="16"/>
        <v/>
      </c>
      <c r="X90" s="5" t="str">
        <f t="shared" si="17"/>
        <v/>
      </c>
    </row>
    <row r="91" spans="1:24">
      <c r="A91" s="87"/>
      <c r="B91" s="87"/>
      <c r="C91" s="88"/>
      <c r="D91" s="89"/>
      <c r="E91" s="90"/>
      <c r="F91" s="69"/>
      <c r="G91" s="70"/>
      <c r="H91" s="71"/>
      <c r="I91" s="66"/>
      <c r="J91" s="67"/>
      <c r="K91" s="67"/>
      <c r="L91" s="67"/>
      <c r="M91" s="67"/>
      <c r="N91" s="67"/>
      <c r="O91" s="67"/>
      <c r="P91" s="145" t="str">
        <f t="shared" si="9"/>
        <v/>
      </c>
      <c r="Q91" s="65" t="str">
        <f t="shared" si="10"/>
        <v/>
      </c>
      <c r="R91" s="5" t="str">
        <f t="shared" si="11"/>
        <v/>
      </c>
      <c r="S91" s="5" t="str">
        <f t="shared" si="12"/>
        <v/>
      </c>
      <c r="T91" s="5" t="str">
        <f t="shared" si="13"/>
        <v/>
      </c>
      <c r="U91" s="5" t="str">
        <f t="shared" si="14"/>
        <v/>
      </c>
      <c r="V91" s="5" t="str">
        <f t="shared" si="15"/>
        <v/>
      </c>
      <c r="W91" s="5" t="str">
        <f t="shared" si="16"/>
        <v/>
      </c>
      <c r="X91" s="5" t="str">
        <f t="shared" si="17"/>
        <v/>
      </c>
    </row>
    <row r="92" spans="1:24">
      <c r="A92" s="87"/>
      <c r="B92" s="87"/>
      <c r="C92" s="88"/>
      <c r="D92" s="89"/>
      <c r="E92" s="90"/>
      <c r="F92" s="69"/>
      <c r="G92" s="70"/>
      <c r="H92" s="71"/>
      <c r="I92" s="66"/>
      <c r="J92" s="67"/>
      <c r="K92" s="67"/>
      <c r="L92" s="67"/>
      <c r="M92" s="67"/>
      <c r="N92" s="67"/>
      <c r="O92" s="67"/>
      <c r="P92" s="145" t="str">
        <f t="shared" si="9"/>
        <v/>
      </c>
      <c r="Q92" s="65" t="str">
        <f t="shared" si="10"/>
        <v/>
      </c>
      <c r="R92" s="5" t="str">
        <f t="shared" si="11"/>
        <v/>
      </c>
      <c r="S92" s="5" t="str">
        <f t="shared" si="12"/>
        <v/>
      </c>
      <c r="T92" s="5" t="str">
        <f t="shared" si="13"/>
        <v/>
      </c>
      <c r="U92" s="5" t="str">
        <f t="shared" si="14"/>
        <v/>
      </c>
      <c r="V92" s="5" t="str">
        <f t="shared" si="15"/>
        <v/>
      </c>
      <c r="W92" s="5" t="str">
        <f t="shared" si="16"/>
        <v/>
      </c>
      <c r="X92" s="5" t="str">
        <f t="shared" si="17"/>
        <v/>
      </c>
    </row>
    <row r="93" spans="1:24">
      <c r="A93" s="87"/>
      <c r="B93" s="87"/>
      <c r="C93" s="88"/>
      <c r="D93" s="89"/>
      <c r="E93" s="90"/>
      <c r="F93" s="69"/>
      <c r="G93" s="70"/>
      <c r="H93" s="71"/>
      <c r="I93" s="66"/>
      <c r="J93" s="67"/>
      <c r="K93" s="67"/>
      <c r="L93" s="67"/>
      <c r="M93" s="67"/>
      <c r="N93" s="67"/>
      <c r="O93" s="67"/>
      <c r="P93" s="145" t="str">
        <f t="shared" si="9"/>
        <v/>
      </c>
      <c r="Q93" s="65" t="str">
        <f t="shared" si="10"/>
        <v/>
      </c>
      <c r="R93" s="5" t="str">
        <f t="shared" si="11"/>
        <v/>
      </c>
      <c r="S93" s="5" t="str">
        <f t="shared" si="12"/>
        <v/>
      </c>
      <c r="T93" s="5" t="str">
        <f t="shared" si="13"/>
        <v/>
      </c>
      <c r="U93" s="5" t="str">
        <f t="shared" si="14"/>
        <v/>
      </c>
      <c r="V93" s="5" t="str">
        <f t="shared" si="15"/>
        <v/>
      </c>
      <c r="W93" s="5" t="str">
        <f t="shared" si="16"/>
        <v/>
      </c>
      <c r="X93" s="5" t="str">
        <f t="shared" si="17"/>
        <v/>
      </c>
    </row>
    <row r="94" spans="1:24">
      <c r="A94" s="87"/>
      <c r="B94" s="87"/>
      <c r="C94" s="88"/>
      <c r="D94" s="89"/>
      <c r="E94" s="90"/>
      <c r="F94" s="69"/>
      <c r="G94" s="70"/>
      <c r="H94" s="71"/>
      <c r="I94" s="66"/>
      <c r="J94" s="67"/>
      <c r="K94" s="67"/>
      <c r="L94" s="67"/>
      <c r="M94" s="67"/>
      <c r="N94" s="67"/>
      <c r="O94" s="67"/>
      <c r="P94" s="145" t="str">
        <f t="shared" si="9"/>
        <v/>
      </c>
      <c r="Q94" s="65" t="str">
        <f t="shared" si="10"/>
        <v/>
      </c>
      <c r="R94" s="5" t="str">
        <f t="shared" si="11"/>
        <v/>
      </c>
      <c r="S94" s="5" t="str">
        <f t="shared" si="12"/>
        <v/>
      </c>
      <c r="T94" s="5" t="str">
        <f t="shared" si="13"/>
        <v/>
      </c>
      <c r="U94" s="5" t="str">
        <f t="shared" si="14"/>
        <v/>
      </c>
      <c r="V94" s="5" t="str">
        <f t="shared" si="15"/>
        <v/>
      </c>
      <c r="W94" s="5" t="str">
        <f t="shared" si="16"/>
        <v/>
      </c>
      <c r="X94" s="5" t="str">
        <f t="shared" si="17"/>
        <v/>
      </c>
    </row>
    <row r="95" spans="1:24">
      <c r="A95" s="87"/>
      <c r="B95" s="87"/>
      <c r="C95" s="88"/>
      <c r="D95" s="89"/>
      <c r="E95" s="90"/>
      <c r="F95" s="69"/>
      <c r="G95" s="70"/>
      <c r="H95" s="71"/>
      <c r="I95" s="66"/>
      <c r="J95" s="67"/>
      <c r="K95" s="67"/>
      <c r="L95" s="67"/>
      <c r="M95" s="67"/>
      <c r="N95" s="67"/>
      <c r="O95" s="67"/>
      <c r="P95" s="145" t="str">
        <f t="shared" si="9"/>
        <v/>
      </c>
      <c r="Q95" s="65" t="str">
        <f t="shared" si="10"/>
        <v/>
      </c>
      <c r="R95" s="5" t="str">
        <f t="shared" si="11"/>
        <v/>
      </c>
      <c r="S95" s="5" t="str">
        <f t="shared" si="12"/>
        <v/>
      </c>
      <c r="T95" s="5" t="str">
        <f t="shared" si="13"/>
        <v/>
      </c>
      <c r="U95" s="5" t="str">
        <f t="shared" si="14"/>
        <v/>
      </c>
      <c r="V95" s="5" t="str">
        <f t="shared" si="15"/>
        <v/>
      </c>
      <c r="W95" s="5" t="str">
        <f t="shared" si="16"/>
        <v/>
      </c>
      <c r="X95" s="5" t="str">
        <f t="shared" si="17"/>
        <v/>
      </c>
    </row>
    <row r="96" spans="1:24">
      <c r="A96" s="87"/>
      <c r="B96" s="87"/>
      <c r="C96" s="88"/>
      <c r="D96" s="89"/>
      <c r="E96" s="90"/>
      <c r="F96" s="69"/>
      <c r="G96" s="70"/>
      <c r="H96" s="71"/>
      <c r="I96" s="66"/>
      <c r="J96" s="67"/>
      <c r="K96" s="67"/>
      <c r="L96" s="67"/>
      <c r="M96" s="67"/>
      <c r="N96" s="67"/>
      <c r="O96" s="67"/>
      <c r="P96" s="145" t="str">
        <f t="shared" si="9"/>
        <v/>
      </c>
      <c r="Q96" s="65" t="str">
        <f t="shared" si="10"/>
        <v/>
      </c>
      <c r="R96" s="5" t="str">
        <f t="shared" si="11"/>
        <v/>
      </c>
      <c r="S96" s="5" t="str">
        <f t="shared" si="12"/>
        <v/>
      </c>
      <c r="T96" s="5" t="str">
        <f t="shared" si="13"/>
        <v/>
      </c>
      <c r="U96" s="5" t="str">
        <f t="shared" si="14"/>
        <v/>
      </c>
      <c r="V96" s="5" t="str">
        <f t="shared" si="15"/>
        <v/>
      </c>
      <c r="W96" s="5" t="str">
        <f t="shared" si="16"/>
        <v/>
      </c>
      <c r="X96" s="5" t="str">
        <f t="shared" si="17"/>
        <v/>
      </c>
    </row>
    <row r="97" spans="1:24">
      <c r="A97" s="87"/>
      <c r="B97" s="87"/>
      <c r="C97" s="88"/>
      <c r="D97" s="89"/>
      <c r="E97" s="90"/>
      <c r="F97" s="69"/>
      <c r="G97" s="70"/>
      <c r="H97" s="71"/>
      <c r="I97" s="66"/>
      <c r="J97" s="67"/>
      <c r="K97" s="67"/>
      <c r="L97" s="67"/>
      <c r="M97" s="67"/>
      <c r="N97" s="67"/>
      <c r="O97" s="67"/>
      <c r="P97" s="145" t="str">
        <f t="shared" si="9"/>
        <v/>
      </c>
      <c r="Q97" s="65" t="str">
        <f t="shared" si="10"/>
        <v/>
      </c>
      <c r="R97" s="5" t="str">
        <f t="shared" si="11"/>
        <v/>
      </c>
      <c r="S97" s="5" t="str">
        <f t="shared" si="12"/>
        <v/>
      </c>
      <c r="T97" s="5" t="str">
        <f t="shared" si="13"/>
        <v/>
      </c>
      <c r="U97" s="5" t="str">
        <f t="shared" si="14"/>
        <v/>
      </c>
      <c r="V97" s="5" t="str">
        <f t="shared" si="15"/>
        <v/>
      </c>
      <c r="W97" s="5" t="str">
        <f t="shared" si="16"/>
        <v/>
      </c>
      <c r="X97" s="5" t="str">
        <f t="shared" si="17"/>
        <v/>
      </c>
    </row>
    <row r="98" spans="1:24">
      <c r="A98" s="87"/>
      <c r="B98" s="87"/>
      <c r="C98" s="88"/>
      <c r="D98" s="89"/>
      <c r="E98" s="90"/>
      <c r="F98" s="69"/>
      <c r="G98" s="70"/>
      <c r="H98" s="71"/>
      <c r="I98" s="66"/>
      <c r="J98" s="67"/>
      <c r="K98" s="67"/>
      <c r="L98" s="67"/>
      <c r="M98" s="67"/>
      <c r="N98" s="67"/>
      <c r="O98" s="67"/>
      <c r="P98" s="145" t="str">
        <f t="shared" si="9"/>
        <v/>
      </c>
      <c r="Q98" s="65" t="str">
        <f t="shared" si="10"/>
        <v/>
      </c>
      <c r="R98" s="5" t="str">
        <f t="shared" si="11"/>
        <v/>
      </c>
      <c r="S98" s="5" t="str">
        <f t="shared" si="12"/>
        <v/>
      </c>
      <c r="T98" s="5" t="str">
        <f t="shared" si="13"/>
        <v/>
      </c>
      <c r="U98" s="5" t="str">
        <f t="shared" si="14"/>
        <v/>
      </c>
      <c r="V98" s="5" t="str">
        <f t="shared" si="15"/>
        <v/>
      </c>
      <c r="W98" s="5" t="str">
        <f t="shared" si="16"/>
        <v/>
      </c>
      <c r="X98" s="5" t="str">
        <f t="shared" si="17"/>
        <v/>
      </c>
    </row>
    <row r="99" spans="1:24">
      <c r="A99" s="87"/>
      <c r="B99" s="87"/>
      <c r="C99" s="88"/>
      <c r="D99" s="89"/>
      <c r="E99" s="90"/>
      <c r="F99" s="69"/>
      <c r="G99" s="70"/>
      <c r="H99" s="71"/>
      <c r="I99" s="66"/>
      <c r="J99" s="67"/>
      <c r="K99" s="67"/>
      <c r="L99" s="67"/>
      <c r="M99" s="67"/>
      <c r="N99" s="67"/>
      <c r="O99" s="67"/>
      <c r="P99" s="145" t="str">
        <f t="shared" si="9"/>
        <v/>
      </c>
      <c r="Q99" s="65" t="str">
        <f t="shared" si="10"/>
        <v/>
      </c>
      <c r="R99" s="5" t="str">
        <f t="shared" si="11"/>
        <v/>
      </c>
      <c r="S99" s="5" t="str">
        <f t="shared" si="12"/>
        <v/>
      </c>
      <c r="T99" s="5" t="str">
        <f t="shared" si="13"/>
        <v/>
      </c>
      <c r="U99" s="5" t="str">
        <f t="shared" si="14"/>
        <v/>
      </c>
      <c r="V99" s="5" t="str">
        <f t="shared" si="15"/>
        <v/>
      </c>
      <c r="W99" s="5" t="str">
        <f t="shared" si="16"/>
        <v/>
      </c>
      <c r="X99" s="5" t="str">
        <f t="shared" si="17"/>
        <v/>
      </c>
    </row>
    <row r="100" spans="1:24">
      <c r="A100" s="87"/>
      <c r="B100" s="87"/>
      <c r="C100" s="88"/>
      <c r="D100" s="89"/>
      <c r="E100" s="90"/>
      <c r="F100" s="69"/>
      <c r="G100" s="70"/>
      <c r="H100" s="71"/>
      <c r="I100" s="66"/>
      <c r="J100" s="67"/>
      <c r="K100" s="67"/>
      <c r="L100" s="67"/>
      <c r="M100" s="67"/>
      <c r="N100" s="67"/>
      <c r="O100" s="67"/>
      <c r="P100" s="145" t="str">
        <f t="shared" si="9"/>
        <v/>
      </c>
      <c r="Q100" s="65" t="str">
        <f t="shared" si="10"/>
        <v/>
      </c>
      <c r="R100" s="5" t="str">
        <f t="shared" si="11"/>
        <v/>
      </c>
      <c r="S100" s="5" t="str">
        <f t="shared" si="12"/>
        <v/>
      </c>
      <c r="T100" s="5" t="str">
        <f t="shared" si="13"/>
        <v/>
      </c>
      <c r="U100" s="5" t="str">
        <f t="shared" si="14"/>
        <v/>
      </c>
      <c r="V100" s="5" t="str">
        <f t="shared" si="15"/>
        <v/>
      </c>
      <c r="W100" s="5" t="str">
        <f t="shared" si="16"/>
        <v/>
      </c>
      <c r="X100" s="5" t="str">
        <f t="shared" si="17"/>
        <v/>
      </c>
    </row>
    <row r="101" spans="1:24">
      <c r="A101" s="87"/>
      <c r="B101" s="87"/>
      <c r="C101" s="88"/>
      <c r="D101" s="89"/>
      <c r="E101" s="90"/>
      <c r="F101" s="69"/>
      <c r="G101" s="70"/>
      <c r="H101" s="71"/>
      <c r="I101" s="66"/>
      <c r="J101" s="67"/>
      <c r="K101" s="67"/>
      <c r="L101" s="67"/>
      <c r="M101" s="67"/>
      <c r="N101" s="67"/>
      <c r="O101" s="67"/>
      <c r="P101" s="145" t="str">
        <f t="shared" si="9"/>
        <v/>
      </c>
      <c r="Q101" s="65" t="str">
        <f t="shared" si="10"/>
        <v/>
      </c>
      <c r="R101" s="5" t="str">
        <f t="shared" si="11"/>
        <v/>
      </c>
      <c r="S101" s="5" t="str">
        <f t="shared" si="12"/>
        <v/>
      </c>
      <c r="T101" s="5" t="str">
        <f t="shared" si="13"/>
        <v/>
      </c>
      <c r="U101" s="5" t="str">
        <f t="shared" si="14"/>
        <v/>
      </c>
      <c r="V101" s="5" t="str">
        <f t="shared" si="15"/>
        <v/>
      </c>
      <c r="W101" s="5" t="str">
        <f t="shared" si="16"/>
        <v/>
      </c>
      <c r="X101" s="5" t="str">
        <f t="shared" si="17"/>
        <v/>
      </c>
    </row>
    <row r="102" spans="1:24">
      <c r="A102" s="87"/>
      <c r="B102" s="87"/>
      <c r="C102" s="88"/>
      <c r="D102" s="89"/>
      <c r="E102" s="90"/>
      <c r="F102" s="69"/>
      <c r="G102" s="70"/>
      <c r="H102" s="71"/>
      <c r="I102" s="66"/>
      <c r="J102" s="67"/>
      <c r="K102" s="67"/>
      <c r="L102" s="67"/>
      <c r="M102" s="67"/>
      <c r="N102" s="67"/>
      <c r="O102" s="67"/>
      <c r="P102" s="145" t="str">
        <f t="shared" si="9"/>
        <v/>
      </c>
      <c r="Q102" s="65" t="str">
        <f t="shared" si="10"/>
        <v/>
      </c>
      <c r="R102" s="5" t="str">
        <f t="shared" si="11"/>
        <v/>
      </c>
      <c r="S102" s="5" t="str">
        <f t="shared" si="12"/>
        <v/>
      </c>
      <c r="T102" s="5" t="str">
        <f t="shared" si="13"/>
        <v/>
      </c>
      <c r="U102" s="5" t="str">
        <f t="shared" si="14"/>
        <v/>
      </c>
      <c r="V102" s="5" t="str">
        <f t="shared" si="15"/>
        <v/>
      </c>
      <c r="W102" s="5" t="str">
        <f t="shared" si="16"/>
        <v/>
      </c>
      <c r="X102" s="5" t="str">
        <f t="shared" si="17"/>
        <v/>
      </c>
    </row>
    <row r="103" spans="1:24">
      <c r="A103" s="87"/>
      <c r="B103" s="87"/>
      <c r="C103" s="88"/>
      <c r="D103" s="89"/>
      <c r="E103" s="90"/>
      <c r="F103" s="69"/>
      <c r="G103" s="70"/>
      <c r="H103" s="71"/>
      <c r="I103" s="66"/>
      <c r="J103" s="67"/>
      <c r="K103" s="67"/>
      <c r="L103" s="67"/>
      <c r="M103" s="67"/>
      <c r="N103" s="67"/>
      <c r="O103" s="67"/>
      <c r="P103" s="145" t="str">
        <f t="shared" si="9"/>
        <v/>
      </c>
      <c r="Q103" s="65" t="str">
        <f t="shared" si="10"/>
        <v/>
      </c>
      <c r="R103" s="5" t="str">
        <f t="shared" si="11"/>
        <v/>
      </c>
      <c r="S103" s="5" t="str">
        <f t="shared" si="12"/>
        <v/>
      </c>
      <c r="T103" s="5" t="str">
        <f t="shared" si="13"/>
        <v/>
      </c>
      <c r="U103" s="5" t="str">
        <f t="shared" si="14"/>
        <v/>
      </c>
      <c r="V103" s="5" t="str">
        <f t="shared" si="15"/>
        <v/>
      </c>
      <c r="W103" s="5" t="str">
        <f t="shared" si="16"/>
        <v/>
      </c>
      <c r="X103" s="5" t="str">
        <f t="shared" si="17"/>
        <v/>
      </c>
    </row>
    <row r="104" spans="1:24">
      <c r="A104" s="87"/>
      <c r="B104" s="87"/>
      <c r="C104" s="88"/>
      <c r="D104" s="89"/>
      <c r="E104" s="90"/>
      <c r="F104" s="69"/>
      <c r="G104" s="70"/>
      <c r="H104" s="71"/>
      <c r="I104" s="66"/>
      <c r="J104" s="67"/>
      <c r="K104" s="67"/>
      <c r="L104" s="67"/>
      <c r="M104" s="67"/>
      <c r="N104" s="67"/>
      <c r="O104" s="67"/>
      <c r="P104" s="145" t="str">
        <f t="shared" si="9"/>
        <v/>
      </c>
      <c r="Q104" s="65" t="str">
        <f t="shared" si="10"/>
        <v/>
      </c>
      <c r="R104" s="5" t="str">
        <f t="shared" si="11"/>
        <v/>
      </c>
      <c r="S104" s="5" t="str">
        <f t="shared" si="12"/>
        <v/>
      </c>
      <c r="T104" s="5" t="str">
        <f t="shared" si="13"/>
        <v/>
      </c>
      <c r="U104" s="5" t="str">
        <f t="shared" si="14"/>
        <v/>
      </c>
      <c r="V104" s="5" t="str">
        <f t="shared" si="15"/>
        <v/>
      </c>
      <c r="W104" s="5" t="str">
        <f t="shared" si="16"/>
        <v/>
      </c>
      <c r="X104" s="5" t="str">
        <f t="shared" si="17"/>
        <v/>
      </c>
    </row>
    <row r="105" spans="1:24">
      <c r="A105" s="87"/>
      <c r="B105" s="87"/>
      <c r="C105" s="88"/>
      <c r="D105" s="89"/>
      <c r="E105" s="90"/>
      <c r="F105" s="69"/>
      <c r="G105" s="70"/>
      <c r="H105" s="71"/>
      <c r="I105" s="66"/>
      <c r="J105" s="67"/>
      <c r="K105" s="67"/>
      <c r="L105" s="67"/>
      <c r="M105" s="67"/>
      <c r="N105" s="67"/>
      <c r="O105" s="67"/>
      <c r="P105" s="145" t="str">
        <f t="shared" si="9"/>
        <v/>
      </c>
      <c r="Q105" s="65" t="str">
        <f t="shared" si="10"/>
        <v/>
      </c>
      <c r="R105" s="5" t="str">
        <f t="shared" si="11"/>
        <v/>
      </c>
      <c r="S105" s="5" t="str">
        <f t="shared" si="12"/>
        <v/>
      </c>
      <c r="T105" s="5" t="str">
        <f t="shared" si="13"/>
        <v/>
      </c>
      <c r="U105" s="5" t="str">
        <f t="shared" si="14"/>
        <v/>
      </c>
      <c r="V105" s="5" t="str">
        <f t="shared" si="15"/>
        <v/>
      </c>
      <c r="W105" s="5" t="str">
        <f t="shared" si="16"/>
        <v/>
      </c>
      <c r="X105" s="5" t="str">
        <f t="shared" si="17"/>
        <v/>
      </c>
    </row>
    <row r="106" spans="1:24">
      <c r="A106" s="87"/>
      <c r="B106" s="87"/>
      <c r="C106" s="88"/>
      <c r="D106" s="89"/>
      <c r="E106" s="90"/>
      <c r="F106" s="69"/>
      <c r="G106" s="70"/>
      <c r="H106" s="71"/>
      <c r="I106" s="66"/>
      <c r="J106" s="67"/>
      <c r="K106" s="67"/>
      <c r="L106" s="67"/>
      <c r="M106" s="67"/>
      <c r="N106" s="67"/>
      <c r="O106" s="67"/>
      <c r="P106" s="145" t="str">
        <f t="shared" si="9"/>
        <v/>
      </c>
      <c r="Q106" s="65" t="str">
        <f t="shared" si="10"/>
        <v/>
      </c>
      <c r="R106" s="5" t="str">
        <f t="shared" si="11"/>
        <v/>
      </c>
      <c r="S106" s="5" t="str">
        <f t="shared" si="12"/>
        <v/>
      </c>
      <c r="T106" s="5" t="str">
        <f t="shared" si="13"/>
        <v/>
      </c>
      <c r="U106" s="5" t="str">
        <f t="shared" si="14"/>
        <v/>
      </c>
      <c r="V106" s="5" t="str">
        <f t="shared" si="15"/>
        <v/>
      </c>
      <c r="W106" s="5" t="str">
        <f t="shared" si="16"/>
        <v/>
      </c>
      <c r="X106" s="5" t="str">
        <f t="shared" si="17"/>
        <v/>
      </c>
    </row>
    <row r="107" spans="1:24">
      <c r="A107" s="87"/>
      <c r="B107" s="87"/>
      <c r="C107" s="88"/>
      <c r="D107" s="89"/>
      <c r="E107" s="90"/>
      <c r="F107" s="69"/>
      <c r="G107" s="70"/>
      <c r="H107" s="71"/>
      <c r="I107" s="66"/>
      <c r="J107" s="67"/>
      <c r="K107" s="67"/>
      <c r="L107" s="67"/>
      <c r="M107" s="67"/>
      <c r="N107" s="67"/>
      <c r="O107" s="67"/>
      <c r="P107" s="145" t="str">
        <f t="shared" si="9"/>
        <v/>
      </c>
      <c r="Q107" s="65" t="str">
        <f t="shared" si="10"/>
        <v/>
      </c>
      <c r="R107" s="5" t="str">
        <f t="shared" si="11"/>
        <v/>
      </c>
      <c r="S107" s="5" t="str">
        <f t="shared" si="12"/>
        <v/>
      </c>
      <c r="T107" s="5" t="str">
        <f t="shared" si="13"/>
        <v/>
      </c>
      <c r="U107" s="5" t="str">
        <f t="shared" si="14"/>
        <v/>
      </c>
      <c r="V107" s="5" t="str">
        <f t="shared" si="15"/>
        <v/>
      </c>
      <c r="W107" s="5" t="str">
        <f t="shared" si="16"/>
        <v/>
      </c>
      <c r="X107" s="5" t="str">
        <f t="shared" si="17"/>
        <v/>
      </c>
    </row>
    <row r="108" spans="1:24">
      <c r="A108" s="87"/>
      <c r="B108" s="87"/>
      <c r="C108" s="88"/>
      <c r="D108" s="89"/>
      <c r="E108" s="90"/>
      <c r="F108" s="69"/>
      <c r="G108" s="70"/>
      <c r="H108" s="71"/>
      <c r="I108" s="66"/>
      <c r="J108" s="67"/>
      <c r="K108" s="67"/>
      <c r="L108" s="67"/>
      <c r="M108" s="67"/>
      <c r="N108" s="67"/>
      <c r="O108" s="67"/>
      <c r="P108" s="145" t="str">
        <f t="shared" si="9"/>
        <v/>
      </c>
      <c r="Q108" s="65" t="str">
        <f t="shared" si="10"/>
        <v/>
      </c>
      <c r="R108" s="5" t="str">
        <f t="shared" si="11"/>
        <v/>
      </c>
      <c r="S108" s="5" t="str">
        <f t="shared" si="12"/>
        <v/>
      </c>
      <c r="T108" s="5" t="str">
        <f t="shared" si="13"/>
        <v/>
      </c>
      <c r="U108" s="5" t="str">
        <f t="shared" si="14"/>
        <v/>
      </c>
      <c r="V108" s="5" t="str">
        <f t="shared" si="15"/>
        <v/>
      </c>
      <c r="W108" s="5" t="str">
        <f t="shared" si="16"/>
        <v/>
      </c>
      <c r="X108" s="5" t="str">
        <f t="shared" si="17"/>
        <v/>
      </c>
    </row>
    <row r="109" spans="1:24">
      <c r="A109" s="87"/>
      <c r="B109" s="87"/>
      <c r="C109" s="88"/>
      <c r="D109" s="89"/>
      <c r="E109" s="90"/>
      <c r="F109" s="69"/>
      <c r="G109" s="70"/>
      <c r="H109" s="71"/>
      <c r="I109" s="66"/>
      <c r="J109" s="67"/>
      <c r="K109" s="67"/>
      <c r="L109" s="67"/>
      <c r="M109" s="67"/>
      <c r="N109" s="67"/>
      <c r="O109" s="67"/>
      <c r="P109" s="145" t="str">
        <f t="shared" si="9"/>
        <v/>
      </c>
      <c r="Q109" s="65" t="str">
        <f t="shared" si="10"/>
        <v/>
      </c>
      <c r="R109" s="5" t="str">
        <f t="shared" si="11"/>
        <v/>
      </c>
      <c r="S109" s="5" t="str">
        <f t="shared" si="12"/>
        <v/>
      </c>
      <c r="T109" s="5" t="str">
        <f t="shared" si="13"/>
        <v/>
      </c>
      <c r="U109" s="5" t="str">
        <f t="shared" si="14"/>
        <v/>
      </c>
      <c r="V109" s="5" t="str">
        <f t="shared" si="15"/>
        <v/>
      </c>
      <c r="W109" s="5" t="str">
        <f t="shared" si="16"/>
        <v/>
      </c>
      <c r="X109" s="5" t="str">
        <f t="shared" si="17"/>
        <v/>
      </c>
    </row>
    <row r="110" spans="1:24">
      <c r="A110" s="87"/>
      <c r="B110" s="87"/>
      <c r="C110" s="88"/>
      <c r="D110" s="89"/>
      <c r="E110" s="90"/>
      <c r="F110" s="69"/>
      <c r="G110" s="70"/>
      <c r="H110" s="71"/>
      <c r="I110" s="66"/>
      <c r="J110" s="67"/>
      <c r="K110" s="67"/>
      <c r="L110" s="67"/>
      <c r="M110" s="67"/>
      <c r="N110" s="67"/>
      <c r="O110" s="67"/>
      <c r="P110" s="145" t="str">
        <f t="shared" si="9"/>
        <v/>
      </c>
      <c r="Q110" s="65" t="str">
        <f t="shared" si="10"/>
        <v/>
      </c>
      <c r="R110" s="5" t="str">
        <f t="shared" si="11"/>
        <v/>
      </c>
      <c r="S110" s="5" t="str">
        <f t="shared" si="12"/>
        <v/>
      </c>
      <c r="T110" s="5" t="str">
        <f t="shared" si="13"/>
        <v/>
      </c>
      <c r="U110" s="5" t="str">
        <f t="shared" si="14"/>
        <v/>
      </c>
      <c r="V110" s="5" t="str">
        <f t="shared" si="15"/>
        <v/>
      </c>
      <c r="W110" s="5" t="str">
        <f t="shared" si="16"/>
        <v/>
      </c>
      <c r="X110" s="5" t="str">
        <f t="shared" si="17"/>
        <v/>
      </c>
    </row>
    <row r="111" spans="1:24">
      <c r="A111" s="87"/>
      <c r="B111" s="87"/>
      <c r="C111" s="88"/>
      <c r="D111" s="89"/>
      <c r="E111" s="90"/>
      <c r="F111" s="69"/>
      <c r="G111" s="70"/>
      <c r="H111" s="71"/>
      <c r="I111" s="66"/>
      <c r="J111" s="67"/>
      <c r="K111" s="67"/>
      <c r="L111" s="67"/>
      <c r="M111" s="67"/>
      <c r="N111" s="67"/>
      <c r="O111" s="67"/>
      <c r="P111" s="145" t="str">
        <f t="shared" si="9"/>
        <v/>
      </c>
      <c r="Q111" s="65" t="str">
        <f t="shared" si="10"/>
        <v/>
      </c>
      <c r="R111" s="5" t="str">
        <f t="shared" si="11"/>
        <v/>
      </c>
      <c r="S111" s="5" t="str">
        <f t="shared" si="12"/>
        <v/>
      </c>
      <c r="T111" s="5" t="str">
        <f t="shared" si="13"/>
        <v/>
      </c>
      <c r="U111" s="5" t="str">
        <f t="shared" si="14"/>
        <v/>
      </c>
      <c r="V111" s="5" t="str">
        <f t="shared" si="15"/>
        <v/>
      </c>
      <c r="W111" s="5" t="str">
        <f t="shared" si="16"/>
        <v/>
      </c>
      <c r="X111" s="5" t="str">
        <f t="shared" si="17"/>
        <v/>
      </c>
    </row>
    <row r="112" spans="1:24">
      <c r="A112" s="87"/>
      <c r="B112" s="87"/>
      <c r="C112" s="88"/>
      <c r="D112" s="89"/>
      <c r="E112" s="90"/>
      <c r="F112" s="69"/>
      <c r="G112" s="70"/>
      <c r="H112" s="71"/>
      <c r="I112" s="66"/>
      <c r="J112" s="67"/>
      <c r="K112" s="67"/>
      <c r="L112" s="67"/>
      <c r="M112" s="67"/>
      <c r="N112" s="67"/>
      <c r="O112" s="67"/>
      <c r="P112" s="145" t="str">
        <f t="shared" si="9"/>
        <v/>
      </c>
      <c r="Q112" s="65" t="str">
        <f t="shared" si="10"/>
        <v/>
      </c>
      <c r="R112" s="5" t="str">
        <f t="shared" si="11"/>
        <v/>
      </c>
      <c r="S112" s="5" t="str">
        <f t="shared" si="12"/>
        <v/>
      </c>
      <c r="T112" s="5" t="str">
        <f t="shared" si="13"/>
        <v/>
      </c>
      <c r="U112" s="5" t="str">
        <f t="shared" si="14"/>
        <v/>
      </c>
      <c r="V112" s="5" t="str">
        <f t="shared" si="15"/>
        <v/>
      </c>
      <c r="W112" s="5" t="str">
        <f t="shared" si="16"/>
        <v/>
      </c>
      <c r="X112" s="5" t="str">
        <f t="shared" si="17"/>
        <v/>
      </c>
    </row>
    <row r="113" spans="1:24">
      <c r="A113" s="87"/>
      <c r="B113" s="87"/>
      <c r="C113" s="88"/>
      <c r="D113" s="89"/>
      <c r="E113" s="90"/>
      <c r="F113" s="69"/>
      <c r="G113" s="70"/>
      <c r="H113" s="71"/>
      <c r="I113" s="66"/>
      <c r="J113" s="67"/>
      <c r="K113" s="67"/>
      <c r="L113" s="67"/>
      <c r="M113" s="67"/>
      <c r="N113" s="67"/>
      <c r="O113" s="67"/>
      <c r="P113" s="145" t="str">
        <f t="shared" si="9"/>
        <v/>
      </c>
      <c r="Q113" s="65" t="str">
        <f t="shared" si="10"/>
        <v/>
      </c>
      <c r="R113" s="5" t="str">
        <f t="shared" si="11"/>
        <v/>
      </c>
      <c r="S113" s="5" t="str">
        <f t="shared" si="12"/>
        <v/>
      </c>
      <c r="T113" s="5" t="str">
        <f t="shared" si="13"/>
        <v/>
      </c>
      <c r="U113" s="5" t="str">
        <f t="shared" si="14"/>
        <v/>
      </c>
      <c r="V113" s="5" t="str">
        <f t="shared" si="15"/>
        <v/>
      </c>
      <c r="W113" s="5" t="str">
        <f t="shared" si="16"/>
        <v/>
      </c>
      <c r="X113" s="5" t="str">
        <f t="shared" si="17"/>
        <v/>
      </c>
    </row>
    <row r="114" spans="1:24">
      <c r="A114" s="87"/>
      <c r="B114" s="87"/>
      <c r="C114" s="88"/>
      <c r="D114" s="89"/>
      <c r="E114" s="90"/>
      <c r="F114" s="69"/>
      <c r="G114" s="70"/>
      <c r="H114" s="71"/>
      <c r="I114" s="66"/>
      <c r="J114" s="67"/>
      <c r="K114" s="67"/>
      <c r="L114" s="67"/>
      <c r="M114" s="67"/>
      <c r="N114" s="67"/>
      <c r="O114" s="67"/>
      <c r="P114" s="145" t="str">
        <f t="shared" si="9"/>
        <v/>
      </c>
      <c r="Q114" s="65" t="str">
        <f t="shared" si="10"/>
        <v/>
      </c>
      <c r="R114" s="5" t="str">
        <f t="shared" si="11"/>
        <v/>
      </c>
      <c r="S114" s="5" t="str">
        <f t="shared" si="12"/>
        <v/>
      </c>
      <c r="T114" s="5" t="str">
        <f t="shared" si="13"/>
        <v/>
      </c>
      <c r="U114" s="5" t="str">
        <f t="shared" si="14"/>
        <v/>
      </c>
      <c r="V114" s="5" t="str">
        <f t="shared" si="15"/>
        <v/>
      </c>
      <c r="W114" s="5" t="str">
        <f t="shared" si="16"/>
        <v/>
      </c>
      <c r="X114" s="5" t="str">
        <f t="shared" si="17"/>
        <v/>
      </c>
    </row>
    <row r="115" spans="1:24">
      <c r="A115" s="87"/>
      <c r="B115" s="87"/>
      <c r="C115" s="88"/>
      <c r="D115" s="89"/>
      <c r="E115" s="90"/>
      <c r="F115" s="69"/>
      <c r="G115" s="70"/>
      <c r="H115" s="71"/>
      <c r="I115" s="66"/>
      <c r="J115" s="67"/>
      <c r="K115" s="67"/>
      <c r="L115" s="67"/>
      <c r="M115" s="67"/>
      <c r="N115" s="67"/>
      <c r="O115" s="67"/>
      <c r="P115" s="145" t="str">
        <f t="shared" si="9"/>
        <v/>
      </c>
      <c r="Q115" s="65" t="str">
        <f t="shared" si="10"/>
        <v/>
      </c>
      <c r="R115" s="5" t="str">
        <f t="shared" si="11"/>
        <v/>
      </c>
      <c r="S115" s="5" t="str">
        <f t="shared" si="12"/>
        <v/>
      </c>
      <c r="T115" s="5" t="str">
        <f t="shared" si="13"/>
        <v/>
      </c>
      <c r="U115" s="5" t="str">
        <f t="shared" si="14"/>
        <v/>
      </c>
      <c r="V115" s="5" t="str">
        <f t="shared" si="15"/>
        <v/>
      </c>
      <c r="W115" s="5" t="str">
        <f t="shared" si="16"/>
        <v/>
      </c>
      <c r="X115" s="5" t="str">
        <f t="shared" si="17"/>
        <v/>
      </c>
    </row>
    <row r="116" spans="1:24">
      <c r="A116" s="87"/>
      <c r="B116" s="87"/>
      <c r="C116" s="88"/>
      <c r="D116" s="89"/>
      <c r="E116" s="90"/>
      <c r="F116" s="69"/>
      <c r="G116" s="70"/>
      <c r="H116" s="71"/>
      <c r="I116" s="66"/>
      <c r="J116" s="67"/>
      <c r="K116" s="67"/>
      <c r="L116" s="67"/>
      <c r="M116" s="67"/>
      <c r="N116" s="67"/>
      <c r="O116" s="67"/>
      <c r="P116" s="145" t="str">
        <f t="shared" si="9"/>
        <v/>
      </c>
      <c r="Q116" s="65" t="str">
        <f t="shared" si="10"/>
        <v/>
      </c>
      <c r="R116" s="5" t="str">
        <f t="shared" si="11"/>
        <v/>
      </c>
      <c r="S116" s="5" t="str">
        <f t="shared" si="12"/>
        <v/>
      </c>
      <c r="T116" s="5" t="str">
        <f t="shared" si="13"/>
        <v/>
      </c>
      <c r="U116" s="5" t="str">
        <f t="shared" si="14"/>
        <v/>
      </c>
      <c r="V116" s="5" t="str">
        <f t="shared" si="15"/>
        <v/>
      </c>
      <c r="W116" s="5" t="str">
        <f t="shared" si="16"/>
        <v/>
      </c>
      <c r="X116" s="5" t="str">
        <f t="shared" si="17"/>
        <v/>
      </c>
    </row>
    <row r="117" spans="1:24">
      <c r="A117" s="87"/>
      <c r="B117" s="87"/>
      <c r="C117" s="88"/>
      <c r="D117" s="89"/>
      <c r="E117" s="90"/>
      <c r="F117" s="69"/>
      <c r="G117" s="70"/>
      <c r="H117" s="71"/>
      <c r="I117" s="66"/>
      <c r="J117" s="67"/>
      <c r="K117" s="67"/>
      <c r="L117" s="67"/>
      <c r="M117" s="67"/>
      <c r="N117" s="67"/>
      <c r="O117" s="67"/>
      <c r="P117" s="145" t="str">
        <f t="shared" si="9"/>
        <v/>
      </c>
      <c r="Q117" s="65" t="str">
        <f t="shared" si="10"/>
        <v/>
      </c>
      <c r="R117" s="5" t="str">
        <f t="shared" si="11"/>
        <v/>
      </c>
      <c r="S117" s="5" t="str">
        <f t="shared" si="12"/>
        <v/>
      </c>
      <c r="T117" s="5" t="str">
        <f t="shared" si="13"/>
        <v/>
      </c>
      <c r="U117" s="5" t="str">
        <f t="shared" si="14"/>
        <v/>
      </c>
      <c r="V117" s="5" t="str">
        <f t="shared" si="15"/>
        <v/>
      </c>
      <c r="W117" s="5" t="str">
        <f t="shared" si="16"/>
        <v/>
      </c>
      <c r="X117" s="5" t="str">
        <f t="shared" si="17"/>
        <v/>
      </c>
    </row>
    <row r="118" spans="1:24">
      <c r="A118" s="87"/>
      <c r="B118" s="87"/>
      <c r="C118" s="88"/>
      <c r="D118" s="89"/>
      <c r="E118" s="90"/>
      <c r="F118" s="69"/>
      <c r="G118" s="70"/>
      <c r="H118" s="71"/>
      <c r="I118" s="66"/>
      <c r="J118" s="67"/>
      <c r="K118" s="67"/>
      <c r="L118" s="67"/>
      <c r="M118" s="67"/>
      <c r="N118" s="67"/>
      <c r="O118" s="67"/>
      <c r="P118" s="145" t="str">
        <f t="shared" si="9"/>
        <v/>
      </c>
      <c r="Q118" s="65" t="str">
        <f t="shared" si="10"/>
        <v/>
      </c>
      <c r="R118" s="5" t="str">
        <f t="shared" si="11"/>
        <v/>
      </c>
      <c r="S118" s="5" t="str">
        <f t="shared" si="12"/>
        <v/>
      </c>
      <c r="T118" s="5" t="str">
        <f t="shared" si="13"/>
        <v/>
      </c>
      <c r="U118" s="5" t="str">
        <f t="shared" si="14"/>
        <v/>
      </c>
      <c r="V118" s="5" t="str">
        <f t="shared" si="15"/>
        <v/>
      </c>
      <c r="W118" s="5" t="str">
        <f t="shared" si="16"/>
        <v/>
      </c>
      <c r="X118" s="5" t="str">
        <f t="shared" si="17"/>
        <v/>
      </c>
    </row>
    <row r="119" spans="1:24">
      <c r="A119" s="87"/>
      <c r="B119" s="87"/>
      <c r="C119" s="88"/>
      <c r="D119" s="89"/>
      <c r="E119" s="90"/>
      <c r="F119" s="69"/>
      <c r="G119" s="70"/>
      <c r="H119" s="71"/>
      <c r="I119" s="66"/>
      <c r="J119" s="67"/>
      <c r="K119" s="67"/>
      <c r="L119" s="67"/>
      <c r="M119" s="67"/>
      <c r="N119" s="67"/>
      <c r="O119" s="67"/>
      <c r="P119" s="145" t="str">
        <f t="shared" si="9"/>
        <v/>
      </c>
      <c r="Q119" s="65" t="str">
        <f t="shared" si="10"/>
        <v/>
      </c>
      <c r="R119" s="5" t="str">
        <f t="shared" si="11"/>
        <v/>
      </c>
      <c r="S119" s="5" t="str">
        <f t="shared" si="12"/>
        <v/>
      </c>
      <c r="T119" s="5" t="str">
        <f t="shared" si="13"/>
        <v/>
      </c>
      <c r="U119" s="5" t="str">
        <f t="shared" si="14"/>
        <v/>
      </c>
      <c r="V119" s="5" t="str">
        <f t="shared" si="15"/>
        <v/>
      </c>
      <c r="W119" s="5" t="str">
        <f t="shared" si="16"/>
        <v/>
      </c>
      <c r="X119" s="5" t="str">
        <f t="shared" si="17"/>
        <v/>
      </c>
    </row>
    <row r="120" spans="1:24">
      <c r="A120" s="87"/>
      <c r="B120" s="87"/>
      <c r="C120" s="88"/>
      <c r="D120" s="89"/>
      <c r="E120" s="90"/>
      <c r="F120" s="69"/>
      <c r="G120" s="70"/>
      <c r="H120" s="71"/>
      <c r="I120" s="66"/>
      <c r="J120" s="67"/>
      <c r="K120" s="67"/>
      <c r="L120" s="67"/>
      <c r="M120" s="67"/>
      <c r="N120" s="67"/>
      <c r="O120" s="67"/>
      <c r="P120" s="145" t="str">
        <f t="shared" si="9"/>
        <v/>
      </c>
      <c r="Q120" s="65" t="str">
        <f t="shared" si="10"/>
        <v/>
      </c>
      <c r="R120" s="5" t="str">
        <f t="shared" si="11"/>
        <v/>
      </c>
      <c r="S120" s="5" t="str">
        <f t="shared" si="12"/>
        <v/>
      </c>
      <c r="T120" s="5" t="str">
        <f t="shared" si="13"/>
        <v/>
      </c>
      <c r="U120" s="5" t="str">
        <f t="shared" si="14"/>
        <v/>
      </c>
      <c r="V120" s="5" t="str">
        <f t="shared" si="15"/>
        <v/>
      </c>
      <c r="W120" s="5" t="str">
        <f t="shared" si="16"/>
        <v/>
      </c>
      <c r="X120" s="5" t="str">
        <f t="shared" si="17"/>
        <v/>
      </c>
    </row>
    <row r="121" spans="1:24">
      <c r="A121" s="87"/>
      <c r="B121" s="87"/>
      <c r="C121" s="88"/>
      <c r="D121" s="89"/>
      <c r="E121" s="90"/>
      <c r="F121" s="69"/>
      <c r="G121" s="70"/>
      <c r="H121" s="71"/>
      <c r="I121" s="66"/>
      <c r="J121" s="67"/>
      <c r="K121" s="67"/>
      <c r="L121" s="67"/>
      <c r="M121" s="67"/>
      <c r="N121" s="67"/>
      <c r="O121" s="67"/>
      <c r="P121" s="145" t="str">
        <f t="shared" si="9"/>
        <v/>
      </c>
      <c r="Q121" s="65" t="str">
        <f t="shared" si="10"/>
        <v/>
      </c>
      <c r="R121" s="5" t="str">
        <f t="shared" si="11"/>
        <v/>
      </c>
      <c r="S121" s="5" t="str">
        <f t="shared" si="12"/>
        <v/>
      </c>
      <c r="T121" s="5" t="str">
        <f t="shared" si="13"/>
        <v/>
      </c>
      <c r="U121" s="5" t="str">
        <f t="shared" si="14"/>
        <v/>
      </c>
      <c r="V121" s="5" t="str">
        <f t="shared" si="15"/>
        <v/>
      </c>
      <c r="W121" s="5" t="str">
        <f t="shared" si="16"/>
        <v/>
      </c>
      <c r="X121" s="5" t="str">
        <f t="shared" si="17"/>
        <v/>
      </c>
    </row>
    <row r="122" spans="1:24">
      <c r="A122" s="87"/>
      <c r="B122" s="87"/>
      <c r="C122" s="88"/>
      <c r="D122" s="89"/>
      <c r="E122" s="90"/>
      <c r="F122" s="69"/>
      <c r="G122" s="70"/>
      <c r="H122" s="71"/>
      <c r="I122" s="66"/>
      <c r="J122" s="67"/>
      <c r="K122" s="67"/>
      <c r="L122" s="67"/>
      <c r="M122" s="67"/>
      <c r="N122" s="67"/>
      <c r="O122" s="67"/>
      <c r="P122" s="145" t="str">
        <f t="shared" si="9"/>
        <v/>
      </c>
      <c r="Q122" s="65" t="str">
        <f t="shared" si="10"/>
        <v/>
      </c>
      <c r="R122" s="5" t="str">
        <f t="shared" si="11"/>
        <v/>
      </c>
      <c r="S122" s="5" t="str">
        <f t="shared" si="12"/>
        <v/>
      </c>
      <c r="T122" s="5" t="str">
        <f t="shared" si="13"/>
        <v/>
      </c>
      <c r="U122" s="5" t="str">
        <f t="shared" si="14"/>
        <v/>
      </c>
      <c r="V122" s="5" t="str">
        <f t="shared" si="15"/>
        <v/>
      </c>
      <c r="W122" s="5" t="str">
        <f t="shared" si="16"/>
        <v/>
      </c>
      <c r="X122" s="5" t="str">
        <f t="shared" si="17"/>
        <v/>
      </c>
    </row>
    <row r="123" spans="1:24">
      <c r="A123" s="87"/>
      <c r="B123" s="87"/>
      <c r="C123" s="88"/>
      <c r="D123" s="89"/>
      <c r="E123" s="90"/>
      <c r="F123" s="69"/>
      <c r="G123" s="70"/>
      <c r="H123" s="71"/>
      <c r="I123" s="66"/>
      <c r="J123" s="67"/>
      <c r="K123" s="67"/>
      <c r="L123" s="67"/>
      <c r="M123" s="67"/>
      <c r="N123" s="67"/>
      <c r="O123" s="67"/>
      <c r="P123" s="145" t="str">
        <f t="shared" si="9"/>
        <v/>
      </c>
      <c r="Q123" s="65" t="str">
        <f t="shared" si="10"/>
        <v/>
      </c>
      <c r="R123" s="5" t="str">
        <f t="shared" si="11"/>
        <v/>
      </c>
      <c r="S123" s="5" t="str">
        <f t="shared" si="12"/>
        <v/>
      </c>
      <c r="T123" s="5" t="str">
        <f t="shared" si="13"/>
        <v/>
      </c>
      <c r="U123" s="5" t="str">
        <f t="shared" si="14"/>
        <v/>
      </c>
      <c r="V123" s="5" t="str">
        <f t="shared" si="15"/>
        <v/>
      </c>
      <c r="W123" s="5" t="str">
        <f t="shared" si="16"/>
        <v/>
      </c>
      <c r="X123" s="5" t="str">
        <f t="shared" si="17"/>
        <v/>
      </c>
    </row>
    <row r="124" spans="1:24">
      <c r="A124" s="87"/>
      <c r="B124" s="87"/>
      <c r="C124" s="88"/>
      <c r="D124" s="89"/>
      <c r="E124" s="90"/>
      <c r="F124" s="69"/>
      <c r="G124" s="70"/>
      <c r="H124" s="71"/>
      <c r="I124" s="66"/>
      <c r="J124" s="67"/>
      <c r="K124" s="67"/>
      <c r="L124" s="67"/>
      <c r="M124" s="67"/>
      <c r="N124" s="67"/>
      <c r="O124" s="67"/>
      <c r="P124" s="145" t="str">
        <f t="shared" si="9"/>
        <v/>
      </c>
      <c r="Q124" s="65" t="str">
        <f t="shared" si="10"/>
        <v/>
      </c>
      <c r="R124" s="5" t="str">
        <f t="shared" si="11"/>
        <v/>
      </c>
      <c r="S124" s="5" t="str">
        <f t="shared" si="12"/>
        <v/>
      </c>
      <c r="T124" s="5" t="str">
        <f t="shared" si="13"/>
        <v/>
      </c>
      <c r="U124" s="5" t="str">
        <f t="shared" si="14"/>
        <v/>
      </c>
      <c r="V124" s="5" t="str">
        <f t="shared" si="15"/>
        <v/>
      </c>
      <c r="W124" s="5" t="str">
        <f t="shared" si="16"/>
        <v/>
      </c>
      <c r="X124" s="5" t="str">
        <f t="shared" si="17"/>
        <v/>
      </c>
    </row>
    <row r="125" spans="1:24">
      <c r="A125" s="87"/>
      <c r="B125" s="87"/>
      <c r="C125" s="88"/>
      <c r="D125" s="89"/>
      <c r="E125" s="90"/>
      <c r="F125" s="69"/>
      <c r="G125" s="70"/>
      <c r="H125" s="71"/>
      <c r="I125" s="66"/>
      <c r="J125" s="67"/>
      <c r="K125" s="67"/>
      <c r="L125" s="67"/>
      <c r="M125" s="67"/>
      <c r="N125" s="67"/>
      <c r="O125" s="67"/>
      <c r="P125" s="145" t="str">
        <f t="shared" si="9"/>
        <v/>
      </c>
      <c r="Q125" s="65" t="str">
        <f t="shared" si="10"/>
        <v/>
      </c>
      <c r="R125" s="5" t="str">
        <f t="shared" si="11"/>
        <v/>
      </c>
      <c r="S125" s="5" t="str">
        <f t="shared" si="12"/>
        <v/>
      </c>
      <c r="T125" s="5" t="str">
        <f t="shared" si="13"/>
        <v/>
      </c>
      <c r="U125" s="5" t="str">
        <f t="shared" si="14"/>
        <v/>
      </c>
      <c r="V125" s="5" t="str">
        <f t="shared" si="15"/>
        <v/>
      </c>
      <c r="W125" s="5" t="str">
        <f t="shared" si="16"/>
        <v/>
      </c>
      <c r="X125" s="5" t="str">
        <f t="shared" si="17"/>
        <v/>
      </c>
    </row>
    <row r="126" spans="1:24">
      <c r="A126" s="87"/>
      <c r="B126" s="87"/>
      <c r="C126" s="88"/>
      <c r="D126" s="89"/>
      <c r="E126" s="90"/>
      <c r="F126" s="69"/>
      <c r="G126" s="70"/>
      <c r="H126" s="71"/>
      <c r="I126" s="66"/>
      <c r="J126" s="67"/>
      <c r="K126" s="67"/>
      <c r="L126" s="67"/>
      <c r="M126" s="67"/>
      <c r="N126" s="67"/>
      <c r="O126" s="67"/>
      <c r="P126" s="145" t="str">
        <f t="shared" si="9"/>
        <v/>
      </c>
      <c r="Q126" s="65" t="str">
        <f t="shared" si="10"/>
        <v/>
      </c>
      <c r="R126" s="5" t="str">
        <f t="shared" si="11"/>
        <v/>
      </c>
      <c r="S126" s="5" t="str">
        <f t="shared" si="12"/>
        <v/>
      </c>
      <c r="T126" s="5" t="str">
        <f t="shared" si="13"/>
        <v/>
      </c>
      <c r="U126" s="5" t="str">
        <f t="shared" si="14"/>
        <v/>
      </c>
      <c r="V126" s="5" t="str">
        <f t="shared" si="15"/>
        <v/>
      </c>
      <c r="W126" s="5" t="str">
        <f t="shared" si="16"/>
        <v/>
      </c>
      <c r="X126" s="5" t="str">
        <f t="shared" si="17"/>
        <v/>
      </c>
    </row>
    <row r="127" spans="1:24">
      <c r="A127" s="87"/>
      <c r="B127" s="87"/>
      <c r="C127" s="88"/>
      <c r="D127" s="89"/>
      <c r="E127" s="90"/>
      <c r="F127" s="69"/>
      <c r="G127" s="70"/>
      <c r="H127" s="71"/>
      <c r="I127" s="66"/>
      <c r="J127" s="67"/>
      <c r="K127" s="67"/>
      <c r="L127" s="67"/>
      <c r="M127" s="67"/>
      <c r="N127" s="67"/>
      <c r="O127" s="67"/>
      <c r="P127" s="145" t="str">
        <f t="shared" si="9"/>
        <v/>
      </c>
      <c r="Q127" s="65" t="str">
        <f t="shared" si="10"/>
        <v/>
      </c>
      <c r="R127" s="5" t="str">
        <f t="shared" si="11"/>
        <v/>
      </c>
      <c r="S127" s="5" t="str">
        <f t="shared" si="12"/>
        <v/>
      </c>
      <c r="T127" s="5" t="str">
        <f t="shared" si="13"/>
        <v/>
      </c>
      <c r="U127" s="5" t="str">
        <f t="shared" si="14"/>
        <v/>
      </c>
      <c r="V127" s="5" t="str">
        <f t="shared" si="15"/>
        <v/>
      </c>
      <c r="W127" s="5" t="str">
        <f t="shared" si="16"/>
        <v/>
      </c>
      <c r="X127" s="5" t="str">
        <f t="shared" si="17"/>
        <v/>
      </c>
    </row>
    <row r="128" spans="1:24">
      <c r="A128" s="87"/>
      <c r="B128" s="87"/>
      <c r="C128" s="88"/>
      <c r="D128" s="89"/>
      <c r="E128" s="90"/>
      <c r="F128" s="69"/>
      <c r="G128" s="70"/>
      <c r="H128" s="71"/>
      <c r="I128" s="66"/>
      <c r="J128" s="67"/>
      <c r="K128" s="67"/>
      <c r="L128" s="67"/>
      <c r="M128" s="67"/>
      <c r="N128" s="67"/>
      <c r="O128" s="67"/>
      <c r="P128" s="145" t="str">
        <f t="shared" si="9"/>
        <v/>
      </c>
      <c r="Q128" s="65" t="str">
        <f t="shared" si="10"/>
        <v/>
      </c>
      <c r="R128" s="5" t="str">
        <f t="shared" si="11"/>
        <v/>
      </c>
      <c r="S128" s="5" t="str">
        <f t="shared" si="12"/>
        <v/>
      </c>
      <c r="T128" s="5" t="str">
        <f t="shared" si="13"/>
        <v/>
      </c>
      <c r="U128" s="5" t="str">
        <f t="shared" si="14"/>
        <v/>
      </c>
      <c r="V128" s="5" t="str">
        <f t="shared" si="15"/>
        <v/>
      </c>
      <c r="W128" s="5" t="str">
        <f t="shared" si="16"/>
        <v/>
      </c>
      <c r="X128" s="5" t="str">
        <f t="shared" si="17"/>
        <v/>
      </c>
    </row>
    <row r="129" spans="1:24">
      <c r="A129" s="87"/>
      <c r="B129" s="87"/>
      <c r="C129" s="88"/>
      <c r="D129" s="89"/>
      <c r="E129" s="90"/>
      <c r="F129" s="69"/>
      <c r="G129" s="70"/>
      <c r="H129" s="71"/>
      <c r="I129" s="66"/>
      <c r="J129" s="67"/>
      <c r="K129" s="67"/>
      <c r="L129" s="67"/>
      <c r="M129" s="67"/>
      <c r="N129" s="67"/>
      <c r="O129" s="67"/>
      <c r="P129" s="145" t="str">
        <f t="shared" si="9"/>
        <v/>
      </c>
      <c r="Q129" s="65" t="str">
        <f t="shared" si="10"/>
        <v/>
      </c>
      <c r="R129" s="5" t="str">
        <f t="shared" si="11"/>
        <v/>
      </c>
      <c r="S129" s="5" t="str">
        <f t="shared" si="12"/>
        <v/>
      </c>
      <c r="T129" s="5" t="str">
        <f t="shared" si="13"/>
        <v/>
      </c>
      <c r="U129" s="5" t="str">
        <f t="shared" si="14"/>
        <v/>
      </c>
      <c r="V129" s="5" t="str">
        <f t="shared" si="15"/>
        <v/>
      </c>
      <c r="W129" s="5" t="str">
        <f t="shared" si="16"/>
        <v/>
      </c>
      <c r="X129" s="5" t="str">
        <f t="shared" si="17"/>
        <v/>
      </c>
    </row>
    <row r="130" spans="1:24">
      <c r="A130" s="87"/>
      <c r="B130" s="87"/>
      <c r="C130" s="88"/>
      <c r="D130" s="89"/>
      <c r="E130" s="90"/>
      <c r="F130" s="69"/>
      <c r="G130" s="70"/>
      <c r="H130" s="71"/>
      <c r="I130" s="66"/>
      <c r="J130" s="67"/>
      <c r="K130" s="67"/>
      <c r="L130" s="67"/>
      <c r="M130" s="67"/>
      <c r="N130" s="67"/>
      <c r="O130" s="67"/>
      <c r="P130" s="145" t="str">
        <f t="shared" si="9"/>
        <v/>
      </c>
      <c r="Q130" s="65" t="str">
        <f t="shared" si="10"/>
        <v/>
      </c>
      <c r="R130" s="5" t="str">
        <f t="shared" si="11"/>
        <v/>
      </c>
      <c r="S130" s="5" t="str">
        <f t="shared" si="12"/>
        <v/>
      </c>
      <c r="T130" s="5" t="str">
        <f t="shared" si="13"/>
        <v/>
      </c>
      <c r="U130" s="5" t="str">
        <f t="shared" si="14"/>
        <v/>
      </c>
      <c r="V130" s="5" t="str">
        <f t="shared" si="15"/>
        <v/>
      </c>
      <c r="W130" s="5" t="str">
        <f t="shared" si="16"/>
        <v/>
      </c>
      <c r="X130" s="5" t="str">
        <f t="shared" si="17"/>
        <v/>
      </c>
    </row>
    <row r="131" spans="1:24">
      <c r="A131" s="87"/>
      <c r="B131" s="87"/>
      <c r="C131" s="88"/>
      <c r="D131" s="89"/>
      <c r="E131" s="90"/>
      <c r="F131" s="69"/>
      <c r="G131" s="70"/>
      <c r="H131" s="71"/>
      <c r="I131" s="66"/>
      <c r="J131" s="67"/>
      <c r="K131" s="67"/>
      <c r="L131" s="67"/>
      <c r="M131" s="67"/>
      <c r="N131" s="67"/>
      <c r="O131" s="67"/>
      <c r="P131" s="145" t="str">
        <f t="shared" si="9"/>
        <v/>
      </c>
      <c r="Q131" s="65" t="str">
        <f t="shared" si="10"/>
        <v/>
      </c>
      <c r="R131" s="5" t="str">
        <f t="shared" si="11"/>
        <v/>
      </c>
      <c r="S131" s="5" t="str">
        <f t="shared" si="12"/>
        <v/>
      </c>
      <c r="T131" s="5" t="str">
        <f t="shared" si="13"/>
        <v/>
      </c>
      <c r="U131" s="5" t="str">
        <f t="shared" si="14"/>
        <v/>
      </c>
      <c r="V131" s="5" t="str">
        <f t="shared" si="15"/>
        <v/>
      </c>
      <c r="W131" s="5" t="str">
        <f t="shared" si="16"/>
        <v/>
      </c>
      <c r="X131" s="5" t="str">
        <f t="shared" si="17"/>
        <v/>
      </c>
    </row>
    <row r="132" spans="1:24">
      <c r="A132" s="87"/>
      <c r="B132" s="87"/>
      <c r="C132" s="88"/>
      <c r="D132" s="89"/>
      <c r="E132" s="90"/>
      <c r="F132" s="69"/>
      <c r="G132" s="70"/>
      <c r="H132" s="71"/>
      <c r="I132" s="66"/>
      <c r="J132" s="67"/>
      <c r="K132" s="67"/>
      <c r="L132" s="67"/>
      <c r="M132" s="67"/>
      <c r="N132" s="67"/>
      <c r="O132" s="67"/>
      <c r="P132" s="145" t="str">
        <f t="shared" si="9"/>
        <v/>
      </c>
      <c r="Q132" s="65" t="str">
        <f t="shared" si="10"/>
        <v/>
      </c>
      <c r="R132" s="5" t="str">
        <f t="shared" si="11"/>
        <v/>
      </c>
      <c r="S132" s="5" t="str">
        <f t="shared" si="12"/>
        <v/>
      </c>
      <c r="T132" s="5" t="str">
        <f t="shared" si="13"/>
        <v/>
      </c>
      <c r="U132" s="5" t="str">
        <f t="shared" si="14"/>
        <v/>
      </c>
      <c r="V132" s="5" t="str">
        <f t="shared" si="15"/>
        <v/>
      </c>
      <c r="W132" s="5" t="str">
        <f t="shared" si="16"/>
        <v/>
      </c>
      <c r="X132" s="5" t="str">
        <f t="shared" si="17"/>
        <v/>
      </c>
    </row>
    <row r="133" spans="1:24">
      <c r="A133" s="87"/>
      <c r="B133" s="87"/>
      <c r="C133" s="88"/>
      <c r="D133" s="89"/>
      <c r="E133" s="90"/>
      <c r="F133" s="69"/>
      <c r="G133" s="70"/>
      <c r="H133" s="71"/>
      <c r="I133" s="66"/>
      <c r="J133" s="67"/>
      <c r="K133" s="67"/>
      <c r="L133" s="67"/>
      <c r="M133" s="67"/>
      <c r="N133" s="67"/>
      <c r="O133" s="67"/>
      <c r="P133" s="145" t="str">
        <f t="shared" si="9"/>
        <v/>
      </c>
      <c r="Q133" s="65" t="str">
        <f t="shared" si="10"/>
        <v/>
      </c>
      <c r="R133" s="5" t="str">
        <f t="shared" si="11"/>
        <v/>
      </c>
      <c r="S133" s="5" t="str">
        <f t="shared" si="12"/>
        <v/>
      </c>
      <c r="T133" s="5" t="str">
        <f t="shared" si="13"/>
        <v/>
      </c>
      <c r="U133" s="5" t="str">
        <f t="shared" si="14"/>
        <v/>
      </c>
      <c r="V133" s="5" t="str">
        <f t="shared" si="15"/>
        <v/>
      </c>
      <c r="W133" s="5" t="str">
        <f t="shared" si="16"/>
        <v/>
      </c>
      <c r="X133" s="5" t="str">
        <f t="shared" si="17"/>
        <v/>
      </c>
    </row>
    <row r="134" spans="1:24">
      <c r="A134" s="87"/>
      <c r="B134" s="87"/>
      <c r="C134" s="88"/>
      <c r="D134" s="89"/>
      <c r="E134" s="90"/>
      <c r="F134" s="69"/>
      <c r="G134" s="70"/>
      <c r="H134" s="71"/>
      <c r="I134" s="66"/>
      <c r="J134" s="67"/>
      <c r="K134" s="67"/>
      <c r="L134" s="67"/>
      <c r="M134" s="67"/>
      <c r="N134" s="67"/>
      <c r="O134" s="67"/>
      <c r="P134" s="145" t="str">
        <f t="shared" si="9"/>
        <v/>
      </c>
      <c r="Q134" s="65" t="str">
        <f t="shared" si="10"/>
        <v/>
      </c>
      <c r="R134" s="5" t="str">
        <f t="shared" si="11"/>
        <v/>
      </c>
      <c r="S134" s="5" t="str">
        <f t="shared" si="12"/>
        <v/>
      </c>
      <c r="T134" s="5" t="str">
        <f t="shared" si="13"/>
        <v/>
      </c>
      <c r="U134" s="5" t="str">
        <f t="shared" si="14"/>
        <v/>
      </c>
      <c r="V134" s="5" t="str">
        <f t="shared" si="15"/>
        <v/>
      </c>
      <c r="W134" s="5" t="str">
        <f t="shared" si="16"/>
        <v/>
      </c>
      <c r="X134" s="5" t="str">
        <f t="shared" si="17"/>
        <v/>
      </c>
    </row>
    <row r="135" spans="1:24">
      <c r="A135" s="91"/>
      <c r="B135" s="92"/>
      <c r="C135" s="69"/>
      <c r="D135" s="69"/>
      <c r="E135" s="69"/>
      <c r="F135" s="69"/>
      <c r="G135" s="70"/>
      <c r="H135" s="71"/>
      <c r="I135" s="66"/>
      <c r="J135" s="67"/>
      <c r="K135" s="67"/>
      <c r="L135" s="67"/>
      <c r="M135" s="67"/>
      <c r="N135" s="67"/>
      <c r="O135" s="67"/>
      <c r="P135" s="145" t="str">
        <f t="shared" ref="P135:P198" si="18">IF($C135="","",IF($N135+$O135=0,0,$N135/($N135+$O135)))</f>
        <v/>
      </c>
      <c r="Q135" s="65" t="str">
        <f t="shared" ref="Q135:Q198" si="19">IF($C135="","",IF(TRIM($B135)="beginning",(((SUM($R135:$X135)-3371)/2251)*40)+360,IF(TRIM($B135)="middle",(((SUM($R135:$X135)-3371)/2251)*40)+400,IF(TRIM($B135)="end",(((SUM($R135:$X135)-3371)/2251)*40)+440,""))))</f>
        <v/>
      </c>
      <c r="R135" s="5" t="str">
        <f t="shared" ref="R135:R198" si="20">IF($C135="","",I135*10.72)</f>
        <v/>
      </c>
      <c r="S135" s="5" t="str">
        <f t="shared" ref="S135:S198" si="21">IF($C135="","",J135*2.13)</f>
        <v/>
      </c>
      <c r="T135" s="5" t="str">
        <f t="shared" ref="T135:T198" si="22">IF($C135="","",K135*23.13)</f>
        <v/>
      </c>
      <c r="U135" s="5" t="str">
        <f t="shared" ref="U135:U198" si="23">IF($C135="","",L135*7.79)</f>
        <v/>
      </c>
      <c r="V135" s="5" t="str">
        <f t="shared" ref="V135:V198" si="24">IF($C135="","",M135*13.51)</f>
        <v/>
      </c>
      <c r="W135" s="5" t="str">
        <f t="shared" ref="W135:W198" si="25">IF($C135="","",N135*25.36)</f>
        <v/>
      </c>
      <c r="X135" s="5" t="str">
        <f t="shared" ref="X135:X198" si="26">IF($C135="","",P135*0.25)</f>
        <v/>
      </c>
    </row>
    <row r="136" spans="1:24">
      <c r="A136" s="91"/>
      <c r="B136" s="92"/>
      <c r="C136" s="69"/>
      <c r="D136" s="69"/>
      <c r="E136" s="69"/>
      <c r="F136" s="69"/>
      <c r="G136" s="70"/>
      <c r="H136" s="71"/>
      <c r="I136" s="66"/>
      <c r="J136" s="67"/>
      <c r="K136" s="67"/>
      <c r="L136" s="67"/>
      <c r="M136" s="67"/>
      <c r="N136" s="67"/>
      <c r="O136" s="67"/>
      <c r="P136" s="145" t="str">
        <f t="shared" si="18"/>
        <v/>
      </c>
      <c r="Q136" s="65" t="str">
        <f t="shared" si="19"/>
        <v/>
      </c>
      <c r="R136" s="5" t="str">
        <f t="shared" si="20"/>
        <v/>
      </c>
      <c r="S136" s="5" t="str">
        <f t="shared" si="21"/>
        <v/>
      </c>
      <c r="T136" s="5" t="str">
        <f t="shared" si="22"/>
        <v/>
      </c>
      <c r="U136" s="5" t="str">
        <f t="shared" si="23"/>
        <v/>
      </c>
      <c r="V136" s="5" t="str">
        <f t="shared" si="24"/>
        <v/>
      </c>
      <c r="W136" s="5" t="str">
        <f t="shared" si="25"/>
        <v/>
      </c>
      <c r="X136" s="5" t="str">
        <f t="shared" si="26"/>
        <v/>
      </c>
    </row>
    <row r="137" spans="1:24">
      <c r="A137" s="91"/>
      <c r="B137" s="92"/>
      <c r="C137" s="69"/>
      <c r="D137" s="69"/>
      <c r="E137" s="69"/>
      <c r="F137" s="69"/>
      <c r="G137" s="70"/>
      <c r="H137" s="71"/>
      <c r="I137" s="66"/>
      <c r="J137" s="67"/>
      <c r="K137" s="67"/>
      <c r="L137" s="67"/>
      <c r="M137" s="67"/>
      <c r="N137" s="67"/>
      <c r="O137" s="67"/>
      <c r="P137" s="145" t="str">
        <f t="shared" si="18"/>
        <v/>
      </c>
      <c r="Q137" s="65" t="str">
        <f t="shared" si="19"/>
        <v/>
      </c>
      <c r="R137" s="5" t="str">
        <f t="shared" si="20"/>
        <v/>
      </c>
      <c r="S137" s="5" t="str">
        <f t="shared" si="21"/>
        <v/>
      </c>
      <c r="T137" s="5" t="str">
        <f t="shared" si="22"/>
        <v/>
      </c>
      <c r="U137" s="5" t="str">
        <f t="shared" si="23"/>
        <v/>
      </c>
      <c r="V137" s="5" t="str">
        <f t="shared" si="24"/>
        <v/>
      </c>
      <c r="W137" s="5" t="str">
        <f t="shared" si="25"/>
        <v/>
      </c>
      <c r="X137" s="5" t="str">
        <f t="shared" si="26"/>
        <v/>
      </c>
    </row>
    <row r="138" spans="1:24">
      <c r="A138" s="91"/>
      <c r="B138" s="92"/>
      <c r="C138" s="69"/>
      <c r="D138" s="69"/>
      <c r="E138" s="69"/>
      <c r="F138" s="69"/>
      <c r="G138" s="70"/>
      <c r="H138" s="71"/>
      <c r="I138" s="66"/>
      <c r="J138" s="67"/>
      <c r="K138" s="67"/>
      <c r="L138" s="67"/>
      <c r="M138" s="67"/>
      <c r="N138" s="67"/>
      <c r="O138" s="67"/>
      <c r="P138" s="145" t="str">
        <f t="shared" si="18"/>
        <v/>
      </c>
      <c r="Q138" s="65" t="str">
        <f t="shared" si="19"/>
        <v/>
      </c>
      <c r="R138" s="5" t="str">
        <f t="shared" si="20"/>
        <v/>
      </c>
      <c r="S138" s="5" t="str">
        <f t="shared" si="21"/>
        <v/>
      </c>
      <c r="T138" s="5" t="str">
        <f t="shared" si="22"/>
        <v/>
      </c>
      <c r="U138" s="5" t="str">
        <f t="shared" si="23"/>
        <v/>
      </c>
      <c r="V138" s="5" t="str">
        <f t="shared" si="24"/>
        <v/>
      </c>
      <c r="W138" s="5" t="str">
        <f t="shared" si="25"/>
        <v/>
      </c>
      <c r="X138" s="5" t="str">
        <f t="shared" si="26"/>
        <v/>
      </c>
    </row>
    <row r="139" spans="1:24">
      <c r="A139" s="91"/>
      <c r="B139" s="92"/>
      <c r="C139" s="69"/>
      <c r="D139" s="69"/>
      <c r="E139" s="69"/>
      <c r="F139" s="69"/>
      <c r="G139" s="70"/>
      <c r="H139" s="71"/>
      <c r="I139" s="66"/>
      <c r="J139" s="67"/>
      <c r="K139" s="67"/>
      <c r="L139" s="67"/>
      <c r="M139" s="67"/>
      <c r="N139" s="67"/>
      <c r="O139" s="67"/>
      <c r="P139" s="145" t="str">
        <f t="shared" si="18"/>
        <v/>
      </c>
      <c r="Q139" s="65" t="str">
        <f t="shared" si="19"/>
        <v/>
      </c>
      <c r="R139" s="5" t="str">
        <f t="shared" si="20"/>
        <v/>
      </c>
      <c r="S139" s="5" t="str">
        <f t="shared" si="21"/>
        <v/>
      </c>
      <c r="T139" s="5" t="str">
        <f t="shared" si="22"/>
        <v/>
      </c>
      <c r="U139" s="5" t="str">
        <f t="shared" si="23"/>
        <v/>
      </c>
      <c r="V139" s="5" t="str">
        <f t="shared" si="24"/>
        <v/>
      </c>
      <c r="W139" s="5" t="str">
        <f t="shared" si="25"/>
        <v/>
      </c>
      <c r="X139" s="5" t="str">
        <f t="shared" si="26"/>
        <v/>
      </c>
    </row>
    <row r="140" spans="1:24">
      <c r="A140" s="91"/>
      <c r="B140" s="92"/>
      <c r="C140" s="69"/>
      <c r="D140" s="69"/>
      <c r="E140" s="69"/>
      <c r="F140" s="69"/>
      <c r="G140" s="70"/>
      <c r="H140" s="71"/>
      <c r="I140" s="66"/>
      <c r="J140" s="67"/>
      <c r="K140" s="67"/>
      <c r="L140" s="67"/>
      <c r="M140" s="67"/>
      <c r="N140" s="67"/>
      <c r="O140" s="67"/>
      <c r="P140" s="145" t="str">
        <f t="shared" si="18"/>
        <v/>
      </c>
      <c r="Q140" s="65" t="str">
        <f t="shared" si="19"/>
        <v/>
      </c>
      <c r="R140" s="5" t="str">
        <f t="shared" si="20"/>
        <v/>
      </c>
      <c r="S140" s="5" t="str">
        <f t="shared" si="21"/>
        <v/>
      </c>
      <c r="T140" s="5" t="str">
        <f t="shared" si="22"/>
        <v/>
      </c>
      <c r="U140" s="5" t="str">
        <f t="shared" si="23"/>
        <v/>
      </c>
      <c r="V140" s="5" t="str">
        <f t="shared" si="24"/>
        <v/>
      </c>
      <c r="W140" s="5" t="str">
        <f t="shared" si="25"/>
        <v/>
      </c>
      <c r="X140" s="5" t="str">
        <f t="shared" si="26"/>
        <v/>
      </c>
    </row>
    <row r="141" spans="1:24">
      <c r="A141" s="91"/>
      <c r="B141" s="92"/>
      <c r="C141" s="69"/>
      <c r="D141" s="69"/>
      <c r="E141" s="69"/>
      <c r="F141" s="69"/>
      <c r="G141" s="70"/>
      <c r="H141" s="71"/>
      <c r="I141" s="66"/>
      <c r="J141" s="67"/>
      <c r="K141" s="67"/>
      <c r="L141" s="67"/>
      <c r="M141" s="67"/>
      <c r="N141" s="67"/>
      <c r="O141" s="67"/>
      <c r="P141" s="145" t="str">
        <f t="shared" si="18"/>
        <v/>
      </c>
      <c r="Q141" s="65" t="str">
        <f t="shared" si="19"/>
        <v/>
      </c>
      <c r="R141" s="5" t="str">
        <f t="shared" si="20"/>
        <v/>
      </c>
      <c r="S141" s="5" t="str">
        <f t="shared" si="21"/>
        <v/>
      </c>
      <c r="T141" s="5" t="str">
        <f t="shared" si="22"/>
        <v/>
      </c>
      <c r="U141" s="5" t="str">
        <f t="shared" si="23"/>
        <v/>
      </c>
      <c r="V141" s="5" t="str">
        <f t="shared" si="24"/>
        <v/>
      </c>
      <c r="W141" s="5" t="str">
        <f t="shared" si="25"/>
        <v/>
      </c>
      <c r="X141" s="5" t="str">
        <f t="shared" si="26"/>
        <v/>
      </c>
    </row>
    <row r="142" spans="1:24">
      <c r="A142" s="91"/>
      <c r="B142" s="92"/>
      <c r="C142" s="69"/>
      <c r="D142" s="69"/>
      <c r="E142" s="69"/>
      <c r="F142" s="69"/>
      <c r="G142" s="70"/>
      <c r="H142" s="71"/>
      <c r="I142" s="66"/>
      <c r="J142" s="67"/>
      <c r="K142" s="67"/>
      <c r="L142" s="67"/>
      <c r="M142" s="67"/>
      <c r="N142" s="67"/>
      <c r="O142" s="67"/>
      <c r="P142" s="145" t="str">
        <f t="shared" si="18"/>
        <v/>
      </c>
      <c r="Q142" s="65" t="str">
        <f t="shared" si="19"/>
        <v/>
      </c>
      <c r="R142" s="5" t="str">
        <f t="shared" si="20"/>
        <v/>
      </c>
      <c r="S142" s="5" t="str">
        <f t="shared" si="21"/>
        <v/>
      </c>
      <c r="T142" s="5" t="str">
        <f t="shared" si="22"/>
        <v/>
      </c>
      <c r="U142" s="5" t="str">
        <f t="shared" si="23"/>
        <v/>
      </c>
      <c r="V142" s="5" t="str">
        <f t="shared" si="24"/>
        <v/>
      </c>
      <c r="W142" s="5" t="str">
        <f t="shared" si="25"/>
        <v/>
      </c>
      <c r="X142" s="5" t="str">
        <f t="shared" si="26"/>
        <v/>
      </c>
    </row>
    <row r="143" spans="1:24">
      <c r="A143" s="91"/>
      <c r="B143" s="92"/>
      <c r="C143" s="69"/>
      <c r="D143" s="69"/>
      <c r="E143" s="69"/>
      <c r="F143" s="69"/>
      <c r="G143" s="70"/>
      <c r="H143" s="71"/>
      <c r="I143" s="66"/>
      <c r="J143" s="67"/>
      <c r="K143" s="67"/>
      <c r="L143" s="67"/>
      <c r="M143" s="67"/>
      <c r="N143" s="67"/>
      <c r="O143" s="67"/>
      <c r="P143" s="145" t="str">
        <f t="shared" si="18"/>
        <v/>
      </c>
      <c r="Q143" s="65" t="str">
        <f t="shared" si="19"/>
        <v/>
      </c>
      <c r="R143" s="5" t="str">
        <f t="shared" si="20"/>
        <v/>
      </c>
      <c r="S143" s="5" t="str">
        <f t="shared" si="21"/>
        <v/>
      </c>
      <c r="T143" s="5" t="str">
        <f t="shared" si="22"/>
        <v/>
      </c>
      <c r="U143" s="5" t="str">
        <f t="shared" si="23"/>
        <v/>
      </c>
      <c r="V143" s="5" t="str">
        <f t="shared" si="24"/>
        <v/>
      </c>
      <c r="W143" s="5" t="str">
        <f t="shared" si="25"/>
        <v/>
      </c>
      <c r="X143" s="5" t="str">
        <f t="shared" si="26"/>
        <v/>
      </c>
    </row>
    <row r="144" spans="1:24">
      <c r="A144" s="91"/>
      <c r="B144" s="92"/>
      <c r="C144" s="69"/>
      <c r="D144" s="69"/>
      <c r="E144" s="69"/>
      <c r="F144" s="69"/>
      <c r="G144" s="70"/>
      <c r="H144" s="71"/>
      <c r="I144" s="66"/>
      <c r="J144" s="67"/>
      <c r="K144" s="67"/>
      <c r="L144" s="67"/>
      <c r="M144" s="67"/>
      <c r="N144" s="67"/>
      <c r="O144" s="67"/>
      <c r="P144" s="145" t="str">
        <f t="shared" si="18"/>
        <v/>
      </c>
      <c r="Q144" s="65" t="str">
        <f t="shared" si="19"/>
        <v/>
      </c>
      <c r="R144" s="5" t="str">
        <f t="shared" si="20"/>
        <v/>
      </c>
      <c r="S144" s="5" t="str">
        <f t="shared" si="21"/>
        <v/>
      </c>
      <c r="T144" s="5" t="str">
        <f t="shared" si="22"/>
        <v/>
      </c>
      <c r="U144" s="5" t="str">
        <f t="shared" si="23"/>
        <v/>
      </c>
      <c r="V144" s="5" t="str">
        <f t="shared" si="24"/>
        <v/>
      </c>
      <c r="W144" s="5" t="str">
        <f t="shared" si="25"/>
        <v/>
      </c>
      <c r="X144" s="5" t="str">
        <f t="shared" si="26"/>
        <v/>
      </c>
    </row>
    <row r="145" spans="1:24">
      <c r="A145" s="91"/>
      <c r="B145" s="92"/>
      <c r="C145" s="69"/>
      <c r="D145" s="69"/>
      <c r="E145" s="69"/>
      <c r="F145" s="69"/>
      <c r="G145" s="70"/>
      <c r="H145" s="71"/>
      <c r="I145" s="66"/>
      <c r="J145" s="67"/>
      <c r="K145" s="67"/>
      <c r="L145" s="67"/>
      <c r="M145" s="67"/>
      <c r="N145" s="67"/>
      <c r="O145" s="67"/>
      <c r="P145" s="145" t="str">
        <f t="shared" si="18"/>
        <v/>
      </c>
      <c r="Q145" s="65" t="str">
        <f t="shared" si="19"/>
        <v/>
      </c>
      <c r="R145" s="5" t="str">
        <f t="shared" si="20"/>
        <v/>
      </c>
      <c r="S145" s="5" t="str">
        <f t="shared" si="21"/>
        <v/>
      </c>
      <c r="T145" s="5" t="str">
        <f t="shared" si="22"/>
        <v/>
      </c>
      <c r="U145" s="5" t="str">
        <f t="shared" si="23"/>
        <v/>
      </c>
      <c r="V145" s="5" t="str">
        <f t="shared" si="24"/>
        <v/>
      </c>
      <c r="W145" s="5" t="str">
        <f t="shared" si="25"/>
        <v/>
      </c>
      <c r="X145" s="5" t="str">
        <f t="shared" si="26"/>
        <v/>
      </c>
    </row>
    <row r="146" spans="1:24">
      <c r="A146" s="91"/>
      <c r="B146" s="92"/>
      <c r="C146" s="69"/>
      <c r="D146" s="69"/>
      <c r="E146" s="69"/>
      <c r="F146" s="69"/>
      <c r="G146" s="70"/>
      <c r="H146" s="71"/>
      <c r="I146" s="66"/>
      <c r="J146" s="67"/>
      <c r="K146" s="67"/>
      <c r="L146" s="67"/>
      <c r="M146" s="67"/>
      <c r="N146" s="67"/>
      <c r="O146" s="67"/>
      <c r="P146" s="145" t="str">
        <f t="shared" si="18"/>
        <v/>
      </c>
      <c r="Q146" s="65" t="str">
        <f t="shared" si="19"/>
        <v/>
      </c>
      <c r="R146" s="5" t="str">
        <f t="shared" si="20"/>
        <v/>
      </c>
      <c r="S146" s="5" t="str">
        <f t="shared" si="21"/>
        <v/>
      </c>
      <c r="T146" s="5" t="str">
        <f t="shared" si="22"/>
        <v/>
      </c>
      <c r="U146" s="5" t="str">
        <f t="shared" si="23"/>
        <v/>
      </c>
      <c r="V146" s="5" t="str">
        <f t="shared" si="24"/>
        <v/>
      </c>
      <c r="W146" s="5" t="str">
        <f t="shared" si="25"/>
        <v/>
      </c>
      <c r="X146" s="5" t="str">
        <f t="shared" si="26"/>
        <v/>
      </c>
    </row>
    <row r="147" spans="1:24">
      <c r="A147" s="91"/>
      <c r="B147" s="92"/>
      <c r="C147" s="69"/>
      <c r="D147" s="69"/>
      <c r="E147" s="69"/>
      <c r="F147" s="69"/>
      <c r="G147" s="70"/>
      <c r="H147" s="71"/>
      <c r="I147" s="66"/>
      <c r="J147" s="67"/>
      <c r="K147" s="67"/>
      <c r="L147" s="67"/>
      <c r="M147" s="67"/>
      <c r="N147" s="67"/>
      <c r="O147" s="67"/>
      <c r="P147" s="145" t="str">
        <f t="shared" si="18"/>
        <v/>
      </c>
      <c r="Q147" s="65" t="str">
        <f t="shared" si="19"/>
        <v/>
      </c>
      <c r="R147" s="5" t="str">
        <f t="shared" si="20"/>
        <v/>
      </c>
      <c r="S147" s="5" t="str">
        <f t="shared" si="21"/>
        <v/>
      </c>
      <c r="T147" s="5" t="str">
        <f t="shared" si="22"/>
        <v/>
      </c>
      <c r="U147" s="5" t="str">
        <f t="shared" si="23"/>
        <v/>
      </c>
      <c r="V147" s="5" t="str">
        <f t="shared" si="24"/>
        <v/>
      </c>
      <c r="W147" s="5" t="str">
        <f t="shared" si="25"/>
        <v/>
      </c>
      <c r="X147" s="5" t="str">
        <f t="shared" si="26"/>
        <v/>
      </c>
    </row>
    <row r="148" spans="1:24">
      <c r="A148" s="91"/>
      <c r="B148" s="92"/>
      <c r="C148" s="69"/>
      <c r="D148" s="69"/>
      <c r="E148" s="69"/>
      <c r="F148" s="69"/>
      <c r="G148" s="70"/>
      <c r="H148" s="71"/>
      <c r="I148" s="66"/>
      <c r="J148" s="67"/>
      <c r="K148" s="67"/>
      <c r="L148" s="67"/>
      <c r="M148" s="67"/>
      <c r="N148" s="67"/>
      <c r="O148" s="67"/>
      <c r="P148" s="145" t="str">
        <f t="shared" si="18"/>
        <v/>
      </c>
      <c r="Q148" s="65" t="str">
        <f t="shared" si="19"/>
        <v/>
      </c>
      <c r="R148" s="5" t="str">
        <f t="shared" si="20"/>
        <v/>
      </c>
      <c r="S148" s="5" t="str">
        <f t="shared" si="21"/>
        <v/>
      </c>
      <c r="T148" s="5" t="str">
        <f t="shared" si="22"/>
        <v/>
      </c>
      <c r="U148" s="5" t="str">
        <f t="shared" si="23"/>
        <v/>
      </c>
      <c r="V148" s="5" t="str">
        <f t="shared" si="24"/>
        <v/>
      </c>
      <c r="W148" s="5" t="str">
        <f t="shared" si="25"/>
        <v/>
      </c>
      <c r="X148" s="5" t="str">
        <f t="shared" si="26"/>
        <v/>
      </c>
    </row>
    <row r="149" spans="1:24">
      <c r="A149" s="91"/>
      <c r="B149" s="92"/>
      <c r="C149" s="69"/>
      <c r="D149" s="69"/>
      <c r="E149" s="69"/>
      <c r="F149" s="69"/>
      <c r="G149" s="70"/>
      <c r="H149" s="71"/>
      <c r="I149" s="66"/>
      <c r="J149" s="67"/>
      <c r="K149" s="67"/>
      <c r="L149" s="67"/>
      <c r="M149" s="67"/>
      <c r="N149" s="67"/>
      <c r="O149" s="67"/>
      <c r="P149" s="145" t="str">
        <f t="shared" si="18"/>
        <v/>
      </c>
      <c r="Q149" s="65" t="str">
        <f t="shared" si="19"/>
        <v/>
      </c>
      <c r="R149" s="5" t="str">
        <f t="shared" si="20"/>
        <v/>
      </c>
      <c r="S149" s="5" t="str">
        <f t="shared" si="21"/>
        <v/>
      </c>
      <c r="T149" s="5" t="str">
        <f t="shared" si="22"/>
        <v/>
      </c>
      <c r="U149" s="5" t="str">
        <f t="shared" si="23"/>
        <v/>
      </c>
      <c r="V149" s="5" t="str">
        <f t="shared" si="24"/>
        <v/>
      </c>
      <c r="W149" s="5" t="str">
        <f t="shared" si="25"/>
        <v/>
      </c>
      <c r="X149" s="5" t="str">
        <f t="shared" si="26"/>
        <v/>
      </c>
    </row>
    <row r="150" spans="1:24">
      <c r="A150" s="91"/>
      <c r="B150" s="92"/>
      <c r="C150" s="69"/>
      <c r="D150" s="69"/>
      <c r="E150" s="69"/>
      <c r="F150" s="69"/>
      <c r="G150" s="70"/>
      <c r="H150" s="71"/>
      <c r="I150" s="66"/>
      <c r="J150" s="67"/>
      <c r="K150" s="67"/>
      <c r="L150" s="67"/>
      <c r="M150" s="67"/>
      <c r="N150" s="67"/>
      <c r="O150" s="67"/>
      <c r="P150" s="145" t="str">
        <f t="shared" si="18"/>
        <v/>
      </c>
      <c r="Q150" s="65" t="str">
        <f t="shared" si="19"/>
        <v/>
      </c>
      <c r="R150" s="5" t="str">
        <f t="shared" si="20"/>
        <v/>
      </c>
      <c r="S150" s="5" t="str">
        <f t="shared" si="21"/>
        <v/>
      </c>
      <c r="T150" s="5" t="str">
        <f t="shared" si="22"/>
        <v/>
      </c>
      <c r="U150" s="5" t="str">
        <f t="shared" si="23"/>
        <v/>
      </c>
      <c r="V150" s="5" t="str">
        <f t="shared" si="24"/>
        <v/>
      </c>
      <c r="W150" s="5" t="str">
        <f t="shared" si="25"/>
        <v/>
      </c>
      <c r="X150" s="5" t="str">
        <f t="shared" si="26"/>
        <v/>
      </c>
    </row>
    <row r="151" spans="1:24">
      <c r="A151" s="91"/>
      <c r="B151" s="92"/>
      <c r="C151" s="69"/>
      <c r="D151" s="69"/>
      <c r="E151" s="69"/>
      <c r="F151" s="69"/>
      <c r="G151" s="70"/>
      <c r="H151" s="71"/>
      <c r="I151" s="66"/>
      <c r="J151" s="67"/>
      <c r="K151" s="67"/>
      <c r="L151" s="67"/>
      <c r="M151" s="67"/>
      <c r="N151" s="67"/>
      <c r="O151" s="67"/>
      <c r="P151" s="145" t="str">
        <f t="shared" si="18"/>
        <v/>
      </c>
      <c r="Q151" s="65" t="str">
        <f t="shared" si="19"/>
        <v/>
      </c>
      <c r="R151" s="5" t="str">
        <f t="shared" si="20"/>
        <v/>
      </c>
      <c r="S151" s="5" t="str">
        <f t="shared" si="21"/>
        <v/>
      </c>
      <c r="T151" s="5" t="str">
        <f t="shared" si="22"/>
        <v/>
      </c>
      <c r="U151" s="5" t="str">
        <f t="shared" si="23"/>
        <v/>
      </c>
      <c r="V151" s="5" t="str">
        <f t="shared" si="24"/>
        <v/>
      </c>
      <c r="W151" s="5" t="str">
        <f t="shared" si="25"/>
        <v/>
      </c>
      <c r="X151" s="5" t="str">
        <f t="shared" si="26"/>
        <v/>
      </c>
    </row>
    <row r="152" spans="1:24">
      <c r="A152" s="91"/>
      <c r="B152" s="92"/>
      <c r="C152" s="69"/>
      <c r="D152" s="69"/>
      <c r="E152" s="69"/>
      <c r="F152" s="69"/>
      <c r="G152" s="70"/>
      <c r="H152" s="71"/>
      <c r="I152" s="66"/>
      <c r="J152" s="67"/>
      <c r="K152" s="67"/>
      <c r="L152" s="67"/>
      <c r="M152" s="67"/>
      <c r="N152" s="67"/>
      <c r="O152" s="67"/>
      <c r="P152" s="145" t="str">
        <f t="shared" si="18"/>
        <v/>
      </c>
      <c r="Q152" s="65" t="str">
        <f t="shared" si="19"/>
        <v/>
      </c>
      <c r="R152" s="5" t="str">
        <f t="shared" si="20"/>
        <v/>
      </c>
      <c r="S152" s="5" t="str">
        <f t="shared" si="21"/>
        <v/>
      </c>
      <c r="T152" s="5" t="str">
        <f t="shared" si="22"/>
        <v/>
      </c>
      <c r="U152" s="5" t="str">
        <f t="shared" si="23"/>
        <v/>
      </c>
      <c r="V152" s="5" t="str">
        <f t="shared" si="24"/>
        <v/>
      </c>
      <c r="W152" s="5" t="str">
        <f t="shared" si="25"/>
        <v/>
      </c>
      <c r="X152" s="5" t="str">
        <f t="shared" si="26"/>
        <v/>
      </c>
    </row>
    <row r="153" spans="1:24">
      <c r="A153" s="91"/>
      <c r="B153" s="92"/>
      <c r="C153" s="69"/>
      <c r="D153" s="69"/>
      <c r="E153" s="69"/>
      <c r="F153" s="69"/>
      <c r="G153" s="70"/>
      <c r="H153" s="71"/>
      <c r="I153" s="66"/>
      <c r="J153" s="67"/>
      <c r="K153" s="67"/>
      <c r="L153" s="67"/>
      <c r="M153" s="67"/>
      <c r="N153" s="67"/>
      <c r="O153" s="67"/>
      <c r="P153" s="145" t="str">
        <f t="shared" si="18"/>
        <v/>
      </c>
      <c r="Q153" s="65" t="str">
        <f t="shared" si="19"/>
        <v/>
      </c>
      <c r="R153" s="5" t="str">
        <f t="shared" si="20"/>
        <v/>
      </c>
      <c r="S153" s="5" t="str">
        <f t="shared" si="21"/>
        <v/>
      </c>
      <c r="T153" s="5" t="str">
        <f t="shared" si="22"/>
        <v/>
      </c>
      <c r="U153" s="5" t="str">
        <f t="shared" si="23"/>
        <v/>
      </c>
      <c r="V153" s="5" t="str">
        <f t="shared" si="24"/>
        <v/>
      </c>
      <c r="W153" s="5" t="str">
        <f t="shared" si="25"/>
        <v/>
      </c>
      <c r="X153" s="5" t="str">
        <f t="shared" si="26"/>
        <v/>
      </c>
    </row>
    <row r="154" spans="1:24">
      <c r="A154" s="91"/>
      <c r="B154" s="92"/>
      <c r="C154" s="69"/>
      <c r="D154" s="69"/>
      <c r="E154" s="69"/>
      <c r="F154" s="69"/>
      <c r="G154" s="70"/>
      <c r="H154" s="71"/>
      <c r="I154" s="66"/>
      <c r="J154" s="67"/>
      <c r="K154" s="67"/>
      <c r="L154" s="67"/>
      <c r="M154" s="67"/>
      <c r="N154" s="67"/>
      <c r="O154" s="67"/>
      <c r="P154" s="145" t="str">
        <f t="shared" si="18"/>
        <v/>
      </c>
      <c r="Q154" s="65" t="str">
        <f t="shared" si="19"/>
        <v/>
      </c>
      <c r="R154" s="5" t="str">
        <f t="shared" si="20"/>
        <v/>
      </c>
      <c r="S154" s="5" t="str">
        <f t="shared" si="21"/>
        <v/>
      </c>
      <c r="T154" s="5" t="str">
        <f t="shared" si="22"/>
        <v/>
      </c>
      <c r="U154" s="5" t="str">
        <f t="shared" si="23"/>
        <v/>
      </c>
      <c r="V154" s="5" t="str">
        <f t="shared" si="24"/>
        <v/>
      </c>
      <c r="W154" s="5" t="str">
        <f t="shared" si="25"/>
        <v/>
      </c>
      <c r="X154" s="5" t="str">
        <f t="shared" si="26"/>
        <v/>
      </c>
    </row>
    <row r="155" spans="1:24">
      <c r="A155" s="91"/>
      <c r="B155" s="92"/>
      <c r="C155" s="69"/>
      <c r="D155" s="69"/>
      <c r="E155" s="69"/>
      <c r="F155" s="69"/>
      <c r="G155" s="70"/>
      <c r="H155" s="71"/>
      <c r="I155" s="66"/>
      <c r="J155" s="67"/>
      <c r="K155" s="67"/>
      <c r="L155" s="67"/>
      <c r="M155" s="67"/>
      <c r="N155" s="67"/>
      <c r="O155" s="67"/>
      <c r="P155" s="145" t="str">
        <f t="shared" si="18"/>
        <v/>
      </c>
      <c r="Q155" s="65" t="str">
        <f t="shared" si="19"/>
        <v/>
      </c>
      <c r="R155" s="5" t="str">
        <f t="shared" si="20"/>
        <v/>
      </c>
      <c r="S155" s="5" t="str">
        <f t="shared" si="21"/>
        <v/>
      </c>
      <c r="T155" s="5" t="str">
        <f t="shared" si="22"/>
        <v/>
      </c>
      <c r="U155" s="5" t="str">
        <f t="shared" si="23"/>
        <v/>
      </c>
      <c r="V155" s="5" t="str">
        <f t="shared" si="24"/>
        <v/>
      </c>
      <c r="W155" s="5" t="str">
        <f t="shared" si="25"/>
        <v/>
      </c>
      <c r="X155" s="5" t="str">
        <f t="shared" si="26"/>
        <v/>
      </c>
    </row>
    <row r="156" spans="1:24">
      <c r="A156" s="91"/>
      <c r="B156" s="92"/>
      <c r="C156" s="69"/>
      <c r="D156" s="69"/>
      <c r="E156" s="69"/>
      <c r="F156" s="69"/>
      <c r="G156" s="70"/>
      <c r="H156" s="71"/>
      <c r="I156" s="66"/>
      <c r="J156" s="67"/>
      <c r="K156" s="67"/>
      <c r="L156" s="67"/>
      <c r="M156" s="67"/>
      <c r="N156" s="67"/>
      <c r="O156" s="67"/>
      <c r="P156" s="145" t="str">
        <f t="shared" si="18"/>
        <v/>
      </c>
      <c r="Q156" s="65" t="str">
        <f t="shared" si="19"/>
        <v/>
      </c>
      <c r="R156" s="5" t="str">
        <f t="shared" si="20"/>
        <v/>
      </c>
      <c r="S156" s="5" t="str">
        <f t="shared" si="21"/>
        <v/>
      </c>
      <c r="T156" s="5" t="str">
        <f t="shared" si="22"/>
        <v/>
      </c>
      <c r="U156" s="5" t="str">
        <f t="shared" si="23"/>
        <v/>
      </c>
      <c r="V156" s="5" t="str">
        <f t="shared" si="24"/>
        <v/>
      </c>
      <c r="W156" s="5" t="str">
        <f t="shared" si="25"/>
        <v/>
      </c>
      <c r="X156" s="5" t="str">
        <f t="shared" si="26"/>
        <v/>
      </c>
    </row>
    <row r="157" spans="1:24">
      <c r="A157" s="91"/>
      <c r="B157" s="92"/>
      <c r="C157" s="69"/>
      <c r="D157" s="69"/>
      <c r="E157" s="69"/>
      <c r="F157" s="69"/>
      <c r="G157" s="70"/>
      <c r="H157" s="71"/>
      <c r="I157" s="66"/>
      <c r="J157" s="67"/>
      <c r="K157" s="67"/>
      <c r="L157" s="67"/>
      <c r="M157" s="67"/>
      <c r="N157" s="67"/>
      <c r="O157" s="67"/>
      <c r="P157" s="145" t="str">
        <f t="shared" si="18"/>
        <v/>
      </c>
      <c r="Q157" s="65" t="str">
        <f t="shared" si="19"/>
        <v/>
      </c>
      <c r="R157" s="5" t="str">
        <f t="shared" si="20"/>
        <v/>
      </c>
      <c r="S157" s="5" t="str">
        <f t="shared" si="21"/>
        <v/>
      </c>
      <c r="T157" s="5" t="str">
        <f t="shared" si="22"/>
        <v/>
      </c>
      <c r="U157" s="5" t="str">
        <f t="shared" si="23"/>
        <v/>
      </c>
      <c r="V157" s="5" t="str">
        <f t="shared" si="24"/>
        <v/>
      </c>
      <c r="W157" s="5" t="str">
        <f t="shared" si="25"/>
        <v/>
      </c>
      <c r="X157" s="5" t="str">
        <f t="shared" si="26"/>
        <v/>
      </c>
    </row>
    <row r="158" spans="1:24">
      <c r="A158" s="91"/>
      <c r="B158" s="92"/>
      <c r="C158" s="69"/>
      <c r="D158" s="69"/>
      <c r="E158" s="69"/>
      <c r="F158" s="69"/>
      <c r="G158" s="70"/>
      <c r="H158" s="71"/>
      <c r="I158" s="66"/>
      <c r="J158" s="67"/>
      <c r="K158" s="67"/>
      <c r="L158" s="67"/>
      <c r="M158" s="67"/>
      <c r="N158" s="67"/>
      <c r="O158" s="67"/>
      <c r="P158" s="145" t="str">
        <f t="shared" si="18"/>
        <v/>
      </c>
      <c r="Q158" s="65" t="str">
        <f t="shared" si="19"/>
        <v/>
      </c>
      <c r="R158" s="5" t="str">
        <f t="shared" si="20"/>
        <v/>
      </c>
      <c r="S158" s="5" t="str">
        <f t="shared" si="21"/>
        <v/>
      </c>
      <c r="T158" s="5" t="str">
        <f t="shared" si="22"/>
        <v/>
      </c>
      <c r="U158" s="5" t="str">
        <f t="shared" si="23"/>
        <v/>
      </c>
      <c r="V158" s="5" t="str">
        <f t="shared" si="24"/>
        <v/>
      </c>
      <c r="W158" s="5" t="str">
        <f t="shared" si="25"/>
        <v/>
      </c>
      <c r="X158" s="5" t="str">
        <f t="shared" si="26"/>
        <v/>
      </c>
    </row>
    <row r="159" spans="1:24">
      <c r="A159" s="91"/>
      <c r="B159" s="92"/>
      <c r="C159" s="69"/>
      <c r="D159" s="69"/>
      <c r="E159" s="69"/>
      <c r="F159" s="69"/>
      <c r="G159" s="70"/>
      <c r="H159" s="71"/>
      <c r="I159" s="66"/>
      <c r="J159" s="67"/>
      <c r="K159" s="67"/>
      <c r="L159" s="67"/>
      <c r="M159" s="67"/>
      <c r="N159" s="67"/>
      <c r="O159" s="67"/>
      <c r="P159" s="145" t="str">
        <f t="shared" si="18"/>
        <v/>
      </c>
      <c r="Q159" s="65" t="str">
        <f t="shared" si="19"/>
        <v/>
      </c>
      <c r="R159" s="5" t="str">
        <f t="shared" si="20"/>
        <v/>
      </c>
      <c r="S159" s="5" t="str">
        <f t="shared" si="21"/>
        <v/>
      </c>
      <c r="T159" s="5" t="str">
        <f t="shared" si="22"/>
        <v/>
      </c>
      <c r="U159" s="5" t="str">
        <f t="shared" si="23"/>
        <v/>
      </c>
      <c r="V159" s="5" t="str">
        <f t="shared" si="24"/>
        <v/>
      </c>
      <c r="W159" s="5" t="str">
        <f t="shared" si="25"/>
        <v/>
      </c>
      <c r="X159" s="5" t="str">
        <f t="shared" si="26"/>
        <v/>
      </c>
    </row>
    <row r="160" spans="1:24">
      <c r="A160" s="91"/>
      <c r="B160" s="92"/>
      <c r="C160" s="69"/>
      <c r="D160" s="69"/>
      <c r="E160" s="69"/>
      <c r="F160" s="69"/>
      <c r="G160" s="70"/>
      <c r="H160" s="71"/>
      <c r="I160" s="66"/>
      <c r="J160" s="67"/>
      <c r="K160" s="67"/>
      <c r="L160" s="67"/>
      <c r="M160" s="67"/>
      <c r="N160" s="67"/>
      <c r="O160" s="67"/>
      <c r="P160" s="145" t="str">
        <f t="shared" si="18"/>
        <v/>
      </c>
      <c r="Q160" s="65" t="str">
        <f t="shared" si="19"/>
        <v/>
      </c>
      <c r="R160" s="5" t="str">
        <f t="shared" si="20"/>
        <v/>
      </c>
      <c r="S160" s="5" t="str">
        <f t="shared" si="21"/>
        <v/>
      </c>
      <c r="T160" s="5" t="str">
        <f t="shared" si="22"/>
        <v/>
      </c>
      <c r="U160" s="5" t="str">
        <f t="shared" si="23"/>
        <v/>
      </c>
      <c r="V160" s="5" t="str">
        <f t="shared" si="24"/>
        <v/>
      </c>
      <c r="W160" s="5" t="str">
        <f t="shared" si="25"/>
        <v/>
      </c>
      <c r="X160" s="5" t="str">
        <f t="shared" si="26"/>
        <v/>
      </c>
    </row>
    <row r="161" spans="1:24">
      <c r="A161" s="91"/>
      <c r="B161" s="92"/>
      <c r="C161" s="69"/>
      <c r="D161" s="69"/>
      <c r="E161" s="69"/>
      <c r="F161" s="69"/>
      <c r="G161" s="70"/>
      <c r="H161" s="71"/>
      <c r="I161" s="66"/>
      <c r="J161" s="67"/>
      <c r="K161" s="67"/>
      <c r="L161" s="67"/>
      <c r="M161" s="67"/>
      <c r="N161" s="67"/>
      <c r="O161" s="67"/>
      <c r="P161" s="145" t="str">
        <f t="shared" si="18"/>
        <v/>
      </c>
      <c r="Q161" s="65" t="str">
        <f t="shared" si="19"/>
        <v/>
      </c>
      <c r="R161" s="5" t="str">
        <f t="shared" si="20"/>
        <v/>
      </c>
      <c r="S161" s="5" t="str">
        <f t="shared" si="21"/>
        <v/>
      </c>
      <c r="T161" s="5" t="str">
        <f t="shared" si="22"/>
        <v/>
      </c>
      <c r="U161" s="5" t="str">
        <f t="shared" si="23"/>
        <v/>
      </c>
      <c r="V161" s="5" t="str">
        <f t="shared" si="24"/>
        <v/>
      </c>
      <c r="W161" s="5" t="str">
        <f t="shared" si="25"/>
        <v/>
      </c>
      <c r="X161" s="5" t="str">
        <f t="shared" si="26"/>
        <v/>
      </c>
    </row>
    <row r="162" spans="1:24">
      <c r="A162" s="91"/>
      <c r="B162" s="92"/>
      <c r="C162" s="69"/>
      <c r="D162" s="69"/>
      <c r="E162" s="69"/>
      <c r="F162" s="69"/>
      <c r="G162" s="70"/>
      <c r="H162" s="71"/>
      <c r="I162" s="66"/>
      <c r="J162" s="67"/>
      <c r="K162" s="67"/>
      <c r="L162" s="67"/>
      <c r="M162" s="67"/>
      <c r="N162" s="67"/>
      <c r="O162" s="67"/>
      <c r="P162" s="145" t="str">
        <f t="shared" si="18"/>
        <v/>
      </c>
      <c r="Q162" s="65" t="str">
        <f t="shared" si="19"/>
        <v/>
      </c>
      <c r="R162" s="5" t="str">
        <f t="shared" si="20"/>
        <v/>
      </c>
      <c r="S162" s="5" t="str">
        <f t="shared" si="21"/>
        <v/>
      </c>
      <c r="T162" s="5" t="str">
        <f t="shared" si="22"/>
        <v/>
      </c>
      <c r="U162" s="5" t="str">
        <f t="shared" si="23"/>
        <v/>
      </c>
      <c r="V162" s="5" t="str">
        <f t="shared" si="24"/>
        <v/>
      </c>
      <c r="W162" s="5" t="str">
        <f t="shared" si="25"/>
        <v/>
      </c>
      <c r="X162" s="5" t="str">
        <f t="shared" si="26"/>
        <v/>
      </c>
    </row>
    <row r="163" spans="1:24">
      <c r="A163" s="91"/>
      <c r="B163" s="92"/>
      <c r="C163" s="69"/>
      <c r="D163" s="69"/>
      <c r="E163" s="69"/>
      <c r="F163" s="69"/>
      <c r="G163" s="70"/>
      <c r="H163" s="71"/>
      <c r="I163" s="66"/>
      <c r="J163" s="67"/>
      <c r="K163" s="67"/>
      <c r="L163" s="67"/>
      <c r="M163" s="67"/>
      <c r="N163" s="67"/>
      <c r="O163" s="67"/>
      <c r="P163" s="145" t="str">
        <f t="shared" si="18"/>
        <v/>
      </c>
      <c r="Q163" s="65" t="str">
        <f t="shared" si="19"/>
        <v/>
      </c>
      <c r="R163" s="5" t="str">
        <f t="shared" si="20"/>
        <v/>
      </c>
      <c r="S163" s="5" t="str">
        <f t="shared" si="21"/>
        <v/>
      </c>
      <c r="T163" s="5" t="str">
        <f t="shared" si="22"/>
        <v/>
      </c>
      <c r="U163" s="5" t="str">
        <f t="shared" si="23"/>
        <v/>
      </c>
      <c r="V163" s="5" t="str">
        <f t="shared" si="24"/>
        <v/>
      </c>
      <c r="W163" s="5" t="str">
        <f t="shared" si="25"/>
        <v/>
      </c>
      <c r="X163" s="5" t="str">
        <f t="shared" si="26"/>
        <v/>
      </c>
    </row>
    <row r="164" spans="1:24">
      <c r="A164" s="91"/>
      <c r="B164" s="92"/>
      <c r="C164" s="69"/>
      <c r="D164" s="69"/>
      <c r="E164" s="69"/>
      <c r="F164" s="69"/>
      <c r="G164" s="70"/>
      <c r="H164" s="71"/>
      <c r="I164" s="66"/>
      <c r="J164" s="67"/>
      <c r="K164" s="67"/>
      <c r="L164" s="67"/>
      <c r="M164" s="67"/>
      <c r="N164" s="67"/>
      <c r="O164" s="67"/>
      <c r="P164" s="145" t="str">
        <f t="shared" si="18"/>
        <v/>
      </c>
      <c r="Q164" s="65" t="str">
        <f t="shared" si="19"/>
        <v/>
      </c>
      <c r="R164" s="5" t="str">
        <f t="shared" si="20"/>
        <v/>
      </c>
      <c r="S164" s="5" t="str">
        <f t="shared" si="21"/>
        <v/>
      </c>
      <c r="T164" s="5" t="str">
        <f t="shared" si="22"/>
        <v/>
      </c>
      <c r="U164" s="5" t="str">
        <f t="shared" si="23"/>
        <v/>
      </c>
      <c r="V164" s="5" t="str">
        <f t="shared" si="24"/>
        <v/>
      </c>
      <c r="W164" s="5" t="str">
        <f t="shared" si="25"/>
        <v/>
      </c>
      <c r="X164" s="5" t="str">
        <f t="shared" si="26"/>
        <v/>
      </c>
    </row>
    <row r="165" spans="1:24">
      <c r="A165" s="91"/>
      <c r="B165" s="92"/>
      <c r="C165" s="69"/>
      <c r="D165" s="69"/>
      <c r="E165" s="69"/>
      <c r="F165" s="69"/>
      <c r="G165" s="70"/>
      <c r="H165" s="71"/>
      <c r="I165" s="66"/>
      <c r="J165" s="67"/>
      <c r="K165" s="67"/>
      <c r="L165" s="67"/>
      <c r="M165" s="67"/>
      <c r="N165" s="67"/>
      <c r="O165" s="67"/>
      <c r="P165" s="145" t="str">
        <f t="shared" si="18"/>
        <v/>
      </c>
      <c r="Q165" s="65" t="str">
        <f t="shared" si="19"/>
        <v/>
      </c>
      <c r="R165" s="5" t="str">
        <f t="shared" si="20"/>
        <v/>
      </c>
      <c r="S165" s="5" t="str">
        <f t="shared" si="21"/>
        <v/>
      </c>
      <c r="T165" s="5" t="str">
        <f t="shared" si="22"/>
        <v/>
      </c>
      <c r="U165" s="5" t="str">
        <f t="shared" si="23"/>
        <v/>
      </c>
      <c r="V165" s="5" t="str">
        <f t="shared" si="24"/>
        <v/>
      </c>
      <c r="W165" s="5" t="str">
        <f t="shared" si="25"/>
        <v/>
      </c>
      <c r="X165" s="5" t="str">
        <f t="shared" si="26"/>
        <v/>
      </c>
    </row>
    <row r="166" spans="1:24">
      <c r="A166" s="91"/>
      <c r="B166" s="92"/>
      <c r="C166" s="69"/>
      <c r="D166" s="69"/>
      <c r="E166" s="69"/>
      <c r="F166" s="69"/>
      <c r="G166" s="70"/>
      <c r="H166" s="71"/>
      <c r="I166" s="66"/>
      <c r="J166" s="67"/>
      <c r="K166" s="67"/>
      <c r="L166" s="67"/>
      <c r="M166" s="67"/>
      <c r="N166" s="67"/>
      <c r="O166" s="67"/>
      <c r="P166" s="145" t="str">
        <f t="shared" si="18"/>
        <v/>
      </c>
      <c r="Q166" s="65" t="str">
        <f t="shared" si="19"/>
        <v/>
      </c>
      <c r="R166" s="5" t="str">
        <f t="shared" si="20"/>
        <v/>
      </c>
      <c r="S166" s="5" t="str">
        <f t="shared" si="21"/>
        <v/>
      </c>
      <c r="T166" s="5" t="str">
        <f t="shared" si="22"/>
        <v/>
      </c>
      <c r="U166" s="5" t="str">
        <f t="shared" si="23"/>
        <v/>
      </c>
      <c r="V166" s="5" t="str">
        <f t="shared" si="24"/>
        <v/>
      </c>
      <c r="W166" s="5" t="str">
        <f t="shared" si="25"/>
        <v/>
      </c>
      <c r="X166" s="5" t="str">
        <f t="shared" si="26"/>
        <v/>
      </c>
    </row>
    <row r="167" spans="1:24">
      <c r="A167" s="91"/>
      <c r="B167" s="92"/>
      <c r="C167" s="69"/>
      <c r="D167" s="69"/>
      <c r="E167" s="69"/>
      <c r="F167" s="69"/>
      <c r="G167" s="70"/>
      <c r="H167" s="71"/>
      <c r="I167" s="66"/>
      <c r="J167" s="67"/>
      <c r="K167" s="67"/>
      <c r="L167" s="67"/>
      <c r="M167" s="67"/>
      <c r="N167" s="67"/>
      <c r="O167" s="67"/>
      <c r="P167" s="145" t="str">
        <f t="shared" si="18"/>
        <v/>
      </c>
      <c r="Q167" s="65" t="str">
        <f t="shared" si="19"/>
        <v/>
      </c>
      <c r="R167" s="5" t="str">
        <f t="shared" si="20"/>
        <v/>
      </c>
      <c r="S167" s="5" t="str">
        <f t="shared" si="21"/>
        <v/>
      </c>
      <c r="T167" s="5" t="str">
        <f t="shared" si="22"/>
        <v/>
      </c>
      <c r="U167" s="5" t="str">
        <f t="shared" si="23"/>
        <v/>
      </c>
      <c r="V167" s="5" t="str">
        <f t="shared" si="24"/>
        <v/>
      </c>
      <c r="W167" s="5" t="str">
        <f t="shared" si="25"/>
        <v/>
      </c>
      <c r="X167" s="5" t="str">
        <f t="shared" si="26"/>
        <v/>
      </c>
    </row>
    <row r="168" spans="1:24">
      <c r="A168" s="91"/>
      <c r="B168" s="92"/>
      <c r="C168" s="69"/>
      <c r="D168" s="69"/>
      <c r="E168" s="69"/>
      <c r="F168" s="69"/>
      <c r="G168" s="70"/>
      <c r="H168" s="71"/>
      <c r="I168" s="66"/>
      <c r="J168" s="67"/>
      <c r="K168" s="67"/>
      <c r="L168" s="67"/>
      <c r="M168" s="67"/>
      <c r="N168" s="67"/>
      <c r="O168" s="67"/>
      <c r="P168" s="145" t="str">
        <f t="shared" si="18"/>
        <v/>
      </c>
      <c r="Q168" s="65" t="str">
        <f t="shared" si="19"/>
        <v/>
      </c>
      <c r="R168" s="5" t="str">
        <f t="shared" si="20"/>
        <v/>
      </c>
      <c r="S168" s="5" t="str">
        <f t="shared" si="21"/>
        <v/>
      </c>
      <c r="T168" s="5" t="str">
        <f t="shared" si="22"/>
        <v/>
      </c>
      <c r="U168" s="5" t="str">
        <f t="shared" si="23"/>
        <v/>
      </c>
      <c r="V168" s="5" t="str">
        <f t="shared" si="24"/>
        <v/>
      </c>
      <c r="W168" s="5" t="str">
        <f t="shared" si="25"/>
        <v/>
      </c>
      <c r="X168" s="5" t="str">
        <f t="shared" si="26"/>
        <v/>
      </c>
    </row>
    <row r="169" spans="1:24">
      <c r="A169" s="91"/>
      <c r="B169" s="92"/>
      <c r="C169" s="69"/>
      <c r="D169" s="69"/>
      <c r="E169" s="69"/>
      <c r="F169" s="69"/>
      <c r="G169" s="70"/>
      <c r="H169" s="71"/>
      <c r="I169" s="66"/>
      <c r="J169" s="67"/>
      <c r="K169" s="67"/>
      <c r="L169" s="67"/>
      <c r="M169" s="67"/>
      <c r="N169" s="67"/>
      <c r="O169" s="67"/>
      <c r="P169" s="145" t="str">
        <f t="shared" si="18"/>
        <v/>
      </c>
      <c r="Q169" s="65" t="str">
        <f t="shared" si="19"/>
        <v/>
      </c>
      <c r="R169" s="5" t="str">
        <f t="shared" si="20"/>
        <v/>
      </c>
      <c r="S169" s="5" t="str">
        <f t="shared" si="21"/>
        <v/>
      </c>
      <c r="T169" s="5" t="str">
        <f t="shared" si="22"/>
        <v/>
      </c>
      <c r="U169" s="5" t="str">
        <f t="shared" si="23"/>
        <v/>
      </c>
      <c r="V169" s="5" t="str">
        <f t="shared" si="24"/>
        <v/>
      </c>
      <c r="W169" s="5" t="str">
        <f t="shared" si="25"/>
        <v/>
      </c>
      <c r="X169" s="5" t="str">
        <f t="shared" si="26"/>
        <v/>
      </c>
    </row>
    <row r="170" spans="1:24">
      <c r="A170" s="91"/>
      <c r="B170" s="92"/>
      <c r="C170" s="69"/>
      <c r="D170" s="69"/>
      <c r="E170" s="69"/>
      <c r="F170" s="69"/>
      <c r="G170" s="70"/>
      <c r="H170" s="71"/>
      <c r="I170" s="66"/>
      <c r="J170" s="67"/>
      <c r="K170" s="67"/>
      <c r="L170" s="67"/>
      <c r="M170" s="67"/>
      <c r="N170" s="67"/>
      <c r="O170" s="67"/>
      <c r="P170" s="145" t="str">
        <f t="shared" si="18"/>
        <v/>
      </c>
      <c r="Q170" s="65" t="str">
        <f t="shared" si="19"/>
        <v/>
      </c>
      <c r="R170" s="5" t="str">
        <f t="shared" si="20"/>
        <v/>
      </c>
      <c r="S170" s="5" t="str">
        <f t="shared" si="21"/>
        <v/>
      </c>
      <c r="T170" s="5" t="str">
        <f t="shared" si="22"/>
        <v/>
      </c>
      <c r="U170" s="5" t="str">
        <f t="shared" si="23"/>
        <v/>
      </c>
      <c r="V170" s="5" t="str">
        <f t="shared" si="24"/>
        <v/>
      </c>
      <c r="W170" s="5" t="str">
        <f t="shared" si="25"/>
        <v/>
      </c>
      <c r="X170" s="5" t="str">
        <f t="shared" si="26"/>
        <v/>
      </c>
    </row>
    <row r="171" spans="1:24">
      <c r="A171" s="91"/>
      <c r="B171" s="92"/>
      <c r="C171" s="69"/>
      <c r="D171" s="69"/>
      <c r="E171" s="69"/>
      <c r="F171" s="69"/>
      <c r="G171" s="70"/>
      <c r="H171" s="71"/>
      <c r="I171" s="66"/>
      <c r="J171" s="67"/>
      <c r="K171" s="67"/>
      <c r="L171" s="67"/>
      <c r="M171" s="67"/>
      <c r="N171" s="67"/>
      <c r="O171" s="67"/>
      <c r="P171" s="145" t="str">
        <f t="shared" si="18"/>
        <v/>
      </c>
      <c r="Q171" s="65" t="str">
        <f t="shared" si="19"/>
        <v/>
      </c>
      <c r="R171" s="5" t="str">
        <f t="shared" si="20"/>
        <v/>
      </c>
      <c r="S171" s="5" t="str">
        <f t="shared" si="21"/>
        <v/>
      </c>
      <c r="T171" s="5" t="str">
        <f t="shared" si="22"/>
        <v/>
      </c>
      <c r="U171" s="5" t="str">
        <f t="shared" si="23"/>
        <v/>
      </c>
      <c r="V171" s="5" t="str">
        <f t="shared" si="24"/>
        <v/>
      </c>
      <c r="W171" s="5" t="str">
        <f t="shared" si="25"/>
        <v/>
      </c>
      <c r="X171" s="5" t="str">
        <f t="shared" si="26"/>
        <v/>
      </c>
    </row>
    <row r="172" spans="1:24">
      <c r="A172" s="91"/>
      <c r="B172" s="92"/>
      <c r="C172" s="69"/>
      <c r="D172" s="69"/>
      <c r="E172" s="69"/>
      <c r="F172" s="69"/>
      <c r="G172" s="70"/>
      <c r="H172" s="71"/>
      <c r="I172" s="66"/>
      <c r="J172" s="67"/>
      <c r="K172" s="67"/>
      <c r="L172" s="67"/>
      <c r="M172" s="67"/>
      <c r="N172" s="67"/>
      <c r="O172" s="67"/>
      <c r="P172" s="145" t="str">
        <f t="shared" si="18"/>
        <v/>
      </c>
      <c r="Q172" s="65" t="str">
        <f t="shared" si="19"/>
        <v/>
      </c>
      <c r="R172" s="5" t="str">
        <f t="shared" si="20"/>
        <v/>
      </c>
      <c r="S172" s="5" t="str">
        <f t="shared" si="21"/>
        <v/>
      </c>
      <c r="T172" s="5" t="str">
        <f t="shared" si="22"/>
        <v/>
      </c>
      <c r="U172" s="5" t="str">
        <f t="shared" si="23"/>
        <v/>
      </c>
      <c r="V172" s="5" t="str">
        <f t="shared" si="24"/>
        <v/>
      </c>
      <c r="W172" s="5" t="str">
        <f t="shared" si="25"/>
        <v/>
      </c>
      <c r="X172" s="5" t="str">
        <f t="shared" si="26"/>
        <v/>
      </c>
    </row>
    <row r="173" spans="1:24">
      <c r="A173" s="91"/>
      <c r="B173" s="92"/>
      <c r="C173" s="69"/>
      <c r="D173" s="69"/>
      <c r="E173" s="69"/>
      <c r="F173" s="69"/>
      <c r="G173" s="70"/>
      <c r="H173" s="71"/>
      <c r="I173" s="66"/>
      <c r="J173" s="67"/>
      <c r="K173" s="67"/>
      <c r="L173" s="67"/>
      <c r="M173" s="67"/>
      <c r="N173" s="67"/>
      <c r="O173" s="67"/>
      <c r="P173" s="145" t="str">
        <f t="shared" si="18"/>
        <v/>
      </c>
      <c r="Q173" s="65" t="str">
        <f t="shared" si="19"/>
        <v/>
      </c>
      <c r="R173" s="5" t="str">
        <f t="shared" si="20"/>
        <v/>
      </c>
      <c r="S173" s="5" t="str">
        <f t="shared" si="21"/>
        <v/>
      </c>
      <c r="T173" s="5" t="str">
        <f t="shared" si="22"/>
        <v/>
      </c>
      <c r="U173" s="5" t="str">
        <f t="shared" si="23"/>
        <v/>
      </c>
      <c r="V173" s="5" t="str">
        <f t="shared" si="24"/>
        <v/>
      </c>
      <c r="W173" s="5" t="str">
        <f t="shared" si="25"/>
        <v/>
      </c>
      <c r="X173" s="5" t="str">
        <f t="shared" si="26"/>
        <v/>
      </c>
    </row>
    <row r="174" spans="1:24">
      <c r="A174" s="91"/>
      <c r="B174" s="92"/>
      <c r="C174" s="69"/>
      <c r="D174" s="69"/>
      <c r="E174" s="69"/>
      <c r="F174" s="69"/>
      <c r="G174" s="70"/>
      <c r="H174" s="71"/>
      <c r="I174" s="66"/>
      <c r="J174" s="67"/>
      <c r="K174" s="67"/>
      <c r="L174" s="67"/>
      <c r="M174" s="67"/>
      <c r="N174" s="67"/>
      <c r="O174" s="67"/>
      <c r="P174" s="145" t="str">
        <f t="shared" si="18"/>
        <v/>
      </c>
      <c r="Q174" s="65" t="str">
        <f t="shared" si="19"/>
        <v/>
      </c>
      <c r="R174" s="5" t="str">
        <f t="shared" si="20"/>
        <v/>
      </c>
      <c r="S174" s="5" t="str">
        <f t="shared" si="21"/>
        <v/>
      </c>
      <c r="T174" s="5" t="str">
        <f t="shared" si="22"/>
        <v/>
      </c>
      <c r="U174" s="5" t="str">
        <f t="shared" si="23"/>
        <v/>
      </c>
      <c r="V174" s="5" t="str">
        <f t="shared" si="24"/>
        <v/>
      </c>
      <c r="W174" s="5" t="str">
        <f t="shared" si="25"/>
        <v/>
      </c>
      <c r="X174" s="5" t="str">
        <f t="shared" si="26"/>
        <v/>
      </c>
    </row>
    <row r="175" spans="1:24">
      <c r="A175" s="91"/>
      <c r="B175" s="92"/>
      <c r="C175" s="69"/>
      <c r="D175" s="69"/>
      <c r="E175" s="69"/>
      <c r="F175" s="69"/>
      <c r="G175" s="70"/>
      <c r="H175" s="71"/>
      <c r="I175" s="66"/>
      <c r="J175" s="67"/>
      <c r="K175" s="67"/>
      <c r="L175" s="67"/>
      <c r="M175" s="67"/>
      <c r="N175" s="67"/>
      <c r="O175" s="67"/>
      <c r="P175" s="145" t="str">
        <f t="shared" si="18"/>
        <v/>
      </c>
      <c r="Q175" s="65" t="str">
        <f t="shared" si="19"/>
        <v/>
      </c>
      <c r="R175" s="5" t="str">
        <f t="shared" si="20"/>
        <v/>
      </c>
      <c r="S175" s="5" t="str">
        <f t="shared" si="21"/>
        <v/>
      </c>
      <c r="T175" s="5" t="str">
        <f t="shared" si="22"/>
        <v/>
      </c>
      <c r="U175" s="5" t="str">
        <f t="shared" si="23"/>
        <v/>
      </c>
      <c r="V175" s="5" t="str">
        <f t="shared" si="24"/>
        <v/>
      </c>
      <c r="W175" s="5" t="str">
        <f t="shared" si="25"/>
        <v/>
      </c>
      <c r="X175" s="5" t="str">
        <f t="shared" si="26"/>
        <v/>
      </c>
    </row>
    <row r="176" spans="1:24">
      <c r="A176" s="91"/>
      <c r="B176" s="92"/>
      <c r="C176" s="69"/>
      <c r="D176" s="69"/>
      <c r="E176" s="69"/>
      <c r="F176" s="69"/>
      <c r="G176" s="70"/>
      <c r="H176" s="71"/>
      <c r="I176" s="66"/>
      <c r="J176" s="67"/>
      <c r="K176" s="67"/>
      <c r="L176" s="67"/>
      <c r="M176" s="67"/>
      <c r="N176" s="67"/>
      <c r="O176" s="67"/>
      <c r="P176" s="145" t="str">
        <f t="shared" si="18"/>
        <v/>
      </c>
      <c r="Q176" s="65" t="str">
        <f t="shared" si="19"/>
        <v/>
      </c>
      <c r="R176" s="5" t="str">
        <f t="shared" si="20"/>
        <v/>
      </c>
      <c r="S176" s="5" t="str">
        <f t="shared" si="21"/>
        <v/>
      </c>
      <c r="T176" s="5" t="str">
        <f t="shared" si="22"/>
        <v/>
      </c>
      <c r="U176" s="5" t="str">
        <f t="shared" si="23"/>
        <v/>
      </c>
      <c r="V176" s="5" t="str">
        <f t="shared" si="24"/>
        <v/>
      </c>
      <c r="W176" s="5" t="str">
        <f t="shared" si="25"/>
        <v/>
      </c>
      <c r="X176" s="5" t="str">
        <f t="shared" si="26"/>
        <v/>
      </c>
    </row>
    <row r="177" spans="1:24">
      <c r="A177" s="91"/>
      <c r="B177" s="92"/>
      <c r="C177" s="69"/>
      <c r="D177" s="69"/>
      <c r="E177" s="69"/>
      <c r="F177" s="69"/>
      <c r="G177" s="70"/>
      <c r="H177" s="71"/>
      <c r="I177" s="66"/>
      <c r="J177" s="67"/>
      <c r="K177" s="67"/>
      <c r="L177" s="67"/>
      <c r="M177" s="67"/>
      <c r="N177" s="67"/>
      <c r="O177" s="67"/>
      <c r="P177" s="145" t="str">
        <f t="shared" si="18"/>
        <v/>
      </c>
      <c r="Q177" s="65" t="str">
        <f t="shared" si="19"/>
        <v/>
      </c>
      <c r="R177" s="5" t="str">
        <f t="shared" si="20"/>
        <v/>
      </c>
      <c r="S177" s="5" t="str">
        <f t="shared" si="21"/>
        <v/>
      </c>
      <c r="T177" s="5" t="str">
        <f t="shared" si="22"/>
        <v/>
      </c>
      <c r="U177" s="5" t="str">
        <f t="shared" si="23"/>
        <v/>
      </c>
      <c r="V177" s="5" t="str">
        <f t="shared" si="24"/>
        <v/>
      </c>
      <c r="W177" s="5" t="str">
        <f t="shared" si="25"/>
        <v/>
      </c>
      <c r="X177" s="5" t="str">
        <f t="shared" si="26"/>
        <v/>
      </c>
    </row>
    <row r="178" spans="1:24">
      <c r="A178" s="91"/>
      <c r="B178" s="92"/>
      <c r="C178" s="69"/>
      <c r="D178" s="69"/>
      <c r="E178" s="69"/>
      <c r="F178" s="69"/>
      <c r="G178" s="70"/>
      <c r="H178" s="71"/>
      <c r="I178" s="66"/>
      <c r="J178" s="67"/>
      <c r="K178" s="67"/>
      <c r="L178" s="67"/>
      <c r="M178" s="67"/>
      <c r="N178" s="67"/>
      <c r="O178" s="67"/>
      <c r="P178" s="145" t="str">
        <f t="shared" si="18"/>
        <v/>
      </c>
      <c r="Q178" s="65" t="str">
        <f t="shared" si="19"/>
        <v/>
      </c>
      <c r="R178" s="5" t="str">
        <f t="shared" si="20"/>
        <v/>
      </c>
      <c r="S178" s="5" t="str">
        <f t="shared" si="21"/>
        <v/>
      </c>
      <c r="T178" s="5" t="str">
        <f t="shared" si="22"/>
        <v/>
      </c>
      <c r="U178" s="5" t="str">
        <f t="shared" si="23"/>
        <v/>
      </c>
      <c r="V178" s="5" t="str">
        <f t="shared" si="24"/>
        <v/>
      </c>
      <c r="W178" s="5" t="str">
        <f t="shared" si="25"/>
        <v/>
      </c>
      <c r="X178" s="5" t="str">
        <f t="shared" si="26"/>
        <v/>
      </c>
    </row>
    <row r="179" spans="1:24">
      <c r="A179" s="91"/>
      <c r="B179" s="92"/>
      <c r="C179" s="69"/>
      <c r="D179" s="69"/>
      <c r="E179" s="69"/>
      <c r="F179" s="69"/>
      <c r="G179" s="70"/>
      <c r="H179" s="71"/>
      <c r="I179" s="66"/>
      <c r="J179" s="67"/>
      <c r="K179" s="67"/>
      <c r="L179" s="67"/>
      <c r="M179" s="67"/>
      <c r="N179" s="67"/>
      <c r="O179" s="67"/>
      <c r="P179" s="145" t="str">
        <f t="shared" si="18"/>
        <v/>
      </c>
      <c r="Q179" s="65" t="str">
        <f t="shared" si="19"/>
        <v/>
      </c>
      <c r="R179" s="5" t="str">
        <f t="shared" si="20"/>
        <v/>
      </c>
      <c r="S179" s="5" t="str">
        <f t="shared" si="21"/>
        <v/>
      </c>
      <c r="T179" s="5" t="str">
        <f t="shared" si="22"/>
        <v/>
      </c>
      <c r="U179" s="5" t="str">
        <f t="shared" si="23"/>
        <v/>
      </c>
      <c r="V179" s="5" t="str">
        <f t="shared" si="24"/>
        <v/>
      </c>
      <c r="W179" s="5" t="str">
        <f t="shared" si="25"/>
        <v/>
      </c>
      <c r="X179" s="5" t="str">
        <f t="shared" si="26"/>
        <v/>
      </c>
    </row>
    <row r="180" spans="1:24">
      <c r="A180" s="91"/>
      <c r="B180" s="92"/>
      <c r="C180" s="69"/>
      <c r="D180" s="69"/>
      <c r="E180" s="69"/>
      <c r="F180" s="69"/>
      <c r="G180" s="70"/>
      <c r="H180" s="71"/>
      <c r="I180" s="66"/>
      <c r="J180" s="67"/>
      <c r="K180" s="67"/>
      <c r="L180" s="67"/>
      <c r="M180" s="67"/>
      <c r="N180" s="67"/>
      <c r="O180" s="67"/>
      <c r="P180" s="145" t="str">
        <f t="shared" si="18"/>
        <v/>
      </c>
      <c r="Q180" s="65" t="str">
        <f t="shared" si="19"/>
        <v/>
      </c>
      <c r="R180" s="5" t="str">
        <f t="shared" si="20"/>
        <v/>
      </c>
      <c r="S180" s="5" t="str">
        <f t="shared" si="21"/>
        <v/>
      </c>
      <c r="T180" s="5" t="str">
        <f t="shared" si="22"/>
        <v/>
      </c>
      <c r="U180" s="5" t="str">
        <f t="shared" si="23"/>
        <v/>
      </c>
      <c r="V180" s="5" t="str">
        <f t="shared" si="24"/>
        <v/>
      </c>
      <c r="W180" s="5" t="str">
        <f t="shared" si="25"/>
        <v/>
      </c>
      <c r="X180" s="5" t="str">
        <f t="shared" si="26"/>
        <v/>
      </c>
    </row>
    <row r="181" spans="1:24">
      <c r="A181" s="91"/>
      <c r="B181" s="92"/>
      <c r="C181" s="69"/>
      <c r="D181" s="69"/>
      <c r="E181" s="69"/>
      <c r="F181" s="69"/>
      <c r="G181" s="70"/>
      <c r="H181" s="71"/>
      <c r="I181" s="66"/>
      <c r="J181" s="67"/>
      <c r="K181" s="67"/>
      <c r="L181" s="67"/>
      <c r="M181" s="67"/>
      <c r="N181" s="67"/>
      <c r="O181" s="67"/>
      <c r="P181" s="145" t="str">
        <f t="shared" si="18"/>
        <v/>
      </c>
      <c r="Q181" s="65" t="str">
        <f t="shared" si="19"/>
        <v/>
      </c>
      <c r="R181" s="5" t="str">
        <f t="shared" si="20"/>
        <v/>
      </c>
      <c r="S181" s="5" t="str">
        <f t="shared" si="21"/>
        <v/>
      </c>
      <c r="T181" s="5" t="str">
        <f t="shared" si="22"/>
        <v/>
      </c>
      <c r="U181" s="5" t="str">
        <f t="shared" si="23"/>
        <v/>
      </c>
      <c r="V181" s="5" t="str">
        <f t="shared" si="24"/>
        <v/>
      </c>
      <c r="W181" s="5" t="str">
        <f t="shared" si="25"/>
        <v/>
      </c>
      <c r="X181" s="5" t="str">
        <f t="shared" si="26"/>
        <v/>
      </c>
    </row>
    <row r="182" spans="1:24">
      <c r="A182" s="91"/>
      <c r="B182" s="92"/>
      <c r="C182" s="69"/>
      <c r="D182" s="69"/>
      <c r="E182" s="69"/>
      <c r="F182" s="69"/>
      <c r="G182" s="70"/>
      <c r="H182" s="71"/>
      <c r="I182" s="66"/>
      <c r="J182" s="67"/>
      <c r="K182" s="67"/>
      <c r="L182" s="67"/>
      <c r="M182" s="67"/>
      <c r="N182" s="67"/>
      <c r="O182" s="67"/>
      <c r="P182" s="145" t="str">
        <f t="shared" si="18"/>
        <v/>
      </c>
      <c r="Q182" s="65" t="str">
        <f t="shared" si="19"/>
        <v/>
      </c>
      <c r="R182" s="5" t="str">
        <f t="shared" si="20"/>
        <v/>
      </c>
      <c r="S182" s="5" t="str">
        <f t="shared" si="21"/>
        <v/>
      </c>
      <c r="T182" s="5" t="str">
        <f t="shared" si="22"/>
        <v/>
      </c>
      <c r="U182" s="5" t="str">
        <f t="shared" si="23"/>
        <v/>
      </c>
      <c r="V182" s="5" t="str">
        <f t="shared" si="24"/>
        <v/>
      </c>
      <c r="W182" s="5" t="str">
        <f t="shared" si="25"/>
        <v/>
      </c>
      <c r="X182" s="5" t="str">
        <f t="shared" si="26"/>
        <v/>
      </c>
    </row>
    <row r="183" spans="1:24">
      <c r="A183" s="91"/>
      <c r="B183" s="92"/>
      <c r="C183" s="69"/>
      <c r="D183" s="69"/>
      <c r="E183" s="69"/>
      <c r="F183" s="69"/>
      <c r="G183" s="70"/>
      <c r="H183" s="71"/>
      <c r="I183" s="66"/>
      <c r="J183" s="67"/>
      <c r="K183" s="67"/>
      <c r="L183" s="67"/>
      <c r="M183" s="67"/>
      <c r="N183" s="67"/>
      <c r="O183" s="67"/>
      <c r="P183" s="145" t="str">
        <f t="shared" si="18"/>
        <v/>
      </c>
      <c r="Q183" s="65" t="str">
        <f t="shared" si="19"/>
        <v/>
      </c>
      <c r="R183" s="5" t="str">
        <f t="shared" si="20"/>
        <v/>
      </c>
      <c r="S183" s="5" t="str">
        <f t="shared" si="21"/>
        <v/>
      </c>
      <c r="T183" s="5" t="str">
        <f t="shared" si="22"/>
        <v/>
      </c>
      <c r="U183" s="5" t="str">
        <f t="shared" si="23"/>
        <v/>
      </c>
      <c r="V183" s="5" t="str">
        <f t="shared" si="24"/>
        <v/>
      </c>
      <c r="W183" s="5" t="str">
        <f t="shared" si="25"/>
        <v/>
      </c>
      <c r="X183" s="5" t="str">
        <f t="shared" si="26"/>
        <v/>
      </c>
    </row>
    <row r="184" spans="1:24">
      <c r="A184" s="91"/>
      <c r="B184" s="92"/>
      <c r="C184" s="69"/>
      <c r="D184" s="69"/>
      <c r="E184" s="69"/>
      <c r="F184" s="69"/>
      <c r="G184" s="70"/>
      <c r="H184" s="71"/>
      <c r="I184" s="66"/>
      <c r="J184" s="67"/>
      <c r="K184" s="67"/>
      <c r="L184" s="67"/>
      <c r="M184" s="67"/>
      <c r="N184" s="67"/>
      <c r="O184" s="67"/>
      <c r="P184" s="145" t="str">
        <f t="shared" si="18"/>
        <v/>
      </c>
      <c r="Q184" s="65" t="str">
        <f t="shared" si="19"/>
        <v/>
      </c>
      <c r="R184" s="5" t="str">
        <f t="shared" si="20"/>
        <v/>
      </c>
      <c r="S184" s="5" t="str">
        <f t="shared" si="21"/>
        <v/>
      </c>
      <c r="T184" s="5" t="str">
        <f t="shared" si="22"/>
        <v/>
      </c>
      <c r="U184" s="5" t="str">
        <f t="shared" si="23"/>
        <v/>
      </c>
      <c r="V184" s="5" t="str">
        <f t="shared" si="24"/>
        <v/>
      </c>
      <c r="W184" s="5" t="str">
        <f t="shared" si="25"/>
        <v/>
      </c>
      <c r="X184" s="5" t="str">
        <f t="shared" si="26"/>
        <v/>
      </c>
    </row>
    <row r="185" spans="1:24">
      <c r="A185" s="91"/>
      <c r="B185" s="92"/>
      <c r="C185" s="69"/>
      <c r="D185" s="69"/>
      <c r="E185" s="69"/>
      <c r="F185" s="69"/>
      <c r="G185" s="70"/>
      <c r="H185" s="71"/>
      <c r="I185" s="66"/>
      <c r="J185" s="67"/>
      <c r="K185" s="67"/>
      <c r="L185" s="67"/>
      <c r="M185" s="67"/>
      <c r="N185" s="67"/>
      <c r="O185" s="67"/>
      <c r="P185" s="145" t="str">
        <f t="shared" si="18"/>
        <v/>
      </c>
      <c r="Q185" s="65" t="str">
        <f t="shared" si="19"/>
        <v/>
      </c>
      <c r="R185" s="5" t="str">
        <f t="shared" si="20"/>
        <v/>
      </c>
      <c r="S185" s="5" t="str">
        <f t="shared" si="21"/>
        <v/>
      </c>
      <c r="T185" s="5" t="str">
        <f t="shared" si="22"/>
        <v/>
      </c>
      <c r="U185" s="5" t="str">
        <f t="shared" si="23"/>
        <v/>
      </c>
      <c r="V185" s="5" t="str">
        <f t="shared" si="24"/>
        <v/>
      </c>
      <c r="W185" s="5" t="str">
        <f t="shared" si="25"/>
        <v/>
      </c>
      <c r="X185" s="5" t="str">
        <f t="shared" si="26"/>
        <v/>
      </c>
    </row>
    <row r="186" spans="1:24">
      <c r="A186" s="91"/>
      <c r="B186" s="92"/>
      <c r="C186" s="69"/>
      <c r="D186" s="69"/>
      <c r="E186" s="69"/>
      <c r="F186" s="69"/>
      <c r="G186" s="70"/>
      <c r="H186" s="71"/>
      <c r="I186" s="66"/>
      <c r="J186" s="67"/>
      <c r="K186" s="67"/>
      <c r="L186" s="67"/>
      <c r="M186" s="67"/>
      <c r="N186" s="67"/>
      <c r="O186" s="67"/>
      <c r="P186" s="145" t="str">
        <f t="shared" si="18"/>
        <v/>
      </c>
      <c r="Q186" s="65" t="str">
        <f t="shared" si="19"/>
        <v/>
      </c>
      <c r="R186" s="5" t="str">
        <f t="shared" si="20"/>
        <v/>
      </c>
      <c r="S186" s="5" t="str">
        <f t="shared" si="21"/>
        <v/>
      </c>
      <c r="T186" s="5" t="str">
        <f t="shared" si="22"/>
        <v/>
      </c>
      <c r="U186" s="5" t="str">
        <f t="shared" si="23"/>
        <v/>
      </c>
      <c r="V186" s="5" t="str">
        <f t="shared" si="24"/>
        <v/>
      </c>
      <c r="W186" s="5" t="str">
        <f t="shared" si="25"/>
        <v/>
      </c>
      <c r="X186" s="5" t="str">
        <f t="shared" si="26"/>
        <v/>
      </c>
    </row>
    <row r="187" spans="1:24">
      <c r="A187" s="91"/>
      <c r="B187" s="92"/>
      <c r="C187" s="69"/>
      <c r="D187" s="69"/>
      <c r="E187" s="69"/>
      <c r="F187" s="69"/>
      <c r="G187" s="70"/>
      <c r="H187" s="71"/>
      <c r="I187" s="66"/>
      <c r="J187" s="67"/>
      <c r="K187" s="67"/>
      <c r="L187" s="67"/>
      <c r="M187" s="67"/>
      <c r="N187" s="67"/>
      <c r="O187" s="67"/>
      <c r="P187" s="145" t="str">
        <f t="shared" si="18"/>
        <v/>
      </c>
      <c r="Q187" s="65" t="str">
        <f t="shared" si="19"/>
        <v/>
      </c>
      <c r="R187" s="5" t="str">
        <f t="shared" si="20"/>
        <v/>
      </c>
      <c r="S187" s="5" t="str">
        <f t="shared" si="21"/>
        <v/>
      </c>
      <c r="T187" s="5" t="str">
        <f t="shared" si="22"/>
        <v/>
      </c>
      <c r="U187" s="5" t="str">
        <f t="shared" si="23"/>
        <v/>
      </c>
      <c r="V187" s="5" t="str">
        <f t="shared" si="24"/>
        <v/>
      </c>
      <c r="W187" s="5" t="str">
        <f t="shared" si="25"/>
        <v/>
      </c>
      <c r="X187" s="5" t="str">
        <f t="shared" si="26"/>
        <v/>
      </c>
    </row>
    <row r="188" spans="1:24">
      <c r="A188" s="91"/>
      <c r="B188" s="92"/>
      <c r="C188" s="69"/>
      <c r="D188" s="69"/>
      <c r="E188" s="69"/>
      <c r="F188" s="69"/>
      <c r="G188" s="70"/>
      <c r="H188" s="71"/>
      <c r="I188" s="66"/>
      <c r="J188" s="67"/>
      <c r="K188" s="67"/>
      <c r="L188" s="67"/>
      <c r="M188" s="67"/>
      <c r="N188" s="67"/>
      <c r="O188" s="67"/>
      <c r="P188" s="145" t="str">
        <f t="shared" si="18"/>
        <v/>
      </c>
      <c r="Q188" s="65" t="str">
        <f t="shared" si="19"/>
        <v/>
      </c>
      <c r="R188" s="5" t="str">
        <f t="shared" si="20"/>
        <v/>
      </c>
      <c r="S188" s="5" t="str">
        <f t="shared" si="21"/>
        <v/>
      </c>
      <c r="T188" s="5" t="str">
        <f t="shared" si="22"/>
        <v/>
      </c>
      <c r="U188" s="5" t="str">
        <f t="shared" si="23"/>
        <v/>
      </c>
      <c r="V188" s="5" t="str">
        <f t="shared" si="24"/>
        <v/>
      </c>
      <c r="W188" s="5" t="str">
        <f t="shared" si="25"/>
        <v/>
      </c>
      <c r="X188" s="5" t="str">
        <f t="shared" si="26"/>
        <v/>
      </c>
    </row>
    <row r="189" spans="1:24">
      <c r="A189" s="91"/>
      <c r="B189" s="92"/>
      <c r="C189" s="69"/>
      <c r="D189" s="69"/>
      <c r="E189" s="69"/>
      <c r="F189" s="69"/>
      <c r="G189" s="70"/>
      <c r="H189" s="71"/>
      <c r="I189" s="66"/>
      <c r="J189" s="67"/>
      <c r="K189" s="67"/>
      <c r="L189" s="67"/>
      <c r="M189" s="67"/>
      <c r="N189" s="67"/>
      <c r="O189" s="67"/>
      <c r="P189" s="145" t="str">
        <f t="shared" si="18"/>
        <v/>
      </c>
      <c r="Q189" s="65" t="str">
        <f t="shared" si="19"/>
        <v/>
      </c>
      <c r="R189" s="5" t="str">
        <f t="shared" si="20"/>
        <v/>
      </c>
      <c r="S189" s="5" t="str">
        <f t="shared" si="21"/>
        <v/>
      </c>
      <c r="T189" s="5" t="str">
        <f t="shared" si="22"/>
        <v/>
      </c>
      <c r="U189" s="5" t="str">
        <f t="shared" si="23"/>
        <v/>
      </c>
      <c r="V189" s="5" t="str">
        <f t="shared" si="24"/>
        <v/>
      </c>
      <c r="W189" s="5" t="str">
        <f t="shared" si="25"/>
        <v/>
      </c>
      <c r="X189" s="5" t="str">
        <f t="shared" si="26"/>
        <v/>
      </c>
    </row>
    <row r="190" spans="1:24">
      <c r="A190" s="91"/>
      <c r="B190" s="92"/>
      <c r="C190" s="69"/>
      <c r="D190" s="69"/>
      <c r="E190" s="69"/>
      <c r="F190" s="69"/>
      <c r="G190" s="70"/>
      <c r="H190" s="71"/>
      <c r="I190" s="66"/>
      <c r="J190" s="67"/>
      <c r="K190" s="67"/>
      <c r="L190" s="67"/>
      <c r="M190" s="67"/>
      <c r="N190" s="67"/>
      <c r="O190" s="67"/>
      <c r="P190" s="145" t="str">
        <f t="shared" si="18"/>
        <v/>
      </c>
      <c r="Q190" s="65" t="str">
        <f t="shared" si="19"/>
        <v/>
      </c>
      <c r="R190" s="5" t="str">
        <f t="shared" si="20"/>
        <v/>
      </c>
      <c r="S190" s="5" t="str">
        <f t="shared" si="21"/>
        <v/>
      </c>
      <c r="T190" s="5" t="str">
        <f t="shared" si="22"/>
        <v/>
      </c>
      <c r="U190" s="5" t="str">
        <f t="shared" si="23"/>
        <v/>
      </c>
      <c r="V190" s="5" t="str">
        <f t="shared" si="24"/>
        <v/>
      </c>
      <c r="W190" s="5" t="str">
        <f t="shared" si="25"/>
        <v/>
      </c>
      <c r="X190" s="5" t="str">
        <f t="shared" si="26"/>
        <v/>
      </c>
    </row>
    <row r="191" spans="1:24">
      <c r="A191" s="91"/>
      <c r="B191" s="92"/>
      <c r="C191" s="69"/>
      <c r="D191" s="69"/>
      <c r="E191" s="69"/>
      <c r="F191" s="69"/>
      <c r="G191" s="70"/>
      <c r="H191" s="71"/>
      <c r="I191" s="66"/>
      <c r="J191" s="67"/>
      <c r="K191" s="67"/>
      <c r="L191" s="67"/>
      <c r="M191" s="67"/>
      <c r="N191" s="67"/>
      <c r="O191" s="67"/>
      <c r="P191" s="145" t="str">
        <f t="shared" si="18"/>
        <v/>
      </c>
      <c r="Q191" s="65" t="str">
        <f t="shared" si="19"/>
        <v/>
      </c>
      <c r="R191" s="5" t="str">
        <f t="shared" si="20"/>
        <v/>
      </c>
      <c r="S191" s="5" t="str">
        <f t="shared" si="21"/>
        <v/>
      </c>
      <c r="T191" s="5" t="str">
        <f t="shared" si="22"/>
        <v/>
      </c>
      <c r="U191" s="5" t="str">
        <f t="shared" si="23"/>
        <v/>
      </c>
      <c r="V191" s="5" t="str">
        <f t="shared" si="24"/>
        <v/>
      </c>
      <c r="W191" s="5" t="str">
        <f t="shared" si="25"/>
        <v/>
      </c>
      <c r="X191" s="5" t="str">
        <f t="shared" si="26"/>
        <v/>
      </c>
    </row>
    <row r="192" spans="1:24">
      <c r="A192" s="91"/>
      <c r="B192" s="92"/>
      <c r="C192" s="69"/>
      <c r="D192" s="69"/>
      <c r="E192" s="69"/>
      <c r="F192" s="69"/>
      <c r="G192" s="70"/>
      <c r="H192" s="71"/>
      <c r="I192" s="66"/>
      <c r="J192" s="67"/>
      <c r="K192" s="67"/>
      <c r="L192" s="67"/>
      <c r="M192" s="67"/>
      <c r="N192" s="67"/>
      <c r="O192" s="67"/>
      <c r="P192" s="145" t="str">
        <f t="shared" si="18"/>
        <v/>
      </c>
      <c r="Q192" s="65" t="str">
        <f t="shared" si="19"/>
        <v/>
      </c>
      <c r="R192" s="5" t="str">
        <f t="shared" si="20"/>
        <v/>
      </c>
      <c r="S192" s="5" t="str">
        <f t="shared" si="21"/>
        <v/>
      </c>
      <c r="T192" s="5" t="str">
        <f t="shared" si="22"/>
        <v/>
      </c>
      <c r="U192" s="5" t="str">
        <f t="shared" si="23"/>
        <v/>
      </c>
      <c r="V192" s="5" t="str">
        <f t="shared" si="24"/>
        <v/>
      </c>
      <c r="W192" s="5" t="str">
        <f t="shared" si="25"/>
        <v/>
      </c>
      <c r="X192" s="5" t="str">
        <f t="shared" si="26"/>
        <v/>
      </c>
    </row>
    <row r="193" spans="1:24">
      <c r="A193" s="91"/>
      <c r="B193" s="92"/>
      <c r="C193" s="69"/>
      <c r="D193" s="69"/>
      <c r="E193" s="69"/>
      <c r="F193" s="69"/>
      <c r="G193" s="70"/>
      <c r="H193" s="71"/>
      <c r="I193" s="66"/>
      <c r="J193" s="67"/>
      <c r="K193" s="67"/>
      <c r="L193" s="67"/>
      <c r="M193" s="67"/>
      <c r="N193" s="67"/>
      <c r="O193" s="67"/>
      <c r="P193" s="145" t="str">
        <f t="shared" si="18"/>
        <v/>
      </c>
      <c r="Q193" s="65" t="str">
        <f t="shared" si="19"/>
        <v/>
      </c>
      <c r="R193" s="5" t="str">
        <f t="shared" si="20"/>
        <v/>
      </c>
      <c r="S193" s="5" t="str">
        <f t="shared" si="21"/>
        <v/>
      </c>
      <c r="T193" s="5" t="str">
        <f t="shared" si="22"/>
        <v/>
      </c>
      <c r="U193" s="5" t="str">
        <f t="shared" si="23"/>
        <v/>
      </c>
      <c r="V193" s="5" t="str">
        <f t="shared" si="24"/>
        <v/>
      </c>
      <c r="W193" s="5" t="str">
        <f t="shared" si="25"/>
        <v/>
      </c>
      <c r="X193" s="5" t="str">
        <f t="shared" si="26"/>
        <v/>
      </c>
    </row>
    <row r="194" spans="1:24">
      <c r="A194" s="91"/>
      <c r="B194" s="92"/>
      <c r="C194" s="69"/>
      <c r="D194" s="69"/>
      <c r="E194" s="69"/>
      <c r="F194" s="69"/>
      <c r="G194" s="70"/>
      <c r="H194" s="71"/>
      <c r="I194" s="66"/>
      <c r="J194" s="67"/>
      <c r="K194" s="67"/>
      <c r="L194" s="67"/>
      <c r="M194" s="67"/>
      <c r="N194" s="67"/>
      <c r="O194" s="67"/>
      <c r="P194" s="145" t="str">
        <f t="shared" si="18"/>
        <v/>
      </c>
      <c r="Q194" s="65" t="str">
        <f t="shared" si="19"/>
        <v/>
      </c>
      <c r="R194" s="5" t="str">
        <f t="shared" si="20"/>
        <v/>
      </c>
      <c r="S194" s="5" t="str">
        <f t="shared" si="21"/>
        <v/>
      </c>
      <c r="T194" s="5" t="str">
        <f t="shared" si="22"/>
        <v/>
      </c>
      <c r="U194" s="5" t="str">
        <f t="shared" si="23"/>
        <v/>
      </c>
      <c r="V194" s="5" t="str">
        <f t="shared" si="24"/>
        <v/>
      </c>
      <c r="W194" s="5" t="str">
        <f t="shared" si="25"/>
        <v/>
      </c>
      <c r="X194" s="5" t="str">
        <f t="shared" si="26"/>
        <v/>
      </c>
    </row>
    <row r="195" spans="1:24">
      <c r="A195" s="91"/>
      <c r="B195" s="92"/>
      <c r="C195" s="69"/>
      <c r="D195" s="69"/>
      <c r="E195" s="69"/>
      <c r="F195" s="69"/>
      <c r="G195" s="70"/>
      <c r="H195" s="71"/>
      <c r="I195" s="66"/>
      <c r="J195" s="67"/>
      <c r="K195" s="67"/>
      <c r="L195" s="67"/>
      <c r="M195" s="67"/>
      <c r="N195" s="67"/>
      <c r="O195" s="67"/>
      <c r="P195" s="145" t="str">
        <f t="shared" si="18"/>
        <v/>
      </c>
      <c r="Q195" s="65" t="str">
        <f t="shared" si="19"/>
        <v/>
      </c>
      <c r="R195" s="5" t="str">
        <f t="shared" si="20"/>
        <v/>
      </c>
      <c r="S195" s="5" t="str">
        <f t="shared" si="21"/>
        <v/>
      </c>
      <c r="T195" s="5" t="str">
        <f t="shared" si="22"/>
        <v/>
      </c>
      <c r="U195" s="5" t="str">
        <f t="shared" si="23"/>
        <v/>
      </c>
      <c r="V195" s="5" t="str">
        <f t="shared" si="24"/>
        <v/>
      </c>
      <c r="W195" s="5" t="str">
        <f t="shared" si="25"/>
        <v/>
      </c>
      <c r="X195" s="5" t="str">
        <f t="shared" si="26"/>
        <v/>
      </c>
    </row>
    <row r="196" spans="1:24">
      <c r="A196" s="91"/>
      <c r="B196" s="92"/>
      <c r="C196" s="69"/>
      <c r="D196" s="69"/>
      <c r="E196" s="69"/>
      <c r="F196" s="69"/>
      <c r="G196" s="70"/>
      <c r="H196" s="71"/>
      <c r="I196" s="66"/>
      <c r="J196" s="67"/>
      <c r="K196" s="67"/>
      <c r="L196" s="67"/>
      <c r="M196" s="67"/>
      <c r="N196" s="67"/>
      <c r="O196" s="67"/>
      <c r="P196" s="145" t="str">
        <f t="shared" si="18"/>
        <v/>
      </c>
      <c r="Q196" s="65" t="str">
        <f t="shared" si="19"/>
        <v/>
      </c>
      <c r="R196" s="5" t="str">
        <f t="shared" si="20"/>
        <v/>
      </c>
      <c r="S196" s="5" t="str">
        <f t="shared" si="21"/>
        <v/>
      </c>
      <c r="T196" s="5" t="str">
        <f t="shared" si="22"/>
        <v/>
      </c>
      <c r="U196" s="5" t="str">
        <f t="shared" si="23"/>
        <v/>
      </c>
      <c r="V196" s="5" t="str">
        <f t="shared" si="24"/>
        <v/>
      </c>
      <c r="W196" s="5" t="str">
        <f t="shared" si="25"/>
        <v/>
      </c>
      <c r="X196" s="5" t="str">
        <f t="shared" si="26"/>
        <v/>
      </c>
    </row>
    <row r="197" spans="1:24">
      <c r="A197" s="91"/>
      <c r="B197" s="92"/>
      <c r="C197" s="69"/>
      <c r="D197" s="69"/>
      <c r="E197" s="69"/>
      <c r="F197" s="69"/>
      <c r="G197" s="70"/>
      <c r="H197" s="71"/>
      <c r="I197" s="66"/>
      <c r="J197" s="67"/>
      <c r="K197" s="67"/>
      <c r="L197" s="67"/>
      <c r="M197" s="67"/>
      <c r="N197" s="67"/>
      <c r="O197" s="67"/>
      <c r="P197" s="145" t="str">
        <f t="shared" si="18"/>
        <v/>
      </c>
      <c r="Q197" s="65" t="str">
        <f t="shared" si="19"/>
        <v/>
      </c>
      <c r="R197" s="5" t="str">
        <f t="shared" si="20"/>
        <v/>
      </c>
      <c r="S197" s="5" t="str">
        <f t="shared" si="21"/>
        <v/>
      </c>
      <c r="T197" s="5" t="str">
        <f t="shared" si="22"/>
        <v/>
      </c>
      <c r="U197" s="5" t="str">
        <f t="shared" si="23"/>
        <v/>
      </c>
      <c r="V197" s="5" t="str">
        <f t="shared" si="24"/>
        <v/>
      </c>
      <c r="W197" s="5" t="str">
        <f t="shared" si="25"/>
        <v/>
      </c>
      <c r="X197" s="5" t="str">
        <f t="shared" si="26"/>
        <v/>
      </c>
    </row>
    <row r="198" spans="1:24">
      <c r="A198" s="91"/>
      <c r="B198" s="92"/>
      <c r="C198" s="69"/>
      <c r="D198" s="69"/>
      <c r="E198" s="69"/>
      <c r="F198" s="69"/>
      <c r="G198" s="70"/>
      <c r="H198" s="71"/>
      <c r="I198" s="66"/>
      <c r="J198" s="67"/>
      <c r="K198" s="67"/>
      <c r="L198" s="67"/>
      <c r="M198" s="67"/>
      <c r="N198" s="67"/>
      <c r="O198" s="67"/>
      <c r="P198" s="145" t="str">
        <f t="shared" si="18"/>
        <v/>
      </c>
      <c r="Q198" s="65" t="str">
        <f t="shared" si="19"/>
        <v/>
      </c>
      <c r="R198" s="5" t="str">
        <f t="shared" si="20"/>
        <v/>
      </c>
      <c r="S198" s="5" t="str">
        <f t="shared" si="21"/>
        <v/>
      </c>
      <c r="T198" s="5" t="str">
        <f t="shared" si="22"/>
        <v/>
      </c>
      <c r="U198" s="5" t="str">
        <f t="shared" si="23"/>
        <v/>
      </c>
      <c r="V198" s="5" t="str">
        <f t="shared" si="24"/>
        <v/>
      </c>
      <c r="W198" s="5" t="str">
        <f t="shared" si="25"/>
        <v/>
      </c>
      <c r="X198" s="5" t="str">
        <f t="shared" si="26"/>
        <v/>
      </c>
    </row>
    <row r="199" spans="1:24">
      <c r="A199" s="91"/>
      <c r="B199" s="92"/>
      <c r="C199" s="69"/>
      <c r="D199" s="69"/>
      <c r="E199" s="69"/>
      <c r="F199" s="69"/>
      <c r="G199" s="70"/>
      <c r="H199" s="71"/>
      <c r="I199" s="66"/>
      <c r="J199" s="67"/>
      <c r="K199" s="67"/>
      <c r="L199" s="67"/>
      <c r="M199" s="67"/>
      <c r="N199" s="67"/>
      <c r="O199" s="67"/>
      <c r="P199" s="145" t="str">
        <f t="shared" ref="P199:P262" si="27">IF($C199="","",IF($N199+$O199=0,0,$N199/($N199+$O199)))</f>
        <v/>
      </c>
      <c r="Q199" s="65" t="str">
        <f t="shared" ref="Q199:Q262" si="28">IF($C199="","",IF(TRIM($B199)="beginning",(((SUM($R199:$X199)-3371)/2251)*40)+360,IF(TRIM($B199)="middle",(((SUM($R199:$X199)-3371)/2251)*40)+400,IF(TRIM($B199)="end",(((SUM($R199:$X199)-3371)/2251)*40)+440,""))))</f>
        <v/>
      </c>
      <c r="R199" s="5" t="str">
        <f t="shared" ref="R199:R262" si="29">IF($C199="","",I199*10.72)</f>
        <v/>
      </c>
      <c r="S199" s="5" t="str">
        <f t="shared" ref="S199:S262" si="30">IF($C199="","",J199*2.13)</f>
        <v/>
      </c>
      <c r="T199" s="5" t="str">
        <f t="shared" ref="T199:T262" si="31">IF($C199="","",K199*23.13)</f>
        <v/>
      </c>
      <c r="U199" s="5" t="str">
        <f t="shared" ref="U199:U262" si="32">IF($C199="","",L199*7.79)</f>
        <v/>
      </c>
      <c r="V199" s="5" t="str">
        <f t="shared" ref="V199:V262" si="33">IF($C199="","",M199*13.51)</f>
        <v/>
      </c>
      <c r="W199" s="5" t="str">
        <f t="shared" ref="W199:W262" si="34">IF($C199="","",N199*25.36)</f>
        <v/>
      </c>
      <c r="X199" s="5" t="str">
        <f t="shared" ref="X199:X262" si="35">IF($C199="","",P199*0.25)</f>
        <v/>
      </c>
    </row>
    <row r="200" spans="1:24">
      <c r="A200" s="91"/>
      <c r="B200" s="92"/>
      <c r="C200" s="69"/>
      <c r="D200" s="69"/>
      <c r="E200" s="69"/>
      <c r="F200" s="69"/>
      <c r="G200" s="70"/>
      <c r="H200" s="71"/>
      <c r="I200" s="66"/>
      <c r="J200" s="67"/>
      <c r="K200" s="67"/>
      <c r="L200" s="67"/>
      <c r="M200" s="67"/>
      <c r="N200" s="67"/>
      <c r="O200" s="67"/>
      <c r="P200" s="145" t="str">
        <f t="shared" si="27"/>
        <v/>
      </c>
      <c r="Q200" s="65" t="str">
        <f t="shared" si="28"/>
        <v/>
      </c>
      <c r="R200" s="5" t="str">
        <f t="shared" si="29"/>
        <v/>
      </c>
      <c r="S200" s="5" t="str">
        <f t="shared" si="30"/>
        <v/>
      </c>
      <c r="T200" s="5" t="str">
        <f t="shared" si="31"/>
        <v/>
      </c>
      <c r="U200" s="5" t="str">
        <f t="shared" si="32"/>
        <v/>
      </c>
      <c r="V200" s="5" t="str">
        <f t="shared" si="33"/>
        <v/>
      </c>
      <c r="W200" s="5" t="str">
        <f t="shared" si="34"/>
        <v/>
      </c>
      <c r="X200" s="5" t="str">
        <f t="shared" si="35"/>
        <v/>
      </c>
    </row>
    <row r="201" spans="1:24">
      <c r="A201" s="91"/>
      <c r="B201" s="92"/>
      <c r="C201" s="69"/>
      <c r="D201" s="69"/>
      <c r="E201" s="69"/>
      <c r="F201" s="69"/>
      <c r="G201" s="70"/>
      <c r="H201" s="71"/>
      <c r="I201" s="66"/>
      <c r="J201" s="67"/>
      <c r="K201" s="67"/>
      <c r="L201" s="67"/>
      <c r="M201" s="67"/>
      <c r="N201" s="67"/>
      <c r="O201" s="67"/>
      <c r="P201" s="145" t="str">
        <f t="shared" si="27"/>
        <v/>
      </c>
      <c r="Q201" s="65" t="str">
        <f t="shared" si="28"/>
        <v/>
      </c>
      <c r="R201" s="5" t="str">
        <f t="shared" si="29"/>
        <v/>
      </c>
      <c r="S201" s="5" t="str">
        <f t="shared" si="30"/>
        <v/>
      </c>
      <c r="T201" s="5" t="str">
        <f t="shared" si="31"/>
        <v/>
      </c>
      <c r="U201" s="5" t="str">
        <f t="shared" si="32"/>
        <v/>
      </c>
      <c r="V201" s="5" t="str">
        <f t="shared" si="33"/>
        <v/>
      </c>
      <c r="W201" s="5" t="str">
        <f t="shared" si="34"/>
        <v/>
      </c>
      <c r="X201" s="5" t="str">
        <f t="shared" si="35"/>
        <v/>
      </c>
    </row>
    <row r="202" spans="1:24">
      <c r="A202" s="91"/>
      <c r="B202" s="92"/>
      <c r="C202" s="69"/>
      <c r="D202" s="69"/>
      <c r="E202" s="69"/>
      <c r="F202" s="69"/>
      <c r="G202" s="70"/>
      <c r="H202" s="71"/>
      <c r="I202" s="66"/>
      <c r="J202" s="67"/>
      <c r="K202" s="67"/>
      <c r="L202" s="67"/>
      <c r="M202" s="67"/>
      <c r="N202" s="67"/>
      <c r="O202" s="67"/>
      <c r="P202" s="145" t="str">
        <f t="shared" si="27"/>
        <v/>
      </c>
      <c r="Q202" s="65" t="str">
        <f t="shared" si="28"/>
        <v/>
      </c>
      <c r="R202" s="5" t="str">
        <f t="shared" si="29"/>
        <v/>
      </c>
      <c r="S202" s="5" t="str">
        <f t="shared" si="30"/>
        <v/>
      </c>
      <c r="T202" s="5" t="str">
        <f t="shared" si="31"/>
        <v/>
      </c>
      <c r="U202" s="5" t="str">
        <f t="shared" si="32"/>
        <v/>
      </c>
      <c r="V202" s="5" t="str">
        <f t="shared" si="33"/>
        <v/>
      </c>
      <c r="W202" s="5" t="str">
        <f t="shared" si="34"/>
        <v/>
      </c>
      <c r="X202" s="5" t="str">
        <f t="shared" si="35"/>
        <v/>
      </c>
    </row>
    <row r="203" spans="1:24">
      <c r="A203" s="91"/>
      <c r="B203" s="92"/>
      <c r="C203" s="69"/>
      <c r="D203" s="69"/>
      <c r="E203" s="69"/>
      <c r="F203" s="69"/>
      <c r="G203" s="70"/>
      <c r="H203" s="71"/>
      <c r="I203" s="66"/>
      <c r="J203" s="67"/>
      <c r="K203" s="67"/>
      <c r="L203" s="67"/>
      <c r="M203" s="67"/>
      <c r="N203" s="67"/>
      <c r="O203" s="67"/>
      <c r="P203" s="145" t="str">
        <f t="shared" si="27"/>
        <v/>
      </c>
      <c r="Q203" s="65" t="str">
        <f t="shared" si="28"/>
        <v/>
      </c>
      <c r="R203" s="5" t="str">
        <f t="shared" si="29"/>
        <v/>
      </c>
      <c r="S203" s="5" t="str">
        <f t="shared" si="30"/>
        <v/>
      </c>
      <c r="T203" s="5" t="str">
        <f t="shared" si="31"/>
        <v/>
      </c>
      <c r="U203" s="5" t="str">
        <f t="shared" si="32"/>
        <v/>
      </c>
      <c r="V203" s="5" t="str">
        <f t="shared" si="33"/>
        <v/>
      </c>
      <c r="W203" s="5" t="str">
        <f t="shared" si="34"/>
        <v/>
      </c>
      <c r="X203" s="5" t="str">
        <f t="shared" si="35"/>
        <v/>
      </c>
    </row>
    <row r="204" spans="1:24">
      <c r="A204" s="91"/>
      <c r="B204" s="92"/>
      <c r="C204" s="69"/>
      <c r="D204" s="69"/>
      <c r="E204" s="69"/>
      <c r="F204" s="69"/>
      <c r="G204" s="70"/>
      <c r="H204" s="71"/>
      <c r="I204" s="66"/>
      <c r="J204" s="67"/>
      <c r="K204" s="67"/>
      <c r="L204" s="67"/>
      <c r="M204" s="67"/>
      <c r="N204" s="67"/>
      <c r="O204" s="67"/>
      <c r="P204" s="145" t="str">
        <f t="shared" si="27"/>
        <v/>
      </c>
      <c r="Q204" s="65" t="str">
        <f t="shared" si="28"/>
        <v/>
      </c>
      <c r="R204" s="5" t="str">
        <f t="shared" si="29"/>
        <v/>
      </c>
      <c r="S204" s="5" t="str">
        <f t="shared" si="30"/>
        <v/>
      </c>
      <c r="T204" s="5" t="str">
        <f t="shared" si="31"/>
        <v/>
      </c>
      <c r="U204" s="5" t="str">
        <f t="shared" si="32"/>
        <v/>
      </c>
      <c r="V204" s="5" t="str">
        <f t="shared" si="33"/>
        <v/>
      </c>
      <c r="W204" s="5" t="str">
        <f t="shared" si="34"/>
        <v/>
      </c>
      <c r="X204" s="5" t="str">
        <f t="shared" si="35"/>
        <v/>
      </c>
    </row>
    <row r="205" spans="1:24">
      <c r="A205" s="91"/>
      <c r="B205" s="92"/>
      <c r="C205" s="69"/>
      <c r="D205" s="69"/>
      <c r="E205" s="69"/>
      <c r="F205" s="69"/>
      <c r="G205" s="70"/>
      <c r="H205" s="71"/>
      <c r="I205" s="66"/>
      <c r="J205" s="67"/>
      <c r="K205" s="67"/>
      <c r="L205" s="67"/>
      <c r="M205" s="67"/>
      <c r="N205" s="67"/>
      <c r="O205" s="67"/>
      <c r="P205" s="145" t="str">
        <f t="shared" si="27"/>
        <v/>
      </c>
      <c r="Q205" s="65" t="str">
        <f t="shared" si="28"/>
        <v/>
      </c>
      <c r="R205" s="5" t="str">
        <f t="shared" si="29"/>
        <v/>
      </c>
      <c r="S205" s="5" t="str">
        <f t="shared" si="30"/>
        <v/>
      </c>
      <c r="T205" s="5" t="str">
        <f t="shared" si="31"/>
        <v/>
      </c>
      <c r="U205" s="5" t="str">
        <f t="shared" si="32"/>
        <v/>
      </c>
      <c r="V205" s="5" t="str">
        <f t="shared" si="33"/>
        <v/>
      </c>
      <c r="W205" s="5" t="str">
        <f t="shared" si="34"/>
        <v/>
      </c>
      <c r="X205" s="5" t="str">
        <f t="shared" si="35"/>
        <v/>
      </c>
    </row>
    <row r="206" spans="1:24">
      <c r="A206" s="91"/>
      <c r="B206" s="92"/>
      <c r="C206" s="69"/>
      <c r="D206" s="69"/>
      <c r="E206" s="69"/>
      <c r="F206" s="69"/>
      <c r="G206" s="70"/>
      <c r="H206" s="71"/>
      <c r="I206" s="66"/>
      <c r="J206" s="67"/>
      <c r="K206" s="67"/>
      <c r="L206" s="67"/>
      <c r="M206" s="67"/>
      <c r="N206" s="67"/>
      <c r="O206" s="67"/>
      <c r="P206" s="145" t="str">
        <f t="shared" si="27"/>
        <v/>
      </c>
      <c r="Q206" s="65" t="str">
        <f t="shared" si="28"/>
        <v/>
      </c>
      <c r="R206" s="5" t="str">
        <f t="shared" si="29"/>
        <v/>
      </c>
      <c r="S206" s="5" t="str">
        <f t="shared" si="30"/>
        <v/>
      </c>
      <c r="T206" s="5" t="str">
        <f t="shared" si="31"/>
        <v/>
      </c>
      <c r="U206" s="5" t="str">
        <f t="shared" si="32"/>
        <v/>
      </c>
      <c r="V206" s="5" t="str">
        <f t="shared" si="33"/>
        <v/>
      </c>
      <c r="W206" s="5" t="str">
        <f t="shared" si="34"/>
        <v/>
      </c>
      <c r="X206" s="5" t="str">
        <f t="shared" si="35"/>
        <v/>
      </c>
    </row>
    <row r="207" spans="1:24">
      <c r="A207" s="91"/>
      <c r="B207" s="92"/>
      <c r="C207" s="69"/>
      <c r="D207" s="69"/>
      <c r="E207" s="69"/>
      <c r="F207" s="69"/>
      <c r="G207" s="70"/>
      <c r="H207" s="71"/>
      <c r="I207" s="66"/>
      <c r="J207" s="67"/>
      <c r="K207" s="67"/>
      <c r="L207" s="67"/>
      <c r="M207" s="67"/>
      <c r="N207" s="67"/>
      <c r="O207" s="67"/>
      <c r="P207" s="145" t="str">
        <f t="shared" si="27"/>
        <v/>
      </c>
      <c r="Q207" s="65" t="str">
        <f t="shared" si="28"/>
        <v/>
      </c>
      <c r="R207" s="5" t="str">
        <f t="shared" si="29"/>
        <v/>
      </c>
      <c r="S207" s="5" t="str">
        <f t="shared" si="30"/>
        <v/>
      </c>
      <c r="T207" s="5" t="str">
        <f t="shared" si="31"/>
        <v/>
      </c>
      <c r="U207" s="5" t="str">
        <f t="shared" si="32"/>
        <v/>
      </c>
      <c r="V207" s="5" t="str">
        <f t="shared" si="33"/>
        <v/>
      </c>
      <c r="W207" s="5" t="str">
        <f t="shared" si="34"/>
        <v/>
      </c>
      <c r="X207" s="5" t="str">
        <f t="shared" si="35"/>
        <v/>
      </c>
    </row>
    <row r="208" spans="1:24">
      <c r="A208" s="91"/>
      <c r="B208" s="92"/>
      <c r="C208" s="69"/>
      <c r="D208" s="69"/>
      <c r="E208" s="69"/>
      <c r="F208" s="69"/>
      <c r="G208" s="70"/>
      <c r="H208" s="71"/>
      <c r="I208" s="66"/>
      <c r="J208" s="67"/>
      <c r="K208" s="67"/>
      <c r="L208" s="67"/>
      <c r="M208" s="67"/>
      <c r="N208" s="67"/>
      <c r="O208" s="67"/>
      <c r="P208" s="145" t="str">
        <f t="shared" si="27"/>
        <v/>
      </c>
      <c r="Q208" s="65" t="str">
        <f t="shared" si="28"/>
        <v/>
      </c>
      <c r="R208" s="5" t="str">
        <f t="shared" si="29"/>
        <v/>
      </c>
      <c r="S208" s="5" t="str">
        <f t="shared" si="30"/>
        <v/>
      </c>
      <c r="T208" s="5" t="str">
        <f t="shared" si="31"/>
        <v/>
      </c>
      <c r="U208" s="5" t="str">
        <f t="shared" si="32"/>
        <v/>
      </c>
      <c r="V208" s="5" t="str">
        <f t="shared" si="33"/>
        <v/>
      </c>
      <c r="W208" s="5" t="str">
        <f t="shared" si="34"/>
        <v/>
      </c>
      <c r="X208" s="5" t="str">
        <f t="shared" si="35"/>
        <v/>
      </c>
    </row>
    <row r="209" spans="1:24">
      <c r="A209" s="91"/>
      <c r="B209" s="92"/>
      <c r="C209" s="69"/>
      <c r="D209" s="69"/>
      <c r="E209" s="69"/>
      <c r="F209" s="69"/>
      <c r="G209" s="70"/>
      <c r="H209" s="71"/>
      <c r="I209" s="66"/>
      <c r="J209" s="67"/>
      <c r="K209" s="67"/>
      <c r="L209" s="67"/>
      <c r="M209" s="67"/>
      <c r="N209" s="67"/>
      <c r="O209" s="67"/>
      <c r="P209" s="145" t="str">
        <f t="shared" si="27"/>
        <v/>
      </c>
      <c r="Q209" s="65" t="str">
        <f t="shared" si="28"/>
        <v/>
      </c>
      <c r="R209" s="5" t="str">
        <f t="shared" si="29"/>
        <v/>
      </c>
      <c r="S209" s="5" t="str">
        <f t="shared" si="30"/>
        <v/>
      </c>
      <c r="T209" s="5" t="str">
        <f t="shared" si="31"/>
        <v/>
      </c>
      <c r="U209" s="5" t="str">
        <f t="shared" si="32"/>
        <v/>
      </c>
      <c r="V209" s="5" t="str">
        <f t="shared" si="33"/>
        <v/>
      </c>
      <c r="W209" s="5" t="str">
        <f t="shared" si="34"/>
        <v/>
      </c>
      <c r="X209" s="5" t="str">
        <f t="shared" si="35"/>
        <v/>
      </c>
    </row>
    <row r="210" spans="1:24">
      <c r="A210" s="91"/>
      <c r="B210" s="92"/>
      <c r="C210" s="69"/>
      <c r="D210" s="69"/>
      <c r="E210" s="69"/>
      <c r="F210" s="69"/>
      <c r="G210" s="70"/>
      <c r="H210" s="71"/>
      <c r="I210" s="66"/>
      <c r="J210" s="67"/>
      <c r="K210" s="67"/>
      <c r="L210" s="67"/>
      <c r="M210" s="67"/>
      <c r="N210" s="67"/>
      <c r="O210" s="67"/>
      <c r="P210" s="145" t="str">
        <f t="shared" si="27"/>
        <v/>
      </c>
      <c r="Q210" s="65" t="str">
        <f t="shared" si="28"/>
        <v/>
      </c>
      <c r="R210" s="5" t="str">
        <f t="shared" si="29"/>
        <v/>
      </c>
      <c r="S210" s="5" t="str">
        <f t="shared" si="30"/>
        <v/>
      </c>
      <c r="T210" s="5" t="str">
        <f t="shared" si="31"/>
        <v/>
      </c>
      <c r="U210" s="5" t="str">
        <f t="shared" si="32"/>
        <v/>
      </c>
      <c r="V210" s="5" t="str">
        <f t="shared" si="33"/>
        <v/>
      </c>
      <c r="W210" s="5" t="str">
        <f t="shared" si="34"/>
        <v/>
      </c>
      <c r="X210" s="5" t="str">
        <f t="shared" si="35"/>
        <v/>
      </c>
    </row>
    <row r="211" spans="1:24">
      <c r="A211" s="91"/>
      <c r="B211" s="92"/>
      <c r="C211" s="69"/>
      <c r="D211" s="69"/>
      <c r="E211" s="69"/>
      <c r="F211" s="69"/>
      <c r="G211" s="70"/>
      <c r="H211" s="71"/>
      <c r="I211" s="66"/>
      <c r="J211" s="67"/>
      <c r="K211" s="67"/>
      <c r="L211" s="67"/>
      <c r="M211" s="67"/>
      <c r="N211" s="67"/>
      <c r="O211" s="67"/>
      <c r="P211" s="145" t="str">
        <f t="shared" si="27"/>
        <v/>
      </c>
      <c r="Q211" s="65" t="str">
        <f t="shared" si="28"/>
        <v/>
      </c>
      <c r="R211" s="5" t="str">
        <f t="shared" si="29"/>
        <v/>
      </c>
      <c r="S211" s="5" t="str">
        <f t="shared" si="30"/>
        <v/>
      </c>
      <c r="T211" s="5" t="str">
        <f t="shared" si="31"/>
        <v/>
      </c>
      <c r="U211" s="5" t="str">
        <f t="shared" si="32"/>
        <v/>
      </c>
      <c r="V211" s="5" t="str">
        <f t="shared" si="33"/>
        <v/>
      </c>
      <c r="W211" s="5" t="str">
        <f t="shared" si="34"/>
        <v/>
      </c>
      <c r="X211" s="5" t="str">
        <f t="shared" si="35"/>
        <v/>
      </c>
    </row>
    <row r="212" spans="1:24">
      <c r="A212" s="91"/>
      <c r="B212" s="92"/>
      <c r="C212" s="69"/>
      <c r="D212" s="69"/>
      <c r="E212" s="69"/>
      <c r="F212" s="69"/>
      <c r="G212" s="70"/>
      <c r="H212" s="71"/>
      <c r="I212" s="66"/>
      <c r="J212" s="67"/>
      <c r="K212" s="67"/>
      <c r="L212" s="67"/>
      <c r="M212" s="67"/>
      <c r="N212" s="67"/>
      <c r="O212" s="67"/>
      <c r="P212" s="145" t="str">
        <f t="shared" si="27"/>
        <v/>
      </c>
      <c r="Q212" s="65" t="str">
        <f t="shared" si="28"/>
        <v/>
      </c>
      <c r="R212" s="5" t="str">
        <f t="shared" si="29"/>
        <v/>
      </c>
      <c r="S212" s="5" t="str">
        <f t="shared" si="30"/>
        <v/>
      </c>
      <c r="T212" s="5" t="str">
        <f t="shared" si="31"/>
        <v/>
      </c>
      <c r="U212" s="5" t="str">
        <f t="shared" si="32"/>
        <v/>
      </c>
      <c r="V212" s="5" t="str">
        <f t="shared" si="33"/>
        <v/>
      </c>
      <c r="W212" s="5" t="str">
        <f t="shared" si="34"/>
        <v/>
      </c>
      <c r="X212" s="5" t="str">
        <f t="shared" si="35"/>
        <v/>
      </c>
    </row>
    <row r="213" spans="1:24">
      <c r="A213" s="91"/>
      <c r="B213" s="92"/>
      <c r="C213" s="69"/>
      <c r="D213" s="69"/>
      <c r="E213" s="69"/>
      <c r="F213" s="69"/>
      <c r="G213" s="70"/>
      <c r="H213" s="71"/>
      <c r="I213" s="66"/>
      <c r="J213" s="67"/>
      <c r="K213" s="67"/>
      <c r="L213" s="67"/>
      <c r="M213" s="67"/>
      <c r="N213" s="67"/>
      <c r="O213" s="67"/>
      <c r="P213" s="145" t="str">
        <f t="shared" si="27"/>
        <v/>
      </c>
      <c r="Q213" s="65" t="str">
        <f t="shared" si="28"/>
        <v/>
      </c>
      <c r="R213" s="5" t="str">
        <f t="shared" si="29"/>
        <v/>
      </c>
      <c r="S213" s="5" t="str">
        <f t="shared" si="30"/>
        <v/>
      </c>
      <c r="T213" s="5" t="str">
        <f t="shared" si="31"/>
        <v/>
      </c>
      <c r="U213" s="5" t="str">
        <f t="shared" si="32"/>
        <v/>
      </c>
      <c r="V213" s="5" t="str">
        <f t="shared" si="33"/>
        <v/>
      </c>
      <c r="W213" s="5" t="str">
        <f t="shared" si="34"/>
        <v/>
      </c>
      <c r="X213" s="5" t="str">
        <f t="shared" si="35"/>
        <v/>
      </c>
    </row>
    <row r="214" spans="1:24">
      <c r="A214" s="91"/>
      <c r="B214" s="92"/>
      <c r="C214" s="69"/>
      <c r="D214" s="69"/>
      <c r="E214" s="69"/>
      <c r="F214" s="69"/>
      <c r="G214" s="70"/>
      <c r="H214" s="71"/>
      <c r="I214" s="66"/>
      <c r="J214" s="67"/>
      <c r="K214" s="67"/>
      <c r="L214" s="67"/>
      <c r="M214" s="67"/>
      <c r="N214" s="67"/>
      <c r="O214" s="67"/>
      <c r="P214" s="145" t="str">
        <f t="shared" si="27"/>
        <v/>
      </c>
      <c r="Q214" s="65" t="str">
        <f t="shared" si="28"/>
        <v/>
      </c>
      <c r="R214" s="5" t="str">
        <f t="shared" si="29"/>
        <v/>
      </c>
      <c r="S214" s="5" t="str">
        <f t="shared" si="30"/>
        <v/>
      </c>
      <c r="T214" s="5" t="str">
        <f t="shared" si="31"/>
        <v/>
      </c>
      <c r="U214" s="5" t="str">
        <f t="shared" si="32"/>
        <v/>
      </c>
      <c r="V214" s="5" t="str">
        <f t="shared" si="33"/>
        <v/>
      </c>
      <c r="W214" s="5" t="str">
        <f t="shared" si="34"/>
        <v/>
      </c>
      <c r="X214" s="5" t="str">
        <f t="shared" si="35"/>
        <v/>
      </c>
    </row>
    <row r="215" spans="1:24">
      <c r="A215" s="91"/>
      <c r="B215" s="92"/>
      <c r="C215" s="69"/>
      <c r="D215" s="69"/>
      <c r="E215" s="69"/>
      <c r="F215" s="69"/>
      <c r="G215" s="70"/>
      <c r="H215" s="71"/>
      <c r="I215" s="66"/>
      <c r="J215" s="67"/>
      <c r="K215" s="67"/>
      <c r="L215" s="67"/>
      <c r="M215" s="67"/>
      <c r="N215" s="67"/>
      <c r="O215" s="67"/>
      <c r="P215" s="145" t="str">
        <f t="shared" si="27"/>
        <v/>
      </c>
      <c r="Q215" s="65" t="str">
        <f t="shared" si="28"/>
        <v/>
      </c>
      <c r="R215" s="5" t="str">
        <f t="shared" si="29"/>
        <v/>
      </c>
      <c r="S215" s="5" t="str">
        <f t="shared" si="30"/>
        <v/>
      </c>
      <c r="T215" s="5" t="str">
        <f t="shared" si="31"/>
        <v/>
      </c>
      <c r="U215" s="5" t="str">
        <f t="shared" si="32"/>
        <v/>
      </c>
      <c r="V215" s="5" t="str">
        <f t="shared" si="33"/>
        <v/>
      </c>
      <c r="W215" s="5" t="str">
        <f t="shared" si="34"/>
        <v/>
      </c>
      <c r="X215" s="5" t="str">
        <f t="shared" si="35"/>
        <v/>
      </c>
    </row>
    <row r="216" spans="1:24">
      <c r="A216" s="91"/>
      <c r="B216" s="92"/>
      <c r="C216" s="69"/>
      <c r="D216" s="69"/>
      <c r="E216" s="69"/>
      <c r="F216" s="69"/>
      <c r="G216" s="70"/>
      <c r="H216" s="71"/>
      <c r="I216" s="66"/>
      <c r="J216" s="67"/>
      <c r="K216" s="67"/>
      <c r="L216" s="67"/>
      <c r="M216" s="67"/>
      <c r="N216" s="67"/>
      <c r="O216" s="67"/>
      <c r="P216" s="145" t="str">
        <f t="shared" si="27"/>
        <v/>
      </c>
      <c r="Q216" s="65" t="str">
        <f t="shared" si="28"/>
        <v/>
      </c>
      <c r="R216" s="5" t="str">
        <f t="shared" si="29"/>
        <v/>
      </c>
      <c r="S216" s="5" t="str">
        <f t="shared" si="30"/>
        <v/>
      </c>
      <c r="T216" s="5" t="str">
        <f t="shared" si="31"/>
        <v/>
      </c>
      <c r="U216" s="5" t="str">
        <f t="shared" si="32"/>
        <v/>
      </c>
      <c r="V216" s="5" t="str">
        <f t="shared" si="33"/>
        <v/>
      </c>
      <c r="W216" s="5" t="str">
        <f t="shared" si="34"/>
        <v/>
      </c>
      <c r="X216" s="5" t="str">
        <f t="shared" si="35"/>
        <v/>
      </c>
    </row>
    <row r="217" spans="1:24">
      <c r="A217" s="91"/>
      <c r="B217" s="92"/>
      <c r="C217" s="69"/>
      <c r="D217" s="69"/>
      <c r="E217" s="69"/>
      <c r="F217" s="69"/>
      <c r="G217" s="70"/>
      <c r="H217" s="71"/>
      <c r="I217" s="66"/>
      <c r="J217" s="67"/>
      <c r="K217" s="67"/>
      <c r="L217" s="67"/>
      <c r="M217" s="67"/>
      <c r="N217" s="67"/>
      <c r="O217" s="67"/>
      <c r="P217" s="145" t="str">
        <f t="shared" si="27"/>
        <v/>
      </c>
      <c r="Q217" s="65" t="str">
        <f t="shared" si="28"/>
        <v/>
      </c>
      <c r="R217" s="5" t="str">
        <f t="shared" si="29"/>
        <v/>
      </c>
      <c r="S217" s="5" t="str">
        <f t="shared" si="30"/>
        <v/>
      </c>
      <c r="T217" s="5" t="str">
        <f t="shared" si="31"/>
        <v/>
      </c>
      <c r="U217" s="5" t="str">
        <f t="shared" si="32"/>
        <v/>
      </c>
      <c r="V217" s="5" t="str">
        <f t="shared" si="33"/>
        <v/>
      </c>
      <c r="W217" s="5" t="str">
        <f t="shared" si="34"/>
        <v/>
      </c>
      <c r="X217" s="5" t="str">
        <f t="shared" si="35"/>
        <v/>
      </c>
    </row>
    <row r="218" spans="1:24">
      <c r="A218" s="91"/>
      <c r="B218" s="92"/>
      <c r="C218" s="69"/>
      <c r="D218" s="69"/>
      <c r="E218" s="69"/>
      <c r="F218" s="69"/>
      <c r="G218" s="70"/>
      <c r="H218" s="71"/>
      <c r="I218" s="66"/>
      <c r="J218" s="67"/>
      <c r="K218" s="67"/>
      <c r="L218" s="67"/>
      <c r="M218" s="67"/>
      <c r="N218" s="67"/>
      <c r="O218" s="67"/>
      <c r="P218" s="145" t="str">
        <f t="shared" si="27"/>
        <v/>
      </c>
      <c r="Q218" s="65" t="str">
        <f t="shared" si="28"/>
        <v/>
      </c>
      <c r="R218" s="5" t="str">
        <f t="shared" si="29"/>
        <v/>
      </c>
      <c r="S218" s="5" t="str">
        <f t="shared" si="30"/>
        <v/>
      </c>
      <c r="T218" s="5" t="str">
        <f t="shared" si="31"/>
        <v/>
      </c>
      <c r="U218" s="5" t="str">
        <f t="shared" si="32"/>
        <v/>
      </c>
      <c r="V218" s="5" t="str">
        <f t="shared" si="33"/>
        <v/>
      </c>
      <c r="W218" s="5" t="str">
        <f t="shared" si="34"/>
        <v/>
      </c>
      <c r="X218" s="5" t="str">
        <f t="shared" si="35"/>
        <v/>
      </c>
    </row>
    <row r="219" spans="1:24">
      <c r="A219" s="91"/>
      <c r="B219" s="92"/>
      <c r="C219" s="69"/>
      <c r="D219" s="69"/>
      <c r="E219" s="69"/>
      <c r="F219" s="69"/>
      <c r="G219" s="70"/>
      <c r="H219" s="71"/>
      <c r="I219" s="66"/>
      <c r="J219" s="67"/>
      <c r="K219" s="67"/>
      <c r="L219" s="67"/>
      <c r="M219" s="67"/>
      <c r="N219" s="67"/>
      <c r="O219" s="67"/>
      <c r="P219" s="145" t="str">
        <f t="shared" si="27"/>
        <v/>
      </c>
      <c r="Q219" s="65" t="str">
        <f t="shared" si="28"/>
        <v/>
      </c>
      <c r="R219" s="5" t="str">
        <f t="shared" si="29"/>
        <v/>
      </c>
      <c r="S219" s="5" t="str">
        <f t="shared" si="30"/>
        <v/>
      </c>
      <c r="T219" s="5" t="str">
        <f t="shared" si="31"/>
        <v/>
      </c>
      <c r="U219" s="5" t="str">
        <f t="shared" si="32"/>
        <v/>
      </c>
      <c r="V219" s="5" t="str">
        <f t="shared" si="33"/>
        <v/>
      </c>
      <c r="W219" s="5" t="str">
        <f t="shared" si="34"/>
        <v/>
      </c>
      <c r="X219" s="5" t="str">
        <f t="shared" si="35"/>
        <v/>
      </c>
    </row>
    <row r="220" spans="1:24">
      <c r="A220" s="91"/>
      <c r="B220" s="92"/>
      <c r="C220" s="69"/>
      <c r="D220" s="69"/>
      <c r="E220" s="69"/>
      <c r="F220" s="69"/>
      <c r="G220" s="70"/>
      <c r="H220" s="71"/>
      <c r="I220" s="66"/>
      <c r="J220" s="67"/>
      <c r="K220" s="67"/>
      <c r="L220" s="67"/>
      <c r="M220" s="67"/>
      <c r="N220" s="67"/>
      <c r="O220" s="67"/>
      <c r="P220" s="145" t="str">
        <f t="shared" si="27"/>
        <v/>
      </c>
      <c r="Q220" s="65" t="str">
        <f t="shared" si="28"/>
        <v/>
      </c>
      <c r="R220" s="5" t="str">
        <f t="shared" si="29"/>
        <v/>
      </c>
      <c r="S220" s="5" t="str">
        <f t="shared" si="30"/>
        <v/>
      </c>
      <c r="T220" s="5" t="str">
        <f t="shared" si="31"/>
        <v/>
      </c>
      <c r="U220" s="5" t="str">
        <f t="shared" si="32"/>
        <v/>
      </c>
      <c r="V220" s="5" t="str">
        <f t="shared" si="33"/>
        <v/>
      </c>
      <c r="W220" s="5" t="str">
        <f t="shared" si="34"/>
        <v/>
      </c>
      <c r="X220" s="5" t="str">
        <f t="shared" si="35"/>
        <v/>
      </c>
    </row>
    <row r="221" spans="1:24">
      <c r="A221" s="91"/>
      <c r="B221" s="92"/>
      <c r="C221" s="69"/>
      <c r="D221" s="69"/>
      <c r="E221" s="69"/>
      <c r="F221" s="69"/>
      <c r="G221" s="70"/>
      <c r="H221" s="71"/>
      <c r="I221" s="66"/>
      <c r="J221" s="67"/>
      <c r="K221" s="67"/>
      <c r="L221" s="67"/>
      <c r="M221" s="67"/>
      <c r="N221" s="67"/>
      <c r="O221" s="67"/>
      <c r="P221" s="145" t="str">
        <f t="shared" si="27"/>
        <v/>
      </c>
      <c r="Q221" s="65" t="str">
        <f t="shared" si="28"/>
        <v/>
      </c>
      <c r="R221" s="5" t="str">
        <f t="shared" si="29"/>
        <v/>
      </c>
      <c r="S221" s="5" t="str">
        <f t="shared" si="30"/>
        <v/>
      </c>
      <c r="T221" s="5" t="str">
        <f t="shared" si="31"/>
        <v/>
      </c>
      <c r="U221" s="5" t="str">
        <f t="shared" si="32"/>
        <v/>
      </c>
      <c r="V221" s="5" t="str">
        <f t="shared" si="33"/>
        <v/>
      </c>
      <c r="W221" s="5" t="str">
        <f t="shared" si="34"/>
        <v/>
      </c>
      <c r="X221" s="5" t="str">
        <f t="shared" si="35"/>
        <v/>
      </c>
    </row>
    <row r="222" spans="1:24">
      <c r="A222" s="91"/>
      <c r="B222" s="92"/>
      <c r="C222" s="69"/>
      <c r="D222" s="69"/>
      <c r="E222" s="69"/>
      <c r="F222" s="69"/>
      <c r="G222" s="70"/>
      <c r="H222" s="71"/>
      <c r="I222" s="66"/>
      <c r="J222" s="67"/>
      <c r="K222" s="67"/>
      <c r="L222" s="67"/>
      <c r="M222" s="67"/>
      <c r="N222" s="67"/>
      <c r="O222" s="67"/>
      <c r="P222" s="145" t="str">
        <f t="shared" si="27"/>
        <v/>
      </c>
      <c r="Q222" s="65" t="str">
        <f t="shared" si="28"/>
        <v/>
      </c>
      <c r="R222" s="5" t="str">
        <f t="shared" si="29"/>
        <v/>
      </c>
      <c r="S222" s="5" t="str">
        <f t="shared" si="30"/>
        <v/>
      </c>
      <c r="T222" s="5" t="str">
        <f t="shared" si="31"/>
        <v/>
      </c>
      <c r="U222" s="5" t="str">
        <f t="shared" si="32"/>
        <v/>
      </c>
      <c r="V222" s="5" t="str">
        <f t="shared" si="33"/>
        <v/>
      </c>
      <c r="W222" s="5" t="str">
        <f t="shared" si="34"/>
        <v/>
      </c>
      <c r="X222" s="5" t="str">
        <f t="shared" si="35"/>
        <v/>
      </c>
    </row>
    <row r="223" spans="1:24">
      <c r="A223" s="91"/>
      <c r="B223" s="92"/>
      <c r="C223" s="69"/>
      <c r="D223" s="69"/>
      <c r="E223" s="69"/>
      <c r="F223" s="69"/>
      <c r="G223" s="70"/>
      <c r="H223" s="71"/>
      <c r="I223" s="66"/>
      <c r="J223" s="67"/>
      <c r="K223" s="67"/>
      <c r="L223" s="67"/>
      <c r="M223" s="67"/>
      <c r="N223" s="67"/>
      <c r="O223" s="67"/>
      <c r="P223" s="145" t="str">
        <f t="shared" si="27"/>
        <v/>
      </c>
      <c r="Q223" s="65" t="str">
        <f t="shared" si="28"/>
        <v/>
      </c>
      <c r="R223" s="5" t="str">
        <f t="shared" si="29"/>
        <v/>
      </c>
      <c r="S223" s="5" t="str">
        <f t="shared" si="30"/>
        <v/>
      </c>
      <c r="T223" s="5" t="str">
        <f t="shared" si="31"/>
        <v/>
      </c>
      <c r="U223" s="5" t="str">
        <f t="shared" si="32"/>
        <v/>
      </c>
      <c r="V223" s="5" t="str">
        <f t="shared" si="33"/>
        <v/>
      </c>
      <c r="W223" s="5" t="str">
        <f t="shared" si="34"/>
        <v/>
      </c>
      <c r="X223" s="5" t="str">
        <f t="shared" si="35"/>
        <v/>
      </c>
    </row>
    <row r="224" spans="1:24">
      <c r="A224" s="91"/>
      <c r="B224" s="92"/>
      <c r="C224" s="69"/>
      <c r="D224" s="69"/>
      <c r="E224" s="69"/>
      <c r="F224" s="69"/>
      <c r="G224" s="70"/>
      <c r="H224" s="71"/>
      <c r="I224" s="66"/>
      <c r="J224" s="67"/>
      <c r="K224" s="67"/>
      <c r="L224" s="67"/>
      <c r="M224" s="67"/>
      <c r="N224" s="67"/>
      <c r="O224" s="67"/>
      <c r="P224" s="145" t="str">
        <f t="shared" si="27"/>
        <v/>
      </c>
      <c r="Q224" s="65" t="str">
        <f t="shared" si="28"/>
        <v/>
      </c>
      <c r="R224" s="5" t="str">
        <f t="shared" si="29"/>
        <v/>
      </c>
      <c r="S224" s="5" t="str">
        <f t="shared" si="30"/>
        <v/>
      </c>
      <c r="T224" s="5" t="str">
        <f t="shared" si="31"/>
        <v/>
      </c>
      <c r="U224" s="5" t="str">
        <f t="shared" si="32"/>
        <v/>
      </c>
      <c r="V224" s="5" t="str">
        <f t="shared" si="33"/>
        <v/>
      </c>
      <c r="W224" s="5" t="str">
        <f t="shared" si="34"/>
        <v/>
      </c>
      <c r="X224" s="5" t="str">
        <f t="shared" si="35"/>
        <v/>
      </c>
    </row>
    <row r="225" spans="1:24">
      <c r="A225" s="91"/>
      <c r="B225" s="92"/>
      <c r="C225" s="69"/>
      <c r="D225" s="69"/>
      <c r="E225" s="69"/>
      <c r="F225" s="69"/>
      <c r="G225" s="70"/>
      <c r="H225" s="71"/>
      <c r="I225" s="66"/>
      <c r="J225" s="67"/>
      <c r="K225" s="67"/>
      <c r="L225" s="67"/>
      <c r="M225" s="67"/>
      <c r="N225" s="67"/>
      <c r="O225" s="67"/>
      <c r="P225" s="145" t="str">
        <f t="shared" si="27"/>
        <v/>
      </c>
      <c r="Q225" s="65" t="str">
        <f t="shared" si="28"/>
        <v/>
      </c>
      <c r="R225" s="5" t="str">
        <f t="shared" si="29"/>
        <v/>
      </c>
      <c r="S225" s="5" t="str">
        <f t="shared" si="30"/>
        <v/>
      </c>
      <c r="T225" s="5" t="str">
        <f t="shared" si="31"/>
        <v/>
      </c>
      <c r="U225" s="5" t="str">
        <f t="shared" si="32"/>
        <v/>
      </c>
      <c r="V225" s="5" t="str">
        <f t="shared" si="33"/>
        <v/>
      </c>
      <c r="W225" s="5" t="str">
        <f t="shared" si="34"/>
        <v/>
      </c>
      <c r="X225" s="5" t="str">
        <f t="shared" si="35"/>
        <v/>
      </c>
    </row>
    <row r="226" spans="1:24">
      <c r="A226" s="91"/>
      <c r="B226" s="92"/>
      <c r="C226" s="69"/>
      <c r="D226" s="69"/>
      <c r="E226" s="69"/>
      <c r="F226" s="69"/>
      <c r="G226" s="70"/>
      <c r="H226" s="71"/>
      <c r="I226" s="66"/>
      <c r="J226" s="67"/>
      <c r="K226" s="67"/>
      <c r="L226" s="67"/>
      <c r="M226" s="67"/>
      <c r="N226" s="67"/>
      <c r="O226" s="67"/>
      <c r="P226" s="145" t="str">
        <f t="shared" si="27"/>
        <v/>
      </c>
      <c r="Q226" s="65" t="str">
        <f t="shared" si="28"/>
        <v/>
      </c>
      <c r="R226" s="5" t="str">
        <f t="shared" si="29"/>
        <v/>
      </c>
      <c r="S226" s="5" t="str">
        <f t="shared" si="30"/>
        <v/>
      </c>
      <c r="T226" s="5" t="str">
        <f t="shared" si="31"/>
        <v/>
      </c>
      <c r="U226" s="5" t="str">
        <f t="shared" si="32"/>
        <v/>
      </c>
      <c r="V226" s="5" t="str">
        <f t="shared" si="33"/>
        <v/>
      </c>
      <c r="W226" s="5" t="str">
        <f t="shared" si="34"/>
        <v/>
      </c>
      <c r="X226" s="5" t="str">
        <f t="shared" si="35"/>
        <v/>
      </c>
    </row>
    <row r="227" spans="1:24">
      <c r="A227" s="91"/>
      <c r="B227" s="92"/>
      <c r="C227" s="69"/>
      <c r="D227" s="69"/>
      <c r="E227" s="69"/>
      <c r="F227" s="69"/>
      <c r="G227" s="70"/>
      <c r="H227" s="71"/>
      <c r="I227" s="66"/>
      <c r="J227" s="67"/>
      <c r="K227" s="67"/>
      <c r="L227" s="67"/>
      <c r="M227" s="67"/>
      <c r="N227" s="67"/>
      <c r="O227" s="67"/>
      <c r="P227" s="145" t="str">
        <f t="shared" si="27"/>
        <v/>
      </c>
      <c r="Q227" s="65" t="str">
        <f t="shared" si="28"/>
        <v/>
      </c>
      <c r="R227" s="5" t="str">
        <f t="shared" si="29"/>
        <v/>
      </c>
      <c r="S227" s="5" t="str">
        <f t="shared" si="30"/>
        <v/>
      </c>
      <c r="T227" s="5" t="str">
        <f t="shared" si="31"/>
        <v/>
      </c>
      <c r="U227" s="5" t="str">
        <f t="shared" si="32"/>
        <v/>
      </c>
      <c r="V227" s="5" t="str">
        <f t="shared" si="33"/>
        <v/>
      </c>
      <c r="W227" s="5" t="str">
        <f t="shared" si="34"/>
        <v/>
      </c>
      <c r="X227" s="5" t="str">
        <f t="shared" si="35"/>
        <v/>
      </c>
    </row>
    <row r="228" spans="1:24">
      <c r="A228" s="91"/>
      <c r="B228" s="92"/>
      <c r="C228" s="69"/>
      <c r="D228" s="69"/>
      <c r="E228" s="69"/>
      <c r="F228" s="69"/>
      <c r="G228" s="70"/>
      <c r="H228" s="71"/>
      <c r="I228" s="66"/>
      <c r="J228" s="67"/>
      <c r="K228" s="67"/>
      <c r="L228" s="67"/>
      <c r="M228" s="67"/>
      <c r="N228" s="67"/>
      <c r="O228" s="67"/>
      <c r="P228" s="145" t="str">
        <f t="shared" si="27"/>
        <v/>
      </c>
      <c r="Q228" s="65" t="str">
        <f t="shared" si="28"/>
        <v/>
      </c>
      <c r="R228" s="5" t="str">
        <f t="shared" si="29"/>
        <v/>
      </c>
      <c r="S228" s="5" t="str">
        <f t="shared" si="30"/>
        <v/>
      </c>
      <c r="T228" s="5" t="str">
        <f t="shared" si="31"/>
        <v/>
      </c>
      <c r="U228" s="5" t="str">
        <f t="shared" si="32"/>
        <v/>
      </c>
      <c r="V228" s="5" t="str">
        <f t="shared" si="33"/>
        <v/>
      </c>
      <c r="W228" s="5" t="str">
        <f t="shared" si="34"/>
        <v/>
      </c>
      <c r="X228" s="5" t="str">
        <f t="shared" si="35"/>
        <v/>
      </c>
    </row>
    <row r="229" spans="1:24">
      <c r="A229" s="91"/>
      <c r="B229" s="92"/>
      <c r="C229" s="69"/>
      <c r="D229" s="69"/>
      <c r="E229" s="69"/>
      <c r="F229" s="69"/>
      <c r="G229" s="70"/>
      <c r="H229" s="71"/>
      <c r="I229" s="66"/>
      <c r="J229" s="67"/>
      <c r="K229" s="67"/>
      <c r="L229" s="67"/>
      <c r="M229" s="67"/>
      <c r="N229" s="67"/>
      <c r="O229" s="67"/>
      <c r="P229" s="145" t="str">
        <f t="shared" si="27"/>
        <v/>
      </c>
      <c r="Q229" s="65" t="str">
        <f t="shared" si="28"/>
        <v/>
      </c>
      <c r="R229" s="5" t="str">
        <f t="shared" si="29"/>
        <v/>
      </c>
      <c r="S229" s="5" t="str">
        <f t="shared" si="30"/>
        <v/>
      </c>
      <c r="T229" s="5" t="str">
        <f t="shared" si="31"/>
        <v/>
      </c>
      <c r="U229" s="5" t="str">
        <f t="shared" si="32"/>
        <v/>
      </c>
      <c r="V229" s="5" t="str">
        <f t="shared" si="33"/>
        <v/>
      </c>
      <c r="W229" s="5" t="str">
        <f t="shared" si="34"/>
        <v/>
      </c>
      <c r="X229" s="5" t="str">
        <f t="shared" si="35"/>
        <v/>
      </c>
    </row>
    <row r="230" spans="1:24">
      <c r="A230" s="91"/>
      <c r="B230" s="92"/>
      <c r="C230" s="69"/>
      <c r="D230" s="69"/>
      <c r="E230" s="69"/>
      <c r="F230" s="69"/>
      <c r="G230" s="70"/>
      <c r="H230" s="71"/>
      <c r="I230" s="66"/>
      <c r="J230" s="67"/>
      <c r="K230" s="67"/>
      <c r="L230" s="67"/>
      <c r="M230" s="67"/>
      <c r="N230" s="67"/>
      <c r="O230" s="67"/>
      <c r="P230" s="145" t="str">
        <f t="shared" si="27"/>
        <v/>
      </c>
      <c r="Q230" s="65" t="str">
        <f t="shared" si="28"/>
        <v/>
      </c>
      <c r="R230" s="5" t="str">
        <f t="shared" si="29"/>
        <v/>
      </c>
      <c r="S230" s="5" t="str">
        <f t="shared" si="30"/>
        <v/>
      </c>
      <c r="T230" s="5" t="str">
        <f t="shared" si="31"/>
        <v/>
      </c>
      <c r="U230" s="5" t="str">
        <f t="shared" si="32"/>
        <v/>
      </c>
      <c r="V230" s="5" t="str">
        <f t="shared" si="33"/>
        <v/>
      </c>
      <c r="W230" s="5" t="str">
        <f t="shared" si="34"/>
        <v/>
      </c>
      <c r="X230" s="5" t="str">
        <f t="shared" si="35"/>
        <v/>
      </c>
    </row>
    <row r="231" spans="1:24">
      <c r="A231" s="91"/>
      <c r="B231" s="92"/>
      <c r="C231" s="69"/>
      <c r="D231" s="69"/>
      <c r="E231" s="69"/>
      <c r="F231" s="69"/>
      <c r="G231" s="70"/>
      <c r="H231" s="71"/>
      <c r="I231" s="66"/>
      <c r="J231" s="67"/>
      <c r="K231" s="67"/>
      <c r="L231" s="67"/>
      <c r="M231" s="67"/>
      <c r="N231" s="67"/>
      <c r="O231" s="67"/>
      <c r="P231" s="145" t="str">
        <f t="shared" si="27"/>
        <v/>
      </c>
      <c r="Q231" s="65" t="str">
        <f t="shared" si="28"/>
        <v/>
      </c>
      <c r="R231" s="5" t="str">
        <f t="shared" si="29"/>
        <v/>
      </c>
      <c r="S231" s="5" t="str">
        <f t="shared" si="30"/>
        <v/>
      </c>
      <c r="T231" s="5" t="str">
        <f t="shared" si="31"/>
        <v/>
      </c>
      <c r="U231" s="5" t="str">
        <f t="shared" si="32"/>
        <v/>
      </c>
      <c r="V231" s="5" t="str">
        <f t="shared" si="33"/>
        <v/>
      </c>
      <c r="W231" s="5" t="str">
        <f t="shared" si="34"/>
        <v/>
      </c>
      <c r="X231" s="5" t="str">
        <f t="shared" si="35"/>
        <v/>
      </c>
    </row>
    <row r="232" spans="1:24">
      <c r="A232" s="91"/>
      <c r="B232" s="92"/>
      <c r="C232" s="69"/>
      <c r="D232" s="69"/>
      <c r="E232" s="69"/>
      <c r="F232" s="69"/>
      <c r="G232" s="70"/>
      <c r="H232" s="71"/>
      <c r="I232" s="66"/>
      <c r="J232" s="67"/>
      <c r="K232" s="67"/>
      <c r="L232" s="67"/>
      <c r="M232" s="67"/>
      <c r="N232" s="67"/>
      <c r="O232" s="67"/>
      <c r="P232" s="145" t="str">
        <f t="shared" si="27"/>
        <v/>
      </c>
      <c r="Q232" s="65" t="str">
        <f t="shared" si="28"/>
        <v/>
      </c>
      <c r="R232" s="5" t="str">
        <f t="shared" si="29"/>
        <v/>
      </c>
      <c r="S232" s="5" t="str">
        <f t="shared" si="30"/>
        <v/>
      </c>
      <c r="T232" s="5" t="str">
        <f t="shared" si="31"/>
        <v/>
      </c>
      <c r="U232" s="5" t="str">
        <f t="shared" si="32"/>
        <v/>
      </c>
      <c r="V232" s="5" t="str">
        <f t="shared" si="33"/>
        <v/>
      </c>
      <c r="W232" s="5" t="str">
        <f t="shared" si="34"/>
        <v/>
      </c>
      <c r="X232" s="5" t="str">
        <f t="shared" si="35"/>
        <v/>
      </c>
    </row>
    <row r="233" spans="1:24">
      <c r="A233" s="91"/>
      <c r="B233" s="92"/>
      <c r="C233" s="69"/>
      <c r="D233" s="69"/>
      <c r="E233" s="69"/>
      <c r="F233" s="69"/>
      <c r="G233" s="70"/>
      <c r="H233" s="71"/>
      <c r="I233" s="66"/>
      <c r="J233" s="67"/>
      <c r="K233" s="67"/>
      <c r="L233" s="67"/>
      <c r="M233" s="67"/>
      <c r="N233" s="67"/>
      <c r="O233" s="67"/>
      <c r="P233" s="145" t="str">
        <f t="shared" si="27"/>
        <v/>
      </c>
      <c r="Q233" s="65" t="str">
        <f t="shared" si="28"/>
        <v/>
      </c>
      <c r="R233" s="5" t="str">
        <f t="shared" si="29"/>
        <v/>
      </c>
      <c r="S233" s="5" t="str">
        <f t="shared" si="30"/>
        <v/>
      </c>
      <c r="T233" s="5" t="str">
        <f t="shared" si="31"/>
        <v/>
      </c>
      <c r="U233" s="5" t="str">
        <f t="shared" si="32"/>
        <v/>
      </c>
      <c r="V233" s="5" t="str">
        <f t="shared" si="33"/>
        <v/>
      </c>
      <c r="W233" s="5" t="str">
        <f t="shared" si="34"/>
        <v/>
      </c>
      <c r="X233" s="5" t="str">
        <f t="shared" si="35"/>
        <v/>
      </c>
    </row>
    <row r="234" spans="1:24">
      <c r="A234" s="91"/>
      <c r="B234" s="92"/>
      <c r="C234" s="69"/>
      <c r="D234" s="69"/>
      <c r="E234" s="69"/>
      <c r="F234" s="69"/>
      <c r="G234" s="70"/>
      <c r="H234" s="71"/>
      <c r="I234" s="66"/>
      <c r="J234" s="67"/>
      <c r="K234" s="67"/>
      <c r="L234" s="67"/>
      <c r="M234" s="67"/>
      <c r="N234" s="67"/>
      <c r="O234" s="67"/>
      <c r="P234" s="145" t="str">
        <f t="shared" si="27"/>
        <v/>
      </c>
      <c r="Q234" s="65" t="str">
        <f t="shared" si="28"/>
        <v/>
      </c>
      <c r="R234" s="5" t="str">
        <f t="shared" si="29"/>
        <v/>
      </c>
      <c r="S234" s="5" t="str">
        <f t="shared" si="30"/>
        <v/>
      </c>
      <c r="T234" s="5" t="str">
        <f t="shared" si="31"/>
        <v/>
      </c>
      <c r="U234" s="5" t="str">
        <f t="shared" si="32"/>
        <v/>
      </c>
      <c r="V234" s="5" t="str">
        <f t="shared" si="33"/>
        <v/>
      </c>
      <c r="W234" s="5" t="str">
        <f t="shared" si="34"/>
        <v/>
      </c>
      <c r="X234" s="5" t="str">
        <f t="shared" si="35"/>
        <v/>
      </c>
    </row>
    <row r="235" spans="1:24">
      <c r="A235" s="91"/>
      <c r="B235" s="92"/>
      <c r="C235" s="69"/>
      <c r="D235" s="69"/>
      <c r="E235" s="69"/>
      <c r="F235" s="69"/>
      <c r="G235" s="70"/>
      <c r="H235" s="71"/>
      <c r="I235" s="66"/>
      <c r="J235" s="67"/>
      <c r="K235" s="67"/>
      <c r="L235" s="67"/>
      <c r="M235" s="67"/>
      <c r="N235" s="67"/>
      <c r="O235" s="67"/>
      <c r="P235" s="145" t="str">
        <f t="shared" si="27"/>
        <v/>
      </c>
      <c r="Q235" s="65" t="str">
        <f t="shared" si="28"/>
        <v/>
      </c>
      <c r="R235" s="5" t="str">
        <f t="shared" si="29"/>
        <v/>
      </c>
      <c r="S235" s="5" t="str">
        <f t="shared" si="30"/>
        <v/>
      </c>
      <c r="T235" s="5" t="str">
        <f t="shared" si="31"/>
        <v/>
      </c>
      <c r="U235" s="5" t="str">
        <f t="shared" si="32"/>
        <v/>
      </c>
      <c r="V235" s="5" t="str">
        <f t="shared" si="33"/>
        <v/>
      </c>
      <c r="W235" s="5" t="str">
        <f t="shared" si="34"/>
        <v/>
      </c>
      <c r="X235" s="5" t="str">
        <f t="shared" si="35"/>
        <v/>
      </c>
    </row>
    <row r="236" spans="1:24">
      <c r="A236" s="91"/>
      <c r="B236" s="92"/>
      <c r="C236" s="69"/>
      <c r="D236" s="69"/>
      <c r="E236" s="69"/>
      <c r="F236" s="69"/>
      <c r="G236" s="70"/>
      <c r="H236" s="71"/>
      <c r="I236" s="66"/>
      <c r="J236" s="67"/>
      <c r="K236" s="67"/>
      <c r="L236" s="67"/>
      <c r="M236" s="67"/>
      <c r="N236" s="67"/>
      <c r="O236" s="67"/>
      <c r="P236" s="145" t="str">
        <f t="shared" si="27"/>
        <v/>
      </c>
      <c r="Q236" s="65" t="str">
        <f t="shared" si="28"/>
        <v/>
      </c>
      <c r="R236" s="5" t="str">
        <f t="shared" si="29"/>
        <v/>
      </c>
      <c r="S236" s="5" t="str">
        <f t="shared" si="30"/>
        <v/>
      </c>
      <c r="T236" s="5" t="str">
        <f t="shared" si="31"/>
        <v/>
      </c>
      <c r="U236" s="5" t="str">
        <f t="shared" si="32"/>
        <v/>
      </c>
      <c r="V236" s="5" t="str">
        <f t="shared" si="33"/>
        <v/>
      </c>
      <c r="W236" s="5" t="str">
        <f t="shared" si="34"/>
        <v/>
      </c>
      <c r="X236" s="5" t="str">
        <f t="shared" si="35"/>
        <v/>
      </c>
    </row>
    <row r="237" spans="1:24">
      <c r="A237" s="91"/>
      <c r="B237" s="92"/>
      <c r="C237" s="69"/>
      <c r="D237" s="69"/>
      <c r="E237" s="69"/>
      <c r="F237" s="69"/>
      <c r="G237" s="70"/>
      <c r="H237" s="71"/>
      <c r="I237" s="66"/>
      <c r="J237" s="67"/>
      <c r="K237" s="67"/>
      <c r="L237" s="67"/>
      <c r="M237" s="67"/>
      <c r="N237" s="67"/>
      <c r="O237" s="67"/>
      <c r="P237" s="145" t="str">
        <f t="shared" si="27"/>
        <v/>
      </c>
      <c r="Q237" s="65" t="str">
        <f t="shared" si="28"/>
        <v/>
      </c>
      <c r="R237" s="5" t="str">
        <f t="shared" si="29"/>
        <v/>
      </c>
      <c r="S237" s="5" t="str">
        <f t="shared" si="30"/>
        <v/>
      </c>
      <c r="T237" s="5" t="str">
        <f t="shared" si="31"/>
        <v/>
      </c>
      <c r="U237" s="5" t="str">
        <f t="shared" si="32"/>
        <v/>
      </c>
      <c r="V237" s="5" t="str">
        <f t="shared" si="33"/>
        <v/>
      </c>
      <c r="W237" s="5" t="str">
        <f t="shared" si="34"/>
        <v/>
      </c>
      <c r="X237" s="5" t="str">
        <f t="shared" si="35"/>
        <v/>
      </c>
    </row>
    <row r="238" spans="1:24">
      <c r="A238" s="91"/>
      <c r="B238" s="92"/>
      <c r="C238" s="69"/>
      <c r="D238" s="69"/>
      <c r="E238" s="69"/>
      <c r="F238" s="69"/>
      <c r="G238" s="70"/>
      <c r="H238" s="71"/>
      <c r="I238" s="66"/>
      <c r="J238" s="67"/>
      <c r="K238" s="67"/>
      <c r="L238" s="67"/>
      <c r="M238" s="67"/>
      <c r="N238" s="67"/>
      <c r="O238" s="67"/>
      <c r="P238" s="145" t="str">
        <f t="shared" si="27"/>
        <v/>
      </c>
      <c r="Q238" s="65" t="str">
        <f t="shared" si="28"/>
        <v/>
      </c>
      <c r="R238" s="5" t="str">
        <f t="shared" si="29"/>
        <v/>
      </c>
      <c r="S238" s="5" t="str">
        <f t="shared" si="30"/>
        <v/>
      </c>
      <c r="T238" s="5" t="str">
        <f t="shared" si="31"/>
        <v/>
      </c>
      <c r="U238" s="5" t="str">
        <f t="shared" si="32"/>
        <v/>
      </c>
      <c r="V238" s="5" t="str">
        <f t="shared" si="33"/>
        <v/>
      </c>
      <c r="W238" s="5" t="str">
        <f t="shared" si="34"/>
        <v/>
      </c>
      <c r="X238" s="5" t="str">
        <f t="shared" si="35"/>
        <v/>
      </c>
    </row>
    <row r="239" spans="1:24">
      <c r="A239" s="91"/>
      <c r="B239" s="92"/>
      <c r="C239" s="69"/>
      <c r="D239" s="69"/>
      <c r="E239" s="69"/>
      <c r="F239" s="69"/>
      <c r="G239" s="70"/>
      <c r="H239" s="71"/>
      <c r="I239" s="66"/>
      <c r="J239" s="67"/>
      <c r="K239" s="67"/>
      <c r="L239" s="67"/>
      <c r="M239" s="67"/>
      <c r="N239" s="67"/>
      <c r="O239" s="67"/>
      <c r="P239" s="145" t="str">
        <f t="shared" si="27"/>
        <v/>
      </c>
      <c r="Q239" s="65" t="str">
        <f t="shared" si="28"/>
        <v/>
      </c>
      <c r="R239" s="5" t="str">
        <f t="shared" si="29"/>
        <v/>
      </c>
      <c r="S239" s="5" t="str">
        <f t="shared" si="30"/>
        <v/>
      </c>
      <c r="T239" s="5" t="str">
        <f t="shared" si="31"/>
        <v/>
      </c>
      <c r="U239" s="5" t="str">
        <f t="shared" si="32"/>
        <v/>
      </c>
      <c r="V239" s="5" t="str">
        <f t="shared" si="33"/>
        <v/>
      </c>
      <c r="W239" s="5" t="str">
        <f t="shared" si="34"/>
        <v/>
      </c>
      <c r="X239" s="5" t="str">
        <f t="shared" si="35"/>
        <v/>
      </c>
    </row>
    <row r="240" spans="1:24">
      <c r="A240" s="91"/>
      <c r="B240" s="92"/>
      <c r="C240" s="69"/>
      <c r="D240" s="69"/>
      <c r="E240" s="69"/>
      <c r="F240" s="69"/>
      <c r="G240" s="70"/>
      <c r="H240" s="71"/>
      <c r="I240" s="66"/>
      <c r="J240" s="67"/>
      <c r="K240" s="67"/>
      <c r="L240" s="67"/>
      <c r="M240" s="67"/>
      <c r="N240" s="67"/>
      <c r="O240" s="67"/>
      <c r="P240" s="145" t="str">
        <f t="shared" si="27"/>
        <v/>
      </c>
      <c r="Q240" s="65" t="str">
        <f t="shared" si="28"/>
        <v/>
      </c>
      <c r="R240" s="5" t="str">
        <f t="shared" si="29"/>
        <v/>
      </c>
      <c r="S240" s="5" t="str">
        <f t="shared" si="30"/>
        <v/>
      </c>
      <c r="T240" s="5" t="str">
        <f t="shared" si="31"/>
        <v/>
      </c>
      <c r="U240" s="5" t="str">
        <f t="shared" si="32"/>
        <v/>
      </c>
      <c r="V240" s="5" t="str">
        <f t="shared" si="33"/>
        <v/>
      </c>
      <c r="W240" s="5" t="str">
        <f t="shared" si="34"/>
        <v/>
      </c>
      <c r="X240" s="5" t="str">
        <f t="shared" si="35"/>
        <v/>
      </c>
    </row>
    <row r="241" spans="1:24">
      <c r="A241" s="91"/>
      <c r="B241" s="92"/>
      <c r="C241" s="69"/>
      <c r="D241" s="69"/>
      <c r="E241" s="69"/>
      <c r="F241" s="69"/>
      <c r="G241" s="70"/>
      <c r="H241" s="71"/>
      <c r="I241" s="66"/>
      <c r="J241" s="67"/>
      <c r="K241" s="67"/>
      <c r="L241" s="67"/>
      <c r="M241" s="67"/>
      <c r="N241" s="67"/>
      <c r="O241" s="67"/>
      <c r="P241" s="145" t="str">
        <f t="shared" si="27"/>
        <v/>
      </c>
      <c r="Q241" s="65" t="str">
        <f t="shared" si="28"/>
        <v/>
      </c>
      <c r="R241" s="5" t="str">
        <f t="shared" si="29"/>
        <v/>
      </c>
      <c r="S241" s="5" t="str">
        <f t="shared" si="30"/>
        <v/>
      </c>
      <c r="T241" s="5" t="str">
        <f t="shared" si="31"/>
        <v/>
      </c>
      <c r="U241" s="5" t="str">
        <f t="shared" si="32"/>
        <v/>
      </c>
      <c r="V241" s="5" t="str">
        <f t="shared" si="33"/>
        <v/>
      </c>
      <c r="W241" s="5" t="str">
        <f t="shared" si="34"/>
        <v/>
      </c>
      <c r="X241" s="5" t="str">
        <f t="shared" si="35"/>
        <v/>
      </c>
    </row>
    <row r="242" spans="1:24">
      <c r="A242" s="91"/>
      <c r="B242" s="92"/>
      <c r="C242" s="69"/>
      <c r="D242" s="69"/>
      <c r="E242" s="69"/>
      <c r="F242" s="69"/>
      <c r="G242" s="70"/>
      <c r="H242" s="71"/>
      <c r="I242" s="66"/>
      <c r="J242" s="67"/>
      <c r="K242" s="67"/>
      <c r="L242" s="67"/>
      <c r="M242" s="67"/>
      <c r="N242" s="67"/>
      <c r="O242" s="67"/>
      <c r="P242" s="145" t="str">
        <f t="shared" si="27"/>
        <v/>
      </c>
      <c r="Q242" s="65" t="str">
        <f t="shared" si="28"/>
        <v/>
      </c>
      <c r="R242" s="5" t="str">
        <f t="shared" si="29"/>
        <v/>
      </c>
      <c r="S242" s="5" t="str">
        <f t="shared" si="30"/>
        <v/>
      </c>
      <c r="T242" s="5" t="str">
        <f t="shared" si="31"/>
        <v/>
      </c>
      <c r="U242" s="5" t="str">
        <f t="shared" si="32"/>
        <v/>
      </c>
      <c r="V242" s="5" t="str">
        <f t="shared" si="33"/>
        <v/>
      </c>
      <c r="W242" s="5" t="str">
        <f t="shared" si="34"/>
        <v/>
      </c>
      <c r="X242" s="5" t="str">
        <f t="shared" si="35"/>
        <v/>
      </c>
    </row>
    <row r="243" spans="1:24">
      <c r="A243" s="91"/>
      <c r="B243" s="92"/>
      <c r="C243" s="69"/>
      <c r="D243" s="69"/>
      <c r="E243" s="69"/>
      <c r="F243" s="69"/>
      <c r="G243" s="70"/>
      <c r="H243" s="71"/>
      <c r="I243" s="66"/>
      <c r="J243" s="67"/>
      <c r="K243" s="67"/>
      <c r="L243" s="67"/>
      <c r="M243" s="67"/>
      <c r="N243" s="67"/>
      <c r="O243" s="67"/>
      <c r="P243" s="145" t="str">
        <f t="shared" si="27"/>
        <v/>
      </c>
      <c r="Q243" s="65" t="str">
        <f t="shared" si="28"/>
        <v/>
      </c>
      <c r="R243" s="5" t="str">
        <f t="shared" si="29"/>
        <v/>
      </c>
      <c r="S243" s="5" t="str">
        <f t="shared" si="30"/>
        <v/>
      </c>
      <c r="T243" s="5" t="str">
        <f t="shared" si="31"/>
        <v/>
      </c>
      <c r="U243" s="5" t="str">
        <f t="shared" si="32"/>
        <v/>
      </c>
      <c r="V243" s="5" t="str">
        <f t="shared" si="33"/>
        <v/>
      </c>
      <c r="W243" s="5" t="str">
        <f t="shared" si="34"/>
        <v/>
      </c>
      <c r="X243" s="5" t="str">
        <f t="shared" si="35"/>
        <v/>
      </c>
    </row>
    <row r="244" spans="1:24">
      <c r="A244" s="91"/>
      <c r="B244" s="92"/>
      <c r="C244" s="69"/>
      <c r="D244" s="69"/>
      <c r="E244" s="69"/>
      <c r="F244" s="69"/>
      <c r="G244" s="70"/>
      <c r="H244" s="71"/>
      <c r="I244" s="66"/>
      <c r="J244" s="67"/>
      <c r="K244" s="67"/>
      <c r="L244" s="67"/>
      <c r="M244" s="67"/>
      <c r="N244" s="67"/>
      <c r="O244" s="67"/>
      <c r="P244" s="145" t="str">
        <f t="shared" si="27"/>
        <v/>
      </c>
      <c r="Q244" s="65" t="str">
        <f t="shared" si="28"/>
        <v/>
      </c>
      <c r="R244" s="5" t="str">
        <f t="shared" si="29"/>
        <v/>
      </c>
      <c r="S244" s="5" t="str">
        <f t="shared" si="30"/>
        <v/>
      </c>
      <c r="T244" s="5" t="str">
        <f t="shared" si="31"/>
        <v/>
      </c>
      <c r="U244" s="5" t="str">
        <f t="shared" si="32"/>
        <v/>
      </c>
      <c r="V244" s="5" t="str">
        <f t="shared" si="33"/>
        <v/>
      </c>
      <c r="W244" s="5" t="str">
        <f t="shared" si="34"/>
        <v/>
      </c>
      <c r="X244" s="5" t="str">
        <f t="shared" si="35"/>
        <v/>
      </c>
    </row>
    <row r="245" spans="1:24">
      <c r="A245" s="91"/>
      <c r="B245" s="92"/>
      <c r="C245" s="69"/>
      <c r="D245" s="69"/>
      <c r="E245" s="69"/>
      <c r="F245" s="69"/>
      <c r="G245" s="70"/>
      <c r="H245" s="71"/>
      <c r="I245" s="66"/>
      <c r="J245" s="67"/>
      <c r="K245" s="67"/>
      <c r="L245" s="67"/>
      <c r="M245" s="67"/>
      <c r="N245" s="67"/>
      <c r="O245" s="67"/>
      <c r="P245" s="145" t="str">
        <f t="shared" si="27"/>
        <v/>
      </c>
      <c r="Q245" s="65" t="str">
        <f t="shared" si="28"/>
        <v/>
      </c>
      <c r="R245" s="5" t="str">
        <f t="shared" si="29"/>
        <v/>
      </c>
      <c r="S245" s="5" t="str">
        <f t="shared" si="30"/>
        <v/>
      </c>
      <c r="T245" s="5" t="str">
        <f t="shared" si="31"/>
        <v/>
      </c>
      <c r="U245" s="5" t="str">
        <f t="shared" si="32"/>
        <v/>
      </c>
      <c r="V245" s="5" t="str">
        <f t="shared" si="33"/>
        <v/>
      </c>
      <c r="W245" s="5" t="str">
        <f t="shared" si="34"/>
        <v/>
      </c>
      <c r="X245" s="5" t="str">
        <f t="shared" si="35"/>
        <v/>
      </c>
    </row>
    <row r="246" spans="1:24">
      <c r="A246" s="91"/>
      <c r="B246" s="92"/>
      <c r="C246" s="69"/>
      <c r="D246" s="69"/>
      <c r="E246" s="69"/>
      <c r="F246" s="69"/>
      <c r="G246" s="70"/>
      <c r="H246" s="71"/>
      <c r="I246" s="66"/>
      <c r="J246" s="67"/>
      <c r="K246" s="67"/>
      <c r="L246" s="67"/>
      <c r="M246" s="67"/>
      <c r="N246" s="67"/>
      <c r="O246" s="67"/>
      <c r="P246" s="145" t="str">
        <f t="shared" si="27"/>
        <v/>
      </c>
      <c r="Q246" s="65" t="str">
        <f t="shared" si="28"/>
        <v/>
      </c>
      <c r="R246" s="5" t="str">
        <f t="shared" si="29"/>
        <v/>
      </c>
      <c r="S246" s="5" t="str">
        <f t="shared" si="30"/>
        <v/>
      </c>
      <c r="T246" s="5" t="str">
        <f t="shared" si="31"/>
        <v/>
      </c>
      <c r="U246" s="5" t="str">
        <f t="shared" si="32"/>
        <v/>
      </c>
      <c r="V246" s="5" t="str">
        <f t="shared" si="33"/>
        <v/>
      </c>
      <c r="W246" s="5" t="str">
        <f t="shared" si="34"/>
        <v/>
      </c>
      <c r="X246" s="5" t="str">
        <f t="shared" si="35"/>
        <v/>
      </c>
    </row>
    <row r="247" spans="1:24">
      <c r="A247" s="91"/>
      <c r="B247" s="92"/>
      <c r="C247" s="69"/>
      <c r="D247" s="69"/>
      <c r="E247" s="69"/>
      <c r="F247" s="69"/>
      <c r="G247" s="70"/>
      <c r="H247" s="71"/>
      <c r="I247" s="66"/>
      <c r="J247" s="67"/>
      <c r="K247" s="67"/>
      <c r="L247" s="67"/>
      <c r="M247" s="67"/>
      <c r="N247" s="67"/>
      <c r="O247" s="67"/>
      <c r="P247" s="145" t="str">
        <f t="shared" si="27"/>
        <v/>
      </c>
      <c r="Q247" s="65" t="str">
        <f t="shared" si="28"/>
        <v/>
      </c>
      <c r="R247" s="5" t="str">
        <f t="shared" si="29"/>
        <v/>
      </c>
      <c r="S247" s="5" t="str">
        <f t="shared" si="30"/>
        <v/>
      </c>
      <c r="T247" s="5" t="str">
        <f t="shared" si="31"/>
        <v/>
      </c>
      <c r="U247" s="5" t="str">
        <f t="shared" si="32"/>
        <v/>
      </c>
      <c r="V247" s="5" t="str">
        <f t="shared" si="33"/>
        <v/>
      </c>
      <c r="W247" s="5" t="str">
        <f t="shared" si="34"/>
        <v/>
      </c>
      <c r="X247" s="5" t="str">
        <f t="shared" si="35"/>
        <v/>
      </c>
    </row>
    <row r="248" spans="1:24">
      <c r="A248" s="91"/>
      <c r="B248" s="92"/>
      <c r="C248" s="69"/>
      <c r="D248" s="69"/>
      <c r="E248" s="69"/>
      <c r="F248" s="69"/>
      <c r="G248" s="70"/>
      <c r="H248" s="71"/>
      <c r="I248" s="66"/>
      <c r="J248" s="67"/>
      <c r="K248" s="67"/>
      <c r="L248" s="67"/>
      <c r="M248" s="67"/>
      <c r="N248" s="67"/>
      <c r="O248" s="67"/>
      <c r="P248" s="145" t="str">
        <f t="shared" si="27"/>
        <v/>
      </c>
      <c r="Q248" s="65" t="str">
        <f t="shared" si="28"/>
        <v/>
      </c>
      <c r="R248" s="5" t="str">
        <f t="shared" si="29"/>
        <v/>
      </c>
      <c r="S248" s="5" t="str">
        <f t="shared" si="30"/>
        <v/>
      </c>
      <c r="T248" s="5" t="str">
        <f t="shared" si="31"/>
        <v/>
      </c>
      <c r="U248" s="5" t="str">
        <f t="shared" si="32"/>
        <v/>
      </c>
      <c r="V248" s="5" t="str">
        <f t="shared" si="33"/>
        <v/>
      </c>
      <c r="W248" s="5" t="str">
        <f t="shared" si="34"/>
        <v/>
      </c>
      <c r="X248" s="5" t="str">
        <f t="shared" si="35"/>
        <v/>
      </c>
    </row>
    <row r="249" spans="1:24">
      <c r="A249" s="91"/>
      <c r="B249" s="92"/>
      <c r="C249" s="69"/>
      <c r="D249" s="69"/>
      <c r="E249" s="69"/>
      <c r="F249" s="69"/>
      <c r="G249" s="70"/>
      <c r="H249" s="71"/>
      <c r="I249" s="66"/>
      <c r="J249" s="67"/>
      <c r="K249" s="67"/>
      <c r="L249" s="67"/>
      <c r="M249" s="67"/>
      <c r="N249" s="67"/>
      <c r="O249" s="67"/>
      <c r="P249" s="145" t="str">
        <f t="shared" si="27"/>
        <v/>
      </c>
      <c r="Q249" s="65" t="str">
        <f t="shared" si="28"/>
        <v/>
      </c>
      <c r="R249" s="5" t="str">
        <f t="shared" si="29"/>
        <v/>
      </c>
      <c r="S249" s="5" t="str">
        <f t="shared" si="30"/>
        <v/>
      </c>
      <c r="T249" s="5" t="str">
        <f t="shared" si="31"/>
        <v/>
      </c>
      <c r="U249" s="5" t="str">
        <f t="shared" si="32"/>
        <v/>
      </c>
      <c r="V249" s="5" t="str">
        <f t="shared" si="33"/>
        <v/>
      </c>
      <c r="W249" s="5" t="str">
        <f t="shared" si="34"/>
        <v/>
      </c>
      <c r="X249" s="5" t="str">
        <f t="shared" si="35"/>
        <v/>
      </c>
    </row>
    <row r="250" spans="1:24">
      <c r="A250" s="91"/>
      <c r="B250" s="92"/>
      <c r="C250" s="69"/>
      <c r="D250" s="69"/>
      <c r="E250" s="69"/>
      <c r="F250" s="69"/>
      <c r="G250" s="70"/>
      <c r="H250" s="71"/>
      <c r="I250" s="66"/>
      <c r="J250" s="67"/>
      <c r="K250" s="67"/>
      <c r="L250" s="67"/>
      <c r="M250" s="67"/>
      <c r="N250" s="67"/>
      <c r="O250" s="67"/>
      <c r="P250" s="145" t="str">
        <f t="shared" si="27"/>
        <v/>
      </c>
      <c r="Q250" s="65" t="str">
        <f t="shared" si="28"/>
        <v/>
      </c>
      <c r="R250" s="5" t="str">
        <f t="shared" si="29"/>
        <v/>
      </c>
      <c r="S250" s="5" t="str">
        <f t="shared" si="30"/>
        <v/>
      </c>
      <c r="T250" s="5" t="str">
        <f t="shared" si="31"/>
        <v/>
      </c>
      <c r="U250" s="5" t="str">
        <f t="shared" si="32"/>
        <v/>
      </c>
      <c r="V250" s="5" t="str">
        <f t="shared" si="33"/>
        <v/>
      </c>
      <c r="W250" s="5" t="str">
        <f t="shared" si="34"/>
        <v/>
      </c>
      <c r="X250" s="5" t="str">
        <f t="shared" si="35"/>
        <v/>
      </c>
    </row>
    <row r="251" spans="1:24">
      <c r="A251" s="91"/>
      <c r="B251" s="92"/>
      <c r="C251" s="69"/>
      <c r="D251" s="69"/>
      <c r="E251" s="69"/>
      <c r="F251" s="69"/>
      <c r="G251" s="70"/>
      <c r="H251" s="71"/>
      <c r="I251" s="66"/>
      <c r="J251" s="67"/>
      <c r="K251" s="67"/>
      <c r="L251" s="67"/>
      <c r="M251" s="67"/>
      <c r="N251" s="67"/>
      <c r="O251" s="67"/>
      <c r="P251" s="145" t="str">
        <f t="shared" si="27"/>
        <v/>
      </c>
      <c r="Q251" s="65" t="str">
        <f t="shared" si="28"/>
        <v/>
      </c>
      <c r="R251" s="5" t="str">
        <f t="shared" si="29"/>
        <v/>
      </c>
      <c r="S251" s="5" t="str">
        <f t="shared" si="30"/>
        <v/>
      </c>
      <c r="T251" s="5" t="str">
        <f t="shared" si="31"/>
        <v/>
      </c>
      <c r="U251" s="5" t="str">
        <f t="shared" si="32"/>
        <v/>
      </c>
      <c r="V251" s="5" t="str">
        <f t="shared" si="33"/>
        <v/>
      </c>
      <c r="W251" s="5" t="str">
        <f t="shared" si="34"/>
        <v/>
      </c>
      <c r="X251" s="5" t="str">
        <f t="shared" si="35"/>
        <v/>
      </c>
    </row>
    <row r="252" spans="1:24">
      <c r="A252" s="91"/>
      <c r="B252" s="92"/>
      <c r="C252" s="69"/>
      <c r="D252" s="69"/>
      <c r="E252" s="69"/>
      <c r="F252" s="69"/>
      <c r="G252" s="70"/>
      <c r="H252" s="71"/>
      <c r="I252" s="66"/>
      <c r="J252" s="67"/>
      <c r="K252" s="67"/>
      <c r="L252" s="67"/>
      <c r="M252" s="67"/>
      <c r="N252" s="67"/>
      <c r="O252" s="67"/>
      <c r="P252" s="145" t="str">
        <f t="shared" si="27"/>
        <v/>
      </c>
      <c r="Q252" s="65" t="str">
        <f t="shared" si="28"/>
        <v/>
      </c>
      <c r="R252" s="5" t="str">
        <f t="shared" si="29"/>
        <v/>
      </c>
      <c r="S252" s="5" t="str">
        <f t="shared" si="30"/>
        <v/>
      </c>
      <c r="T252" s="5" t="str">
        <f t="shared" si="31"/>
        <v/>
      </c>
      <c r="U252" s="5" t="str">
        <f t="shared" si="32"/>
        <v/>
      </c>
      <c r="V252" s="5" t="str">
        <f t="shared" si="33"/>
        <v/>
      </c>
      <c r="W252" s="5" t="str">
        <f t="shared" si="34"/>
        <v/>
      </c>
      <c r="X252" s="5" t="str">
        <f t="shared" si="35"/>
        <v/>
      </c>
    </row>
    <row r="253" spans="1:24">
      <c r="A253" s="91"/>
      <c r="B253" s="92"/>
      <c r="C253" s="69"/>
      <c r="D253" s="69"/>
      <c r="E253" s="69"/>
      <c r="F253" s="69"/>
      <c r="G253" s="70"/>
      <c r="H253" s="71"/>
      <c r="I253" s="66"/>
      <c r="J253" s="67"/>
      <c r="K253" s="67"/>
      <c r="L253" s="67"/>
      <c r="M253" s="67"/>
      <c r="N253" s="67"/>
      <c r="O253" s="67"/>
      <c r="P253" s="145" t="str">
        <f t="shared" si="27"/>
        <v/>
      </c>
      <c r="Q253" s="65" t="str">
        <f t="shared" si="28"/>
        <v/>
      </c>
      <c r="R253" s="5" t="str">
        <f t="shared" si="29"/>
        <v/>
      </c>
      <c r="S253" s="5" t="str">
        <f t="shared" si="30"/>
        <v/>
      </c>
      <c r="T253" s="5" t="str">
        <f t="shared" si="31"/>
        <v/>
      </c>
      <c r="U253" s="5" t="str">
        <f t="shared" si="32"/>
        <v/>
      </c>
      <c r="V253" s="5" t="str">
        <f t="shared" si="33"/>
        <v/>
      </c>
      <c r="W253" s="5" t="str">
        <f t="shared" si="34"/>
        <v/>
      </c>
      <c r="X253" s="5" t="str">
        <f t="shared" si="35"/>
        <v/>
      </c>
    </row>
    <row r="254" spans="1:24">
      <c r="A254" s="91"/>
      <c r="B254" s="92"/>
      <c r="C254" s="69"/>
      <c r="D254" s="69"/>
      <c r="E254" s="69"/>
      <c r="F254" s="69"/>
      <c r="G254" s="70"/>
      <c r="H254" s="71"/>
      <c r="I254" s="66"/>
      <c r="J254" s="67"/>
      <c r="K254" s="67"/>
      <c r="L254" s="67"/>
      <c r="M254" s="67"/>
      <c r="N254" s="67"/>
      <c r="O254" s="67"/>
      <c r="P254" s="145" t="str">
        <f t="shared" si="27"/>
        <v/>
      </c>
      <c r="Q254" s="65" t="str">
        <f t="shared" si="28"/>
        <v/>
      </c>
      <c r="R254" s="5" t="str">
        <f t="shared" si="29"/>
        <v/>
      </c>
      <c r="S254" s="5" t="str">
        <f t="shared" si="30"/>
        <v/>
      </c>
      <c r="T254" s="5" t="str">
        <f t="shared" si="31"/>
        <v/>
      </c>
      <c r="U254" s="5" t="str">
        <f t="shared" si="32"/>
        <v/>
      </c>
      <c r="V254" s="5" t="str">
        <f t="shared" si="33"/>
        <v/>
      </c>
      <c r="W254" s="5" t="str">
        <f t="shared" si="34"/>
        <v/>
      </c>
      <c r="X254" s="5" t="str">
        <f t="shared" si="35"/>
        <v/>
      </c>
    </row>
    <row r="255" spans="1:24">
      <c r="A255" s="91"/>
      <c r="B255" s="92"/>
      <c r="C255" s="69"/>
      <c r="D255" s="69"/>
      <c r="E255" s="69"/>
      <c r="F255" s="69"/>
      <c r="G255" s="70"/>
      <c r="H255" s="71"/>
      <c r="I255" s="66"/>
      <c r="J255" s="67"/>
      <c r="K255" s="67"/>
      <c r="L255" s="67"/>
      <c r="M255" s="67"/>
      <c r="N255" s="67"/>
      <c r="O255" s="67"/>
      <c r="P255" s="145" t="str">
        <f t="shared" si="27"/>
        <v/>
      </c>
      <c r="Q255" s="65" t="str">
        <f t="shared" si="28"/>
        <v/>
      </c>
      <c r="R255" s="5" t="str">
        <f t="shared" si="29"/>
        <v/>
      </c>
      <c r="S255" s="5" t="str">
        <f t="shared" si="30"/>
        <v/>
      </c>
      <c r="T255" s="5" t="str">
        <f t="shared" si="31"/>
        <v/>
      </c>
      <c r="U255" s="5" t="str">
        <f t="shared" si="32"/>
        <v/>
      </c>
      <c r="V255" s="5" t="str">
        <f t="shared" si="33"/>
        <v/>
      </c>
      <c r="W255" s="5" t="str">
        <f t="shared" si="34"/>
        <v/>
      </c>
      <c r="X255" s="5" t="str">
        <f t="shared" si="35"/>
        <v/>
      </c>
    </row>
    <row r="256" spans="1:24">
      <c r="A256" s="91"/>
      <c r="B256" s="92"/>
      <c r="C256" s="69"/>
      <c r="D256" s="69"/>
      <c r="E256" s="69"/>
      <c r="F256" s="69"/>
      <c r="G256" s="70"/>
      <c r="H256" s="71"/>
      <c r="I256" s="66"/>
      <c r="J256" s="67"/>
      <c r="K256" s="67"/>
      <c r="L256" s="67"/>
      <c r="M256" s="67"/>
      <c r="N256" s="67"/>
      <c r="O256" s="67"/>
      <c r="P256" s="145" t="str">
        <f t="shared" si="27"/>
        <v/>
      </c>
      <c r="Q256" s="65" t="str">
        <f t="shared" si="28"/>
        <v/>
      </c>
      <c r="R256" s="5" t="str">
        <f t="shared" si="29"/>
        <v/>
      </c>
      <c r="S256" s="5" t="str">
        <f t="shared" si="30"/>
        <v/>
      </c>
      <c r="T256" s="5" t="str">
        <f t="shared" si="31"/>
        <v/>
      </c>
      <c r="U256" s="5" t="str">
        <f t="shared" si="32"/>
        <v/>
      </c>
      <c r="V256" s="5" t="str">
        <f t="shared" si="33"/>
        <v/>
      </c>
      <c r="W256" s="5" t="str">
        <f t="shared" si="34"/>
        <v/>
      </c>
      <c r="X256" s="5" t="str">
        <f t="shared" si="35"/>
        <v/>
      </c>
    </row>
    <row r="257" spans="1:24">
      <c r="A257" s="91"/>
      <c r="B257" s="92"/>
      <c r="C257" s="69"/>
      <c r="D257" s="69"/>
      <c r="E257" s="69"/>
      <c r="F257" s="69"/>
      <c r="G257" s="70"/>
      <c r="H257" s="71"/>
      <c r="I257" s="66"/>
      <c r="J257" s="67"/>
      <c r="K257" s="67"/>
      <c r="L257" s="67"/>
      <c r="M257" s="67"/>
      <c r="N257" s="67"/>
      <c r="O257" s="67"/>
      <c r="P257" s="145" t="str">
        <f t="shared" si="27"/>
        <v/>
      </c>
      <c r="Q257" s="65" t="str">
        <f t="shared" si="28"/>
        <v/>
      </c>
      <c r="R257" s="5" t="str">
        <f t="shared" si="29"/>
        <v/>
      </c>
      <c r="S257" s="5" t="str">
        <f t="shared" si="30"/>
        <v/>
      </c>
      <c r="T257" s="5" t="str">
        <f t="shared" si="31"/>
        <v/>
      </c>
      <c r="U257" s="5" t="str">
        <f t="shared" si="32"/>
        <v/>
      </c>
      <c r="V257" s="5" t="str">
        <f t="shared" si="33"/>
        <v/>
      </c>
      <c r="W257" s="5" t="str">
        <f t="shared" si="34"/>
        <v/>
      </c>
      <c r="X257" s="5" t="str">
        <f t="shared" si="35"/>
        <v/>
      </c>
    </row>
    <row r="258" spans="1:24">
      <c r="A258" s="91"/>
      <c r="B258" s="92"/>
      <c r="C258" s="69"/>
      <c r="D258" s="69"/>
      <c r="E258" s="69"/>
      <c r="F258" s="69"/>
      <c r="G258" s="70"/>
      <c r="H258" s="71"/>
      <c r="I258" s="66"/>
      <c r="J258" s="67"/>
      <c r="K258" s="67"/>
      <c r="L258" s="67"/>
      <c r="M258" s="67"/>
      <c r="N258" s="67"/>
      <c r="O258" s="67"/>
      <c r="P258" s="145" t="str">
        <f t="shared" si="27"/>
        <v/>
      </c>
      <c r="Q258" s="65" t="str">
        <f t="shared" si="28"/>
        <v/>
      </c>
      <c r="R258" s="5" t="str">
        <f t="shared" si="29"/>
        <v/>
      </c>
      <c r="S258" s="5" t="str">
        <f t="shared" si="30"/>
        <v/>
      </c>
      <c r="T258" s="5" t="str">
        <f t="shared" si="31"/>
        <v/>
      </c>
      <c r="U258" s="5" t="str">
        <f t="shared" si="32"/>
        <v/>
      </c>
      <c r="V258" s="5" t="str">
        <f t="shared" si="33"/>
        <v/>
      </c>
      <c r="W258" s="5" t="str">
        <f t="shared" si="34"/>
        <v/>
      </c>
      <c r="X258" s="5" t="str">
        <f t="shared" si="35"/>
        <v/>
      </c>
    </row>
    <row r="259" spans="1:24">
      <c r="A259" s="91"/>
      <c r="B259" s="92"/>
      <c r="C259" s="69"/>
      <c r="D259" s="69"/>
      <c r="E259" s="69"/>
      <c r="F259" s="69"/>
      <c r="G259" s="70"/>
      <c r="H259" s="71"/>
      <c r="I259" s="66"/>
      <c r="J259" s="67"/>
      <c r="K259" s="67"/>
      <c r="L259" s="67"/>
      <c r="M259" s="67"/>
      <c r="N259" s="67"/>
      <c r="O259" s="67"/>
      <c r="P259" s="145" t="str">
        <f t="shared" si="27"/>
        <v/>
      </c>
      <c r="Q259" s="65" t="str">
        <f t="shared" si="28"/>
        <v/>
      </c>
      <c r="R259" s="5" t="str">
        <f t="shared" si="29"/>
        <v/>
      </c>
      <c r="S259" s="5" t="str">
        <f t="shared" si="30"/>
        <v/>
      </c>
      <c r="T259" s="5" t="str">
        <f t="shared" si="31"/>
        <v/>
      </c>
      <c r="U259" s="5" t="str">
        <f t="shared" si="32"/>
        <v/>
      </c>
      <c r="V259" s="5" t="str">
        <f t="shared" si="33"/>
        <v/>
      </c>
      <c r="W259" s="5" t="str">
        <f t="shared" si="34"/>
        <v/>
      </c>
      <c r="X259" s="5" t="str">
        <f t="shared" si="35"/>
        <v/>
      </c>
    </row>
    <row r="260" spans="1:24">
      <c r="A260" s="91"/>
      <c r="B260" s="92"/>
      <c r="C260" s="69"/>
      <c r="D260" s="69"/>
      <c r="E260" s="69"/>
      <c r="F260" s="69"/>
      <c r="G260" s="70"/>
      <c r="H260" s="71"/>
      <c r="I260" s="66"/>
      <c r="J260" s="67"/>
      <c r="K260" s="67"/>
      <c r="L260" s="67"/>
      <c r="M260" s="67"/>
      <c r="N260" s="67"/>
      <c r="O260" s="67"/>
      <c r="P260" s="145" t="str">
        <f t="shared" si="27"/>
        <v/>
      </c>
      <c r="Q260" s="65" t="str">
        <f t="shared" si="28"/>
        <v/>
      </c>
      <c r="R260" s="5" t="str">
        <f t="shared" si="29"/>
        <v/>
      </c>
      <c r="S260" s="5" t="str">
        <f t="shared" si="30"/>
        <v/>
      </c>
      <c r="T260" s="5" t="str">
        <f t="shared" si="31"/>
        <v/>
      </c>
      <c r="U260" s="5" t="str">
        <f t="shared" si="32"/>
        <v/>
      </c>
      <c r="V260" s="5" t="str">
        <f t="shared" si="33"/>
        <v/>
      </c>
      <c r="W260" s="5" t="str">
        <f t="shared" si="34"/>
        <v/>
      </c>
      <c r="X260" s="5" t="str">
        <f t="shared" si="35"/>
        <v/>
      </c>
    </row>
    <row r="261" spans="1:24">
      <c r="A261" s="91"/>
      <c r="B261" s="92"/>
      <c r="C261" s="69"/>
      <c r="D261" s="69"/>
      <c r="E261" s="69"/>
      <c r="F261" s="69"/>
      <c r="G261" s="70"/>
      <c r="H261" s="71"/>
      <c r="I261" s="66"/>
      <c r="J261" s="67"/>
      <c r="K261" s="67"/>
      <c r="L261" s="67"/>
      <c r="M261" s="67"/>
      <c r="N261" s="67"/>
      <c r="O261" s="67"/>
      <c r="P261" s="145" t="str">
        <f t="shared" si="27"/>
        <v/>
      </c>
      <c r="Q261" s="65" t="str">
        <f t="shared" si="28"/>
        <v/>
      </c>
      <c r="R261" s="5" t="str">
        <f t="shared" si="29"/>
        <v/>
      </c>
      <c r="S261" s="5" t="str">
        <f t="shared" si="30"/>
        <v/>
      </c>
      <c r="T261" s="5" t="str">
        <f t="shared" si="31"/>
        <v/>
      </c>
      <c r="U261" s="5" t="str">
        <f t="shared" si="32"/>
        <v/>
      </c>
      <c r="V261" s="5" t="str">
        <f t="shared" si="33"/>
        <v/>
      </c>
      <c r="W261" s="5" t="str">
        <f t="shared" si="34"/>
        <v/>
      </c>
      <c r="X261" s="5" t="str">
        <f t="shared" si="35"/>
        <v/>
      </c>
    </row>
    <row r="262" spans="1:24">
      <c r="A262" s="91"/>
      <c r="B262" s="92"/>
      <c r="C262" s="69"/>
      <c r="D262" s="69"/>
      <c r="E262" s="69"/>
      <c r="F262" s="69"/>
      <c r="G262" s="70"/>
      <c r="H262" s="71"/>
      <c r="I262" s="66"/>
      <c r="J262" s="67"/>
      <c r="K262" s="67"/>
      <c r="L262" s="67"/>
      <c r="M262" s="67"/>
      <c r="N262" s="67"/>
      <c r="O262" s="67"/>
      <c r="P262" s="145" t="str">
        <f t="shared" si="27"/>
        <v/>
      </c>
      <c r="Q262" s="65" t="str">
        <f t="shared" si="28"/>
        <v/>
      </c>
      <c r="R262" s="5" t="str">
        <f t="shared" si="29"/>
        <v/>
      </c>
      <c r="S262" s="5" t="str">
        <f t="shared" si="30"/>
        <v/>
      </c>
      <c r="T262" s="5" t="str">
        <f t="shared" si="31"/>
        <v/>
      </c>
      <c r="U262" s="5" t="str">
        <f t="shared" si="32"/>
        <v/>
      </c>
      <c r="V262" s="5" t="str">
        <f t="shared" si="33"/>
        <v/>
      </c>
      <c r="W262" s="5" t="str">
        <f t="shared" si="34"/>
        <v/>
      </c>
      <c r="X262" s="5" t="str">
        <f t="shared" si="35"/>
        <v/>
      </c>
    </row>
    <row r="263" spans="1:24">
      <c r="A263" s="91"/>
      <c r="B263" s="92"/>
      <c r="C263" s="69"/>
      <c r="D263" s="69"/>
      <c r="E263" s="69"/>
      <c r="F263" s="69"/>
      <c r="G263" s="70"/>
      <c r="H263" s="71"/>
      <c r="I263" s="66"/>
      <c r="J263" s="67"/>
      <c r="K263" s="67"/>
      <c r="L263" s="67"/>
      <c r="M263" s="67"/>
      <c r="N263" s="67"/>
      <c r="O263" s="67"/>
      <c r="P263" s="145" t="str">
        <f t="shared" ref="P263:P326" si="36">IF($C263="","",IF($N263+$O263=0,0,$N263/($N263+$O263)))</f>
        <v/>
      </c>
      <c r="Q263" s="65" t="str">
        <f t="shared" ref="Q263:Q326" si="37">IF($C263="","",IF(TRIM($B263)="beginning",(((SUM($R263:$X263)-3371)/2251)*40)+360,IF(TRIM($B263)="middle",(((SUM($R263:$X263)-3371)/2251)*40)+400,IF(TRIM($B263)="end",(((SUM($R263:$X263)-3371)/2251)*40)+440,""))))</f>
        <v/>
      </c>
      <c r="R263" s="5" t="str">
        <f t="shared" ref="R263:R326" si="38">IF($C263="","",I263*10.72)</f>
        <v/>
      </c>
      <c r="S263" s="5" t="str">
        <f t="shared" ref="S263:S326" si="39">IF($C263="","",J263*2.13)</f>
        <v/>
      </c>
      <c r="T263" s="5" t="str">
        <f t="shared" ref="T263:T326" si="40">IF($C263="","",K263*23.13)</f>
        <v/>
      </c>
      <c r="U263" s="5" t="str">
        <f t="shared" ref="U263:U326" si="41">IF($C263="","",L263*7.79)</f>
        <v/>
      </c>
      <c r="V263" s="5" t="str">
        <f t="shared" ref="V263:V326" si="42">IF($C263="","",M263*13.51)</f>
        <v/>
      </c>
      <c r="W263" s="5" t="str">
        <f t="shared" ref="W263:W326" si="43">IF($C263="","",N263*25.36)</f>
        <v/>
      </c>
      <c r="X263" s="5" t="str">
        <f t="shared" ref="X263:X326" si="44">IF($C263="","",P263*0.25)</f>
        <v/>
      </c>
    </row>
    <row r="264" spans="1:24">
      <c r="A264" s="91"/>
      <c r="B264" s="92"/>
      <c r="C264" s="69"/>
      <c r="D264" s="69"/>
      <c r="E264" s="69"/>
      <c r="F264" s="69"/>
      <c r="G264" s="70"/>
      <c r="H264" s="71"/>
      <c r="I264" s="66"/>
      <c r="J264" s="67"/>
      <c r="K264" s="67"/>
      <c r="L264" s="67"/>
      <c r="M264" s="67"/>
      <c r="N264" s="67"/>
      <c r="O264" s="67"/>
      <c r="P264" s="145" t="str">
        <f t="shared" si="36"/>
        <v/>
      </c>
      <c r="Q264" s="65" t="str">
        <f t="shared" si="37"/>
        <v/>
      </c>
      <c r="R264" s="5" t="str">
        <f t="shared" si="38"/>
        <v/>
      </c>
      <c r="S264" s="5" t="str">
        <f t="shared" si="39"/>
        <v/>
      </c>
      <c r="T264" s="5" t="str">
        <f t="shared" si="40"/>
        <v/>
      </c>
      <c r="U264" s="5" t="str">
        <f t="shared" si="41"/>
        <v/>
      </c>
      <c r="V264" s="5" t="str">
        <f t="shared" si="42"/>
        <v/>
      </c>
      <c r="W264" s="5" t="str">
        <f t="shared" si="43"/>
        <v/>
      </c>
      <c r="X264" s="5" t="str">
        <f t="shared" si="44"/>
        <v/>
      </c>
    </row>
    <row r="265" spans="1:24">
      <c r="A265" s="91"/>
      <c r="B265" s="92"/>
      <c r="C265" s="69"/>
      <c r="D265" s="69"/>
      <c r="E265" s="69"/>
      <c r="F265" s="69"/>
      <c r="G265" s="70"/>
      <c r="H265" s="71"/>
      <c r="I265" s="66"/>
      <c r="J265" s="67"/>
      <c r="K265" s="67"/>
      <c r="L265" s="67"/>
      <c r="M265" s="67"/>
      <c r="N265" s="67"/>
      <c r="O265" s="67"/>
      <c r="P265" s="145" t="str">
        <f t="shared" si="36"/>
        <v/>
      </c>
      <c r="Q265" s="65" t="str">
        <f t="shared" si="37"/>
        <v/>
      </c>
      <c r="R265" s="5" t="str">
        <f t="shared" si="38"/>
        <v/>
      </c>
      <c r="S265" s="5" t="str">
        <f t="shared" si="39"/>
        <v/>
      </c>
      <c r="T265" s="5" t="str">
        <f t="shared" si="40"/>
        <v/>
      </c>
      <c r="U265" s="5" t="str">
        <f t="shared" si="41"/>
        <v/>
      </c>
      <c r="V265" s="5" t="str">
        <f t="shared" si="42"/>
        <v/>
      </c>
      <c r="W265" s="5" t="str">
        <f t="shared" si="43"/>
        <v/>
      </c>
      <c r="X265" s="5" t="str">
        <f t="shared" si="44"/>
        <v/>
      </c>
    </row>
    <row r="266" spans="1:24">
      <c r="A266" s="91"/>
      <c r="B266" s="92"/>
      <c r="C266" s="69"/>
      <c r="D266" s="69"/>
      <c r="E266" s="69"/>
      <c r="F266" s="69"/>
      <c r="G266" s="70"/>
      <c r="H266" s="71"/>
      <c r="I266" s="66"/>
      <c r="J266" s="67"/>
      <c r="K266" s="67"/>
      <c r="L266" s="67"/>
      <c r="M266" s="67"/>
      <c r="N266" s="67"/>
      <c r="O266" s="67"/>
      <c r="P266" s="145" t="str">
        <f t="shared" si="36"/>
        <v/>
      </c>
      <c r="Q266" s="65" t="str">
        <f t="shared" si="37"/>
        <v/>
      </c>
      <c r="R266" s="5" t="str">
        <f t="shared" si="38"/>
        <v/>
      </c>
      <c r="S266" s="5" t="str">
        <f t="shared" si="39"/>
        <v/>
      </c>
      <c r="T266" s="5" t="str">
        <f t="shared" si="40"/>
        <v/>
      </c>
      <c r="U266" s="5" t="str">
        <f t="shared" si="41"/>
        <v/>
      </c>
      <c r="V266" s="5" t="str">
        <f t="shared" si="42"/>
        <v/>
      </c>
      <c r="W266" s="5" t="str">
        <f t="shared" si="43"/>
        <v/>
      </c>
      <c r="X266" s="5" t="str">
        <f t="shared" si="44"/>
        <v/>
      </c>
    </row>
    <row r="267" spans="1:24">
      <c r="A267" s="91"/>
      <c r="B267" s="92"/>
      <c r="C267" s="69"/>
      <c r="D267" s="69"/>
      <c r="E267" s="69"/>
      <c r="F267" s="69"/>
      <c r="G267" s="70"/>
      <c r="H267" s="71"/>
      <c r="I267" s="66"/>
      <c r="J267" s="67"/>
      <c r="K267" s="67"/>
      <c r="L267" s="67"/>
      <c r="M267" s="67"/>
      <c r="N267" s="67"/>
      <c r="O267" s="67"/>
      <c r="P267" s="145" t="str">
        <f t="shared" si="36"/>
        <v/>
      </c>
      <c r="Q267" s="65" t="str">
        <f t="shared" si="37"/>
        <v/>
      </c>
      <c r="R267" s="5" t="str">
        <f t="shared" si="38"/>
        <v/>
      </c>
      <c r="S267" s="5" t="str">
        <f t="shared" si="39"/>
        <v/>
      </c>
      <c r="T267" s="5" t="str">
        <f t="shared" si="40"/>
        <v/>
      </c>
      <c r="U267" s="5" t="str">
        <f t="shared" si="41"/>
        <v/>
      </c>
      <c r="V267" s="5" t="str">
        <f t="shared" si="42"/>
        <v/>
      </c>
      <c r="W267" s="5" t="str">
        <f t="shared" si="43"/>
        <v/>
      </c>
      <c r="X267" s="5" t="str">
        <f t="shared" si="44"/>
        <v/>
      </c>
    </row>
    <row r="268" spans="1:24">
      <c r="A268" s="91"/>
      <c r="B268" s="92"/>
      <c r="C268" s="69"/>
      <c r="D268" s="69"/>
      <c r="E268" s="69"/>
      <c r="F268" s="69"/>
      <c r="G268" s="70"/>
      <c r="H268" s="71"/>
      <c r="I268" s="66"/>
      <c r="J268" s="67"/>
      <c r="K268" s="67"/>
      <c r="L268" s="67"/>
      <c r="M268" s="67"/>
      <c r="N268" s="67"/>
      <c r="O268" s="67"/>
      <c r="P268" s="145" t="str">
        <f t="shared" si="36"/>
        <v/>
      </c>
      <c r="Q268" s="65" t="str">
        <f t="shared" si="37"/>
        <v/>
      </c>
      <c r="R268" s="5" t="str">
        <f t="shared" si="38"/>
        <v/>
      </c>
      <c r="S268" s="5" t="str">
        <f t="shared" si="39"/>
        <v/>
      </c>
      <c r="T268" s="5" t="str">
        <f t="shared" si="40"/>
        <v/>
      </c>
      <c r="U268" s="5" t="str">
        <f t="shared" si="41"/>
        <v/>
      </c>
      <c r="V268" s="5" t="str">
        <f t="shared" si="42"/>
        <v/>
      </c>
      <c r="W268" s="5" t="str">
        <f t="shared" si="43"/>
        <v/>
      </c>
      <c r="X268" s="5" t="str">
        <f t="shared" si="44"/>
        <v/>
      </c>
    </row>
    <row r="269" spans="1:24">
      <c r="A269" s="91"/>
      <c r="B269" s="92"/>
      <c r="C269" s="69"/>
      <c r="D269" s="69"/>
      <c r="E269" s="69"/>
      <c r="F269" s="69"/>
      <c r="G269" s="70"/>
      <c r="H269" s="71"/>
      <c r="I269" s="66"/>
      <c r="J269" s="67"/>
      <c r="K269" s="67"/>
      <c r="L269" s="67"/>
      <c r="M269" s="67"/>
      <c r="N269" s="67"/>
      <c r="O269" s="67"/>
      <c r="P269" s="145" t="str">
        <f t="shared" si="36"/>
        <v/>
      </c>
      <c r="Q269" s="65" t="str">
        <f t="shared" si="37"/>
        <v/>
      </c>
      <c r="R269" s="5" t="str">
        <f t="shared" si="38"/>
        <v/>
      </c>
      <c r="S269" s="5" t="str">
        <f t="shared" si="39"/>
        <v/>
      </c>
      <c r="T269" s="5" t="str">
        <f t="shared" si="40"/>
        <v/>
      </c>
      <c r="U269" s="5" t="str">
        <f t="shared" si="41"/>
        <v/>
      </c>
      <c r="V269" s="5" t="str">
        <f t="shared" si="42"/>
        <v/>
      </c>
      <c r="W269" s="5" t="str">
        <f t="shared" si="43"/>
        <v/>
      </c>
      <c r="X269" s="5" t="str">
        <f t="shared" si="44"/>
        <v/>
      </c>
    </row>
    <row r="270" spans="1:24">
      <c r="A270" s="91"/>
      <c r="B270" s="92"/>
      <c r="C270" s="69"/>
      <c r="D270" s="69"/>
      <c r="E270" s="69"/>
      <c r="F270" s="69"/>
      <c r="G270" s="70"/>
      <c r="H270" s="71"/>
      <c r="I270" s="66"/>
      <c r="J270" s="67"/>
      <c r="K270" s="67"/>
      <c r="L270" s="67"/>
      <c r="M270" s="67"/>
      <c r="N270" s="67"/>
      <c r="O270" s="67"/>
      <c r="P270" s="145" t="str">
        <f t="shared" si="36"/>
        <v/>
      </c>
      <c r="Q270" s="65" t="str">
        <f t="shared" si="37"/>
        <v/>
      </c>
      <c r="R270" s="5" t="str">
        <f t="shared" si="38"/>
        <v/>
      </c>
      <c r="S270" s="5" t="str">
        <f t="shared" si="39"/>
        <v/>
      </c>
      <c r="T270" s="5" t="str">
        <f t="shared" si="40"/>
        <v/>
      </c>
      <c r="U270" s="5" t="str">
        <f t="shared" si="41"/>
        <v/>
      </c>
      <c r="V270" s="5" t="str">
        <f t="shared" si="42"/>
        <v/>
      </c>
      <c r="W270" s="5" t="str">
        <f t="shared" si="43"/>
        <v/>
      </c>
      <c r="X270" s="5" t="str">
        <f t="shared" si="44"/>
        <v/>
      </c>
    </row>
    <row r="271" spans="1:24">
      <c r="A271" s="91"/>
      <c r="B271" s="92"/>
      <c r="C271" s="69"/>
      <c r="D271" s="69"/>
      <c r="E271" s="69"/>
      <c r="F271" s="69"/>
      <c r="G271" s="70"/>
      <c r="H271" s="71"/>
      <c r="I271" s="66"/>
      <c r="J271" s="67"/>
      <c r="K271" s="67"/>
      <c r="L271" s="67"/>
      <c r="M271" s="67"/>
      <c r="N271" s="67"/>
      <c r="O271" s="67"/>
      <c r="P271" s="145" t="str">
        <f t="shared" si="36"/>
        <v/>
      </c>
      <c r="Q271" s="65" t="str">
        <f t="shared" si="37"/>
        <v/>
      </c>
      <c r="R271" s="5" t="str">
        <f t="shared" si="38"/>
        <v/>
      </c>
      <c r="S271" s="5" t="str">
        <f t="shared" si="39"/>
        <v/>
      </c>
      <c r="T271" s="5" t="str">
        <f t="shared" si="40"/>
        <v/>
      </c>
      <c r="U271" s="5" t="str">
        <f t="shared" si="41"/>
        <v/>
      </c>
      <c r="V271" s="5" t="str">
        <f t="shared" si="42"/>
        <v/>
      </c>
      <c r="W271" s="5" t="str">
        <f t="shared" si="43"/>
        <v/>
      </c>
      <c r="X271" s="5" t="str">
        <f t="shared" si="44"/>
        <v/>
      </c>
    </row>
    <row r="272" spans="1:24">
      <c r="A272" s="91"/>
      <c r="B272" s="92"/>
      <c r="C272" s="69"/>
      <c r="D272" s="69"/>
      <c r="E272" s="69"/>
      <c r="F272" s="69"/>
      <c r="G272" s="70"/>
      <c r="H272" s="71"/>
      <c r="I272" s="66"/>
      <c r="J272" s="67"/>
      <c r="K272" s="67"/>
      <c r="L272" s="67"/>
      <c r="M272" s="67"/>
      <c r="N272" s="67"/>
      <c r="O272" s="67"/>
      <c r="P272" s="145" t="str">
        <f t="shared" si="36"/>
        <v/>
      </c>
      <c r="Q272" s="65" t="str">
        <f t="shared" si="37"/>
        <v/>
      </c>
      <c r="R272" s="5" t="str">
        <f t="shared" si="38"/>
        <v/>
      </c>
      <c r="S272" s="5" t="str">
        <f t="shared" si="39"/>
        <v/>
      </c>
      <c r="T272" s="5" t="str">
        <f t="shared" si="40"/>
        <v/>
      </c>
      <c r="U272" s="5" t="str">
        <f t="shared" si="41"/>
        <v/>
      </c>
      <c r="V272" s="5" t="str">
        <f t="shared" si="42"/>
        <v/>
      </c>
      <c r="W272" s="5" t="str">
        <f t="shared" si="43"/>
        <v/>
      </c>
      <c r="X272" s="5" t="str">
        <f t="shared" si="44"/>
        <v/>
      </c>
    </row>
    <row r="273" spans="1:24">
      <c r="A273" s="91"/>
      <c r="B273" s="92"/>
      <c r="C273" s="69"/>
      <c r="D273" s="69"/>
      <c r="E273" s="69"/>
      <c r="F273" s="69"/>
      <c r="G273" s="70"/>
      <c r="H273" s="71"/>
      <c r="I273" s="66"/>
      <c r="J273" s="67"/>
      <c r="K273" s="67"/>
      <c r="L273" s="67"/>
      <c r="M273" s="67"/>
      <c r="N273" s="67"/>
      <c r="O273" s="67"/>
      <c r="P273" s="145" t="str">
        <f t="shared" si="36"/>
        <v/>
      </c>
      <c r="Q273" s="65" t="str">
        <f t="shared" si="37"/>
        <v/>
      </c>
      <c r="R273" s="5" t="str">
        <f t="shared" si="38"/>
        <v/>
      </c>
      <c r="S273" s="5" t="str">
        <f t="shared" si="39"/>
        <v/>
      </c>
      <c r="T273" s="5" t="str">
        <f t="shared" si="40"/>
        <v/>
      </c>
      <c r="U273" s="5" t="str">
        <f t="shared" si="41"/>
        <v/>
      </c>
      <c r="V273" s="5" t="str">
        <f t="shared" si="42"/>
        <v/>
      </c>
      <c r="W273" s="5" t="str">
        <f t="shared" si="43"/>
        <v/>
      </c>
      <c r="X273" s="5" t="str">
        <f t="shared" si="44"/>
        <v/>
      </c>
    </row>
    <row r="274" spans="1:24">
      <c r="A274" s="91"/>
      <c r="B274" s="92"/>
      <c r="C274" s="69"/>
      <c r="D274" s="69"/>
      <c r="E274" s="69"/>
      <c r="F274" s="69"/>
      <c r="G274" s="70"/>
      <c r="H274" s="71"/>
      <c r="I274" s="66"/>
      <c r="J274" s="67"/>
      <c r="K274" s="67"/>
      <c r="L274" s="67"/>
      <c r="M274" s="67"/>
      <c r="N274" s="67"/>
      <c r="O274" s="67"/>
      <c r="P274" s="145" t="str">
        <f t="shared" si="36"/>
        <v/>
      </c>
      <c r="Q274" s="65" t="str">
        <f t="shared" si="37"/>
        <v/>
      </c>
      <c r="R274" s="5" t="str">
        <f t="shared" si="38"/>
        <v/>
      </c>
      <c r="S274" s="5" t="str">
        <f t="shared" si="39"/>
        <v/>
      </c>
      <c r="T274" s="5" t="str">
        <f t="shared" si="40"/>
        <v/>
      </c>
      <c r="U274" s="5" t="str">
        <f t="shared" si="41"/>
        <v/>
      </c>
      <c r="V274" s="5" t="str">
        <f t="shared" si="42"/>
        <v/>
      </c>
      <c r="W274" s="5" t="str">
        <f t="shared" si="43"/>
        <v/>
      </c>
      <c r="X274" s="5" t="str">
        <f t="shared" si="44"/>
        <v/>
      </c>
    </row>
    <row r="275" spans="1:24">
      <c r="A275" s="91"/>
      <c r="B275" s="92"/>
      <c r="C275" s="69"/>
      <c r="D275" s="69"/>
      <c r="E275" s="69"/>
      <c r="F275" s="69"/>
      <c r="G275" s="70"/>
      <c r="H275" s="71"/>
      <c r="I275" s="66"/>
      <c r="J275" s="67"/>
      <c r="K275" s="67"/>
      <c r="L275" s="67"/>
      <c r="M275" s="67"/>
      <c r="N275" s="67"/>
      <c r="O275" s="67"/>
      <c r="P275" s="145" t="str">
        <f t="shared" si="36"/>
        <v/>
      </c>
      <c r="Q275" s="65" t="str">
        <f t="shared" si="37"/>
        <v/>
      </c>
      <c r="R275" s="5" t="str">
        <f t="shared" si="38"/>
        <v/>
      </c>
      <c r="S275" s="5" t="str">
        <f t="shared" si="39"/>
        <v/>
      </c>
      <c r="T275" s="5" t="str">
        <f t="shared" si="40"/>
        <v/>
      </c>
      <c r="U275" s="5" t="str">
        <f t="shared" si="41"/>
        <v/>
      </c>
      <c r="V275" s="5" t="str">
        <f t="shared" si="42"/>
        <v/>
      </c>
      <c r="W275" s="5" t="str">
        <f t="shared" si="43"/>
        <v/>
      </c>
      <c r="X275" s="5" t="str">
        <f t="shared" si="44"/>
        <v/>
      </c>
    </row>
    <row r="276" spans="1:24">
      <c r="A276" s="91"/>
      <c r="B276" s="92"/>
      <c r="C276" s="69"/>
      <c r="D276" s="69"/>
      <c r="E276" s="69"/>
      <c r="F276" s="69"/>
      <c r="G276" s="70"/>
      <c r="H276" s="71"/>
      <c r="I276" s="66"/>
      <c r="J276" s="67"/>
      <c r="K276" s="67"/>
      <c r="L276" s="67"/>
      <c r="M276" s="67"/>
      <c r="N276" s="67"/>
      <c r="O276" s="67"/>
      <c r="P276" s="145" t="str">
        <f t="shared" si="36"/>
        <v/>
      </c>
      <c r="Q276" s="65" t="str">
        <f t="shared" si="37"/>
        <v/>
      </c>
      <c r="R276" s="5" t="str">
        <f t="shared" si="38"/>
        <v/>
      </c>
      <c r="S276" s="5" t="str">
        <f t="shared" si="39"/>
        <v/>
      </c>
      <c r="T276" s="5" t="str">
        <f t="shared" si="40"/>
        <v/>
      </c>
      <c r="U276" s="5" t="str">
        <f t="shared" si="41"/>
        <v/>
      </c>
      <c r="V276" s="5" t="str">
        <f t="shared" si="42"/>
        <v/>
      </c>
      <c r="W276" s="5" t="str">
        <f t="shared" si="43"/>
        <v/>
      </c>
      <c r="X276" s="5" t="str">
        <f t="shared" si="44"/>
        <v/>
      </c>
    </row>
    <row r="277" spans="1:24">
      <c r="A277" s="91"/>
      <c r="B277" s="92"/>
      <c r="C277" s="69"/>
      <c r="D277" s="69"/>
      <c r="E277" s="69"/>
      <c r="F277" s="69"/>
      <c r="G277" s="70"/>
      <c r="H277" s="71"/>
      <c r="I277" s="66"/>
      <c r="J277" s="67"/>
      <c r="K277" s="67"/>
      <c r="L277" s="67"/>
      <c r="M277" s="67"/>
      <c r="N277" s="67"/>
      <c r="O277" s="67"/>
      <c r="P277" s="145" t="str">
        <f t="shared" si="36"/>
        <v/>
      </c>
      <c r="Q277" s="65" t="str">
        <f t="shared" si="37"/>
        <v/>
      </c>
      <c r="R277" s="5" t="str">
        <f t="shared" si="38"/>
        <v/>
      </c>
      <c r="S277" s="5" t="str">
        <f t="shared" si="39"/>
        <v/>
      </c>
      <c r="T277" s="5" t="str">
        <f t="shared" si="40"/>
        <v/>
      </c>
      <c r="U277" s="5" t="str">
        <f t="shared" si="41"/>
        <v/>
      </c>
      <c r="V277" s="5" t="str">
        <f t="shared" si="42"/>
        <v/>
      </c>
      <c r="W277" s="5" t="str">
        <f t="shared" si="43"/>
        <v/>
      </c>
      <c r="X277" s="5" t="str">
        <f t="shared" si="44"/>
        <v/>
      </c>
    </row>
    <row r="278" spans="1:24">
      <c r="A278" s="91"/>
      <c r="B278" s="92"/>
      <c r="C278" s="69"/>
      <c r="D278" s="69"/>
      <c r="E278" s="69"/>
      <c r="F278" s="69"/>
      <c r="G278" s="70"/>
      <c r="H278" s="71"/>
      <c r="I278" s="66"/>
      <c r="J278" s="67"/>
      <c r="K278" s="67"/>
      <c r="L278" s="67"/>
      <c r="M278" s="67"/>
      <c r="N278" s="67"/>
      <c r="O278" s="67"/>
      <c r="P278" s="145" t="str">
        <f t="shared" si="36"/>
        <v/>
      </c>
      <c r="Q278" s="65" t="str">
        <f t="shared" si="37"/>
        <v/>
      </c>
      <c r="R278" s="5" t="str">
        <f t="shared" si="38"/>
        <v/>
      </c>
      <c r="S278" s="5" t="str">
        <f t="shared" si="39"/>
        <v/>
      </c>
      <c r="T278" s="5" t="str">
        <f t="shared" si="40"/>
        <v/>
      </c>
      <c r="U278" s="5" t="str">
        <f t="shared" si="41"/>
        <v/>
      </c>
      <c r="V278" s="5" t="str">
        <f t="shared" si="42"/>
        <v/>
      </c>
      <c r="W278" s="5" t="str">
        <f t="shared" si="43"/>
        <v/>
      </c>
      <c r="X278" s="5" t="str">
        <f t="shared" si="44"/>
        <v/>
      </c>
    </row>
    <row r="279" spans="1:24">
      <c r="A279" s="91"/>
      <c r="B279" s="92"/>
      <c r="C279" s="69"/>
      <c r="D279" s="69"/>
      <c r="E279" s="69"/>
      <c r="F279" s="69"/>
      <c r="G279" s="70"/>
      <c r="H279" s="71"/>
      <c r="I279" s="66"/>
      <c r="J279" s="67"/>
      <c r="K279" s="67"/>
      <c r="L279" s="67"/>
      <c r="M279" s="67"/>
      <c r="N279" s="67"/>
      <c r="O279" s="67"/>
      <c r="P279" s="145" t="str">
        <f t="shared" si="36"/>
        <v/>
      </c>
      <c r="Q279" s="65" t="str">
        <f t="shared" si="37"/>
        <v/>
      </c>
      <c r="R279" s="5" t="str">
        <f t="shared" si="38"/>
        <v/>
      </c>
      <c r="S279" s="5" t="str">
        <f t="shared" si="39"/>
        <v/>
      </c>
      <c r="T279" s="5" t="str">
        <f t="shared" si="40"/>
        <v/>
      </c>
      <c r="U279" s="5" t="str">
        <f t="shared" si="41"/>
        <v/>
      </c>
      <c r="V279" s="5" t="str">
        <f t="shared" si="42"/>
        <v/>
      </c>
      <c r="W279" s="5" t="str">
        <f t="shared" si="43"/>
        <v/>
      </c>
      <c r="X279" s="5" t="str">
        <f t="shared" si="44"/>
        <v/>
      </c>
    </row>
    <row r="280" spans="1:24">
      <c r="A280" s="91"/>
      <c r="B280" s="92"/>
      <c r="C280" s="69"/>
      <c r="D280" s="69"/>
      <c r="E280" s="69"/>
      <c r="F280" s="69"/>
      <c r="G280" s="70"/>
      <c r="H280" s="71"/>
      <c r="I280" s="66"/>
      <c r="J280" s="67"/>
      <c r="K280" s="67"/>
      <c r="L280" s="67"/>
      <c r="M280" s="67"/>
      <c r="N280" s="67"/>
      <c r="O280" s="67"/>
      <c r="P280" s="145" t="str">
        <f t="shared" si="36"/>
        <v/>
      </c>
      <c r="Q280" s="65" t="str">
        <f t="shared" si="37"/>
        <v/>
      </c>
      <c r="R280" s="5" t="str">
        <f t="shared" si="38"/>
        <v/>
      </c>
      <c r="S280" s="5" t="str">
        <f t="shared" si="39"/>
        <v/>
      </c>
      <c r="T280" s="5" t="str">
        <f t="shared" si="40"/>
        <v/>
      </c>
      <c r="U280" s="5" t="str">
        <f t="shared" si="41"/>
        <v/>
      </c>
      <c r="V280" s="5" t="str">
        <f t="shared" si="42"/>
        <v/>
      </c>
      <c r="W280" s="5" t="str">
        <f t="shared" si="43"/>
        <v/>
      </c>
      <c r="X280" s="5" t="str">
        <f t="shared" si="44"/>
        <v/>
      </c>
    </row>
    <row r="281" spans="1:24">
      <c r="A281" s="91"/>
      <c r="B281" s="92"/>
      <c r="C281" s="69"/>
      <c r="D281" s="69"/>
      <c r="E281" s="69"/>
      <c r="F281" s="69"/>
      <c r="G281" s="70"/>
      <c r="H281" s="71"/>
      <c r="I281" s="66"/>
      <c r="J281" s="67"/>
      <c r="K281" s="67"/>
      <c r="L281" s="67"/>
      <c r="M281" s="67"/>
      <c r="N281" s="67"/>
      <c r="O281" s="67"/>
      <c r="P281" s="145" t="str">
        <f t="shared" si="36"/>
        <v/>
      </c>
      <c r="Q281" s="65" t="str">
        <f t="shared" si="37"/>
        <v/>
      </c>
      <c r="R281" s="5" t="str">
        <f t="shared" si="38"/>
        <v/>
      </c>
      <c r="S281" s="5" t="str">
        <f t="shared" si="39"/>
        <v/>
      </c>
      <c r="T281" s="5" t="str">
        <f t="shared" si="40"/>
        <v/>
      </c>
      <c r="U281" s="5" t="str">
        <f t="shared" si="41"/>
        <v/>
      </c>
      <c r="V281" s="5" t="str">
        <f t="shared" si="42"/>
        <v/>
      </c>
      <c r="W281" s="5" t="str">
        <f t="shared" si="43"/>
        <v/>
      </c>
      <c r="X281" s="5" t="str">
        <f t="shared" si="44"/>
        <v/>
      </c>
    </row>
    <row r="282" spans="1:24">
      <c r="A282" s="91"/>
      <c r="B282" s="92"/>
      <c r="C282" s="69"/>
      <c r="D282" s="69"/>
      <c r="E282" s="69"/>
      <c r="F282" s="69"/>
      <c r="G282" s="70"/>
      <c r="H282" s="71"/>
      <c r="I282" s="66"/>
      <c r="J282" s="67"/>
      <c r="K282" s="67"/>
      <c r="L282" s="67"/>
      <c r="M282" s="67"/>
      <c r="N282" s="67"/>
      <c r="O282" s="67"/>
      <c r="P282" s="145" t="str">
        <f t="shared" si="36"/>
        <v/>
      </c>
      <c r="Q282" s="65" t="str">
        <f t="shared" si="37"/>
        <v/>
      </c>
      <c r="R282" s="5" t="str">
        <f t="shared" si="38"/>
        <v/>
      </c>
      <c r="S282" s="5" t="str">
        <f t="shared" si="39"/>
        <v/>
      </c>
      <c r="T282" s="5" t="str">
        <f t="shared" si="40"/>
        <v/>
      </c>
      <c r="U282" s="5" t="str">
        <f t="shared" si="41"/>
        <v/>
      </c>
      <c r="V282" s="5" t="str">
        <f t="shared" si="42"/>
        <v/>
      </c>
      <c r="W282" s="5" t="str">
        <f t="shared" si="43"/>
        <v/>
      </c>
      <c r="X282" s="5" t="str">
        <f t="shared" si="44"/>
        <v/>
      </c>
    </row>
    <row r="283" spans="1:24">
      <c r="A283" s="91"/>
      <c r="B283" s="92"/>
      <c r="C283" s="69"/>
      <c r="D283" s="69"/>
      <c r="E283" s="69"/>
      <c r="F283" s="69"/>
      <c r="G283" s="70"/>
      <c r="H283" s="71"/>
      <c r="I283" s="66"/>
      <c r="J283" s="67"/>
      <c r="K283" s="67"/>
      <c r="L283" s="67"/>
      <c r="M283" s="67"/>
      <c r="N283" s="67"/>
      <c r="O283" s="67"/>
      <c r="P283" s="145" t="str">
        <f t="shared" si="36"/>
        <v/>
      </c>
      <c r="Q283" s="65" t="str">
        <f t="shared" si="37"/>
        <v/>
      </c>
      <c r="R283" s="5" t="str">
        <f t="shared" si="38"/>
        <v/>
      </c>
      <c r="S283" s="5" t="str">
        <f t="shared" si="39"/>
        <v/>
      </c>
      <c r="T283" s="5" t="str">
        <f t="shared" si="40"/>
        <v/>
      </c>
      <c r="U283" s="5" t="str">
        <f t="shared" si="41"/>
        <v/>
      </c>
      <c r="V283" s="5" t="str">
        <f t="shared" si="42"/>
        <v/>
      </c>
      <c r="W283" s="5" t="str">
        <f t="shared" si="43"/>
        <v/>
      </c>
      <c r="X283" s="5" t="str">
        <f t="shared" si="44"/>
        <v/>
      </c>
    </row>
    <row r="284" spans="1:24">
      <c r="A284" s="91"/>
      <c r="B284" s="92"/>
      <c r="C284" s="69"/>
      <c r="D284" s="69"/>
      <c r="E284" s="69"/>
      <c r="F284" s="69"/>
      <c r="G284" s="70"/>
      <c r="H284" s="71"/>
      <c r="I284" s="66"/>
      <c r="J284" s="67"/>
      <c r="K284" s="67"/>
      <c r="L284" s="67"/>
      <c r="M284" s="67"/>
      <c r="N284" s="67"/>
      <c r="O284" s="67"/>
      <c r="P284" s="145" t="str">
        <f t="shared" si="36"/>
        <v/>
      </c>
      <c r="Q284" s="65" t="str">
        <f t="shared" si="37"/>
        <v/>
      </c>
      <c r="R284" s="5" t="str">
        <f t="shared" si="38"/>
        <v/>
      </c>
      <c r="S284" s="5" t="str">
        <f t="shared" si="39"/>
        <v/>
      </c>
      <c r="T284" s="5" t="str">
        <f t="shared" si="40"/>
        <v/>
      </c>
      <c r="U284" s="5" t="str">
        <f t="shared" si="41"/>
        <v/>
      </c>
      <c r="V284" s="5" t="str">
        <f t="shared" si="42"/>
        <v/>
      </c>
      <c r="W284" s="5" t="str">
        <f t="shared" si="43"/>
        <v/>
      </c>
      <c r="X284" s="5" t="str">
        <f t="shared" si="44"/>
        <v/>
      </c>
    </row>
    <row r="285" spans="1:24">
      <c r="A285" s="91"/>
      <c r="B285" s="92"/>
      <c r="C285" s="69"/>
      <c r="D285" s="69"/>
      <c r="E285" s="69"/>
      <c r="F285" s="69"/>
      <c r="G285" s="70"/>
      <c r="H285" s="71"/>
      <c r="I285" s="66"/>
      <c r="J285" s="67"/>
      <c r="K285" s="67"/>
      <c r="L285" s="67"/>
      <c r="M285" s="67"/>
      <c r="N285" s="67"/>
      <c r="O285" s="67"/>
      <c r="P285" s="145" t="str">
        <f t="shared" si="36"/>
        <v/>
      </c>
      <c r="Q285" s="65" t="str">
        <f t="shared" si="37"/>
        <v/>
      </c>
      <c r="R285" s="5" t="str">
        <f t="shared" si="38"/>
        <v/>
      </c>
      <c r="S285" s="5" t="str">
        <f t="shared" si="39"/>
        <v/>
      </c>
      <c r="T285" s="5" t="str">
        <f t="shared" si="40"/>
        <v/>
      </c>
      <c r="U285" s="5" t="str">
        <f t="shared" si="41"/>
        <v/>
      </c>
      <c r="V285" s="5" t="str">
        <f t="shared" si="42"/>
        <v/>
      </c>
      <c r="W285" s="5" t="str">
        <f t="shared" si="43"/>
        <v/>
      </c>
      <c r="X285" s="5" t="str">
        <f t="shared" si="44"/>
        <v/>
      </c>
    </row>
    <row r="286" spans="1:24">
      <c r="A286" s="91"/>
      <c r="B286" s="92"/>
      <c r="C286" s="69"/>
      <c r="D286" s="69"/>
      <c r="E286" s="69"/>
      <c r="F286" s="69"/>
      <c r="G286" s="70"/>
      <c r="H286" s="71"/>
      <c r="I286" s="66"/>
      <c r="J286" s="67"/>
      <c r="K286" s="67"/>
      <c r="L286" s="67"/>
      <c r="M286" s="67"/>
      <c r="N286" s="67"/>
      <c r="O286" s="67"/>
      <c r="P286" s="145" t="str">
        <f t="shared" si="36"/>
        <v/>
      </c>
      <c r="Q286" s="65" t="str">
        <f t="shared" si="37"/>
        <v/>
      </c>
      <c r="R286" s="5" t="str">
        <f t="shared" si="38"/>
        <v/>
      </c>
      <c r="S286" s="5" t="str">
        <f t="shared" si="39"/>
        <v/>
      </c>
      <c r="T286" s="5" t="str">
        <f t="shared" si="40"/>
        <v/>
      </c>
      <c r="U286" s="5" t="str">
        <f t="shared" si="41"/>
        <v/>
      </c>
      <c r="V286" s="5" t="str">
        <f t="shared" si="42"/>
        <v/>
      </c>
      <c r="W286" s="5" t="str">
        <f t="shared" si="43"/>
        <v/>
      </c>
      <c r="X286" s="5" t="str">
        <f t="shared" si="44"/>
        <v/>
      </c>
    </row>
    <row r="287" spans="1:24">
      <c r="A287" s="91"/>
      <c r="B287" s="92"/>
      <c r="C287" s="69"/>
      <c r="D287" s="69"/>
      <c r="E287" s="69"/>
      <c r="F287" s="69"/>
      <c r="G287" s="70"/>
      <c r="H287" s="71"/>
      <c r="I287" s="66"/>
      <c r="J287" s="67"/>
      <c r="K287" s="67"/>
      <c r="L287" s="67"/>
      <c r="M287" s="67"/>
      <c r="N287" s="67"/>
      <c r="O287" s="67"/>
      <c r="P287" s="145" t="str">
        <f t="shared" si="36"/>
        <v/>
      </c>
      <c r="Q287" s="65" t="str">
        <f t="shared" si="37"/>
        <v/>
      </c>
      <c r="R287" s="5" t="str">
        <f t="shared" si="38"/>
        <v/>
      </c>
      <c r="S287" s="5" t="str">
        <f t="shared" si="39"/>
        <v/>
      </c>
      <c r="T287" s="5" t="str">
        <f t="shared" si="40"/>
        <v/>
      </c>
      <c r="U287" s="5" t="str">
        <f t="shared" si="41"/>
        <v/>
      </c>
      <c r="V287" s="5" t="str">
        <f t="shared" si="42"/>
        <v/>
      </c>
      <c r="W287" s="5" t="str">
        <f t="shared" si="43"/>
        <v/>
      </c>
      <c r="X287" s="5" t="str">
        <f t="shared" si="44"/>
        <v/>
      </c>
    </row>
    <row r="288" spans="1:24">
      <c r="A288" s="91"/>
      <c r="B288" s="92"/>
      <c r="C288" s="69"/>
      <c r="D288" s="69"/>
      <c r="E288" s="69"/>
      <c r="F288" s="69"/>
      <c r="G288" s="70"/>
      <c r="H288" s="71"/>
      <c r="I288" s="66"/>
      <c r="J288" s="67"/>
      <c r="K288" s="67"/>
      <c r="L288" s="67"/>
      <c r="M288" s="67"/>
      <c r="N288" s="67"/>
      <c r="O288" s="67"/>
      <c r="P288" s="145" t="str">
        <f t="shared" si="36"/>
        <v/>
      </c>
      <c r="Q288" s="65" t="str">
        <f t="shared" si="37"/>
        <v/>
      </c>
      <c r="R288" s="5" t="str">
        <f t="shared" si="38"/>
        <v/>
      </c>
      <c r="S288" s="5" t="str">
        <f t="shared" si="39"/>
        <v/>
      </c>
      <c r="T288" s="5" t="str">
        <f t="shared" si="40"/>
        <v/>
      </c>
      <c r="U288" s="5" t="str">
        <f t="shared" si="41"/>
        <v/>
      </c>
      <c r="V288" s="5" t="str">
        <f t="shared" si="42"/>
        <v/>
      </c>
      <c r="W288" s="5" t="str">
        <f t="shared" si="43"/>
        <v/>
      </c>
      <c r="X288" s="5" t="str">
        <f t="shared" si="44"/>
        <v/>
      </c>
    </row>
    <row r="289" spans="1:24">
      <c r="A289" s="91"/>
      <c r="B289" s="92"/>
      <c r="C289" s="69"/>
      <c r="D289" s="69"/>
      <c r="E289" s="69"/>
      <c r="F289" s="69"/>
      <c r="G289" s="70"/>
      <c r="H289" s="71"/>
      <c r="I289" s="66"/>
      <c r="J289" s="67"/>
      <c r="K289" s="67"/>
      <c r="L289" s="67"/>
      <c r="M289" s="67"/>
      <c r="N289" s="67"/>
      <c r="O289" s="67"/>
      <c r="P289" s="145" t="str">
        <f t="shared" si="36"/>
        <v/>
      </c>
      <c r="Q289" s="65" t="str">
        <f t="shared" si="37"/>
        <v/>
      </c>
      <c r="R289" s="5" t="str">
        <f t="shared" si="38"/>
        <v/>
      </c>
      <c r="S289" s="5" t="str">
        <f t="shared" si="39"/>
        <v/>
      </c>
      <c r="T289" s="5" t="str">
        <f t="shared" si="40"/>
        <v/>
      </c>
      <c r="U289" s="5" t="str">
        <f t="shared" si="41"/>
        <v/>
      </c>
      <c r="V289" s="5" t="str">
        <f t="shared" si="42"/>
        <v/>
      </c>
      <c r="W289" s="5" t="str">
        <f t="shared" si="43"/>
        <v/>
      </c>
      <c r="X289" s="5" t="str">
        <f t="shared" si="44"/>
        <v/>
      </c>
    </row>
    <row r="290" spans="1:24">
      <c r="A290" s="91"/>
      <c r="B290" s="92"/>
      <c r="C290" s="69"/>
      <c r="D290" s="69"/>
      <c r="E290" s="69"/>
      <c r="F290" s="69"/>
      <c r="G290" s="70"/>
      <c r="H290" s="71"/>
      <c r="I290" s="66"/>
      <c r="J290" s="67"/>
      <c r="K290" s="67"/>
      <c r="L290" s="67"/>
      <c r="M290" s="67"/>
      <c r="N290" s="67"/>
      <c r="O290" s="67"/>
      <c r="P290" s="145" t="str">
        <f t="shared" si="36"/>
        <v/>
      </c>
      <c r="Q290" s="65" t="str">
        <f t="shared" si="37"/>
        <v/>
      </c>
      <c r="R290" s="5" t="str">
        <f t="shared" si="38"/>
        <v/>
      </c>
      <c r="S290" s="5" t="str">
        <f t="shared" si="39"/>
        <v/>
      </c>
      <c r="T290" s="5" t="str">
        <f t="shared" si="40"/>
        <v/>
      </c>
      <c r="U290" s="5" t="str">
        <f t="shared" si="41"/>
        <v/>
      </c>
      <c r="V290" s="5" t="str">
        <f t="shared" si="42"/>
        <v/>
      </c>
      <c r="W290" s="5" t="str">
        <f t="shared" si="43"/>
        <v/>
      </c>
      <c r="X290" s="5" t="str">
        <f t="shared" si="44"/>
        <v/>
      </c>
    </row>
    <row r="291" spans="1:24">
      <c r="A291" s="91"/>
      <c r="B291" s="92"/>
      <c r="C291" s="69"/>
      <c r="D291" s="69"/>
      <c r="E291" s="69"/>
      <c r="F291" s="69"/>
      <c r="G291" s="70"/>
      <c r="H291" s="71"/>
      <c r="I291" s="66"/>
      <c r="J291" s="67"/>
      <c r="K291" s="67"/>
      <c r="L291" s="67"/>
      <c r="M291" s="67"/>
      <c r="N291" s="67"/>
      <c r="O291" s="67"/>
      <c r="P291" s="145" t="str">
        <f t="shared" si="36"/>
        <v/>
      </c>
      <c r="Q291" s="65" t="str">
        <f t="shared" si="37"/>
        <v/>
      </c>
      <c r="R291" s="5" t="str">
        <f t="shared" si="38"/>
        <v/>
      </c>
      <c r="S291" s="5" t="str">
        <f t="shared" si="39"/>
        <v/>
      </c>
      <c r="T291" s="5" t="str">
        <f t="shared" si="40"/>
        <v/>
      </c>
      <c r="U291" s="5" t="str">
        <f t="shared" si="41"/>
        <v/>
      </c>
      <c r="V291" s="5" t="str">
        <f t="shared" si="42"/>
        <v/>
      </c>
      <c r="W291" s="5" t="str">
        <f t="shared" si="43"/>
        <v/>
      </c>
      <c r="X291" s="5" t="str">
        <f t="shared" si="44"/>
        <v/>
      </c>
    </row>
    <row r="292" spans="1:24">
      <c r="A292" s="91"/>
      <c r="B292" s="92"/>
      <c r="C292" s="69"/>
      <c r="D292" s="69"/>
      <c r="E292" s="69"/>
      <c r="F292" s="69"/>
      <c r="G292" s="70"/>
      <c r="H292" s="71"/>
      <c r="I292" s="66"/>
      <c r="J292" s="67"/>
      <c r="K292" s="67"/>
      <c r="L292" s="67"/>
      <c r="M292" s="67"/>
      <c r="N292" s="67"/>
      <c r="O292" s="67"/>
      <c r="P292" s="145" t="str">
        <f t="shared" si="36"/>
        <v/>
      </c>
      <c r="Q292" s="65" t="str">
        <f t="shared" si="37"/>
        <v/>
      </c>
      <c r="R292" s="5" t="str">
        <f t="shared" si="38"/>
        <v/>
      </c>
      <c r="S292" s="5" t="str">
        <f t="shared" si="39"/>
        <v/>
      </c>
      <c r="T292" s="5" t="str">
        <f t="shared" si="40"/>
        <v/>
      </c>
      <c r="U292" s="5" t="str">
        <f t="shared" si="41"/>
        <v/>
      </c>
      <c r="V292" s="5" t="str">
        <f t="shared" si="42"/>
        <v/>
      </c>
      <c r="W292" s="5" t="str">
        <f t="shared" si="43"/>
        <v/>
      </c>
      <c r="X292" s="5" t="str">
        <f t="shared" si="44"/>
        <v/>
      </c>
    </row>
    <row r="293" spans="1:24">
      <c r="A293" s="91"/>
      <c r="B293" s="92"/>
      <c r="C293" s="69"/>
      <c r="D293" s="69"/>
      <c r="E293" s="69"/>
      <c r="F293" s="69"/>
      <c r="G293" s="70"/>
      <c r="H293" s="71"/>
      <c r="I293" s="66"/>
      <c r="J293" s="67"/>
      <c r="K293" s="67"/>
      <c r="L293" s="67"/>
      <c r="M293" s="67"/>
      <c r="N293" s="67"/>
      <c r="O293" s="67"/>
      <c r="P293" s="145" t="str">
        <f t="shared" si="36"/>
        <v/>
      </c>
      <c r="Q293" s="65" t="str">
        <f t="shared" si="37"/>
        <v/>
      </c>
      <c r="R293" s="5" t="str">
        <f t="shared" si="38"/>
        <v/>
      </c>
      <c r="S293" s="5" t="str">
        <f t="shared" si="39"/>
        <v/>
      </c>
      <c r="T293" s="5" t="str">
        <f t="shared" si="40"/>
        <v/>
      </c>
      <c r="U293" s="5" t="str">
        <f t="shared" si="41"/>
        <v/>
      </c>
      <c r="V293" s="5" t="str">
        <f t="shared" si="42"/>
        <v/>
      </c>
      <c r="W293" s="5" t="str">
        <f t="shared" si="43"/>
        <v/>
      </c>
      <c r="X293" s="5" t="str">
        <f t="shared" si="44"/>
        <v/>
      </c>
    </row>
    <row r="294" spans="1:24">
      <c r="A294" s="91"/>
      <c r="B294" s="92"/>
      <c r="C294" s="69"/>
      <c r="D294" s="69"/>
      <c r="E294" s="69"/>
      <c r="F294" s="69"/>
      <c r="G294" s="70"/>
      <c r="H294" s="71"/>
      <c r="I294" s="66"/>
      <c r="J294" s="67"/>
      <c r="K294" s="67"/>
      <c r="L294" s="67"/>
      <c r="M294" s="67"/>
      <c r="N294" s="67"/>
      <c r="O294" s="67"/>
      <c r="P294" s="145" t="str">
        <f t="shared" si="36"/>
        <v/>
      </c>
      <c r="Q294" s="65" t="str">
        <f t="shared" si="37"/>
        <v/>
      </c>
      <c r="R294" s="5" t="str">
        <f t="shared" si="38"/>
        <v/>
      </c>
      <c r="S294" s="5" t="str">
        <f t="shared" si="39"/>
        <v/>
      </c>
      <c r="T294" s="5" t="str">
        <f t="shared" si="40"/>
        <v/>
      </c>
      <c r="U294" s="5" t="str">
        <f t="shared" si="41"/>
        <v/>
      </c>
      <c r="V294" s="5" t="str">
        <f t="shared" si="42"/>
        <v/>
      </c>
      <c r="W294" s="5" t="str">
        <f t="shared" si="43"/>
        <v/>
      </c>
      <c r="X294" s="5" t="str">
        <f t="shared" si="44"/>
        <v/>
      </c>
    </row>
    <row r="295" spans="1:24">
      <c r="A295" s="91"/>
      <c r="B295" s="92"/>
      <c r="C295" s="69"/>
      <c r="D295" s="69"/>
      <c r="E295" s="69"/>
      <c r="F295" s="69"/>
      <c r="G295" s="70"/>
      <c r="H295" s="71"/>
      <c r="I295" s="66"/>
      <c r="J295" s="67"/>
      <c r="K295" s="67"/>
      <c r="L295" s="67"/>
      <c r="M295" s="67"/>
      <c r="N295" s="67"/>
      <c r="O295" s="67"/>
      <c r="P295" s="145" t="str">
        <f t="shared" si="36"/>
        <v/>
      </c>
      <c r="Q295" s="65" t="str">
        <f t="shared" si="37"/>
        <v/>
      </c>
      <c r="R295" s="5" t="str">
        <f t="shared" si="38"/>
        <v/>
      </c>
      <c r="S295" s="5" t="str">
        <f t="shared" si="39"/>
        <v/>
      </c>
      <c r="T295" s="5" t="str">
        <f t="shared" si="40"/>
        <v/>
      </c>
      <c r="U295" s="5" t="str">
        <f t="shared" si="41"/>
        <v/>
      </c>
      <c r="V295" s="5" t="str">
        <f t="shared" si="42"/>
        <v/>
      </c>
      <c r="W295" s="5" t="str">
        <f t="shared" si="43"/>
        <v/>
      </c>
      <c r="X295" s="5" t="str">
        <f t="shared" si="44"/>
        <v/>
      </c>
    </row>
    <row r="296" spans="1:24">
      <c r="A296" s="91"/>
      <c r="B296" s="92"/>
      <c r="C296" s="69"/>
      <c r="D296" s="69"/>
      <c r="E296" s="69"/>
      <c r="F296" s="69"/>
      <c r="G296" s="70"/>
      <c r="H296" s="71"/>
      <c r="I296" s="66"/>
      <c r="J296" s="67"/>
      <c r="K296" s="67"/>
      <c r="L296" s="67"/>
      <c r="M296" s="67"/>
      <c r="N296" s="67"/>
      <c r="O296" s="67"/>
      <c r="P296" s="145" t="str">
        <f t="shared" si="36"/>
        <v/>
      </c>
      <c r="Q296" s="65" t="str">
        <f t="shared" si="37"/>
        <v/>
      </c>
      <c r="R296" s="5" t="str">
        <f t="shared" si="38"/>
        <v/>
      </c>
      <c r="S296" s="5" t="str">
        <f t="shared" si="39"/>
        <v/>
      </c>
      <c r="T296" s="5" t="str">
        <f t="shared" si="40"/>
        <v/>
      </c>
      <c r="U296" s="5" t="str">
        <f t="shared" si="41"/>
        <v/>
      </c>
      <c r="V296" s="5" t="str">
        <f t="shared" si="42"/>
        <v/>
      </c>
      <c r="W296" s="5" t="str">
        <f t="shared" si="43"/>
        <v/>
      </c>
      <c r="X296" s="5" t="str">
        <f t="shared" si="44"/>
        <v/>
      </c>
    </row>
    <row r="297" spans="1:24">
      <c r="A297" s="91"/>
      <c r="B297" s="92"/>
      <c r="C297" s="69"/>
      <c r="D297" s="69"/>
      <c r="E297" s="69"/>
      <c r="F297" s="69"/>
      <c r="G297" s="70"/>
      <c r="H297" s="71"/>
      <c r="I297" s="66"/>
      <c r="J297" s="67"/>
      <c r="K297" s="67"/>
      <c r="L297" s="67"/>
      <c r="M297" s="67"/>
      <c r="N297" s="67"/>
      <c r="O297" s="67"/>
      <c r="P297" s="145" t="str">
        <f t="shared" si="36"/>
        <v/>
      </c>
      <c r="Q297" s="65" t="str">
        <f t="shared" si="37"/>
        <v/>
      </c>
      <c r="R297" s="5" t="str">
        <f t="shared" si="38"/>
        <v/>
      </c>
      <c r="S297" s="5" t="str">
        <f t="shared" si="39"/>
        <v/>
      </c>
      <c r="T297" s="5" t="str">
        <f t="shared" si="40"/>
        <v/>
      </c>
      <c r="U297" s="5" t="str">
        <f t="shared" si="41"/>
        <v/>
      </c>
      <c r="V297" s="5" t="str">
        <f t="shared" si="42"/>
        <v/>
      </c>
      <c r="W297" s="5" t="str">
        <f t="shared" si="43"/>
        <v/>
      </c>
      <c r="X297" s="5" t="str">
        <f t="shared" si="44"/>
        <v/>
      </c>
    </row>
    <row r="298" spans="1:24">
      <c r="A298" s="91"/>
      <c r="B298" s="92"/>
      <c r="C298" s="69"/>
      <c r="D298" s="69"/>
      <c r="E298" s="69"/>
      <c r="F298" s="69"/>
      <c r="G298" s="70"/>
      <c r="H298" s="71"/>
      <c r="I298" s="66"/>
      <c r="J298" s="67"/>
      <c r="K298" s="67"/>
      <c r="L298" s="67"/>
      <c r="M298" s="67"/>
      <c r="N298" s="67"/>
      <c r="O298" s="67"/>
      <c r="P298" s="145" t="str">
        <f t="shared" si="36"/>
        <v/>
      </c>
      <c r="Q298" s="65" t="str">
        <f t="shared" si="37"/>
        <v/>
      </c>
      <c r="R298" s="5" t="str">
        <f t="shared" si="38"/>
        <v/>
      </c>
      <c r="S298" s="5" t="str">
        <f t="shared" si="39"/>
        <v/>
      </c>
      <c r="T298" s="5" t="str">
        <f t="shared" si="40"/>
        <v/>
      </c>
      <c r="U298" s="5" t="str">
        <f t="shared" si="41"/>
        <v/>
      </c>
      <c r="V298" s="5" t="str">
        <f t="shared" si="42"/>
        <v/>
      </c>
      <c r="W298" s="5" t="str">
        <f t="shared" si="43"/>
        <v/>
      </c>
      <c r="X298" s="5" t="str">
        <f t="shared" si="44"/>
        <v/>
      </c>
    </row>
    <row r="299" spans="1:24">
      <c r="A299" s="91"/>
      <c r="B299" s="92"/>
      <c r="C299" s="69"/>
      <c r="D299" s="69"/>
      <c r="E299" s="69"/>
      <c r="F299" s="69"/>
      <c r="G299" s="70"/>
      <c r="H299" s="71"/>
      <c r="I299" s="66"/>
      <c r="J299" s="67"/>
      <c r="K299" s="67"/>
      <c r="L299" s="67"/>
      <c r="M299" s="67"/>
      <c r="N299" s="67"/>
      <c r="O299" s="67"/>
      <c r="P299" s="145" t="str">
        <f t="shared" si="36"/>
        <v/>
      </c>
      <c r="Q299" s="65" t="str">
        <f t="shared" si="37"/>
        <v/>
      </c>
      <c r="R299" s="5" t="str">
        <f t="shared" si="38"/>
        <v/>
      </c>
      <c r="S299" s="5" t="str">
        <f t="shared" si="39"/>
        <v/>
      </c>
      <c r="T299" s="5" t="str">
        <f t="shared" si="40"/>
        <v/>
      </c>
      <c r="U299" s="5" t="str">
        <f t="shared" si="41"/>
        <v/>
      </c>
      <c r="V299" s="5" t="str">
        <f t="shared" si="42"/>
        <v/>
      </c>
      <c r="W299" s="5" t="str">
        <f t="shared" si="43"/>
        <v/>
      </c>
      <c r="X299" s="5" t="str">
        <f t="shared" si="44"/>
        <v/>
      </c>
    </row>
    <row r="300" spans="1:24">
      <c r="A300" s="91"/>
      <c r="B300" s="92"/>
      <c r="C300" s="69"/>
      <c r="D300" s="69"/>
      <c r="E300" s="69"/>
      <c r="F300" s="69"/>
      <c r="G300" s="70"/>
      <c r="H300" s="71"/>
      <c r="I300" s="66"/>
      <c r="J300" s="67"/>
      <c r="K300" s="67"/>
      <c r="L300" s="67"/>
      <c r="M300" s="67"/>
      <c r="N300" s="67"/>
      <c r="O300" s="67"/>
      <c r="P300" s="145" t="str">
        <f t="shared" si="36"/>
        <v/>
      </c>
      <c r="Q300" s="65" t="str">
        <f t="shared" si="37"/>
        <v/>
      </c>
      <c r="R300" s="5" t="str">
        <f t="shared" si="38"/>
        <v/>
      </c>
      <c r="S300" s="5" t="str">
        <f t="shared" si="39"/>
        <v/>
      </c>
      <c r="T300" s="5" t="str">
        <f t="shared" si="40"/>
        <v/>
      </c>
      <c r="U300" s="5" t="str">
        <f t="shared" si="41"/>
        <v/>
      </c>
      <c r="V300" s="5" t="str">
        <f t="shared" si="42"/>
        <v/>
      </c>
      <c r="W300" s="5" t="str">
        <f t="shared" si="43"/>
        <v/>
      </c>
      <c r="X300" s="5" t="str">
        <f t="shared" si="44"/>
        <v/>
      </c>
    </row>
    <row r="301" spans="1:24">
      <c r="A301" s="91"/>
      <c r="B301" s="92"/>
      <c r="C301" s="69"/>
      <c r="D301" s="69"/>
      <c r="E301" s="69"/>
      <c r="F301" s="69"/>
      <c r="G301" s="70"/>
      <c r="H301" s="71"/>
      <c r="I301" s="66"/>
      <c r="J301" s="67"/>
      <c r="K301" s="67"/>
      <c r="L301" s="67"/>
      <c r="M301" s="67"/>
      <c r="N301" s="67"/>
      <c r="O301" s="67"/>
      <c r="P301" s="145" t="str">
        <f t="shared" si="36"/>
        <v/>
      </c>
      <c r="Q301" s="65" t="str">
        <f t="shared" si="37"/>
        <v/>
      </c>
      <c r="R301" s="5" t="str">
        <f t="shared" si="38"/>
        <v/>
      </c>
      <c r="S301" s="5" t="str">
        <f t="shared" si="39"/>
        <v/>
      </c>
      <c r="T301" s="5" t="str">
        <f t="shared" si="40"/>
        <v/>
      </c>
      <c r="U301" s="5" t="str">
        <f t="shared" si="41"/>
        <v/>
      </c>
      <c r="V301" s="5" t="str">
        <f t="shared" si="42"/>
        <v/>
      </c>
      <c r="W301" s="5" t="str">
        <f t="shared" si="43"/>
        <v/>
      </c>
      <c r="X301" s="5" t="str">
        <f t="shared" si="44"/>
        <v/>
      </c>
    </row>
    <row r="302" spans="1:24">
      <c r="A302" s="91"/>
      <c r="B302" s="92"/>
      <c r="C302" s="69"/>
      <c r="D302" s="69"/>
      <c r="E302" s="69"/>
      <c r="F302" s="69"/>
      <c r="G302" s="70"/>
      <c r="H302" s="71"/>
      <c r="I302" s="66"/>
      <c r="J302" s="67"/>
      <c r="K302" s="67"/>
      <c r="L302" s="67"/>
      <c r="M302" s="67"/>
      <c r="N302" s="67"/>
      <c r="O302" s="67"/>
      <c r="P302" s="145" t="str">
        <f t="shared" si="36"/>
        <v/>
      </c>
      <c r="Q302" s="65" t="str">
        <f t="shared" si="37"/>
        <v/>
      </c>
      <c r="R302" s="5" t="str">
        <f t="shared" si="38"/>
        <v/>
      </c>
      <c r="S302" s="5" t="str">
        <f t="shared" si="39"/>
        <v/>
      </c>
      <c r="T302" s="5" t="str">
        <f t="shared" si="40"/>
        <v/>
      </c>
      <c r="U302" s="5" t="str">
        <f t="shared" si="41"/>
        <v/>
      </c>
      <c r="V302" s="5" t="str">
        <f t="shared" si="42"/>
        <v/>
      </c>
      <c r="W302" s="5" t="str">
        <f t="shared" si="43"/>
        <v/>
      </c>
      <c r="X302" s="5" t="str">
        <f t="shared" si="44"/>
        <v/>
      </c>
    </row>
    <row r="303" spans="1:24">
      <c r="A303" s="91"/>
      <c r="B303" s="92"/>
      <c r="C303" s="69"/>
      <c r="D303" s="69"/>
      <c r="E303" s="69"/>
      <c r="F303" s="69"/>
      <c r="G303" s="70"/>
      <c r="H303" s="71"/>
      <c r="I303" s="66"/>
      <c r="J303" s="67"/>
      <c r="K303" s="67"/>
      <c r="L303" s="67"/>
      <c r="M303" s="67"/>
      <c r="N303" s="67"/>
      <c r="O303" s="67"/>
      <c r="P303" s="145" t="str">
        <f t="shared" si="36"/>
        <v/>
      </c>
      <c r="Q303" s="65" t="str">
        <f t="shared" si="37"/>
        <v/>
      </c>
      <c r="R303" s="5" t="str">
        <f t="shared" si="38"/>
        <v/>
      </c>
      <c r="S303" s="5" t="str">
        <f t="shared" si="39"/>
        <v/>
      </c>
      <c r="T303" s="5" t="str">
        <f t="shared" si="40"/>
        <v/>
      </c>
      <c r="U303" s="5" t="str">
        <f t="shared" si="41"/>
        <v/>
      </c>
      <c r="V303" s="5" t="str">
        <f t="shared" si="42"/>
        <v/>
      </c>
      <c r="W303" s="5" t="str">
        <f t="shared" si="43"/>
        <v/>
      </c>
      <c r="X303" s="5" t="str">
        <f t="shared" si="44"/>
        <v/>
      </c>
    </row>
    <row r="304" spans="1:24">
      <c r="A304" s="91"/>
      <c r="B304" s="92"/>
      <c r="C304" s="69"/>
      <c r="D304" s="69"/>
      <c r="E304" s="69"/>
      <c r="F304" s="69"/>
      <c r="G304" s="70"/>
      <c r="H304" s="71"/>
      <c r="I304" s="66"/>
      <c r="J304" s="67"/>
      <c r="K304" s="67"/>
      <c r="L304" s="67"/>
      <c r="M304" s="67"/>
      <c r="N304" s="67"/>
      <c r="O304" s="67"/>
      <c r="P304" s="145" t="str">
        <f t="shared" si="36"/>
        <v/>
      </c>
      <c r="Q304" s="65" t="str">
        <f t="shared" si="37"/>
        <v/>
      </c>
      <c r="R304" s="5" t="str">
        <f t="shared" si="38"/>
        <v/>
      </c>
      <c r="S304" s="5" t="str">
        <f t="shared" si="39"/>
        <v/>
      </c>
      <c r="T304" s="5" t="str">
        <f t="shared" si="40"/>
        <v/>
      </c>
      <c r="U304" s="5" t="str">
        <f t="shared" si="41"/>
        <v/>
      </c>
      <c r="V304" s="5" t="str">
        <f t="shared" si="42"/>
        <v/>
      </c>
      <c r="W304" s="5" t="str">
        <f t="shared" si="43"/>
        <v/>
      </c>
      <c r="X304" s="5" t="str">
        <f t="shared" si="44"/>
        <v/>
      </c>
    </row>
    <row r="305" spans="1:24">
      <c r="A305" s="91"/>
      <c r="B305" s="92"/>
      <c r="C305" s="69"/>
      <c r="D305" s="69"/>
      <c r="E305" s="69"/>
      <c r="F305" s="69"/>
      <c r="G305" s="70"/>
      <c r="H305" s="71"/>
      <c r="I305" s="66"/>
      <c r="J305" s="67"/>
      <c r="K305" s="67"/>
      <c r="L305" s="67"/>
      <c r="M305" s="67"/>
      <c r="N305" s="67"/>
      <c r="O305" s="67"/>
      <c r="P305" s="145" t="str">
        <f t="shared" si="36"/>
        <v/>
      </c>
      <c r="Q305" s="65" t="str">
        <f t="shared" si="37"/>
        <v/>
      </c>
      <c r="R305" s="5" t="str">
        <f t="shared" si="38"/>
        <v/>
      </c>
      <c r="S305" s="5" t="str">
        <f t="shared" si="39"/>
        <v/>
      </c>
      <c r="T305" s="5" t="str">
        <f t="shared" si="40"/>
        <v/>
      </c>
      <c r="U305" s="5" t="str">
        <f t="shared" si="41"/>
        <v/>
      </c>
      <c r="V305" s="5" t="str">
        <f t="shared" si="42"/>
        <v/>
      </c>
      <c r="W305" s="5" t="str">
        <f t="shared" si="43"/>
        <v/>
      </c>
      <c r="X305" s="5" t="str">
        <f t="shared" si="44"/>
        <v/>
      </c>
    </row>
    <row r="306" spans="1:24">
      <c r="A306" s="91"/>
      <c r="B306" s="92"/>
      <c r="C306" s="69"/>
      <c r="D306" s="69"/>
      <c r="E306" s="69"/>
      <c r="F306" s="69"/>
      <c r="G306" s="70"/>
      <c r="H306" s="71"/>
      <c r="I306" s="66"/>
      <c r="J306" s="67"/>
      <c r="K306" s="67"/>
      <c r="L306" s="67"/>
      <c r="M306" s="67"/>
      <c r="N306" s="67"/>
      <c r="O306" s="67"/>
      <c r="P306" s="145" t="str">
        <f t="shared" si="36"/>
        <v/>
      </c>
      <c r="Q306" s="65" t="str">
        <f t="shared" si="37"/>
        <v/>
      </c>
      <c r="R306" s="5" t="str">
        <f t="shared" si="38"/>
        <v/>
      </c>
      <c r="S306" s="5" t="str">
        <f t="shared" si="39"/>
        <v/>
      </c>
      <c r="T306" s="5" t="str">
        <f t="shared" si="40"/>
        <v/>
      </c>
      <c r="U306" s="5" t="str">
        <f t="shared" si="41"/>
        <v/>
      </c>
      <c r="V306" s="5" t="str">
        <f t="shared" si="42"/>
        <v/>
      </c>
      <c r="W306" s="5" t="str">
        <f t="shared" si="43"/>
        <v/>
      </c>
      <c r="X306" s="5" t="str">
        <f t="shared" si="44"/>
        <v/>
      </c>
    </row>
    <row r="307" spans="1:24">
      <c r="A307" s="91"/>
      <c r="B307" s="92"/>
      <c r="C307" s="69"/>
      <c r="D307" s="69"/>
      <c r="E307" s="69"/>
      <c r="F307" s="69"/>
      <c r="G307" s="70"/>
      <c r="H307" s="71"/>
      <c r="I307" s="66"/>
      <c r="J307" s="67"/>
      <c r="K307" s="67"/>
      <c r="L307" s="67"/>
      <c r="M307" s="67"/>
      <c r="N307" s="67"/>
      <c r="O307" s="67"/>
      <c r="P307" s="145" t="str">
        <f t="shared" si="36"/>
        <v/>
      </c>
      <c r="Q307" s="65" t="str">
        <f t="shared" si="37"/>
        <v/>
      </c>
      <c r="R307" s="5" t="str">
        <f t="shared" si="38"/>
        <v/>
      </c>
      <c r="S307" s="5" t="str">
        <f t="shared" si="39"/>
        <v/>
      </c>
      <c r="T307" s="5" t="str">
        <f t="shared" si="40"/>
        <v/>
      </c>
      <c r="U307" s="5" t="str">
        <f t="shared" si="41"/>
        <v/>
      </c>
      <c r="V307" s="5" t="str">
        <f t="shared" si="42"/>
        <v/>
      </c>
      <c r="W307" s="5" t="str">
        <f t="shared" si="43"/>
        <v/>
      </c>
      <c r="X307" s="5" t="str">
        <f t="shared" si="44"/>
        <v/>
      </c>
    </row>
    <row r="308" spans="1:24">
      <c r="A308" s="91"/>
      <c r="B308" s="92"/>
      <c r="C308" s="69"/>
      <c r="D308" s="69"/>
      <c r="E308" s="69"/>
      <c r="F308" s="69"/>
      <c r="G308" s="70"/>
      <c r="H308" s="71"/>
      <c r="I308" s="66"/>
      <c r="J308" s="67"/>
      <c r="K308" s="67"/>
      <c r="L308" s="67"/>
      <c r="M308" s="67"/>
      <c r="N308" s="67"/>
      <c r="O308" s="67"/>
      <c r="P308" s="145" t="str">
        <f t="shared" si="36"/>
        <v/>
      </c>
      <c r="Q308" s="65" t="str">
        <f t="shared" si="37"/>
        <v/>
      </c>
      <c r="R308" s="5" t="str">
        <f t="shared" si="38"/>
        <v/>
      </c>
      <c r="S308" s="5" t="str">
        <f t="shared" si="39"/>
        <v/>
      </c>
      <c r="T308" s="5" t="str">
        <f t="shared" si="40"/>
        <v/>
      </c>
      <c r="U308" s="5" t="str">
        <f t="shared" si="41"/>
        <v/>
      </c>
      <c r="V308" s="5" t="str">
        <f t="shared" si="42"/>
        <v/>
      </c>
      <c r="W308" s="5" t="str">
        <f t="shared" si="43"/>
        <v/>
      </c>
      <c r="X308" s="5" t="str">
        <f t="shared" si="44"/>
        <v/>
      </c>
    </row>
    <row r="309" spans="1:24">
      <c r="A309" s="91"/>
      <c r="B309" s="92"/>
      <c r="C309" s="69"/>
      <c r="D309" s="69"/>
      <c r="E309" s="69"/>
      <c r="F309" s="69"/>
      <c r="G309" s="70"/>
      <c r="H309" s="71"/>
      <c r="I309" s="66"/>
      <c r="J309" s="67"/>
      <c r="K309" s="67"/>
      <c r="L309" s="67"/>
      <c r="M309" s="67"/>
      <c r="N309" s="67"/>
      <c r="O309" s="67"/>
      <c r="P309" s="145" t="str">
        <f t="shared" si="36"/>
        <v/>
      </c>
      <c r="Q309" s="65" t="str">
        <f t="shared" si="37"/>
        <v/>
      </c>
      <c r="R309" s="5" t="str">
        <f t="shared" si="38"/>
        <v/>
      </c>
      <c r="S309" s="5" t="str">
        <f t="shared" si="39"/>
        <v/>
      </c>
      <c r="T309" s="5" t="str">
        <f t="shared" si="40"/>
        <v/>
      </c>
      <c r="U309" s="5" t="str">
        <f t="shared" si="41"/>
        <v/>
      </c>
      <c r="V309" s="5" t="str">
        <f t="shared" si="42"/>
        <v/>
      </c>
      <c r="W309" s="5" t="str">
        <f t="shared" si="43"/>
        <v/>
      </c>
      <c r="X309" s="5" t="str">
        <f t="shared" si="44"/>
        <v/>
      </c>
    </row>
    <row r="310" spans="1:24">
      <c r="A310" s="91"/>
      <c r="B310" s="92"/>
      <c r="C310" s="69"/>
      <c r="D310" s="69"/>
      <c r="E310" s="69"/>
      <c r="F310" s="69"/>
      <c r="G310" s="70"/>
      <c r="H310" s="71"/>
      <c r="I310" s="66"/>
      <c r="J310" s="67"/>
      <c r="K310" s="67"/>
      <c r="L310" s="67"/>
      <c r="M310" s="67"/>
      <c r="N310" s="67"/>
      <c r="O310" s="67"/>
      <c r="P310" s="145" t="str">
        <f t="shared" si="36"/>
        <v/>
      </c>
      <c r="Q310" s="65" t="str">
        <f t="shared" si="37"/>
        <v/>
      </c>
      <c r="R310" s="5" t="str">
        <f t="shared" si="38"/>
        <v/>
      </c>
      <c r="S310" s="5" t="str">
        <f t="shared" si="39"/>
        <v/>
      </c>
      <c r="T310" s="5" t="str">
        <f t="shared" si="40"/>
        <v/>
      </c>
      <c r="U310" s="5" t="str">
        <f t="shared" si="41"/>
        <v/>
      </c>
      <c r="V310" s="5" t="str">
        <f t="shared" si="42"/>
        <v/>
      </c>
      <c r="W310" s="5" t="str">
        <f t="shared" si="43"/>
        <v/>
      </c>
      <c r="X310" s="5" t="str">
        <f t="shared" si="44"/>
        <v/>
      </c>
    </row>
    <row r="311" spans="1:24">
      <c r="A311" s="91"/>
      <c r="B311" s="92"/>
      <c r="C311" s="69"/>
      <c r="D311" s="69"/>
      <c r="E311" s="69"/>
      <c r="F311" s="69"/>
      <c r="G311" s="70"/>
      <c r="H311" s="71"/>
      <c r="I311" s="66"/>
      <c r="J311" s="67"/>
      <c r="K311" s="67"/>
      <c r="L311" s="67"/>
      <c r="M311" s="67"/>
      <c r="N311" s="67"/>
      <c r="O311" s="67"/>
      <c r="P311" s="145" t="str">
        <f t="shared" si="36"/>
        <v/>
      </c>
      <c r="Q311" s="65" t="str">
        <f t="shared" si="37"/>
        <v/>
      </c>
      <c r="R311" s="5" t="str">
        <f t="shared" si="38"/>
        <v/>
      </c>
      <c r="S311" s="5" t="str">
        <f t="shared" si="39"/>
        <v/>
      </c>
      <c r="T311" s="5" t="str">
        <f t="shared" si="40"/>
        <v/>
      </c>
      <c r="U311" s="5" t="str">
        <f t="shared" si="41"/>
        <v/>
      </c>
      <c r="V311" s="5" t="str">
        <f t="shared" si="42"/>
        <v/>
      </c>
      <c r="W311" s="5" t="str">
        <f t="shared" si="43"/>
        <v/>
      </c>
      <c r="X311" s="5" t="str">
        <f t="shared" si="44"/>
        <v/>
      </c>
    </row>
    <row r="312" spans="1:24">
      <c r="A312" s="91"/>
      <c r="B312" s="92"/>
      <c r="C312" s="69"/>
      <c r="D312" s="69"/>
      <c r="E312" s="69"/>
      <c r="F312" s="69"/>
      <c r="G312" s="70"/>
      <c r="H312" s="71"/>
      <c r="I312" s="66"/>
      <c r="J312" s="67"/>
      <c r="K312" s="67"/>
      <c r="L312" s="67"/>
      <c r="M312" s="67"/>
      <c r="N312" s="67"/>
      <c r="O312" s="67"/>
      <c r="P312" s="145" t="str">
        <f t="shared" si="36"/>
        <v/>
      </c>
      <c r="Q312" s="65" t="str">
        <f t="shared" si="37"/>
        <v/>
      </c>
      <c r="R312" s="5" t="str">
        <f t="shared" si="38"/>
        <v/>
      </c>
      <c r="S312" s="5" t="str">
        <f t="shared" si="39"/>
        <v/>
      </c>
      <c r="T312" s="5" t="str">
        <f t="shared" si="40"/>
        <v/>
      </c>
      <c r="U312" s="5" t="str">
        <f t="shared" si="41"/>
        <v/>
      </c>
      <c r="V312" s="5" t="str">
        <f t="shared" si="42"/>
        <v/>
      </c>
      <c r="W312" s="5" t="str">
        <f t="shared" si="43"/>
        <v/>
      </c>
      <c r="X312" s="5" t="str">
        <f t="shared" si="44"/>
        <v/>
      </c>
    </row>
    <row r="313" spans="1:24">
      <c r="A313" s="91"/>
      <c r="B313" s="92"/>
      <c r="C313" s="69"/>
      <c r="D313" s="69"/>
      <c r="E313" s="69"/>
      <c r="F313" s="69"/>
      <c r="G313" s="70"/>
      <c r="H313" s="71"/>
      <c r="I313" s="66"/>
      <c r="J313" s="67"/>
      <c r="K313" s="67"/>
      <c r="L313" s="67"/>
      <c r="M313" s="67"/>
      <c r="N313" s="67"/>
      <c r="O313" s="67"/>
      <c r="P313" s="145" t="str">
        <f t="shared" si="36"/>
        <v/>
      </c>
      <c r="Q313" s="65" t="str">
        <f t="shared" si="37"/>
        <v/>
      </c>
      <c r="R313" s="5" t="str">
        <f t="shared" si="38"/>
        <v/>
      </c>
      <c r="S313" s="5" t="str">
        <f t="shared" si="39"/>
        <v/>
      </c>
      <c r="T313" s="5" t="str">
        <f t="shared" si="40"/>
        <v/>
      </c>
      <c r="U313" s="5" t="str">
        <f t="shared" si="41"/>
        <v/>
      </c>
      <c r="V313" s="5" t="str">
        <f t="shared" si="42"/>
        <v/>
      </c>
      <c r="W313" s="5" t="str">
        <f t="shared" si="43"/>
        <v/>
      </c>
      <c r="X313" s="5" t="str">
        <f t="shared" si="44"/>
        <v/>
      </c>
    </row>
    <row r="314" spans="1:24">
      <c r="A314" s="91"/>
      <c r="B314" s="92"/>
      <c r="C314" s="69"/>
      <c r="D314" s="69"/>
      <c r="E314" s="69"/>
      <c r="F314" s="69"/>
      <c r="G314" s="70"/>
      <c r="H314" s="71"/>
      <c r="I314" s="66"/>
      <c r="J314" s="67"/>
      <c r="K314" s="67"/>
      <c r="L314" s="67"/>
      <c r="M314" s="67"/>
      <c r="N314" s="67"/>
      <c r="O314" s="67"/>
      <c r="P314" s="145" t="str">
        <f t="shared" si="36"/>
        <v/>
      </c>
      <c r="Q314" s="65" t="str">
        <f t="shared" si="37"/>
        <v/>
      </c>
      <c r="R314" s="5" t="str">
        <f t="shared" si="38"/>
        <v/>
      </c>
      <c r="S314" s="5" t="str">
        <f t="shared" si="39"/>
        <v/>
      </c>
      <c r="T314" s="5" t="str">
        <f t="shared" si="40"/>
        <v/>
      </c>
      <c r="U314" s="5" t="str">
        <f t="shared" si="41"/>
        <v/>
      </c>
      <c r="V314" s="5" t="str">
        <f t="shared" si="42"/>
        <v/>
      </c>
      <c r="W314" s="5" t="str">
        <f t="shared" si="43"/>
        <v/>
      </c>
      <c r="X314" s="5" t="str">
        <f t="shared" si="44"/>
        <v/>
      </c>
    </row>
    <row r="315" spans="1:24">
      <c r="A315" s="91"/>
      <c r="B315" s="92"/>
      <c r="C315" s="69"/>
      <c r="D315" s="69"/>
      <c r="E315" s="69"/>
      <c r="F315" s="69"/>
      <c r="G315" s="70"/>
      <c r="H315" s="71"/>
      <c r="I315" s="66"/>
      <c r="J315" s="67"/>
      <c r="K315" s="67"/>
      <c r="L315" s="67"/>
      <c r="M315" s="67"/>
      <c r="N315" s="67"/>
      <c r="O315" s="67"/>
      <c r="P315" s="145" t="str">
        <f t="shared" si="36"/>
        <v/>
      </c>
      <c r="Q315" s="65" t="str">
        <f t="shared" si="37"/>
        <v/>
      </c>
      <c r="R315" s="5" t="str">
        <f t="shared" si="38"/>
        <v/>
      </c>
      <c r="S315" s="5" t="str">
        <f t="shared" si="39"/>
        <v/>
      </c>
      <c r="T315" s="5" t="str">
        <f t="shared" si="40"/>
        <v/>
      </c>
      <c r="U315" s="5" t="str">
        <f t="shared" si="41"/>
        <v/>
      </c>
      <c r="V315" s="5" t="str">
        <f t="shared" si="42"/>
        <v/>
      </c>
      <c r="W315" s="5" t="str">
        <f t="shared" si="43"/>
        <v/>
      </c>
      <c r="X315" s="5" t="str">
        <f t="shared" si="44"/>
        <v/>
      </c>
    </row>
    <row r="316" spans="1:24">
      <c r="A316" s="91"/>
      <c r="B316" s="92"/>
      <c r="C316" s="69"/>
      <c r="D316" s="69"/>
      <c r="E316" s="69"/>
      <c r="F316" s="69"/>
      <c r="G316" s="70"/>
      <c r="H316" s="71"/>
      <c r="I316" s="66"/>
      <c r="J316" s="67"/>
      <c r="K316" s="67"/>
      <c r="L316" s="67"/>
      <c r="M316" s="67"/>
      <c r="N316" s="67"/>
      <c r="O316" s="67"/>
      <c r="P316" s="145" t="str">
        <f t="shared" si="36"/>
        <v/>
      </c>
      <c r="Q316" s="65" t="str">
        <f t="shared" si="37"/>
        <v/>
      </c>
      <c r="R316" s="5" t="str">
        <f t="shared" si="38"/>
        <v/>
      </c>
      <c r="S316" s="5" t="str">
        <f t="shared" si="39"/>
        <v/>
      </c>
      <c r="T316" s="5" t="str">
        <f t="shared" si="40"/>
        <v/>
      </c>
      <c r="U316" s="5" t="str">
        <f t="shared" si="41"/>
        <v/>
      </c>
      <c r="V316" s="5" t="str">
        <f t="shared" si="42"/>
        <v/>
      </c>
      <c r="W316" s="5" t="str">
        <f t="shared" si="43"/>
        <v/>
      </c>
      <c r="X316" s="5" t="str">
        <f t="shared" si="44"/>
        <v/>
      </c>
    </row>
    <row r="317" spans="1:24">
      <c r="A317" s="91"/>
      <c r="B317" s="92"/>
      <c r="C317" s="69"/>
      <c r="D317" s="69"/>
      <c r="E317" s="69"/>
      <c r="F317" s="69"/>
      <c r="G317" s="70"/>
      <c r="H317" s="71"/>
      <c r="I317" s="66"/>
      <c r="J317" s="67"/>
      <c r="K317" s="67"/>
      <c r="L317" s="67"/>
      <c r="M317" s="67"/>
      <c r="N317" s="67"/>
      <c r="O317" s="67"/>
      <c r="P317" s="145" t="str">
        <f t="shared" si="36"/>
        <v/>
      </c>
      <c r="Q317" s="65" t="str">
        <f t="shared" si="37"/>
        <v/>
      </c>
      <c r="R317" s="5" t="str">
        <f t="shared" si="38"/>
        <v/>
      </c>
      <c r="S317" s="5" t="str">
        <f t="shared" si="39"/>
        <v/>
      </c>
      <c r="T317" s="5" t="str">
        <f t="shared" si="40"/>
        <v/>
      </c>
      <c r="U317" s="5" t="str">
        <f t="shared" si="41"/>
        <v/>
      </c>
      <c r="V317" s="5" t="str">
        <f t="shared" si="42"/>
        <v/>
      </c>
      <c r="W317" s="5" t="str">
        <f t="shared" si="43"/>
        <v/>
      </c>
      <c r="X317" s="5" t="str">
        <f t="shared" si="44"/>
        <v/>
      </c>
    </row>
    <row r="318" spans="1:24">
      <c r="A318" s="91"/>
      <c r="B318" s="92"/>
      <c r="C318" s="69"/>
      <c r="D318" s="69"/>
      <c r="E318" s="69"/>
      <c r="F318" s="69"/>
      <c r="G318" s="70"/>
      <c r="H318" s="71"/>
      <c r="I318" s="66"/>
      <c r="J318" s="67"/>
      <c r="K318" s="67"/>
      <c r="L318" s="67"/>
      <c r="M318" s="67"/>
      <c r="N318" s="67"/>
      <c r="O318" s="67"/>
      <c r="P318" s="145" t="str">
        <f t="shared" si="36"/>
        <v/>
      </c>
      <c r="Q318" s="65" t="str">
        <f t="shared" si="37"/>
        <v/>
      </c>
      <c r="R318" s="5" t="str">
        <f t="shared" si="38"/>
        <v/>
      </c>
      <c r="S318" s="5" t="str">
        <f t="shared" si="39"/>
        <v/>
      </c>
      <c r="T318" s="5" t="str">
        <f t="shared" si="40"/>
        <v/>
      </c>
      <c r="U318" s="5" t="str">
        <f t="shared" si="41"/>
        <v/>
      </c>
      <c r="V318" s="5" t="str">
        <f t="shared" si="42"/>
        <v/>
      </c>
      <c r="W318" s="5" t="str">
        <f t="shared" si="43"/>
        <v/>
      </c>
      <c r="X318" s="5" t="str">
        <f t="shared" si="44"/>
        <v/>
      </c>
    </row>
    <row r="319" spans="1:24">
      <c r="A319" s="91"/>
      <c r="B319" s="92"/>
      <c r="C319" s="69"/>
      <c r="D319" s="69"/>
      <c r="E319" s="69"/>
      <c r="F319" s="69"/>
      <c r="G319" s="70"/>
      <c r="H319" s="71"/>
      <c r="I319" s="66"/>
      <c r="J319" s="67"/>
      <c r="K319" s="67"/>
      <c r="L319" s="67"/>
      <c r="M319" s="67"/>
      <c r="N319" s="67"/>
      <c r="O319" s="67"/>
      <c r="P319" s="145" t="str">
        <f t="shared" si="36"/>
        <v/>
      </c>
      <c r="Q319" s="65" t="str">
        <f t="shared" si="37"/>
        <v/>
      </c>
      <c r="R319" s="5" t="str">
        <f t="shared" si="38"/>
        <v/>
      </c>
      <c r="S319" s="5" t="str">
        <f t="shared" si="39"/>
        <v/>
      </c>
      <c r="T319" s="5" t="str">
        <f t="shared" si="40"/>
        <v/>
      </c>
      <c r="U319" s="5" t="str">
        <f t="shared" si="41"/>
        <v/>
      </c>
      <c r="V319" s="5" t="str">
        <f t="shared" si="42"/>
        <v/>
      </c>
      <c r="W319" s="5" t="str">
        <f t="shared" si="43"/>
        <v/>
      </c>
      <c r="X319" s="5" t="str">
        <f t="shared" si="44"/>
        <v/>
      </c>
    </row>
    <row r="320" spans="1:24">
      <c r="A320" s="91"/>
      <c r="B320" s="92"/>
      <c r="C320" s="69"/>
      <c r="D320" s="69"/>
      <c r="E320" s="69"/>
      <c r="F320" s="69"/>
      <c r="G320" s="70"/>
      <c r="H320" s="71"/>
      <c r="I320" s="66"/>
      <c r="J320" s="67"/>
      <c r="K320" s="67"/>
      <c r="L320" s="67"/>
      <c r="M320" s="67"/>
      <c r="N320" s="67"/>
      <c r="O320" s="67"/>
      <c r="P320" s="145" t="str">
        <f t="shared" si="36"/>
        <v/>
      </c>
      <c r="Q320" s="65" t="str">
        <f t="shared" si="37"/>
        <v/>
      </c>
      <c r="R320" s="5" t="str">
        <f t="shared" si="38"/>
        <v/>
      </c>
      <c r="S320" s="5" t="str">
        <f t="shared" si="39"/>
        <v/>
      </c>
      <c r="T320" s="5" t="str">
        <f t="shared" si="40"/>
        <v/>
      </c>
      <c r="U320" s="5" t="str">
        <f t="shared" si="41"/>
        <v/>
      </c>
      <c r="V320" s="5" t="str">
        <f t="shared" si="42"/>
        <v/>
      </c>
      <c r="W320" s="5" t="str">
        <f t="shared" si="43"/>
        <v/>
      </c>
      <c r="X320" s="5" t="str">
        <f t="shared" si="44"/>
        <v/>
      </c>
    </row>
    <row r="321" spans="1:24">
      <c r="A321" s="91"/>
      <c r="B321" s="92"/>
      <c r="C321" s="69"/>
      <c r="D321" s="69"/>
      <c r="E321" s="69"/>
      <c r="F321" s="69"/>
      <c r="G321" s="70"/>
      <c r="H321" s="71"/>
      <c r="I321" s="66"/>
      <c r="J321" s="67"/>
      <c r="K321" s="67"/>
      <c r="L321" s="67"/>
      <c r="M321" s="67"/>
      <c r="N321" s="67"/>
      <c r="O321" s="67"/>
      <c r="P321" s="145" t="str">
        <f t="shared" si="36"/>
        <v/>
      </c>
      <c r="Q321" s="65" t="str">
        <f t="shared" si="37"/>
        <v/>
      </c>
      <c r="R321" s="5" t="str">
        <f t="shared" si="38"/>
        <v/>
      </c>
      <c r="S321" s="5" t="str">
        <f t="shared" si="39"/>
        <v/>
      </c>
      <c r="T321" s="5" t="str">
        <f t="shared" si="40"/>
        <v/>
      </c>
      <c r="U321" s="5" t="str">
        <f t="shared" si="41"/>
        <v/>
      </c>
      <c r="V321" s="5" t="str">
        <f t="shared" si="42"/>
        <v/>
      </c>
      <c r="W321" s="5" t="str">
        <f t="shared" si="43"/>
        <v/>
      </c>
      <c r="X321" s="5" t="str">
        <f t="shared" si="44"/>
        <v/>
      </c>
    </row>
    <row r="322" spans="1:24">
      <c r="A322" s="91"/>
      <c r="B322" s="92"/>
      <c r="C322" s="69"/>
      <c r="D322" s="69"/>
      <c r="E322" s="69"/>
      <c r="F322" s="69"/>
      <c r="G322" s="70"/>
      <c r="H322" s="71"/>
      <c r="I322" s="66"/>
      <c r="J322" s="67"/>
      <c r="K322" s="67"/>
      <c r="L322" s="67"/>
      <c r="M322" s="67"/>
      <c r="N322" s="67"/>
      <c r="O322" s="67"/>
      <c r="P322" s="145" t="str">
        <f t="shared" si="36"/>
        <v/>
      </c>
      <c r="Q322" s="65" t="str">
        <f t="shared" si="37"/>
        <v/>
      </c>
      <c r="R322" s="5" t="str">
        <f t="shared" si="38"/>
        <v/>
      </c>
      <c r="S322" s="5" t="str">
        <f t="shared" si="39"/>
        <v/>
      </c>
      <c r="T322" s="5" t="str">
        <f t="shared" si="40"/>
        <v/>
      </c>
      <c r="U322" s="5" t="str">
        <f t="shared" si="41"/>
        <v/>
      </c>
      <c r="V322" s="5" t="str">
        <f t="shared" si="42"/>
        <v/>
      </c>
      <c r="W322" s="5" t="str">
        <f t="shared" si="43"/>
        <v/>
      </c>
      <c r="X322" s="5" t="str">
        <f t="shared" si="44"/>
        <v/>
      </c>
    </row>
    <row r="323" spans="1:24">
      <c r="A323" s="91"/>
      <c r="B323" s="92"/>
      <c r="C323" s="69"/>
      <c r="D323" s="69"/>
      <c r="E323" s="69"/>
      <c r="F323" s="69"/>
      <c r="G323" s="70"/>
      <c r="H323" s="71"/>
      <c r="I323" s="66"/>
      <c r="J323" s="67"/>
      <c r="K323" s="67"/>
      <c r="L323" s="67"/>
      <c r="M323" s="67"/>
      <c r="N323" s="67"/>
      <c r="O323" s="67"/>
      <c r="P323" s="145" t="str">
        <f t="shared" si="36"/>
        <v/>
      </c>
      <c r="Q323" s="65" t="str">
        <f t="shared" si="37"/>
        <v/>
      </c>
      <c r="R323" s="5" t="str">
        <f t="shared" si="38"/>
        <v/>
      </c>
      <c r="S323" s="5" t="str">
        <f t="shared" si="39"/>
        <v/>
      </c>
      <c r="T323" s="5" t="str">
        <f t="shared" si="40"/>
        <v/>
      </c>
      <c r="U323" s="5" t="str">
        <f t="shared" si="41"/>
        <v/>
      </c>
      <c r="V323" s="5" t="str">
        <f t="shared" si="42"/>
        <v/>
      </c>
      <c r="W323" s="5" t="str">
        <f t="shared" si="43"/>
        <v/>
      </c>
      <c r="X323" s="5" t="str">
        <f t="shared" si="44"/>
        <v/>
      </c>
    </row>
    <row r="324" spans="1:24">
      <c r="A324" s="91"/>
      <c r="B324" s="92"/>
      <c r="C324" s="69"/>
      <c r="D324" s="69"/>
      <c r="E324" s="69"/>
      <c r="F324" s="69"/>
      <c r="G324" s="70"/>
      <c r="H324" s="71"/>
      <c r="I324" s="66"/>
      <c r="J324" s="67"/>
      <c r="K324" s="67"/>
      <c r="L324" s="67"/>
      <c r="M324" s="67"/>
      <c r="N324" s="67"/>
      <c r="O324" s="67"/>
      <c r="P324" s="145" t="str">
        <f t="shared" si="36"/>
        <v/>
      </c>
      <c r="Q324" s="65" t="str">
        <f t="shared" si="37"/>
        <v/>
      </c>
      <c r="R324" s="5" t="str">
        <f t="shared" si="38"/>
        <v/>
      </c>
      <c r="S324" s="5" t="str">
        <f t="shared" si="39"/>
        <v/>
      </c>
      <c r="T324" s="5" t="str">
        <f t="shared" si="40"/>
        <v/>
      </c>
      <c r="U324" s="5" t="str">
        <f t="shared" si="41"/>
        <v/>
      </c>
      <c r="V324" s="5" t="str">
        <f t="shared" si="42"/>
        <v/>
      </c>
      <c r="W324" s="5" t="str">
        <f t="shared" si="43"/>
        <v/>
      </c>
      <c r="X324" s="5" t="str">
        <f t="shared" si="44"/>
        <v/>
      </c>
    </row>
    <row r="325" spans="1:24">
      <c r="A325" s="91"/>
      <c r="B325" s="92"/>
      <c r="C325" s="69"/>
      <c r="D325" s="69"/>
      <c r="E325" s="69"/>
      <c r="F325" s="69"/>
      <c r="G325" s="70"/>
      <c r="H325" s="71"/>
      <c r="I325" s="66"/>
      <c r="J325" s="67"/>
      <c r="K325" s="67"/>
      <c r="L325" s="67"/>
      <c r="M325" s="67"/>
      <c r="N325" s="67"/>
      <c r="O325" s="67"/>
      <c r="P325" s="145" t="str">
        <f t="shared" si="36"/>
        <v/>
      </c>
      <c r="Q325" s="65" t="str">
        <f t="shared" si="37"/>
        <v/>
      </c>
      <c r="R325" s="5" t="str">
        <f t="shared" si="38"/>
        <v/>
      </c>
      <c r="S325" s="5" t="str">
        <f t="shared" si="39"/>
        <v/>
      </c>
      <c r="T325" s="5" t="str">
        <f t="shared" si="40"/>
        <v/>
      </c>
      <c r="U325" s="5" t="str">
        <f t="shared" si="41"/>
        <v/>
      </c>
      <c r="V325" s="5" t="str">
        <f t="shared" si="42"/>
        <v/>
      </c>
      <c r="W325" s="5" t="str">
        <f t="shared" si="43"/>
        <v/>
      </c>
      <c r="X325" s="5" t="str">
        <f t="shared" si="44"/>
        <v/>
      </c>
    </row>
    <row r="326" spans="1:24">
      <c r="A326" s="91"/>
      <c r="B326" s="92"/>
      <c r="C326" s="69"/>
      <c r="D326" s="69"/>
      <c r="E326" s="69"/>
      <c r="F326" s="69"/>
      <c r="G326" s="70"/>
      <c r="H326" s="71"/>
      <c r="I326" s="66"/>
      <c r="J326" s="67"/>
      <c r="K326" s="67"/>
      <c r="L326" s="67"/>
      <c r="M326" s="67"/>
      <c r="N326" s="67"/>
      <c r="O326" s="67"/>
      <c r="P326" s="145" t="str">
        <f t="shared" si="36"/>
        <v/>
      </c>
      <c r="Q326" s="65" t="str">
        <f t="shared" si="37"/>
        <v/>
      </c>
      <c r="R326" s="5" t="str">
        <f t="shared" si="38"/>
        <v/>
      </c>
      <c r="S326" s="5" t="str">
        <f t="shared" si="39"/>
        <v/>
      </c>
      <c r="T326" s="5" t="str">
        <f t="shared" si="40"/>
        <v/>
      </c>
      <c r="U326" s="5" t="str">
        <f t="shared" si="41"/>
        <v/>
      </c>
      <c r="V326" s="5" t="str">
        <f t="shared" si="42"/>
        <v/>
      </c>
      <c r="W326" s="5" t="str">
        <f t="shared" si="43"/>
        <v/>
      </c>
      <c r="X326" s="5" t="str">
        <f t="shared" si="44"/>
        <v/>
      </c>
    </row>
    <row r="327" spans="1:24">
      <c r="A327" s="91"/>
      <c r="B327" s="92"/>
      <c r="C327" s="69"/>
      <c r="D327" s="69"/>
      <c r="E327" s="69"/>
      <c r="F327" s="69"/>
      <c r="G327" s="70"/>
      <c r="H327" s="71"/>
      <c r="I327" s="66"/>
      <c r="J327" s="67"/>
      <c r="K327" s="67"/>
      <c r="L327" s="67"/>
      <c r="M327" s="67"/>
      <c r="N327" s="67"/>
      <c r="O327" s="67"/>
      <c r="P327" s="145" t="str">
        <f t="shared" ref="P327:P390" si="45">IF($C327="","",IF($N327+$O327=0,0,$N327/($N327+$O327)))</f>
        <v/>
      </c>
      <c r="Q327" s="65" t="str">
        <f t="shared" ref="Q327:Q390" si="46">IF($C327="","",IF(TRIM($B327)="beginning",(((SUM($R327:$X327)-3371)/2251)*40)+360,IF(TRIM($B327)="middle",(((SUM($R327:$X327)-3371)/2251)*40)+400,IF(TRIM($B327)="end",(((SUM($R327:$X327)-3371)/2251)*40)+440,""))))</f>
        <v/>
      </c>
      <c r="R327" s="5" t="str">
        <f t="shared" ref="R327:R390" si="47">IF($C327="","",I327*10.72)</f>
        <v/>
      </c>
      <c r="S327" s="5" t="str">
        <f t="shared" ref="S327:S390" si="48">IF($C327="","",J327*2.13)</f>
        <v/>
      </c>
      <c r="T327" s="5" t="str">
        <f t="shared" ref="T327:T390" si="49">IF($C327="","",K327*23.13)</f>
        <v/>
      </c>
      <c r="U327" s="5" t="str">
        <f t="shared" ref="U327:U390" si="50">IF($C327="","",L327*7.79)</f>
        <v/>
      </c>
      <c r="V327" s="5" t="str">
        <f t="shared" ref="V327:V390" si="51">IF($C327="","",M327*13.51)</f>
        <v/>
      </c>
      <c r="W327" s="5" t="str">
        <f t="shared" ref="W327:W390" si="52">IF($C327="","",N327*25.36)</f>
        <v/>
      </c>
      <c r="X327" s="5" t="str">
        <f t="shared" ref="X327:X390" si="53">IF($C327="","",P327*0.25)</f>
        <v/>
      </c>
    </row>
    <row r="328" spans="1:24">
      <c r="A328" s="91"/>
      <c r="B328" s="92"/>
      <c r="C328" s="69"/>
      <c r="D328" s="69"/>
      <c r="E328" s="69"/>
      <c r="F328" s="69"/>
      <c r="G328" s="70"/>
      <c r="H328" s="71"/>
      <c r="I328" s="66"/>
      <c r="J328" s="67"/>
      <c r="K328" s="67"/>
      <c r="L328" s="67"/>
      <c r="M328" s="67"/>
      <c r="N328" s="67"/>
      <c r="O328" s="67"/>
      <c r="P328" s="145" t="str">
        <f t="shared" si="45"/>
        <v/>
      </c>
      <c r="Q328" s="65" t="str">
        <f t="shared" si="46"/>
        <v/>
      </c>
      <c r="R328" s="5" t="str">
        <f t="shared" si="47"/>
        <v/>
      </c>
      <c r="S328" s="5" t="str">
        <f t="shared" si="48"/>
        <v/>
      </c>
      <c r="T328" s="5" t="str">
        <f t="shared" si="49"/>
        <v/>
      </c>
      <c r="U328" s="5" t="str">
        <f t="shared" si="50"/>
        <v/>
      </c>
      <c r="V328" s="5" t="str">
        <f t="shared" si="51"/>
        <v/>
      </c>
      <c r="W328" s="5" t="str">
        <f t="shared" si="52"/>
        <v/>
      </c>
      <c r="X328" s="5" t="str">
        <f t="shared" si="53"/>
        <v/>
      </c>
    </row>
    <row r="329" spans="1:24">
      <c r="A329" s="91"/>
      <c r="B329" s="92"/>
      <c r="C329" s="69"/>
      <c r="D329" s="69"/>
      <c r="E329" s="69"/>
      <c r="F329" s="69"/>
      <c r="G329" s="70"/>
      <c r="H329" s="71"/>
      <c r="I329" s="66"/>
      <c r="J329" s="67"/>
      <c r="K329" s="67"/>
      <c r="L329" s="67"/>
      <c r="M329" s="67"/>
      <c r="N329" s="67"/>
      <c r="O329" s="67"/>
      <c r="P329" s="145" t="str">
        <f t="shared" si="45"/>
        <v/>
      </c>
      <c r="Q329" s="65" t="str">
        <f t="shared" si="46"/>
        <v/>
      </c>
      <c r="R329" s="5" t="str">
        <f t="shared" si="47"/>
        <v/>
      </c>
      <c r="S329" s="5" t="str">
        <f t="shared" si="48"/>
        <v/>
      </c>
      <c r="T329" s="5" t="str">
        <f t="shared" si="49"/>
        <v/>
      </c>
      <c r="U329" s="5" t="str">
        <f t="shared" si="50"/>
        <v/>
      </c>
      <c r="V329" s="5" t="str">
        <f t="shared" si="51"/>
        <v/>
      </c>
      <c r="W329" s="5" t="str">
        <f t="shared" si="52"/>
        <v/>
      </c>
      <c r="X329" s="5" t="str">
        <f t="shared" si="53"/>
        <v/>
      </c>
    </row>
    <row r="330" spans="1:24">
      <c r="A330" s="91"/>
      <c r="B330" s="92"/>
      <c r="C330" s="69"/>
      <c r="D330" s="69"/>
      <c r="E330" s="69"/>
      <c r="F330" s="69"/>
      <c r="G330" s="70"/>
      <c r="H330" s="71"/>
      <c r="I330" s="66"/>
      <c r="J330" s="67"/>
      <c r="K330" s="67"/>
      <c r="L330" s="67"/>
      <c r="M330" s="67"/>
      <c r="N330" s="67"/>
      <c r="O330" s="67"/>
      <c r="P330" s="145" t="str">
        <f t="shared" si="45"/>
        <v/>
      </c>
      <c r="Q330" s="65" t="str">
        <f t="shared" si="46"/>
        <v/>
      </c>
      <c r="R330" s="5" t="str">
        <f t="shared" si="47"/>
        <v/>
      </c>
      <c r="S330" s="5" t="str">
        <f t="shared" si="48"/>
        <v/>
      </c>
      <c r="T330" s="5" t="str">
        <f t="shared" si="49"/>
        <v/>
      </c>
      <c r="U330" s="5" t="str">
        <f t="shared" si="50"/>
        <v/>
      </c>
      <c r="V330" s="5" t="str">
        <f t="shared" si="51"/>
        <v/>
      </c>
      <c r="W330" s="5" t="str">
        <f t="shared" si="52"/>
        <v/>
      </c>
      <c r="X330" s="5" t="str">
        <f t="shared" si="53"/>
        <v/>
      </c>
    </row>
    <row r="331" spans="1:24">
      <c r="A331" s="91"/>
      <c r="B331" s="92"/>
      <c r="C331" s="69"/>
      <c r="D331" s="69"/>
      <c r="E331" s="69"/>
      <c r="F331" s="69"/>
      <c r="G331" s="70"/>
      <c r="H331" s="71"/>
      <c r="I331" s="66"/>
      <c r="J331" s="67"/>
      <c r="K331" s="67"/>
      <c r="L331" s="67"/>
      <c r="M331" s="67"/>
      <c r="N331" s="67"/>
      <c r="O331" s="67"/>
      <c r="P331" s="145" t="str">
        <f t="shared" si="45"/>
        <v/>
      </c>
      <c r="Q331" s="65" t="str">
        <f t="shared" si="46"/>
        <v/>
      </c>
      <c r="R331" s="5" t="str">
        <f t="shared" si="47"/>
        <v/>
      </c>
      <c r="S331" s="5" t="str">
        <f t="shared" si="48"/>
        <v/>
      </c>
      <c r="T331" s="5" t="str">
        <f t="shared" si="49"/>
        <v/>
      </c>
      <c r="U331" s="5" t="str">
        <f t="shared" si="50"/>
        <v/>
      </c>
      <c r="V331" s="5" t="str">
        <f t="shared" si="51"/>
        <v/>
      </c>
      <c r="W331" s="5" t="str">
        <f t="shared" si="52"/>
        <v/>
      </c>
      <c r="X331" s="5" t="str">
        <f t="shared" si="53"/>
        <v/>
      </c>
    </row>
    <row r="332" spans="1:24">
      <c r="A332" s="91"/>
      <c r="B332" s="92"/>
      <c r="C332" s="69"/>
      <c r="D332" s="69"/>
      <c r="E332" s="69"/>
      <c r="F332" s="69"/>
      <c r="G332" s="70"/>
      <c r="H332" s="71"/>
      <c r="I332" s="66"/>
      <c r="J332" s="67"/>
      <c r="K332" s="67"/>
      <c r="L332" s="67"/>
      <c r="M332" s="67"/>
      <c r="N332" s="67"/>
      <c r="O332" s="67"/>
      <c r="P332" s="145" t="str">
        <f t="shared" si="45"/>
        <v/>
      </c>
      <c r="Q332" s="65" t="str">
        <f t="shared" si="46"/>
        <v/>
      </c>
      <c r="R332" s="5" t="str">
        <f t="shared" si="47"/>
        <v/>
      </c>
      <c r="S332" s="5" t="str">
        <f t="shared" si="48"/>
        <v/>
      </c>
      <c r="T332" s="5" t="str">
        <f t="shared" si="49"/>
        <v/>
      </c>
      <c r="U332" s="5" t="str">
        <f t="shared" si="50"/>
        <v/>
      </c>
      <c r="V332" s="5" t="str">
        <f t="shared" si="51"/>
        <v/>
      </c>
      <c r="W332" s="5" t="str">
        <f t="shared" si="52"/>
        <v/>
      </c>
      <c r="X332" s="5" t="str">
        <f t="shared" si="53"/>
        <v/>
      </c>
    </row>
    <row r="333" spans="1:24">
      <c r="A333" s="91"/>
      <c r="B333" s="92"/>
      <c r="C333" s="69"/>
      <c r="D333" s="69"/>
      <c r="E333" s="69"/>
      <c r="F333" s="69"/>
      <c r="G333" s="70"/>
      <c r="H333" s="71"/>
      <c r="I333" s="66"/>
      <c r="J333" s="67"/>
      <c r="K333" s="67"/>
      <c r="L333" s="67"/>
      <c r="M333" s="67"/>
      <c r="N333" s="67"/>
      <c r="O333" s="67"/>
      <c r="P333" s="145" t="str">
        <f t="shared" si="45"/>
        <v/>
      </c>
      <c r="Q333" s="65" t="str">
        <f t="shared" si="46"/>
        <v/>
      </c>
      <c r="R333" s="5" t="str">
        <f t="shared" si="47"/>
        <v/>
      </c>
      <c r="S333" s="5" t="str">
        <f t="shared" si="48"/>
        <v/>
      </c>
      <c r="T333" s="5" t="str">
        <f t="shared" si="49"/>
        <v/>
      </c>
      <c r="U333" s="5" t="str">
        <f t="shared" si="50"/>
        <v/>
      </c>
      <c r="V333" s="5" t="str">
        <f t="shared" si="51"/>
        <v/>
      </c>
      <c r="W333" s="5" t="str">
        <f t="shared" si="52"/>
        <v/>
      </c>
      <c r="X333" s="5" t="str">
        <f t="shared" si="53"/>
        <v/>
      </c>
    </row>
    <row r="334" spans="1:24">
      <c r="A334" s="91"/>
      <c r="B334" s="92"/>
      <c r="C334" s="69"/>
      <c r="D334" s="69"/>
      <c r="E334" s="69"/>
      <c r="F334" s="69"/>
      <c r="G334" s="70"/>
      <c r="H334" s="71"/>
      <c r="I334" s="66"/>
      <c r="J334" s="67"/>
      <c r="K334" s="67"/>
      <c r="L334" s="67"/>
      <c r="M334" s="67"/>
      <c r="N334" s="67"/>
      <c r="O334" s="67"/>
      <c r="P334" s="145" t="str">
        <f t="shared" si="45"/>
        <v/>
      </c>
      <c r="Q334" s="65" t="str">
        <f t="shared" si="46"/>
        <v/>
      </c>
      <c r="R334" s="5" t="str">
        <f t="shared" si="47"/>
        <v/>
      </c>
      <c r="S334" s="5" t="str">
        <f t="shared" si="48"/>
        <v/>
      </c>
      <c r="T334" s="5" t="str">
        <f t="shared" si="49"/>
        <v/>
      </c>
      <c r="U334" s="5" t="str">
        <f t="shared" si="50"/>
        <v/>
      </c>
      <c r="V334" s="5" t="str">
        <f t="shared" si="51"/>
        <v/>
      </c>
      <c r="W334" s="5" t="str">
        <f t="shared" si="52"/>
        <v/>
      </c>
      <c r="X334" s="5" t="str">
        <f t="shared" si="53"/>
        <v/>
      </c>
    </row>
    <row r="335" spans="1:24">
      <c r="A335" s="91"/>
      <c r="B335" s="92"/>
      <c r="C335" s="69"/>
      <c r="D335" s="69"/>
      <c r="E335" s="69"/>
      <c r="F335" s="69"/>
      <c r="G335" s="70"/>
      <c r="H335" s="71"/>
      <c r="I335" s="66"/>
      <c r="J335" s="67"/>
      <c r="K335" s="67"/>
      <c r="L335" s="67"/>
      <c r="M335" s="67"/>
      <c r="N335" s="67"/>
      <c r="O335" s="67"/>
      <c r="P335" s="145" t="str">
        <f t="shared" si="45"/>
        <v/>
      </c>
      <c r="Q335" s="65" t="str">
        <f t="shared" si="46"/>
        <v/>
      </c>
      <c r="R335" s="5" t="str">
        <f t="shared" si="47"/>
        <v/>
      </c>
      <c r="S335" s="5" t="str">
        <f t="shared" si="48"/>
        <v/>
      </c>
      <c r="T335" s="5" t="str">
        <f t="shared" si="49"/>
        <v/>
      </c>
      <c r="U335" s="5" t="str">
        <f t="shared" si="50"/>
        <v/>
      </c>
      <c r="V335" s="5" t="str">
        <f t="shared" si="51"/>
        <v/>
      </c>
      <c r="W335" s="5" t="str">
        <f t="shared" si="52"/>
        <v/>
      </c>
      <c r="X335" s="5" t="str">
        <f t="shared" si="53"/>
        <v/>
      </c>
    </row>
    <row r="336" spans="1:24">
      <c r="A336" s="91"/>
      <c r="B336" s="92"/>
      <c r="C336" s="69"/>
      <c r="D336" s="69"/>
      <c r="E336" s="69"/>
      <c r="F336" s="69"/>
      <c r="G336" s="70"/>
      <c r="H336" s="71"/>
      <c r="I336" s="66"/>
      <c r="J336" s="67"/>
      <c r="K336" s="67"/>
      <c r="L336" s="67"/>
      <c r="M336" s="67"/>
      <c r="N336" s="67"/>
      <c r="O336" s="67"/>
      <c r="P336" s="145" t="str">
        <f t="shared" si="45"/>
        <v/>
      </c>
      <c r="Q336" s="65" t="str">
        <f t="shared" si="46"/>
        <v/>
      </c>
      <c r="R336" s="5" t="str">
        <f t="shared" si="47"/>
        <v/>
      </c>
      <c r="S336" s="5" t="str">
        <f t="shared" si="48"/>
        <v/>
      </c>
      <c r="T336" s="5" t="str">
        <f t="shared" si="49"/>
        <v/>
      </c>
      <c r="U336" s="5" t="str">
        <f t="shared" si="50"/>
        <v/>
      </c>
      <c r="V336" s="5" t="str">
        <f t="shared" si="51"/>
        <v/>
      </c>
      <c r="W336" s="5" t="str">
        <f t="shared" si="52"/>
        <v/>
      </c>
      <c r="X336" s="5" t="str">
        <f t="shared" si="53"/>
        <v/>
      </c>
    </row>
    <row r="337" spans="1:24">
      <c r="A337" s="91"/>
      <c r="B337" s="92"/>
      <c r="C337" s="69"/>
      <c r="D337" s="69"/>
      <c r="E337" s="69"/>
      <c r="F337" s="69"/>
      <c r="G337" s="70"/>
      <c r="H337" s="71"/>
      <c r="I337" s="66"/>
      <c r="J337" s="67"/>
      <c r="K337" s="67"/>
      <c r="L337" s="67"/>
      <c r="M337" s="67"/>
      <c r="N337" s="67"/>
      <c r="O337" s="67"/>
      <c r="P337" s="145" t="str">
        <f t="shared" si="45"/>
        <v/>
      </c>
      <c r="Q337" s="65" t="str">
        <f t="shared" si="46"/>
        <v/>
      </c>
      <c r="R337" s="5" t="str">
        <f t="shared" si="47"/>
        <v/>
      </c>
      <c r="S337" s="5" t="str">
        <f t="shared" si="48"/>
        <v/>
      </c>
      <c r="T337" s="5" t="str">
        <f t="shared" si="49"/>
        <v/>
      </c>
      <c r="U337" s="5" t="str">
        <f t="shared" si="50"/>
        <v/>
      </c>
      <c r="V337" s="5" t="str">
        <f t="shared" si="51"/>
        <v/>
      </c>
      <c r="W337" s="5" t="str">
        <f t="shared" si="52"/>
        <v/>
      </c>
      <c r="X337" s="5" t="str">
        <f t="shared" si="53"/>
        <v/>
      </c>
    </row>
    <row r="338" spans="1:24">
      <c r="A338" s="91"/>
      <c r="B338" s="92"/>
      <c r="C338" s="69"/>
      <c r="D338" s="69"/>
      <c r="E338" s="69"/>
      <c r="F338" s="69"/>
      <c r="G338" s="70"/>
      <c r="H338" s="71"/>
      <c r="I338" s="66"/>
      <c r="J338" s="67"/>
      <c r="K338" s="67"/>
      <c r="L338" s="67"/>
      <c r="M338" s="67"/>
      <c r="N338" s="67"/>
      <c r="O338" s="67"/>
      <c r="P338" s="145" t="str">
        <f t="shared" si="45"/>
        <v/>
      </c>
      <c r="Q338" s="65" t="str">
        <f t="shared" si="46"/>
        <v/>
      </c>
      <c r="R338" s="5" t="str">
        <f t="shared" si="47"/>
        <v/>
      </c>
      <c r="S338" s="5" t="str">
        <f t="shared" si="48"/>
        <v/>
      </c>
      <c r="T338" s="5" t="str">
        <f t="shared" si="49"/>
        <v/>
      </c>
      <c r="U338" s="5" t="str">
        <f t="shared" si="50"/>
        <v/>
      </c>
      <c r="V338" s="5" t="str">
        <f t="shared" si="51"/>
        <v/>
      </c>
      <c r="W338" s="5" t="str">
        <f t="shared" si="52"/>
        <v/>
      </c>
      <c r="X338" s="5" t="str">
        <f t="shared" si="53"/>
        <v/>
      </c>
    </row>
    <row r="339" spans="1:24">
      <c r="A339" s="91"/>
      <c r="B339" s="92"/>
      <c r="C339" s="69"/>
      <c r="D339" s="69"/>
      <c r="E339" s="69"/>
      <c r="F339" s="69"/>
      <c r="G339" s="70"/>
      <c r="H339" s="71"/>
      <c r="I339" s="66"/>
      <c r="J339" s="67"/>
      <c r="K339" s="67"/>
      <c r="L339" s="67"/>
      <c r="M339" s="67"/>
      <c r="N339" s="67"/>
      <c r="O339" s="67"/>
      <c r="P339" s="145" t="str">
        <f t="shared" si="45"/>
        <v/>
      </c>
      <c r="Q339" s="65" t="str">
        <f t="shared" si="46"/>
        <v/>
      </c>
      <c r="R339" s="5" t="str">
        <f t="shared" si="47"/>
        <v/>
      </c>
      <c r="S339" s="5" t="str">
        <f t="shared" si="48"/>
        <v/>
      </c>
      <c r="T339" s="5" t="str">
        <f t="shared" si="49"/>
        <v/>
      </c>
      <c r="U339" s="5" t="str">
        <f t="shared" si="50"/>
        <v/>
      </c>
      <c r="V339" s="5" t="str">
        <f t="shared" si="51"/>
        <v/>
      </c>
      <c r="W339" s="5" t="str">
        <f t="shared" si="52"/>
        <v/>
      </c>
      <c r="X339" s="5" t="str">
        <f t="shared" si="53"/>
        <v/>
      </c>
    </row>
    <row r="340" spans="1:24">
      <c r="A340" s="91"/>
      <c r="B340" s="92"/>
      <c r="C340" s="69"/>
      <c r="D340" s="69"/>
      <c r="E340" s="69"/>
      <c r="F340" s="69"/>
      <c r="G340" s="70"/>
      <c r="H340" s="71"/>
      <c r="I340" s="66"/>
      <c r="J340" s="67"/>
      <c r="K340" s="67"/>
      <c r="L340" s="67"/>
      <c r="M340" s="67"/>
      <c r="N340" s="67"/>
      <c r="O340" s="67"/>
      <c r="P340" s="145" t="str">
        <f t="shared" si="45"/>
        <v/>
      </c>
      <c r="Q340" s="65" t="str">
        <f t="shared" si="46"/>
        <v/>
      </c>
      <c r="R340" s="5" t="str">
        <f t="shared" si="47"/>
        <v/>
      </c>
      <c r="S340" s="5" t="str">
        <f t="shared" si="48"/>
        <v/>
      </c>
      <c r="T340" s="5" t="str">
        <f t="shared" si="49"/>
        <v/>
      </c>
      <c r="U340" s="5" t="str">
        <f t="shared" si="50"/>
        <v/>
      </c>
      <c r="V340" s="5" t="str">
        <f t="shared" si="51"/>
        <v/>
      </c>
      <c r="W340" s="5" t="str">
        <f t="shared" si="52"/>
        <v/>
      </c>
      <c r="X340" s="5" t="str">
        <f t="shared" si="53"/>
        <v/>
      </c>
    </row>
    <row r="341" spans="1:24">
      <c r="A341" s="91"/>
      <c r="B341" s="92"/>
      <c r="C341" s="69"/>
      <c r="D341" s="69"/>
      <c r="E341" s="69"/>
      <c r="F341" s="69"/>
      <c r="G341" s="70"/>
      <c r="H341" s="71"/>
      <c r="I341" s="66"/>
      <c r="J341" s="67"/>
      <c r="K341" s="67"/>
      <c r="L341" s="67"/>
      <c r="M341" s="67"/>
      <c r="N341" s="67"/>
      <c r="O341" s="67"/>
      <c r="P341" s="145" t="str">
        <f t="shared" si="45"/>
        <v/>
      </c>
      <c r="Q341" s="65" t="str">
        <f t="shared" si="46"/>
        <v/>
      </c>
      <c r="R341" s="5" t="str">
        <f t="shared" si="47"/>
        <v/>
      </c>
      <c r="S341" s="5" t="str">
        <f t="shared" si="48"/>
        <v/>
      </c>
      <c r="T341" s="5" t="str">
        <f t="shared" si="49"/>
        <v/>
      </c>
      <c r="U341" s="5" t="str">
        <f t="shared" si="50"/>
        <v/>
      </c>
      <c r="V341" s="5" t="str">
        <f t="shared" si="51"/>
        <v/>
      </c>
      <c r="W341" s="5" t="str">
        <f t="shared" si="52"/>
        <v/>
      </c>
      <c r="X341" s="5" t="str">
        <f t="shared" si="53"/>
        <v/>
      </c>
    </row>
    <row r="342" spans="1:24">
      <c r="A342" s="91"/>
      <c r="B342" s="92"/>
      <c r="C342" s="69"/>
      <c r="D342" s="69"/>
      <c r="E342" s="69"/>
      <c r="F342" s="69"/>
      <c r="G342" s="70"/>
      <c r="H342" s="71"/>
      <c r="I342" s="66"/>
      <c r="J342" s="67"/>
      <c r="K342" s="67"/>
      <c r="L342" s="67"/>
      <c r="M342" s="67"/>
      <c r="N342" s="67"/>
      <c r="O342" s="67"/>
      <c r="P342" s="145" t="str">
        <f t="shared" si="45"/>
        <v/>
      </c>
      <c r="Q342" s="65" t="str">
        <f t="shared" si="46"/>
        <v/>
      </c>
      <c r="R342" s="5" t="str">
        <f t="shared" si="47"/>
        <v/>
      </c>
      <c r="S342" s="5" t="str">
        <f t="shared" si="48"/>
        <v/>
      </c>
      <c r="T342" s="5" t="str">
        <f t="shared" si="49"/>
        <v/>
      </c>
      <c r="U342" s="5" t="str">
        <f t="shared" si="50"/>
        <v/>
      </c>
      <c r="V342" s="5" t="str">
        <f t="shared" si="51"/>
        <v/>
      </c>
      <c r="W342" s="5" t="str">
        <f t="shared" si="52"/>
        <v/>
      </c>
      <c r="X342" s="5" t="str">
        <f t="shared" si="53"/>
        <v/>
      </c>
    </row>
    <row r="343" spans="1:24">
      <c r="A343" s="91"/>
      <c r="B343" s="92"/>
      <c r="C343" s="69"/>
      <c r="D343" s="69"/>
      <c r="E343" s="69"/>
      <c r="F343" s="69"/>
      <c r="G343" s="70"/>
      <c r="H343" s="71"/>
      <c r="I343" s="66"/>
      <c r="J343" s="67"/>
      <c r="K343" s="67"/>
      <c r="L343" s="67"/>
      <c r="M343" s="67"/>
      <c r="N343" s="67"/>
      <c r="O343" s="67"/>
      <c r="P343" s="145" t="str">
        <f t="shared" si="45"/>
        <v/>
      </c>
      <c r="Q343" s="65" t="str">
        <f t="shared" si="46"/>
        <v/>
      </c>
      <c r="R343" s="5" t="str">
        <f t="shared" si="47"/>
        <v/>
      </c>
      <c r="S343" s="5" t="str">
        <f t="shared" si="48"/>
        <v/>
      </c>
      <c r="T343" s="5" t="str">
        <f t="shared" si="49"/>
        <v/>
      </c>
      <c r="U343" s="5" t="str">
        <f t="shared" si="50"/>
        <v/>
      </c>
      <c r="V343" s="5" t="str">
        <f t="shared" si="51"/>
        <v/>
      </c>
      <c r="W343" s="5" t="str">
        <f t="shared" si="52"/>
        <v/>
      </c>
      <c r="X343" s="5" t="str">
        <f t="shared" si="53"/>
        <v/>
      </c>
    </row>
    <row r="344" spans="1:24">
      <c r="A344" s="91"/>
      <c r="B344" s="92"/>
      <c r="C344" s="69"/>
      <c r="D344" s="69"/>
      <c r="E344" s="69"/>
      <c r="F344" s="69"/>
      <c r="G344" s="70"/>
      <c r="H344" s="71"/>
      <c r="I344" s="66"/>
      <c r="J344" s="67"/>
      <c r="K344" s="67"/>
      <c r="L344" s="67"/>
      <c r="M344" s="67"/>
      <c r="N344" s="67"/>
      <c r="O344" s="67"/>
      <c r="P344" s="145" t="str">
        <f t="shared" si="45"/>
        <v/>
      </c>
      <c r="Q344" s="65" t="str">
        <f t="shared" si="46"/>
        <v/>
      </c>
      <c r="R344" s="5" t="str">
        <f t="shared" si="47"/>
        <v/>
      </c>
      <c r="S344" s="5" t="str">
        <f t="shared" si="48"/>
        <v/>
      </c>
      <c r="T344" s="5" t="str">
        <f t="shared" si="49"/>
        <v/>
      </c>
      <c r="U344" s="5" t="str">
        <f t="shared" si="50"/>
        <v/>
      </c>
      <c r="V344" s="5" t="str">
        <f t="shared" si="51"/>
        <v/>
      </c>
      <c r="W344" s="5" t="str">
        <f t="shared" si="52"/>
        <v/>
      </c>
      <c r="X344" s="5" t="str">
        <f t="shared" si="53"/>
        <v/>
      </c>
    </row>
    <row r="345" spans="1:24">
      <c r="A345" s="91"/>
      <c r="B345" s="92"/>
      <c r="C345" s="69"/>
      <c r="D345" s="69"/>
      <c r="E345" s="69"/>
      <c r="F345" s="69"/>
      <c r="G345" s="70"/>
      <c r="H345" s="71"/>
      <c r="I345" s="66"/>
      <c r="J345" s="67"/>
      <c r="K345" s="67"/>
      <c r="L345" s="67"/>
      <c r="M345" s="67"/>
      <c r="N345" s="67"/>
      <c r="O345" s="67"/>
      <c r="P345" s="145" t="str">
        <f t="shared" si="45"/>
        <v/>
      </c>
      <c r="Q345" s="65" t="str">
        <f t="shared" si="46"/>
        <v/>
      </c>
      <c r="R345" s="5" t="str">
        <f t="shared" si="47"/>
        <v/>
      </c>
      <c r="S345" s="5" t="str">
        <f t="shared" si="48"/>
        <v/>
      </c>
      <c r="T345" s="5" t="str">
        <f t="shared" si="49"/>
        <v/>
      </c>
      <c r="U345" s="5" t="str">
        <f t="shared" si="50"/>
        <v/>
      </c>
      <c r="V345" s="5" t="str">
        <f t="shared" si="51"/>
        <v/>
      </c>
      <c r="W345" s="5" t="str">
        <f t="shared" si="52"/>
        <v/>
      </c>
      <c r="X345" s="5" t="str">
        <f t="shared" si="53"/>
        <v/>
      </c>
    </row>
    <row r="346" spans="1:24">
      <c r="A346" s="91"/>
      <c r="B346" s="92"/>
      <c r="C346" s="69"/>
      <c r="D346" s="69"/>
      <c r="E346" s="69"/>
      <c r="F346" s="69"/>
      <c r="G346" s="70"/>
      <c r="H346" s="71"/>
      <c r="I346" s="66"/>
      <c r="J346" s="67"/>
      <c r="K346" s="67"/>
      <c r="L346" s="67"/>
      <c r="M346" s="67"/>
      <c r="N346" s="67"/>
      <c r="O346" s="67"/>
      <c r="P346" s="145" t="str">
        <f t="shared" si="45"/>
        <v/>
      </c>
      <c r="Q346" s="65" t="str">
        <f t="shared" si="46"/>
        <v/>
      </c>
      <c r="R346" s="5" t="str">
        <f t="shared" si="47"/>
        <v/>
      </c>
      <c r="S346" s="5" t="str">
        <f t="shared" si="48"/>
        <v/>
      </c>
      <c r="T346" s="5" t="str">
        <f t="shared" si="49"/>
        <v/>
      </c>
      <c r="U346" s="5" t="str">
        <f t="shared" si="50"/>
        <v/>
      </c>
      <c r="V346" s="5" t="str">
        <f t="shared" si="51"/>
        <v/>
      </c>
      <c r="W346" s="5" t="str">
        <f t="shared" si="52"/>
        <v/>
      </c>
      <c r="X346" s="5" t="str">
        <f t="shared" si="53"/>
        <v/>
      </c>
    </row>
    <row r="347" spans="1:24">
      <c r="A347" s="91"/>
      <c r="B347" s="92"/>
      <c r="C347" s="69"/>
      <c r="D347" s="69"/>
      <c r="E347" s="69"/>
      <c r="F347" s="69"/>
      <c r="G347" s="70"/>
      <c r="H347" s="71"/>
      <c r="I347" s="66"/>
      <c r="J347" s="67"/>
      <c r="K347" s="67"/>
      <c r="L347" s="67"/>
      <c r="M347" s="67"/>
      <c r="N347" s="67"/>
      <c r="O347" s="67"/>
      <c r="P347" s="145" t="str">
        <f t="shared" si="45"/>
        <v/>
      </c>
      <c r="Q347" s="65" t="str">
        <f t="shared" si="46"/>
        <v/>
      </c>
      <c r="R347" s="5" t="str">
        <f t="shared" si="47"/>
        <v/>
      </c>
      <c r="S347" s="5" t="str">
        <f t="shared" si="48"/>
        <v/>
      </c>
      <c r="T347" s="5" t="str">
        <f t="shared" si="49"/>
        <v/>
      </c>
      <c r="U347" s="5" t="str">
        <f t="shared" si="50"/>
        <v/>
      </c>
      <c r="V347" s="5" t="str">
        <f t="shared" si="51"/>
        <v/>
      </c>
      <c r="W347" s="5" t="str">
        <f t="shared" si="52"/>
        <v/>
      </c>
      <c r="X347" s="5" t="str">
        <f t="shared" si="53"/>
        <v/>
      </c>
    </row>
    <row r="348" spans="1:24">
      <c r="A348" s="91"/>
      <c r="B348" s="92"/>
      <c r="C348" s="69"/>
      <c r="D348" s="69"/>
      <c r="E348" s="69"/>
      <c r="F348" s="69"/>
      <c r="G348" s="70"/>
      <c r="H348" s="71"/>
      <c r="I348" s="66"/>
      <c r="J348" s="67"/>
      <c r="K348" s="67"/>
      <c r="L348" s="67"/>
      <c r="M348" s="67"/>
      <c r="N348" s="67"/>
      <c r="O348" s="67"/>
      <c r="P348" s="145" t="str">
        <f t="shared" si="45"/>
        <v/>
      </c>
      <c r="Q348" s="65" t="str">
        <f t="shared" si="46"/>
        <v/>
      </c>
      <c r="R348" s="5" t="str">
        <f t="shared" si="47"/>
        <v/>
      </c>
      <c r="S348" s="5" t="str">
        <f t="shared" si="48"/>
        <v/>
      </c>
      <c r="T348" s="5" t="str">
        <f t="shared" si="49"/>
        <v/>
      </c>
      <c r="U348" s="5" t="str">
        <f t="shared" si="50"/>
        <v/>
      </c>
      <c r="V348" s="5" t="str">
        <f t="shared" si="51"/>
        <v/>
      </c>
      <c r="W348" s="5" t="str">
        <f t="shared" si="52"/>
        <v/>
      </c>
      <c r="X348" s="5" t="str">
        <f t="shared" si="53"/>
        <v/>
      </c>
    </row>
    <row r="349" spans="1:24">
      <c r="A349" s="91"/>
      <c r="B349" s="92"/>
      <c r="C349" s="69"/>
      <c r="D349" s="69"/>
      <c r="E349" s="69"/>
      <c r="F349" s="69"/>
      <c r="G349" s="70"/>
      <c r="H349" s="71"/>
      <c r="I349" s="66"/>
      <c r="J349" s="67"/>
      <c r="K349" s="67"/>
      <c r="L349" s="67"/>
      <c r="M349" s="67"/>
      <c r="N349" s="67"/>
      <c r="O349" s="67"/>
      <c r="P349" s="145" t="str">
        <f t="shared" si="45"/>
        <v/>
      </c>
      <c r="Q349" s="65" t="str">
        <f t="shared" si="46"/>
        <v/>
      </c>
      <c r="R349" s="5" t="str">
        <f t="shared" si="47"/>
        <v/>
      </c>
      <c r="S349" s="5" t="str">
        <f t="shared" si="48"/>
        <v/>
      </c>
      <c r="T349" s="5" t="str">
        <f t="shared" si="49"/>
        <v/>
      </c>
      <c r="U349" s="5" t="str">
        <f t="shared" si="50"/>
        <v/>
      </c>
      <c r="V349" s="5" t="str">
        <f t="shared" si="51"/>
        <v/>
      </c>
      <c r="W349" s="5" t="str">
        <f t="shared" si="52"/>
        <v/>
      </c>
      <c r="X349" s="5" t="str">
        <f t="shared" si="53"/>
        <v/>
      </c>
    </row>
    <row r="350" spans="1:24">
      <c r="A350" s="91"/>
      <c r="B350" s="92"/>
      <c r="C350" s="69"/>
      <c r="D350" s="69"/>
      <c r="E350" s="69"/>
      <c r="F350" s="69"/>
      <c r="G350" s="70"/>
      <c r="H350" s="71"/>
      <c r="I350" s="66"/>
      <c r="J350" s="67"/>
      <c r="K350" s="67"/>
      <c r="L350" s="67"/>
      <c r="M350" s="67"/>
      <c r="N350" s="67"/>
      <c r="O350" s="67"/>
      <c r="P350" s="145" t="str">
        <f t="shared" si="45"/>
        <v/>
      </c>
      <c r="Q350" s="65" t="str">
        <f t="shared" si="46"/>
        <v/>
      </c>
      <c r="R350" s="5" t="str">
        <f t="shared" si="47"/>
        <v/>
      </c>
      <c r="S350" s="5" t="str">
        <f t="shared" si="48"/>
        <v/>
      </c>
      <c r="T350" s="5" t="str">
        <f t="shared" si="49"/>
        <v/>
      </c>
      <c r="U350" s="5" t="str">
        <f t="shared" si="50"/>
        <v/>
      </c>
      <c r="V350" s="5" t="str">
        <f t="shared" si="51"/>
        <v/>
      </c>
      <c r="W350" s="5" t="str">
        <f t="shared" si="52"/>
        <v/>
      </c>
      <c r="X350" s="5" t="str">
        <f t="shared" si="53"/>
        <v/>
      </c>
    </row>
    <row r="351" spans="1:24">
      <c r="A351" s="91"/>
      <c r="B351" s="92"/>
      <c r="C351" s="69"/>
      <c r="D351" s="69"/>
      <c r="E351" s="69"/>
      <c r="F351" s="69"/>
      <c r="G351" s="70"/>
      <c r="H351" s="71"/>
      <c r="I351" s="66"/>
      <c r="J351" s="67"/>
      <c r="K351" s="67"/>
      <c r="L351" s="67"/>
      <c r="M351" s="67"/>
      <c r="N351" s="67"/>
      <c r="O351" s="67"/>
      <c r="P351" s="145" t="str">
        <f t="shared" si="45"/>
        <v/>
      </c>
      <c r="Q351" s="65" t="str">
        <f t="shared" si="46"/>
        <v/>
      </c>
      <c r="R351" s="5" t="str">
        <f t="shared" si="47"/>
        <v/>
      </c>
      <c r="S351" s="5" t="str">
        <f t="shared" si="48"/>
        <v/>
      </c>
      <c r="T351" s="5" t="str">
        <f t="shared" si="49"/>
        <v/>
      </c>
      <c r="U351" s="5" t="str">
        <f t="shared" si="50"/>
        <v/>
      </c>
      <c r="V351" s="5" t="str">
        <f t="shared" si="51"/>
        <v/>
      </c>
      <c r="W351" s="5" t="str">
        <f t="shared" si="52"/>
        <v/>
      </c>
      <c r="X351" s="5" t="str">
        <f t="shared" si="53"/>
        <v/>
      </c>
    </row>
    <row r="352" spans="1:24">
      <c r="A352" s="91"/>
      <c r="B352" s="92"/>
      <c r="C352" s="69"/>
      <c r="D352" s="69"/>
      <c r="E352" s="69"/>
      <c r="F352" s="69"/>
      <c r="G352" s="70"/>
      <c r="H352" s="71"/>
      <c r="I352" s="66"/>
      <c r="J352" s="67"/>
      <c r="K352" s="67"/>
      <c r="L352" s="67"/>
      <c r="M352" s="67"/>
      <c r="N352" s="67"/>
      <c r="O352" s="67"/>
      <c r="P352" s="145" t="str">
        <f t="shared" si="45"/>
        <v/>
      </c>
      <c r="Q352" s="65" t="str">
        <f t="shared" si="46"/>
        <v/>
      </c>
      <c r="R352" s="5" t="str">
        <f t="shared" si="47"/>
        <v/>
      </c>
      <c r="S352" s="5" t="str">
        <f t="shared" si="48"/>
        <v/>
      </c>
      <c r="T352" s="5" t="str">
        <f t="shared" si="49"/>
        <v/>
      </c>
      <c r="U352" s="5" t="str">
        <f t="shared" si="50"/>
        <v/>
      </c>
      <c r="V352" s="5" t="str">
        <f t="shared" si="51"/>
        <v/>
      </c>
      <c r="W352" s="5" t="str">
        <f t="shared" si="52"/>
        <v/>
      </c>
      <c r="X352" s="5" t="str">
        <f t="shared" si="53"/>
        <v/>
      </c>
    </row>
    <row r="353" spans="1:24">
      <c r="A353" s="91"/>
      <c r="B353" s="92"/>
      <c r="C353" s="69"/>
      <c r="D353" s="69"/>
      <c r="E353" s="69"/>
      <c r="F353" s="69"/>
      <c r="G353" s="70"/>
      <c r="H353" s="71"/>
      <c r="I353" s="66"/>
      <c r="J353" s="67"/>
      <c r="K353" s="67"/>
      <c r="L353" s="67"/>
      <c r="M353" s="67"/>
      <c r="N353" s="67"/>
      <c r="O353" s="67"/>
      <c r="P353" s="145" t="str">
        <f t="shared" si="45"/>
        <v/>
      </c>
      <c r="Q353" s="65" t="str">
        <f t="shared" si="46"/>
        <v/>
      </c>
      <c r="R353" s="5" t="str">
        <f t="shared" si="47"/>
        <v/>
      </c>
      <c r="S353" s="5" t="str">
        <f t="shared" si="48"/>
        <v/>
      </c>
      <c r="T353" s="5" t="str">
        <f t="shared" si="49"/>
        <v/>
      </c>
      <c r="U353" s="5" t="str">
        <f t="shared" si="50"/>
        <v/>
      </c>
      <c r="V353" s="5" t="str">
        <f t="shared" si="51"/>
        <v/>
      </c>
      <c r="W353" s="5" t="str">
        <f t="shared" si="52"/>
        <v/>
      </c>
      <c r="X353" s="5" t="str">
        <f t="shared" si="53"/>
        <v/>
      </c>
    </row>
    <row r="354" spans="1:24">
      <c r="A354" s="91"/>
      <c r="B354" s="92"/>
      <c r="C354" s="69"/>
      <c r="D354" s="69"/>
      <c r="E354" s="69"/>
      <c r="F354" s="69"/>
      <c r="G354" s="70"/>
      <c r="H354" s="71"/>
      <c r="I354" s="66"/>
      <c r="J354" s="67"/>
      <c r="K354" s="67"/>
      <c r="L354" s="67"/>
      <c r="M354" s="67"/>
      <c r="N354" s="67"/>
      <c r="O354" s="67"/>
      <c r="P354" s="145" t="str">
        <f t="shared" si="45"/>
        <v/>
      </c>
      <c r="Q354" s="65" t="str">
        <f t="shared" si="46"/>
        <v/>
      </c>
      <c r="R354" s="5" t="str">
        <f t="shared" si="47"/>
        <v/>
      </c>
      <c r="S354" s="5" t="str">
        <f t="shared" si="48"/>
        <v/>
      </c>
      <c r="T354" s="5" t="str">
        <f t="shared" si="49"/>
        <v/>
      </c>
      <c r="U354" s="5" t="str">
        <f t="shared" si="50"/>
        <v/>
      </c>
      <c r="V354" s="5" t="str">
        <f t="shared" si="51"/>
        <v/>
      </c>
      <c r="W354" s="5" t="str">
        <f t="shared" si="52"/>
        <v/>
      </c>
      <c r="X354" s="5" t="str">
        <f t="shared" si="53"/>
        <v/>
      </c>
    </row>
    <row r="355" spans="1:24">
      <c r="A355" s="91"/>
      <c r="B355" s="92"/>
      <c r="C355" s="69"/>
      <c r="D355" s="69"/>
      <c r="E355" s="69"/>
      <c r="F355" s="69"/>
      <c r="G355" s="70"/>
      <c r="H355" s="71"/>
      <c r="I355" s="66"/>
      <c r="J355" s="67"/>
      <c r="K355" s="67"/>
      <c r="L355" s="67"/>
      <c r="M355" s="67"/>
      <c r="N355" s="67"/>
      <c r="O355" s="67"/>
      <c r="P355" s="145" t="str">
        <f t="shared" si="45"/>
        <v/>
      </c>
      <c r="Q355" s="65" t="str">
        <f t="shared" si="46"/>
        <v/>
      </c>
      <c r="R355" s="5" t="str">
        <f t="shared" si="47"/>
        <v/>
      </c>
      <c r="S355" s="5" t="str">
        <f t="shared" si="48"/>
        <v/>
      </c>
      <c r="T355" s="5" t="str">
        <f t="shared" si="49"/>
        <v/>
      </c>
      <c r="U355" s="5" t="str">
        <f t="shared" si="50"/>
        <v/>
      </c>
      <c r="V355" s="5" t="str">
        <f t="shared" si="51"/>
        <v/>
      </c>
      <c r="W355" s="5" t="str">
        <f t="shared" si="52"/>
        <v/>
      </c>
      <c r="X355" s="5" t="str">
        <f t="shared" si="53"/>
        <v/>
      </c>
    </row>
    <row r="356" spans="1:24">
      <c r="A356" s="91"/>
      <c r="B356" s="92"/>
      <c r="C356" s="69"/>
      <c r="D356" s="69"/>
      <c r="E356" s="69"/>
      <c r="F356" s="69"/>
      <c r="G356" s="70"/>
      <c r="H356" s="71"/>
      <c r="I356" s="66"/>
      <c r="J356" s="67"/>
      <c r="K356" s="67"/>
      <c r="L356" s="67"/>
      <c r="M356" s="67"/>
      <c r="N356" s="67"/>
      <c r="O356" s="67"/>
      <c r="P356" s="145" t="str">
        <f t="shared" si="45"/>
        <v/>
      </c>
      <c r="Q356" s="65" t="str">
        <f t="shared" si="46"/>
        <v/>
      </c>
      <c r="R356" s="5" t="str">
        <f t="shared" si="47"/>
        <v/>
      </c>
      <c r="S356" s="5" t="str">
        <f t="shared" si="48"/>
        <v/>
      </c>
      <c r="T356" s="5" t="str">
        <f t="shared" si="49"/>
        <v/>
      </c>
      <c r="U356" s="5" t="str">
        <f t="shared" si="50"/>
        <v/>
      </c>
      <c r="V356" s="5" t="str">
        <f t="shared" si="51"/>
        <v/>
      </c>
      <c r="W356" s="5" t="str">
        <f t="shared" si="52"/>
        <v/>
      </c>
      <c r="X356" s="5" t="str">
        <f t="shared" si="53"/>
        <v/>
      </c>
    </row>
    <row r="357" spans="1:24">
      <c r="A357" s="91"/>
      <c r="B357" s="92"/>
      <c r="C357" s="69"/>
      <c r="D357" s="69"/>
      <c r="E357" s="69"/>
      <c r="F357" s="69"/>
      <c r="G357" s="70"/>
      <c r="H357" s="71"/>
      <c r="I357" s="66"/>
      <c r="J357" s="67"/>
      <c r="K357" s="67"/>
      <c r="L357" s="67"/>
      <c r="M357" s="67"/>
      <c r="N357" s="67"/>
      <c r="O357" s="67"/>
      <c r="P357" s="145" t="str">
        <f t="shared" si="45"/>
        <v/>
      </c>
      <c r="Q357" s="65" t="str">
        <f t="shared" si="46"/>
        <v/>
      </c>
      <c r="R357" s="5" t="str">
        <f t="shared" si="47"/>
        <v/>
      </c>
      <c r="S357" s="5" t="str">
        <f t="shared" si="48"/>
        <v/>
      </c>
      <c r="T357" s="5" t="str">
        <f t="shared" si="49"/>
        <v/>
      </c>
      <c r="U357" s="5" t="str">
        <f t="shared" si="50"/>
        <v/>
      </c>
      <c r="V357" s="5" t="str">
        <f t="shared" si="51"/>
        <v/>
      </c>
      <c r="W357" s="5" t="str">
        <f t="shared" si="52"/>
        <v/>
      </c>
      <c r="X357" s="5" t="str">
        <f t="shared" si="53"/>
        <v/>
      </c>
    </row>
    <row r="358" spans="1:24">
      <c r="A358" s="91"/>
      <c r="B358" s="92"/>
      <c r="C358" s="69"/>
      <c r="D358" s="69"/>
      <c r="E358" s="69"/>
      <c r="F358" s="69"/>
      <c r="G358" s="70"/>
      <c r="H358" s="71"/>
      <c r="I358" s="66"/>
      <c r="J358" s="67"/>
      <c r="K358" s="67"/>
      <c r="L358" s="67"/>
      <c r="M358" s="67"/>
      <c r="N358" s="67"/>
      <c r="O358" s="67"/>
      <c r="P358" s="145" t="str">
        <f t="shared" si="45"/>
        <v/>
      </c>
      <c r="Q358" s="65" t="str">
        <f t="shared" si="46"/>
        <v/>
      </c>
      <c r="R358" s="5" t="str">
        <f t="shared" si="47"/>
        <v/>
      </c>
      <c r="S358" s="5" t="str">
        <f t="shared" si="48"/>
        <v/>
      </c>
      <c r="T358" s="5" t="str">
        <f t="shared" si="49"/>
        <v/>
      </c>
      <c r="U358" s="5" t="str">
        <f t="shared" si="50"/>
        <v/>
      </c>
      <c r="V358" s="5" t="str">
        <f t="shared" si="51"/>
        <v/>
      </c>
      <c r="W358" s="5" t="str">
        <f t="shared" si="52"/>
        <v/>
      </c>
      <c r="X358" s="5" t="str">
        <f t="shared" si="53"/>
        <v/>
      </c>
    </row>
    <row r="359" spans="1:24">
      <c r="A359" s="91"/>
      <c r="B359" s="92"/>
      <c r="C359" s="69"/>
      <c r="D359" s="69"/>
      <c r="E359" s="69"/>
      <c r="F359" s="69"/>
      <c r="G359" s="70"/>
      <c r="H359" s="71"/>
      <c r="I359" s="66"/>
      <c r="J359" s="67"/>
      <c r="K359" s="67"/>
      <c r="L359" s="67"/>
      <c r="M359" s="67"/>
      <c r="N359" s="67"/>
      <c r="O359" s="67"/>
      <c r="P359" s="145" t="str">
        <f t="shared" si="45"/>
        <v/>
      </c>
      <c r="Q359" s="65" t="str">
        <f t="shared" si="46"/>
        <v/>
      </c>
      <c r="R359" s="5" t="str">
        <f t="shared" si="47"/>
        <v/>
      </c>
      <c r="S359" s="5" t="str">
        <f t="shared" si="48"/>
        <v/>
      </c>
      <c r="T359" s="5" t="str">
        <f t="shared" si="49"/>
        <v/>
      </c>
      <c r="U359" s="5" t="str">
        <f t="shared" si="50"/>
        <v/>
      </c>
      <c r="V359" s="5" t="str">
        <f t="shared" si="51"/>
        <v/>
      </c>
      <c r="W359" s="5" t="str">
        <f t="shared" si="52"/>
        <v/>
      </c>
      <c r="X359" s="5" t="str">
        <f t="shared" si="53"/>
        <v/>
      </c>
    </row>
    <row r="360" spans="1:24">
      <c r="A360" s="91"/>
      <c r="B360" s="92"/>
      <c r="C360" s="69"/>
      <c r="D360" s="69"/>
      <c r="E360" s="69"/>
      <c r="F360" s="69"/>
      <c r="G360" s="70"/>
      <c r="H360" s="71"/>
      <c r="I360" s="66"/>
      <c r="J360" s="67"/>
      <c r="K360" s="67"/>
      <c r="L360" s="67"/>
      <c r="M360" s="67"/>
      <c r="N360" s="67"/>
      <c r="O360" s="67"/>
      <c r="P360" s="145" t="str">
        <f t="shared" si="45"/>
        <v/>
      </c>
      <c r="Q360" s="65" t="str">
        <f t="shared" si="46"/>
        <v/>
      </c>
      <c r="R360" s="5" t="str">
        <f t="shared" si="47"/>
        <v/>
      </c>
      <c r="S360" s="5" t="str">
        <f t="shared" si="48"/>
        <v/>
      </c>
      <c r="T360" s="5" t="str">
        <f t="shared" si="49"/>
        <v/>
      </c>
      <c r="U360" s="5" t="str">
        <f t="shared" si="50"/>
        <v/>
      </c>
      <c r="V360" s="5" t="str">
        <f t="shared" si="51"/>
        <v/>
      </c>
      <c r="W360" s="5" t="str">
        <f t="shared" si="52"/>
        <v/>
      </c>
      <c r="X360" s="5" t="str">
        <f t="shared" si="53"/>
        <v/>
      </c>
    </row>
    <row r="361" spans="1:24">
      <c r="A361" s="91"/>
      <c r="B361" s="92"/>
      <c r="C361" s="69"/>
      <c r="D361" s="69"/>
      <c r="E361" s="69"/>
      <c r="F361" s="69"/>
      <c r="G361" s="70"/>
      <c r="H361" s="71"/>
      <c r="I361" s="66"/>
      <c r="J361" s="67"/>
      <c r="K361" s="67"/>
      <c r="L361" s="67"/>
      <c r="M361" s="67"/>
      <c r="N361" s="67"/>
      <c r="O361" s="67"/>
      <c r="P361" s="145" t="str">
        <f t="shared" si="45"/>
        <v/>
      </c>
      <c r="Q361" s="65" t="str">
        <f t="shared" si="46"/>
        <v/>
      </c>
      <c r="R361" s="5" t="str">
        <f t="shared" si="47"/>
        <v/>
      </c>
      <c r="S361" s="5" t="str">
        <f t="shared" si="48"/>
        <v/>
      </c>
      <c r="T361" s="5" t="str">
        <f t="shared" si="49"/>
        <v/>
      </c>
      <c r="U361" s="5" t="str">
        <f t="shared" si="50"/>
        <v/>
      </c>
      <c r="V361" s="5" t="str">
        <f t="shared" si="51"/>
        <v/>
      </c>
      <c r="W361" s="5" t="str">
        <f t="shared" si="52"/>
        <v/>
      </c>
      <c r="X361" s="5" t="str">
        <f t="shared" si="53"/>
        <v/>
      </c>
    </row>
    <row r="362" spans="1:24">
      <c r="A362" s="91"/>
      <c r="B362" s="92"/>
      <c r="C362" s="69"/>
      <c r="D362" s="69"/>
      <c r="E362" s="69"/>
      <c r="F362" s="69"/>
      <c r="G362" s="70"/>
      <c r="H362" s="71"/>
      <c r="I362" s="66"/>
      <c r="J362" s="67"/>
      <c r="K362" s="67"/>
      <c r="L362" s="67"/>
      <c r="M362" s="67"/>
      <c r="N362" s="67"/>
      <c r="O362" s="67"/>
      <c r="P362" s="145" t="str">
        <f t="shared" si="45"/>
        <v/>
      </c>
      <c r="Q362" s="65" t="str">
        <f t="shared" si="46"/>
        <v/>
      </c>
      <c r="R362" s="5" t="str">
        <f t="shared" si="47"/>
        <v/>
      </c>
      <c r="S362" s="5" t="str">
        <f t="shared" si="48"/>
        <v/>
      </c>
      <c r="T362" s="5" t="str">
        <f t="shared" si="49"/>
        <v/>
      </c>
      <c r="U362" s="5" t="str">
        <f t="shared" si="50"/>
        <v/>
      </c>
      <c r="V362" s="5" t="str">
        <f t="shared" si="51"/>
        <v/>
      </c>
      <c r="W362" s="5" t="str">
        <f t="shared" si="52"/>
        <v/>
      </c>
      <c r="X362" s="5" t="str">
        <f t="shared" si="53"/>
        <v/>
      </c>
    </row>
    <row r="363" spans="1:24">
      <c r="A363" s="91"/>
      <c r="B363" s="92"/>
      <c r="C363" s="69"/>
      <c r="D363" s="69"/>
      <c r="E363" s="69"/>
      <c r="F363" s="69"/>
      <c r="G363" s="70"/>
      <c r="H363" s="71"/>
      <c r="I363" s="66"/>
      <c r="J363" s="67"/>
      <c r="K363" s="67"/>
      <c r="L363" s="67"/>
      <c r="M363" s="67"/>
      <c r="N363" s="67"/>
      <c r="O363" s="67"/>
      <c r="P363" s="145" t="str">
        <f t="shared" si="45"/>
        <v/>
      </c>
      <c r="Q363" s="65" t="str">
        <f t="shared" si="46"/>
        <v/>
      </c>
      <c r="R363" s="5" t="str">
        <f t="shared" si="47"/>
        <v/>
      </c>
      <c r="S363" s="5" t="str">
        <f t="shared" si="48"/>
        <v/>
      </c>
      <c r="T363" s="5" t="str">
        <f t="shared" si="49"/>
        <v/>
      </c>
      <c r="U363" s="5" t="str">
        <f t="shared" si="50"/>
        <v/>
      </c>
      <c r="V363" s="5" t="str">
        <f t="shared" si="51"/>
        <v/>
      </c>
      <c r="W363" s="5" t="str">
        <f t="shared" si="52"/>
        <v/>
      </c>
      <c r="X363" s="5" t="str">
        <f t="shared" si="53"/>
        <v/>
      </c>
    </row>
    <row r="364" spans="1:24">
      <c r="A364" s="91"/>
      <c r="B364" s="92"/>
      <c r="C364" s="69"/>
      <c r="D364" s="69"/>
      <c r="E364" s="69"/>
      <c r="F364" s="69"/>
      <c r="G364" s="70"/>
      <c r="H364" s="71"/>
      <c r="I364" s="66"/>
      <c r="J364" s="67"/>
      <c r="K364" s="67"/>
      <c r="L364" s="67"/>
      <c r="M364" s="67"/>
      <c r="N364" s="67"/>
      <c r="O364" s="67"/>
      <c r="P364" s="145" t="str">
        <f t="shared" si="45"/>
        <v/>
      </c>
      <c r="Q364" s="65" t="str">
        <f t="shared" si="46"/>
        <v/>
      </c>
      <c r="R364" s="5" t="str">
        <f t="shared" si="47"/>
        <v/>
      </c>
      <c r="S364" s="5" t="str">
        <f t="shared" si="48"/>
        <v/>
      </c>
      <c r="T364" s="5" t="str">
        <f t="shared" si="49"/>
        <v/>
      </c>
      <c r="U364" s="5" t="str">
        <f t="shared" si="50"/>
        <v/>
      </c>
      <c r="V364" s="5" t="str">
        <f t="shared" si="51"/>
        <v/>
      </c>
      <c r="W364" s="5" t="str">
        <f t="shared" si="52"/>
        <v/>
      </c>
      <c r="X364" s="5" t="str">
        <f t="shared" si="53"/>
        <v/>
      </c>
    </row>
    <row r="365" spans="1:24">
      <c r="A365" s="91"/>
      <c r="B365" s="92"/>
      <c r="C365" s="69"/>
      <c r="D365" s="69"/>
      <c r="E365" s="69"/>
      <c r="F365" s="69"/>
      <c r="G365" s="70"/>
      <c r="H365" s="71"/>
      <c r="I365" s="66"/>
      <c r="J365" s="67"/>
      <c r="K365" s="67"/>
      <c r="L365" s="67"/>
      <c r="M365" s="67"/>
      <c r="N365" s="67"/>
      <c r="O365" s="67"/>
      <c r="P365" s="145" t="str">
        <f t="shared" si="45"/>
        <v/>
      </c>
      <c r="Q365" s="65" t="str">
        <f t="shared" si="46"/>
        <v/>
      </c>
      <c r="R365" s="5" t="str">
        <f t="shared" si="47"/>
        <v/>
      </c>
      <c r="S365" s="5" t="str">
        <f t="shared" si="48"/>
        <v/>
      </c>
      <c r="T365" s="5" t="str">
        <f t="shared" si="49"/>
        <v/>
      </c>
      <c r="U365" s="5" t="str">
        <f t="shared" si="50"/>
        <v/>
      </c>
      <c r="V365" s="5" t="str">
        <f t="shared" si="51"/>
        <v/>
      </c>
      <c r="W365" s="5" t="str">
        <f t="shared" si="52"/>
        <v/>
      </c>
      <c r="X365" s="5" t="str">
        <f t="shared" si="53"/>
        <v/>
      </c>
    </row>
    <row r="366" spans="1:24">
      <c r="A366" s="91"/>
      <c r="B366" s="92"/>
      <c r="C366" s="69"/>
      <c r="D366" s="69"/>
      <c r="E366" s="69"/>
      <c r="F366" s="69"/>
      <c r="G366" s="70"/>
      <c r="H366" s="71"/>
      <c r="I366" s="66"/>
      <c r="J366" s="67"/>
      <c r="K366" s="67"/>
      <c r="L366" s="67"/>
      <c r="M366" s="67"/>
      <c r="N366" s="67"/>
      <c r="O366" s="67"/>
      <c r="P366" s="145" t="str">
        <f t="shared" si="45"/>
        <v/>
      </c>
      <c r="Q366" s="65" t="str">
        <f t="shared" si="46"/>
        <v/>
      </c>
      <c r="R366" s="5" t="str">
        <f t="shared" si="47"/>
        <v/>
      </c>
      <c r="S366" s="5" t="str">
        <f t="shared" si="48"/>
        <v/>
      </c>
      <c r="T366" s="5" t="str">
        <f t="shared" si="49"/>
        <v/>
      </c>
      <c r="U366" s="5" t="str">
        <f t="shared" si="50"/>
        <v/>
      </c>
      <c r="V366" s="5" t="str">
        <f t="shared" si="51"/>
        <v/>
      </c>
      <c r="W366" s="5" t="str">
        <f t="shared" si="52"/>
        <v/>
      </c>
      <c r="X366" s="5" t="str">
        <f t="shared" si="53"/>
        <v/>
      </c>
    </row>
    <row r="367" spans="1:24">
      <c r="A367" s="91"/>
      <c r="B367" s="92"/>
      <c r="C367" s="69"/>
      <c r="D367" s="69"/>
      <c r="E367" s="69"/>
      <c r="F367" s="69"/>
      <c r="G367" s="70"/>
      <c r="H367" s="71"/>
      <c r="I367" s="66"/>
      <c r="J367" s="67"/>
      <c r="K367" s="67"/>
      <c r="L367" s="67"/>
      <c r="M367" s="67"/>
      <c r="N367" s="67"/>
      <c r="O367" s="67"/>
      <c r="P367" s="145" t="str">
        <f t="shared" si="45"/>
        <v/>
      </c>
      <c r="Q367" s="65" t="str">
        <f t="shared" si="46"/>
        <v/>
      </c>
      <c r="R367" s="5" t="str">
        <f t="shared" si="47"/>
        <v/>
      </c>
      <c r="S367" s="5" t="str">
        <f t="shared" si="48"/>
        <v/>
      </c>
      <c r="T367" s="5" t="str">
        <f t="shared" si="49"/>
        <v/>
      </c>
      <c r="U367" s="5" t="str">
        <f t="shared" si="50"/>
        <v/>
      </c>
      <c r="V367" s="5" t="str">
        <f t="shared" si="51"/>
        <v/>
      </c>
      <c r="W367" s="5" t="str">
        <f t="shared" si="52"/>
        <v/>
      </c>
      <c r="X367" s="5" t="str">
        <f t="shared" si="53"/>
        <v/>
      </c>
    </row>
    <row r="368" spans="1:24">
      <c r="A368" s="91"/>
      <c r="B368" s="92"/>
      <c r="C368" s="69"/>
      <c r="D368" s="69"/>
      <c r="E368" s="69"/>
      <c r="F368" s="69"/>
      <c r="G368" s="70"/>
      <c r="H368" s="71"/>
      <c r="I368" s="66"/>
      <c r="J368" s="67"/>
      <c r="K368" s="67"/>
      <c r="L368" s="67"/>
      <c r="M368" s="67"/>
      <c r="N368" s="67"/>
      <c r="O368" s="67"/>
      <c r="P368" s="145" t="str">
        <f t="shared" si="45"/>
        <v/>
      </c>
      <c r="Q368" s="65" t="str">
        <f t="shared" si="46"/>
        <v/>
      </c>
      <c r="R368" s="5" t="str">
        <f t="shared" si="47"/>
        <v/>
      </c>
      <c r="S368" s="5" t="str">
        <f t="shared" si="48"/>
        <v/>
      </c>
      <c r="T368" s="5" t="str">
        <f t="shared" si="49"/>
        <v/>
      </c>
      <c r="U368" s="5" t="str">
        <f t="shared" si="50"/>
        <v/>
      </c>
      <c r="V368" s="5" t="str">
        <f t="shared" si="51"/>
        <v/>
      </c>
      <c r="W368" s="5" t="str">
        <f t="shared" si="52"/>
        <v/>
      </c>
      <c r="X368" s="5" t="str">
        <f t="shared" si="53"/>
        <v/>
      </c>
    </row>
    <row r="369" spans="1:24">
      <c r="A369" s="91"/>
      <c r="B369" s="92"/>
      <c r="C369" s="69"/>
      <c r="D369" s="69"/>
      <c r="E369" s="69"/>
      <c r="F369" s="69"/>
      <c r="G369" s="70"/>
      <c r="H369" s="71"/>
      <c r="I369" s="66"/>
      <c r="J369" s="67"/>
      <c r="K369" s="67"/>
      <c r="L369" s="67"/>
      <c r="M369" s="67"/>
      <c r="N369" s="67"/>
      <c r="O369" s="67"/>
      <c r="P369" s="145" t="str">
        <f t="shared" si="45"/>
        <v/>
      </c>
      <c r="Q369" s="65" t="str">
        <f t="shared" si="46"/>
        <v/>
      </c>
      <c r="R369" s="5" t="str">
        <f t="shared" si="47"/>
        <v/>
      </c>
      <c r="S369" s="5" t="str">
        <f t="shared" si="48"/>
        <v/>
      </c>
      <c r="T369" s="5" t="str">
        <f t="shared" si="49"/>
        <v/>
      </c>
      <c r="U369" s="5" t="str">
        <f t="shared" si="50"/>
        <v/>
      </c>
      <c r="V369" s="5" t="str">
        <f t="shared" si="51"/>
        <v/>
      </c>
      <c r="W369" s="5" t="str">
        <f t="shared" si="52"/>
        <v/>
      </c>
      <c r="X369" s="5" t="str">
        <f t="shared" si="53"/>
        <v/>
      </c>
    </row>
    <row r="370" spans="1:24">
      <c r="A370" s="91"/>
      <c r="B370" s="92"/>
      <c r="C370" s="69"/>
      <c r="D370" s="69"/>
      <c r="E370" s="69"/>
      <c r="F370" s="69"/>
      <c r="G370" s="70"/>
      <c r="H370" s="71"/>
      <c r="I370" s="66"/>
      <c r="J370" s="67"/>
      <c r="K370" s="67"/>
      <c r="L370" s="67"/>
      <c r="M370" s="67"/>
      <c r="N370" s="67"/>
      <c r="O370" s="67"/>
      <c r="P370" s="145" t="str">
        <f t="shared" si="45"/>
        <v/>
      </c>
      <c r="Q370" s="65" t="str">
        <f t="shared" si="46"/>
        <v/>
      </c>
      <c r="R370" s="5" t="str">
        <f t="shared" si="47"/>
        <v/>
      </c>
      <c r="S370" s="5" t="str">
        <f t="shared" si="48"/>
        <v/>
      </c>
      <c r="T370" s="5" t="str">
        <f t="shared" si="49"/>
        <v/>
      </c>
      <c r="U370" s="5" t="str">
        <f t="shared" si="50"/>
        <v/>
      </c>
      <c r="V370" s="5" t="str">
        <f t="shared" si="51"/>
        <v/>
      </c>
      <c r="W370" s="5" t="str">
        <f t="shared" si="52"/>
        <v/>
      </c>
      <c r="X370" s="5" t="str">
        <f t="shared" si="53"/>
        <v/>
      </c>
    </row>
    <row r="371" spans="1:24">
      <c r="A371" s="91"/>
      <c r="B371" s="92"/>
      <c r="C371" s="69"/>
      <c r="D371" s="69"/>
      <c r="E371" s="69"/>
      <c r="F371" s="69"/>
      <c r="G371" s="70"/>
      <c r="H371" s="71"/>
      <c r="I371" s="66"/>
      <c r="J371" s="67"/>
      <c r="K371" s="67"/>
      <c r="L371" s="67"/>
      <c r="M371" s="67"/>
      <c r="N371" s="67"/>
      <c r="O371" s="67"/>
      <c r="P371" s="145" t="str">
        <f t="shared" si="45"/>
        <v/>
      </c>
      <c r="Q371" s="65" t="str">
        <f t="shared" si="46"/>
        <v/>
      </c>
      <c r="R371" s="5" t="str">
        <f t="shared" si="47"/>
        <v/>
      </c>
      <c r="S371" s="5" t="str">
        <f t="shared" si="48"/>
        <v/>
      </c>
      <c r="T371" s="5" t="str">
        <f t="shared" si="49"/>
        <v/>
      </c>
      <c r="U371" s="5" t="str">
        <f t="shared" si="50"/>
        <v/>
      </c>
      <c r="V371" s="5" t="str">
        <f t="shared" si="51"/>
        <v/>
      </c>
      <c r="W371" s="5" t="str">
        <f t="shared" si="52"/>
        <v/>
      </c>
      <c r="X371" s="5" t="str">
        <f t="shared" si="53"/>
        <v/>
      </c>
    </row>
    <row r="372" spans="1:24">
      <c r="A372" s="91"/>
      <c r="B372" s="92"/>
      <c r="C372" s="69"/>
      <c r="D372" s="69"/>
      <c r="E372" s="69"/>
      <c r="F372" s="69"/>
      <c r="G372" s="70"/>
      <c r="H372" s="71"/>
      <c r="I372" s="66"/>
      <c r="J372" s="67"/>
      <c r="K372" s="67"/>
      <c r="L372" s="67"/>
      <c r="M372" s="67"/>
      <c r="N372" s="67"/>
      <c r="O372" s="67"/>
      <c r="P372" s="145" t="str">
        <f t="shared" si="45"/>
        <v/>
      </c>
      <c r="Q372" s="65" t="str">
        <f t="shared" si="46"/>
        <v/>
      </c>
      <c r="R372" s="5" t="str">
        <f t="shared" si="47"/>
        <v/>
      </c>
      <c r="S372" s="5" t="str">
        <f t="shared" si="48"/>
        <v/>
      </c>
      <c r="T372" s="5" t="str">
        <f t="shared" si="49"/>
        <v/>
      </c>
      <c r="U372" s="5" t="str">
        <f t="shared" si="50"/>
        <v/>
      </c>
      <c r="V372" s="5" t="str">
        <f t="shared" si="51"/>
        <v/>
      </c>
      <c r="W372" s="5" t="str">
        <f t="shared" si="52"/>
        <v/>
      </c>
      <c r="X372" s="5" t="str">
        <f t="shared" si="53"/>
        <v/>
      </c>
    </row>
    <row r="373" spans="1:24">
      <c r="A373" s="91"/>
      <c r="B373" s="92"/>
      <c r="C373" s="69"/>
      <c r="D373" s="69"/>
      <c r="E373" s="69"/>
      <c r="F373" s="69"/>
      <c r="G373" s="70"/>
      <c r="H373" s="71"/>
      <c r="I373" s="66"/>
      <c r="J373" s="67"/>
      <c r="K373" s="67"/>
      <c r="L373" s="67"/>
      <c r="M373" s="67"/>
      <c r="N373" s="67"/>
      <c r="O373" s="67"/>
      <c r="P373" s="145" t="str">
        <f t="shared" si="45"/>
        <v/>
      </c>
      <c r="Q373" s="65" t="str">
        <f t="shared" si="46"/>
        <v/>
      </c>
      <c r="R373" s="5" t="str">
        <f t="shared" si="47"/>
        <v/>
      </c>
      <c r="S373" s="5" t="str">
        <f t="shared" si="48"/>
        <v/>
      </c>
      <c r="T373" s="5" t="str">
        <f t="shared" si="49"/>
        <v/>
      </c>
      <c r="U373" s="5" t="str">
        <f t="shared" si="50"/>
        <v/>
      </c>
      <c r="V373" s="5" t="str">
        <f t="shared" si="51"/>
        <v/>
      </c>
      <c r="W373" s="5" t="str">
        <f t="shared" si="52"/>
        <v/>
      </c>
      <c r="X373" s="5" t="str">
        <f t="shared" si="53"/>
        <v/>
      </c>
    </row>
    <row r="374" spans="1:24">
      <c r="A374" s="91"/>
      <c r="B374" s="92"/>
      <c r="C374" s="69"/>
      <c r="D374" s="69"/>
      <c r="E374" s="69"/>
      <c r="F374" s="69"/>
      <c r="G374" s="70"/>
      <c r="H374" s="71"/>
      <c r="I374" s="66"/>
      <c r="J374" s="67"/>
      <c r="K374" s="67"/>
      <c r="L374" s="67"/>
      <c r="M374" s="67"/>
      <c r="N374" s="67"/>
      <c r="O374" s="67"/>
      <c r="P374" s="145" t="str">
        <f t="shared" si="45"/>
        <v/>
      </c>
      <c r="Q374" s="65" t="str">
        <f t="shared" si="46"/>
        <v/>
      </c>
      <c r="R374" s="5" t="str">
        <f t="shared" si="47"/>
        <v/>
      </c>
      <c r="S374" s="5" t="str">
        <f t="shared" si="48"/>
        <v/>
      </c>
      <c r="T374" s="5" t="str">
        <f t="shared" si="49"/>
        <v/>
      </c>
      <c r="U374" s="5" t="str">
        <f t="shared" si="50"/>
        <v/>
      </c>
      <c r="V374" s="5" t="str">
        <f t="shared" si="51"/>
        <v/>
      </c>
      <c r="W374" s="5" t="str">
        <f t="shared" si="52"/>
        <v/>
      </c>
      <c r="X374" s="5" t="str">
        <f t="shared" si="53"/>
        <v/>
      </c>
    </row>
    <row r="375" spans="1:24">
      <c r="A375" s="91"/>
      <c r="B375" s="92"/>
      <c r="C375" s="69"/>
      <c r="D375" s="69"/>
      <c r="E375" s="69"/>
      <c r="F375" s="69"/>
      <c r="G375" s="70"/>
      <c r="H375" s="71"/>
      <c r="I375" s="66"/>
      <c r="J375" s="67"/>
      <c r="K375" s="67"/>
      <c r="L375" s="67"/>
      <c r="M375" s="67"/>
      <c r="N375" s="67"/>
      <c r="O375" s="67"/>
      <c r="P375" s="145" t="str">
        <f t="shared" si="45"/>
        <v/>
      </c>
      <c r="Q375" s="65" t="str">
        <f t="shared" si="46"/>
        <v/>
      </c>
      <c r="R375" s="5" t="str">
        <f t="shared" si="47"/>
        <v/>
      </c>
      <c r="S375" s="5" t="str">
        <f t="shared" si="48"/>
        <v/>
      </c>
      <c r="T375" s="5" t="str">
        <f t="shared" si="49"/>
        <v/>
      </c>
      <c r="U375" s="5" t="str">
        <f t="shared" si="50"/>
        <v/>
      </c>
      <c r="V375" s="5" t="str">
        <f t="shared" si="51"/>
        <v/>
      </c>
      <c r="W375" s="5" t="str">
        <f t="shared" si="52"/>
        <v/>
      </c>
      <c r="X375" s="5" t="str">
        <f t="shared" si="53"/>
        <v/>
      </c>
    </row>
    <row r="376" spans="1:24">
      <c r="A376" s="91"/>
      <c r="B376" s="92"/>
      <c r="C376" s="69"/>
      <c r="D376" s="69"/>
      <c r="E376" s="69"/>
      <c r="F376" s="69"/>
      <c r="G376" s="70"/>
      <c r="H376" s="71"/>
      <c r="I376" s="66"/>
      <c r="J376" s="67"/>
      <c r="K376" s="67"/>
      <c r="L376" s="67"/>
      <c r="M376" s="67"/>
      <c r="N376" s="67"/>
      <c r="O376" s="67"/>
      <c r="P376" s="145" t="str">
        <f t="shared" si="45"/>
        <v/>
      </c>
      <c r="Q376" s="65" t="str">
        <f t="shared" si="46"/>
        <v/>
      </c>
      <c r="R376" s="5" t="str">
        <f t="shared" si="47"/>
        <v/>
      </c>
      <c r="S376" s="5" t="str">
        <f t="shared" si="48"/>
        <v/>
      </c>
      <c r="T376" s="5" t="str">
        <f t="shared" si="49"/>
        <v/>
      </c>
      <c r="U376" s="5" t="str">
        <f t="shared" si="50"/>
        <v/>
      </c>
      <c r="V376" s="5" t="str">
        <f t="shared" si="51"/>
        <v/>
      </c>
      <c r="W376" s="5" t="str">
        <f t="shared" si="52"/>
        <v/>
      </c>
      <c r="X376" s="5" t="str">
        <f t="shared" si="53"/>
        <v/>
      </c>
    </row>
    <row r="377" spans="1:24">
      <c r="A377" s="91"/>
      <c r="B377" s="92"/>
      <c r="C377" s="69"/>
      <c r="D377" s="69"/>
      <c r="E377" s="69"/>
      <c r="F377" s="69"/>
      <c r="G377" s="70"/>
      <c r="H377" s="71"/>
      <c r="I377" s="66"/>
      <c r="J377" s="67"/>
      <c r="K377" s="67"/>
      <c r="L377" s="67"/>
      <c r="M377" s="67"/>
      <c r="N377" s="67"/>
      <c r="O377" s="67"/>
      <c r="P377" s="145" t="str">
        <f t="shared" si="45"/>
        <v/>
      </c>
      <c r="Q377" s="65" t="str">
        <f t="shared" si="46"/>
        <v/>
      </c>
      <c r="R377" s="5" t="str">
        <f t="shared" si="47"/>
        <v/>
      </c>
      <c r="S377" s="5" t="str">
        <f t="shared" si="48"/>
        <v/>
      </c>
      <c r="T377" s="5" t="str">
        <f t="shared" si="49"/>
        <v/>
      </c>
      <c r="U377" s="5" t="str">
        <f t="shared" si="50"/>
        <v/>
      </c>
      <c r="V377" s="5" t="str">
        <f t="shared" si="51"/>
        <v/>
      </c>
      <c r="W377" s="5" t="str">
        <f t="shared" si="52"/>
        <v/>
      </c>
      <c r="X377" s="5" t="str">
        <f t="shared" si="53"/>
        <v/>
      </c>
    </row>
    <row r="378" spans="1:24">
      <c r="A378" s="91"/>
      <c r="B378" s="92"/>
      <c r="C378" s="69"/>
      <c r="D378" s="69"/>
      <c r="E378" s="69"/>
      <c r="F378" s="69"/>
      <c r="G378" s="70"/>
      <c r="H378" s="71"/>
      <c r="I378" s="66"/>
      <c r="J378" s="67"/>
      <c r="K378" s="67"/>
      <c r="L378" s="67"/>
      <c r="M378" s="67"/>
      <c r="N378" s="67"/>
      <c r="O378" s="67"/>
      <c r="P378" s="145" t="str">
        <f t="shared" si="45"/>
        <v/>
      </c>
      <c r="Q378" s="65" t="str">
        <f t="shared" si="46"/>
        <v/>
      </c>
      <c r="R378" s="5" t="str">
        <f t="shared" si="47"/>
        <v/>
      </c>
      <c r="S378" s="5" t="str">
        <f t="shared" si="48"/>
        <v/>
      </c>
      <c r="T378" s="5" t="str">
        <f t="shared" si="49"/>
        <v/>
      </c>
      <c r="U378" s="5" t="str">
        <f t="shared" si="50"/>
        <v/>
      </c>
      <c r="V378" s="5" t="str">
        <f t="shared" si="51"/>
        <v/>
      </c>
      <c r="W378" s="5" t="str">
        <f t="shared" si="52"/>
        <v/>
      </c>
      <c r="X378" s="5" t="str">
        <f t="shared" si="53"/>
        <v/>
      </c>
    </row>
    <row r="379" spans="1:24">
      <c r="A379" s="91"/>
      <c r="B379" s="92"/>
      <c r="C379" s="69"/>
      <c r="D379" s="69"/>
      <c r="E379" s="69"/>
      <c r="F379" s="69"/>
      <c r="G379" s="70"/>
      <c r="H379" s="71"/>
      <c r="I379" s="66"/>
      <c r="J379" s="67"/>
      <c r="K379" s="67"/>
      <c r="L379" s="67"/>
      <c r="M379" s="67"/>
      <c r="N379" s="67"/>
      <c r="O379" s="67"/>
      <c r="P379" s="145" t="str">
        <f t="shared" si="45"/>
        <v/>
      </c>
      <c r="Q379" s="65" t="str">
        <f t="shared" si="46"/>
        <v/>
      </c>
      <c r="R379" s="5" t="str">
        <f t="shared" si="47"/>
        <v/>
      </c>
      <c r="S379" s="5" t="str">
        <f t="shared" si="48"/>
        <v/>
      </c>
      <c r="T379" s="5" t="str">
        <f t="shared" si="49"/>
        <v/>
      </c>
      <c r="U379" s="5" t="str">
        <f t="shared" si="50"/>
        <v/>
      </c>
      <c r="V379" s="5" t="str">
        <f t="shared" si="51"/>
        <v/>
      </c>
      <c r="W379" s="5" t="str">
        <f t="shared" si="52"/>
        <v/>
      </c>
      <c r="X379" s="5" t="str">
        <f t="shared" si="53"/>
        <v/>
      </c>
    </row>
    <row r="380" spans="1:24">
      <c r="A380" s="91"/>
      <c r="B380" s="92"/>
      <c r="C380" s="69"/>
      <c r="D380" s="69"/>
      <c r="E380" s="69"/>
      <c r="F380" s="69"/>
      <c r="G380" s="70"/>
      <c r="H380" s="71"/>
      <c r="I380" s="66"/>
      <c r="J380" s="67"/>
      <c r="K380" s="67"/>
      <c r="L380" s="67"/>
      <c r="M380" s="67"/>
      <c r="N380" s="67"/>
      <c r="O380" s="67"/>
      <c r="P380" s="145" t="str">
        <f t="shared" si="45"/>
        <v/>
      </c>
      <c r="Q380" s="65" t="str">
        <f t="shared" si="46"/>
        <v/>
      </c>
      <c r="R380" s="5" t="str">
        <f t="shared" si="47"/>
        <v/>
      </c>
      <c r="S380" s="5" t="str">
        <f t="shared" si="48"/>
        <v/>
      </c>
      <c r="T380" s="5" t="str">
        <f t="shared" si="49"/>
        <v/>
      </c>
      <c r="U380" s="5" t="str">
        <f t="shared" si="50"/>
        <v/>
      </c>
      <c r="V380" s="5" t="str">
        <f t="shared" si="51"/>
        <v/>
      </c>
      <c r="W380" s="5" t="str">
        <f t="shared" si="52"/>
        <v/>
      </c>
      <c r="X380" s="5" t="str">
        <f t="shared" si="53"/>
        <v/>
      </c>
    </row>
    <row r="381" spans="1:24">
      <c r="A381" s="91"/>
      <c r="B381" s="92"/>
      <c r="C381" s="69"/>
      <c r="D381" s="69"/>
      <c r="E381" s="69"/>
      <c r="F381" s="69"/>
      <c r="G381" s="70"/>
      <c r="H381" s="71"/>
      <c r="I381" s="66"/>
      <c r="J381" s="67"/>
      <c r="K381" s="67"/>
      <c r="L381" s="67"/>
      <c r="M381" s="67"/>
      <c r="N381" s="67"/>
      <c r="O381" s="67"/>
      <c r="P381" s="145" t="str">
        <f t="shared" si="45"/>
        <v/>
      </c>
      <c r="Q381" s="65" t="str">
        <f t="shared" si="46"/>
        <v/>
      </c>
      <c r="R381" s="5" t="str">
        <f t="shared" si="47"/>
        <v/>
      </c>
      <c r="S381" s="5" t="str">
        <f t="shared" si="48"/>
        <v/>
      </c>
      <c r="T381" s="5" t="str">
        <f t="shared" si="49"/>
        <v/>
      </c>
      <c r="U381" s="5" t="str">
        <f t="shared" si="50"/>
        <v/>
      </c>
      <c r="V381" s="5" t="str">
        <f t="shared" si="51"/>
        <v/>
      </c>
      <c r="W381" s="5" t="str">
        <f t="shared" si="52"/>
        <v/>
      </c>
      <c r="X381" s="5" t="str">
        <f t="shared" si="53"/>
        <v/>
      </c>
    </row>
    <row r="382" spans="1:24">
      <c r="A382" s="91"/>
      <c r="B382" s="92"/>
      <c r="C382" s="69"/>
      <c r="D382" s="69"/>
      <c r="E382" s="69"/>
      <c r="F382" s="69"/>
      <c r="G382" s="70"/>
      <c r="H382" s="71"/>
      <c r="I382" s="66"/>
      <c r="J382" s="67"/>
      <c r="K382" s="67"/>
      <c r="L382" s="67"/>
      <c r="M382" s="67"/>
      <c r="N382" s="67"/>
      <c r="O382" s="67"/>
      <c r="P382" s="145" t="str">
        <f t="shared" si="45"/>
        <v/>
      </c>
      <c r="Q382" s="65" t="str">
        <f t="shared" si="46"/>
        <v/>
      </c>
      <c r="R382" s="5" t="str">
        <f t="shared" si="47"/>
        <v/>
      </c>
      <c r="S382" s="5" t="str">
        <f t="shared" si="48"/>
        <v/>
      </c>
      <c r="T382" s="5" t="str">
        <f t="shared" si="49"/>
        <v/>
      </c>
      <c r="U382" s="5" t="str">
        <f t="shared" si="50"/>
        <v/>
      </c>
      <c r="V382" s="5" t="str">
        <f t="shared" si="51"/>
        <v/>
      </c>
      <c r="W382" s="5" t="str">
        <f t="shared" si="52"/>
        <v/>
      </c>
      <c r="X382" s="5" t="str">
        <f t="shared" si="53"/>
        <v/>
      </c>
    </row>
    <row r="383" spans="1:24">
      <c r="A383" s="91"/>
      <c r="B383" s="92"/>
      <c r="C383" s="69"/>
      <c r="D383" s="69"/>
      <c r="E383" s="69"/>
      <c r="F383" s="69"/>
      <c r="G383" s="70"/>
      <c r="H383" s="71"/>
      <c r="I383" s="66"/>
      <c r="J383" s="67"/>
      <c r="K383" s="67"/>
      <c r="L383" s="67"/>
      <c r="M383" s="67"/>
      <c r="N383" s="67"/>
      <c r="O383" s="67"/>
      <c r="P383" s="145" t="str">
        <f t="shared" si="45"/>
        <v/>
      </c>
      <c r="Q383" s="65" t="str">
        <f t="shared" si="46"/>
        <v/>
      </c>
      <c r="R383" s="5" t="str">
        <f t="shared" si="47"/>
        <v/>
      </c>
      <c r="S383" s="5" t="str">
        <f t="shared" si="48"/>
        <v/>
      </c>
      <c r="T383" s="5" t="str">
        <f t="shared" si="49"/>
        <v/>
      </c>
      <c r="U383" s="5" t="str">
        <f t="shared" si="50"/>
        <v/>
      </c>
      <c r="V383" s="5" t="str">
        <f t="shared" si="51"/>
        <v/>
      </c>
      <c r="W383" s="5" t="str">
        <f t="shared" si="52"/>
        <v/>
      </c>
      <c r="X383" s="5" t="str">
        <f t="shared" si="53"/>
        <v/>
      </c>
    </row>
    <row r="384" spans="1:24">
      <c r="A384" s="91"/>
      <c r="B384" s="92"/>
      <c r="C384" s="69"/>
      <c r="D384" s="69"/>
      <c r="E384" s="69"/>
      <c r="F384" s="69"/>
      <c r="G384" s="70"/>
      <c r="H384" s="71"/>
      <c r="I384" s="66"/>
      <c r="J384" s="67"/>
      <c r="K384" s="67"/>
      <c r="L384" s="67"/>
      <c r="M384" s="67"/>
      <c r="N384" s="67"/>
      <c r="O384" s="67"/>
      <c r="P384" s="145" t="str">
        <f t="shared" si="45"/>
        <v/>
      </c>
      <c r="Q384" s="65" t="str">
        <f t="shared" si="46"/>
        <v/>
      </c>
      <c r="R384" s="5" t="str">
        <f t="shared" si="47"/>
        <v/>
      </c>
      <c r="S384" s="5" t="str">
        <f t="shared" si="48"/>
        <v/>
      </c>
      <c r="T384" s="5" t="str">
        <f t="shared" si="49"/>
        <v/>
      </c>
      <c r="U384" s="5" t="str">
        <f t="shared" si="50"/>
        <v/>
      </c>
      <c r="V384" s="5" t="str">
        <f t="shared" si="51"/>
        <v/>
      </c>
      <c r="W384" s="5" t="str">
        <f t="shared" si="52"/>
        <v/>
      </c>
      <c r="X384" s="5" t="str">
        <f t="shared" si="53"/>
        <v/>
      </c>
    </row>
    <row r="385" spans="1:24">
      <c r="A385" s="91"/>
      <c r="B385" s="92"/>
      <c r="C385" s="69"/>
      <c r="D385" s="69"/>
      <c r="E385" s="69"/>
      <c r="F385" s="69"/>
      <c r="G385" s="70"/>
      <c r="H385" s="71"/>
      <c r="I385" s="66"/>
      <c r="J385" s="67"/>
      <c r="K385" s="67"/>
      <c r="L385" s="67"/>
      <c r="M385" s="67"/>
      <c r="N385" s="67"/>
      <c r="O385" s="67"/>
      <c r="P385" s="145" t="str">
        <f t="shared" si="45"/>
        <v/>
      </c>
      <c r="Q385" s="65" t="str">
        <f t="shared" si="46"/>
        <v/>
      </c>
      <c r="R385" s="5" t="str">
        <f t="shared" si="47"/>
        <v/>
      </c>
      <c r="S385" s="5" t="str">
        <f t="shared" si="48"/>
        <v/>
      </c>
      <c r="T385" s="5" t="str">
        <f t="shared" si="49"/>
        <v/>
      </c>
      <c r="U385" s="5" t="str">
        <f t="shared" si="50"/>
        <v/>
      </c>
      <c r="V385" s="5" t="str">
        <f t="shared" si="51"/>
        <v/>
      </c>
      <c r="W385" s="5" t="str">
        <f t="shared" si="52"/>
        <v/>
      </c>
      <c r="X385" s="5" t="str">
        <f t="shared" si="53"/>
        <v/>
      </c>
    </row>
    <row r="386" spans="1:24">
      <c r="A386" s="91"/>
      <c r="B386" s="92"/>
      <c r="C386" s="69"/>
      <c r="D386" s="69"/>
      <c r="E386" s="69"/>
      <c r="F386" s="69"/>
      <c r="G386" s="70"/>
      <c r="H386" s="71"/>
      <c r="I386" s="66"/>
      <c r="J386" s="67"/>
      <c r="K386" s="67"/>
      <c r="L386" s="67"/>
      <c r="M386" s="67"/>
      <c r="N386" s="67"/>
      <c r="O386" s="67"/>
      <c r="P386" s="145" t="str">
        <f t="shared" si="45"/>
        <v/>
      </c>
      <c r="Q386" s="65" t="str">
        <f t="shared" si="46"/>
        <v/>
      </c>
      <c r="R386" s="5" t="str">
        <f t="shared" si="47"/>
        <v/>
      </c>
      <c r="S386" s="5" t="str">
        <f t="shared" si="48"/>
        <v/>
      </c>
      <c r="T386" s="5" t="str">
        <f t="shared" si="49"/>
        <v/>
      </c>
      <c r="U386" s="5" t="str">
        <f t="shared" si="50"/>
        <v/>
      </c>
      <c r="V386" s="5" t="str">
        <f t="shared" si="51"/>
        <v/>
      </c>
      <c r="W386" s="5" t="str">
        <f t="shared" si="52"/>
        <v/>
      </c>
      <c r="X386" s="5" t="str">
        <f t="shared" si="53"/>
        <v/>
      </c>
    </row>
    <row r="387" spans="1:24">
      <c r="A387" s="91"/>
      <c r="B387" s="92"/>
      <c r="C387" s="69"/>
      <c r="D387" s="69"/>
      <c r="E387" s="69"/>
      <c r="F387" s="69"/>
      <c r="G387" s="70"/>
      <c r="H387" s="71"/>
      <c r="I387" s="66"/>
      <c r="J387" s="67"/>
      <c r="K387" s="67"/>
      <c r="L387" s="67"/>
      <c r="M387" s="67"/>
      <c r="N387" s="67"/>
      <c r="O387" s="67"/>
      <c r="P387" s="145" t="str">
        <f t="shared" si="45"/>
        <v/>
      </c>
      <c r="Q387" s="65" t="str">
        <f t="shared" si="46"/>
        <v/>
      </c>
      <c r="R387" s="5" t="str">
        <f t="shared" si="47"/>
        <v/>
      </c>
      <c r="S387" s="5" t="str">
        <f t="shared" si="48"/>
        <v/>
      </c>
      <c r="T387" s="5" t="str">
        <f t="shared" si="49"/>
        <v/>
      </c>
      <c r="U387" s="5" t="str">
        <f t="shared" si="50"/>
        <v/>
      </c>
      <c r="V387" s="5" t="str">
        <f t="shared" si="51"/>
        <v/>
      </c>
      <c r="W387" s="5" t="str">
        <f t="shared" si="52"/>
        <v/>
      </c>
      <c r="X387" s="5" t="str">
        <f t="shared" si="53"/>
        <v/>
      </c>
    </row>
    <row r="388" spans="1:24">
      <c r="A388" s="91"/>
      <c r="B388" s="92"/>
      <c r="C388" s="69"/>
      <c r="D388" s="69"/>
      <c r="E388" s="69"/>
      <c r="F388" s="69"/>
      <c r="G388" s="70"/>
      <c r="H388" s="71"/>
      <c r="I388" s="66"/>
      <c r="J388" s="67"/>
      <c r="K388" s="67"/>
      <c r="L388" s="67"/>
      <c r="M388" s="67"/>
      <c r="N388" s="67"/>
      <c r="O388" s="67"/>
      <c r="P388" s="145" t="str">
        <f t="shared" si="45"/>
        <v/>
      </c>
      <c r="Q388" s="65" t="str">
        <f t="shared" si="46"/>
        <v/>
      </c>
      <c r="R388" s="5" t="str">
        <f t="shared" si="47"/>
        <v/>
      </c>
      <c r="S388" s="5" t="str">
        <f t="shared" si="48"/>
        <v/>
      </c>
      <c r="T388" s="5" t="str">
        <f t="shared" si="49"/>
        <v/>
      </c>
      <c r="U388" s="5" t="str">
        <f t="shared" si="50"/>
        <v/>
      </c>
      <c r="V388" s="5" t="str">
        <f t="shared" si="51"/>
        <v/>
      </c>
      <c r="W388" s="5" t="str">
        <f t="shared" si="52"/>
        <v/>
      </c>
      <c r="X388" s="5" t="str">
        <f t="shared" si="53"/>
        <v/>
      </c>
    </row>
    <row r="389" spans="1:24">
      <c r="A389" s="91"/>
      <c r="B389" s="92"/>
      <c r="C389" s="69"/>
      <c r="D389" s="69"/>
      <c r="E389" s="69"/>
      <c r="F389" s="69"/>
      <c r="G389" s="70"/>
      <c r="H389" s="71"/>
      <c r="I389" s="66"/>
      <c r="J389" s="67"/>
      <c r="K389" s="67"/>
      <c r="L389" s="67"/>
      <c r="M389" s="67"/>
      <c r="N389" s="67"/>
      <c r="O389" s="67"/>
      <c r="P389" s="145" t="str">
        <f t="shared" si="45"/>
        <v/>
      </c>
      <c r="Q389" s="65" t="str">
        <f t="shared" si="46"/>
        <v/>
      </c>
      <c r="R389" s="5" t="str">
        <f t="shared" si="47"/>
        <v/>
      </c>
      <c r="S389" s="5" t="str">
        <f t="shared" si="48"/>
        <v/>
      </c>
      <c r="T389" s="5" t="str">
        <f t="shared" si="49"/>
        <v/>
      </c>
      <c r="U389" s="5" t="str">
        <f t="shared" si="50"/>
        <v/>
      </c>
      <c r="V389" s="5" t="str">
        <f t="shared" si="51"/>
        <v/>
      </c>
      <c r="W389" s="5" t="str">
        <f t="shared" si="52"/>
        <v/>
      </c>
      <c r="X389" s="5" t="str">
        <f t="shared" si="53"/>
        <v/>
      </c>
    </row>
    <row r="390" spans="1:24">
      <c r="A390" s="91"/>
      <c r="B390" s="92"/>
      <c r="C390" s="69"/>
      <c r="D390" s="69"/>
      <c r="E390" s="69"/>
      <c r="F390" s="69"/>
      <c r="G390" s="70"/>
      <c r="H390" s="71"/>
      <c r="I390" s="66"/>
      <c r="J390" s="67"/>
      <c r="K390" s="67"/>
      <c r="L390" s="67"/>
      <c r="M390" s="67"/>
      <c r="N390" s="67"/>
      <c r="O390" s="67"/>
      <c r="P390" s="145" t="str">
        <f t="shared" si="45"/>
        <v/>
      </c>
      <c r="Q390" s="65" t="str">
        <f t="shared" si="46"/>
        <v/>
      </c>
      <c r="R390" s="5" t="str">
        <f t="shared" si="47"/>
        <v/>
      </c>
      <c r="S390" s="5" t="str">
        <f t="shared" si="48"/>
        <v/>
      </c>
      <c r="T390" s="5" t="str">
        <f t="shared" si="49"/>
        <v/>
      </c>
      <c r="U390" s="5" t="str">
        <f t="shared" si="50"/>
        <v/>
      </c>
      <c r="V390" s="5" t="str">
        <f t="shared" si="51"/>
        <v/>
      </c>
      <c r="W390" s="5" t="str">
        <f t="shared" si="52"/>
        <v/>
      </c>
      <c r="X390" s="5" t="str">
        <f t="shared" si="53"/>
        <v/>
      </c>
    </row>
    <row r="391" spans="1:24">
      <c r="A391" s="91"/>
      <c r="B391" s="92"/>
      <c r="C391" s="69"/>
      <c r="D391" s="69"/>
      <c r="E391" s="69"/>
      <c r="F391" s="69"/>
      <c r="G391" s="70"/>
      <c r="H391" s="71"/>
      <c r="I391" s="66"/>
      <c r="J391" s="67"/>
      <c r="K391" s="67"/>
      <c r="L391" s="67"/>
      <c r="M391" s="67"/>
      <c r="N391" s="67"/>
      <c r="O391" s="67"/>
      <c r="P391" s="145" t="str">
        <f t="shared" ref="P391:P430" si="54">IF($C391="","",IF($N391+$O391=0,0,$N391/($N391+$O391)))</f>
        <v/>
      </c>
      <c r="Q391" s="65" t="str">
        <f t="shared" ref="Q391:Q429" si="55">IF($C391="","",IF(TRIM($B391)="beginning",(((SUM($R391:$X391)-3371)/2251)*40)+360,IF(TRIM($B391)="middle",(((SUM($R391:$X391)-3371)/2251)*40)+400,IF(TRIM($B391)="end",(((SUM($R391:$X391)-3371)/2251)*40)+440,""))))</f>
        <v/>
      </c>
      <c r="R391" s="5" t="str">
        <f t="shared" ref="R391:R429" si="56">IF($C391="","",I391*10.72)</f>
        <v/>
      </c>
      <c r="S391" s="5" t="str">
        <f t="shared" ref="S391:S429" si="57">IF($C391="","",J391*2.13)</f>
        <v/>
      </c>
      <c r="T391" s="5" t="str">
        <f t="shared" ref="T391:T429" si="58">IF($C391="","",K391*23.13)</f>
        <v/>
      </c>
      <c r="U391" s="5" t="str">
        <f t="shared" ref="U391:U429" si="59">IF($C391="","",L391*7.79)</f>
        <v/>
      </c>
      <c r="V391" s="5" t="str">
        <f t="shared" ref="V391:V429" si="60">IF($C391="","",M391*13.51)</f>
        <v/>
      </c>
      <c r="W391" s="5" t="str">
        <f t="shared" ref="W391:W429" si="61">IF($C391="","",N391*25.36)</f>
        <v/>
      </c>
      <c r="X391" s="5" t="str">
        <f t="shared" ref="X391:X429" si="62">IF($C391="","",P391*0.25)</f>
        <v/>
      </c>
    </row>
    <row r="392" spans="1:24">
      <c r="A392" s="91"/>
      <c r="B392" s="92"/>
      <c r="C392" s="69"/>
      <c r="D392" s="69"/>
      <c r="E392" s="69"/>
      <c r="F392" s="69"/>
      <c r="G392" s="70"/>
      <c r="H392" s="71"/>
      <c r="I392" s="66"/>
      <c r="J392" s="67"/>
      <c r="K392" s="67"/>
      <c r="L392" s="67"/>
      <c r="M392" s="67"/>
      <c r="N392" s="67"/>
      <c r="O392" s="67"/>
      <c r="P392" s="145" t="str">
        <f t="shared" si="54"/>
        <v/>
      </c>
      <c r="Q392" s="65" t="str">
        <f t="shared" si="55"/>
        <v/>
      </c>
      <c r="R392" s="5" t="str">
        <f t="shared" si="56"/>
        <v/>
      </c>
      <c r="S392" s="5" t="str">
        <f t="shared" si="57"/>
        <v/>
      </c>
      <c r="T392" s="5" t="str">
        <f t="shared" si="58"/>
        <v/>
      </c>
      <c r="U392" s="5" t="str">
        <f t="shared" si="59"/>
        <v/>
      </c>
      <c r="V392" s="5" t="str">
        <f t="shared" si="60"/>
        <v/>
      </c>
      <c r="W392" s="5" t="str">
        <f t="shared" si="61"/>
        <v/>
      </c>
      <c r="X392" s="5" t="str">
        <f t="shared" si="62"/>
        <v/>
      </c>
    </row>
    <row r="393" spans="1:24">
      <c r="A393" s="91"/>
      <c r="B393" s="92"/>
      <c r="C393" s="69"/>
      <c r="D393" s="69"/>
      <c r="E393" s="69"/>
      <c r="F393" s="69"/>
      <c r="G393" s="70"/>
      <c r="H393" s="71"/>
      <c r="I393" s="66"/>
      <c r="J393" s="67"/>
      <c r="K393" s="67"/>
      <c r="L393" s="67"/>
      <c r="M393" s="67"/>
      <c r="N393" s="67"/>
      <c r="O393" s="67"/>
      <c r="P393" s="145" t="str">
        <f t="shared" si="54"/>
        <v/>
      </c>
      <c r="Q393" s="65" t="str">
        <f t="shared" si="55"/>
        <v/>
      </c>
      <c r="R393" s="5" t="str">
        <f t="shared" si="56"/>
        <v/>
      </c>
      <c r="S393" s="5" t="str">
        <f t="shared" si="57"/>
        <v/>
      </c>
      <c r="T393" s="5" t="str">
        <f t="shared" si="58"/>
        <v/>
      </c>
      <c r="U393" s="5" t="str">
        <f t="shared" si="59"/>
        <v/>
      </c>
      <c r="V393" s="5" t="str">
        <f t="shared" si="60"/>
        <v/>
      </c>
      <c r="W393" s="5" t="str">
        <f t="shared" si="61"/>
        <v/>
      </c>
      <c r="X393" s="5" t="str">
        <f t="shared" si="62"/>
        <v/>
      </c>
    </row>
    <row r="394" spans="1:24">
      <c r="A394" s="91"/>
      <c r="B394" s="92"/>
      <c r="C394" s="69"/>
      <c r="D394" s="69"/>
      <c r="E394" s="69"/>
      <c r="F394" s="69"/>
      <c r="G394" s="70"/>
      <c r="H394" s="71"/>
      <c r="I394" s="66"/>
      <c r="J394" s="67"/>
      <c r="K394" s="67"/>
      <c r="L394" s="67"/>
      <c r="M394" s="67"/>
      <c r="N394" s="67"/>
      <c r="O394" s="67"/>
      <c r="P394" s="145" t="str">
        <f t="shared" si="54"/>
        <v/>
      </c>
      <c r="Q394" s="65" t="str">
        <f t="shared" si="55"/>
        <v/>
      </c>
      <c r="R394" s="5" t="str">
        <f t="shared" si="56"/>
        <v/>
      </c>
      <c r="S394" s="5" t="str">
        <f t="shared" si="57"/>
        <v/>
      </c>
      <c r="T394" s="5" t="str">
        <f t="shared" si="58"/>
        <v/>
      </c>
      <c r="U394" s="5" t="str">
        <f t="shared" si="59"/>
        <v/>
      </c>
      <c r="V394" s="5" t="str">
        <f t="shared" si="60"/>
        <v/>
      </c>
      <c r="W394" s="5" t="str">
        <f t="shared" si="61"/>
        <v/>
      </c>
      <c r="X394" s="5" t="str">
        <f t="shared" si="62"/>
        <v/>
      </c>
    </row>
    <row r="395" spans="1:24">
      <c r="A395" s="91"/>
      <c r="B395" s="92"/>
      <c r="C395" s="69"/>
      <c r="D395" s="69"/>
      <c r="E395" s="69"/>
      <c r="F395" s="69"/>
      <c r="G395" s="70"/>
      <c r="H395" s="71"/>
      <c r="I395" s="66"/>
      <c r="J395" s="67"/>
      <c r="K395" s="67"/>
      <c r="L395" s="67"/>
      <c r="M395" s="67"/>
      <c r="N395" s="67"/>
      <c r="O395" s="67"/>
      <c r="P395" s="145" t="str">
        <f t="shared" si="54"/>
        <v/>
      </c>
      <c r="Q395" s="65" t="str">
        <f t="shared" si="55"/>
        <v/>
      </c>
      <c r="R395" s="5" t="str">
        <f t="shared" si="56"/>
        <v/>
      </c>
      <c r="S395" s="5" t="str">
        <f t="shared" si="57"/>
        <v/>
      </c>
      <c r="T395" s="5" t="str">
        <f t="shared" si="58"/>
        <v/>
      </c>
      <c r="U395" s="5" t="str">
        <f t="shared" si="59"/>
        <v/>
      </c>
      <c r="V395" s="5" t="str">
        <f t="shared" si="60"/>
        <v/>
      </c>
      <c r="W395" s="5" t="str">
        <f t="shared" si="61"/>
        <v/>
      </c>
      <c r="X395" s="5" t="str">
        <f t="shared" si="62"/>
        <v/>
      </c>
    </row>
    <row r="396" spans="1:24">
      <c r="A396" s="91"/>
      <c r="B396" s="92"/>
      <c r="C396" s="69"/>
      <c r="D396" s="69"/>
      <c r="E396" s="69"/>
      <c r="F396" s="69"/>
      <c r="G396" s="70"/>
      <c r="H396" s="71"/>
      <c r="I396" s="66"/>
      <c r="J396" s="67"/>
      <c r="K396" s="67"/>
      <c r="L396" s="67"/>
      <c r="M396" s="67"/>
      <c r="N396" s="67"/>
      <c r="O396" s="67"/>
      <c r="P396" s="145" t="str">
        <f t="shared" si="54"/>
        <v/>
      </c>
      <c r="Q396" s="65" t="str">
        <f t="shared" si="55"/>
        <v/>
      </c>
      <c r="R396" s="5" t="str">
        <f t="shared" si="56"/>
        <v/>
      </c>
      <c r="S396" s="5" t="str">
        <f t="shared" si="57"/>
        <v/>
      </c>
      <c r="T396" s="5" t="str">
        <f t="shared" si="58"/>
        <v/>
      </c>
      <c r="U396" s="5" t="str">
        <f t="shared" si="59"/>
        <v/>
      </c>
      <c r="V396" s="5" t="str">
        <f t="shared" si="60"/>
        <v/>
      </c>
      <c r="W396" s="5" t="str">
        <f t="shared" si="61"/>
        <v/>
      </c>
      <c r="X396" s="5" t="str">
        <f t="shared" si="62"/>
        <v/>
      </c>
    </row>
    <row r="397" spans="1:24">
      <c r="A397" s="91"/>
      <c r="B397" s="92"/>
      <c r="C397" s="69"/>
      <c r="D397" s="69"/>
      <c r="E397" s="69"/>
      <c r="F397" s="69"/>
      <c r="G397" s="70"/>
      <c r="H397" s="71"/>
      <c r="I397" s="66"/>
      <c r="J397" s="67"/>
      <c r="K397" s="67"/>
      <c r="L397" s="67"/>
      <c r="M397" s="67"/>
      <c r="N397" s="67"/>
      <c r="O397" s="67"/>
      <c r="P397" s="145" t="str">
        <f t="shared" si="54"/>
        <v/>
      </c>
      <c r="Q397" s="65" t="str">
        <f t="shared" si="55"/>
        <v/>
      </c>
      <c r="R397" s="5" t="str">
        <f t="shared" si="56"/>
        <v/>
      </c>
      <c r="S397" s="5" t="str">
        <f t="shared" si="57"/>
        <v/>
      </c>
      <c r="T397" s="5" t="str">
        <f t="shared" si="58"/>
        <v/>
      </c>
      <c r="U397" s="5" t="str">
        <f t="shared" si="59"/>
        <v/>
      </c>
      <c r="V397" s="5" t="str">
        <f t="shared" si="60"/>
        <v/>
      </c>
      <c r="W397" s="5" t="str">
        <f t="shared" si="61"/>
        <v/>
      </c>
      <c r="X397" s="5" t="str">
        <f t="shared" si="62"/>
        <v/>
      </c>
    </row>
    <row r="398" spans="1:24">
      <c r="A398" s="91"/>
      <c r="B398" s="92"/>
      <c r="C398" s="69"/>
      <c r="D398" s="69"/>
      <c r="E398" s="69"/>
      <c r="F398" s="69"/>
      <c r="G398" s="70"/>
      <c r="H398" s="71"/>
      <c r="I398" s="66"/>
      <c r="J398" s="67"/>
      <c r="K398" s="67"/>
      <c r="L398" s="67"/>
      <c r="M398" s="67"/>
      <c r="N398" s="67"/>
      <c r="O398" s="67"/>
      <c r="P398" s="145" t="str">
        <f t="shared" si="54"/>
        <v/>
      </c>
      <c r="Q398" s="65" t="str">
        <f t="shared" si="55"/>
        <v/>
      </c>
      <c r="R398" s="5" t="str">
        <f t="shared" si="56"/>
        <v/>
      </c>
      <c r="S398" s="5" t="str">
        <f t="shared" si="57"/>
        <v/>
      </c>
      <c r="T398" s="5" t="str">
        <f t="shared" si="58"/>
        <v/>
      </c>
      <c r="U398" s="5" t="str">
        <f t="shared" si="59"/>
        <v/>
      </c>
      <c r="V398" s="5" t="str">
        <f t="shared" si="60"/>
        <v/>
      </c>
      <c r="W398" s="5" t="str">
        <f t="shared" si="61"/>
        <v/>
      </c>
      <c r="X398" s="5" t="str">
        <f t="shared" si="62"/>
        <v/>
      </c>
    </row>
    <row r="399" spans="1:24">
      <c r="A399" s="91"/>
      <c r="B399" s="92"/>
      <c r="C399" s="69"/>
      <c r="D399" s="69"/>
      <c r="E399" s="69"/>
      <c r="F399" s="69"/>
      <c r="G399" s="70"/>
      <c r="H399" s="71"/>
      <c r="I399" s="66"/>
      <c r="J399" s="67"/>
      <c r="K399" s="67"/>
      <c r="L399" s="67"/>
      <c r="M399" s="67"/>
      <c r="N399" s="67"/>
      <c r="O399" s="67"/>
      <c r="P399" s="145" t="str">
        <f t="shared" si="54"/>
        <v/>
      </c>
      <c r="Q399" s="65" t="str">
        <f t="shared" si="55"/>
        <v/>
      </c>
      <c r="R399" s="5" t="str">
        <f t="shared" si="56"/>
        <v/>
      </c>
      <c r="S399" s="5" t="str">
        <f t="shared" si="57"/>
        <v/>
      </c>
      <c r="T399" s="5" t="str">
        <f t="shared" si="58"/>
        <v/>
      </c>
      <c r="U399" s="5" t="str">
        <f t="shared" si="59"/>
        <v/>
      </c>
      <c r="V399" s="5" t="str">
        <f t="shared" si="60"/>
        <v/>
      </c>
      <c r="W399" s="5" t="str">
        <f t="shared" si="61"/>
        <v/>
      </c>
      <c r="X399" s="5" t="str">
        <f t="shared" si="62"/>
        <v/>
      </c>
    </row>
    <row r="400" spans="1:24">
      <c r="A400" s="91"/>
      <c r="B400" s="92"/>
      <c r="C400" s="69"/>
      <c r="D400" s="69"/>
      <c r="E400" s="69"/>
      <c r="F400" s="69"/>
      <c r="G400" s="70"/>
      <c r="H400" s="71"/>
      <c r="I400" s="66"/>
      <c r="J400" s="67"/>
      <c r="K400" s="67"/>
      <c r="L400" s="67"/>
      <c r="M400" s="67"/>
      <c r="N400" s="67"/>
      <c r="O400" s="67"/>
      <c r="P400" s="145" t="str">
        <f t="shared" si="54"/>
        <v/>
      </c>
      <c r="Q400" s="65" t="str">
        <f t="shared" si="55"/>
        <v/>
      </c>
      <c r="R400" s="5" t="str">
        <f t="shared" si="56"/>
        <v/>
      </c>
      <c r="S400" s="5" t="str">
        <f t="shared" si="57"/>
        <v/>
      </c>
      <c r="T400" s="5" t="str">
        <f t="shared" si="58"/>
        <v/>
      </c>
      <c r="U400" s="5" t="str">
        <f t="shared" si="59"/>
        <v/>
      </c>
      <c r="V400" s="5" t="str">
        <f t="shared" si="60"/>
        <v/>
      </c>
      <c r="W400" s="5" t="str">
        <f t="shared" si="61"/>
        <v/>
      </c>
      <c r="X400" s="5" t="str">
        <f t="shared" si="62"/>
        <v/>
      </c>
    </row>
    <row r="401" spans="1:24">
      <c r="A401" s="91"/>
      <c r="B401" s="92"/>
      <c r="C401" s="69"/>
      <c r="D401" s="69"/>
      <c r="E401" s="69"/>
      <c r="F401" s="69"/>
      <c r="G401" s="70"/>
      <c r="H401" s="71"/>
      <c r="I401" s="66"/>
      <c r="J401" s="67"/>
      <c r="K401" s="67"/>
      <c r="L401" s="67"/>
      <c r="M401" s="67"/>
      <c r="N401" s="67"/>
      <c r="O401" s="67"/>
      <c r="P401" s="145" t="str">
        <f t="shared" si="54"/>
        <v/>
      </c>
      <c r="Q401" s="65" t="str">
        <f t="shared" si="55"/>
        <v/>
      </c>
      <c r="R401" s="5" t="str">
        <f t="shared" si="56"/>
        <v/>
      </c>
      <c r="S401" s="5" t="str">
        <f t="shared" si="57"/>
        <v/>
      </c>
      <c r="T401" s="5" t="str">
        <f t="shared" si="58"/>
        <v/>
      </c>
      <c r="U401" s="5" t="str">
        <f t="shared" si="59"/>
        <v/>
      </c>
      <c r="V401" s="5" t="str">
        <f t="shared" si="60"/>
        <v/>
      </c>
      <c r="W401" s="5" t="str">
        <f t="shared" si="61"/>
        <v/>
      </c>
      <c r="X401" s="5" t="str">
        <f t="shared" si="62"/>
        <v/>
      </c>
    </row>
    <row r="402" spans="1:24">
      <c r="A402" s="91"/>
      <c r="B402" s="92"/>
      <c r="C402" s="69"/>
      <c r="D402" s="69"/>
      <c r="E402" s="69"/>
      <c r="F402" s="69"/>
      <c r="G402" s="70"/>
      <c r="H402" s="71"/>
      <c r="I402" s="66"/>
      <c r="J402" s="67"/>
      <c r="K402" s="67"/>
      <c r="L402" s="67"/>
      <c r="M402" s="67"/>
      <c r="N402" s="67"/>
      <c r="O402" s="67"/>
      <c r="P402" s="145" t="str">
        <f t="shared" si="54"/>
        <v/>
      </c>
      <c r="Q402" s="65" t="str">
        <f t="shared" si="55"/>
        <v/>
      </c>
      <c r="R402" s="5" t="str">
        <f t="shared" si="56"/>
        <v/>
      </c>
      <c r="S402" s="5" t="str">
        <f t="shared" si="57"/>
        <v/>
      </c>
      <c r="T402" s="5" t="str">
        <f t="shared" si="58"/>
        <v/>
      </c>
      <c r="U402" s="5" t="str">
        <f t="shared" si="59"/>
        <v/>
      </c>
      <c r="V402" s="5" t="str">
        <f t="shared" si="60"/>
        <v/>
      </c>
      <c r="W402" s="5" t="str">
        <f t="shared" si="61"/>
        <v/>
      </c>
      <c r="X402" s="5" t="str">
        <f t="shared" si="62"/>
        <v/>
      </c>
    </row>
    <row r="403" spans="1:24">
      <c r="A403" s="91"/>
      <c r="B403" s="92"/>
      <c r="C403" s="69"/>
      <c r="D403" s="69"/>
      <c r="E403" s="69"/>
      <c r="F403" s="69"/>
      <c r="G403" s="70"/>
      <c r="H403" s="71"/>
      <c r="I403" s="66"/>
      <c r="J403" s="67"/>
      <c r="K403" s="67"/>
      <c r="L403" s="67"/>
      <c r="M403" s="67"/>
      <c r="N403" s="67"/>
      <c r="O403" s="67"/>
      <c r="P403" s="145" t="str">
        <f t="shared" si="54"/>
        <v/>
      </c>
      <c r="Q403" s="65" t="str">
        <f t="shared" si="55"/>
        <v/>
      </c>
      <c r="R403" s="5" t="str">
        <f t="shared" si="56"/>
        <v/>
      </c>
      <c r="S403" s="5" t="str">
        <f t="shared" si="57"/>
        <v/>
      </c>
      <c r="T403" s="5" t="str">
        <f t="shared" si="58"/>
        <v/>
      </c>
      <c r="U403" s="5" t="str">
        <f t="shared" si="59"/>
        <v/>
      </c>
      <c r="V403" s="5" t="str">
        <f t="shared" si="60"/>
        <v/>
      </c>
      <c r="W403" s="5" t="str">
        <f t="shared" si="61"/>
        <v/>
      </c>
      <c r="X403" s="5" t="str">
        <f t="shared" si="62"/>
        <v/>
      </c>
    </row>
    <row r="404" spans="1:24">
      <c r="A404" s="91"/>
      <c r="B404" s="92"/>
      <c r="C404" s="69"/>
      <c r="D404" s="69"/>
      <c r="E404" s="69"/>
      <c r="F404" s="69"/>
      <c r="G404" s="70"/>
      <c r="H404" s="71"/>
      <c r="I404" s="66"/>
      <c r="J404" s="67"/>
      <c r="K404" s="67"/>
      <c r="L404" s="67"/>
      <c r="M404" s="67"/>
      <c r="N404" s="67"/>
      <c r="O404" s="67"/>
      <c r="P404" s="145" t="str">
        <f t="shared" si="54"/>
        <v/>
      </c>
      <c r="Q404" s="65" t="str">
        <f t="shared" si="55"/>
        <v/>
      </c>
      <c r="R404" s="5" t="str">
        <f t="shared" si="56"/>
        <v/>
      </c>
      <c r="S404" s="5" t="str">
        <f t="shared" si="57"/>
        <v/>
      </c>
      <c r="T404" s="5" t="str">
        <f t="shared" si="58"/>
        <v/>
      </c>
      <c r="U404" s="5" t="str">
        <f t="shared" si="59"/>
        <v/>
      </c>
      <c r="V404" s="5" t="str">
        <f t="shared" si="60"/>
        <v/>
      </c>
      <c r="W404" s="5" t="str">
        <f t="shared" si="61"/>
        <v/>
      </c>
      <c r="X404" s="5" t="str">
        <f t="shared" si="62"/>
        <v/>
      </c>
    </row>
    <row r="405" spans="1:24">
      <c r="A405" s="91"/>
      <c r="B405" s="92"/>
      <c r="C405" s="69"/>
      <c r="D405" s="69"/>
      <c r="E405" s="69"/>
      <c r="F405" s="69"/>
      <c r="G405" s="70"/>
      <c r="H405" s="71"/>
      <c r="I405" s="66"/>
      <c r="J405" s="67"/>
      <c r="K405" s="67"/>
      <c r="L405" s="67"/>
      <c r="M405" s="67"/>
      <c r="N405" s="67"/>
      <c r="O405" s="67"/>
      <c r="P405" s="145" t="str">
        <f t="shared" si="54"/>
        <v/>
      </c>
      <c r="Q405" s="65" t="str">
        <f t="shared" si="55"/>
        <v/>
      </c>
      <c r="R405" s="5" t="str">
        <f t="shared" si="56"/>
        <v/>
      </c>
      <c r="S405" s="5" t="str">
        <f t="shared" si="57"/>
        <v/>
      </c>
      <c r="T405" s="5" t="str">
        <f t="shared" si="58"/>
        <v/>
      </c>
      <c r="U405" s="5" t="str">
        <f t="shared" si="59"/>
        <v/>
      </c>
      <c r="V405" s="5" t="str">
        <f t="shared" si="60"/>
        <v/>
      </c>
      <c r="W405" s="5" t="str">
        <f t="shared" si="61"/>
        <v/>
      </c>
      <c r="X405" s="5" t="str">
        <f t="shared" si="62"/>
        <v/>
      </c>
    </row>
    <row r="406" spans="1:24">
      <c r="A406" s="91"/>
      <c r="B406" s="92"/>
      <c r="C406" s="69"/>
      <c r="D406" s="69"/>
      <c r="E406" s="69"/>
      <c r="F406" s="69"/>
      <c r="G406" s="70"/>
      <c r="H406" s="71"/>
      <c r="I406" s="66"/>
      <c r="J406" s="67"/>
      <c r="K406" s="67"/>
      <c r="L406" s="67"/>
      <c r="M406" s="67"/>
      <c r="N406" s="67"/>
      <c r="O406" s="67"/>
      <c r="P406" s="145" t="str">
        <f t="shared" si="54"/>
        <v/>
      </c>
      <c r="Q406" s="65" t="str">
        <f t="shared" si="55"/>
        <v/>
      </c>
      <c r="R406" s="5" t="str">
        <f t="shared" si="56"/>
        <v/>
      </c>
      <c r="S406" s="5" t="str">
        <f t="shared" si="57"/>
        <v/>
      </c>
      <c r="T406" s="5" t="str">
        <f t="shared" si="58"/>
        <v/>
      </c>
      <c r="U406" s="5" t="str">
        <f t="shared" si="59"/>
        <v/>
      </c>
      <c r="V406" s="5" t="str">
        <f t="shared" si="60"/>
        <v/>
      </c>
      <c r="W406" s="5" t="str">
        <f t="shared" si="61"/>
        <v/>
      </c>
      <c r="X406" s="5" t="str">
        <f t="shared" si="62"/>
        <v/>
      </c>
    </row>
    <row r="407" spans="1:24">
      <c r="A407" s="91"/>
      <c r="B407" s="92"/>
      <c r="C407" s="69"/>
      <c r="D407" s="69"/>
      <c r="E407" s="69"/>
      <c r="F407" s="69"/>
      <c r="G407" s="70"/>
      <c r="H407" s="71"/>
      <c r="I407" s="66"/>
      <c r="J407" s="67"/>
      <c r="K407" s="67"/>
      <c r="L407" s="67"/>
      <c r="M407" s="67"/>
      <c r="N407" s="67"/>
      <c r="O407" s="67"/>
      <c r="P407" s="145" t="str">
        <f t="shared" si="54"/>
        <v/>
      </c>
      <c r="Q407" s="65" t="str">
        <f t="shared" si="55"/>
        <v/>
      </c>
      <c r="R407" s="5" t="str">
        <f t="shared" si="56"/>
        <v/>
      </c>
      <c r="S407" s="5" t="str">
        <f t="shared" si="57"/>
        <v/>
      </c>
      <c r="T407" s="5" t="str">
        <f t="shared" si="58"/>
        <v/>
      </c>
      <c r="U407" s="5" t="str">
        <f t="shared" si="59"/>
        <v/>
      </c>
      <c r="V407" s="5" t="str">
        <f t="shared" si="60"/>
        <v/>
      </c>
      <c r="W407" s="5" t="str">
        <f t="shared" si="61"/>
        <v/>
      </c>
      <c r="X407" s="5" t="str">
        <f t="shared" si="62"/>
        <v/>
      </c>
    </row>
    <row r="408" spans="1:24">
      <c r="A408" s="91"/>
      <c r="B408" s="92"/>
      <c r="C408" s="69"/>
      <c r="D408" s="69"/>
      <c r="E408" s="69"/>
      <c r="F408" s="69"/>
      <c r="G408" s="70"/>
      <c r="H408" s="71"/>
      <c r="I408" s="66"/>
      <c r="J408" s="67"/>
      <c r="K408" s="67"/>
      <c r="L408" s="67"/>
      <c r="M408" s="67"/>
      <c r="N408" s="67"/>
      <c r="O408" s="67"/>
      <c r="P408" s="145" t="str">
        <f t="shared" si="54"/>
        <v/>
      </c>
      <c r="Q408" s="65" t="str">
        <f t="shared" si="55"/>
        <v/>
      </c>
      <c r="R408" s="5" t="str">
        <f t="shared" si="56"/>
        <v/>
      </c>
      <c r="S408" s="5" t="str">
        <f t="shared" si="57"/>
        <v/>
      </c>
      <c r="T408" s="5" t="str">
        <f t="shared" si="58"/>
        <v/>
      </c>
      <c r="U408" s="5" t="str">
        <f t="shared" si="59"/>
        <v/>
      </c>
      <c r="V408" s="5" t="str">
        <f t="shared" si="60"/>
        <v/>
      </c>
      <c r="W408" s="5" t="str">
        <f t="shared" si="61"/>
        <v/>
      </c>
      <c r="X408" s="5" t="str">
        <f t="shared" si="62"/>
        <v/>
      </c>
    </row>
    <row r="409" spans="1:24">
      <c r="A409" s="91"/>
      <c r="B409" s="92"/>
      <c r="C409" s="69"/>
      <c r="D409" s="69"/>
      <c r="E409" s="69"/>
      <c r="F409" s="69"/>
      <c r="G409" s="70"/>
      <c r="H409" s="71"/>
      <c r="I409" s="66"/>
      <c r="J409" s="67"/>
      <c r="K409" s="67"/>
      <c r="L409" s="67"/>
      <c r="M409" s="67"/>
      <c r="N409" s="67"/>
      <c r="O409" s="67"/>
      <c r="P409" s="145" t="str">
        <f t="shared" si="54"/>
        <v/>
      </c>
      <c r="Q409" s="65" t="str">
        <f t="shared" si="55"/>
        <v/>
      </c>
      <c r="R409" s="5" t="str">
        <f t="shared" si="56"/>
        <v/>
      </c>
      <c r="S409" s="5" t="str">
        <f t="shared" si="57"/>
        <v/>
      </c>
      <c r="T409" s="5" t="str">
        <f t="shared" si="58"/>
        <v/>
      </c>
      <c r="U409" s="5" t="str">
        <f t="shared" si="59"/>
        <v/>
      </c>
      <c r="V409" s="5" t="str">
        <f t="shared" si="60"/>
        <v/>
      </c>
      <c r="W409" s="5" t="str">
        <f t="shared" si="61"/>
        <v/>
      </c>
      <c r="X409" s="5" t="str">
        <f t="shared" si="62"/>
        <v/>
      </c>
    </row>
    <row r="410" spans="1:24">
      <c r="A410" s="91"/>
      <c r="B410" s="92"/>
      <c r="C410" s="69"/>
      <c r="D410" s="69"/>
      <c r="E410" s="69"/>
      <c r="F410" s="69"/>
      <c r="G410" s="70"/>
      <c r="H410" s="71"/>
      <c r="I410" s="66"/>
      <c r="J410" s="67"/>
      <c r="K410" s="67"/>
      <c r="L410" s="67"/>
      <c r="M410" s="67"/>
      <c r="N410" s="67"/>
      <c r="O410" s="67"/>
      <c r="P410" s="145" t="str">
        <f t="shared" si="54"/>
        <v/>
      </c>
      <c r="Q410" s="65" t="str">
        <f t="shared" si="55"/>
        <v/>
      </c>
      <c r="R410" s="5" t="str">
        <f t="shared" si="56"/>
        <v/>
      </c>
      <c r="S410" s="5" t="str">
        <f t="shared" si="57"/>
        <v/>
      </c>
      <c r="T410" s="5" t="str">
        <f t="shared" si="58"/>
        <v/>
      </c>
      <c r="U410" s="5" t="str">
        <f t="shared" si="59"/>
        <v/>
      </c>
      <c r="V410" s="5" t="str">
        <f t="shared" si="60"/>
        <v/>
      </c>
      <c r="W410" s="5" t="str">
        <f t="shared" si="61"/>
        <v/>
      </c>
      <c r="X410" s="5" t="str">
        <f t="shared" si="62"/>
        <v/>
      </c>
    </row>
    <row r="411" spans="1:24">
      <c r="A411" s="91"/>
      <c r="B411" s="92"/>
      <c r="C411" s="69"/>
      <c r="D411" s="69"/>
      <c r="E411" s="69"/>
      <c r="F411" s="69"/>
      <c r="G411" s="70"/>
      <c r="H411" s="71"/>
      <c r="I411" s="66"/>
      <c r="J411" s="67"/>
      <c r="K411" s="67"/>
      <c r="L411" s="67"/>
      <c r="M411" s="67"/>
      <c r="N411" s="67"/>
      <c r="O411" s="67"/>
      <c r="P411" s="145" t="str">
        <f t="shared" si="54"/>
        <v/>
      </c>
      <c r="Q411" s="65" t="str">
        <f t="shared" si="55"/>
        <v/>
      </c>
      <c r="R411" s="5" t="str">
        <f t="shared" si="56"/>
        <v/>
      </c>
      <c r="S411" s="5" t="str">
        <f t="shared" si="57"/>
        <v/>
      </c>
      <c r="T411" s="5" t="str">
        <f t="shared" si="58"/>
        <v/>
      </c>
      <c r="U411" s="5" t="str">
        <f t="shared" si="59"/>
        <v/>
      </c>
      <c r="V411" s="5" t="str">
        <f t="shared" si="60"/>
        <v/>
      </c>
      <c r="W411" s="5" t="str">
        <f t="shared" si="61"/>
        <v/>
      </c>
      <c r="X411" s="5" t="str">
        <f t="shared" si="62"/>
        <v/>
      </c>
    </row>
    <row r="412" spans="1:24">
      <c r="A412" s="91"/>
      <c r="B412" s="92"/>
      <c r="C412" s="69"/>
      <c r="D412" s="69"/>
      <c r="E412" s="69"/>
      <c r="F412" s="69"/>
      <c r="G412" s="70"/>
      <c r="H412" s="71"/>
      <c r="I412" s="66"/>
      <c r="J412" s="67"/>
      <c r="K412" s="67"/>
      <c r="L412" s="67"/>
      <c r="M412" s="67"/>
      <c r="N412" s="67"/>
      <c r="O412" s="67"/>
      <c r="P412" s="145" t="str">
        <f t="shared" si="54"/>
        <v/>
      </c>
      <c r="Q412" s="65" t="str">
        <f t="shared" si="55"/>
        <v/>
      </c>
      <c r="R412" s="5" t="str">
        <f t="shared" si="56"/>
        <v/>
      </c>
      <c r="S412" s="5" t="str">
        <f t="shared" si="57"/>
        <v/>
      </c>
      <c r="T412" s="5" t="str">
        <f t="shared" si="58"/>
        <v/>
      </c>
      <c r="U412" s="5" t="str">
        <f t="shared" si="59"/>
        <v/>
      </c>
      <c r="V412" s="5" t="str">
        <f t="shared" si="60"/>
        <v/>
      </c>
      <c r="W412" s="5" t="str">
        <f t="shared" si="61"/>
        <v/>
      </c>
      <c r="X412" s="5" t="str">
        <f t="shared" si="62"/>
        <v/>
      </c>
    </row>
    <row r="413" spans="1:24">
      <c r="A413" s="91"/>
      <c r="B413" s="92"/>
      <c r="C413" s="69"/>
      <c r="D413" s="69"/>
      <c r="E413" s="69"/>
      <c r="F413" s="69"/>
      <c r="G413" s="70"/>
      <c r="H413" s="71"/>
      <c r="I413" s="66"/>
      <c r="J413" s="67"/>
      <c r="K413" s="67"/>
      <c r="L413" s="67"/>
      <c r="M413" s="67"/>
      <c r="N413" s="67"/>
      <c r="O413" s="67"/>
      <c r="P413" s="145" t="str">
        <f t="shared" si="54"/>
        <v/>
      </c>
      <c r="Q413" s="65" t="str">
        <f t="shared" si="55"/>
        <v/>
      </c>
      <c r="R413" s="5" t="str">
        <f t="shared" si="56"/>
        <v/>
      </c>
      <c r="S413" s="5" t="str">
        <f t="shared" si="57"/>
        <v/>
      </c>
      <c r="T413" s="5" t="str">
        <f t="shared" si="58"/>
        <v/>
      </c>
      <c r="U413" s="5" t="str">
        <f t="shared" si="59"/>
        <v/>
      </c>
      <c r="V413" s="5" t="str">
        <f t="shared" si="60"/>
        <v/>
      </c>
      <c r="W413" s="5" t="str">
        <f t="shared" si="61"/>
        <v/>
      </c>
      <c r="X413" s="5" t="str">
        <f t="shared" si="62"/>
        <v/>
      </c>
    </row>
    <row r="414" spans="1:24">
      <c r="A414" s="91"/>
      <c r="B414" s="92"/>
      <c r="C414" s="69"/>
      <c r="D414" s="69"/>
      <c r="E414" s="69"/>
      <c r="F414" s="69"/>
      <c r="G414" s="70"/>
      <c r="H414" s="71"/>
      <c r="I414" s="66"/>
      <c r="J414" s="67"/>
      <c r="K414" s="67"/>
      <c r="L414" s="67"/>
      <c r="M414" s="67"/>
      <c r="N414" s="67"/>
      <c r="O414" s="67"/>
      <c r="P414" s="145" t="str">
        <f t="shared" si="54"/>
        <v/>
      </c>
      <c r="Q414" s="65" t="str">
        <f t="shared" si="55"/>
        <v/>
      </c>
      <c r="R414" s="5" t="str">
        <f t="shared" si="56"/>
        <v/>
      </c>
      <c r="S414" s="5" t="str">
        <f t="shared" si="57"/>
        <v/>
      </c>
      <c r="T414" s="5" t="str">
        <f t="shared" si="58"/>
        <v/>
      </c>
      <c r="U414" s="5" t="str">
        <f t="shared" si="59"/>
        <v/>
      </c>
      <c r="V414" s="5" t="str">
        <f t="shared" si="60"/>
        <v/>
      </c>
      <c r="W414" s="5" t="str">
        <f t="shared" si="61"/>
        <v/>
      </c>
      <c r="X414" s="5" t="str">
        <f t="shared" si="62"/>
        <v/>
      </c>
    </row>
    <row r="415" spans="1:24">
      <c r="A415" s="91"/>
      <c r="B415" s="92"/>
      <c r="C415" s="69"/>
      <c r="D415" s="69"/>
      <c r="E415" s="69"/>
      <c r="F415" s="69"/>
      <c r="G415" s="70"/>
      <c r="H415" s="71"/>
      <c r="I415" s="66"/>
      <c r="J415" s="67"/>
      <c r="K415" s="67"/>
      <c r="L415" s="67"/>
      <c r="M415" s="67"/>
      <c r="N415" s="67"/>
      <c r="O415" s="67"/>
      <c r="P415" s="145" t="str">
        <f t="shared" si="54"/>
        <v/>
      </c>
      <c r="Q415" s="65" t="str">
        <f t="shared" si="55"/>
        <v/>
      </c>
      <c r="R415" s="5" t="str">
        <f t="shared" si="56"/>
        <v/>
      </c>
      <c r="S415" s="5" t="str">
        <f t="shared" si="57"/>
        <v/>
      </c>
      <c r="T415" s="5" t="str">
        <f t="shared" si="58"/>
        <v/>
      </c>
      <c r="U415" s="5" t="str">
        <f t="shared" si="59"/>
        <v/>
      </c>
      <c r="V415" s="5" t="str">
        <f t="shared" si="60"/>
        <v/>
      </c>
      <c r="W415" s="5" t="str">
        <f t="shared" si="61"/>
        <v/>
      </c>
      <c r="X415" s="5" t="str">
        <f t="shared" si="62"/>
        <v/>
      </c>
    </row>
    <row r="416" spans="1:24">
      <c r="A416" s="91"/>
      <c r="B416" s="92"/>
      <c r="C416" s="69"/>
      <c r="D416" s="69"/>
      <c r="E416" s="69"/>
      <c r="F416" s="69"/>
      <c r="G416" s="70"/>
      <c r="H416" s="71"/>
      <c r="I416" s="66"/>
      <c r="J416" s="67"/>
      <c r="K416" s="67"/>
      <c r="L416" s="67"/>
      <c r="M416" s="67"/>
      <c r="N416" s="67"/>
      <c r="O416" s="67"/>
      <c r="P416" s="145" t="str">
        <f t="shared" si="54"/>
        <v/>
      </c>
      <c r="Q416" s="65" t="str">
        <f t="shared" si="55"/>
        <v/>
      </c>
      <c r="R416" s="5" t="str">
        <f t="shared" si="56"/>
        <v/>
      </c>
      <c r="S416" s="5" t="str">
        <f t="shared" si="57"/>
        <v/>
      </c>
      <c r="T416" s="5" t="str">
        <f t="shared" si="58"/>
        <v/>
      </c>
      <c r="U416" s="5" t="str">
        <f t="shared" si="59"/>
        <v/>
      </c>
      <c r="V416" s="5" t="str">
        <f t="shared" si="60"/>
        <v/>
      </c>
      <c r="W416" s="5" t="str">
        <f t="shared" si="61"/>
        <v/>
      </c>
      <c r="X416" s="5" t="str">
        <f t="shared" si="62"/>
        <v/>
      </c>
    </row>
    <row r="417" spans="1:24">
      <c r="A417" s="91"/>
      <c r="B417" s="92"/>
      <c r="C417" s="69"/>
      <c r="D417" s="69"/>
      <c r="E417" s="69"/>
      <c r="F417" s="69"/>
      <c r="G417" s="70"/>
      <c r="H417" s="71"/>
      <c r="I417" s="66"/>
      <c r="J417" s="67"/>
      <c r="K417" s="67"/>
      <c r="L417" s="67"/>
      <c r="M417" s="67"/>
      <c r="N417" s="67"/>
      <c r="O417" s="67"/>
      <c r="P417" s="145" t="str">
        <f t="shared" si="54"/>
        <v/>
      </c>
      <c r="Q417" s="65" t="str">
        <f t="shared" si="55"/>
        <v/>
      </c>
      <c r="R417" s="5" t="str">
        <f t="shared" si="56"/>
        <v/>
      </c>
      <c r="S417" s="5" t="str">
        <f t="shared" si="57"/>
        <v/>
      </c>
      <c r="T417" s="5" t="str">
        <f t="shared" si="58"/>
        <v/>
      </c>
      <c r="U417" s="5" t="str">
        <f t="shared" si="59"/>
        <v/>
      </c>
      <c r="V417" s="5" t="str">
        <f t="shared" si="60"/>
        <v/>
      </c>
      <c r="W417" s="5" t="str">
        <f t="shared" si="61"/>
        <v/>
      </c>
      <c r="X417" s="5" t="str">
        <f t="shared" si="62"/>
        <v/>
      </c>
    </row>
    <row r="418" spans="1:24">
      <c r="A418" s="91"/>
      <c r="B418" s="92"/>
      <c r="C418" s="69"/>
      <c r="D418" s="69"/>
      <c r="E418" s="69"/>
      <c r="F418" s="69"/>
      <c r="G418" s="70"/>
      <c r="H418" s="71"/>
      <c r="I418" s="66"/>
      <c r="J418" s="67"/>
      <c r="K418" s="67"/>
      <c r="L418" s="67"/>
      <c r="M418" s="67"/>
      <c r="N418" s="67"/>
      <c r="O418" s="67"/>
      <c r="P418" s="145" t="str">
        <f t="shared" si="54"/>
        <v/>
      </c>
      <c r="Q418" s="65" t="str">
        <f t="shared" si="55"/>
        <v/>
      </c>
      <c r="R418" s="5" t="str">
        <f t="shared" si="56"/>
        <v/>
      </c>
      <c r="S418" s="5" t="str">
        <f t="shared" si="57"/>
        <v/>
      </c>
      <c r="T418" s="5" t="str">
        <f t="shared" si="58"/>
        <v/>
      </c>
      <c r="U418" s="5" t="str">
        <f t="shared" si="59"/>
        <v/>
      </c>
      <c r="V418" s="5" t="str">
        <f t="shared" si="60"/>
        <v/>
      </c>
      <c r="W418" s="5" t="str">
        <f t="shared" si="61"/>
        <v/>
      </c>
      <c r="X418" s="5" t="str">
        <f t="shared" si="62"/>
        <v/>
      </c>
    </row>
    <row r="419" spans="1:24">
      <c r="A419" s="91"/>
      <c r="B419" s="92"/>
      <c r="C419" s="69"/>
      <c r="D419" s="69"/>
      <c r="E419" s="69"/>
      <c r="F419" s="69"/>
      <c r="G419" s="70"/>
      <c r="H419" s="71"/>
      <c r="I419" s="66"/>
      <c r="J419" s="67"/>
      <c r="K419" s="67"/>
      <c r="L419" s="67"/>
      <c r="M419" s="67"/>
      <c r="N419" s="67"/>
      <c r="O419" s="67"/>
      <c r="P419" s="145" t="str">
        <f t="shared" si="54"/>
        <v/>
      </c>
      <c r="Q419" s="65" t="str">
        <f t="shared" si="55"/>
        <v/>
      </c>
      <c r="R419" s="5" t="str">
        <f t="shared" si="56"/>
        <v/>
      </c>
      <c r="S419" s="5" t="str">
        <f t="shared" si="57"/>
        <v/>
      </c>
      <c r="T419" s="5" t="str">
        <f t="shared" si="58"/>
        <v/>
      </c>
      <c r="U419" s="5" t="str">
        <f t="shared" si="59"/>
        <v/>
      </c>
      <c r="V419" s="5" t="str">
        <f t="shared" si="60"/>
        <v/>
      </c>
      <c r="W419" s="5" t="str">
        <f t="shared" si="61"/>
        <v/>
      </c>
      <c r="X419" s="5" t="str">
        <f t="shared" si="62"/>
        <v/>
      </c>
    </row>
    <row r="420" spans="1:24">
      <c r="A420" s="91"/>
      <c r="B420" s="92"/>
      <c r="C420" s="69"/>
      <c r="D420" s="69"/>
      <c r="E420" s="69"/>
      <c r="F420" s="69"/>
      <c r="G420" s="70"/>
      <c r="H420" s="71"/>
      <c r="I420" s="66"/>
      <c r="J420" s="67"/>
      <c r="K420" s="67"/>
      <c r="L420" s="67"/>
      <c r="M420" s="67"/>
      <c r="N420" s="67"/>
      <c r="O420" s="67"/>
      <c r="P420" s="145" t="str">
        <f t="shared" si="54"/>
        <v/>
      </c>
      <c r="Q420" s="65" t="str">
        <f t="shared" si="55"/>
        <v/>
      </c>
      <c r="R420" s="5" t="str">
        <f t="shared" si="56"/>
        <v/>
      </c>
      <c r="S420" s="5" t="str">
        <f t="shared" si="57"/>
        <v/>
      </c>
      <c r="T420" s="5" t="str">
        <f t="shared" si="58"/>
        <v/>
      </c>
      <c r="U420" s="5" t="str">
        <f t="shared" si="59"/>
        <v/>
      </c>
      <c r="V420" s="5" t="str">
        <f t="shared" si="60"/>
        <v/>
      </c>
      <c r="W420" s="5" t="str">
        <f t="shared" si="61"/>
        <v/>
      </c>
      <c r="X420" s="5" t="str">
        <f t="shared" si="62"/>
        <v/>
      </c>
    </row>
    <row r="421" spans="1:24">
      <c r="A421" s="91"/>
      <c r="B421" s="92"/>
      <c r="C421" s="69"/>
      <c r="D421" s="69"/>
      <c r="E421" s="69"/>
      <c r="F421" s="69"/>
      <c r="G421" s="70"/>
      <c r="H421" s="71"/>
      <c r="I421" s="66"/>
      <c r="J421" s="67"/>
      <c r="K421" s="67"/>
      <c r="L421" s="67"/>
      <c r="M421" s="67"/>
      <c r="N421" s="67"/>
      <c r="O421" s="67"/>
      <c r="P421" s="145" t="str">
        <f t="shared" si="54"/>
        <v/>
      </c>
      <c r="Q421" s="65" t="str">
        <f t="shared" si="55"/>
        <v/>
      </c>
      <c r="R421" s="5" t="str">
        <f t="shared" si="56"/>
        <v/>
      </c>
      <c r="S421" s="5" t="str">
        <f t="shared" si="57"/>
        <v/>
      </c>
      <c r="T421" s="5" t="str">
        <f t="shared" si="58"/>
        <v/>
      </c>
      <c r="U421" s="5" t="str">
        <f t="shared" si="59"/>
        <v/>
      </c>
      <c r="V421" s="5" t="str">
        <f t="shared" si="60"/>
        <v/>
      </c>
      <c r="W421" s="5" t="str">
        <f t="shared" si="61"/>
        <v/>
      </c>
      <c r="X421" s="5" t="str">
        <f t="shared" si="62"/>
        <v/>
      </c>
    </row>
    <row r="422" spans="1:24">
      <c r="A422" s="91"/>
      <c r="B422" s="92"/>
      <c r="C422" s="69"/>
      <c r="D422" s="69"/>
      <c r="E422" s="69"/>
      <c r="F422" s="69"/>
      <c r="G422" s="70"/>
      <c r="H422" s="71"/>
      <c r="I422" s="66"/>
      <c r="J422" s="67"/>
      <c r="K422" s="67"/>
      <c r="L422" s="67"/>
      <c r="M422" s="67"/>
      <c r="N422" s="67"/>
      <c r="O422" s="67"/>
      <c r="P422" s="145" t="str">
        <f t="shared" si="54"/>
        <v/>
      </c>
      <c r="Q422" s="65" t="str">
        <f t="shared" si="55"/>
        <v/>
      </c>
      <c r="R422" s="5" t="str">
        <f t="shared" si="56"/>
        <v/>
      </c>
      <c r="S422" s="5" t="str">
        <f t="shared" si="57"/>
        <v/>
      </c>
      <c r="T422" s="5" t="str">
        <f t="shared" si="58"/>
        <v/>
      </c>
      <c r="U422" s="5" t="str">
        <f t="shared" si="59"/>
        <v/>
      </c>
      <c r="V422" s="5" t="str">
        <f t="shared" si="60"/>
        <v/>
      </c>
      <c r="W422" s="5" t="str">
        <f t="shared" si="61"/>
        <v/>
      </c>
      <c r="X422" s="5" t="str">
        <f t="shared" si="62"/>
        <v/>
      </c>
    </row>
    <row r="423" spans="1:24">
      <c r="A423" s="91"/>
      <c r="B423" s="92"/>
      <c r="C423" s="69"/>
      <c r="D423" s="69"/>
      <c r="E423" s="69"/>
      <c r="F423" s="69"/>
      <c r="G423" s="70"/>
      <c r="H423" s="71"/>
      <c r="I423" s="66"/>
      <c r="J423" s="67"/>
      <c r="K423" s="67"/>
      <c r="L423" s="67"/>
      <c r="M423" s="67"/>
      <c r="N423" s="67"/>
      <c r="O423" s="67"/>
      <c r="P423" s="145" t="str">
        <f t="shared" si="54"/>
        <v/>
      </c>
      <c r="Q423" s="65" t="str">
        <f t="shared" si="55"/>
        <v/>
      </c>
      <c r="R423" s="5" t="str">
        <f t="shared" si="56"/>
        <v/>
      </c>
      <c r="S423" s="5" t="str">
        <f t="shared" si="57"/>
        <v/>
      </c>
      <c r="T423" s="5" t="str">
        <f t="shared" si="58"/>
        <v/>
      </c>
      <c r="U423" s="5" t="str">
        <f t="shared" si="59"/>
        <v/>
      </c>
      <c r="V423" s="5" t="str">
        <f t="shared" si="60"/>
        <v/>
      </c>
      <c r="W423" s="5" t="str">
        <f t="shared" si="61"/>
        <v/>
      </c>
      <c r="X423" s="5" t="str">
        <f t="shared" si="62"/>
        <v/>
      </c>
    </row>
    <row r="424" spans="1:24">
      <c r="A424" s="91"/>
      <c r="B424" s="92"/>
      <c r="C424" s="69"/>
      <c r="D424" s="69"/>
      <c r="E424" s="69"/>
      <c r="F424" s="69"/>
      <c r="G424" s="70"/>
      <c r="H424" s="71"/>
      <c r="I424" s="66"/>
      <c r="J424" s="67"/>
      <c r="K424" s="67"/>
      <c r="L424" s="67"/>
      <c r="M424" s="67"/>
      <c r="N424" s="67"/>
      <c r="O424" s="67"/>
      <c r="P424" s="145" t="str">
        <f t="shared" si="54"/>
        <v/>
      </c>
      <c r="Q424" s="65" t="str">
        <f t="shared" si="55"/>
        <v/>
      </c>
      <c r="R424" s="5" t="str">
        <f t="shared" si="56"/>
        <v/>
      </c>
      <c r="S424" s="5" t="str">
        <f t="shared" si="57"/>
        <v/>
      </c>
      <c r="T424" s="5" t="str">
        <f t="shared" si="58"/>
        <v/>
      </c>
      <c r="U424" s="5" t="str">
        <f t="shared" si="59"/>
        <v/>
      </c>
      <c r="V424" s="5" t="str">
        <f t="shared" si="60"/>
        <v/>
      </c>
      <c r="W424" s="5" t="str">
        <f t="shared" si="61"/>
        <v/>
      </c>
      <c r="X424" s="5" t="str">
        <f t="shared" si="62"/>
        <v/>
      </c>
    </row>
    <row r="425" spans="1:24">
      <c r="A425" s="91"/>
      <c r="B425" s="92"/>
      <c r="C425" s="69"/>
      <c r="D425" s="69"/>
      <c r="E425" s="69"/>
      <c r="F425" s="69"/>
      <c r="G425" s="70"/>
      <c r="H425" s="71"/>
      <c r="I425" s="66"/>
      <c r="J425" s="67"/>
      <c r="K425" s="67"/>
      <c r="L425" s="67"/>
      <c r="M425" s="67"/>
      <c r="N425" s="67"/>
      <c r="O425" s="67"/>
      <c r="P425" s="145" t="str">
        <f t="shared" si="54"/>
        <v/>
      </c>
      <c r="Q425" s="65" t="str">
        <f t="shared" si="55"/>
        <v/>
      </c>
      <c r="R425" s="5" t="str">
        <f t="shared" si="56"/>
        <v/>
      </c>
      <c r="S425" s="5" t="str">
        <f t="shared" si="57"/>
        <v/>
      </c>
      <c r="T425" s="5" t="str">
        <f t="shared" si="58"/>
        <v/>
      </c>
      <c r="U425" s="5" t="str">
        <f t="shared" si="59"/>
        <v/>
      </c>
      <c r="V425" s="5" t="str">
        <f t="shared" si="60"/>
        <v/>
      </c>
      <c r="W425" s="5" t="str">
        <f t="shared" si="61"/>
        <v/>
      </c>
      <c r="X425" s="5" t="str">
        <f t="shared" si="62"/>
        <v/>
      </c>
    </row>
    <row r="426" spans="1:24">
      <c r="A426" s="91"/>
      <c r="B426" s="92"/>
      <c r="C426" s="69"/>
      <c r="D426" s="69"/>
      <c r="E426" s="69"/>
      <c r="F426" s="69"/>
      <c r="G426" s="70"/>
      <c r="H426" s="71"/>
      <c r="I426" s="66"/>
      <c r="J426" s="67"/>
      <c r="K426" s="67"/>
      <c r="L426" s="67"/>
      <c r="M426" s="67"/>
      <c r="N426" s="67"/>
      <c r="O426" s="67"/>
      <c r="P426" s="145" t="str">
        <f t="shared" si="54"/>
        <v/>
      </c>
      <c r="Q426" s="65" t="str">
        <f t="shared" si="55"/>
        <v/>
      </c>
      <c r="R426" s="5" t="str">
        <f t="shared" si="56"/>
        <v/>
      </c>
      <c r="S426" s="5" t="str">
        <f t="shared" si="57"/>
        <v/>
      </c>
      <c r="T426" s="5" t="str">
        <f t="shared" si="58"/>
        <v/>
      </c>
      <c r="U426" s="5" t="str">
        <f t="shared" si="59"/>
        <v/>
      </c>
      <c r="V426" s="5" t="str">
        <f t="shared" si="60"/>
        <v/>
      </c>
      <c r="W426" s="5" t="str">
        <f t="shared" si="61"/>
        <v/>
      </c>
      <c r="X426" s="5" t="str">
        <f t="shared" si="62"/>
        <v/>
      </c>
    </row>
    <row r="427" spans="1:24">
      <c r="A427" s="91"/>
      <c r="B427" s="92"/>
      <c r="C427" s="69"/>
      <c r="D427" s="69"/>
      <c r="E427" s="69"/>
      <c r="F427" s="69"/>
      <c r="G427" s="70"/>
      <c r="H427" s="71"/>
      <c r="I427" s="66"/>
      <c r="J427" s="67"/>
      <c r="K427" s="67"/>
      <c r="L427" s="67"/>
      <c r="M427" s="67"/>
      <c r="N427" s="67"/>
      <c r="O427" s="67"/>
      <c r="P427" s="145" t="str">
        <f t="shared" si="54"/>
        <v/>
      </c>
      <c r="Q427" s="65" t="str">
        <f t="shared" si="55"/>
        <v/>
      </c>
      <c r="R427" s="5" t="str">
        <f t="shared" si="56"/>
        <v/>
      </c>
      <c r="S427" s="5" t="str">
        <f t="shared" si="57"/>
        <v/>
      </c>
      <c r="T427" s="5" t="str">
        <f t="shared" si="58"/>
        <v/>
      </c>
      <c r="U427" s="5" t="str">
        <f t="shared" si="59"/>
        <v/>
      </c>
      <c r="V427" s="5" t="str">
        <f t="shared" si="60"/>
        <v/>
      </c>
      <c r="W427" s="5" t="str">
        <f t="shared" si="61"/>
        <v/>
      </c>
      <c r="X427" s="5" t="str">
        <f t="shared" si="62"/>
        <v/>
      </c>
    </row>
    <row r="428" spans="1:24">
      <c r="A428" s="91"/>
      <c r="B428" s="92"/>
      <c r="C428" s="69"/>
      <c r="D428" s="69"/>
      <c r="E428" s="69"/>
      <c r="F428" s="69"/>
      <c r="G428" s="70"/>
      <c r="H428" s="71"/>
      <c r="I428" s="66"/>
      <c r="J428" s="67"/>
      <c r="K428" s="67"/>
      <c r="L428" s="67"/>
      <c r="M428" s="67"/>
      <c r="N428" s="67"/>
      <c r="O428" s="67"/>
      <c r="P428" s="145" t="str">
        <f t="shared" si="54"/>
        <v/>
      </c>
      <c r="Q428" s="65" t="str">
        <f t="shared" si="55"/>
        <v/>
      </c>
      <c r="R428" s="5" t="str">
        <f t="shared" si="56"/>
        <v/>
      </c>
      <c r="S428" s="5" t="str">
        <f t="shared" si="57"/>
        <v/>
      </c>
      <c r="T428" s="5" t="str">
        <f t="shared" si="58"/>
        <v/>
      </c>
      <c r="U428" s="5" t="str">
        <f t="shared" si="59"/>
        <v/>
      </c>
      <c r="V428" s="5" t="str">
        <f t="shared" si="60"/>
        <v/>
      </c>
      <c r="W428" s="5" t="str">
        <f t="shared" si="61"/>
        <v/>
      </c>
      <c r="X428" s="5" t="str">
        <f t="shared" si="62"/>
        <v/>
      </c>
    </row>
    <row r="429" spans="1:24">
      <c r="A429" s="91"/>
      <c r="B429" s="92"/>
      <c r="C429" s="69"/>
      <c r="D429" s="69"/>
      <c r="E429" s="69"/>
      <c r="F429" s="69"/>
      <c r="G429" s="70"/>
      <c r="H429" s="71"/>
      <c r="I429" s="66"/>
      <c r="J429" s="67"/>
      <c r="K429" s="67"/>
      <c r="L429" s="67"/>
      <c r="M429" s="67"/>
      <c r="N429" s="67"/>
      <c r="O429" s="67"/>
      <c r="P429" s="145" t="str">
        <f t="shared" si="54"/>
        <v/>
      </c>
      <c r="Q429" s="65" t="str">
        <f t="shared" si="55"/>
        <v/>
      </c>
      <c r="R429" s="5" t="str">
        <f t="shared" si="56"/>
        <v/>
      </c>
      <c r="S429" s="5" t="str">
        <f t="shared" si="57"/>
        <v/>
      </c>
      <c r="T429" s="5" t="str">
        <f t="shared" si="58"/>
        <v/>
      </c>
      <c r="U429" s="5" t="str">
        <f t="shared" si="59"/>
        <v/>
      </c>
      <c r="V429" s="5" t="str">
        <f t="shared" si="60"/>
        <v/>
      </c>
      <c r="W429" s="5" t="str">
        <f t="shared" si="61"/>
        <v/>
      </c>
      <c r="X429" s="5" t="str">
        <f t="shared" si="62"/>
        <v/>
      </c>
    </row>
    <row r="430" spans="1:24" ht="15.75" thickBot="1">
      <c r="A430" s="93"/>
      <c r="B430" s="94"/>
      <c r="C430" s="72"/>
      <c r="D430" s="72"/>
      <c r="E430" s="72"/>
      <c r="F430" s="72"/>
      <c r="G430" s="73"/>
      <c r="H430" s="74"/>
      <c r="I430" s="75"/>
      <c r="J430" s="76"/>
      <c r="K430" s="76"/>
      <c r="L430" s="76"/>
      <c r="M430" s="76"/>
      <c r="N430" s="76"/>
      <c r="O430" s="76"/>
      <c r="P430" s="146" t="str">
        <f t="shared" si="54"/>
        <v/>
      </c>
      <c r="Q430" s="147" t="str">
        <f t="shared" ref="Q430" si="63">IF($C430="","",IF($B430="beginning",(((SUM($P430:$R430)-3371)/2251)*40)+360,IF($B430="middle",(((SUM($P430:$R430)-3371)/2251)*40)+400,IF($B430="end",(((SUM($P430:$R430)-3371)/2251)*40)+440,""))))</f>
        <v/>
      </c>
      <c r="R430" s="5" t="str">
        <f t="shared" ref="R430" si="64">IF($C430="","",I430*10.72)</f>
        <v/>
      </c>
      <c r="S430" s="5" t="str">
        <f t="shared" ref="S430" si="65">IF($C430="","",J430*2.13)</f>
        <v/>
      </c>
      <c r="T430" s="5" t="str">
        <f t="shared" ref="T430" si="66">IF($C430="","",K430*23.13)</f>
        <v/>
      </c>
      <c r="U430" s="5" t="str">
        <f t="shared" ref="U430" si="67">IF($C430="","",L430*7.79)</f>
        <v/>
      </c>
      <c r="V430" s="5" t="str">
        <f t="shared" ref="V430" si="68">IF($C430="","",M430*13.51)</f>
        <v/>
      </c>
      <c r="W430" s="5" t="str">
        <f t="shared" ref="W430" si="69">IF($C430="","",N430*25.36)</f>
        <v/>
      </c>
      <c r="X430" s="5" t="str">
        <f t="shared" ref="X430" si="70">IF($C430="","",P430*0.25)</f>
        <v/>
      </c>
    </row>
    <row r="431" spans="1:24">
      <c r="A431" s="95"/>
      <c r="G431" s="77"/>
    </row>
    <row r="432" spans="1:24">
      <c r="G432" s="77"/>
    </row>
    <row r="433" spans="7:7">
      <c r="G433" s="77"/>
    </row>
    <row r="434" spans="7:7">
      <c r="G434" s="77"/>
    </row>
    <row r="435" spans="7:7">
      <c r="G435" s="77"/>
    </row>
    <row r="436" spans="7:7">
      <c r="G436" s="77"/>
    </row>
    <row r="437" spans="7:7">
      <c r="G437" s="77"/>
    </row>
    <row r="438" spans="7:7">
      <c r="G438" s="77"/>
    </row>
    <row r="439" spans="7:7">
      <c r="G439" s="77"/>
    </row>
  </sheetData>
  <sheetProtection sheet="1" objects="1" scenarios="1" formatCells="0" formatColumns="0" formatRows="0" deleteRows="0" sort="0" autoFilter="0"/>
  <mergeCells count="4">
    <mergeCell ref="N4:P4"/>
    <mergeCell ref="R4:X4"/>
    <mergeCell ref="A1:H1"/>
    <mergeCell ref="K4:L4"/>
  </mergeCells>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86EA-3A51-A840-AE36-E48491E6FCB8}">
  <dimension ref="A1:X439"/>
  <sheetViews>
    <sheetView workbookViewId="0">
      <selection activeCell="A6" sqref="A6:H16"/>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1" width="13.140625" style="5" customWidth="1"/>
    <col min="12" max="12" width="13.28515625" style="5" customWidth="1"/>
    <col min="13" max="17" width="13.140625" style="5" customWidth="1"/>
    <col min="18" max="18" width="12.42578125" style="78" customWidth="1"/>
    <col min="19" max="24" width="3.42578125" style="5" hidden="1" customWidth="1"/>
    <col min="25" max="16384" width="10" style="5"/>
  </cols>
  <sheetData>
    <row r="1" spans="1:24" ht="30" customHeight="1" thickBot="1">
      <c r="A1" s="213" t="s">
        <v>17</v>
      </c>
      <c r="B1" s="214"/>
      <c r="C1" s="214"/>
      <c r="D1" s="214"/>
      <c r="E1" s="214"/>
      <c r="F1" s="214"/>
      <c r="G1" s="214"/>
      <c r="H1" s="215"/>
      <c r="I1" s="4"/>
    </row>
    <row r="2" spans="1:24" ht="15" customHeight="1" thickBot="1">
      <c r="D2" s="79"/>
    </row>
    <row r="3" spans="1:24" s="175" customFormat="1" ht="15.75" thickBot="1">
      <c r="A3" s="170" t="s">
        <v>5</v>
      </c>
      <c r="B3" s="171" t="s">
        <v>5</v>
      </c>
      <c r="C3" s="171" t="s">
        <v>5</v>
      </c>
      <c r="D3" s="171" t="s">
        <v>5</v>
      </c>
      <c r="E3" s="171" t="s">
        <v>5</v>
      </c>
      <c r="F3" s="172" t="s">
        <v>4</v>
      </c>
      <c r="G3" s="172" t="s">
        <v>4</v>
      </c>
      <c r="H3" s="173" t="s">
        <v>4</v>
      </c>
      <c r="I3" s="177" t="s">
        <v>5</v>
      </c>
      <c r="J3" s="178" t="s">
        <v>5</v>
      </c>
      <c r="K3" s="178" t="s">
        <v>5</v>
      </c>
      <c r="L3" s="221" t="s">
        <v>5</v>
      </c>
      <c r="M3" s="222"/>
      <c r="N3" s="223"/>
      <c r="O3" s="221" t="s">
        <v>5</v>
      </c>
      <c r="P3" s="222"/>
      <c r="Q3" s="223"/>
      <c r="R3" s="179" t="s">
        <v>5</v>
      </c>
    </row>
    <row r="4" spans="1:24" s="6" customFormat="1" ht="33" customHeight="1" thickBot="1">
      <c r="A4" s="80"/>
      <c r="B4" s="81"/>
      <c r="C4" s="82"/>
      <c r="D4" s="81"/>
      <c r="E4" s="82"/>
      <c r="F4" s="83"/>
      <c r="G4" s="84"/>
      <c r="H4" s="83"/>
      <c r="I4" s="218" t="s">
        <v>13</v>
      </c>
      <c r="J4" s="217"/>
      <c r="K4" s="149"/>
      <c r="L4" s="210" t="s">
        <v>36</v>
      </c>
      <c r="M4" s="210"/>
      <c r="N4" s="219"/>
      <c r="O4" s="220" t="s">
        <v>22</v>
      </c>
      <c r="P4" s="211"/>
      <c r="Q4" s="211"/>
      <c r="R4" s="85"/>
      <c r="S4" s="212" t="s">
        <v>28</v>
      </c>
      <c r="T4" s="212"/>
      <c r="U4" s="212"/>
      <c r="V4" s="212"/>
      <c r="W4" s="212"/>
      <c r="X4" s="212"/>
    </row>
    <row r="5" spans="1:24" ht="60.75" thickBot="1">
      <c r="A5" s="50" t="s">
        <v>7</v>
      </c>
      <c r="B5" s="50" t="s">
        <v>19</v>
      </c>
      <c r="C5" s="51" t="s">
        <v>0</v>
      </c>
      <c r="D5" s="52" t="s">
        <v>6</v>
      </c>
      <c r="E5" s="53" t="s">
        <v>1</v>
      </c>
      <c r="F5" s="54" t="s">
        <v>2</v>
      </c>
      <c r="G5" s="55" t="s">
        <v>8</v>
      </c>
      <c r="H5" s="56" t="s">
        <v>3</v>
      </c>
      <c r="I5" s="57" t="s">
        <v>12</v>
      </c>
      <c r="J5" s="59" t="s">
        <v>14</v>
      </c>
      <c r="K5" s="140" t="s">
        <v>15</v>
      </c>
      <c r="L5" s="58" t="s">
        <v>32</v>
      </c>
      <c r="M5" s="141" t="s">
        <v>21</v>
      </c>
      <c r="N5" s="140" t="s">
        <v>33</v>
      </c>
      <c r="O5" s="140" t="s">
        <v>23</v>
      </c>
      <c r="P5" s="141" t="s">
        <v>24</v>
      </c>
      <c r="Q5" s="59" t="s">
        <v>25</v>
      </c>
      <c r="R5" s="60" t="s">
        <v>11</v>
      </c>
      <c r="S5" s="18" t="s">
        <v>31</v>
      </c>
      <c r="T5" s="18" t="s">
        <v>30</v>
      </c>
      <c r="U5" s="18" t="s">
        <v>29</v>
      </c>
      <c r="V5" s="18" t="s">
        <v>26</v>
      </c>
      <c r="W5" s="18" t="s">
        <v>27</v>
      </c>
      <c r="X5" s="18" t="s">
        <v>16</v>
      </c>
    </row>
    <row r="6" spans="1:24">
      <c r="A6" s="86">
        <v>45780</v>
      </c>
      <c r="B6" s="151" t="s">
        <v>87</v>
      </c>
      <c r="C6" s="189" t="s">
        <v>63</v>
      </c>
      <c r="D6" s="189" t="s">
        <v>64</v>
      </c>
      <c r="E6" s="189" t="s">
        <v>52</v>
      </c>
      <c r="F6" s="142" t="s">
        <v>88</v>
      </c>
      <c r="G6" s="143">
        <v>40959</v>
      </c>
      <c r="H6" s="61" t="s">
        <v>85</v>
      </c>
      <c r="I6" s="68"/>
      <c r="J6" s="64"/>
      <c r="K6" s="64"/>
      <c r="L6" s="144"/>
      <c r="M6" s="144"/>
      <c r="N6" s="145">
        <f>IF($C6="","",IF($L6+$M6=0,0,$L6/($L6+$M6)))</f>
        <v>0</v>
      </c>
      <c r="O6" s="144"/>
      <c r="P6" s="144"/>
      <c r="Q6" s="152">
        <f>IF($C6="","",($O6-($P6/2)))</f>
        <v>0</v>
      </c>
      <c r="R6" s="65">
        <f>IF($C6="","",IF(TRIM($B6)="beginning",(((SUM($S6:$X6)-7085)/3811)*40)+360,IF(TRIM($B6)="middle",(((SUM($S6:$X6)-7085)/3811)*40)+400,IF(TRIM($B6)="end",(((SUM($S6:$X6)-7085)/3811)*40)+440,""))))</f>
        <v>285.63631592757804</v>
      </c>
      <c r="S6" s="5">
        <f>IF($C6="","",I6*32.74)</f>
        <v>0</v>
      </c>
      <c r="T6" s="5">
        <f>IF($C6="","",J6*10.95)</f>
        <v>0</v>
      </c>
      <c r="U6" s="5">
        <f>IF($C6="","",K6*21.26)</f>
        <v>0</v>
      </c>
      <c r="V6" s="5">
        <f>IF($C6="","",L6*35.36)</f>
        <v>0</v>
      </c>
      <c r="W6" s="5">
        <f>IF($C6="","",N6*0.15)</f>
        <v>0</v>
      </c>
      <c r="X6" s="5">
        <f>IF($C6="","",Q6*4.28)</f>
        <v>0</v>
      </c>
    </row>
    <row r="7" spans="1:24">
      <c r="A7" s="86">
        <v>45780</v>
      </c>
      <c r="B7" s="151" t="s">
        <v>87</v>
      </c>
      <c r="C7" s="189" t="s">
        <v>65</v>
      </c>
      <c r="D7" s="189" t="s">
        <v>66</v>
      </c>
      <c r="E7" s="189" t="s">
        <v>53</v>
      </c>
      <c r="F7" s="69" t="s">
        <v>89</v>
      </c>
      <c r="G7" s="70">
        <v>40960</v>
      </c>
      <c r="H7" s="71" t="s">
        <v>85</v>
      </c>
      <c r="I7" s="66"/>
      <c r="J7" s="67"/>
      <c r="K7" s="67"/>
      <c r="L7" s="67"/>
      <c r="M7" s="67"/>
      <c r="N7" s="145">
        <f t="shared" ref="N7:N70" si="0">IF($C7="","",IF($L7+$M7=0,0,$L7/($L7+$M7)))</f>
        <v>0</v>
      </c>
      <c r="O7" s="64"/>
      <c r="P7" s="64"/>
      <c r="Q7" s="152">
        <f t="shared" ref="Q7:Q70" si="1">IF($C7="","",($O7-($P7/2)))</f>
        <v>0</v>
      </c>
      <c r="R7" s="65">
        <f t="shared" ref="R7:R70" si="2">IF($C7="","",IF(TRIM($B7)="beginning",(((SUM($S7:$X7)-7085)/3811)*40)+360,IF(TRIM($B7)="middle",(((SUM($S7:$X7)-7085)/3811)*40)+400,IF(TRIM($B7)="end",(((SUM($S7:$X7)-7085)/3811)*40)+440,""))))</f>
        <v>285.63631592757804</v>
      </c>
      <c r="S7" s="5">
        <f t="shared" ref="S7:S70" si="3">IF($C7="","",I7*32.74)</f>
        <v>0</v>
      </c>
      <c r="T7" s="5">
        <f t="shared" ref="T7:T70" si="4">IF($C7="","",J7*10.95)</f>
        <v>0</v>
      </c>
      <c r="U7" s="5">
        <f t="shared" ref="U7:U70" si="5">IF($C7="","",K7*21.26)</f>
        <v>0</v>
      </c>
      <c r="V7" s="5">
        <f t="shared" ref="V7:V70" si="6">IF($C7="","",L7*35.36)</f>
        <v>0</v>
      </c>
      <c r="W7" s="5">
        <f t="shared" ref="W7:W70" si="7">IF($C7="","",N7*0.15)</f>
        <v>0</v>
      </c>
      <c r="X7" s="5">
        <f t="shared" ref="X7:X70" si="8">IF($C7="","",Q7*4.28)</f>
        <v>0</v>
      </c>
    </row>
    <row r="8" spans="1:24">
      <c r="A8" s="86">
        <v>45780</v>
      </c>
      <c r="B8" s="151" t="s">
        <v>87</v>
      </c>
      <c r="C8" s="189" t="s">
        <v>67</v>
      </c>
      <c r="D8" s="189" t="s">
        <v>68</v>
      </c>
      <c r="E8" s="189" t="s">
        <v>54</v>
      </c>
      <c r="F8" s="69" t="s">
        <v>88</v>
      </c>
      <c r="G8" s="70">
        <v>40961</v>
      </c>
      <c r="H8" s="71" t="s">
        <v>85</v>
      </c>
      <c r="I8" s="66"/>
      <c r="J8" s="67"/>
      <c r="K8" s="67"/>
      <c r="L8" s="67"/>
      <c r="M8" s="67"/>
      <c r="N8" s="145">
        <f t="shared" si="0"/>
        <v>0</v>
      </c>
      <c r="O8" s="64"/>
      <c r="P8" s="64"/>
      <c r="Q8" s="152">
        <f t="shared" si="1"/>
        <v>0</v>
      </c>
      <c r="R8" s="65">
        <f t="shared" si="2"/>
        <v>285.63631592757804</v>
      </c>
      <c r="S8" s="5">
        <f t="shared" si="3"/>
        <v>0</v>
      </c>
      <c r="T8" s="5">
        <f t="shared" si="4"/>
        <v>0</v>
      </c>
      <c r="U8" s="5">
        <f t="shared" si="5"/>
        <v>0</v>
      </c>
      <c r="V8" s="5">
        <f t="shared" si="6"/>
        <v>0</v>
      </c>
      <c r="W8" s="5">
        <f t="shared" si="7"/>
        <v>0</v>
      </c>
      <c r="X8" s="5">
        <f t="shared" si="8"/>
        <v>0</v>
      </c>
    </row>
    <row r="9" spans="1:24">
      <c r="A9" s="86">
        <v>45780</v>
      </c>
      <c r="B9" s="151" t="s">
        <v>87</v>
      </c>
      <c r="C9" s="189" t="s">
        <v>69</v>
      </c>
      <c r="D9" s="189" t="s">
        <v>70</v>
      </c>
      <c r="E9" s="189" t="s">
        <v>55</v>
      </c>
      <c r="F9" s="69" t="s">
        <v>88</v>
      </c>
      <c r="G9" s="70">
        <v>40962</v>
      </c>
      <c r="H9" s="71" t="s">
        <v>85</v>
      </c>
      <c r="I9" s="66"/>
      <c r="J9" s="67"/>
      <c r="K9" s="67"/>
      <c r="L9" s="67"/>
      <c r="M9" s="67"/>
      <c r="N9" s="145">
        <f t="shared" si="0"/>
        <v>0</v>
      </c>
      <c r="O9" s="64"/>
      <c r="P9" s="64"/>
      <c r="Q9" s="152">
        <f t="shared" si="1"/>
        <v>0</v>
      </c>
      <c r="R9" s="65">
        <f t="shared" si="2"/>
        <v>285.63631592757804</v>
      </c>
      <c r="S9" s="5">
        <f t="shared" si="3"/>
        <v>0</v>
      </c>
      <c r="T9" s="5">
        <f t="shared" si="4"/>
        <v>0</v>
      </c>
      <c r="U9" s="5">
        <f t="shared" si="5"/>
        <v>0</v>
      </c>
      <c r="V9" s="5">
        <f t="shared" si="6"/>
        <v>0</v>
      </c>
      <c r="W9" s="5">
        <f t="shared" si="7"/>
        <v>0</v>
      </c>
      <c r="X9" s="5">
        <f t="shared" si="8"/>
        <v>0</v>
      </c>
    </row>
    <row r="10" spans="1:24">
      <c r="A10" s="86">
        <v>45780</v>
      </c>
      <c r="B10" s="151" t="s">
        <v>87</v>
      </c>
      <c r="C10" s="189" t="s">
        <v>71</v>
      </c>
      <c r="D10" s="189" t="s">
        <v>72</v>
      </c>
      <c r="E10" s="189" t="s">
        <v>56</v>
      </c>
      <c r="F10" s="69" t="s">
        <v>89</v>
      </c>
      <c r="G10" s="70">
        <v>40970</v>
      </c>
      <c r="H10" s="71" t="s">
        <v>86</v>
      </c>
      <c r="I10" s="66"/>
      <c r="J10" s="67"/>
      <c r="K10" s="67"/>
      <c r="L10" s="67"/>
      <c r="M10" s="67"/>
      <c r="N10" s="145">
        <f t="shared" si="0"/>
        <v>0</v>
      </c>
      <c r="O10" s="64"/>
      <c r="P10" s="64"/>
      <c r="Q10" s="152">
        <f t="shared" si="1"/>
        <v>0</v>
      </c>
      <c r="R10" s="65">
        <f t="shared" si="2"/>
        <v>285.63631592757804</v>
      </c>
      <c r="S10" s="5">
        <f t="shared" si="3"/>
        <v>0</v>
      </c>
      <c r="T10" s="5">
        <f t="shared" si="4"/>
        <v>0</v>
      </c>
      <c r="U10" s="5">
        <f t="shared" si="5"/>
        <v>0</v>
      </c>
      <c r="V10" s="5">
        <f t="shared" si="6"/>
        <v>0</v>
      </c>
      <c r="W10" s="5">
        <f t="shared" si="7"/>
        <v>0</v>
      </c>
      <c r="X10" s="5">
        <f t="shared" si="8"/>
        <v>0</v>
      </c>
    </row>
    <row r="11" spans="1:24">
      <c r="A11" s="86">
        <v>45780</v>
      </c>
      <c r="B11" s="151" t="s">
        <v>87</v>
      </c>
      <c r="C11" s="189" t="s">
        <v>73</v>
      </c>
      <c r="D11" s="189" t="s">
        <v>74</v>
      </c>
      <c r="E11" s="189" t="s">
        <v>57</v>
      </c>
      <c r="F11" s="69" t="s">
        <v>89</v>
      </c>
      <c r="G11" s="70">
        <v>40963</v>
      </c>
      <c r="H11" s="71" t="s">
        <v>85</v>
      </c>
      <c r="I11" s="66"/>
      <c r="J11" s="67"/>
      <c r="K11" s="67"/>
      <c r="L11" s="67"/>
      <c r="M11" s="67"/>
      <c r="N11" s="145">
        <f t="shared" si="0"/>
        <v>0</v>
      </c>
      <c r="O11" s="64"/>
      <c r="P11" s="64"/>
      <c r="Q11" s="152">
        <f t="shared" si="1"/>
        <v>0</v>
      </c>
      <c r="R11" s="65">
        <f t="shared" si="2"/>
        <v>285.63631592757804</v>
      </c>
      <c r="S11" s="5">
        <f t="shared" si="3"/>
        <v>0</v>
      </c>
      <c r="T11" s="5">
        <f t="shared" si="4"/>
        <v>0</v>
      </c>
      <c r="U11" s="5">
        <f t="shared" si="5"/>
        <v>0</v>
      </c>
      <c r="V11" s="5">
        <f t="shared" si="6"/>
        <v>0</v>
      </c>
      <c r="W11" s="5">
        <f t="shared" si="7"/>
        <v>0</v>
      </c>
      <c r="X11" s="5">
        <f t="shared" si="8"/>
        <v>0</v>
      </c>
    </row>
    <row r="12" spans="1:24">
      <c r="A12" s="87">
        <v>45780</v>
      </c>
      <c r="B12" s="87" t="s">
        <v>87</v>
      </c>
      <c r="C12" s="189" t="s">
        <v>75</v>
      </c>
      <c r="D12" s="189" t="s">
        <v>76</v>
      </c>
      <c r="E12" s="189" t="s">
        <v>58</v>
      </c>
      <c r="F12" s="69" t="s">
        <v>88</v>
      </c>
      <c r="G12" s="70">
        <v>40964</v>
      </c>
      <c r="H12" s="71" t="s">
        <v>86</v>
      </c>
      <c r="I12" s="66"/>
      <c r="J12" s="67"/>
      <c r="K12" s="67"/>
      <c r="L12" s="67"/>
      <c r="M12" s="67"/>
      <c r="N12" s="145">
        <f t="shared" si="0"/>
        <v>0</v>
      </c>
      <c r="O12" s="64"/>
      <c r="P12" s="64"/>
      <c r="Q12" s="152">
        <f t="shared" si="1"/>
        <v>0</v>
      </c>
      <c r="R12" s="65">
        <f t="shared" si="2"/>
        <v>285.63631592757804</v>
      </c>
      <c r="S12" s="5">
        <f t="shared" si="3"/>
        <v>0</v>
      </c>
      <c r="T12" s="5">
        <f t="shared" si="4"/>
        <v>0</v>
      </c>
      <c r="U12" s="5">
        <f t="shared" si="5"/>
        <v>0</v>
      </c>
      <c r="V12" s="5">
        <f t="shared" si="6"/>
        <v>0</v>
      </c>
      <c r="W12" s="5">
        <f t="shared" si="7"/>
        <v>0</v>
      </c>
      <c r="X12" s="5">
        <f t="shared" si="8"/>
        <v>0</v>
      </c>
    </row>
    <row r="13" spans="1:24">
      <c r="A13" s="87">
        <v>45780</v>
      </c>
      <c r="B13" s="87" t="s">
        <v>87</v>
      </c>
      <c r="C13" s="189" t="s">
        <v>77</v>
      </c>
      <c r="D13" s="189" t="s">
        <v>78</v>
      </c>
      <c r="E13" s="189" t="s">
        <v>59</v>
      </c>
      <c r="F13" s="69" t="s">
        <v>89</v>
      </c>
      <c r="G13" s="70">
        <v>40965</v>
      </c>
      <c r="H13" s="71" t="s">
        <v>86</v>
      </c>
      <c r="I13" s="66"/>
      <c r="J13" s="67"/>
      <c r="K13" s="67"/>
      <c r="L13" s="67"/>
      <c r="M13" s="67"/>
      <c r="N13" s="145">
        <f t="shared" si="0"/>
        <v>0</v>
      </c>
      <c r="O13" s="64"/>
      <c r="P13" s="64"/>
      <c r="Q13" s="152">
        <f t="shared" si="1"/>
        <v>0</v>
      </c>
      <c r="R13" s="65">
        <f t="shared" si="2"/>
        <v>285.63631592757804</v>
      </c>
      <c r="S13" s="5">
        <f t="shared" si="3"/>
        <v>0</v>
      </c>
      <c r="T13" s="5">
        <f t="shared" si="4"/>
        <v>0</v>
      </c>
      <c r="U13" s="5">
        <f t="shared" si="5"/>
        <v>0</v>
      </c>
      <c r="V13" s="5">
        <f t="shared" si="6"/>
        <v>0</v>
      </c>
      <c r="W13" s="5">
        <f t="shared" si="7"/>
        <v>0</v>
      </c>
      <c r="X13" s="5">
        <f t="shared" si="8"/>
        <v>0</v>
      </c>
    </row>
    <row r="14" spans="1:24">
      <c r="A14" s="87">
        <v>45780</v>
      </c>
      <c r="B14" s="87" t="s">
        <v>87</v>
      </c>
      <c r="C14" s="189" t="s">
        <v>79</v>
      </c>
      <c r="D14" s="189" t="s">
        <v>80</v>
      </c>
      <c r="E14" s="189" t="s">
        <v>60</v>
      </c>
      <c r="F14" s="69" t="s">
        <v>88</v>
      </c>
      <c r="G14" s="70">
        <v>40966</v>
      </c>
      <c r="H14" s="71" t="s">
        <v>86</v>
      </c>
      <c r="I14" s="66"/>
      <c r="J14" s="67"/>
      <c r="K14" s="67"/>
      <c r="L14" s="67"/>
      <c r="M14" s="67"/>
      <c r="N14" s="145">
        <f t="shared" si="0"/>
        <v>0</v>
      </c>
      <c r="O14" s="64"/>
      <c r="P14" s="64"/>
      <c r="Q14" s="152">
        <f t="shared" si="1"/>
        <v>0</v>
      </c>
      <c r="R14" s="65">
        <f t="shared" si="2"/>
        <v>285.63631592757804</v>
      </c>
      <c r="S14" s="5">
        <f t="shared" si="3"/>
        <v>0</v>
      </c>
      <c r="T14" s="5">
        <f t="shared" si="4"/>
        <v>0</v>
      </c>
      <c r="U14" s="5">
        <f t="shared" si="5"/>
        <v>0</v>
      </c>
      <c r="V14" s="5">
        <f t="shared" si="6"/>
        <v>0</v>
      </c>
      <c r="W14" s="5">
        <f t="shared" si="7"/>
        <v>0</v>
      </c>
      <c r="X14" s="5">
        <f t="shared" si="8"/>
        <v>0</v>
      </c>
    </row>
    <row r="15" spans="1:24">
      <c r="A15" s="87">
        <v>45780</v>
      </c>
      <c r="B15" s="87" t="s">
        <v>87</v>
      </c>
      <c r="C15" s="189" t="s">
        <v>81</v>
      </c>
      <c r="D15" s="189" t="s">
        <v>82</v>
      </c>
      <c r="E15" s="189" t="s">
        <v>61</v>
      </c>
      <c r="F15" s="69" t="s">
        <v>88</v>
      </c>
      <c r="G15" s="70">
        <v>40967</v>
      </c>
      <c r="H15" s="71" t="s">
        <v>86</v>
      </c>
      <c r="I15" s="66"/>
      <c r="J15" s="67"/>
      <c r="K15" s="67"/>
      <c r="L15" s="67"/>
      <c r="M15" s="67"/>
      <c r="N15" s="145">
        <f t="shared" si="0"/>
        <v>0</v>
      </c>
      <c r="O15" s="64"/>
      <c r="P15" s="64"/>
      <c r="Q15" s="152">
        <f t="shared" si="1"/>
        <v>0</v>
      </c>
      <c r="R15" s="65">
        <f t="shared" si="2"/>
        <v>285.63631592757804</v>
      </c>
      <c r="S15" s="5">
        <f t="shared" si="3"/>
        <v>0</v>
      </c>
      <c r="T15" s="5">
        <f t="shared" si="4"/>
        <v>0</v>
      </c>
      <c r="U15" s="5">
        <f t="shared" si="5"/>
        <v>0</v>
      </c>
      <c r="V15" s="5">
        <f t="shared" si="6"/>
        <v>0</v>
      </c>
      <c r="W15" s="5">
        <f t="shared" si="7"/>
        <v>0</v>
      </c>
      <c r="X15" s="5">
        <f t="shared" si="8"/>
        <v>0</v>
      </c>
    </row>
    <row r="16" spans="1:24">
      <c r="A16" s="87">
        <v>45780</v>
      </c>
      <c r="B16" s="87" t="s">
        <v>87</v>
      </c>
      <c r="C16" s="189" t="s">
        <v>83</v>
      </c>
      <c r="D16" s="189" t="s">
        <v>84</v>
      </c>
      <c r="E16" s="189" t="s">
        <v>62</v>
      </c>
      <c r="F16" s="69" t="s">
        <v>88</v>
      </c>
      <c r="G16" s="70">
        <v>40968</v>
      </c>
      <c r="H16" s="71" t="s">
        <v>86</v>
      </c>
      <c r="I16" s="66"/>
      <c r="J16" s="67"/>
      <c r="K16" s="67"/>
      <c r="L16" s="67"/>
      <c r="M16" s="67"/>
      <c r="N16" s="145">
        <f t="shared" si="0"/>
        <v>0</v>
      </c>
      <c r="O16" s="64"/>
      <c r="P16" s="64"/>
      <c r="Q16" s="152">
        <f t="shared" si="1"/>
        <v>0</v>
      </c>
      <c r="R16" s="65">
        <f t="shared" si="2"/>
        <v>285.63631592757804</v>
      </c>
      <c r="S16" s="5">
        <f t="shared" si="3"/>
        <v>0</v>
      </c>
      <c r="T16" s="5">
        <f t="shared" si="4"/>
        <v>0</v>
      </c>
      <c r="U16" s="5">
        <f t="shared" si="5"/>
        <v>0</v>
      </c>
      <c r="V16" s="5">
        <f t="shared" si="6"/>
        <v>0</v>
      </c>
      <c r="W16" s="5">
        <f t="shared" si="7"/>
        <v>0</v>
      </c>
      <c r="X16" s="5">
        <f t="shared" si="8"/>
        <v>0</v>
      </c>
    </row>
    <row r="17" spans="1:24">
      <c r="A17" s="87"/>
      <c r="B17" s="87"/>
      <c r="C17" s="88"/>
      <c r="D17" s="89"/>
      <c r="E17" s="90"/>
      <c r="F17" s="69"/>
      <c r="G17" s="70"/>
      <c r="H17" s="71"/>
      <c r="I17" s="66"/>
      <c r="J17" s="67"/>
      <c r="K17" s="67"/>
      <c r="L17" s="67"/>
      <c r="M17" s="67"/>
      <c r="N17" s="145" t="str">
        <f t="shared" si="0"/>
        <v/>
      </c>
      <c r="O17" s="64"/>
      <c r="P17" s="64"/>
      <c r="Q17" s="152" t="str">
        <f t="shared" si="1"/>
        <v/>
      </c>
      <c r="R17" s="65" t="str">
        <f t="shared" si="2"/>
        <v/>
      </c>
      <c r="S17" s="5" t="str">
        <f t="shared" si="3"/>
        <v/>
      </c>
      <c r="T17" s="5" t="str">
        <f t="shared" si="4"/>
        <v/>
      </c>
      <c r="U17" s="5" t="str">
        <f t="shared" si="5"/>
        <v/>
      </c>
      <c r="V17" s="5" t="str">
        <f t="shared" si="6"/>
        <v/>
      </c>
      <c r="W17" s="5" t="str">
        <f t="shared" si="7"/>
        <v/>
      </c>
      <c r="X17" s="5" t="str">
        <f t="shared" si="8"/>
        <v/>
      </c>
    </row>
    <row r="18" spans="1:24">
      <c r="A18" s="87"/>
      <c r="B18" s="87"/>
      <c r="C18" s="88"/>
      <c r="D18" s="89"/>
      <c r="E18" s="90"/>
      <c r="F18" s="69"/>
      <c r="G18" s="70"/>
      <c r="H18" s="71"/>
      <c r="I18" s="66"/>
      <c r="J18" s="67"/>
      <c r="K18" s="67"/>
      <c r="L18" s="67"/>
      <c r="M18" s="67"/>
      <c r="N18" s="145" t="str">
        <f t="shared" si="0"/>
        <v/>
      </c>
      <c r="O18" s="64"/>
      <c r="P18" s="64"/>
      <c r="Q18" s="152" t="str">
        <f t="shared" si="1"/>
        <v/>
      </c>
      <c r="R18" s="65" t="str">
        <f t="shared" si="2"/>
        <v/>
      </c>
      <c r="S18" s="5" t="str">
        <f t="shared" si="3"/>
        <v/>
      </c>
      <c r="T18" s="5" t="str">
        <f t="shared" si="4"/>
        <v/>
      </c>
      <c r="U18" s="5" t="str">
        <f t="shared" si="5"/>
        <v/>
      </c>
      <c r="V18" s="5" t="str">
        <f t="shared" si="6"/>
        <v/>
      </c>
      <c r="W18" s="5" t="str">
        <f t="shared" si="7"/>
        <v/>
      </c>
      <c r="X18" s="5" t="str">
        <f t="shared" si="8"/>
        <v/>
      </c>
    </row>
    <row r="19" spans="1:24">
      <c r="A19" s="87"/>
      <c r="B19" s="87"/>
      <c r="C19" s="88"/>
      <c r="D19" s="89"/>
      <c r="E19" s="90"/>
      <c r="F19" s="69"/>
      <c r="G19" s="70"/>
      <c r="H19" s="71"/>
      <c r="I19" s="66"/>
      <c r="J19" s="67"/>
      <c r="K19" s="67"/>
      <c r="L19" s="67"/>
      <c r="M19" s="67"/>
      <c r="N19" s="145" t="str">
        <f t="shared" si="0"/>
        <v/>
      </c>
      <c r="O19" s="64"/>
      <c r="P19" s="64"/>
      <c r="Q19" s="152" t="str">
        <f t="shared" si="1"/>
        <v/>
      </c>
      <c r="R19" s="65" t="str">
        <f t="shared" si="2"/>
        <v/>
      </c>
      <c r="S19" s="5" t="str">
        <f t="shared" si="3"/>
        <v/>
      </c>
      <c r="T19" s="5" t="str">
        <f t="shared" si="4"/>
        <v/>
      </c>
      <c r="U19" s="5" t="str">
        <f t="shared" si="5"/>
        <v/>
      </c>
      <c r="V19" s="5" t="str">
        <f t="shared" si="6"/>
        <v/>
      </c>
      <c r="W19" s="5" t="str">
        <f t="shared" si="7"/>
        <v/>
      </c>
      <c r="X19" s="5" t="str">
        <f t="shared" si="8"/>
        <v/>
      </c>
    </row>
    <row r="20" spans="1:24">
      <c r="A20" s="87"/>
      <c r="B20" s="87"/>
      <c r="C20" s="88"/>
      <c r="D20" s="89"/>
      <c r="E20" s="90"/>
      <c r="F20" s="69"/>
      <c r="G20" s="70"/>
      <c r="H20" s="71"/>
      <c r="I20" s="66"/>
      <c r="J20" s="67"/>
      <c r="K20" s="67"/>
      <c r="L20" s="67"/>
      <c r="M20" s="67"/>
      <c r="N20" s="145" t="str">
        <f t="shared" si="0"/>
        <v/>
      </c>
      <c r="O20" s="64"/>
      <c r="P20" s="64"/>
      <c r="Q20" s="152" t="str">
        <f t="shared" si="1"/>
        <v/>
      </c>
      <c r="R20" s="65" t="str">
        <f t="shared" si="2"/>
        <v/>
      </c>
      <c r="S20" s="5" t="str">
        <f t="shared" si="3"/>
        <v/>
      </c>
      <c r="T20" s="5" t="str">
        <f t="shared" si="4"/>
        <v/>
      </c>
      <c r="U20" s="5" t="str">
        <f t="shared" si="5"/>
        <v/>
      </c>
      <c r="V20" s="5" t="str">
        <f t="shared" si="6"/>
        <v/>
      </c>
      <c r="W20" s="5" t="str">
        <f t="shared" si="7"/>
        <v/>
      </c>
      <c r="X20" s="5" t="str">
        <f t="shared" si="8"/>
        <v/>
      </c>
    </row>
    <row r="21" spans="1:24">
      <c r="A21" s="87"/>
      <c r="B21" s="87"/>
      <c r="C21" s="88"/>
      <c r="D21" s="89"/>
      <c r="E21" s="90"/>
      <c r="F21" s="69"/>
      <c r="G21" s="70"/>
      <c r="H21" s="71"/>
      <c r="I21" s="66"/>
      <c r="J21" s="67"/>
      <c r="K21" s="67"/>
      <c r="L21" s="67"/>
      <c r="M21" s="67"/>
      <c r="N21" s="145" t="str">
        <f t="shared" si="0"/>
        <v/>
      </c>
      <c r="O21" s="64"/>
      <c r="P21" s="64"/>
      <c r="Q21" s="152" t="str">
        <f>IF($C21="","",($O21-($P21/2)))</f>
        <v/>
      </c>
      <c r="R21" s="65" t="str">
        <f t="shared" si="2"/>
        <v/>
      </c>
      <c r="S21" s="5" t="str">
        <f t="shared" si="3"/>
        <v/>
      </c>
      <c r="T21" s="5" t="str">
        <f t="shared" si="4"/>
        <v/>
      </c>
      <c r="U21" s="5" t="str">
        <f t="shared" si="5"/>
        <v/>
      </c>
      <c r="V21" s="5" t="str">
        <f t="shared" si="6"/>
        <v/>
      </c>
      <c r="W21" s="5" t="str">
        <f t="shared" si="7"/>
        <v/>
      </c>
      <c r="X21" s="5" t="str">
        <f t="shared" si="8"/>
        <v/>
      </c>
    </row>
    <row r="22" spans="1:24">
      <c r="A22" s="87"/>
      <c r="B22" s="87"/>
      <c r="C22" s="88"/>
      <c r="D22" s="89"/>
      <c r="E22" s="90"/>
      <c r="F22" s="69"/>
      <c r="G22" s="70"/>
      <c r="H22" s="71"/>
      <c r="I22" s="66"/>
      <c r="J22" s="67"/>
      <c r="K22" s="67"/>
      <c r="L22" s="67"/>
      <c r="M22" s="67"/>
      <c r="N22" s="145" t="str">
        <f t="shared" si="0"/>
        <v/>
      </c>
      <c r="O22" s="64"/>
      <c r="P22" s="64"/>
      <c r="Q22" s="152" t="str">
        <f t="shared" si="1"/>
        <v/>
      </c>
      <c r="R22" s="65" t="str">
        <f t="shared" si="2"/>
        <v/>
      </c>
      <c r="S22" s="5" t="str">
        <f t="shared" si="3"/>
        <v/>
      </c>
      <c r="T22" s="5" t="str">
        <f t="shared" si="4"/>
        <v/>
      </c>
      <c r="U22" s="5" t="str">
        <f t="shared" si="5"/>
        <v/>
      </c>
      <c r="V22" s="5" t="str">
        <f t="shared" si="6"/>
        <v/>
      </c>
      <c r="W22" s="5" t="str">
        <f t="shared" si="7"/>
        <v/>
      </c>
      <c r="X22" s="5" t="str">
        <f t="shared" si="8"/>
        <v/>
      </c>
    </row>
    <row r="23" spans="1:24">
      <c r="A23" s="87"/>
      <c r="B23" s="87"/>
      <c r="C23" s="88"/>
      <c r="D23" s="89"/>
      <c r="E23" s="90"/>
      <c r="F23" s="69"/>
      <c r="G23" s="70"/>
      <c r="H23" s="71"/>
      <c r="I23" s="66"/>
      <c r="J23" s="67"/>
      <c r="K23" s="67"/>
      <c r="L23" s="67"/>
      <c r="M23" s="67"/>
      <c r="N23" s="145" t="str">
        <f t="shared" si="0"/>
        <v/>
      </c>
      <c r="O23" s="64"/>
      <c r="P23" s="64"/>
      <c r="Q23" s="152" t="str">
        <f t="shared" si="1"/>
        <v/>
      </c>
      <c r="R23" s="65" t="str">
        <f t="shared" si="2"/>
        <v/>
      </c>
      <c r="S23" s="5" t="str">
        <f t="shared" si="3"/>
        <v/>
      </c>
      <c r="T23" s="5" t="str">
        <f t="shared" si="4"/>
        <v/>
      </c>
      <c r="U23" s="5" t="str">
        <f t="shared" si="5"/>
        <v/>
      </c>
      <c r="V23" s="5" t="str">
        <f t="shared" si="6"/>
        <v/>
      </c>
      <c r="W23" s="5" t="str">
        <f t="shared" si="7"/>
        <v/>
      </c>
      <c r="X23" s="5" t="str">
        <f t="shared" si="8"/>
        <v/>
      </c>
    </row>
    <row r="24" spans="1:24">
      <c r="A24" s="87"/>
      <c r="B24" s="87"/>
      <c r="C24" s="88"/>
      <c r="D24" s="89"/>
      <c r="E24" s="90"/>
      <c r="F24" s="69"/>
      <c r="G24" s="70"/>
      <c r="H24" s="71"/>
      <c r="I24" s="66"/>
      <c r="J24" s="67"/>
      <c r="K24" s="67"/>
      <c r="L24" s="67"/>
      <c r="M24" s="67"/>
      <c r="N24" s="145" t="str">
        <f t="shared" si="0"/>
        <v/>
      </c>
      <c r="O24" s="64"/>
      <c r="P24" s="64"/>
      <c r="Q24" s="152" t="str">
        <f t="shared" si="1"/>
        <v/>
      </c>
      <c r="R24" s="65" t="str">
        <f t="shared" si="2"/>
        <v/>
      </c>
      <c r="S24" s="5" t="str">
        <f t="shared" si="3"/>
        <v/>
      </c>
      <c r="T24" s="5" t="str">
        <f t="shared" si="4"/>
        <v/>
      </c>
      <c r="U24" s="5" t="str">
        <f t="shared" si="5"/>
        <v/>
      </c>
      <c r="V24" s="5" t="str">
        <f t="shared" si="6"/>
        <v/>
      </c>
      <c r="W24" s="5" t="str">
        <f t="shared" si="7"/>
        <v/>
      </c>
      <c r="X24" s="5" t="str">
        <f t="shared" si="8"/>
        <v/>
      </c>
    </row>
    <row r="25" spans="1:24">
      <c r="A25" s="87"/>
      <c r="B25" s="87"/>
      <c r="C25" s="88"/>
      <c r="D25" s="89"/>
      <c r="E25" s="90"/>
      <c r="F25" s="69"/>
      <c r="G25" s="70"/>
      <c r="H25" s="71"/>
      <c r="I25" s="66"/>
      <c r="J25" s="67"/>
      <c r="K25" s="67"/>
      <c r="L25" s="67"/>
      <c r="M25" s="67"/>
      <c r="N25" s="145" t="str">
        <f t="shared" si="0"/>
        <v/>
      </c>
      <c r="O25" s="64"/>
      <c r="P25" s="64"/>
      <c r="Q25" s="152" t="str">
        <f t="shared" si="1"/>
        <v/>
      </c>
      <c r="R25" s="65" t="str">
        <f t="shared" si="2"/>
        <v/>
      </c>
      <c r="S25" s="5" t="str">
        <f t="shared" si="3"/>
        <v/>
      </c>
      <c r="T25" s="5" t="str">
        <f t="shared" si="4"/>
        <v/>
      </c>
      <c r="U25" s="5" t="str">
        <f t="shared" si="5"/>
        <v/>
      </c>
      <c r="V25" s="5" t="str">
        <f t="shared" si="6"/>
        <v/>
      </c>
      <c r="W25" s="5" t="str">
        <f t="shared" si="7"/>
        <v/>
      </c>
      <c r="X25" s="5" t="str">
        <f t="shared" si="8"/>
        <v/>
      </c>
    </row>
    <row r="26" spans="1:24">
      <c r="A26" s="87"/>
      <c r="B26" s="87"/>
      <c r="C26" s="88"/>
      <c r="D26" s="89"/>
      <c r="E26" s="90"/>
      <c r="F26" s="69"/>
      <c r="G26" s="70"/>
      <c r="H26" s="71"/>
      <c r="I26" s="66"/>
      <c r="J26" s="67"/>
      <c r="K26" s="67"/>
      <c r="L26" s="67"/>
      <c r="M26" s="67"/>
      <c r="N26" s="145" t="str">
        <f>IF($C26="","",IF($L26+$M26=0,0,$L26/($L26+$M26)))</f>
        <v/>
      </c>
      <c r="O26" s="64"/>
      <c r="P26" s="64"/>
      <c r="Q26" s="152" t="str">
        <f t="shared" si="1"/>
        <v/>
      </c>
      <c r="R26" s="65" t="str">
        <f t="shared" si="2"/>
        <v/>
      </c>
      <c r="S26" s="5" t="str">
        <f t="shared" si="3"/>
        <v/>
      </c>
      <c r="T26" s="5" t="str">
        <f t="shared" si="4"/>
        <v/>
      </c>
      <c r="U26" s="5" t="str">
        <f t="shared" si="5"/>
        <v/>
      </c>
      <c r="V26" s="5" t="str">
        <f t="shared" si="6"/>
        <v/>
      </c>
      <c r="W26" s="5" t="str">
        <f t="shared" si="7"/>
        <v/>
      </c>
      <c r="X26" s="5" t="str">
        <f t="shared" si="8"/>
        <v/>
      </c>
    </row>
    <row r="27" spans="1:24">
      <c r="A27" s="87"/>
      <c r="B27" s="87"/>
      <c r="C27" s="88"/>
      <c r="D27" s="89"/>
      <c r="E27" s="90"/>
      <c r="F27" s="69"/>
      <c r="G27" s="70"/>
      <c r="H27" s="71"/>
      <c r="I27" s="66"/>
      <c r="J27" s="67"/>
      <c r="K27" s="67"/>
      <c r="L27" s="67"/>
      <c r="M27" s="67"/>
      <c r="N27" s="145" t="str">
        <f t="shared" si="0"/>
        <v/>
      </c>
      <c r="O27" s="64"/>
      <c r="P27" s="64"/>
      <c r="Q27" s="152" t="str">
        <f t="shared" si="1"/>
        <v/>
      </c>
      <c r="R27" s="65" t="str">
        <f t="shared" si="2"/>
        <v/>
      </c>
      <c r="S27" s="5" t="str">
        <f t="shared" si="3"/>
        <v/>
      </c>
      <c r="T27" s="5" t="str">
        <f t="shared" si="4"/>
        <v/>
      </c>
      <c r="U27" s="5" t="str">
        <f t="shared" si="5"/>
        <v/>
      </c>
      <c r="V27" s="5" t="str">
        <f t="shared" si="6"/>
        <v/>
      </c>
      <c r="W27" s="5" t="str">
        <f t="shared" si="7"/>
        <v/>
      </c>
      <c r="X27" s="5" t="str">
        <f t="shared" si="8"/>
        <v/>
      </c>
    </row>
    <row r="28" spans="1:24">
      <c r="A28" s="87"/>
      <c r="B28" s="87"/>
      <c r="C28" s="88"/>
      <c r="D28" s="89"/>
      <c r="E28" s="90"/>
      <c r="F28" s="69"/>
      <c r="G28" s="70"/>
      <c r="H28" s="71"/>
      <c r="I28" s="66"/>
      <c r="J28" s="67"/>
      <c r="K28" s="67"/>
      <c r="L28" s="67"/>
      <c r="M28" s="67"/>
      <c r="N28" s="145" t="str">
        <f t="shared" si="0"/>
        <v/>
      </c>
      <c r="O28" s="64"/>
      <c r="P28" s="64"/>
      <c r="Q28" s="152" t="str">
        <f t="shared" si="1"/>
        <v/>
      </c>
      <c r="R28" s="65" t="str">
        <f t="shared" si="2"/>
        <v/>
      </c>
      <c r="S28" s="5" t="str">
        <f t="shared" si="3"/>
        <v/>
      </c>
      <c r="T28" s="5" t="str">
        <f t="shared" si="4"/>
        <v/>
      </c>
      <c r="U28" s="5" t="str">
        <f t="shared" si="5"/>
        <v/>
      </c>
      <c r="V28" s="5" t="str">
        <f t="shared" si="6"/>
        <v/>
      </c>
      <c r="W28" s="5" t="str">
        <f t="shared" si="7"/>
        <v/>
      </c>
      <c r="X28" s="5" t="str">
        <f t="shared" si="8"/>
        <v/>
      </c>
    </row>
    <row r="29" spans="1:24">
      <c r="A29" s="87"/>
      <c r="B29" s="87"/>
      <c r="C29" s="88"/>
      <c r="D29" s="89"/>
      <c r="E29" s="90"/>
      <c r="F29" s="69"/>
      <c r="G29" s="70"/>
      <c r="H29" s="71"/>
      <c r="I29" s="66"/>
      <c r="J29" s="67"/>
      <c r="K29" s="67"/>
      <c r="L29" s="67"/>
      <c r="M29" s="67"/>
      <c r="N29" s="145" t="str">
        <f t="shared" si="0"/>
        <v/>
      </c>
      <c r="O29" s="64"/>
      <c r="P29" s="64"/>
      <c r="Q29" s="152" t="str">
        <f t="shared" si="1"/>
        <v/>
      </c>
      <c r="R29" s="65" t="str">
        <f t="shared" si="2"/>
        <v/>
      </c>
      <c r="S29" s="5" t="str">
        <f t="shared" si="3"/>
        <v/>
      </c>
      <c r="T29" s="5" t="str">
        <f t="shared" si="4"/>
        <v/>
      </c>
      <c r="U29" s="5" t="str">
        <f t="shared" si="5"/>
        <v/>
      </c>
      <c r="V29" s="5" t="str">
        <f t="shared" si="6"/>
        <v/>
      </c>
      <c r="W29" s="5" t="str">
        <f t="shared" si="7"/>
        <v/>
      </c>
      <c r="X29" s="5" t="str">
        <f t="shared" si="8"/>
        <v/>
      </c>
    </row>
    <row r="30" spans="1:24">
      <c r="A30" s="87"/>
      <c r="B30" s="87"/>
      <c r="C30" s="88"/>
      <c r="D30" s="89"/>
      <c r="E30" s="90"/>
      <c r="F30" s="69"/>
      <c r="G30" s="70"/>
      <c r="H30" s="71"/>
      <c r="I30" s="66"/>
      <c r="J30" s="67"/>
      <c r="K30" s="67"/>
      <c r="L30" s="67"/>
      <c r="M30" s="67"/>
      <c r="N30" s="145" t="str">
        <f t="shared" si="0"/>
        <v/>
      </c>
      <c r="O30" s="64"/>
      <c r="P30" s="64"/>
      <c r="Q30" s="152" t="str">
        <f t="shared" si="1"/>
        <v/>
      </c>
      <c r="R30" s="65" t="str">
        <f t="shared" si="2"/>
        <v/>
      </c>
      <c r="S30" s="5" t="str">
        <f t="shared" si="3"/>
        <v/>
      </c>
      <c r="T30" s="5" t="str">
        <f t="shared" si="4"/>
        <v/>
      </c>
      <c r="U30" s="5" t="str">
        <f t="shared" si="5"/>
        <v/>
      </c>
      <c r="V30" s="5" t="str">
        <f t="shared" si="6"/>
        <v/>
      </c>
      <c r="W30" s="5" t="str">
        <f t="shared" si="7"/>
        <v/>
      </c>
      <c r="X30" s="5" t="str">
        <f t="shared" si="8"/>
        <v/>
      </c>
    </row>
    <row r="31" spans="1:24">
      <c r="A31" s="87"/>
      <c r="B31" s="87"/>
      <c r="C31" s="88"/>
      <c r="D31" s="89"/>
      <c r="E31" s="90"/>
      <c r="F31" s="69"/>
      <c r="G31" s="70"/>
      <c r="H31" s="71"/>
      <c r="I31" s="66"/>
      <c r="J31" s="67"/>
      <c r="K31" s="67"/>
      <c r="L31" s="67"/>
      <c r="M31" s="67"/>
      <c r="N31" s="145" t="str">
        <f t="shared" si="0"/>
        <v/>
      </c>
      <c r="O31" s="64"/>
      <c r="P31" s="64"/>
      <c r="Q31" s="152" t="str">
        <f t="shared" si="1"/>
        <v/>
      </c>
      <c r="R31" s="65" t="str">
        <f t="shared" si="2"/>
        <v/>
      </c>
      <c r="S31" s="5" t="str">
        <f t="shared" si="3"/>
        <v/>
      </c>
      <c r="T31" s="5" t="str">
        <f t="shared" si="4"/>
        <v/>
      </c>
      <c r="U31" s="5" t="str">
        <f t="shared" si="5"/>
        <v/>
      </c>
      <c r="V31" s="5" t="str">
        <f t="shared" si="6"/>
        <v/>
      </c>
      <c r="W31" s="5" t="str">
        <f t="shared" si="7"/>
        <v/>
      </c>
      <c r="X31" s="5" t="str">
        <f t="shared" si="8"/>
        <v/>
      </c>
    </row>
    <row r="32" spans="1:24">
      <c r="A32" s="87"/>
      <c r="B32" s="87"/>
      <c r="C32" s="88"/>
      <c r="D32" s="89"/>
      <c r="E32" s="90"/>
      <c r="F32" s="69"/>
      <c r="G32" s="70"/>
      <c r="H32" s="71"/>
      <c r="I32" s="66"/>
      <c r="J32" s="67"/>
      <c r="K32" s="67"/>
      <c r="L32" s="67"/>
      <c r="M32" s="67"/>
      <c r="N32" s="145" t="str">
        <f t="shared" si="0"/>
        <v/>
      </c>
      <c r="O32" s="64"/>
      <c r="P32" s="64"/>
      <c r="Q32" s="152" t="str">
        <f t="shared" si="1"/>
        <v/>
      </c>
      <c r="R32" s="65" t="str">
        <f t="shared" si="2"/>
        <v/>
      </c>
      <c r="S32" s="5" t="str">
        <f t="shared" si="3"/>
        <v/>
      </c>
      <c r="T32" s="5" t="str">
        <f t="shared" si="4"/>
        <v/>
      </c>
      <c r="U32" s="5" t="str">
        <f t="shared" si="5"/>
        <v/>
      </c>
      <c r="V32" s="5" t="str">
        <f t="shared" si="6"/>
        <v/>
      </c>
      <c r="W32" s="5" t="str">
        <f t="shared" si="7"/>
        <v/>
      </c>
      <c r="X32" s="5" t="str">
        <f t="shared" si="8"/>
        <v/>
      </c>
    </row>
    <row r="33" spans="1:24">
      <c r="A33" s="87"/>
      <c r="B33" s="87"/>
      <c r="C33" s="88"/>
      <c r="D33" s="89"/>
      <c r="E33" s="90"/>
      <c r="F33" s="69"/>
      <c r="G33" s="70"/>
      <c r="H33" s="71"/>
      <c r="I33" s="66"/>
      <c r="J33" s="67"/>
      <c r="K33" s="67"/>
      <c r="L33" s="67"/>
      <c r="M33" s="67"/>
      <c r="N33" s="145" t="str">
        <f t="shared" si="0"/>
        <v/>
      </c>
      <c r="O33" s="64"/>
      <c r="P33" s="64"/>
      <c r="Q33" s="152" t="str">
        <f t="shared" si="1"/>
        <v/>
      </c>
      <c r="R33" s="65" t="str">
        <f t="shared" si="2"/>
        <v/>
      </c>
      <c r="S33" s="5" t="str">
        <f t="shared" si="3"/>
        <v/>
      </c>
      <c r="T33" s="5" t="str">
        <f t="shared" si="4"/>
        <v/>
      </c>
      <c r="U33" s="5" t="str">
        <f t="shared" si="5"/>
        <v/>
      </c>
      <c r="V33" s="5" t="str">
        <f t="shared" si="6"/>
        <v/>
      </c>
      <c r="W33" s="5" t="str">
        <f t="shared" si="7"/>
        <v/>
      </c>
      <c r="X33" s="5" t="str">
        <f t="shared" si="8"/>
        <v/>
      </c>
    </row>
    <row r="34" spans="1:24">
      <c r="A34" s="87"/>
      <c r="B34" s="87"/>
      <c r="C34" s="88"/>
      <c r="D34" s="89"/>
      <c r="E34" s="90"/>
      <c r="F34" s="69"/>
      <c r="G34" s="70"/>
      <c r="H34" s="71"/>
      <c r="I34" s="66"/>
      <c r="J34" s="67"/>
      <c r="K34" s="67"/>
      <c r="L34" s="67"/>
      <c r="M34" s="67"/>
      <c r="N34" s="145" t="str">
        <f t="shared" si="0"/>
        <v/>
      </c>
      <c r="O34" s="64"/>
      <c r="P34" s="64"/>
      <c r="Q34" s="152" t="str">
        <f t="shared" si="1"/>
        <v/>
      </c>
      <c r="R34" s="65" t="str">
        <f t="shared" si="2"/>
        <v/>
      </c>
      <c r="S34" s="5" t="str">
        <f t="shared" si="3"/>
        <v/>
      </c>
      <c r="T34" s="5" t="str">
        <f t="shared" si="4"/>
        <v/>
      </c>
      <c r="U34" s="5" t="str">
        <f t="shared" si="5"/>
        <v/>
      </c>
      <c r="V34" s="5" t="str">
        <f t="shared" si="6"/>
        <v/>
      </c>
      <c r="W34" s="5" t="str">
        <f t="shared" si="7"/>
        <v/>
      </c>
      <c r="X34" s="5" t="str">
        <f t="shared" si="8"/>
        <v/>
      </c>
    </row>
    <row r="35" spans="1:24">
      <c r="A35" s="87"/>
      <c r="B35" s="87"/>
      <c r="C35" s="88"/>
      <c r="D35" s="89"/>
      <c r="E35" s="90"/>
      <c r="F35" s="69"/>
      <c r="G35" s="70"/>
      <c r="H35" s="71"/>
      <c r="I35" s="66"/>
      <c r="J35" s="67"/>
      <c r="K35" s="67"/>
      <c r="L35" s="67"/>
      <c r="M35" s="67"/>
      <c r="N35" s="145" t="str">
        <f t="shared" si="0"/>
        <v/>
      </c>
      <c r="O35" s="64"/>
      <c r="P35" s="64"/>
      <c r="Q35" s="152" t="str">
        <f t="shared" si="1"/>
        <v/>
      </c>
      <c r="R35" s="65" t="str">
        <f t="shared" si="2"/>
        <v/>
      </c>
      <c r="S35" s="5" t="str">
        <f t="shared" si="3"/>
        <v/>
      </c>
      <c r="T35" s="5" t="str">
        <f t="shared" si="4"/>
        <v/>
      </c>
      <c r="U35" s="5" t="str">
        <f t="shared" si="5"/>
        <v/>
      </c>
      <c r="V35" s="5" t="str">
        <f t="shared" si="6"/>
        <v/>
      </c>
      <c r="W35" s="5" t="str">
        <f t="shared" si="7"/>
        <v/>
      </c>
      <c r="X35" s="5" t="str">
        <f t="shared" si="8"/>
        <v/>
      </c>
    </row>
    <row r="36" spans="1:24">
      <c r="A36" s="87"/>
      <c r="B36" s="87"/>
      <c r="C36" s="88"/>
      <c r="D36" s="89"/>
      <c r="E36" s="90"/>
      <c r="F36" s="69"/>
      <c r="G36" s="70"/>
      <c r="H36" s="71"/>
      <c r="I36" s="66"/>
      <c r="J36" s="67"/>
      <c r="K36" s="67"/>
      <c r="L36" s="67"/>
      <c r="M36" s="67"/>
      <c r="N36" s="145" t="str">
        <f t="shared" si="0"/>
        <v/>
      </c>
      <c r="O36" s="64"/>
      <c r="P36" s="64"/>
      <c r="Q36" s="152" t="str">
        <f t="shared" si="1"/>
        <v/>
      </c>
      <c r="R36" s="65" t="str">
        <f t="shared" si="2"/>
        <v/>
      </c>
      <c r="S36" s="5" t="str">
        <f t="shared" si="3"/>
        <v/>
      </c>
      <c r="T36" s="5" t="str">
        <f t="shared" si="4"/>
        <v/>
      </c>
      <c r="U36" s="5" t="str">
        <f t="shared" si="5"/>
        <v/>
      </c>
      <c r="V36" s="5" t="str">
        <f t="shared" si="6"/>
        <v/>
      </c>
      <c r="W36" s="5" t="str">
        <f t="shared" si="7"/>
        <v/>
      </c>
      <c r="X36" s="5" t="str">
        <f t="shared" si="8"/>
        <v/>
      </c>
    </row>
    <row r="37" spans="1:24">
      <c r="A37" s="87"/>
      <c r="B37" s="87"/>
      <c r="C37" s="88"/>
      <c r="D37" s="89"/>
      <c r="E37" s="90"/>
      <c r="F37" s="69"/>
      <c r="G37" s="70"/>
      <c r="H37" s="71"/>
      <c r="I37" s="66"/>
      <c r="J37" s="67"/>
      <c r="K37" s="67"/>
      <c r="L37" s="67"/>
      <c r="M37" s="67"/>
      <c r="N37" s="145" t="str">
        <f t="shared" si="0"/>
        <v/>
      </c>
      <c r="O37" s="64"/>
      <c r="P37" s="64"/>
      <c r="Q37" s="152" t="str">
        <f t="shared" si="1"/>
        <v/>
      </c>
      <c r="R37" s="65" t="str">
        <f t="shared" si="2"/>
        <v/>
      </c>
      <c r="S37" s="5" t="str">
        <f t="shared" si="3"/>
        <v/>
      </c>
      <c r="T37" s="5" t="str">
        <f t="shared" si="4"/>
        <v/>
      </c>
      <c r="U37" s="5" t="str">
        <f t="shared" si="5"/>
        <v/>
      </c>
      <c r="V37" s="5" t="str">
        <f t="shared" si="6"/>
        <v/>
      </c>
      <c r="W37" s="5" t="str">
        <f t="shared" si="7"/>
        <v/>
      </c>
      <c r="X37" s="5" t="str">
        <f t="shared" si="8"/>
        <v/>
      </c>
    </row>
    <row r="38" spans="1:24">
      <c r="A38" s="87"/>
      <c r="B38" s="87"/>
      <c r="C38" s="88"/>
      <c r="D38" s="89"/>
      <c r="E38" s="90"/>
      <c r="F38" s="69"/>
      <c r="G38" s="70"/>
      <c r="H38" s="71"/>
      <c r="I38" s="66"/>
      <c r="J38" s="67"/>
      <c r="K38" s="67"/>
      <c r="L38" s="67"/>
      <c r="M38" s="67"/>
      <c r="N38" s="145" t="str">
        <f t="shared" si="0"/>
        <v/>
      </c>
      <c r="O38" s="64"/>
      <c r="P38" s="64"/>
      <c r="Q38" s="152" t="str">
        <f t="shared" si="1"/>
        <v/>
      </c>
      <c r="R38" s="65" t="str">
        <f t="shared" si="2"/>
        <v/>
      </c>
      <c r="S38" s="5" t="str">
        <f t="shared" si="3"/>
        <v/>
      </c>
      <c r="T38" s="5" t="str">
        <f t="shared" si="4"/>
        <v/>
      </c>
      <c r="U38" s="5" t="str">
        <f t="shared" si="5"/>
        <v/>
      </c>
      <c r="V38" s="5" t="str">
        <f t="shared" si="6"/>
        <v/>
      </c>
      <c r="W38" s="5" t="str">
        <f t="shared" si="7"/>
        <v/>
      </c>
      <c r="X38" s="5" t="str">
        <f t="shared" si="8"/>
        <v/>
      </c>
    </row>
    <row r="39" spans="1:24">
      <c r="A39" s="87"/>
      <c r="B39" s="87"/>
      <c r="C39" s="88"/>
      <c r="D39" s="89"/>
      <c r="E39" s="90"/>
      <c r="F39" s="69"/>
      <c r="G39" s="70"/>
      <c r="H39" s="71"/>
      <c r="I39" s="66"/>
      <c r="J39" s="67"/>
      <c r="K39" s="67"/>
      <c r="L39" s="67"/>
      <c r="M39" s="67"/>
      <c r="N39" s="145" t="str">
        <f t="shared" si="0"/>
        <v/>
      </c>
      <c r="O39" s="64"/>
      <c r="P39" s="64"/>
      <c r="Q39" s="152" t="str">
        <f>IF($C39="","",($O39-($P39/2)))</f>
        <v/>
      </c>
      <c r="R39" s="65" t="str">
        <f t="shared" si="2"/>
        <v/>
      </c>
      <c r="S39" s="5" t="str">
        <f t="shared" si="3"/>
        <v/>
      </c>
      <c r="T39" s="5" t="str">
        <f t="shared" si="4"/>
        <v/>
      </c>
      <c r="U39" s="5" t="str">
        <f t="shared" si="5"/>
        <v/>
      </c>
      <c r="V39" s="5" t="str">
        <f t="shared" si="6"/>
        <v/>
      </c>
      <c r="W39" s="5" t="str">
        <f t="shared" si="7"/>
        <v/>
      </c>
      <c r="X39" s="5" t="str">
        <f t="shared" si="8"/>
        <v/>
      </c>
    </row>
    <row r="40" spans="1:24">
      <c r="A40" s="87"/>
      <c r="B40" s="87"/>
      <c r="C40" s="88"/>
      <c r="D40" s="89"/>
      <c r="E40" s="90"/>
      <c r="F40" s="69"/>
      <c r="G40" s="70"/>
      <c r="H40" s="71"/>
      <c r="I40" s="66"/>
      <c r="J40" s="67"/>
      <c r="K40" s="67"/>
      <c r="L40" s="67"/>
      <c r="M40" s="67"/>
      <c r="N40" s="145" t="str">
        <f>IF($C40="","",IF($L40+$M40=0,0,$L40/($L40+$M40)))</f>
        <v/>
      </c>
      <c r="O40" s="64"/>
      <c r="P40" s="64"/>
      <c r="Q40" s="152" t="str">
        <f t="shared" si="1"/>
        <v/>
      </c>
      <c r="R40" s="65" t="str">
        <f t="shared" si="2"/>
        <v/>
      </c>
      <c r="S40" s="5" t="str">
        <f t="shared" si="3"/>
        <v/>
      </c>
      <c r="T40" s="5" t="str">
        <f t="shared" si="4"/>
        <v/>
      </c>
      <c r="U40" s="5" t="str">
        <f t="shared" si="5"/>
        <v/>
      </c>
      <c r="V40" s="5" t="str">
        <f t="shared" si="6"/>
        <v/>
      </c>
      <c r="W40" s="5" t="str">
        <f t="shared" si="7"/>
        <v/>
      </c>
      <c r="X40" s="5" t="str">
        <f t="shared" si="8"/>
        <v/>
      </c>
    </row>
    <row r="41" spans="1:24">
      <c r="A41" s="87"/>
      <c r="B41" s="87"/>
      <c r="C41" s="88"/>
      <c r="D41" s="89"/>
      <c r="E41" s="90"/>
      <c r="F41" s="69"/>
      <c r="G41" s="70"/>
      <c r="H41" s="71"/>
      <c r="I41" s="66"/>
      <c r="J41" s="67"/>
      <c r="K41" s="67"/>
      <c r="L41" s="67"/>
      <c r="M41" s="67"/>
      <c r="N41" s="145" t="str">
        <f t="shared" si="0"/>
        <v/>
      </c>
      <c r="O41" s="64"/>
      <c r="P41" s="64"/>
      <c r="Q41" s="152" t="str">
        <f t="shared" si="1"/>
        <v/>
      </c>
      <c r="R41" s="65" t="str">
        <f t="shared" si="2"/>
        <v/>
      </c>
      <c r="S41" s="5" t="str">
        <f t="shared" si="3"/>
        <v/>
      </c>
      <c r="T41" s="5" t="str">
        <f t="shared" si="4"/>
        <v/>
      </c>
      <c r="U41" s="5" t="str">
        <f t="shared" si="5"/>
        <v/>
      </c>
      <c r="V41" s="5" t="str">
        <f t="shared" si="6"/>
        <v/>
      </c>
      <c r="W41" s="5" t="str">
        <f t="shared" si="7"/>
        <v/>
      </c>
      <c r="X41" s="5" t="str">
        <f t="shared" si="8"/>
        <v/>
      </c>
    </row>
    <row r="42" spans="1:24">
      <c r="A42" s="87"/>
      <c r="B42" s="87"/>
      <c r="C42" s="88"/>
      <c r="D42" s="89"/>
      <c r="E42" s="90"/>
      <c r="F42" s="69"/>
      <c r="G42" s="70"/>
      <c r="H42" s="71"/>
      <c r="I42" s="66"/>
      <c r="J42" s="67"/>
      <c r="K42" s="67"/>
      <c r="L42" s="67"/>
      <c r="M42" s="67"/>
      <c r="N42" s="145" t="str">
        <f t="shared" si="0"/>
        <v/>
      </c>
      <c r="O42" s="64"/>
      <c r="P42" s="64"/>
      <c r="Q42" s="152" t="str">
        <f t="shared" si="1"/>
        <v/>
      </c>
      <c r="R42" s="65" t="str">
        <f t="shared" si="2"/>
        <v/>
      </c>
      <c r="S42" s="5" t="str">
        <f t="shared" si="3"/>
        <v/>
      </c>
      <c r="T42" s="5" t="str">
        <f t="shared" si="4"/>
        <v/>
      </c>
      <c r="U42" s="5" t="str">
        <f t="shared" si="5"/>
        <v/>
      </c>
      <c r="V42" s="5" t="str">
        <f t="shared" si="6"/>
        <v/>
      </c>
      <c r="W42" s="5" t="str">
        <f t="shared" si="7"/>
        <v/>
      </c>
      <c r="X42" s="5" t="str">
        <f t="shared" si="8"/>
        <v/>
      </c>
    </row>
    <row r="43" spans="1:24">
      <c r="A43" s="87"/>
      <c r="B43" s="87"/>
      <c r="C43" s="88"/>
      <c r="D43" s="89"/>
      <c r="E43" s="90"/>
      <c r="F43" s="69"/>
      <c r="G43" s="70"/>
      <c r="H43" s="71"/>
      <c r="I43" s="66"/>
      <c r="J43" s="67"/>
      <c r="K43" s="67"/>
      <c r="L43" s="67"/>
      <c r="M43" s="67"/>
      <c r="N43" s="145" t="str">
        <f t="shared" si="0"/>
        <v/>
      </c>
      <c r="O43" s="64"/>
      <c r="P43" s="64"/>
      <c r="Q43" s="152" t="str">
        <f t="shared" si="1"/>
        <v/>
      </c>
      <c r="R43" s="65" t="str">
        <f t="shared" si="2"/>
        <v/>
      </c>
      <c r="S43" s="5" t="str">
        <f t="shared" si="3"/>
        <v/>
      </c>
      <c r="T43" s="5" t="str">
        <f t="shared" si="4"/>
        <v/>
      </c>
      <c r="U43" s="5" t="str">
        <f t="shared" si="5"/>
        <v/>
      </c>
      <c r="V43" s="5" t="str">
        <f t="shared" si="6"/>
        <v/>
      </c>
      <c r="W43" s="5" t="str">
        <f t="shared" si="7"/>
        <v/>
      </c>
      <c r="X43" s="5" t="str">
        <f t="shared" si="8"/>
        <v/>
      </c>
    </row>
    <row r="44" spans="1:24">
      <c r="A44" s="87"/>
      <c r="B44" s="87"/>
      <c r="C44" s="88"/>
      <c r="D44" s="89"/>
      <c r="E44" s="90"/>
      <c r="F44" s="69"/>
      <c r="G44" s="70"/>
      <c r="H44" s="71"/>
      <c r="I44" s="66"/>
      <c r="J44" s="67"/>
      <c r="K44" s="67"/>
      <c r="L44" s="67"/>
      <c r="M44" s="67"/>
      <c r="N44" s="145" t="str">
        <f t="shared" si="0"/>
        <v/>
      </c>
      <c r="O44" s="64"/>
      <c r="P44" s="64"/>
      <c r="Q44" s="152" t="str">
        <f t="shared" si="1"/>
        <v/>
      </c>
      <c r="R44" s="65" t="str">
        <f t="shared" si="2"/>
        <v/>
      </c>
      <c r="S44" s="5" t="str">
        <f t="shared" si="3"/>
        <v/>
      </c>
      <c r="T44" s="5" t="str">
        <f t="shared" si="4"/>
        <v/>
      </c>
      <c r="U44" s="5" t="str">
        <f t="shared" si="5"/>
        <v/>
      </c>
      <c r="V44" s="5" t="str">
        <f t="shared" si="6"/>
        <v/>
      </c>
      <c r="W44" s="5" t="str">
        <f t="shared" si="7"/>
        <v/>
      </c>
      <c r="X44" s="5" t="str">
        <f t="shared" si="8"/>
        <v/>
      </c>
    </row>
    <row r="45" spans="1:24">
      <c r="A45" s="87"/>
      <c r="B45" s="87"/>
      <c r="C45" s="88"/>
      <c r="D45" s="89"/>
      <c r="E45" s="90"/>
      <c r="F45" s="69"/>
      <c r="G45" s="70"/>
      <c r="H45" s="71"/>
      <c r="I45" s="66"/>
      <c r="J45" s="67"/>
      <c r="K45" s="67"/>
      <c r="L45" s="67"/>
      <c r="M45" s="67"/>
      <c r="N45" s="145" t="str">
        <f t="shared" si="0"/>
        <v/>
      </c>
      <c r="O45" s="64"/>
      <c r="P45" s="64"/>
      <c r="Q45" s="152" t="str">
        <f t="shared" si="1"/>
        <v/>
      </c>
      <c r="R45" s="65" t="str">
        <f t="shared" si="2"/>
        <v/>
      </c>
      <c r="S45" s="5" t="str">
        <f t="shared" si="3"/>
        <v/>
      </c>
      <c r="T45" s="5" t="str">
        <f t="shared" si="4"/>
        <v/>
      </c>
      <c r="U45" s="5" t="str">
        <f t="shared" si="5"/>
        <v/>
      </c>
      <c r="V45" s="5" t="str">
        <f t="shared" si="6"/>
        <v/>
      </c>
      <c r="W45" s="5" t="str">
        <f t="shared" si="7"/>
        <v/>
      </c>
      <c r="X45" s="5" t="str">
        <f t="shared" si="8"/>
        <v/>
      </c>
    </row>
    <row r="46" spans="1:24">
      <c r="A46" s="87"/>
      <c r="B46" s="87"/>
      <c r="C46" s="88"/>
      <c r="D46" s="89"/>
      <c r="E46" s="90"/>
      <c r="F46" s="69"/>
      <c r="G46" s="70"/>
      <c r="H46" s="71"/>
      <c r="I46" s="66"/>
      <c r="J46" s="67"/>
      <c r="K46" s="67"/>
      <c r="L46" s="67"/>
      <c r="M46" s="67"/>
      <c r="N46" s="145" t="str">
        <f t="shared" si="0"/>
        <v/>
      </c>
      <c r="O46" s="64"/>
      <c r="P46" s="64"/>
      <c r="Q46" s="152" t="str">
        <f t="shared" si="1"/>
        <v/>
      </c>
      <c r="R46" s="65" t="str">
        <f t="shared" si="2"/>
        <v/>
      </c>
      <c r="S46" s="5" t="str">
        <f t="shared" si="3"/>
        <v/>
      </c>
      <c r="T46" s="5" t="str">
        <f t="shared" si="4"/>
        <v/>
      </c>
      <c r="U46" s="5" t="str">
        <f t="shared" si="5"/>
        <v/>
      </c>
      <c r="V46" s="5" t="str">
        <f t="shared" si="6"/>
        <v/>
      </c>
      <c r="W46" s="5" t="str">
        <f t="shared" si="7"/>
        <v/>
      </c>
      <c r="X46" s="5" t="str">
        <f t="shared" si="8"/>
        <v/>
      </c>
    </row>
    <row r="47" spans="1:24">
      <c r="A47" s="87"/>
      <c r="B47" s="87"/>
      <c r="C47" s="88"/>
      <c r="D47" s="89"/>
      <c r="E47" s="90"/>
      <c r="F47" s="69"/>
      <c r="G47" s="70"/>
      <c r="H47" s="71"/>
      <c r="I47" s="66"/>
      <c r="J47" s="67"/>
      <c r="K47" s="67"/>
      <c r="L47" s="67"/>
      <c r="M47" s="67"/>
      <c r="N47" s="145" t="str">
        <f t="shared" si="0"/>
        <v/>
      </c>
      <c r="O47" s="64"/>
      <c r="P47" s="64"/>
      <c r="Q47" s="152" t="str">
        <f t="shared" si="1"/>
        <v/>
      </c>
      <c r="R47" s="65" t="str">
        <f t="shared" si="2"/>
        <v/>
      </c>
      <c r="S47" s="5" t="str">
        <f t="shared" si="3"/>
        <v/>
      </c>
      <c r="T47" s="5" t="str">
        <f t="shared" si="4"/>
        <v/>
      </c>
      <c r="U47" s="5" t="str">
        <f t="shared" si="5"/>
        <v/>
      </c>
      <c r="V47" s="5" t="str">
        <f t="shared" si="6"/>
        <v/>
      </c>
      <c r="W47" s="5" t="str">
        <f t="shared" si="7"/>
        <v/>
      </c>
      <c r="X47" s="5" t="str">
        <f t="shared" si="8"/>
        <v/>
      </c>
    </row>
    <row r="48" spans="1:24">
      <c r="A48" s="87"/>
      <c r="B48" s="87"/>
      <c r="C48" s="88"/>
      <c r="D48" s="89"/>
      <c r="E48" s="90"/>
      <c r="F48" s="69"/>
      <c r="G48" s="70"/>
      <c r="H48" s="71"/>
      <c r="I48" s="66"/>
      <c r="J48" s="67"/>
      <c r="K48" s="67"/>
      <c r="L48" s="67"/>
      <c r="M48" s="67"/>
      <c r="N48" s="145" t="str">
        <f t="shared" si="0"/>
        <v/>
      </c>
      <c r="O48" s="64"/>
      <c r="P48" s="64"/>
      <c r="Q48" s="152" t="str">
        <f t="shared" si="1"/>
        <v/>
      </c>
      <c r="R48" s="65" t="str">
        <f t="shared" si="2"/>
        <v/>
      </c>
      <c r="S48" s="5" t="str">
        <f t="shared" si="3"/>
        <v/>
      </c>
      <c r="T48" s="5" t="str">
        <f t="shared" si="4"/>
        <v/>
      </c>
      <c r="U48" s="5" t="str">
        <f t="shared" si="5"/>
        <v/>
      </c>
      <c r="V48" s="5" t="str">
        <f t="shared" si="6"/>
        <v/>
      </c>
      <c r="W48" s="5" t="str">
        <f t="shared" si="7"/>
        <v/>
      </c>
      <c r="X48" s="5" t="str">
        <f t="shared" si="8"/>
        <v/>
      </c>
    </row>
    <row r="49" spans="1:24">
      <c r="A49" s="87"/>
      <c r="B49" s="87"/>
      <c r="C49" s="88"/>
      <c r="D49" s="89"/>
      <c r="E49" s="90"/>
      <c r="F49" s="69"/>
      <c r="G49" s="70"/>
      <c r="H49" s="71"/>
      <c r="I49" s="66"/>
      <c r="J49" s="67"/>
      <c r="K49" s="67"/>
      <c r="L49" s="67"/>
      <c r="M49" s="67"/>
      <c r="N49" s="145" t="str">
        <f t="shared" si="0"/>
        <v/>
      </c>
      <c r="O49" s="64"/>
      <c r="P49" s="64"/>
      <c r="Q49" s="152" t="str">
        <f t="shared" si="1"/>
        <v/>
      </c>
      <c r="R49" s="65" t="str">
        <f t="shared" si="2"/>
        <v/>
      </c>
      <c r="S49" s="5" t="str">
        <f t="shared" si="3"/>
        <v/>
      </c>
      <c r="T49" s="5" t="str">
        <f t="shared" si="4"/>
        <v/>
      </c>
      <c r="U49" s="5" t="str">
        <f t="shared" si="5"/>
        <v/>
      </c>
      <c r="V49" s="5" t="str">
        <f t="shared" si="6"/>
        <v/>
      </c>
      <c r="W49" s="5" t="str">
        <f t="shared" si="7"/>
        <v/>
      </c>
      <c r="X49" s="5" t="str">
        <f t="shared" si="8"/>
        <v/>
      </c>
    </row>
    <row r="50" spans="1:24">
      <c r="A50" s="87"/>
      <c r="B50" s="87"/>
      <c r="C50" s="88"/>
      <c r="D50" s="89"/>
      <c r="E50" s="90"/>
      <c r="F50" s="69"/>
      <c r="G50" s="70"/>
      <c r="H50" s="71"/>
      <c r="I50" s="66"/>
      <c r="J50" s="67"/>
      <c r="K50" s="67"/>
      <c r="L50" s="67"/>
      <c r="M50" s="67"/>
      <c r="N50" s="145" t="str">
        <f t="shared" si="0"/>
        <v/>
      </c>
      <c r="O50" s="64"/>
      <c r="P50" s="64"/>
      <c r="Q50" s="152" t="str">
        <f t="shared" si="1"/>
        <v/>
      </c>
      <c r="R50" s="65" t="str">
        <f t="shared" si="2"/>
        <v/>
      </c>
      <c r="S50" s="5" t="str">
        <f t="shared" si="3"/>
        <v/>
      </c>
      <c r="T50" s="5" t="str">
        <f t="shared" si="4"/>
        <v/>
      </c>
      <c r="U50" s="5" t="str">
        <f t="shared" si="5"/>
        <v/>
      </c>
      <c r="V50" s="5" t="str">
        <f t="shared" si="6"/>
        <v/>
      </c>
      <c r="W50" s="5" t="str">
        <f t="shared" si="7"/>
        <v/>
      </c>
      <c r="X50" s="5" t="str">
        <f t="shared" si="8"/>
        <v/>
      </c>
    </row>
    <row r="51" spans="1:24">
      <c r="A51" s="87"/>
      <c r="B51" s="87"/>
      <c r="C51" s="88"/>
      <c r="D51" s="89"/>
      <c r="E51" s="90"/>
      <c r="F51" s="69"/>
      <c r="G51" s="70"/>
      <c r="H51" s="71"/>
      <c r="I51" s="66"/>
      <c r="J51" s="67"/>
      <c r="K51" s="67"/>
      <c r="L51" s="67"/>
      <c r="M51" s="67"/>
      <c r="N51" s="145" t="str">
        <f t="shared" si="0"/>
        <v/>
      </c>
      <c r="O51" s="64"/>
      <c r="P51" s="64"/>
      <c r="Q51" s="152" t="str">
        <f t="shared" si="1"/>
        <v/>
      </c>
      <c r="R51" s="65" t="str">
        <f t="shared" si="2"/>
        <v/>
      </c>
      <c r="S51" s="5" t="str">
        <f t="shared" si="3"/>
        <v/>
      </c>
      <c r="T51" s="5" t="str">
        <f t="shared" si="4"/>
        <v/>
      </c>
      <c r="U51" s="5" t="str">
        <f t="shared" si="5"/>
        <v/>
      </c>
      <c r="V51" s="5" t="str">
        <f t="shared" si="6"/>
        <v/>
      </c>
      <c r="W51" s="5" t="str">
        <f t="shared" si="7"/>
        <v/>
      </c>
      <c r="X51" s="5" t="str">
        <f t="shared" si="8"/>
        <v/>
      </c>
    </row>
    <row r="52" spans="1:24">
      <c r="A52" s="87"/>
      <c r="B52" s="87"/>
      <c r="C52" s="88"/>
      <c r="D52" s="89"/>
      <c r="E52" s="90"/>
      <c r="F52" s="69"/>
      <c r="G52" s="70"/>
      <c r="H52" s="71"/>
      <c r="I52" s="66"/>
      <c r="J52" s="67"/>
      <c r="K52" s="67"/>
      <c r="L52" s="67"/>
      <c r="M52" s="67"/>
      <c r="N52" s="145" t="str">
        <f t="shared" si="0"/>
        <v/>
      </c>
      <c r="O52" s="64"/>
      <c r="P52" s="64"/>
      <c r="Q52" s="152" t="str">
        <f t="shared" si="1"/>
        <v/>
      </c>
      <c r="R52" s="65" t="str">
        <f t="shared" si="2"/>
        <v/>
      </c>
      <c r="S52" s="5" t="str">
        <f t="shared" si="3"/>
        <v/>
      </c>
      <c r="T52" s="5" t="str">
        <f t="shared" si="4"/>
        <v/>
      </c>
      <c r="U52" s="5" t="str">
        <f t="shared" si="5"/>
        <v/>
      </c>
      <c r="V52" s="5" t="str">
        <f t="shared" si="6"/>
        <v/>
      </c>
      <c r="W52" s="5" t="str">
        <f t="shared" si="7"/>
        <v/>
      </c>
      <c r="X52" s="5" t="str">
        <f t="shared" si="8"/>
        <v/>
      </c>
    </row>
    <row r="53" spans="1:24">
      <c r="A53" s="87"/>
      <c r="B53" s="87"/>
      <c r="C53" s="88"/>
      <c r="D53" s="89"/>
      <c r="E53" s="90"/>
      <c r="F53" s="69"/>
      <c r="G53" s="70"/>
      <c r="H53" s="71"/>
      <c r="I53" s="66"/>
      <c r="J53" s="67"/>
      <c r="K53" s="67"/>
      <c r="L53" s="67"/>
      <c r="M53" s="67"/>
      <c r="N53" s="145" t="str">
        <f t="shared" si="0"/>
        <v/>
      </c>
      <c r="O53" s="64"/>
      <c r="P53" s="64"/>
      <c r="Q53" s="152" t="str">
        <f t="shared" si="1"/>
        <v/>
      </c>
      <c r="R53" s="65" t="str">
        <f t="shared" si="2"/>
        <v/>
      </c>
      <c r="S53" s="5" t="str">
        <f t="shared" si="3"/>
        <v/>
      </c>
      <c r="T53" s="5" t="str">
        <f t="shared" si="4"/>
        <v/>
      </c>
      <c r="U53" s="5" t="str">
        <f t="shared" si="5"/>
        <v/>
      </c>
      <c r="V53" s="5" t="str">
        <f t="shared" si="6"/>
        <v/>
      </c>
      <c r="W53" s="5" t="str">
        <f t="shared" si="7"/>
        <v/>
      </c>
      <c r="X53" s="5" t="str">
        <f t="shared" si="8"/>
        <v/>
      </c>
    </row>
    <row r="54" spans="1:24">
      <c r="A54" s="87"/>
      <c r="B54" s="87"/>
      <c r="C54" s="88"/>
      <c r="D54" s="89"/>
      <c r="E54" s="90"/>
      <c r="F54" s="69"/>
      <c r="G54" s="70"/>
      <c r="H54" s="71"/>
      <c r="I54" s="66"/>
      <c r="J54" s="67"/>
      <c r="K54" s="67"/>
      <c r="L54" s="67"/>
      <c r="M54" s="67"/>
      <c r="N54" s="145" t="str">
        <f t="shared" si="0"/>
        <v/>
      </c>
      <c r="O54" s="64"/>
      <c r="P54" s="64"/>
      <c r="Q54" s="152" t="str">
        <f t="shared" si="1"/>
        <v/>
      </c>
      <c r="R54" s="65" t="str">
        <f t="shared" si="2"/>
        <v/>
      </c>
      <c r="S54" s="5" t="str">
        <f t="shared" si="3"/>
        <v/>
      </c>
      <c r="T54" s="5" t="str">
        <f t="shared" si="4"/>
        <v/>
      </c>
      <c r="U54" s="5" t="str">
        <f t="shared" si="5"/>
        <v/>
      </c>
      <c r="V54" s="5" t="str">
        <f t="shared" si="6"/>
        <v/>
      </c>
      <c r="W54" s="5" t="str">
        <f t="shared" si="7"/>
        <v/>
      </c>
      <c r="X54" s="5" t="str">
        <f t="shared" si="8"/>
        <v/>
      </c>
    </row>
    <row r="55" spans="1:24">
      <c r="A55" s="87"/>
      <c r="B55" s="87"/>
      <c r="C55" s="88"/>
      <c r="D55" s="89"/>
      <c r="E55" s="90"/>
      <c r="F55" s="69"/>
      <c r="G55" s="70"/>
      <c r="H55" s="71"/>
      <c r="I55" s="66"/>
      <c r="J55" s="67"/>
      <c r="K55" s="67"/>
      <c r="L55" s="67"/>
      <c r="M55" s="67"/>
      <c r="N55" s="145" t="str">
        <f t="shared" si="0"/>
        <v/>
      </c>
      <c r="O55" s="64"/>
      <c r="P55" s="64"/>
      <c r="Q55" s="152" t="str">
        <f t="shared" si="1"/>
        <v/>
      </c>
      <c r="R55" s="65" t="str">
        <f t="shared" si="2"/>
        <v/>
      </c>
      <c r="S55" s="5" t="str">
        <f t="shared" si="3"/>
        <v/>
      </c>
      <c r="T55" s="5" t="str">
        <f t="shared" si="4"/>
        <v/>
      </c>
      <c r="U55" s="5" t="str">
        <f t="shared" si="5"/>
        <v/>
      </c>
      <c r="V55" s="5" t="str">
        <f t="shared" si="6"/>
        <v/>
      </c>
      <c r="W55" s="5" t="str">
        <f t="shared" si="7"/>
        <v/>
      </c>
      <c r="X55" s="5" t="str">
        <f t="shared" si="8"/>
        <v/>
      </c>
    </row>
    <row r="56" spans="1:24">
      <c r="A56" s="87"/>
      <c r="B56" s="87"/>
      <c r="C56" s="88"/>
      <c r="D56" s="89"/>
      <c r="E56" s="90"/>
      <c r="F56" s="69"/>
      <c r="G56" s="70"/>
      <c r="H56" s="71"/>
      <c r="I56" s="66"/>
      <c r="J56" s="67"/>
      <c r="K56" s="67"/>
      <c r="L56" s="67"/>
      <c r="M56" s="67"/>
      <c r="N56" s="145" t="str">
        <f t="shared" si="0"/>
        <v/>
      </c>
      <c r="O56" s="64"/>
      <c r="P56" s="64"/>
      <c r="Q56" s="152" t="str">
        <f t="shared" si="1"/>
        <v/>
      </c>
      <c r="R56" s="65" t="str">
        <f t="shared" si="2"/>
        <v/>
      </c>
      <c r="S56" s="5" t="str">
        <f t="shared" si="3"/>
        <v/>
      </c>
      <c r="T56" s="5" t="str">
        <f t="shared" si="4"/>
        <v/>
      </c>
      <c r="U56" s="5" t="str">
        <f t="shared" si="5"/>
        <v/>
      </c>
      <c r="V56" s="5" t="str">
        <f t="shared" si="6"/>
        <v/>
      </c>
      <c r="W56" s="5" t="str">
        <f t="shared" si="7"/>
        <v/>
      </c>
      <c r="X56" s="5" t="str">
        <f t="shared" si="8"/>
        <v/>
      </c>
    </row>
    <row r="57" spans="1:24">
      <c r="A57" s="87"/>
      <c r="B57" s="87"/>
      <c r="C57" s="88"/>
      <c r="D57" s="89"/>
      <c r="E57" s="90"/>
      <c r="F57" s="69"/>
      <c r="G57" s="70"/>
      <c r="H57" s="71"/>
      <c r="I57" s="66"/>
      <c r="J57" s="67"/>
      <c r="K57" s="67"/>
      <c r="L57" s="67"/>
      <c r="M57" s="67"/>
      <c r="N57" s="145" t="str">
        <f t="shared" si="0"/>
        <v/>
      </c>
      <c r="O57" s="64"/>
      <c r="P57" s="64"/>
      <c r="Q57" s="152" t="str">
        <f t="shared" si="1"/>
        <v/>
      </c>
      <c r="R57" s="65" t="str">
        <f t="shared" si="2"/>
        <v/>
      </c>
      <c r="S57" s="5" t="str">
        <f t="shared" si="3"/>
        <v/>
      </c>
      <c r="T57" s="5" t="str">
        <f t="shared" si="4"/>
        <v/>
      </c>
      <c r="U57" s="5" t="str">
        <f t="shared" si="5"/>
        <v/>
      </c>
      <c r="V57" s="5" t="str">
        <f t="shared" si="6"/>
        <v/>
      </c>
      <c r="W57" s="5" t="str">
        <f t="shared" si="7"/>
        <v/>
      </c>
      <c r="X57" s="5" t="str">
        <f t="shared" si="8"/>
        <v/>
      </c>
    </row>
    <row r="58" spans="1:24">
      <c r="A58" s="87"/>
      <c r="B58" s="87"/>
      <c r="C58" s="88"/>
      <c r="D58" s="89"/>
      <c r="E58" s="90"/>
      <c r="F58" s="69"/>
      <c r="G58" s="70"/>
      <c r="H58" s="71"/>
      <c r="I58" s="66"/>
      <c r="J58" s="67"/>
      <c r="K58" s="67"/>
      <c r="L58" s="67"/>
      <c r="M58" s="67"/>
      <c r="N58" s="145" t="str">
        <f t="shared" si="0"/>
        <v/>
      </c>
      <c r="O58" s="64"/>
      <c r="P58" s="64"/>
      <c r="Q58" s="152" t="str">
        <f t="shared" si="1"/>
        <v/>
      </c>
      <c r="R58" s="65" t="str">
        <f t="shared" si="2"/>
        <v/>
      </c>
      <c r="S58" s="5" t="str">
        <f t="shared" si="3"/>
        <v/>
      </c>
      <c r="T58" s="5" t="str">
        <f t="shared" si="4"/>
        <v/>
      </c>
      <c r="U58" s="5" t="str">
        <f t="shared" si="5"/>
        <v/>
      </c>
      <c r="V58" s="5" t="str">
        <f t="shared" si="6"/>
        <v/>
      </c>
      <c r="W58" s="5" t="str">
        <f t="shared" si="7"/>
        <v/>
      </c>
      <c r="X58" s="5" t="str">
        <f t="shared" si="8"/>
        <v/>
      </c>
    </row>
    <row r="59" spans="1:24">
      <c r="A59" s="87"/>
      <c r="B59" s="87"/>
      <c r="C59" s="88"/>
      <c r="D59" s="89"/>
      <c r="E59" s="90"/>
      <c r="F59" s="69"/>
      <c r="G59" s="70"/>
      <c r="H59" s="71"/>
      <c r="I59" s="66"/>
      <c r="J59" s="67"/>
      <c r="K59" s="67"/>
      <c r="L59" s="67"/>
      <c r="M59" s="67"/>
      <c r="N59" s="145" t="str">
        <f t="shared" si="0"/>
        <v/>
      </c>
      <c r="O59" s="64"/>
      <c r="P59" s="64"/>
      <c r="Q59" s="152" t="str">
        <f t="shared" si="1"/>
        <v/>
      </c>
      <c r="R59" s="65" t="str">
        <f t="shared" si="2"/>
        <v/>
      </c>
      <c r="S59" s="5" t="str">
        <f t="shared" si="3"/>
        <v/>
      </c>
      <c r="T59" s="5" t="str">
        <f t="shared" si="4"/>
        <v/>
      </c>
      <c r="U59" s="5" t="str">
        <f t="shared" si="5"/>
        <v/>
      </c>
      <c r="V59" s="5" t="str">
        <f t="shared" si="6"/>
        <v/>
      </c>
      <c r="W59" s="5" t="str">
        <f t="shared" si="7"/>
        <v/>
      </c>
      <c r="X59" s="5" t="str">
        <f t="shared" si="8"/>
        <v/>
      </c>
    </row>
    <row r="60" spans="1:24">
      <c r="A60" s="87"/>
      <c r="B60" s="87"/>
      <c r="C60" s="88"/>
      <c r="D60" s="89"/>
      <c r="E60" s="90"/>
      <c r="F60" s="69"/>
      <c r="G60" s="70"/>
      <c r="H60" s="71"/>
      <c r="I60" s="66"/>
      <c r="J60" s="67"/>
      <c r="K60" s="67"/>
      <c r="L60" s="67"/>
      <c r="M60" s="67"/>
      <c r="N60" s="145" t="str">
        <f t="shared" si="0"/>
        <v/>
      </c>
      <c r="O60" s="64"/>
      <c r="P60" s="64"/>
      <c r="Q60" s="152" t="str">
        <f t="shared" si="1"/>
        <v/>
      </c>
      <c r="R60" s="65" t="str">
        <f t="shared" si="2"/>
        <v/>
      </c>
      <c r="S60" s="5" t="str">
        <f t="shared" si="3"/>
        <v/>
      </c>
      <c r="T60" s="5" t="str">
        <f t="shared" si="4"/>
        <v/>
      </c>
      <c r="U60" s="5" t="str">
        <f t="shared" si="5"/>
        <v/>
      </c>
      <c r="V60" s="5" t="str">
        <f t="shared" si="6"/>
        <v/>
      </c>
      <c r="W60" s="5" t="str">
        <f t="shared" si="7"/>
        <v/>
      </c>
      <c r="X60" s="5" t="str">
        <f t="shared" si="8"/>
        <v/>
      </c>
    </row>
    <row r="61" spans="1:24">
      <c r="A61" s="87"/>
      <c r="B61" s="87"/>
      <c r="C61" s="88"/>
      <c r="D61" s="89"/>
      <c r="E61" s="90"/>
      <c r="F61" s="69"/>
      <c r="G61" s="70"/>
      <c r="H61" s="71"/>
      <c r="I61" s="66"/>
      <c r="J61" s="67"/>
      <c r="K61" s="67"/>
      <c r="L61" s="67"/>
      <c r="M61" s="67"/>
      <c r="N61" s="145" t="str">
        <f t="shared" si="0"/>
        <v/>
      </c>
      <c r="O61" s="64"/>
      <c r="P61" s="64"/>
      <c r="Q61" s="152" t="str">
        <f t="shared" si="1"/>
        <v/>
      </c>
      <c r="R61" s="65" t="str">
        <f t="shared" si="2"/>
        <v/>
      </c>
      <c r="S61" s="5" t="str">
        <f t="shared" si="3"/>
        <v/>
      </c>
      <c r="T61" s="5" t="str">
        <f t="shared" si="4"/>
        <v/>
      </c>
      <c r="U61" s="5" t="str">
        <f t="shared" si="5"/>
        <v/>
      </c>
      <c r="V61" s="5" t="str">
        <f t="shared" si="6"/>
        <v/>
      </c>
      <c r="W61" s="5" t="str">
        <f t="shared" si="7"/>
        <v/>
      </c>
      <c r="X61" s="5" t="str">
        <f t="shared" si="8"/>
        <v/>
      </c>
    </row>
    <row r="62" spans="1:24">
      <c r="A62" s="87"/>
      <c r="B62" s="87"/>
      <c r="C62" s="88"/>
      <c r="D62" s="89"/>
      <c r="E62" s="90"/>
      <c r="F62" s="69"/>
      <c r="G62" s="70"/>
      <c r="H62" s="71"/>
      <c r="I62" s="66"/>
      <c r="J62" s="67"/>
      <c r="K62" s="67"/>
      <c r="L62" s="67"/>
      <c r="M62" s="67"/>
      <c r="N62" s="145" t="str">
        <f t="shared" si="0"/>
        <v/>
      </c>
      <c r="O62" s="64"/>
      <c r="P62" s="64"/>
      <c r="Q62" s="152" t="str">
        <f t="shared" si="1"/>
        <v/>
      </c>
      <c r="R62" s="65" t="str">
        <f t="shared" si="2"/>
        <v/>
      </c>
      <c r="S62" s="5" t="str">
        <f t="shared" si="3"/>
        <v/>
      </c>
      <c r="T62" s="5" t="str">
        <f t="shared" si="4"/>
        <v/>
      </c>
      <c r="U62" s="5" t="str">
        <f t="shared" si="5"/>
        <v/>
      </c>
      <c r="V62" s="5" t="str">
        <f t="shared" si="6"/>
        <v/>
      </c>
      <c r="W62" s="5" t="str">
        <f t="shared" si="7"/>
        <v/>
      </c>
      <c r="X62" s="5" t="str">
        <f t="shared" si="8"/>
        <v/>
      </c>
    </row>
    <row r="63" spans="1:24">
      <c r="A63" s="87"/>
      <c r="B63" s="87"/>
      <c r="C63" s="88"/>
      <c r="D63" s="89"/>
      <c r="E63" s="90"/>
      <c r="F63" s="69"/>
      <c r="G63" s="70"/>
      <c r="H63" s="71"/>
      <c r="I63" s="66"/>
      <c r="J63" s="67"/>
      <c r="K63" s="67"/>
      <c r="L63" s="67"/>
      <c r="M63" s="67"/>
      <c r="N63" s="145" t="str">
        <f t="shared" si="0"/>
        <v/>
      </c>
      <c r="O63" s="64"/>
      <c r="P63" s="64"/>
      <c r="Q63" s="152" t="str">
        <f t="shared" si="1"/>
        <v/>
      </c>
      <c r="R63" s="65" t="str">
        <f t="shared" si="2"/>
        <v/>
      </c>
      <c r="S63" s="5" t="str">
        <f t="shared" si="3"/>
        <v/>
      </c>
      <c r="T63" s="5" t="str">
        <f t="shared" si="4"/>
        <v/>
      </c>
      <c r="U63" s="5" t="str">
        <f t="shared" si="5"/>
        <v/>
      </c>
      <c r="V63" s="5" t="str">
        <f t="shared" si="6"/>
        <v/>
      </c>
      <c r="W63" s="5" t="str">
        <f t="shared" si="7"/>
        <v/>
      </c>
      <c r="X63" s="5" t="str">
        <f t="shared" si="8"/>
        <v/>
      </c>
    </row>
    <row r="64" spans="1:24">
      <c r="A64" s="87"/>
      <c r="B64" s="87"/>
      <c r="C64" s="88"/>
      <c r="D64" s="89"/>
      <c r="E64" s="90"/>
      <c r="F64" s="69"/>
      <c r="G64" s="70"/>
      <c r="H64" s="71"/>
      <c r="I64" s="66"/>
      <c r="J64" s="67"/>
      <c r="K64" s="67"/>
      <c r="L64" s="67"/>
      <c r="M64" s="67"/>
      <c r="N64" s="145" t="str">
        <f t="shared" si="0"/>
        <v/>
      </c>
      <c r="O64" s="64"/>
      <c r="P64" s="64"/>
      <c r="Q64" s="152" t="str">
        <f t="shared" si="1"/>
        <v/>
      </c>
      <c r="R64" s="65" t="str">
        <f t="shared" si="2"/>
        <v/>
      </c>
      <c r="S64" s="5" t="str">
        <f t="shared" si="3"/>
        <v/>
      </c>
      <c r="T64" s="5" t="str">
        <f t="shared" si="4"/>
        <v/>
      </c>
      <c r="U64" s="5" t="str">
        <f t="shared" si="5"/>
        <v/>
      </c>
      <c r="V64" s="5" t="str">
        <f t="shared" si="6"/>
        <v/>
      </c>
      <c r="W64" s="5" t="str">
        <f t="shared" si="7"/>
        <v/>
      </c>
      <c r="X64" s="5" t="str">
        <f t="shared" si="8"/>
        <v/>
      </c>
    </row>
    <row r="65" spans="1:24">
      <c r="A65" s="87"/>
      <c r="B65" s="87"/>
      <c r="C65" s="88"/>
      <c r="D65" s="89"/>
      <c r="E65" s="90"/>
      <c r="F65" s="69"/>
      <c r="G65" s="70"/>
      <c r="H65" s="71"/>
      <c r="I65" s="66"/>
      <c r="J65" s="67"/>
      <c r="K65" s="67"/>
      <c r="L65" s="67"/>
      <c r="M65" s="67"/>
      <c r="N65" s="145" t="str">
        <f t="shared" si="0"/>
        <v/>
      </c>
      <c r="O65" s="64"/>
      <c r="P65" s="64"/>
      <c r="Q65" s="152" t="str">
        <f t="shared" si="1"/>
        <v/>
      </c>
      <c r="R65" s="65" t="str">
        <f t="shared" si="2"/>
        <v/>
      </c>
      <c r="S65" s="5" t="str">
        <f t="shared" si="3"/>
        <v/>
      </c>
      <c r="T65" s="5" t="str">
        <f t="shared" si="4"/>
        <v/>
      </c>
      <c r="U65" s="5" t="str">
        <f t="shared" si="5"/>
        <v/>
      </c>
      <c r="V65" s="5" t="str">
        <f t="shared" si="6"/>
        <v/>
      </c>
      <c r="W65" s="5" t="str">
        <f t="shared" si="7"/>
        <v/>
      </c>
      <c r="X65" s="5" t="str">
        <f t="shared" si="8"/>
        <v/>
      </c>
    </row>
    <row r="66" spans="1:24">
      <c r="A66" s="87"/>
      <c r="B66" s="87"/>
      <c r="C66" s="88"/>
      <c r="D66" s="89"/>
      <c r="E66" s="90"/>
      <c r="F66" s="69"/>
      <c r="G66" s="70"/>
      <c r="H66" s="71"/>
      <c r="I66" s="66"/>
      <c r="J66" s="67"/>
      <c r="K66" s="67"/>
      <c r="L66" s="67"/>
      <c r="M66" s="67"/>
      <c r="N66" s="145" t="str">
        <f t="shared" si="0"/>
        <v/>
      </c>
      <c r="O66" s="64"/>
      <c r="P66" s="64"/>
      <c r="Q66" s="152" t="str">
        <f t="shared" si="1"/>
        <v/>
      </c>
      <c r="R66" s="65" t="str">
        <f t="shared" si="2"/>
        <v/>
      </c>
      <c r="S66" s="5" t="str">
        <f t="shared" si="3"/>
        <v/>
      </c>
      <c r="T66" s="5" t="str">
        <f t="shared" si="4"/>
        <v/>
      </c>
      <c r="U66" s="5" t="str">
        <f t="shared" si="5"/>
        <v/>
      </c>
      <c r="V66" s="5" t="str">
        <f t="shared" si="6"/>
        <v/>
      </c>
      <c r="W66" s="5" t="str">
        <f t="shared" si="7"/>
        <v/>
      </c>
      <c r="X66" s="5" t="str">
        <f t="shared" si="8"/>
        <v/>
      </c>
    </row>
    <row r="67" spans="1:24">
      <c r="A67" s="87"/>
      <c r="B67" s="87"/>
      <c r="C67" s="88"/>
      <c r="D67" s="89"/>
      <c r="E67" s="90"/>
      <c r="F67" s="69"/>
      <c r="G67" s="70"/>
      <c r="H67" s="71"/>
      <c r="I67" s="66"/>
      <c r="J67" s="67"/>
      <c r="K67" s="67"/>
      <c r="L67" s="67"/>
      <c r="M67" s="67"/>
      <c r="N67" s="145" t="str">
        <f t="shared" si="0"/>
        <v/>
      </c>
      <c r="O67" s="64"/>
      <c r="P67" s="64"/>
      <c r="Q67" s="152" t="str">
        <f t="shared" si="1"/>
        <v/>
      </c>
      <c r="R67" s="65" t="str">
        <f t="shared" si="2"/>
        <v/>
      </c>
      <c r="S67" s="5" t="str">
        <f t="shared" si="3"/>
        <v/>
      </c>
      <c r="T67" s="5" t="str">
        <f t="shared" si="4"/>
        <v/>
      </c>
      <c r="U67" s="5" t="str">
        <f t="shared" si="5"/>
        <v/>
      </c>
      <c r="V67" s="5" t="str">
        <f t="shared" si="6"/>
        <v/>
      </c>
      <c r="W67" s="5" t="str">
        <f t="shared" si="7"/>
        <v/>
      </c>
      <c r="X67" s="5" t="str">
        <f t="shared" si="8"/>
        <v/>
      </c>
    </row>
    <row r="68" spans="1:24">
      <c r="A68" s="87"/>
      <c r="B68" s="87"/>
      <c r="C68" s="88"/>
      <c r="D68" s="89"/>
      <c r="E68" s="90"/>
      <c r="F68" s="69"/>
      <c r="G68" s="70"/>
      <c r="H68" s="71"/>
      <c r="I68" s="66"/>
      <c r="J68" s="67"/>
      <c r="K68" s="67"/>
      <c r="L68" s="67"/>
      <c r="M68" s="67"/>
      <c r="N68" s="145" t="str">
        <f t="shared" si="0"/>
        <v/>
      </c>
      <c r="O68" s="64"/>
      <c r="P68" s="64"/>
      <c r="Q68" s="152" t="str">
        <f t="shared" si="1"/>
        <v/>
      </c>
      <c r="R68" s="65" t="str">
        <f t="shared" si="2"/>
        <v/>
      </c>
      <c r="S68" s="5" t="str">
        <f t="shared" si="3"/>
        <v/>
      </c>
      <c r="T68" s="5" t="str">
        <f t="shared" si="4"/>
        <v/>
      </c>
      <c r="U68" s="5" t="str">
        <f t="shared" si="5"/>
        <v/>
      </c>
      <c r="V68" s="5" t="str">
        <f t="shared" si="6"/>
        <v/>
      </c>
      <c r="W68" s="5" t="str">
        <f t="shared" si="7"/>
        <v/>
      </c>
      <c r="X68" s="5" t="str">
        <f t="shared" si="8"/>
        <v/>
      </c>
    </row>
    <row r="69" spans="1:24">
      <c r="A69" s="87"/>
      <c r="B69" s="87"/>
      <c r="C69" s="88"/>
      <c r="D69" s="89"/>
      <c r="E69" s="90"/>
      <c r="F69" s="69"/>
      <c r="G69" s="70"/>
      <c r="H69" s="71"/>
      <c r="I69" s="66"/>
      <c r="J69" s="67"/>
      <c r="K69" s="67"/>
      <c r="L69" s="67"/>
      <c r="M69" s="67"/>
      <c r="N69" s="145" t="str">
        <f t="shared" si="0"/>
        <v/>
      </c>
      <c r="O69" s="64"/>
      <c r="P69" s="64"/>
      <c r="Q69" s="152" t="str">
        <f t="shared" si="1"/>
        <v/>
      </c>
      <c r="R69" s="65" t="str">
        <f t="shared" si="2"/>
        <v/>
      </c>
      <c r="S69" s="5" t="str">
        <f t="shared" si="3"/>
        <v/>
      </c>
      <c r="T69" s="5" t="str">
        <f t="shared" si="4"/>
        <v/>
      </c>
      <c r="U69" s="5" t="str">
        <f t="shared" si="5"/>
        <v/>
      </c>
      <c r="V69" s="5" t="str">
        <f t="shared" si="6"/>
        <v/>
      </c>
      <c r="W69" s="5" t="str">
        <f t="shared" si="7"/>
        <v/>
      </c>
      <c r="X69" s="5" t="str">
        <f t="shared" si="8"/>
        <v/>
      </c>
    </row>
    <row r="70" spans="1:24">
      <c r="A70" s="87"/>
      <c r="B70" s="87"/>
      <c r="C70" s="88"/>
      <c r="D70" s="89"/>
      <c r="E70" s="90"/>
      <c r="F70" s="69"/>
      <c r="G70" s="70"/>
      <c r="H70" s="71"/>
      <c r="I70" s="66"/>
      <c r="J70" s="67"/>
      <c r="K70" s="67"/>
      <c r="L70" s="67"/>
      <c r="M70" s="67"/>
      <c r="N70" s="145" t="str">
        <f t="shared" si="0"/>
        <v/>
      </c>
      <c r="O70" s="64"/>
      <c r="P70" s="64"/>
      <c r="Q70" s="152" t="str">
        <f t="shared" si="1"/>
        <v/>
      </c>
      <c r="R70" s="65" t="str">
        <f t="shared" si="2"/>
        <v/>
      </c>
      <c r="S70" s="5" t="str">
        <f t="shared" si="3"/>
        <v/>
      </c>
      <c r="T70" s="5" t="str">
        <f t="shared" si="4"/>
        <v/>
      </c>
      <c r="U70" s="5" t="str">
        <f t="shared" si="5"/>
        <v/>
      </c>
      <c r="V70" s="5" t="str">
        <f t="shared" si="6"/>
        <v/>
      </c>
      <c r="W70" s="5" t="str">
        <f t="shared" si="7"/>
        <v/>
      </c>
      <c r="X70" s="5" t="str">
        <f t="shared" si="8"/>
        <v/>
      </c>
    </row>
    <row r="71" spans="1:24">
      <c r="A71" s="87"/>
      <c r="B71" s="87"/>
      <c r="C71" s="88"/>
      <c r="D71" s="89"/>
      <c r="E71" s="90"/>
      <c r="F71" s="69"/>
      <c r="G71" s="70"/>
      <c r="H71" s="71"/>
      <c r="I71" s="66"/>
      <c r="J71" s="67"/>
      <c r="K71" s="67"/>
      <c r="L71" s="67"/>
      <c r="M71" s="67"/>
      <c r="N71" s="145" t="str">
        <f t="shared" ref="N71:N134" si="9">IF($C71="","",IF($L71+$M71=0,0,$L71/($L71+$M71)))</f>
        <v/>
      </c>
      <c r="O71" s="64"/>
      <c r="P71" s="64"/>
      <c r="Q71" s="152" t="str">
        <f t="shared" ref="Q71:Q134" si="10">IF($C71="","",($O71-($P71/2)))</f>
        <v/>
      </c>
      <c r="R71" s="65" t="str">
        <f t="shared" ref="R71:R134" si="11">IF($C71="","",IF(TRIM($B71)="beginning",(((SUM($S71:$X71)-7085)/3811)*40)+360,IF(TRIM($B71)="middle",(((SUM($S71:$X71)-7085)/3811)*40)+400,IF(TRIM($B71)="end",(((SUM($S71:$X71)-7085)/3811)*40)+440,""))))</f>
        <v/>
      </c>
      <c r="S71" s="5" t="str">
        <f t="shared" ref="S71:S134" si="12">IF($C71="","",I71*32.74)</f>
        <v/>
      </c>
      <c r="T71" s="5" t="str">
        <f t="shared" ref="T71:T134" si="13">IF($C71="","",J71*10.95)</f>
        <v/>
      </c>
      <c r="U71" s="5" t="str">
        <f t="shared" ref="U71:U134" si="14">IF($C71="","",K71*21.26)</f>
        <v/>
      </c>
      <c r="V71" s="5" t="str">
        <f t="shared" ref="V71:V134" si="15">IF($C71="","",L71*35.36)</f>
        <v/>
      </c>
      <c r="W71" s="5" t="str">
        <f t="shared" ref="W71:W134" si="16">IF($C71="","",N71*0.15)</f>
        <v/>
      </c>
      <c r="X71" s="5" t="str">
        <f t="shared" ref="X71:X134" si="17">IF($C71="","",Q71*4.28)</f>
        <v/>
      </c>
    </row>
    <row r="72" spans="1:24">
      <c r="A72" s="87"/>
      <c r="B72" s="87"/>
      <c r="C72" s="88"/>
      <c r="D72" s="89"/>
      <c r="E72" s="90"/>
      <c r="F72" s="69"/>
      <c r="G72" s="70"/>
      <c r="H72" s="71"/>
      <c r="I72" s="66"/>
      <c r="J72" s="67"/>
      <c r="K72" s="67"/>
      <c r="L72" s="67"/>
      <c r="M72" s="67"/>
      <c r="N72" s="145" t="str">
        <f t="shared" si="9"/>
        <v/>
      </c>
      <c r="O72" s="64"/>
      <c r="P72" s="64"/>
      <c r="Q72" s="152" t="str">
        <f t="shared" si="10"/>
        <v/>
      </c>
      <c r="R72" s="65" t="str">
        <f t="shared" si="11"/>
        <v/>
      </c>
      <c r="S72" s="5" t="str">
        <f t="shared" si="12"/>
        <v/>
      </c>
      <c r="T72" s="5" t="str">
        <f t="shared" si="13"/>
        <v/>
      </c>
      <c r="U72" s="5" t="str">
        <f t="shared" si="14"/>
        <v/>
      </c>
      <c r="V72" s="5" t="str">
        <f t="shared" si="15"/>
        <v/>
      </c>
      <c r="W72" s="5" t="str">
        <f t="shared" si="16"/>
        <v/>
      </c>
      <c r="X72" s="5" t="str">
        <f t="shared" si="17"/>
        <v/>
      </c>
    </row>
    <row r="73" spans="1:24">
      <c r="A73" s="87"/>
      <c r="B73" s="87"/>
      <c r="C73" s="88"/>
      <c r="D73" s="89"/>
      <c r="E73" s="90"/>
      <c r="F73" s="69"/>
      <c r="G73" s="70"/>
      <c r="H73" s="71"/>
      <c r="I73" s="66"/>
      <c r="J73" s="67"/>
      <c r="K73" s="67"/>
      <c r="L73" s="67"/>
      <c r="M73" s="67"/>
      <c r="N73" s="145" t="str">
        <f t="shared" si="9"/>
        <v/>
      </c>
      <c r="O73" s="64"/>
      <c r="P73" s="64"/>
      <c r="Q73" s="152" t="str">
        <f t="shared" si="10"/>
        <v/>
      </c>
      <c r="R73" s="65" t="str">
        <f t="shared" si="11"/>
        <v/>
      </c>
      <c r="S73" s="5" t="str">
        <f t="shared" si="12"/>
        <v/>
      </c>
      <c r="T73" s="5" t="str">
        <f t="shared" si="13"/>
        <v/>
      </c>
      <c r="U73" s="5" t="str">
        <f t="shared" si="14"/>
        <v/>
      </c>
      <c r="V73" s="5" t="str">
        <f t="shared" si="15"/>
        <v/>
      </c>
      <c r="W73" s="5" t="str">
        <f t="shared" si="16"/>
        <v/>
      </c>
      <c r="X73" s="5" t="str">
        <f t="shared" si="17"/>
        <v/>
      </c>
    </row>
    <row r="74" spans="1:24">
      <c r="A74" s="87"/>
      <c r="B74" s="87"/>
      <c r="C74" s="88"/>
      <c r="D74" s="89"/>
      <c r="E74" s="90"/>
      <c r="F74" s="69"/>
      <c r="G74" s="70"/>
      <c r="H74" s="71"/>
      <c r="I74" s="66"/>
      <c r="J74" s="67"/>
      <c r="K74" s="67"/>
      <c r="L74" s="67"/>
      <c r="M74" s="67"/>
      <c r="N74" s="145" t="str">
        <f t="shared" si="9"/>
        <v/>
      </c>
      <c r="O74" s="64"/>
      <c r="P74" s="64"/>
      <c r="Q74" s="152" t="str">
        <f t="shared" si="10"/>
        <v/>
      </c>
      <c r="R74" s="65" t="str">
        <f t="shared" si="11"/>
        <v/>
      </c>
      <c r="S74" s="5" t="str">
        <f t="shared" si="12"/>
        <v/>
      </c>
      <c r="T74" s="5" t="str">
        <f t="shared" si="13"/>
        <v/>
      </c>
      <c r="U74" s="5" t="str">
        <f t="shared" si="14"/>
        <v/>
      </c>
      <c r="V74" s="5" t="str">
        <f t="shared" si="15"/>
        <v/>
      </c>
      <c r="W74" s="5" t="str">
        <f t="shared" si="16"/>
        <v/>
      </c>
      <c r="X74" s="5" t="str">
        <f t="shared" si="17"/>
        <v/>
      </c>
    </row>
    <row r="75" spans="1:24">
      <c r="A75" s="87"/>
      <c r="B75" s="87"/>
      <c r="C75" s="88"/>
      <c r="D75" s="89"/>
      <c r="E75" s="90"/>
      <c r="F75" s="69"/>
      <c r="G75" s="70"/>
      <c r="H75" s="71"/>
      <c r="I75" s="66"/>
      <c r="J75" s="67"/>
      <c r="K75" s="67"/>
      <c r="L75" s="67"/>
      <c r="M75" s="67"/>
      <c r="N75" s="145" t="str">
        <f t="shared" si="9"/>
        <v/>
      </c>
      <c r="O75" s="64"/>
      <c r="P75" s="64"/>
      <c r="Q75" s="152" t="str">
        <f t="shared" si="10"/>
        <v/>
      </c>
      <c r="R75" s="65" t="str">
        <f t="shared" si="11"/>
        <v/>
      </c>
      <c r="S75" s="5" t="str">
        <f t="shared" si="12"/>
        <v/>
      </c>
      <c r="T75" s="5" t="str">
        <f t="shared" si="13"/>
        <v/>
      </c>
      <c r="U75" s="5" t="str">
        <f t="shared" si="14"/>
        <v/>
      </c>
      <c r="V75" s="5" t="str">
        <f t="shared" si="15"/>
        <v/>
      </c>
      <c r="W75" s="5" t="str">
        <f t="shared" si="16"/>
        <v/>
      </c>
      <c r="X75" s="5" t="str">
        <f t="shared" si="17"/>
        <v/>
      </c>
    </row>
    <row r="76" spans="1:24">
      <c r="A76" s="87"/>
      <c r="B76" s="87"/>
      <c r="C76" s="88"/>
      <c r="D76" s="89"/>
      <c r="E76" s="90"/>
      <c r="F76" s="69"/>
      <c r="G76" s="70"/>
      <c r="H76" s="71"/>
      <c r="I76" s="66"/>
      <c r="J76" s="67"/>
      <c r="K76" s="67"/>
      <c r="L76" s="67"/>
      <c r="M76" s="67"/>
      <c r="N76" s="145" t="str">
        <f t="shared" si="9"/>
        <v/>
      </c>
      <c r="O76" s="64"/>
      <c r="P76" s="64"/>
      <c r="Q76" s="152" t="str">
        <f t="shared" si="10"/>
        <v/>
      </c>
      <c r="R76" s="65" t="str">
        <f t="shared" si="11"/>
        <v/>
      </c>
      <c r="S76" s="5" t="str">
        <f t="shared" si="12"/>
        <v/>
      </c>
      <c r="T76" s="5" t="str">
        <f t="shared" si="13"/>
        <v/>
      </c>
      <c r="U76" s="5" t="str">
        <f t="shared" si="14"/>
        <v/>
      </c>
      <c r="V76" s="5" t="str">
        <f t="shared" si="15"/>
        <v/>
      </c>
      <c r="W76" s="5" t="str">
        <f t="shared" si="16"/>
        <v/>
      </c>
      <c r="X76" s="5" t="str">
        <f t="shared" si="17"/>
        <v/>
      </c>
    </row>
    <row r="77" spans="1:24">
      <c r="A77" s="87"/>
      <c r="B77" s="87"/>
      <c r="C77" s="88"/>
      <c r="D77" s="89"/>
      <c r="E77" s="90"/>
      <c r="F77" s="69"/>
      <c r="G77" s="70"/>
      <c r="H77" s="71"/>
      <c r="I77" s="66"/>
      <c r="J77" s="67"/>
      <c r="K77" s="67"/>
      <c r="L77" s="67"/>
      <c r="M77" s="67"/>
      <c r="N77" s="145" t="str">
        <f t="shared" si="9"/>
        <v/>
      </c>
      <c r="O77" s="64"/>
      <c r="P77" s="64"/>
      <c r="Q77" s="152" t="str">
        <f t="shared" si="10"/>
        <v/>
      </c>
      <c r="R77" s="65" t="str">
        <f t="shared" si="11"/>
        <v/>
      </c>
      <c r="S77" s="5" t="str">
        <f t="shared" si="12"/>
        <v/>
      </c>
      <c r="T77" s="5" t="str">
        <f t="shared" si="13"/>
        <v/>
      </c>
      <c r="U77" s="5" t="str">
        <f t="shared" si="14"/>
        <v/>
      </c>
      <c r="V77" s="5" t="str">
        <f t="shared" si="15"/>
        <v/>
      </c>
      <c r="W77" s="5" t="str">
        <f t="shared" si="16"/>
        <v/>
      </c>
      <c r="X77" s="5" t="str">
        <f t="shared" si="17"/>
        <v/>
      </c>
    </row>
    <row r="78" spans="1:24">
      <c r="A78" s="87"/>
      <c r="B78" s="87"/>
      <c r="C78" s="88"/>
      <c r="D78" s="89"/>
      <c r="E78" s="90"/>
      <c r="F78" s="69"/>
      <c r="G78" s="70"/>
      <c r="H78" s="71"/>
      <c r="I78" s="66"/>
      <c r="J78" s="67"/>
      <c r="K78" s="67"/>
      <c r="L78" s="67"/>
      <c r="M78" s="67"/>
      <c r="N78" s="145" t="str">
        <f t="shared" si="9"/>
        <v/>
      </c>
      <c r="O78" s="64"/>
      <c r="P78" s="64"/>
      <c r="Q78" s="152" t="str">
        <f t="shared" si="10"/>
        <v/>
      </c>
      <c r="R78" s="65" t="str">
        <f t="shared" si="11"/>
        <v/>
      </c>
      <c r="S78" s="5" t="str">
        <f t="shared" si="12"/>
        <v/>
      </c>
      <c r="T78" s="5" t="str">
        <f t="shared" si="13"/>
        <v/>
      </c>
      <c r="U78" s="5" t="str">
        <f t="shared" si="14"/>
        <v/>
      </c>
      <c r="V78" s="5" t="str">
        <f t="shared" si="15"/>
        <v/>
      </c>
      <c r="W78" s="5" t="str">
        <f t="shared" si="16"/>
        <v/>
      </c>
      <c r="X78" s="5" t="str">
        <f t="shared" si="17"/>
        <v/>
      </c>
    </row>
    <row r="79" spans="1:24">
      <c r="A79" s="87"/>
      <c r="B79" s="87"/>
      <c r="C79" s="88"/>
      <c r="D79" s="89"/>
      <c r="E79" s="90"/>
      <c r="F79" s="69"/>
      <c r="G79" s="70"/>
      <c r="H79" s="71"/>
      <c r="I79" s="66"/>
      <c r="J79" s="67"/>
      <c r="K79" s="67"/>
      <c r="L79" s="67"/>
      <c r="M79" s="67"/>
      <c r="N79" s="145" t="str">
        <f t="shared" si="9"/>
        <v/>
      </c>
      <c r="O79" s="64"/>
      <c r="P79" s="64"/>
      <c r="Q79" s="152" t="str">
        <f t="shared" si="10"/>
        <v/>
      </c>
      <c r="R79" s="65" t="str">
        <f t="shared" si="11"/>
        <v/>
      </c>
      <c r="S79" s="5" t="str">
        <f t="shared" si="12"/>
        <v/>
      </c>
      <c r="T79" s="5" t="str">
        <f t="shared" si="13"/>
        <v/>
      </c>
      <c r="U79" s="5" t="str">
        <f t="shared" si="14"/>
        <v/>
      </c>
      <c r="V79" s="5" t="str">
        <f t="shared" si="15"/>
        <v/>
      </c>
      <c r="W79" s="5" t="str">
        <f t="shared" si="16"/>
        <v/>
      </c>
      <c r="X79" s="5" t="str">
        <f t="shared" si="17"/>
        <v/>
      </c>
    </row>
    <row r="80" spans="1:24">
      <c r="A80" s="87"/>
      <c r="B80" s="87"/>
      <c r="C80" s="88"/>
      <c r="D80" s="89"/>
      <c r="E80" s="90"/>
      <c r="F80" s="69"/>
      <c r="G80" s="70"/>
      <c r="H80" s="71"/>
      <c r="I80" s="66"/>
      <c r="J80" s="67"/>
      <c r="K80" s="67"/>
      <c r="L80" s="67"/>
      <c r="M80" s="67"/>
      <c r="N80" s="145" t="str">
        <f t="shared" si="9"/>
        <v/>
      </c>
      <c r="O80" s="64"/>
      <c r="P80" s="64"/>
      <c r="Q80" s="152" t="str">
        <f t="shared" si="10"/>
        <v/>
      </c>
      <c r="R80" s="65" t="str">
        <f t="shared" si="11"/>
        <v/>
      </c>
      <c r="S80" s="5" t="str">
        <f t="shared" si="12"/>
        <v/>
      </c>
      <c r="T80" s="5" t="str">
        <f t="shared" si="13"/>
        <v/>
      </c>
      <c r="U80" s="5" t="str">
        <f t="shared" si="14"/>
        <v/>
      </c>
      <c r="V80" s="5" t="str">
        <f t="shared" si="15"/>
        <v/>
      </c>
      <c r="W80" s="5" t="str">
        <f t="shared" si="16"/>
        <v/>
      </c>
      <c r="X80" s="5" t="str">
        <f t="shared" si="17"/>
        <v/>
      </c>
    </row>
    <row r="81" spans="1:24">
      <c r="A81" s="87"/>
      <c r="B81" s="87"/>
      <c r="C81" s="88"/>
      <c r="D81" s="89"/>
      <c r="E81" s="90"/>
      <c r="F81" s="69"/>
      <c r="G81" s="70"/>
      <c r="H81" s="71"/>
      <c r="I81" s="66"/>
      <c r="J81" s="67"/>
      <c r="K81" s="67"/>
      <c r="L81" s="67"/>
      <c r="M81" s="67"/>
      <c r="N81" s="145" t="str">
        <f t="shared" si="9"/>
        <v/>
      </c>
      <c r="O81" s="64"/>
      <c r="P81" s="64"/>
      <c r="Q81" s="152" t="str">
        <f t="shared" si="10"/>
        <v/>
      </c>
      <c r="R81" s="65" t="str">
        <f t="shared" si="11"/>
        <v/>
      </c>
      <c r="S81" s="5" t="str">
        <f t="shared" si="12"/>
        <v/>
      </c>
      <c r="T81" s="5" t="str">
        <f t="shared" si="13"/>
        <v/>
      </c>
      <c r="U81" s="5" t="str">
        <f t="shared" si="14"/>
        <v/>
      </c>
      <c r="V81" s="5" t="str">
        <f t="shared" si="15"/>
        <v/>
      </c>
      <c r="W81" s="5" t="str">
        <f t="shared" si="16"/>
        <v/>
      </c>
      <c r="X81" s="5" t="str">
        <f t="shared" si="17"/>
        <v/>
      </c>
    </row>
    <row r="82" spans="1:24">
      <c r="A82" s="87"/>
      <c r="B82" s="87"/>
      <c r="C82" s="88"/>
      <c r="D82" s="89"/>
      <c r="E82" s="90"/>
      <c r="F82" s="69"/>
      <c r="G82" s="70"/>
      <c r="H82" s="71"/>
      <c r="I82" s="66"/>
      <c r="J82" s="67"/>
      <c r="K82" s="67"/>
      <c r="L82" s="67"/>
      <c r="M82" s="67"/>
      <c r="N82" s="145" t="str">
        <f t="shared" si="9"/>
        <v/>
      </c>
      <c r="O82" s="64"/>
      <c r="P82" s="64"/>
      <c r="Q82" s="152" t="str">
        <f t="shared" si="10"/>
        <v/>
      </c>
      <c r="R82" s="65" t="str">
        <f t="shared" si="11"/>
        <v/>
      </c>
      <c r="S82" s="5" t="str">
        <f t="shared" si="12"/>
        <v/>
      </c>
      <c r="T82" s="5" t="str">
        <f t="shared" si="13"/>
        <v/>
      </c>
      <c r="U82" s="5" t="str">
        <f t="shared" si="14"/>
        <v/>
      </c>
      <c r="V82" s="5" t="str">
        <f t="shared" si="15"/>
        <v/>
      </c>
      <c r="W82" s="5" t="str">
        <f t="shared" si="16"/>
        <v/>
      </c>
      <c r="X82" s="5" t="str">
        <f t="shared" si="17"/>
        <v/>
      </c>
    </row>
    <row r="83" spans="1:24">
      <c r="A83" s="87"/>
      <c r="B83" s="87"/>
      <c r="C83" s="88"/>
      <c r="D83" s="89"/>
      <c r="E83" s="90"/>
      <c r="F83" s="69"/>
      <c r="G83" s="70"/>
      <c r="H83" s="71"/>
      <c r="I83" s="66"/>
      <c r="J83" s="67"/>
      <c r="K83" s="67"/>
      <c r="L83" s="67"/>
      <c r="M83" s="67"/>
      <c r="N83" s="145" t="str">
        <f t="shared" si="9"/>
        <v/>
      </c>
      <c r="O83" s="64"/>
      <c r="P83" s="64"/>
      <c r="Q83" s="152" t="str">
        <f t="shared" si="10"/>
        <v/>
      </c>
      <c r="R83" s="65" t="str">
        <f t="shared" si="11"/>
        <v/>
      </c>
      <c r="S83" s="5" t="str">
        <f t="shared" si="12"/>
        <v/>
      </c>
      <c r="T83" s="5" t="str">
        <f t="shared" si="13"/>
        <v/>
      </c>
      <c r="U83" s="5" t="str">
        <f t="shared" si="14"/>
        <v/>
      </c>
      <c r="V83" s="5" t="str">
        <f t="shared" si="15"/>
        <v/>
      </c>
      <c r="W83" s="5" t="str">
        <f t="shared" si="16"/>
        <v/>
      </c>
      <c r="X83" s="5" t="str">
        <f t="shared" si="17"/>
        <v/>
      </c>
    </row>
    <row r="84" spans="1:24">
      <c r="A84" s="87"/>
      <c r="B84" s="87"/>
      <c r="C84" s="88"/>
      <c r="D84" s="89"/>
      <c r="E84" s="90"/>
      <c r="F84" s="69"/>
      <c r="G84" s="70"/>
      <c r="H84" s="71"/>
      <c r="I84" s="66"/>
      <c r="J84" s="67"/>
      <c r="K84" s="67"/>
      <c r="L84" s="67"/>
      <c r="M84" s="67"/>
      <c r="N84" s="145" t="str">
        <f t="shared" si="9"/>
        <v/>
      </c>
      <c r="O84" s="64"/>
      <c r="P84" s="64"/>
      <c r="Q84" s="152" t="str">
        <f t="shared" si="10"/>
        <v/>
      </c>
      <c r="R84" s="65" t="str">
        <f t="shared" si="11"/>
        <v/>
      </c>
      <c r="S84" s="5" t="str">
        <f t="shared" si="12"/>
        <v/>
      </c>
      <c r="T84" s="5" t="str">
        <f t="shared" si="13"/>
        <v/>
      </c>
      <c r="U84" s="5" t="str">
        <f t="shared" si="14"/>
        <v/>
      </c>
      <c r="V84" s="5" t="str">
        <f t="shared" si="15"/>
        <v/>
      </c>
      <c r="W84" s="5" t="str">
        <f t="shared" si="16"/>
        <v/>
      </c>
      <c r="X84" s="5" t="str">
        <f t="shared" si="17"/>
        <v/>
      </c>
    </row>
    <row r="85" spans="1:24">
      <c r="A85" s="87"/>
      <c r="B85" s="87"/>
      <c r="C85" s="88"/>
      <c r="D85" s="89"/>
      <c r="E85" s="90"/>
      <c r="F85" s="69"/>
      <c r="G85" s="70"/>
      <c r="H85" s="71"/>
      <c r="I85" s="66"/>
      <c r="J85" s="67"/>
      <c r="K85" s="67"/>
      <c r="L85" s="67"/>
      <c r="M85" s="67"/>
      <c r="N85" s="145" t="str">
        <f t="shared" si="9"/>
        <v/>
      </c>
      <c r="O85" s="64"/>
      <c r="P85" s="64"/>
      <c r="Q85" s="152" t="str">
        <f t="shared" si="10"/>
        <v/>
      </c>
      <c r="R85" s="65" t="str">
        <f t="shared" si="11"/>
        <v/>
      </c>
      <c r="S85" s="5" t="str">
        <f t="shared" si="12"/>
        <v/>
      </c>
      <c r="T85" s="5" t="str">
        <f t="shared" si="13"/>
        <v/>
      </c>
      <c r="U85" s="5" t="str">
        <f t="shared" si="14"/>
        <v/>
      </c>
      <c r="V85" s="5" t="str">
        <f t="shared" si="15"/>
        <v/>
      </c>
      <c r="W85" s="5" t="str">
        <f t="shared" si="16"/>
        <v/>
      </c>
      <c r="X85" s="5" t="str">
        <f t="shared" si="17"/>
        <v/>
      </c>
    </row>
    <row r="86" spans="1:24">
      <c r="A86" s="87"/>
      <c r="B86" s="87"/>
      <c r="C86" s="88"/>
      <c r="D86" s="89"/>
      <c r="E86" s="90"/>
      <c r="F86" s="69"/>
      <c r="G86" s="70"/>
      <c r="H86" s="71"/>
      <c r="I86" s="66"/>
      <c r="J86" s="67"/>
      <c r="K86" s="67"/>
      <c r="L86" s="67"/>
      <c r="M86" s="67"/>
      <c r="N86" s="145" t="str">
        <f t="shared" si="9"/>
        <v/>
      </c>
      <c r="O86" s="64"/>
      <c r="P86" s="64"/>
      <c r="Q86" s="152" t="str">
        <f t="shared" si="10"/>
        <v/>
      </c>
      <c r="R86" s="65" t="str">
        <f t="shared" si="11"/>
        <v/>
      </c>
      <c r="S86" s="5" t="str">
        <f t="shared" si="12"/>
        <v/>
      </c>
      <c r="T86" s="5" t="str">
        <f t="shared" si="13"/>
        <v/>
      </c>
      <c r="U86" s="5" t="str">
        <f t="shared" si="14"/>
        <v/>
      </c>
      <c r="V86" s="5" t="str">
        <f t="shared" si="15"/>
        <v/>
      </c>
      <c r="W86" s="5" t="str">
        <f t="shared" si="16"/>
        <v/>
      </c>
      <c r="X86" s="5" t="str">
        <f t="shared" si="17"/>
        <v/>
      </c>
    </row>
    <row r="87" spans="1:24">
      <c r="A87" s="87"/>
      <c r="B87" s="87"/>
      <c r="C87" s="88"/>
      <c r="D87" s="89"/>
      <c r="E87" s="90"/>
      <c r="F87" s="69"/>
      <c r="G87" s="70"/>
      <c r="H87" s="71"/>
      <c r="I87" s="66"/>
      <c r="J87" s="67"/>
      <c r="K87" s="67"/>
      <c r="L87" s="67"/>
      <c r="M87" s="67"/>
      <c r="N87" s="145" t="str">
        <f t="shared" si="9"/>
        <v/>
      </c>
      <c r="O87" s="64"/>
      <c r="P87" s="64"/>
      <c r="Q87" s="152" t="str">
        <f t="shared" si="10"/>
        <v/>
      </c>
      <c r="R87" s="65" t="str">
        <f t="shared" si="11"/>
        <v/>
      </c>
      <c r="S87" s="5" t="str">
        <f t="shared" si="12"/>
        <v/>
      </c>
      <c r="T87" s="5" t="str">
        <f t="shared" si="13"/>
        <v/>
      </c>
      <c r="U87" s="5" t="str">
        <f t="shared" si="14"/>
        <v/>
      </c>
      <c r="V87" s="5" t="str">
        <f t="shared" si="15"/>
        <v/>
      </c>
      <c r="W87" s="5" t="str">
        <f t="shared" si="16"/>
        <v/>
      </c>
      <c r="X87" s="5" t="str">
        <f t="shared" si="17"/>
        <v/>
      </c>
    </row>
    <row r="88" spans="1:24">
      <c r="A88" s="87"/>
      <c r="B88" s="87"/>
      <c r="C88" s="88"/>
      <c r="D88" s="89"/>
      <c r="E88" s="90"/>
      <c r="F88" s="69"/>
      <c r="G88" s="70"/>
      <c r="H88" s="71"/>
      <c r="I88" s="66"/>
      <c r="J88" s="67"/>
      <c r="K88" s="67"/>
      <c r="L88" s="67"/>
      <c r="M88" s="67"/>
      <c r="N88" s="145" t="str">
        <f t="shared" si="9"/>
        <v/>
      </c>
      <c r="O88" s="64"/>
      <c r="P88" s="64"/>
      <c r="Q88" s="152" t="str">
        <f t="shared" si="10"/>
        <v/>
      </c>
      <c r="R88" s="65" t="str">
        <f t="shared" si="11"/>
        <v/>
      </c>
      <c r="S88" s="5" t="str">
        <f t="shared" si="12"/>
        <v/>
      </c>
      <c r="T88" s="5" t="str">
        <f t="shared" si="13"/>
        <v/>
      </c>
      <c r="U88" s="5" t="str">
        <f t="shared" si="14"/>
        <v/>
      </c>
      <c r="V88" s="5" t="str">
        <f t="shared" si="15"/>
        <v/>
      </c>
      <c r="W88" s="5" t="str">
        <f t="shared" si="16"/>
        <v/>
      </c>
      <c r="X88" s="5" t="str">
        <f t="shared" si="17"/>
        <v/>
      </c>
    </row>
    <row r="89" spans="1:24">
      <c r="A89" s="87"/>
      <c r="B89" s="87"/>
      <c r="C89" s="88"/>
      <c r="D89" s="89"/>
      <c r="E89" s="90"/>
      <c r="F89" s="69"/>
      <c r="G89" s="70"/>
      <c r="H89" s="71"/>
      <c r="I89" s="66"/>
      <c r="J89" s="67"/>
      <c r="K89" s="67"/>
      <c r="L89" s="67"/>
      <c r="M89" s="67"/>
      <c r="N89" s="145" t="str">
        <f t="shared" si="9"/>
        <v/>
      </c>
      <c r="O89" s="64"/>
      <c r="P89" s="64"/>
      <c r="Q89" s="152" t="str">
        <f t="shared" si="10"/>
        <v/>
      </c>
      <c r="R89" s="65" t="str">
        <f t="shared" si="11"/>
        <v/>
      </c>
      <c r="S89" s="5" t="str">
        <f t="shared" si="12"/>
        <v/>
      </c>
      <c r="T89" s="5" t="str">
        <f t="shared" si="13"/>
        <v/>
      </c>
      <c r="U89" s="5" t="str">
        <f t="shared" si="14"/>
        <v/>
      </c>
      <c r="V89" s="5" t="str">
        <f t="shared" si="15"/>
        <v/>
      </c>
      <c r="W89" s="5" t="str">
        <f t="shared" si="16"/>
        <v/>
      </c>
      <c r="X89" s="5" t="str">
        <f t="shared" si="17"/>
        <v/>
      </c>
    </row>
    <row r="90" spans="1:24">
      <c r="A90" s="87"/>
      <c r="B90" s="87"/>
      <c r="C90" s="88"/>
      <c r="D90" s="89"/>
      <c r="E90" s="90"/>
      <c r="F90" s="69"/>
      <c r="G90" s="70"/>
      <c r="H90" s="71"/>
      <c r="I90" s="66"/>
      <c r="J90" s="67"/>
      <c r="K90" s="67"/>
      <c r="L90" s="67"/>
      <c r="M90" s="67"/>
      <c r="N90" s="145" t="str">
        <f t="shared" si="9"/>
        <v/>
      </c>
      <c r="O90" s="64"/>
      <c r="P90" s="64"/>
      <c r="Q90" s="152" t="str">
        <f t="shared" si="10"/>
        <v/>
      </c>
      <c r="R90" s="65" t="str">
        <f t="shared" si="11"/>
        <v/>
      </c>
      <c r="S90" s="5" t="str">
        <f t="shared" si="12"/>
        <v/>
      </c>
      <c r="T90" s="5" t="str">
        <f t="shared" si="13"/>
        <v/>
      </c>
      <c r="U90" s="5" t="str">
        <f t="shared" si="14"/>
        <v/>
      </c>
      <c r="V90" s="5" t="str">
        <f t="shared" si="15"/>
        <v/>
      </c>
      <c r="W90" s="5" t="str">
        <f t="shared" si="16"/>
        <v/>
      </c>
      <c r="X90" s="5" t="str">
        <f t="shared" si="17"/>
        <v/>
      </c>
    </row>
    <row r="91" spans="1:24">
      <c r="A91" s="87"/>
      <c r="B91" s="87"/>
      <c r="C91" s="88"/>
      <c r="D91" s="89"/>
      <c r="E91" s="90"/>
      <c r="F91" s="69"/>
      <c r="G91" s="70"/>
      <c r="H91" s="71"/>
      <c r="I91" s="66"/>
      <c r="J91" s="67"/>
      <c r="K91" s="67"/>
      <c r="L91" s="67"/>
      <c r="M91" s="67"/>
      <c r="N91" s="145" t="str">
        <f t="shared" si="9"/>
        <v/>
      </c>
      <c r="O91" s="64"/>
      <c r="P91" s="64"/>
      <c r="Q91" s="152" t="str">
        <f t="shared" si="10"/>
        <v/>
      </c>
      <c r="R91" s="65" t="str">
        <f t="shared" si="11"/>
        <v/>
      </c>
      <c r="S91" s="5" t="str">
        <f t="shared" si="12"/>
        <v/>
      </c>
      <c r="T91" s="5" t="str">
        <f t="shared" si="13"/>
        <v/>
      </c>
      <c r="U91" s="5" t="str">
        <f t="shared" si="14"/>
        <v/>
      </c>
      <c r="V91" s="5" t="str">
        <f t="shared" si="15"/>
        <v/>
      </c>
      <c r="W91" s="5" t="str">
        <f t="shared" si="16"/>
        <v/>
      </c>
      <c r="X91" s="5" t="str">
        <f t="shared" si="17"/>
        <v/>
      </c>
    </row>
    <row r="92" spans="1:24">
      <c r="A92" s="87"/>
      <c r="B92" s="87"/>
      <c r="C92" s="88"/>
      <c r="D92" s="89"/>
      <c r="E92" s="90"/>
      <c r="F92" s="69"/>
      <c r="G92" s="70"/>
      <c r="H92" s="71"/>
      <c r="I92" s="66"/>
      <c r="J92" s="67"/>
      <c r="K92" s="67"/>
      <c r="L92" s="67"/>
      <c r="M92" s="67"/>
      <c r="N92" s="145" t="str">
        <f t="shared" si="9"/>
        <v/>
      </c>
      <c r="O92" s="64"/>
      <c r="P92" s="64"/>
      <c r="Q92" s="152" t="str">
        <f t="shared" si="10"/>
        <v/>
      </c>
      <c r="R92" s="65" t="str">
        <f t="shared" si="11"/>
        <v/>
      </c>
      <c r="S92" s="5" t="str">
        <f t="shared" si="12"/>
        <v/>
      </c>
      <c r="T92" s="5" t="str">
        <f t="shared" si="13"/>
        <v/>
      </c>
      <c r="U92" s="5" t="str">
        <f t="shared" si="14"/>
        <v/>
      </c>
      <c r="V92" s="5" t="str">
        <f t="shared" si="15"/>
        <v/>
      </c>
      <c r="W92" s="5" t="str">
        <f t="shared" si="16"/>
        <v/>
      </c>
      <c r="X92" s="5" t="str">
        <f t="shared" si="17"/>
        <v/>
      </c>
    </row>
    <row r="93" spans="1:24">
      <c r="A93" s="87"/>
      <c r="B93" s="87"/>
      <c r="C93" s="88"/>
      <c r="D93" s="89"/>
      <c r="E93" s="90"/>
      <c r="F93" s="69"/>
      <c r="G93" s="70"/>
      <c r="H93" s="71"/>
      <c r="I93" s="66"/>
      <c r="J93" s="67"/>
      <c r="K93" s="67"/>
      <c r="L93" s="67"/>
      <c r="M93" s="67"/>
      <c r="N93" s="145" t="str">
        <f t="shared" si="9"/>
        <v/>
      </c>
      <c r="O93" s="64"/>
      <c r="P93" s="64"/>
      <c r="Q93" s="152" t="str">
        <f t="shared" si="10"/>
        <v/>
      </c>
      <c r="R93" s="65" t="str">
        <f t="shared" si="11"/>
        <v/>
      </c>
      <c r="S93" s="5" t="str">
        <f t="shared" si="12"/>
        <v/>
      </c>
      <c r="T93" s="5" t="str">
        <f t="shared" si="13"/>
        <v/>
      </c>
      <c r="U93" s="5" t="str">
        <f t="shared" si="14"/>
        <v/>
      </c>
      <c r="V93" s="5" t="str">
        <f t="shared" si="15"/>
        <v/>
      </c>
      <c r="W93" s="5" t="str">
        <f t="shared" si="16"/>
        <v/>
      </c>
      <c r="X93" s="5" t="str">
        <f t="shared" si="17"/>
        <v/>
      </c>
    </row>
    <row r="94" spans="1:24">
      <c r="A94" s="87"/>
      <c r="B94" s="87"/>
      <c r="C94" s="88"/>
      <c r="D94" s="89"/>
      <c r="E94" s="90"/>
      <c r="F94" s="69"/>
      <c r="G94" s="70"/>
      <c r="H94" s="71"/>
      <c r="I94" s="66"/>
      <c r="J94" s="67"/>
      <c r="K94" s="67"/>
      <c r="L94" s="67"/>
      <c r="M94" s="67"/>
      <c r="N94" s="145" t="str">
        <f t="shared" si="9"/>
        <v/>
      </c>
      <c r="O94" s="64"/>
      <c r="P94" s="64"/>
      <c r="Q94" s="152" t="str">
        <f t="shared" si="10"/>
        <v/>
      </c>
      <c r="R94" s="65" t="str">
        <f t="shared" si="11"/>
        <v/>
      </c>
      <c r="S94" s="5" t="str">
        <f t="shared" si="12"/>
        <v/>
      </c>
      <c r="T94" s="5" t="str">
        <f t="shared" si="13"/>
        <v/>
      </c>
      <c r="U94" s="5" t="str">
        <f t="shared" si="14"/>
        <v/>
      </c>
      <c r="V94" s="5" t="str">
        <f t="shared" si="15"/>
        <v/>
      </c>
      <c r="W94" s="5" t="str">
        <f t="shared" si="16"/>
        <v/>
      </c>
      <c r="X94" s="5" t="str">
        <f t="shared" si="17"/>
        <v/>
      </c>
    </row>
    <row r="95" spans="1:24">
      <c r="A95" s="87"/>
      <c r="B95" s="87"/>
      <c r="C95" s="88"/>
      <c r="D95" s="89"/>
      <c r="E95" s="90"/>
      <c r="F95" s="69"/>
      <c r="G95" s="70"/>
      <c r="H95" s="71"/>
      <c r="I95" s="66"/>
      <c r="J95" s="67"/>
      <c r="K95" s="67"/>
      <c r="L95" s="67"/>
      <c r="M95" s="67"/>
      <c r="N95" s="145" t="str">
        <f t="shared" si="9"/>
        <v/>
      </c>
      <c r="O95" s="64"/>
      <c r="P95" s="64"/>
      <c r="Q95" s="152" t="str">
        <f t="shared" si="10"/>
        <v/>
      </c>
      <c r="R95" s="65" t="str">
        <f t="shared" si="11"/>
        <v/>
      </c>
      <c r="S95" s="5" t="str">
        <f t="shared" si="12"/>
        <v/>
      </c>
      <c r="T95" s="5" t="str">
        <f t="shared" si="13"/>
        <v/>
      </c>
      <c r="U95" s="5" t="str">
        <f t="shared" si="14"/>
        <v/>
      </c>
      <c r="V95" s="5" t="str">
        <f t="shared" si="15"/>
        <v/>
      </c>
      <c r="W95" s="5" t="str">
        <f t="shared" si="16"/>
        <v/>
      </c>
      <c r="X95" s="5" t="str">
        <f t="shared" si="17"/>
        <v/>
      </c>
    </row>
    <row r="96" spans="1:24">
      <c r="A96" s="87"/>
      <c r="B96" s="87"/>
      <c r="C96" s="88"/>
      <c r="D96" s="89"/>
      <c r="E96" s="90"/>
      <c r="F96" s="69"/>
      <c r="G96" s="70"/>
      <c r="H96" s="71"/>
      <c r="I96" s="66"/>
      <c r="J96" s="67"/>
      <c r="K96" s="67"/>
      <c r="L96" s="67"/>
      <c r="M96" s="67"/>
      <c r="N96" s="145" t="str">
        <f t="shared" si="9"/>
        <v/>
      </c>
      <c r="O96" s="64"/>
      <c r="P96" s="64"/>
      <c r="Q96" s="152" t="str">
        <f t="shared" si="10"/>
        <v/>
      </c>
      <c r="R96" s="65" t="str">
        <f t="shared" si="11"/>
        <v/>
      </c>
      <c r="S96" s="5" t="str">
        <f t="shared" si="12"/>
        <v/>
      </c>
      <c r="T96" s="5" t="str">
        <f t="shared" si="13"/>
        <v/>
      </c>
      <c r="U96" s="5" t="str">
        <f t="shared" si="14"/>
        <v/>
      </c>
      <c r="V96" s="5" t="str">
        <f t="shared" si="15"/>
        <v/>
      </c>
      <c r="W96" s="5" t="str">
        <f t="shared" si="16"/>
        <v/>
      </c>
      <c r="X96" s="5" t="str">
        <f t="shared" si="17"/>
        <v/>
      </c>
    </row>
    <row r="97" spans="1:24">
      <c r="A97" s="87"/>
      <c r="B97" s="87"/>
      <c r="C97" s="88"/>
      <c r="D97" s="89"/>
      <c r="E97" s="90"/>
      <c r="F97" s="69"/>
      <c r="G97" s="70"/>
      <c r="H97" s="71"/>
      <c r="I97" s="66"/>
      <c r="J97" s="67"/>
      <c r="K97" s="67"/>
      <c r="L97" s="67"/>
      <c r="M97" s="67"/>
      <c r="N97" s="145" t="str">
        <f t="shared" si="9"/>
        <v/>
      </c>
      <c r="O97" s="64"/>
      <c r="P97" s="64"/>
      <c r="Q97" s="152" t="str">
        <f t="shared" si="10"/>
        <v/>
      </c>
      <c r="R97" s="65" t="str">
        <f t="shared" si="11"/>
        <v/>
      </c>
      <c r="S97" s="5" t="str">
        <f t="shared" si="12"/>
        <v/>
      </c>
      <c r="T97" s="5" t="str">
        <f t="shared" si="13"/>
        <v/>
      </c>
      <c r="U97" s="5" t="str">
        <f t="shared" si="14"/>
        <v/>
      </c>
      <c r="V97" s="5" t="str">
        <f t="shared" si="15"/>
        <v/>
      </c>
      <c r="W97" s="5" t="str">
        <f t="shared" si="16"/>
        <v/>
      </c>
      <c r="X97" s="5" t="str">
        <f t="shared" si="17"/>
        <v/>
      </c>
    </row>
    <row r="98" spans="1:24">
      <c r="A98" s="87"/>
      <c r="B98" s="87"/>
      <c r="C98" s="88"/>
      <c r="D98" s="89"/>
      <c r="E98" s="90"/>
      <c r="F98" s="69"/>
      <c r="G98" s="70"/>
      <c r="H98" s="71"/>
      <c r="I98" s="66"/>
      <c r="J98" s="67"/>
      <c r="K98" s="67"/>
      <c r="L98" s="67"/>
      <c r="M98" s="67"/>
      <c r="N98" s="145" t="str">
        <f t="shared" si="9"/>
        <v/>
      </c>
      <c r="O98" s="64"/>
      <c r="P98" s="64"/>
      <c r="Q98" s="152" t="str">
        <f t="shared" si="10"/>
        <v/>
      </c>
      <c r="R98" s="65" t="str">
        <f t="shared" si="11"/>
        <v/>
      </c>
      <c r="S98" s="5" t="str">
        <f t="shared" si="12"/>
        <v/>
      </c>
      <c r="T98" s="5" t="str">
        <f t="shared" si="13"/>
        <v/>
      </c>
      <c r="U98" s="5" t="str">
        <f t="shared" si="14"/>
        <v/>
      </c>
      <c r="V98" s="5" t="str">
        <f t="shared" si="15"/>
        <v/>
      </c>
      <c r="W98" s="5" t="str">
        <f t="shared" si="16"/>
        <v/>
      </c>
      <c r="X98" s="5" t="str">
        <f t="shared" si="17"/>
        <v/>
      </c>
    </row>
    <row r="99" spans="1:24">
      <c r="A99" s="87"/>
      <c r="B99" s="87"/>
      <c r="C99" s="88"/>
      <c r="D99" s="89"/>
      <c r="E99" s="90"/>
      <c r="F99" s="69"/>
      <c r="G99" s="70"/>
      <c r="H99" s="71"/>
      <c r="I99" s="66"/>
      <c r="J99" s="67"/>
      <c r="K99" s="67"/>
      <c r="L99" s="67"/>
      <c r="M99" s="67"/>
      <c r="N99" s="145" t="str">
        <f t="shared" si="9"/>
        <v/>
      </c>
      <c r="O99" s="64"/>
      <c r="P99" s="64"/>
      <c r="Q99" s="152" t="str">
        <f t="shared" si="10"/>
        <v/>
      </c>
      <c r="R99" s="65" t="str">
        <f t="shared" si="11"/>
        <v/>
      </c>
      <c r="S99" s="5" t="str">
        <f t="shared" si="12"/>
        <v/>
      </c>
      <c r="T99" s="5" t="str">
        <f t="shared" si="13"/>
        <v/>
      </c>
      <c r="U99" s="5" t="str">
        <f t="shared" si="14"/>
        <v/>
      </c>
      <c r="V99" s="5" t="str">
        <f t="shared" si="15"/>
        <v/>
      </c>
      <c r="W99" s="5" t="str">
        <f t="shared" si="16"/>
        <v/>
      </c>
      <c r="X99" s="5" t="str">
        <f t="shared" si="17"/>
        <v/>
      </c>
    </row>
    <row r="100" spans="1:24">
      <c r="A100" s="87"/>
      <c r="B100" s="87"/>
      <c r="C100" s="88"/>
      <c r="D100" s="89"/>
      <c r="E100" s="90"/>
      <c r="F100" s="69"/>
      <c r="G100" s="70"/>
      <c r="H100" s="71"/>
      <c r="I100" s="66"/>
      <c r="J100" s="67"/>
      <c r="K100" s="67"/>
      <c r="L100" s="67"/>
      <c r="M100" s="67"/>
      <c r="N100" s="145" t="str">
        <f t="shared" si="9"/>
        <v/>
      </c>
      <c r="O100" s="64"/>
      <c r="P100" s="64"/>
      <c r="Q100" s="152" t="str">
        <f t="shared" si="10"/>
        <v/>
      </c>
      <c r="R100" s="65" t="str">
        <f t="shared" si="11"/>
        <v/>
      </c>
      <c r="S100" s="5" t="str">
        <f t="shared" si="12"/>
        <v/>
      </c>
      <c r="T100" s="5" t="str">
        <f t="shared" si="13"/>
        <v/>
      </c>
      <c r="U100" s="5" t="str">
        <f t="shared" si="14"/>
        <v/>
      </c>
      <c r="V100" s="5" t="str">
        <f t="shared" si="15"/>
        <v/>
      </c>
      <c r="W100" s="5" t="str">
        <f t="shared" si="16"/>
        <v/>
      </c>
      <c r="X100" s="5" t="str">
        <f t="shared" si="17"/>
        <v/>
      </c>
    </row>
    <row r="101" spans="1:24">
      <c r="A101" s="87"/>
      <c r="B101" s="87"/>
      <c r="C101" s="88"/>
      <c r="D101" s="89"/>
      <c r="E101" s="90"/>
      <c r="F101" s="69"/>
      <c r="G101" s="70"/>
      <c r="H101" s="71"/>
      <c r="I101" s="66"/>
      <c r="J101" s="67"/>
      <c r="K101" s="67"/>
      <c r="L101" s="67"/>
      <c r="M101" s="67"/>
      <c r="N101" s="145" t="str">
        <f t="shared" si="9"/>
        <v/>
      </c>
      <c r="O101" s="64"/>
      <c r="P101" s="64"/>
      <c r="Q101" s="152" t="str">
        <f t="shared" si="10"/>
        <v/>
      </c>
      <c r="R101" s="65" t="str">
        <f t="shared" si="11"/>
        <v/>
      </c>
      <c r="S101" s="5" t="str">
        <f t="shared" si="12"/>
        <v/>
      </c>
      <c r="T101" s="5" t="str">
        <f t="shared" si="13"/>
        <v/>
      </c>
      <c r="U101" s="5" t="str">
        <f t="shared" si="14"/>
        <v/>
      </c>
      <c r="V101" s="5" t="str">
        <f t="shared" si="15"/>
        <v/>
      </c>
      <c r="W101" s="5" t="str">
        <f t="shared" si="16"/>
        <v/>
      </c>
      <c r="X101" s="5" t="str">
        <f t="shared" si="17"/>
        <v/>
      </c>
    </row>
    <row r="102" spans="1:24">
      <c r="A102" s="87"/>
      <c r="B102" s="87"/>
      <c r="C102" s="88"/>
      <c r="D102" s="89"/>
      <c r="E102" s="90"/>
      <c r="F102" s="69"/>
      <c r="G102" s="70"/>
      <c r="H102" s="71"/>
      <c r="I102" s="66"/>
      <c r="J102" s="67"/>
      <c r="K102" s="67"/>
      <c r="L102" s="67"/>
      <c r="M102" s="67"/>
      <c r="N102" s="145" t="str">
        <f t="shared" si="9"/>
        <v/>
      </c>
      <c r="O102" s="64"/>
      <c r="P102" s="64"/>
      <c r="Q102" s="152" t="str">
        <f t="shared" si="10"/>
        <v/>
      </c>
      <c r="R102" s="65" t="str">
        <f t="shared" si="11"/>
        <v/>
      </c>
      <c r="S102" s="5" t="str">
        <f t="shared" si="12"/>
        <v/>
      </c>
      <c r="T102" s="5" t="str">
        <f t="shared" si="13"/>
        <v/>
      </c>
      <c r="U102" s="5" t="str">
        <f t="shared" si="14"/>
        <v/>
      </c>
      <c r="V102" s="5" t="str">
        <f t="shared" si="15"/>
        <v/>
      </c>
      <c r="W102" s="5" t="str">
        <f t="shared" si="16"/>
        <v/>
      </c>
      <c r="X102" s="5" t="str">
        <f t="shared" si="17"/>
        <v/>
      </c>
    </row>
    <row r="103" spans="1:24">
      <c r="A103" s="87"/>
      <c r="B103" s="87"/>
      <c r="C103" s="88"/>
      <c r="D103" s="89"/>
      <c r="E103" s="90"/>
      <c r="F103" s="69"/>
      <c r="G103" s="70"/>
      <c r="H103" s="71"/>
      <c r="I103" s="66"/>
      <c r="J103" s="67"/>
      <c r="K103" s="67"/>
      <c r="L103" s="67"/>
      <c r="M103" s="67"/>
      <c r="N103" s="145" t="str">
        <f t="shared" si="9"/>
        <v/>
      </c>
      <c r="O103" s="64"/>
      <c r="P103" s="64"/>
      <c r="Q103" s="152" t="str">
        <f t="shared" si="10"/>
        <v/>
      </c>
      <c r="R103" s="65" t="str">
        <f t="shared" si="11"/>
        <v/>
      </c>
      <c r="S103" s="5" t="str">
        <f t="shared" si="12"/>
        <v/>
      </c>
      <c r="T103" s="5" t="str">
        <f t="shared" si="13"/>
        <v/>
      </c>
      <c r="U103" s="5" t="str">
        <f t="shared" si="14"/>
        <v/>
      </c>
      <c r="V103" s="5" t="str">
        <f t="shared" si="15"/>
        <v/>
      </c>
      <c r="W103" s="5" t="str">
        <f t="shared" si="16"/>
        <v/>
      </c>
      <c r="X103" s="5" t="str">
        <f t="shared" si="17"/>
        <v/>
      </c>
    </row>
    <row r="104" spans="1:24">
      <c r="A104" s="87"/>
      <c r="B104" s="87"/>
      <c r="C104" s="88"/>
      <c r="D104" s="89"/>
      <c r="E104" s="90"/>
      <c r="F104" s="69"/>
      <c r="G104" s="70"/>
      <c r="H104" s="71"/>
      <c r="I104" s="66"/>
      <c r="J104" s="67"/>
      <c r="K104" s="67"/>
      <c r="L104" s="67"/>
      <c r="M104" s="67"/>
      <c r="N104" s="145" t="str">
        <f t="shared" si="9"/>
        <v/>
      </c>
      <c r="O104" s="64"/>
      <c r="P104" s="64"/>
      <c r="Q104" s="152" t="str">
        <f t="shared" si="10"/>
        <v/>
      </c>
      <c r="R104" s="65" t="str">
        <f t="shared" si="11"/>
        <v/>
      </c>
      <c r="S104" s="5" t="str">
        <f t="shared" si="12"/>
        <v/>
      </c>
      <c r="T104" s="5" t="str">
        <f t="shared" si="13"/>
        <v/>
      </c>
      <c r="U104" s="5" t="str">
        <f t="shared" si="14"/>
        <v/>
      </c>
      <c r="V104" s="5" t="str">
        <f t="shared" si="15"/>
        <v/>
      </c>
      <c r="W104" s="5" t="str">
        <f t="shared" si="16"/>
        <v/>
      </c>
      <c r="X104" s="5" t="str">
        <f t="shared" si="17"/>
        <v/>
      </c>
    </row>
    <row r="105" spans="1:24">
      <c r="A105" s="87"/>
      <c r="B105" s="87"/>
      <c r="C105" s="88"/>
      <c r="D105" s="89"/>
      <c r="E105" s="90"/>
      <c r="F105" s="69"/>
      <c r="G105" s="70"/>
      <c r="H105" s="71"/>
      <c r="I105" s="66"/>
      <c r="J105" s="67"/>
      <c r="K105" s="67"/>
      <c r="L105" s="67"/>
      <c r="M105" s="67"/>
      <c r="N105" s="145" t="str">
        <f t="shared" si="9"/>
        <v/>
      </c>
      <c r="O105" s="64"/>
      <c r="P105" s="64"/>
      <c r="Q105" s="152" t="str">
        <f t="shared" si="10"/>
        <v/>
      </c>
      <c r="R105" s="65" t="str">
        <f t="shared" si="11"/>
        <v/>
      </c>
      <c r="S105" s="5" t="str">
        <f t="shared" si="12"/>
        <v/>
      </c>
      <c r="T105" s="5" t="str">
        <f t="shared" si="13"/>
        <v/>
      </c>
      <c r="U105" s="5" t="str">
        <f t="shared" si="14"/>
        <v/>
      </c>
      <c r="V105" s="5" t="str">
        <f t="shared" si="15"/>
        <v/>
      </c>
      <c r="W105" s="5" t="str">
        <f t="shared" si="16"/>
        <v/>
      </c>
      <c r="X105" s="5" t="str">
        <f t="shared" si="17"/>
        <v/>
      </c>
    </row>
    <row r="106" spans="1:24">
      <c r="A106" s="87"/>
      <c r="B106" s="87"/>
      <c r="C106" s="88"/>
      <c r="D106" s="89"/>
      <c r="E106" s="90"/>
      <c r="F106" s="69"/>
      <c r="G106" s="70"/>
      <c r="H106" s="71"/>
      <c r="I106" s="66"/>
      <c r="J106" s="67"/>
      <c r="K106" s="67"/>
      <c r="L106" s="67"/>
      <c r="M106" s="67"/>
      <c r="N106" s="145" t="str">
        <f t="shared" si="9"/>
        <v/>
      </c>
      <c r="O106" s="64"/>
      <c r="P106" s="64"/>
      <c r="Q106" s="152" t="str">
        <f t="shared" si="10"/>
        <v/>
      </c>
      <c r="R106" s="65" t="str">
        <f t="shared" si="11"/>
        <v/>
      </c>
      <c r="S106" s="5" t="str">
        <f t="shared" si="12"/>
        <v/>
      </c>
      <c r="T106" s="5" t="str">
        <f t="shared" si="13"/>
        <v/>
      </c>
      <c r="U106" s="5" t="str">
        <f t="shared" si="14"/>
        <v/>
      </c>
      <c r="V106" s="5" t="str">
        <f t="shared" si="15"/>
        <v/>
      </c>
      <c r="W106" s="5" t="str">
        <f t="shared" si="16"/>
        <v/>
      </c>
      <c r="X106" s="5" t="str">
        <f t="shared" si="17"/>
        <v/>
      </c>
    </row>
    <row r="107" spans="1:24">
      <c r="A107" s="87"/>
      <c r="B107" s="87"/>
      <c r="C107" s="88"/>
      <c r="D107" s="89"/>
      <c r="E107" s="90"/>
      <c r="F107" s="69"/>
      <c r="G107" s="70"/>
      <c r="H107" s="71"/>
      <c r="I107" s="66"/>
      <c r="J107" s="67"/>
      <c r="K107" s="67"/>
      <c r="L107" s="67"/>
      <c r="M107" s="67"/>
      <c r="N107" s="145" t="str">
        <f t="shared" si="9"/>
        <v/>
      </c>
      <c r="O107" s="64"/>
      <c r="P107" s="64"/>
      <c r="Q107" s="152" t="str">
        <f t="shared" si="10"/>
        <v/>
      </c>
      <c r="R107" s="65" t="str">
        <f t="shared" si="11"/>
        <v/>
      </c>
      <c r="S107" s="5" t="str">
        <f t="shared" si="12"/>
        <v/>
      </c>
      <c r="T107" s="5" t="str">
        <f t="shared" si="13"/>
        <v/>
      </c>
      <c r="U107" s="5" t="str">
        <f t="shared" si="14"/>
        <v/>
      </c>
      <c r="V107" s="5" t="str">
        <f t="shared" si="15"/>
        <v/>
      </c>
      <c r="W107" s="5" t="str">
        <f t="shared" si="16"/>
        <v/>
      </c>
      <c r="X107" s="5" t="str">
        <f t="shared" si="17"/>
        <v/>
      </c>
    </row>
    <row r="108" spans="1:24">
      <c r="A108" s="87"/>
      <c r="B108" s="87"/>
      <c r="C108" s="88"/>
      <c r="D108" s="89"/>
      <c r="E108" s="90"/>
      <c r="F108" s="69"/>
      <c r="G108" s="70"/>
      <c r="H108" s="71"/>
      <c r="I108" s="66"/>
      <c r="J108" s="67"/>
      <c r="K108" s="67"/>
      <c r="L108" s="67"/>
      <c r="M108" s="67"/>
      <c r="N108" s="145" t="str">
        <f t="shared" si="9"/>
        <v/>
      </c>
      <c r="O108" s="64"/>
      <c r="P108" s="64"/>
      <c r="Q108" s="152" t="str">
        <f t="shared" si="10"/>
        <v/>
      </c>
      <c r="R108" s="65" t="str">
        <f t="shared" si="11"/>
        <v/>
      </c>
      <c r="S108" s="5" t="str">
        <f t="shared" si="12"/>
        <v/>
      </c>
      <c r="T108" s="5" t="str">
        <f t="shared" si="13"/>
        <v/>
      </c>
      <c r="U108" s="5" t="str">
        <f t="shared" si="14"/>
        <v/>
      </c>
      <c r="V108" s="5" t="str">
        <f t="shared" si="15"/>
        <v/>
      </c>
      <c r="W108" s="5" t="str">
        <f t="shared" si="16"/>
        <v/>
      </c>
      <c r="X108" s="5" t="str">
        <f t="shared" si="17"/>
        <v/>
      </c>
    </row>
    <row r="109" spans="1:24">
      <c r="A109" s="87"/>
      <c r="B109" s="87"/>
      <c r="C109" s="88"/>
      <c r="D109" s="89"/>
      <c r="E109" s="90"/>
      <c r="F109" s="69"/>
      <c r="G109" s="70"/>
      <c r="H109" s="71"/>
      <c r="I109" s="66"/>
      <c r="J109" s="67"/>
      <c r="K109" s="67"/>
      <c r="L109" s="67"/>
      <c r="M109" s="67"/>
      <c r="N109" s="145" t="str">
        <f t="shared" si="9"/>
        <v/>
      </c>
      <c r="O109" s="64"/>
      <c r="P109" s="64"/>
      <c r="Q109" s="152" t="str">
        <f t="shared" si="10"/>
        <v/>
      </c>
      <c r="R109" s="65" t="str">
        <f t="shared" si="11"/>
        <v/>
      </c>
      <c r="S109" s="5" t="str">
        <f t="shared" si="12"/>
        <v/>
      </c>
      <c r="T109" s="5" t="str">
        <f t="shared" si="13"/>
        <v/>
      </c>
      <c r="U109" s="5" t="str">
        <f t="shared" si="14"/>
        <v/>
      </c>
      <c r="V109" s="5" t="str">
        <f t="shared" si="15"/>
        <v/>
      </c>
      <c r="W109" s="5" t="str">
        <f t="shared" si="16"/>
        <v/>
      </c>
      <c r="X109" s="5" t="str">
        <f t="shared" si="17"/>
        <v/>
      </c>
    </row>
    <row r="110" spans="1:24">
      <c r="A110" s="87"/>
      <c r="B110" s="87"/>
      <c r="C110" s="88"/>
      <c r="D110" s="89"/>
      <c r="E110" s="90"/>
      <c r="F110" s="69"/>
      <c r="G110" s="70"/>
      <c r="H110" s="71"/>
      <c r="I110" s="66"/>
      <c r="J110" s="67"/>
      <c r="K110" s="67"/>
      <c r="L110" s="67"/>
      <c r="M110" s="67"/>
      <c r="N110" s="145" t="str">
        <f t="shared" si="9"/>
        <v/>
      </c>
      <c r="O110" s="64"/>
      <c r="P110" s="64"/>
      <c r="Q110" s="152" t="str">
        <f t="shared" si="10"/>
        <v/>
      </c>
      <c r="R110" s="65" t="str">
        <f t="shared" si="11"/>
        <v/>
      </c>
      <c r="S110" s="5" t="str">
        <f t="shared" si="12"/>
        <v/>
      </c>
      <c r="T110" s="5" t="str">
        <f t="shared" si="13"/>
        <v/>
      </c>
      <c r="U110" s="5" t="str">
        <f t="shared" si="14"/>
        <v/>
      </c>
      <c r="V110" s="5" t="str">
        <f t="shared" si="15"/>
        <v/>
      </c>
      <c r="W110" s="5" t="str">
        <f t="shared" si="16"/>
        <v/>
      </c>
      <c r="X110" s="5" t="str">
        <f t="shared" si="17"/>
        <v/>
      </c>
    </row>
    <row r="111" spans="1:24">
      <c r="A111" s="87"/>
      <c r="B111" s="87"/>
      <c r="C111" s="88"/>
      <c r="D111" s="89"/>
      <c r="E111" s="90"/>
      <c r="F111" s="69"/>
      <c r="G111" s="70"/>
      <c r="H111" s="71"/>
      <c r="I111" s="66"/>
      <c r="J111" s="67"/>
      <c r="K111" s="67"/>
      <c r="L111" s="67"/>
      <c r="M111" s="67"/>
      <c r="N111" s="145" t="str">
        <f t="shared" si="9"/>
        <v/>
      </c>
      <c r="O111" s="64"/>
      <c r="P111" s="64"/>
      <c r="Q111" s="152" t="str">
        <f t="shared" si="10"/>
        <v/>
      </c>
      <c r="R111" s="65" t="str">
        <f t="shared" si="11"/>
        <v/>
      </c>
      <c r="S111" s="5" t="str">
        <f t="shared" si="12"/>
        <v/>
      </c>
      <c r="T111" s="5" t="str">
        <f t="shared" si="13"/>
        <v/>
      </c>
      <c r="U111" s="5" t="str">
        <f t="shared" si="14"/>
        <v/>
      </c>
      <c r="V111" s="5" t="str">
        <f t="shared" si="15"/>
        <v/>
      </c>
      <c r="W111" s="5" t="str">
        <f t="shared" si="16"/>
        <v/>
      </c>
      <c r="X111" s="5" t="str">
        <f t="shared" si="17"/>
        <v/>
      </c>
    </row>
    <row r="112" spans="1:24">
      <c r="A112" s="87"/>
      <c r="B112" s="87"/>
      <c r="C112" s="88"/>
      <c r="D112" s="89"/>
      <c r="E112" s="90"/>
      <c r="F112" s="69"/>
      <c r="G112" s="70"/>
      <c r="H112" s="71"/>
      <c r="I112" s="66"/>
      <c r="J112" s="67"/>
      <c r="K112" s="67"/>
      <c r="L112" s="67"/>
      <c r="M112" s="67"/>
      <c r="N112" s="145" t="str">
        <f t="shared" si="9"/>
        <v/>
      </c>
      <c r="O112" s="64"/>
      <c r="P112" s="64"/>
      <c r="Q112" s="152" t="str">
        <f t="shared" si="10"/>
        <v/>
      </c>
      <c r="R112" s="65" t="str">
        <f t="shared" si="11"/>
        <v/>
      </c>
      <c r="S112" s="5" t="str">
        <f t="shared" si="12"/>
        <v/>
      </c>
      <c r="T112" s="5" t="str">
        <f t="shared" si="13"/>
        <v/>
      </c>
      <c r="U112" s="5" t="str">
        <f t="shared" si="14"/>
        <v/>
      </c>
      <c r="V112" s="5" t="str">
        <f t="shared" si="15"/>
        <v/>
      </c>
      <c r="W112" s="5" t="str">
        <f t="shared" si="16"/>
        <v/>
      </c>
      <c r="X112" s="5" t="str">
        <f t="shared" si="17"/>
        <v/>
      </c>
    </row>
    <row r="113" spans="1:24">
      <c r="A113" s="87"/>
      <c r="B113" s="87"/>
      <c r="C113" s="88"/>
      <c r="D113" s="89"/>
      <c r="E113" s="90"/>
      <c r="F113" s="69"/>
      <c r="G113" s="70"/>
      <c r="H113" s="71"/>
      <c r="I113" s="66"/>
      <c r="J113" s="67"/>
      <c r="K113" s="67"/>
      <c r="L113" s="67"/>
      <c r="M113" s="67"/>
      <c r="N113" s="145" t="str">
        <f t="shared" si="9"/>
        <v/>
      </c>
      <c r="O113" s="64"/>
      <c r="P113" s="64"/>
      <c r="Q113" s="152" t="str">
        <f t="shared" si="10"/>
        <v/>
      </c>
      <c r="R113" s="65" t="str">
        <f t="shared" si="11"/>
        <v/>
      </c>
      <c r="S113" s="5" t="str">
        <f t="shared" si="12"/>
        <v/>
      </c>
      <c r="T113" s="5" t="str">
        <f t="shared" si="13"/>
        <v/>
      </c>
      <c r="U113" s="5" t="str">
        <f t="shared" si="14"/>
        <v/>
      </c>
      <c r="V113" s="5" t="str">
        <f t="shared" si="15"/>
        <v/>
      </c>
      <c r="W113" s="5" t="str">
        <f t="shared" si="16"/>
        <v/>
      </c>
      <c r="X113" s="5" t="str">
        <f t="shared" si="17"/>
        <v/>
      </c>
    </row>
    <row r="114" spans="1:24">
      <c r="A114" s="87"/>
      <c r="B114" s="87"/>
      <c r="C114" s="88"/>
      <c r="D114" s="89"/>
      <c r="E114" s="90"/>
      <c r="F114" s="69"/>
      <c r="G114" s="70"/>
      <c r="H114" s="71"/>
      <c r="I114" s="66"/>
      <c r="J114" s="67"/>
      <c r="K114" s="67"/>
      <c r="L114" s="67"/>
      <c r="M114" s="67"/>
      <c r="N114" s="145" t="str">
        <f t="shared" si="9"/>
        <v/>
      </c>
      <c r="O114" s="64"/>
      <c r="P114" s="64"/>
      <c r="Q114" s="152" t="str">
        <f t="shared" si="10"/>
        <v/>
      </c>
      <c r="R114" s="65" t="str">
        <f t="shared" si="11"/>
        <v/>
      </c>
      <c r="S114" s="5" t="str">
        <f t="shared" si="12"/>
        <v/>
      </c>
      <c r="T114" s="5" t="str">
        <f t="shared" si="13"/>
        <v/>
      </c>
      <c r="U114" s="5" t="str">
        <f t="shared" si="14"/>
        <v/>
      </c>
      <c r="V114" s="5" t="str">
        <f t="shared" si="15"/>
        <v/>
      </c>
      <c r="W114" s="5" t="str">
        <f t="shared" si="16"/>
        <v/>
      </c>
      <c r="X114" s="5" t="str">
        <f t="shared" si="17"/>
        <v/>
      </c>
    </row>
    <row r="115" spans="1:24">
      <c r="A115" s="87"/>
      <c r="B115" s="87"/>
      <c r="C115" s="88"/>
      <c r="D115" s="89"/>
      <c r="E115" s="90"/>
      <c r="F115" s="69"/>
      <c r="G115" s="70"/>
      <c r="H115" s="71"/>
      <c r="I115" s="66"/>
      <c r="J115" s="67"/>
      <c r="K115" s="67"/>
      <c r="L115" s="67"/>
      <c r="M115" s="67"/>
      <c r="N115" s="145" t="str">
        <f t="shared" si="9"/>
        <v/>
      </c>
      <c r="O115" s="64"/>
      <c r="P115" s="64"/>
      <c r="Q115" s="152" t="str">
        <f t="shared" si="10"/>
        <v/>
      </c>
      <c r="R115" s="65" t="str">
        <f t="shared" si="11"/>
        <v/>
      </c>
      <c r="S115" s="5" t="str">
        <f t="shared" si="12"/>
        <v/>
      </c>
      <c r="T115" s="5" t="str">
        <f t="shared" si="13"/>
        <v/>
      </c>
      <c r="U115" s="5" t="str">
        <f t="shared" si="14"/>
        <v/>
      </c>
      <c r="V115" s="5" t="str">
        <f t="shared" si="15"/>
        <v/>
      </c>
      <c r="W115" s="5" t="str">
        <f t="shared" si="16"/>
        <v/>
      </c>
      <c r="X115" s="5" t="str">
        <f t="shared" si="17"/>
        <v/>
      </c>
    </row>
    <row r="116" spans="1:24">
      <c r="A116" s="87"/>
      <c r="B116" s="87"/>
      <c r="C116" s="88"/>
      <c r="D116" s="89"/>
      <c r="E116" s="90"/>
      <c r="F116" s="69"/>
      <c r="G116" s="70"/>
      <c r="H116" s="71"/>
      <c r="I116" s="66"/>
      <c r="J116" s="67"/>
      <c r="K116" s="67"/>
      <c r="L116" s="67"/>
      <c r="M116" s="67"/>
      <c r="N116" s="145" t="str">
        <f t="shared" si="9"/>
        <v/>
      </c>
      <c r="O116" s="64"/>
      <c r="P116" s="64"/>
      <c r="Q116" s="152" t="str">
        <f t="shared" si="10"/>
        <v/>
      </c>
      <c r="R116" s="65" t="str">
        <f t="shared" si="11"/>
        <v/>
      </c>
      <c r="S116" s="5" t="str">
        <f t="shared" si="12"/>
        <v/>
      </c>
      <c r="T116" s="5" t="str">
        <f t="shared" si="13"/>
        <v/>
      </c>
      <c r="U116" s="5" t="str">
        <f t="shared" si="14"/>
        <v/>
      </c>
      <c r="V116" s="5" t="str">
        <f t="shared" si="15"/>
        <v/>
      </c>
      <c r="W116" s="5" t="str">
        <f t="shared" si="16"/>
        <v/>
      </c>
      <c r="X116" s="5" t="str">
        <f t="shared" si="17"/>
        <v/>
      </c>
    </row>
    <row r="117" spans="1:24">
      <c r="A117" s="87"/>
      <c r="B117" s="87"/>
      <c r="C117" s="88"/>
      <c r="D117" s="89"/>
      <c r="E117" s="90"/>
      <c r="F117" s="69"/>
      <c r="G117" s="70"/>
      <c r="H117" s="71"/>
      <c r="I117" s="66"/>
      <c r="J117" s="67"/>
      <c r="K117" s="67"/>
      <c r="L117" s="67"/>
      <c r="M117" s="67"/>
      <c r="N117" s="145" t="str">
        <f t="shared" si="9"/>
        <v/>
      </c>
      <c r="O117" s="64"/>
      <c r="P117" s="64"/>
      <c r="Q117" s="152" t="str">
        <f t="shared" si="10"/>
        <v/>
      </c>
      <c r="R117" s="65" t="str">
        <f t="shared" si="11"/>
        <v/>
      </c>
      <c r="S117" s="5" t="str">
        <f t="shared" si="12"/>
        <v/>
      </c>
      <c r="T117" s="5" t="str">
        <f t="shared" si="13"/>
        <v/>
      </c>
      <c r="U117" s="5" t="str">
        <f t="shared" si="14"/>
        <v/>
      </c>
      <c r="V117" s="5" t="str">
        <f t="shared" si="15"/>
        <v/>
      </c>
      <c r="W117" s="5" t="str">
        <f t="shared" si="16"/>
        <v/>
      </c>
      <c r="X117" s="5" t="str">
        <f t="shared" si="17"/>
        <v/>
      </c>
    </row>
    <row r="118" spans="1:24">
      <c r="A118" s="87"/>
      <c r="B118" s="87"/>
      <c r="C118" s="88"/>
      <c r="D118" s="89"/>
      <c r="E118" s="90"/>
      <c r="F118" s="69"/>
      <c r="G118" s="70"/>
      <c r="H118" s="71"/>
      <c r="I118" s="66"/>
      <c r="J118" s="67"/>
      <c r="K118" s="67"/>
      <c r="L118" s="67"/>
      <c r="M118" s="67"/>
      <c r="N118" s="145" t="str">
        <f t="shared" si="9"/>
        <v/>
      </c>
      <c r="O118" s="64"/>
      <c r="P118" s="64"/>
      <c r="Q118" s="152" t="str">
        <f t="shared" si="10"/>
        <v/>
      </c>
      <c r="R118" s="65" t="str">
        <f t="shared" si="11"/>
        <v/>
      </c>
      <c r="S118" s="5" t="str">
        <f t="shared" si="12"/>
        <v/>
      </c>
      <c r="T118" s="5" t="str">
        <f t="shared" si="13"/>
        <v/>
      </c>
      <c r="U118" s="5" t="str">
        <f t="shared" si="14"/>
        <v/>
      </c>
      <c r="V118" s="5" t="str">
        <f t="shared" si="15"/>
        <v/>
      </c>
      <c r="W118" s="5" t="str">
        <f t="shared" si="16"/>
        <v/>
      </c>
      <c r="X118" s="5" t="str">
        <f t="shared" si="17"/>
        <v/>
      </c>
    </row>
    <row r="119" spans="1:24">
      <c r="A119" s="87"/>
      <c r="B119" s="87"/>
      <c r="C119" s="88"/>
      <c r="D119" s="89"/>
      <c r="E119" s="90"/>
      <c r="F119" s="69"/>
      <c r="G119" s="70"/>
      <c r="H119" s="71"/>
      <c r="I119" s="66"/>
      <c r="J119" s="67"/>
      <c r="K119" s="67"/>
      <c r="L119" s="67"/>
      <c r="M119" s="67"/>
      <c r="N119" s="145" t="str">
        <f t="shared" si="9"/>
        <v/>
      </c>
      <c r="O119" s="64"/>
      <c r="P119" s="64"/>
      <c r="Q119" s="152" t="str">
        <f t="shared" si="10"/>
        <v/>
      </c>
      <c r="R119" s="65" t="str">
        <f t="shared" si="11"/>
        <v/>
      </c>
      <c r="S119" s="5" t="str">
        <f t="shared" si="12"/>
        <v/>
      </c>
      <c r="T119" s="5" t="str">
        <f t="shared" si="13"/>
        <v/>
      </c>
      <c r="U119" s="5" t="str">
        <f t="shared" si="14"/>
        <v/>
      </c>
      <c r="V119" s="5" t="str">
        <f t="shared" si="15"/>
        <v/>
      </c>
      <c r="W119" s="5" t="str">
        <f t="shared" si="16"/>
        <v/>
      </c>
      <c r="X119" s="5" t="str">
        <f t="shared" si="17"/>
        <v/>
      </c>
    </row>
    <row r="120" spans="1:24">
      <c r="A120" s="87"/>
      <c r="B120" s="87"/>
      <c r="C120" s="88"/>
      <c r="D120" s="89"/>
      <c r="E120" s="90"/>
      <c r="F120" s="69"/>
      <c r="G120" s="70"/>
      <c r="H120" s="71"/>
      <c r="I120" s="66"/>
      <c r="J120" s="67"/>
      <c r="K120" s="67"/>
      <c r="L120" s="67"/>
      <c r="M120" s="67"/>
      <c r="N120" s="145" t="str">
        <f t="shared" si="9"/>
        <v/>
      </c>
      <c r="O120" s="64"/>
      <c r="P120" s="64"/>
      <c r="Q120" s="152" t="str">
        <f t="shared" si="10"/>
        <v/>
      </c>
      <c r="R120" s="65" t="str">
        <f t="shared" si="11"/>
        <v/>
      </c>
      <c r="S120" s="5" t="str">
        <f t="shared" si="12"/>
        <v/>
      </c>
      <c r="T120" s="5" t="str">
        <f t="shared" si="13"/>
        <v/>
      </c>
      <c r="U120" s="5" t="str">
        <f t="shared" si="14"/>
        <v/>
      </c>
      <c r="V120" s="5" t="str">
        <f t="shared" si="15"/>
        <v/>
      </c>
      <c r="W120" s="5" t="str">
        <f t="shared" si="16"/>
        <v/>
      </c>
      <c r="X120" s="5" t="str">
        <f t="shared" si="17"/>
        <v/>
      </c>
    </row>
    <row r="121" spans="1:24">
      <c r="A121" s="87"/>
      <c r="B121" s="87"/>
      <c r="C121" s="88"/>
      <c r="D121" s="89"/>
      <c r="E121" s="90"/>
      <c r="F121" s="69"/>
      <c r="G121" s="70"/>
      <c r="H121" s="71"/>
      <c r="I121" s="66"/>
      <c r="J121" s="67"/>
      <c r="K121" s="67"/>
      <c r="L121" s="67"/>
      <c r="M121" s="67"/>
      <c r="N121" s="145" t="str">
        <f t="shared" si="9"/>
        <v/>
      </c>
      <c r="O121" s="64"/>
      <c r="P121" s="64"/>
      <c r="Q121" s="152" t="str">
        <f t="shared" si="10"/>
        <v/>
      </c>
      <c r="R121" s="65" t="str">
        <f t="shared" si="11"/>
        <v/>
      </c>
      <c r="S121" s="5" t="str">
        <f t="shared" si="12"/>
        <v/>
      </c>
      <c r="T121" s="5" t="str">
        <f t="shared" si="13"/>
        <v/>
      </c>
      <c r="U121" s="5" t="str">
        <f t="shared" si="14"/>
        <v/>
      </c>
      <c r="V121" s="5" t="str">
        <f t="shared" si="15"/>
        <v/>
      </c>
      <c r="W121" s="5" t="str">
        <f t="shared" si="16"/>
        <v/>
      </c>
      <c r="X121" s="5" t="str">
        <f t="shared" si="17"/>
        <v/>
      </c>
    </row>
    <row r="122" spans="1:24">
      <c r="A122" s="87"/>
      <c r="B122" s="87"/>
      <c r="C122" s="88"/>
      <c r="D122" s="89"/>
      <c r="E122" s="90"/>
      <c r="F122" s="69"/>
      <c r="G122" s="70"/>
      <c r="H122" s="71"/>
      <c r="I122" s="66"/>
      <c r="J122" s="67"/>
      <c r="K122" s="67"/>
      <c r="L122" s="67"/>
      <c r="M122" s="67"/>
      <c r="N122" s="145" t="str">
        <f t="shared" si="9"/>
        <v/>
      </c>
      <c r="O122" s="64"/>
      <c r="P122" s="64"/>
      <c r="Q122" s="152" t="str">
        <f t="shared" si="10"/>
        <v/>
      </c>
      <c r="R122" s="65" t="str">
        <f t="shared" si="11"/>
        <v/>
      </c>
      <c r="S122" s="5" t="str">
        <f t="shared" si="12"/>
        <v/>
      </c>
      <c r="T122" s="5" t="str">
        <f t="shared" si="13"/>
        <v/>
      </c>
      <c r="U122" s="5" t="str">
        <f t="shared" si="14"/>
        <v/>
      </c>
      <c r="V122" s="5" t="str">
        <f t="shared" si="15"/>
        <v/>
      </c>
      <c r="W122" s="5" t="str">
        <f t="shared" si="16"/>
        <v/>
      </c>
      <c r="X122" s="5" t="str">
        <f t="shared" si="17"/>
        <v/>
      </c>
    </row>
    <row r="123" spans="1:24">
      <c r="A123" s="87"/>
      <c r="B123" s="87"/>
      <c r="C123" s="88"/>
      <c r="D123" s="89"/>
      <c r="E123" s="90"/>
      <c r="F123" s="69"/>
      <c r="G123" s="70"/>
      <c r="H123" s="71"/>
      <c r="I123" s="66"/>
      <c r="J123" s="67"/>
      <c r="K123" s="67"/>
      <c r="L123" s="67"/>
      <c r="M123" s="67"/>
      <c r="N123" s="145" t="str">
        <f t="shared" si="9"/>
        <v/>
      </c>
      <c r="O123" s="64"/>
      <c r="P123" s="64"/>
      <c r="Q123" s="152" t="str">
        <f t="shared" si="10"/>
        <v/>
      </c>
      <c r="R123" s="65" t="str">
        <f t="shared" si="11"/>
        <v/>
      </c>
      <c r="S123" s="5" t="str">
        <f t="shared" si="12"/>
        <v/>
      </c>
      <c r="T123" s="5" t="str">
        <f t="shared" si="13"/>
        <v/>
      </c>
      <c r="U123" s="5" t="str">
        <f t="shared" si="14"/>
        <v/>
      </c>
      <c r="V123" s="5" t="str">
        <f t="shared" si="15"/>
        <v/>
      </c>
      <c r="W123" s="5" t="str">
        <f t="shared" si="16"/>
        <v/>
      </c>
      <c r="X123" s="5" t="str">
        <f t="shared" si="17"/>
        <v/>
      </c>
    </row>
    <row r="124" spans="1:24">
      <c r="A124" s="87"/>
      <c r="B124" s="87"/>
      <c r="C124" s="88"/>
      <c r="D124" s="89"/>
      <c r="E124" s="90"/>
      <c r="F124" s="69"/>
      <c r="G124" s="70"/>
      <c r="H124" s="71"/>
      <c r="I124" s="66"/>
      <c r="J124" s="67"/>
      <c r="K124" s="67"/>
      <c r="L124" s="67"/>
      <c r="M124" s="67"/>
      <c r="N124" s="145" t="str">
        <f t="shared" si="9"/>
        <v/>
      </c>
      <c r="O124" s="64"/>
      <c r="P124" s="64"/>
      <c r="Q124" s="152" t="str">
        <f t="shared" si="10"/>
        <v/>
      </c>
      <c r="R124" s="65" t="str">
        <f t="shared" si="11"/>
        <v/>
      </c>
      <c r="S124" s="5" t="str">
        <f t="shared" si="12"/>
        <v/>
      </c>
      <c r="T124" s="5" t="str">
        <f t="shared" si="13"/>
        <v/>
      </c>
      <c r="U124" s="5" t="str">
        <f t="shared" si="14"/>
        <v/>
      </c>
      <c r="V124" s="5" t="str">
        <f t="shared" si="15"/>
        <v/>
      </c>
      <c r="W124" s="5" t="str">
        <f t="shared" si="16"/>
        <v/>
      </c>
      <c r="X124" s="5" t="str">
        <f t="shared" si="17"/>
        <v/>
      </c>
    </row>
    <row r="125" spans="1:24">
      <c r="A125" s="87"/>
      <c r="B125" s="87"/>
      <c r="C125" s="88"/>
      <c r="D125" s="89"/>
      <c r="E125" s="90"/>
      <c r="F125" s="69"/>
      <c r="G125" s="70"/>
      <c r="H125" s="71"/>
      <c r="I125" s="66"/>
      <c r="J125" s="67"/>
      <c r="K125" s="67"/>
      <c r="L125" s="67"/>
      <c r="M125" s="67"/>
      <c r="N125" s="145" t="str">
        <f t="shared" si="9"/>
        <v/>
      </c>
      <c r="O125" s="64"/>
      <c r="P125" s="64"/>
      <c r="Q125" s="152" t="str">
        <f t="shared" si="10"/>
        <v/>
      </c>
      <c r="R125" s="65" t="str">
        <f t="shared" si="11"/>
        <v/>
      </c>
      <c r="S125" s="5" t="str">
        <f t="shared" si="12"/>
        <v/>
      </c>
      <c r="T125" s="5" t="str">
        <f t="shared" si="13"/>
        <v/>
      </c>
      <c r="U125" s="5" t="str">
        <f t="shared" si="14"/>
        <v/>
      </c>
      <c r="V125" s="5" t="str">
        <f t="shared" si="15"/>
        <v/>
      </c>
      <c r="W125" s="5" t="str">
        <f t="shared" si="16"/>
        <v/>
      </c>
      <c r="X125" s="5" t="str">
        <f t="shared" si="17"/>
        <v/>
      </c>
    </row>
    <row r="126" spans="1:24">
      <c r="A126" s="87"/>
      <c r="B126" s="87"/>
      <c r="C126" s="88"/>
      <c r="D126" s="89"/>
      <c r="E126" s="90"/>
      <c r="F126" s="69"/>
      <c r="G126" s="70"/>
      <c r="H126" s="71"/>
      <c r="I126" s="66"/>
      <c r="J126" s="67"/>
      <c r="K126" s="67"/>
      <c r="L126" s="67"/>
      <c r="M126" s="67"/>
      <c r="N126" s="145" t="str">
        <f t="shared" si="9"/>
        <v/>
      </c>
      <c r="O126" s="64"/>
      <c r="P126" s="64"/>
      <c r="Q126" s="152" t="str">
        <f t="shared" si="10"/>
        <v/>
      </c>
      <c r="R126" s="65" t="str">
        <f t="shared" si="11"/>
        <v/>
      </c>
      <c r="S126" s="5" t="str">
        <f t="shared" si="12"/>
        <v/>
      </c>
      <c r="T126" s="5" t="str">
        <f t="shared" si="13"/>
        <v/>
      </c>
      <c r="U126" s="5" t="str">
        <f t="shared" si="14"/>
        <v/>
      </c>
      <c r="V126" s="5" t="str">
        <f t="shared" si="15"/>
        <v/>
      </c>
      <c r="W126" s="5" t="str">
        <f t="shared" si="16"/>
        <v/>
      </c>
      <c r="X126" s="5" t="str">
        <f t="shared" si="17"/>
        <v/>
      </c>
    </row>
    <row r="127" spans="1:24">
      <c r="A127" s="87"/>
      <c r="B127" s="87"/>
      <c r="C127" s="88"/>
      <c r="D127" s="89"/>
      <c r="E127" s="90"/>
      <c r="F127" s="69"/>
      <c r="G127" s="70"/>
      <c r="H127" s="71"/>
      <c r="I127" s="66"/>
      <c r="J127" s="67"/>
      <c r="K127" s="67"/>
      <c r="L127" s="67"/>
      <c r="M127" s="67"/>
      <c r="N127" s="145" t="str">
        <f t="shared" si="9"/>
        <v/>
      </c>
      <c r="O127" s="64"/>
      <c r="P127" s="64"/>
      <c r="Q127" s="152" t="str">
        <f t="shared" si="10"/>
        <v/>
      </c>
      <c r="R127" s="65" t="str">
        <f t="shared" si="11"/>
        <v/>
      </c>
      <c r="S127" s="5" t="str">
        <f t="shared" si="12"/>
        <v/>
      </c>
      <c r="T127" s="5" t="str">
        <f t="shared" si="13"/>
        <v/>
      </c>
      <c r="U127" s="5" t="str">
        <f t="shared" si="14"/>
        <v/>
      </c>
      <c r="V127" s="5" t="str">
        <f t="shared" si="15"/>
        <v/>
      </c>
      <c r="W127" s="5" t="str">
        <f t="shared" si="16"/>
        <v/>
      </c>
      <c r="X127" s="5" t="str">
        <f t="shared" si="17"/>
        <v/>
      </c>
    </row>
    <row r="128" spans="1:24">
      <c r="A128" s="87"/>
      <c r="B128" s="87"/>
      <c r="C128" s="88"/>
      <c r="D128" s="89"/>
      <c r="E128" s="90"/>
      <c r="F128" s="69"/>
      <c r="G128" s="70"/>
      <c r="H128" s="71"/>
      <c r="I128" s="66"/>
      <c r="J128" s="67"/>
      <c r="K128" s="67"/>
      <c r="L128" s="67"/>
      <c r="M128" s="67"/>
      <c r="N128" s="145" t="str">
        <f t="shared" si="9"/>
        <v/>
      </c>
      <c r="O128" s="64"/>
      <c r="P128" s="64"/>
      <c r="Q128" s="152" t="str">
        <f t="shared" si="10"/>
        <v/>
      </c>
      <c r="R128" s="65" t="str">
        <f t="shared" si="11"/>
        <v/>
      </c>
      <c r="S128" s="5" t="str">
        <f t="shared" si="12"/>
        <v/>
      </c>
      <c r="T128" s="5" t="str">
        <f t="shared" si="13"/>
        <v/>
      </c>
      <c r="U128" s="5" t="str">
        <f t="shared" si="14"/>
        <v/>
      </c>
      <c r="V128" s="5" t="str">
        <f t="shared" si="15"/>
        <v/>
      </c>
      <c r="W128" s="5" t="str">
        <f t="shared" si="16"/>
        <v/>
      </c>
      <c r="X128" s="5" t="str">
        <f t="shared" si="17"/>
        <v/>
      </c>
    </row>
    <row r="129" spans="1:24">
      <c r="A129" s="87"/>
      <c r="B129" s="87"/>
      <c r="C129" s="88"/>
      <c r="D129" s="89"/>
      <c r="E129" s="90"/>
      <c r="F129" s="69"/>
      <c r="G129" s="70"/>
      <c r="H129" s="71"/>
      <c r="I129" s="66"/>
      <c r="J129" s="67"/>
      <c r="K129" s="67"/>
      <c r="L129" s="67"/>
      <c r="M129" s="67"/>
      <c r="N129" s="145" t="str">
        <f t="shared" si="9"/>
        <v/>
      </c>
      <c r="O129" s="64"/>
      <c r="P129" s="64"/>
      <c r="Q129" s="152" t="str">
        <f t="shared" si="10"/>
        <v/>
      </c>
      <c r="R129" s="65" t="str">
        <f t="shared" si="11"/>
        <v/>
      </c>
      <c r="S129" s="5" t="str">
        <f t="shared" si="12"/>
        <v/>
      </c>
      <c r="T129" s="5" t="str">
        <f t="shared" si="13"/>
        <v/>
      </c>
      <c r="U129" s="5" t="str">
        <f t="shared" si="14"/>
        <v/>
      </c>
      <c r="V129" s="5" t="str">
        <f t="shared" si="15"/>
        <v/>
      </c>
      <c r="W129" s="5" t="str">
        <f t="shared" si="16"/>
        <v/>
      </c>
      <c r="X129" s="5" t="str">
        <f t="shared" si="17"/>
        <v/>
      </c>
    </row>
    <row r="130" spans="1:24">
      <c r="A130" s="87"/>
      <c r="B130" s="87"/>
      <c r="C130" s="88"/>
      <c r="D130" s="89"/>
      <c r="E130" s="90"/>
      <c r="F130" s="69"/>
      <c r="G130" s="70"/>
      <c r="H130" s="71"/>
      <c r="I130" s="66"/>
      <c r="J130" s="67"/>
      <c r="K130" s="67"/>
      <c r="L130" s="67"/>
      <c r="M130" s="67"/>
      <c r="N130" s="145" t="str">
        <f t="shared" si="9"/>
        <v/>
      </c>
      <c r="O130" s="64"/>
      <c r="P130" s="64"/>
      <c r="Q130" s="152" t="str">
        <f t="shared" si="10"/>
        <v/>
      </c>
      <c r="R130" s="65" t="str">
        <f t="shared" si="11"/>
        <v/>
      </c>
      <c r="S130" s="5" t="str">
        <f t="shared" si="12"/>
        <v/>
      </c>
      <c r="T130" s="5" t="str">
        <f t="shared" si="13"/>
        <v/>
      </c>
      <c r="U130" s="5" t="str">
        <f t="shared" si="14"/>
        <v/>
      </c>
      <c r="V130" s="5" t="str">
        <f t="shared" si="15"/>
        <v/>
      </c>
      <c r="W130" s="5" t="str">
        <f t="shared" si="16"/>
        <v/>
      </c>
      <c r="X130" s="5" t="str">
        <f t="shared" si="17"/>
        <v/>
      </c>
    </row>
    <row r="131" spans="1:24">
      <c r="A131" s="87"/>
      <c r="B131" s="87"/>
      <c r="C131" s="88"/>
      <c r="D131" s="89"/>
      <c r="E131" s="90"/>
      <c r="F131" s="69"/>
      <c r="G131" s="70"/>
      <c r="H131" s="71"/>
      <c r="I131" s="66"/>
      <c r="J131" s="67"/>
      <c r="K131" s="67"/>
      <c r="L131" s="67"/>
      <c r="M131" s="67"/>
      <c r="N131" s="145" t="str">
        <f t="shared" si="9"/>
        <v/>
      </c>
      <c r="O131" s="64"/>
      <c r="P131" s="64"/>
      <c r="Q131" s="152" t="str">
        <f t="shared" si="10"/>
        <v/>
      </c>
      <c r="R131" s="65" t="str">
        <f t="shared" si="11"/>
        <v/>
      </c>
      <c r="S131" s="5" t="str">
        <f t="shared" si="12"/>
        <v/>
      </c>
      <c r="T131" s="5" t="str">
        <f t="shared" si="13"/>
        <v/>
      </c>
      <c r="U131" s="5" t="str">
        <f t="shared" si="14"/>
        <v/>
      </c>
      <c r="V131" s="5" t="str">
        <f t="shared" si="15"/>
        <v/>
      </c>
      <c r="W131" s="5" t="str">
        <f t="shared" si="16"/>
        <v/>
      </c>
      <c r="X131" s="5" t="str">
        <f t="shared" si="17"/>
        <v/>
      </c>
    </row>
    <row r="132" spans="1:24">
      <c r="A132" s="87"/>
      <c r="B132" s="87"/>
      <c r="C132" s="88"/>
      <c r="D132" s="89"/>
      <c r="E132" s="90"/>
      <c r="F132" s="69"/>
      <c r="G132" s="70"/>
      <c r="H132" s="71"/>
      <c r="I132" s="66"/>
      <c r="J132" s="67"/>
      <c r="K132" s="67"/>
      <c r="L132" s="67"/>
      <c r="M132" s="67"/>
      <c r="N132" s="145" t="str">
        <f t="shared" si="9"/>
        <v/>
      </c>
      <c r="O132" s="64"/>
      <c r="P132" s="64"/>
      <c r="Q132" s="152" t="str">
        <f t="shared" si="10"/>
        <v/>
      </c>
      <c r="R132" s="65" t="str">
        <f t="shared" si="11"/>
        <v/>
      </c>
      <c r="S132" s="5" t="str">
        <f t="shared" si="12"/>
        <v/>
      </c>
      <c r="T132" s="5" t="str">
        <f t="shared" si="13"/>
        <v/>
      </c>
      <c r="U132" s="5" t="str">
        <f t="shared" si="14"/>
        <v/>
      </c>
      <c r="V132" s="5" t="str">
        <f t="shared" si="15"/>
        <v/>
      </c>
      <c r="W132" s="5" t="str">
        <f t="shared" si="16"/>
        <v/>
      </c>
      <c r="X132" s="5" t="str">
        <f t="shared" si="17"/>
        <v/>
      </c>
    </row>
    <row r="133" spans="1:24">
      <c r="A133" s="87"/>
      <c r="B133" s="87"/>
      <c r="C133" s="88"/>
      <c r="D133" s="89"/>
      <c r="E133" s="90"/>
      <c r="F133" s="69"/>
      <c r="G133" s="70"/>
      <c r="H133" s="71"/>
      <c r="I133" s="66"/>
      <c r="J133" s="67"/>
      <c r="K133" s="67"/>
      <c r="L133" s="67"/>
      <c r="M133" s="67"/>
      <c r="N133" s="145" t="str">
        <f t="shared" si="9"/>
        <v/>
      </c>
      <c r="O133" s="64"/>
      <c r="P133" s="64"/>
      <c r="Q133" s="152" t="str">
        <f t="shared" si="10"/>
        <v/>
      </c>
      <c r="R133" s="65" t="str">
        <f t="shared" si="11"/>
        <v/>
      </c>
      <c r="S133" s="5" t="str">
        <f t="shared" si="12"/>
        <v/>
      </c>
      <c r="T133" s="5" t="str">
        <f t="shared" si="13"/>
        <v/>
      </c>
      <c r="U133" s="5" t="str">
        <f t="shared" si="14"/>
        <v/>
      </c>
      <c r="V133" s="5" t="str">
        <f t="shared" si="15"/>
        <v/>
      </c>
      <c r="W133" s="5" t="str">
        <f t="shared" si="16"/>
        <v/>
      </c>
      <c r="X133" s="5" t="str">
        <f t="shared" si="17"/>
        <v/>
      </c>
    </row>
    <row r="134" spans="1:24">
      <c r="A134" s="87"/>
      <c r="B134" s="87"/>
      <c r="C134" s="88"/>
      <c r="D134" s="89"/>
      <c r="E134" s="90"/>
      <c r="F134" s="69"/>
      <c r="G134" s="70"/>
      <c r="H134" s="71"/>
      <c r="I134" s="66"/>
      <c r="J134" s="67"/>
      <c r="K134" s="67"/>
      <c r="L134" s="67"/>
      <c r="M134" s="67"/>
      <c r="N134" s="145" t="str">
        <f t="shared" si="9"/>
        <v/>
      </c>
      <c r="O134" s="64"/>
      <c r="P134" s="64"/>
      <c r="Q134" s="152" t="str">
        <f t="shared" si="10"/>
        <v/>
      </c>
      <c r="R134" s="65" t="str">
        <f t="shared" si="11"/>
        <v/>
      </c>
      <c r="S134" s="5" t="str">
        <f t="shared" si="12"/>
        <v/>
      </c>
      <c r="T134" s="5" t="str">
        <f t="shared" si="13"/>
        <v/>
      </c>
      <c r="U134" s="5" t="str">
        <f t="shared" si="14"/>
        <v/>
      </c>
      <c r="V134" s="5" t="str">
        <f t="shared" si="15"/>
        <v/>
      </c>
      <c r="W134" s="5" t="str">
        <f t="shared" si="16"/>
        <v/>
      </c>
      <c r="X134" s="5" t="str">
        <f t="shared" si="17"/>
        <v/>
      </c>
    </row>
    <row r="135" spans="1:24">
      <c r="A135" s="91"/>
      <c r="B135" s="92"/>
      <c r="C135" s="69"/>
      <c r="D135" s="69"/>
      <c r="E135" s="69"/>
      <c r="F135" s="69"/>
      <c r="G135" s="70"/>
      <c r="H135" s="71"/>
      <c r="I135" s="66"/>
      <c r="J135" s="67"/>
      <c r="K135" s="67"/>
      <c r="L135" s="67"/>
      <c r="M135" s="67"/>
      <c r="N135" s="145" t="str">
        <f t="shared" ref="N135:N198" si="18">IF($C135="","",IF($L135+$M135=0,0,$L135/($L135+$M135)))</f>
        <v/>
      </c>
      <c r="O135" s="64"/>
      <c r="P135" s="64"/>
      <c r="Q135" s="152" t="str">
        <f t="shared" ref="Q135:Q198" si="19">IF($C135="","",($O135-($P135/2)))</f>
        <v/>
      </c>
      <c r="R135" s="65" t="str">
        <f t="shared" ref="R135:R198" si="20">IF($C135="","",IF(TRIM($B135)="beginning",(((SUM($S135:$X135)-7085)/3811)*40)+360,IF(TRIM($B135)="middle",(((SUM($S135:$X135)-7085)/3811)*40)+400,IF(TRIM($B135)="end",(((SUM($S135:$X135)-7085)/3811)*40)+440,""))))</f>
        <v/>
      </c>
      <c r="S135" s="5" t="str">
        <f t="shared" ref="S135:S198" si="21">IF($C135="","",I135*32.74)</f>
        <v/>
      </c>
      <c r="T135" s="5" t="str">
        <f t="shared" ref="T135:T198" si="22">IF($C135="","",J135*10.95)</f>
        <v/>
      </c>
      <c r="U135" s="5" t="str">
        <f t="shared" ref="U135:U198" si="23">IF($C135="","",K135*21.26)</f>
        <v/>
      </c>
      <c r="V135" s="5" t="str">
        <f t="shared" ref="V135:V198" si="24">IF($C135="","",L135*35.36)</f>
        <v/>
      </c>
      <c r="W135" s="5" t="str">
        <f t="shared" ref="W135:W198" si="25">IF($C135="","",N135*0.15)</f>
        <v/>
      </c>
      <c r="X135" s="5" t="str">
        <f t="shared" ref="X135:X198" si="26">IF($C135="","",Q135*4.28)</f>
        <v/>
      </c>
    </row>
    <row r="136" spans="1:24">
      <c r="A136" s="91"/>
      <c r="B136" s="92"/>
      <c r="C136" s="69"/>
      <c r="D136" s="69"/>
      <c r="E136" s="69"/>
      <c r="F136" s="69"/>
      <c r="G136" s="70"/>
      <c r="H136" s="71"/>
      <c r="I136" s="66"/>
      <c r="J136" s="67"/>
      <c r="K136" s="67"/>
      <c r="L136" s="67"/>
      <c r="M136" s="67"/>
      <c r="N136" s="145" t="str">
        <f t="shared" si="18"/>
        <v/>
      </c>
      <c r="O136" s="64"/>
      <c r="P136" s="64"/>
      <c r="Q136" s="152" t="str">
        <f t="shared" si="19"/>
        <v/>
      </c>
      <c r="R136" s="65" t="str">
        <f t="shared" si="20"/>
        <v/>
      </c>
      <c r="S136" s="5" t="str">
        <f t="shared" si="21"/>
        <v/>
      </c>
      <c r="T136" s="5" t="str">
        <f t="shared" si="22"/>
        <v/>
      </c>
      <c r="U136" s="5" t="str">
        <f t="shared" si="23"/>
        <v/>
      </c>
      <c r="V136" s="5" t="str">
        <f t="shared" si="24"/>
        <v/>
      </c>
      <c r="W136" s="5" t="str">
        <f t="shared" si="25"/>
        <v/>
      </c>
      <c r="X136" s="5" t="str">
        <f t="shared" si="26"/>
        <v/>
      </c>
    </row>
    <row r="137" spans="1:24">
      <c r="A137" s="91"/>
      <c r="B137" s="92"/>
      <c r="C137" s="69"/>
      <c r="D137" s="69"/>
      <c r="E137" s="69"/>
      <c r="F137" s="69"/>
      <c r="G137" s="70"/>
      <c r="H137" s="71"/>
      <c r="I137" s="66"/>
      <c r="J137" s="67"/>
      <c r="K137" s="67"/>
      <c r="L137" s="67"/>
      <c r="M137" s="67"/>
      <c r="N137" s="145" t="str">
        <f t="shared" si="18"/>
        <v/>
      </c>
      <c r="O137" s="64"/>
      <c r="P137" s="64"/>
      <c r="Q137" s="152" t="str">
        <f t="shared" si="19"/>
        <v/>
      </c>
      <c r="R137" s="65" t="str">
        <f t="shared" si="20"/>
        <v/>
      </c>
      <c r="S137" s="5" t="str">
        <f t="shared" si="21"/>
        <v/>
      </c>
      <c r="T137" s="5" t="str">
        <f t="shared" si="22"/>
        <v/>
      </c>
      <c r="U137" s="5" t="str">
        <f t="shared" si="23"/>
        <v/>
      </c>
      <c r="V137" s="5" t="str">
        <f t="shared" si="24"/>
        <v/>
      </c>
      <c r="W137" s="5" t="str">
        <f t="shared" si="25"/>
        <v/>
      </c>
      <c r="X137" s="5" t="str">
        <f t="shared" si="26"/>
        <v/>
      </c>
    </row>
    <row r="138" spans="1:24">
      <c r="A138" s="91"/>
      <c r="B138" s="92"/>
      <c r="C138" s="69"/>
      <c r="D138" s="69"/>
      <c r="E138" s="69"/>
      <c r="F138" s="69"/>
      <c r="G138" s="70"/>
      <c r="H138" s="71"/>
      <c r="I138" s="66"/>
      <c r="J138" s="67"/>
      <c r="K138" s="67"/>
      <c r="L138" s="67"/>
      <c r="M138" s="67"/>
      <c r="N138" s="145" t="str">
        <f t="shared" si="18"/>
        <v/>
      </c>
      <c r="O138" s="64"/>
      <c r="P138" s="64"/>
      <c r="Q138" s="152" t="str">
        <f t="shared" si="19"/>
        <v/>
      </c>
      <c r="R138" s="65" t="str">
        <f t="shared" si="20"/>
        <v/>
      </c>
      <c r="S138" s="5" t="str">
        <f t="shared" si="21"/>
        <v/>
      </c>
      <c r="T138" s="5" t="str">
        <f t="shared" si="22"/>
        <v/>
      </c>
      <c r="U138" s="5" t="str">
        <f t="shared" si="23"/>
        <v/>
      </c>
      <c r="V138" s="5" t="str">
        <f t="shared" si="24"/>
        <v/>
      </c>
      <c r="W138" s="5" t="str">
        <f t="shared" si="25"/>
        <v/>
      </c>
      <c r="X138" s="5" t="str">
        <f t="shared" si="26"/>
        <v/>
      </c>
    </row>
    <row r="139" spans="1:24">
      <c r="A139" s="91"/>
      <c r="B139" s="92"/>
      <c r="C139" s="69"/>
      <c r="D139" s="69"/>
      <c r="E139" s="69"/>
      <c r="F139" s="69"/>
      <c r="G139" s="70"/>
      <c r="H139" s="71"/>
      <c r="I139" s="66"/>
      <c r="J139" s="67"/>
      <c r="K139" s="67"/>
      <c r="L139" s="67"/>
      <c r="M139" s="67"/>
      <c r="N139" s="145" t="str">
        <f t="shared" si="18"/>
        <v/>
      </c>
      <c r="O139" s="64"/>
      <c r="P139" s="64"/>
      <c r="Q139" s="152" t="str">
        <f t="shared" si="19"/>
        <v/>
      </c>
      <c r="R139" s="65" t="str">
        <f t="shared" si="20"/>
        <v/>
      </c>
      <c r="S139" s="5" t="str">
        <f t="shared" si="21"/>
        <v/>
      </c>
      <c r="T139" s="5" t="str">
        <f t="shared" si="22"/>
        <v/>
      </c>
      <c r="U139" s="5" t="str">
        <f t="shared" si="23"/>
        <v/>
      </c>
      <c r="V139" s="5" t="str">
        <f t="shared" si="24"/>
        <v/>
      </c>
      <c r="W139" s="5" t="str">
        <f t="shared" si="25"/>
        <v/>
      </c>
      <c r="X139" s="5" t="str">
        <f t="shared" si="26"/>
        <v/>
      </c>
    </row>
    <row r="140" spans="1:24">
      <c r="A140" s="91"/>
      <c r="B140" s="92"/>
      <c r="C140" s="69"/>
      <c r="D140" s="69"/>
      <c r="E140" s="69"/>
      <c r="F140" s="69"/>
      <c r="G140" s="70"/>
      <c r="H140" s="71"/>
      <c r="I140" s="66"/>
      <c r="J140" s="67"/>
      <c r="K140" s="67"/>
      <c r="L140" s="67"/>
      <c r="M140" s="67"/>
      <c r="N140" s="145" t="str">
        <f t="shared" si="18"/>
        <v/>
      </c>
      <c r="O140" s="64"/>
      <c r="P140" s="64"/>
      <c r="Q140" s="152" t="str">
        <f t="shared" si="19"/>
        <v/>
      </c>
      <c r="R140" s="65" t="str">
        <f t="shared" si="20"/>
        <v/>
      </c>
      <c r="S140" s="5" t="str">
        <f t="shared" si="21"/>
        <v/>
      </c>
      <c r="T140" s="5" t="str">
        <f t="shared" si="22"/>
        <v/>
      </c>
      <c r="U140" s="5" t="str">
        <f t="shared" si="23"/>
        <v/>
      </c>
      <c r="V140" s="5" t="str">
        <f t="shared" si="24"/>
        <v/>
      </c>
      <c r="W140" s="5" t="str">
        <f t="shared" si="25"/>
        <v/>
      </c>
      <c r="X140" s="5" t="str">
        <f t="shared" si="26"/>
        <v/>
      </c>
    </row>
    <row r="141" spans="1:24">
      <c r="A141" s="91"/>
      <c r="B141" s="92"/>
      <c r="C141" s="69"/>
      <c r="D141" s="69"/>
      <c r="E141" s="69"/>
      <c r="F141" s="69"/>
      <c r="G141" s="70"/>
      <c r="H141" s="71"/>
      <c r="I141" s="66"/>
      <c r="J141" s="67"/>
      <c r="K141" s="67"/>
      <c r="L141" s="67"/>
      <c r="M141" s="67"/>
      <c r="N141" s="145" t="str">
        <f t="shared" si="18"/>
        <v/>
      </c>
      <c r="O141" s="64"/>
      <c r="P141" s="64"/>
      <c r="Q141" s="152" t="str">
        <f t="shared" si="19"/>
        <v/>
      </c>
      <c r="R141" s="65" t="str">
        <f t="shared" si="20"/>
        <v/>
      </c>
      <c r="S141" s="5" t="str">
        <f t="shared" si="21"/>
        <v/>
      </c>
      <c r="T141" s="5" t="str">
        <f t="shared" si="22"/>
        <v/>
      </c>
      <c r="U141" s="5" t="str">
        <f t="shared" si="23"/>
        <v/>
      </c>
      <c r="V141" s="5" t="str">
        <f t="shared" si="24"/>
        <v/>
      </c>
      <c r="W141" s="5" t="str">
        <f t="shared" si="25"/>
        <v/>
      </c>
      <c r="X141" s="5" t="str">
        <f t="shared" si="26"/>
        <v/>
      </c>
    </row>
    <row r="142" spans="1:24">
      <c r="A142" s="91"/>
      <c r="B142" s="92"/>
      <c r="C142" s="69"/>
      <c r="D142" s="69"/>
      <c r="E142" s="69"/>
      <c r="F142" s="69"/>
      <c r="G142" s="70"/>
      <c r="H142" s="71"/>
      <c r="I142" s="66"/>
      <c r="J142" s="67"/>
      <c r="K142" s="67"/>
      <c r="L142" s="67"/>
      <c r="M142" s="67"/>
      <c r="N142" s="145" t="str">
        <f t="shared" si="18"/>
        <v/>
      </c>
      <c r="O142" s="64"/>
      <c r="P142" s="64"/>
      <c r="Q142" s="152" t="str">
        <f t="shared" si="19"/>
        <v/>
      </c>
      <c r="R142" s="65" t="str">
        <f t="shared" si="20"/>
        <v/>
      </c>
      <c r="S142" s="5" t="str">
        <f t="shared" si="21"/>
        <v/>
      </c>
      <c r="T142" s="5" t="str">
        <f t="shared" si="22"/>
        <v/>
      </c>
      <c r="U142" s="5" t="str">
        <f t="shared" si="23"/>
        <v/>
      </c>
      <c r="V142" s="5" t="str">
        <f t="shared" si="24"/>
        <v/>
      </c>
      <c r="W142" s="5" t="str">
        <f t="shared" si="25"/>
        <v/>
      </c>
      <c r="X142" s="5" t="str">
        <f t="shared" si="26"/>
        <v/>
      </c>
    </row>
    <row r="143" spans="1:24">
      <c r="A143" s="91"/>
      <c r="B143" s="92"/>
      <c r="C143" s="69"/>
      <c r="D143" s="69"/>
      <c r="E143" s="69"/>
      <c r="F143" s="69"/>
      <c r="G143" s="70"/>
      <c r="H143" s="71"/>
      <c r="I143" s="66"/>
      <c r="J143" s="67"/>
      <c r="K143" s="67"/>
      <c r="L143" s="67"/>
      <c r="M143" s="67"/>
      <c r="N143" s="145" t="str">
        <f t="shared" si="18"/>
        <v/>
      </c>
      <c r="O143" s="64"/>
      <c r="P143" s="64"/>
      <c r="Q143" s="152" t="str">
        <f t="shared" si="19"/>
        <v/>
      </c>
      <c r="R143" s="65" t="str">
        <f t="shared" si="20"/>
        <v/>
      </c>
      <c r="S143" s="5" t="str">
        <f t="shared" si="21"/>
        <v/>
      </c>
      <c r="T143" s="5" t="str">
        <f t="shared" si="22"/>
        <v/>
      </c>
      <c r="U143" s="5" t="str">
        <f t="shared" si="23"/>
        <v/>
      </c>
      <c r="V143" s="5" t="str">
        <f t="shared" si="24"/>
        <v/>
      </c>
      <c r="W143" s="5" t="str">
        <f t="shared" si="25"/>
        <v/>
      </c>
      <c r="X143" s="5" t="str">
        <f t="shared" si="26"/>
        <v/>
      </c>
    </row>
    <row r="144" spans="1:24">
      <c r="A144" s="91"/>
      <c r="B144" s="92"/>
      <c r="C144" s="69"/>
      <c r="D144" s="69"/>
      <c r="E144" s="69"/>
      <c r="F144" s="69"/>
      <c r="G144" s="70"/>
      <c r="H144" s="71"/>
      <c r="I144" s="66"/>
      <c r="J144" s="67"/>
      <c r="K144" s="67"/>
      <c r="L144" s="67"/>
      <c r="M144" s="67"/>
      <c r="N144" s="145" t="str">
        <f t="shared" si="18"/>
        <v/>
      </c>
      <c r="O144" s="64"/>
      <c r="P144" s="64"/>
      <c r="Q144" s="152" t="str">
        <f t="shared" si="19"/>
        <v/>
      </c>
      <c r="R144" s="65" t="str">
        <f t="shared" si="20"/>
        <v/>
      </c>
      <c r="S144" s="5" t="str">
        <f t="shared" si="21"/>
        <v/>
      </c>
      <c r="T144" s="5" t="str">
        <f t="shared" si="22"/>
        <v/>
      </c>
      <c r="U144" s="5" t="str">
        <f t="shared" si="23"/>
        <v/>
      </c>
      <c r="V144" s="5" t="str">
        <f t="shared" si="24"/>
        <v/>
      </c>
      <c r="W144" s="5" t="str">
        <f t="shared" si="25"/>
        <v/>
      </c>
      <c r="X144" s="5" t="str">
        <f t="shared" si="26"/>
        <v/>
      </c>
    </row>
    <row r="145" spans="1:24">
      <c r="A145" s="91"/>
      <c r="B145" s="92"/>
      <c r="C145" s="69"/>
      <c r="D145" s="69"/>
      <c r="E145" s="69"/>
      <c r="F145" s="69"/>
      <c r="G145" s="70"/>
      <c r="H145" s="71"/>
      <c r="I145" s="66"/>
      <c r="J145" s="67"/>
      <c r="K145" s="67"/>
      <c r="L145" s="67"/>
      <c r="M145" s="67"/>
      <c r="N145" s="145" t="str">
        <f t="shared" si="18"/>
        <v/>
      </c>
      <c r="O145" s="64"/>
      <c r="P145" s="64"/>
      <c r="Q145" s="152" t="str">
        <f t="shared" si="19"/>
        <v/>
      </c>
      <c r="R145" s="65" t="str">
        <f t="shared" si="20"/>
        <v/>
      </c>
      <c r="S145" s="5" t="str">
        <f t="shared" si="21"/>
        <v/>
      </c>
      <c r="T145" s="5" t="str">
        <f t="shared" si="22"/>
        <v/>
      </c>
      <c r="U145" s="5" t="str">
        <f t="shared" si="23"/>
        <v/>
      </c>
      <c r="V145" s="5" t="str">
        <f t="shared" si="24"/>
        <v/>
      </c>
      <c r="W145" s="5" t="str">
        <f t="shared" si="25"/>
        <v/>
      </c>
      <c r="X145" s="5" t="str">
        <f t="shared" si="26"/>
        <v/>
      </c>
    </row>
    <row r="146" spans="1:24">
      <c r="A146" s="91"/>
      <c r="B146" s="92"/>
      <c r="C146" s="69"/>
      <c r="D146" s="69"/>
      <c r="E146" s="69"/>
      <c r="F146" s="69"/>
      <c r="G146" s="70"/>
      <c r="H146" s="71"/>
      <c r="I146" s="66"/>
      <c r="J146" s="67"/>
      <c r="K146" s="67"/>
      <c r="L146" s="67"/>
      <c r="M146" s="67"/>
      <c r="N146" s="145" t="str">
        <f t="shared" si="18"/>
        <v/>
      </c>
      <c r="O146" s="64"/>
      <c r="P146" s="64"/>
      <c r="Q146" s="152" t="str">
        <f t="shared" si="19"/>
        <v/>
      </c>
      <c r="R146" s="65" t="str">
        <f t="shared" si="20"/>
        <v/>
      </c>
      <c r="S146" s="5" t="str">
        <f t="shared" si="21"/>
        <v/>
      </c>
      <c r="T146" s="5" t="str">
        <f t="shared" si="22"/>
        <v/>
      </c>
      <c r="U146" s="5" t="str">
        <f t="shared" si="23"/>
        <v/>
      </c>
      <c r="V146" s="5" t="str">
        <f t="shared" si="24"/>
        <v/>
      </c>
      <c r="W146" s="5" t="str">
        <f t="shared" si="25"/>
        <v/>
      </c>
      <c r="X146" s="5" t="str">
        <f t="shared" si="26"/>
        <v/>
      </c>
    </row>
    <row r="147" spans="1:24">
      <c r="A147" s="91"/>
      <c r="B147" s="92"/>
      <c r="C147" s="69"/>
      <c r="D147" s="69"/>
      <c r="E147" s="69"/>
      <c r="F147" s="69"/>
      <c r="G147" s="70"/>
      <c r="H147" s="71"/>
      <c r="I147" s="66"/>
      <c r="J147" s="67"/>
      <c r="K147" s="67"/>
      <c r="L147" s="67"/>
      <c r="M147" s="67"/>
      <c r="N147" s="145" t="str">
        <f t="shared" si="18"/>
        <v/>
      </c>
      <c r="O147" s="64"/>
      <c r="P147" s="64"/>
      <c r="Q147" s="152" t="str">
        <f t="shared" si="19"/>
        <v/>
      </c>
      <c r="R147" s="65" t="str">
        <f t="shared" si="20"/>
        <v/>
      </c>
      <c r="S147" s="5" t="str">
        <f t="shared" si="21"/>
        <v/>
      </c>
      <c r="T147" s="5" t="str">
        <f t="shared" si="22"/>
        <v/>
      </c>
      <c r="U147" s="5" t="str">
        <f t="shared" si="23"/>
        <v/>
      </c>
      <c r="V147" s="5" t="str">
        <f t="shared" si="24"/>
        <v/>
      </c>
      <c r="W147" s="5" t="str">
        <f t="shared" si="25"/>
        <v/>
      </c>
      <c r="X147" s="5" t="str">
        <f t="shared" si="26"/>
        <v/>
      </c>
    </row>
    <row r="148" spans="1:24">
      <c r="A148" s="91"/>
      <c r="B148" s="92"/>
      <c r="C148" s="69"/>
      <c r="D148" s="69"/>
      <c r="E148" s="69"/>
      <c r="F148" s="69"/>
      <c r="G148" s="70"/>
      <c r="H148" s="71"/>
      <c r="I148" s="66"/>
      <c r="J148" s="67"/>
      <c r="K148" s="67"/>
      <c r="L148" s="67"/>
      <c r="M148" s="67"/>
      <c r="N148" s="145" t="str">
        <f t="shared" si="18"/>
        <v/>
      </c>
      <c r="O148" s="64"/>
      <c r="P148" s="64"/>
      <c r="Q148" s="152" t="str">
        <f t="shared" si="19"/>
        <v/>
      </c>
      <c r="R148" s="65" t="str">
        <f t="shared" si="20"/>
        <v/>
      </c>
      <c r="S148" s="5" t="str">
        <f t="shared" si="21"/>
        <v/>
      </c>
      <c r="T148" s="5" t="str">
        <f t="shared" si="22"/>
        <v/>
      </c>
      <c r="U148" s="5" t="str">
        <f t="shared" si="23"/>
        <v/>
      </c>
      <c r="V148" s="5" t="str">
        <f t="shared" si="24"/>
        <v/>
      </c>
      <c r="W148" s="5" t="str">
        <f t="shared" si="25"/>
        <v/>
      </c>
      <c r="X148" s="5" t="str">
        <f t="shared" si="26"/>
        <v/>
      </c>
    </row>
    <row r="149" spans="1:24">
      <c r="A149" s="91"/>
      <c r="B149" s="92"/>
      <c r="C149" s="69"/>
      <c r="D149" s="69"/>
      <c r="E149" s="69"/>
      <c r="F149" s="69"/>
      <c r="G149" s="70"/>
      <c r="H149" s="71"/>
      <c r="I149" s="66"/>
      <c r="J149" s="67"/>
      <c r="K149" s="67"/>
      <c r="L149" s="67"/>
      <c r="M149" s="67"/>
      <c r="N149" s="145" t="str">
        <f t="shared" si="18"/>
        <v/>
      </c>
      <c r="O149" s="64"/>
      <c r="P149" s="64"/>
      <c r="Q149" s="152" t="str">
        <f t="shared" si="19"/>
        <v/>
      </c>
      <c r="R149" s="65" t="str">
        <f t="shared" si="20"/>
        <v/>
      </c>
      <c r="S149" s="5" t="str">
        <f t="shared" si="21"/>
        <v/>
      </c>
      <c r="T149" s="5" t="str">
        <f t="shared" si="22"/>
        <v/>
      </c>
      <c r="U149" s="5" t="str">
        <f t="shared" si="23"/>
        <v/>
      </c>
      <c r="V149" s="5" t="str">
        <f t="shared" si="24"/>
        <v/>
      </c>
      <c r="W149" s="5" t="str">
        <f t="shared" si="25"/>
        <v/>
      </c>
      <c r="X149" s="5" t="str">
        <f t="shared" si="26"/>
        <v/>
      </c>
    </row>
    <row r="150" spans="1:24">
      <c r="A150" s="91"/>
      <c r="B150" s="92"/>
      <c r="C150" s="69"/>
      <c r="D150" s="69"/>
      <c r="E150" s="69"/>
      <c r="F150" s="69"/>
      <c r="G150" s="70"/>
      <c r="H150" s="71"/>
      <c r="I150" s="66"/>
      <c r="J150" s="67"/>
      <c r="K150" s="67"/>
      <c r="L150" s="67"/>
      <c r="M150" s="67"/>
      <c r="N150" s="145" t="str">
        <f t="shared" si="18"/>
        <v/>
      </c>
      <c r="O150" s="64"/>
      <c r="P150" s="64"/>
      <c r="Q150" s="152" t="str">
        <f t="shared" si="19"/>
        <v/>
      </c>
      <c r="R150" s="65" t="str">
        <f t="shared" si="20"/>
        <v/>
      </c>
      <c r="S150" s="5" t="str">
        <f t="shared" si="21"/>
        <v/>
      </c>
      <c r="T150" s="5" t="str">
        <f t="shared" si="22"/>
        <v/>
      </c>
      <c r="U150" s="5" t="str">
        <f t="shared" si="23"/>
        <v/>
      </c>
      <c r="V150" s="5" t="str">
        <f t="shared" si="24"/>
        <v/>
      </c>
      <c r="W150" s="5" t="str">
        <f t="shared" si="25"/>
        <v/>
      </c>
      <c r="X150" s="5" t="str">
        <f t="shared" si="26"/>
        <v/>
      </c>
    </row>
    <row r="151" spans="1:24">
      <c r="A151" s="91"/>
      <c r="B151" s="92"/>
      <c r="C151" s="69"/>
      <c r="D151" s="69"/>
      <c r="E151" s="69"/>
      <c r="F151" s="69"/>
      <c r="G151" s="70"/>
      <c r="H151" s="71"/>
      <c r="I151" s="66"/>
      <c r="J151" s="67"/>
      <c r="K151" s="67"/>
      <c r="L151" s="67"/>
      <c r="M151" s="67"/>
      <c r="N151" s="145" t="str">
        <f t="shared" si="18"/>
        <v/>
      </c>
      <c r="O151" s="64"/>
      <c r="P151" s="64"/>
      <c r="Q151" s="152" t="str">
        <f t="shared" si="19"/>
        <v/>
      </c>
      <c r="R151" s="65" t="str">
        <f t="shared" si="20"/>
        <v/>
      </c>
      <c r="S151" s="5" t="str">
        <f t="shared" si="21"/>
        <v/>
      </c>
      <c r="T151" s="5" t="str">
        <f t="shared" si="22"/>
        <v/>
      </c>
      <c r="U151" s="5" t="str">
        <f t="shared" si="23"/>
        <v/>
      </c>
      <c r="V151" s="5" t="str">
        <f t="shared" si="24"/>
        <v/>
      </c>
      <c r="W151" s="5" t="str">
        <f t="shared" si="25"/>
        <v/>
      </c>
      <c r="X151" s="5" t="str">
        <f t="shared" si="26"/>
        <v/>
      </c>
    </row>
    <row r="152" spans="1:24">
      <c r="A152" s="91"/>
      <c r="B152" s="92"/>
      <c r="C152" s="69"/>
      <c r="D152" s="69"/>
      <c r="E152" s="69"/>
      <c r="F152" s="69"/>
      <c r="G152" s="70"/>
      <c r="H152" s="71"/>
      <c r="I152" s="66"/>
      <c r="J152" s="67"/>
      <c r="K152" s="67"/>
      <c r="L152" s="67"/>
      <c r="M152" s="67"/>
      <c r="N152" s="145" t="str">
        <f t="shared" si="18"/>
        <v/>
      </c>
      <c r="O152" s="64"/>
      <c r="P152" s="64"/>
      <c r="Q152" s="152" t="str">
        <f t="shared" si="19"/>
        <v/>
      </c>
      <c r="R152" s="65" t="str">
        <f t="shared" si="20"/>
        <v/>
      </c>
      <c r="S152" s="5" t="str">
        <f t="shared" si="21"/>
        <v/>
      </c>
      <c r="T152" s="5" t="str">
        <f t="shared" si="22"/>
        <v/>
      </c>
      <c r="U152" s="5" t="str">
        <f t="shared" si="23"/>
        <v/>
      </c>
      <c r="V152" s="5" t="str">
        <f t="shared" si="24"/>
        <v/>
      </c>
      <c r="W152" s="5" t="str">
        <f t="shared" si="25"/>
        <v/>
      </c>
      <c r="X152" s="5" t="str">
        <f t="shared" si="26"/>
        <v/>
      </c>
    </row>
    <row r="153" spans="1:24">
      <c r="A153" s="91"/>
      <c r="B153" s="92"/>
      <c r="C153" s="69"/>
      <c r="D153" s="69"/>
      <c r="E153" s="69"/>
      <c r="F153" s="69"/>
      <c r="G153" s="70"/>
      <c r="H153" s="71"/>
      <c r="I153" s="66"/>
      <c r="J153" s="67"/>
      <c r="K153" s="67"/>
      <c r="L153" s="67"/>
      <c r="M153" s="67"/>
      <c r="N153" s="145" t="str">
        <f t="shared" si="18"/>
        <v/>
      </c>
      <c r="O153" s="64"/>
      <c r="P153" s="64"/>
      <c r="Q153" s="152" t="str">
        <f t="shared" si="19"/>
        <v/>
      </c>
      <c r="R153" s="65" t="str">
        <f t="shared" si="20"/>
        <v/>
      </c>
      <c r="S153" s="5" t="str">
        <f t="shared" si="21"/>
        <v/>
      </c>
      <c r="T153" s="5" t="str">
        <f t="shared" si="22"/>
        <v/>
      </c>
      <c r="U153" s="5" t="str">
        <f t="shared" si="23"/>
        <v/>
      </c>
      <c r="V153" s="5" t="str">
        <f t="shared" si="24"/>
        <v/>
      </c>
      <c r="W153" s="5" t="str">
        <f t="shared" si="25"/>
        <v/>
      </c>
      <c r="X153" s="5" t="str">
        <f t="shared" si="26"/>
        <v/>
      </c>
    </row>
    <row r="154" spans="1:24">
      <c r="A154" s="91"/>
      <c r="B154" s="92"/>
      <c r="C154" s="69"/>
      <c r="D154" s="69"/>
      <c r="E154" s="69"/>
      <c r="F154" s="69"/>
      <c r="G154" s="70"/>
      <c r="H154" s="71"/>
      <c r="I154" s="66"/>
      <c r="J154" s="67"/>
      <c r="K154" s="67"/>
      <c r="L154" s="67"/>
      <c r="M154" s="67"/>
      <c r="N154" s="145" t="str">
        <f t="shared" si="18"/>
        <v/>
      </c>
      <c r="O154" s="64"/>
      <c r="P154" s="64"/>
      <c r="Q154" s="152" t="str">
        <f t="shared" si="19"/>
        <v/>
      </c>
      <c r="R154" s="65" t="str">
        <f t="shared" si="20"/>
        <v/>
      </c>
      <c r="S154" s="5" t="str">
        <f t="shared" si="21"/>
        <v/>
      </c>
      <c r="T154" s="5" t="str">
        <f t="shared" si="22"/>
        <v/>
      </c>
      <c r="U154" s="5" t="str">
        <f t="shared" si="23"/>
        <v/>
      </c>
      <c r="V154" s="5" t="str">
        <f t="shared" si="24"/>
        <v/>
      </c>
      <c r="W154" s="5" t="str">
        <f t="shared" si="25"/>
        <v/>
      </c>
      <c r="X154" s="5" t="str">
        <f t="shared" si="26"/>
        <v/>
      </c>
    </row>
    <row r="155" spans="1:24">
      <c r="A155" s="91"/>
      <c r="B155" s="92"/>
      <c r="C155" s="69"/>
      <c r="D155" s="69"/>
      <c r="E155" s="69"/>
      <c r="F155" s="69"/>
      <c r="G155" s="70"/>
      <c r="H155" s="71"/>
      <c r="I155" s="66"/>
      <c r="J155" s="67"/>
      <c r="K155" s="67"/>
      <c r="L155" s="67"/>
      <c r="M155" s="67"/>
      <c r="N155" s="145" t="str">
        <f t="shared" si="18"/>
        <v/>
      </c>
      <c r="O155" s="64"/>
      <c r="P155" s="64"/>
      <c r="Q155" s="152" t="str">
        <f t="shared" si="19"/>
        <v/>
      </c>
      <c r="R155" s="65" t="str">
        <f t="shared" si="20"/>
        <v/>
      </c>
      <c r="S155" s="5" t="str">
        <f t="shared" si="21"/>
        <v/>
      </c>
      <c r="T155" s="5" t="str">
        <f t="shared" si="22"/>
        <v/>
      </c>
      <c r="U155" s="5" t="str">
        <f t="shared" si="23"/>
        <v/>
      </c>
      <c r="V155" s="5" t="str">
        <f t="shared" si="24"/>
        <v/>
      </c>
      <c r="W155" s="5" t="str">
        <f t="shared" si="25"/>
        <v/>
      </c>
      <c r="X155" s="5" t="str">
        <f t="shared" si="26"/>
        <v/>
      </c>
    </row>
    <row r="156" spans="1:24">
      <c r="A156" s="91"/>
      <c r="B156" s="92"/>
      <c r="C156" s="69"/>
      <c r="D156" s="69"/>
      <c r="E156" s="69"/>
      <c r="F156" s="69"/>
      <c r="G156" s="70"/>
      <c r="H156" s="71"/>
      <c r="I156" s="66"/>
      <c r="J156" s="67"/>
      <c r="K156" s="67"/>
      <c r="L156" s="67"/>
      <c r="M156" s="67"/>
      <c r="N156" s="145" t="str">
        <f t="shared" si="18"/>
        <v/>
      </c>
      <c r="O156" s="64"/>
      <c r="P156" s="64"/>
      <c r="Q156" s="152" t="str">
        <f t="shared" si="19"/>
        <v/>
      </c>
      <c r="R156" s="65" t="str">
        <f t="shared" si="20"/>
        <v/>
      </c>
      <c r="S156" s="5" t="str">
        <f t="shared" si="21"/>
        <v/>
      </c>
      <c r="T156" s="5" t="str">
        <f t="shared" si="22"/>
        <v/>
      </c>
      <c r="U156" s="5" t="str">
        <f t="shared" si="23"/>
        <v/>
      </c>
      <c r="V156" s="5" t="str">
        <f t="shared" si="24"/>
        <v/>
      </c>
      <c r="W156" s="5" t="str">
        <f t="shared" si="25"/>
        <v/>
      </c>
      <c r="X156" s="5" t="str">
        <f t="shared" si="26"/>
        <v/>
      </c>
    </row>
    <row r="157" spans="1:24">
      <c r="A157" s="91"/>
      <c r="B157" s="92"/>
      <c r="C157" s="69"/>
      <c r="D157" s="69"/>
      <c r="E157" s="69"/>
      <c r="F157" s="69"/>
      <c r="G157" s="70"/>
      <c r="H157" s="71"/>
      <c r="I157" s="66"/>
      <c r="J157" s="67"/>
      <c r="K157" s="67"/>
      <c r="L157" s="67"/>
      <c r="M157" s="67"/>
      <c r="N157" s="145" t="str">
        <f t="shared" si="18"/>
        <v/>
      </c>
      <c r="O157" s="64"/>
      <c r="P157" s="64"/>
      <c r="Q157" s="152" t="str">
        <f t="shared" si="19"/>
        <v/>
      </c>
      <c r="R157" s="65" t="str">
        <f t="shared" si="20"/>
        <v/>
      </c>
      <c r="S157" s="5" t="str">
        <f t="shared" si="21"/>
        <v/>
      </c>
      <c r="T157" s="5" t="str">
        <f t="shared" si="22"/>
        <v/>
      </c>
      <c r="U157" s="5" t="str">
        <f t="shared" si="23"/>
        <v/>
      </c>
      <c r="V157" s="5" t="str">
        <f t="shared" si="24"/>
        <v/>
      </c>
      <c r="W157" s="5" t="str">
        <f t="shared" si="25"/>
        <v/>
      </c>
      <c r="X157" s="5" t="str">
        <f t="shared" si="26"/>
        <v/>
      </c>
    </row>
    <row r="158" spans="1:24">
      <c r="A158" s="91"/>
      <c r="B158" s="92"/>
      <c r="C158" s="69"/>
      <c r="D158" s="69"/>
      <c r="E158" s="69"/>
      <c r="F158" s="69"/>
      <c r="G158" s="70"/>
      <c r="H158" s="71"/>
      <c r="I158" s="66"/>
      <c r="J158" s="67"/>
      <c r="K158" s="67"/>
      <c r="L158" s="67"/>
      <c r="M158" s="67"/>
      <c r="N158" s="145" t="str">
        <f t="shared" si="18"/>
        <v/>
      </c>
      <c r="O158" s="64"/>
      <c r="P158" s="64"/>
      <c r="Q158" s="152" t="str">
        <f t="shared" si="19"/>
        <v/>
      </c>
      <c r="R158" s="65" t="str">
        <f t="shared" si="20"/>
        <v/>
      </c>
      <c r="S158" s="5" t="str">
        <f t="shared" si="21"/>
        <v/>
      </c>
      <c r="T158" s="5" t="str">
        <f t="shared" si="22"/>
        <v/>
      </c>
      <c r="U158" s="5" t="str">
        <f t="shared" si="23"/>
        <v/>
      </c>
      <c r="V158" s="5" t="str">
        <f t="shared" si="24"/>
        <v/>
      </c>
      <c r="W158" s="5" t="str">
        <f t="shared" si="25"/>
        <v/>
      </c>
      <c r="X158" s="5" t="str">
        <f t="shared" si="26"/>
        <v/>
      </c>
    </row>
    <row r="159" spans="1:24">
      <c r="A159" s="91"/>
      <c r="B159" s="92"/>
      <c r="C159" s="69"/>
      <c r="D159" s="69"/>
      <c r="E159" s="69"/>
      <c r="F159" s="69"/>
      <c r="G159" s="70"/>
      <c r="H159" s="71"/>
      <c r="I159" s="66"/>
      <c r="J159" s="67"/>
      <c r="K159" s="67"/>
      <c r="L159" s="67"/>
      <c r="M159" s="67"/>
      <c r="N159" s="145" t="str">
        <f t="shared" si="18"/>
        <v/>
      </c>
      <c r="O159" s="64"/>
      <c r="P159" s="64"/>
      <c r="Q159" s="152" t="str">
        <f t="shared" si="19"/>
        <v/>
      </c>
      <c r="R159" s="65" t="str">
        <f t="shared" si="20"/>
        <v/>
      </c>
      <c r="S159" s="5" t="str">
        <f t="shared" si="21"/>
        <v/>
      </c>
      <c r="T159" s="5" t="str">
        <f t="shared" si="22"/>
        <v/>
      </c>
      <c r="U159" s="5" t="str">
        <f t="shared" si="23"/>
        <v/>
      </c>
      <c r="V159" s="5" t="str">
        <f t="shared" si="24"/>
        <v/>
      </c>
      <c r="W159" s="5" t="str">
        <f t="shared" si="25"/>
        <v/>
      </c>
      <c r="X159" s="5" t="str">
        <f t="shared" si="26"/>
        <v/>
      </c>
    </row>
    <row r="160" spans="1:24">
      <c r="A160" s="91"/>
      <c r="B160" s="92"/>
      <c r="C160" s="69"/>
      <c r="D160" s="69"/>
      <c r="E160" s="69"/>
      <c r="F160" s="69"/>
      <c r="G160" s="70"/>
      <c r="H160" s="71"/>
      <c r="I160" s="66"/>
      <c r="J160" s="67"/>
      <c r="K160" s="67"/>
      <c r="L160" s="67"/>
      <c r="M160" s="67"/>
      <c r="N160" s="145" t="str">
        <f t="shared" si="18"/>
        <v/>
      </c>
      <c r="O160" s="64"/>
      <c r="P160" s="64"/>
      <c r="Q160" s="152" t="str">
        <f t="shared" si="19"/>
        <v/>
      </c>
      <c r="R160" s="65" t="str">
        <f t="shared" si="20"/>
        <v/>
      </c>
      <c r="S160" s="5" t="str">
        <f t="shared" si="21"/>
        <v/>
      </c>
      <c r="T160" s="5" t="str">
        <f t="shared" si="22"/>
        <v/>
      </c>
      <c r="U160" s="5" t="str">
        <f t="shared" si="23"/>
        <v/>
      </c>
      <c r="V160" s="5" t="str">
        <f t="shared" si="24"/>
        <v/>
      </c>
      <c r="W160" s="5" t="str">
        <f t="shared" si="25"/>
        <v/>
      </c>
      <c r="X160" s="5" t="str">
        <f t="shared" si="26"/>
        <v/>
      </c>
    </row>
    <row r="161" spans="1:24">
      <c r="A161" s="91"/>
      <c r="B161" s="92"/>
      <c r="C161" s="69"/>
      <c r="D161" s="69"/>
      <c r="E161" s="69"/>
      <c r="F161" s="69"/>
      <c r="G161" s="70"/>
      <c r="H161" s="71"/>
      <c r="I161" s="66"/>
      <c r="J161" s="67"/>
      <c r="K161" s="67"/>
      <c r="L161" s="67"/>
      <c r="M161" s="67"/>
      <c r="N161" s="145" t="str">
        <f t="shared" si="18"/>
        <v/>
      </c>
      <c r="O161" s="64"/>
      <c r="P161" s="64"/>
      <c r="Q161" s="152" t="str">
        <f t="shared" si="19"/>
        <v/>
      </c>
      <c r="R161" s="65" t="str">
        <f t="shared" si="20"/>
        <v/>
      </c>
      <c r="S161" s="5" t="str">
        <f t="shared" si="21"/>
        <v/>
      </c>
      <c r="T161" s="5" t="str">
        <f t="shared" si="22"/>
        <v/>
      </c>
      <c r="U161" s="5" t="str">
        <f t="shared" si="23"/>
        <v/>
      </c>
      <c r="V161" s="5" t="str">
        <f t="shared" si="24"/>
        <v/>
      </c>
      <c r="W161" s="5" t="str">
        <f t="shared" si="25"/>
        <v/>
      </c>
      <c r="X161" s="5" t="str">
        <f t="shared" si="26"/>
        <v/>
      </c>
    </row>
    <row r="162" spans="1:24">
      <c r="A162" s="91"/>
      <c r="B162" s="92"/>
      <c r="C162" s="69"/>
      <c r="D162" s="69"/>
      <c r="E162" s="69"/>
      <c r="F162" s="69"/>
      <c r="G162" s="70"/>
      <c r="H162" s="71"/>
      <c r="I162" s="66"/>
      <c r="J162" s="67"/>
      <c r="K162" s="67"/>
      <c r="L162" s="67"/>
      <c r="M162" s="67"/>
      <c r="N162" s="145" t="str">
        <f t="shared" si="18"/>
        <v/>
      </c>
      <c r="O162" s="64"/>
      <c r="P162" s="64"/>
      <c r="Q162" s="152" t="str">
        <f t="shared" si="19"/>
        <v/>
      </c>
      <c r="R162" s="65" t="str">
        <f t="shared" si="20"/>
        <v/>
      </c>
      <c r="S162" s="5" t="str">
        <f t="shared" si="21"/>
        <v/>
      </c>
      <c r="T162" s="5" t="str">
        <f t="shared" si="22"/>
        <v/>
      </c>
      <c r="U162" s="5" t="str">
        <f t="shared" si="23"/>
        <v/>
      </c>
      <c r="V162" s="5" t="str">
        <f t="shared" si="24"/>
        <v/>
      </c>
      <c r="W162" s="5" t="str">
        <f t="shared" si="25"/>
        <v/>
      </c>
      <c r="X162" s="5" t="str">
        <f t="shared" si="26"/>
        <v/>
      </c>
    </row>
    <row r="163" spans="1:24">
      <c r="A163" s="91"/>
      <c r="B163" s="92"/>
      <c r="C163" s="69"/>
      <c r="D163" s="69"/>
      <c r="E163" s="69"/>
      <c r="F163" s="69"/>
      <c r="G163" s="70"/>
      <c r="H163" s="71"/>
      <c r="I163" s="66"/>
      <c r="J163" s="67"/>
      <c r="K163" s="67"/>
      <c r="L163" s="67"/>
      <c r="M163" s="67"/>
      <c r="N163" s="145" t="str">
        <f t="shared" si="18"/>
        <v/>
      </c>
      <c r="O163" s="64"/>
      <c r="P163" s="64"/>
      <c r="Q163" s="152" t="str">
        <f t="shared" si="19"/>
        <v/>
      </c>
      <c r="R163" s="65" t="str">
        <f t="shared" si="20"/>
        <v/>
      </c>
      <c r="S163" s="5" t="str">
        <f t="shared" si="21"/>
        <v/>
      </c>
      <c r="T163" s="5" t="str">
        <f t="shared" si="22"/>
        <v/>
      </c>
      <c r="U163" s="5" t="str">
        <f t="shared" si="23"/>
        <v/>
      </c>
      <c r="V163" s="5" t="str">
        <f t="shared" si="24"/>
        <v/>
      </c>
      <c r="W163" s="5" t="str">
        <f t="shared" si="25"/>
        <v/>
      </c>
      <c r="X163" s="5" t="str">
        <f t="shared" si="26"/>
        <v/>
      </c>
    </row>
    <row r="164" spans="1:24">
      <c r="A164" s="91"/>
      <c r="B164" s="92"/>
      <c r="C164" s="69"/>
      <c r="D164" s="69"/>
      <c r="E164" s="69"/>
      <c r="F164" s="69"/>
      <c r="G164" s="70"/>
      <c r="H164" s="71"/>
      <c r="I164" s="66"/>
      <c r="J164" s="67"/>
      <c r="K164" s="67"/>
      <c r="L164" s="67"/>
      <c r="M164" s="67"/>
      <c r="N164" s="145" t="str">
        <f t="shared" si="18"/>
        <v/>
      </c>
      <c r="O164" s="64"/>
      <c r="P164" s="64"/>
      <c r="Q164" s="152" t="str">
        <f t="shared" si="19"/>
        <v/>
      </c>
      <c r="R164" s="65" t="str">
        <f t="shared" si="20"/>
        <v/>
      </c>
      <c r="S164" s="5" t="str">
        <f t="shared" si="21"/>
        <v/>
      </c>
      <c r="T164" s="5" t="str">
        <f t="shared" si="22"/>
        <v/>
      </c>
      <c r="U164" s="5" t="str">
        <f t="shared" si="23"/>
        <v/>
      </c>
      <c r="V164" s="5" t="str">
        <f t="shared" si="24"/>
        <v/>
      </c>
      <c r="W164" s="5" t="str">
        <f t="shared" si="25"/>
        <v/>
      </c>
      <c r="X164" s="5" t="str">
        <f t="shared" si="26"/>
        <v/>
      </c>
    </row>
    <row r="165" spans="1:24">
      <c r="A165" s="91"/>
      <c r="B165" s="92"/>
      <c r="C165" s="69"/>
      <c r="D165" s="69"/>
      <c r="E165" s="69"/>
      <c r="F165" s="69"/>
      <c r="G165" s="70"/>
      <c r="H165" s="71"/>
      <c r="I165" s="66"/>
      <c r="J165" s="67"/>
      <c r="K165" s="67"/>
      <c r="L165" s="67"/>
      <c r="M165" s="67"/>
      <c r="N165" s="145" t="str">
        <f t="shared" si="18"/>
        <v/>
      </c>
      <c r="O165" s="64"/>
      <c r="P165" s="64"/>
      <c r="Q165" s="152" t="str">
        <f t="shared" si="19"/>
        <v/>
      </c>
      <c r="R165" s="65" t="str">
        <f t="shared" si="20"/>
        <v/>
      </c>
      <c r="S165" s="5" t="str">
        <f t="shared" si="21"/>
        <v/>
      </c>
      <c r="T165" s="5" t="str">
        <f t="shared" si="22"/>
        <v/>
      </c>
      <c r="U165" s="5" t="str">
        <f t="shared" si="23"/>
        <v/>
      </c>
      <c r="V165" s="5" t="str">
        <f t="shared" si="24"/>
        <v/>
      </c>
      <c r="W165" s="5" t="str">
        <f t="shared" si="25"/>
        <v/>
      </c>
      <c r="X165" s="5" t="str">
        <f t="shared" si="26"/>
        <v/>
      </c>
    </row>
    <row r="166" spans="1:24">
      <c r="A166" s="91"/>
      <c r="B166" s="92"/>
      <c r="C166" s="69"/>
      <c r="D166" s="69"/>
      <c r="E166" s="69"/>
      <c r="F166" s="69"/>
      <c r="G166" s="70"/>
      <c r="H166" s="71"/>
      <c r="I166" s="66"/>
      <c r="J166" s="67"/>
      <c r="K166" s="67"/>
      <c r="L166" s="67"/>
      <c r="M166" s="67"/>
      <c r="N166" s="145" t="str">
        <f t="shared" si="18"/>
        <v/>
      </c>
      <c r="O166" s="64"/>
      <c r="P166" s="64"/>
      <c r="Q166" s="152" t="str">
        <f t="shared" si="19"/>
        <v/>
      </c>
      <c r="R166" s="65" t="str">
        <f t="shared" si="20"/>
        <v/>
      </c>
      <c r="S166" s="5" t="str">
        <f t="shared" si="21"/>
        <v/>
      </c>
      <c r="T166" s="5" t="str">
        <f t="shared" si="22"/>
        <v/>
      </c>
      <c r="U166" s="5" t="str">
        <f t="shared" si="23"/>
        <v/>
      </c>
      <c r="V166" s="5" t="str">
        <f t="shared" si="24"/>
        <v/>
      </c>
      <c r="W166" s="5" t="str">
        <f t="shared" si="25"/>
        <v/>
      </c>
      <c r="X166" s="5" t="str">
        <f t="shared" si="26"/>
        <v/>
      </c>
    </row>
    <row r="167" spans="1:24">
      <c r="A167" s="91"/>
      <c r="B167" s="92"/>
      <c r="C167" s="69"/>
      <c r="D167" s="69"/>
      <c r="E167" s="69"/>
      <c r="F167" s="69"/>
      <c r="G167" s="70"/>
      <c r="H167" s="71"/>
      <c r="I167" s="66"/>
      <c r="J167" s="67"/>
      <c r="K167" s="67"/>
      <c r="L167" s="67"/>
      <c r="M167" s="67"/>
      <c r="N167" s="145" t="str">
        <f t="shared" si="18"/>
        <v/>
      </c>
      <c r="O167" s="64"/>
      <c r="P167" s="64"/>
      <c r="Q167" s="152" t="str">
        <f t="shared" si="19"/>
        <v/>
      </c>
      <c r="R167" s="65" t="str">
        <f t="shared" si="20"/>
        <v/>
      </c>
      <c r="S167" s="5" t="str">
        <f t="shared" si="21"/>
        <v/>
      </c>
      <c r="T167" s="5" t="str">
        <f t="shared" si="22"/>
        <v/>
      </c>
      <c r="U167" s="5" t="str">
        <f t="shared" si="23"/>
        <v/>
      </c>
      <c r="V167" s="5" t="str">
        <f t="shared" si="24"/>
        <v/>
      </c>
      <c r="W167" s="5" t="str">
        <f t="shared" si="25"/>
        <v/>
      </c>
      <c r="X167" s="5" t="str">
        <f t="shared" si="26"/>
        <v/>
      </c>
    </row>
    <row r="168" spans="1:24">
      <c r="A168" s="91"/>
      <c r="B168" s="92"/>
      <c r="C168" s="69"/>
      <c r="D168" s="69"/>
      <c r="E168" s="69"/>
      <c r="F168" s="69"/>
      <c r="G168" s="70"/>
      <c r="H168" s="71"/>
      <c r="I168" s="66"/>
      <c r="J168" s="67"/>
      <c r="K168" s="67"/>
      <c r="L168" s="67"/>
      <c r="M168" s="67"/>
      <c r="N168" s="145" t="str">
        <f t="shared" si="18"/>
        <v/>
      </c>
      <c r="O168" s="64"/>
      <c r="P168" s="64"/>
      <c r="Q168" s="152" t="str">
        <f t="shared" si="19"/>
        <v/>
      </c>
      <c r="R168" s="65" t="str">
        <f t="shared" si="20"/>
        <v/>
      </c>
      <c r="S168" s="5" t="str">
        <f t="shared" si="21"/>
        <v/>
      </c>
      <c r="T168" s="5" t="str">
        <f t="shared" si="22"/>
        <v/>
      </c>
      <c r="U168" s="5" t="str">
        <f t="shared" si="23"/>
        <v/>
      </c>
      <c r="V168" s="5" t="str">
        <f t="shared" si="24"/>
        <v/>
      </c>
      <c r="W168" s="5" t="str">
        <f t="shared" si="25"/>
        <v/>
      </c>
      <c r="X168" s="5" t="str">
        <f t="shared" si="26"/>
        <v/>
      </c>
    </row>
    <row r="169" spans="1:24">
      <c r="A169" s="91"/>
      <c r="B169" s="92"/>
      <c r="C169" s="69"/>
      <c r="D169" s="69"/>
      <c r="E169" s="69"/>
      <c r="F169" s="69"/>
      <c r="G169" s="70"/>
      <c r="H169" s="71"/>
      <c r="I169" s="66"/>
      <c r="J169" s="67"/>
      <c r="K169" s="67"/>
      <c r="L169" s="67"/>
      <c r="M169" s="67"/>
      <c r="N169" s="145" t="str">
        <f t="shared" si="18"/>
        <v/>
      </c>
      <c r="O169" s="64"/>
      <c r="P169" s="64"/>
      <c r="Q169" s="152" t="str">
        <f t="shared" si="19"/>
        <v/>
      </c>
      <c r="R169" s="65" t="str">
        <f t="shared" si="20"/>
        <v/>
      </c>
      <c r="S169" s="5" t="str">
        <f t="shared" si="21"/>
        <v/>
      </c>
      <c r="T169" s="5" t="str">
        <f t="shared" si="22"/>
        <v/>
      </c>
      <c r="U169" s="5" t="str">
        <f t="shared" si="23"/>
        <v/>
      </c>
      <c r="V169" s="5" t="str">
        <f t="shared" si="24"/>
        <v/>
      </c>
      <c r="W169" s="5" t="str">
        <f t="shared" si="25"/>
        <v/>
      </c>
      <c r="X169" s="5" t="str">
        <f t="shared" si="26"/>
        <v/>
      </c>
    </row>
    <row r="170" spans="1:24">
      <c r="A170" s="91"/>
      <c r="B170" s="92"/>
      <c r="C170" s="69"/>
      <c r="D170" s="69"/>
      <c r="E170" s="69"/>
      <c r="F170" s="69"/>
      <c r="G170" s="70"/>
      <c r="H170" s="71"/>
      <c r="I170" s="66"/>
      <c r="J170" s="67"/>
      <c r="K170" s="67"/>
      <c r="L170" s="67"/>
      <c r="M170" s="67"/>
      <c r="N170" s="145" t="str">
        <f t="shared" si="18"/>
        <v/>
      </c>
      <c r="O170" s="64"/>
      <c r="P170" s="64"/>
      <c r="Q170" s="152" t="str">
        <f t="shared" si="19"/>
        <v/>
      </c>
      <c r="R170" s="65" t="str">
        <f t="shared" si="20"/>
        <v/>
      </c>
      <c r="S170" s="5" t="str">
        <f t="shared" si="21"/>
        <v/>
      </c>
      <c r="T170" s="5" t="str">
        <f t="shared" si="22"/>
        <v/>
      </c>
      <c r="U170" s="5" t="str">
        <f t="shared" si="23"/>
        <v/>
      </c>
      <c r="V170" s="5" t="str">
        <f t="shared" si="24"/>
        <v/>
      </c>
      <c r="W170" s="5" t="str">
        <f t="shared" si="25"/>
        <v/>
      </c>
      <c r="X170" s="5" t="str">
        <f t="shared" si="26"/>
        <v/>
      </c>
    </row>
    <row r="171" spans="1:24">
      <c r="A171" s="91"/>
      <c r="B171" s="92"/>
      <c r="C171" s="69"/>
      <c r="D171" s="69"/>
      <c r="E171" s="69"/>
      <c r="F171" s="69"/>
      <c r="G171" s="70"/>
      <c r="H171" s="71"/>
      <c r="I171" s="66"/>
      <c r="J171" s="67"/>
      <c r="K171" s="67"/>
      <c r="L171" s="67"/>
      <c r="M171" s="67"/>
      <c r="N171" s="145" t="str">
        <f t="shared" si="18"/>
        <v/>
      </c>
      <c r="O171" s="64"/>
      <c r="P171" s="64"/>
      <c r="Q171" s="152" t="str">
        <f t="shared" si="19"/>
        <v/>
      </c>
      <c r="R171" s="65" t="str">
        <f t="shared" si="20"/>
        <v/>
      </c>
      <c r="S171" s="5" t="str">
        <f t="shared" si="21"/>
        <v/>
      </c>
      <c r="T171" s="5" t="str">
        <f t="shared" si="22"/>
        <v/>
      </c>
      <c r="U171" s="5" t="str">
        <f t="shared" si="23"/>
        <v/>
      </c>
      <c r="V171" s="5" t="str">
        <f t="shared" si="24"/>
        <v/>
      </c>
      <c r="W171" s="5" t="str">
        <f t="shared" si="25"/>
        <v/>
      </c>
      <c r="X171" s="5" t="str">
        <f t="shared" si="26"/>
        <v/>
      </c>
    </row>
    <row r="172" spans="1:24">
      <c r="A172" s="91"/>
      <c r="B172" s="92"/>
      <c r="C172" s="69"/>
      <c r="D172" s="69"/>
      <c r="E172" s="69"/>
      <c r="F172" s="69"/>
      <c r="G172" s="70"/>
      <c r="H172" s="71"/>
      <c r="I172" s="66"/>
      <c r="J172" s="67"/>
      <c r="K172" s="67"/>
      <c r="L172" s="67"/>
      <c r="M172" s="67"/>
      <c r="N172" s="145" t="str">
        <f t="shared" si="18"/>
        <v/>
      </c>
      <c r="O172" s="64"/>
      <c r="P172" s="64"/>
      <c r="Q172" s="152" t="str">
        <f t="shared" si="19"/>
        <v/>
      </c>
      <c r="R172" s="65" t="str">
        <f t="shared" si="20"/>
        <v/>
      </c>
      <c r="S172" s="5" t="str">
        <f t="shared" si="21"/>
        <v/>
      </c>
      <c r="T172" s="5" t="str">
        <f t="shared" si="22"/>
        <v/>
      </c>
      <c r="U172" s="5" t="str">
        <f t="shared" si="23"/>
        <v/>
      </c>
      <c r="V172" s="5" t="str">
        <f t="shared" si="24"/>
        <v/>
      </c>
      <c r="W172" s="5" t="str">
        <f t="shared" si="25"/>
        <v/>
      </c>
      <c r="X172" s="5" t="str">
        <f t="shared" si="26"/>
        <v/>
      </c>
    </row>
    <row r="173" spans="1:24">
      <c r="A173" s="91"/>
      <c r="B173" s="92"/>
      <c r="C173" s="69"/>
      <c r="D173" s="69"/>
      <c r="E173" s="69"/>
      <c r="F173" s="69"/>
      <c r="G173" s="70"/>
      <c r="H173" s="71"/>
      <c r="I173" s="66"/>
      <c r="J173" s="67"/>
      <c r="K173" s="67"/>
      <c r="L173" s="67"/>
      <c r="M173" s="67"/>
      <c r="N173" s="145" t="str">
        <f t="shared" si="18"/>
        <v/>
      </c>
      <c r="O173" s="64"/>
      <c r="P173" s="64"/>
      <c r="Q173" s="152" t="str">
        <f t="shared" si="19"/>
        <v/>
      </c>
      <c r="R173" s="65" t="str">
        <f t="shared" si="20"/>
        <v/>
      </c>
      <c r="S173" s="5" t="str">
        <f t="shared" si="21"/>
        <v/>
      </c>
      <c r="T173" s="5" t="str">
        <f t="shared" si="22"/>
        <v/>
      </c>
      <c r="U173" s="5" t="str">
        <f t="shared" si="23"/>
        <v/>
      </c>
      <c r="V173" s="5" t="str">
        <f t="shared" si="24"/>
        <v/>
      </c>
      <c r="W173" s="5" t="str">
        <f t="shared" si="25"/>
        <v/>
      </c>
      <c r="X173" s="5" t="str">
        <f t="shared" si="26"/>
        <v/>
      </c>
    </row>
    <row r="174" spans="1:24">
      <c r="A174" s="91"/>
      <c r="B174" s="92"/>
      <c r="C174" s="69"/>
      <c r="D174" s="69"/>
      <c r="E174" s="69"/>
      <c r="F174" s="69"/>
      <c r="G174" s="70"/>
      <c r="H174" s="71"/>
      <c r="I174" s="66"/>
      <c r="J174" s="67"/>
      <c r="K174" s="67"/>
      <c r="L174" s="67"/>
      <c r="M174" s="67"/>
      <c r="N174" s="145" t="str">
        <f t="shared" si="18"/>
        <v/>
      </c>
      <c r="O174" s="64"/>
      <c r="P174" s="64"/>
      <c r="Q174" s="152" t="str">
        <f t="shared" si="19"/>
        <v/>
      </c>
      <c r="R174" s="65" t="str">
        <f t="shared" si="20"/>
        <v/>
      </c>
      <c r="S174" s="5" t="str">
        <f t="shared" si="21"/>
        <v/>
      </c>
      <c r="T174" s="5" t="str">
        <f t="shared" si="22"/>
        <v/>
      </c>
      <c r="U174" s="5" t="str">
        <f t="shared" si="23"/>
        <v/>
      </c>
      <c r="V174" s="5" t="str">
        <f t="shared" si="24"/>
        <v/>
      </c>
      <c r="W174" s="5" t="str">
        <f t="shared" si="25"/>
        <v/>
      </c>
      <c r="X174" s="5" t="str">
        <f t="shared" si="26"/>
        <v/>
      </c>
    </row>
    <row r="175" spans="1:24">
      <c r="A175" s="91"/>
      <c r="B175" s="92"/>
      <c r="C175" s="69"/>
      <c r="D175" s="69"/>
      <c r="E175" s="69"/>
      <c r="F175" s="69"/>
      <c r="G175" s="70"/>
      <c r="H175" s="71"/>
      <c r="I175" s="66"/>
      <c r="J175" s="67"/>
      <c r="K175" s="67"/>
      <c r="L175" s="67"/>
      <c r="M175" s="67"/>
      <c r="N175" s="145" t="str">
        <f t="shared" si="18"/>
        <v/>
      </c>
      <c r="O175" s="64"/>
      <c r="P175" s="64"/>
      <c r="Q175" s="152" t="str">
        <f t="shared" si="19"/>
        <v/>
      </c>
      <c r="R175" s="65" t="str">
        <f t="shared" si="20"/>
        <v/>
      </c>
      <c r="S175" s="5" t="str">
        <f t="shared" si="21"/>
        <v/>
      </c>
      <c r="T175" s="5" t="str">
        <f t="shared" si="22"/>
        <v/>
      </c>
      <c r="U175" s="5" t="str">
        <f t="shared" si="23"/>
        <v/>
      </c>
      <c r="V175" s="5" t="str">
        <f t="shared" si="24"/>
        <v/>
      </c>
      <c r="W175" s="5" t="str">
        <f t="shared" si="25"/>
        <v/>
      </c>
      <c r="X175" s="5" t="str">
        <f t="shared" si="26"/>
        <v/>
      </c>
    </row>
    <row r="176" spans="1:24">
      <c r="A176" s="91"/>
      <c r="B176" s="92"/>
      <c r="C176" s="69"/>
      <c r="D176" s="69"/>
      <c r="E176" s="69"/>
      <c r="F176" s="69"/>
      <c r="G176" s="70"/>
      <c r="H176" s="71"/>
      <c r="I176" s="66"/>
      <c r="J176" s="67"/>
      <c r="K176" s="67"/>
      <c r="L176" s="67"/>
      <c r="M176" s="67"/>
      <c r="N176" s="145" t="str">
        <f t="shared" si="18"/>
        <v/>
      </c>
      <c r="O176" s="64"/>
      <c r="P176" s="64"/>
      <c r="Q176" s="152" t="str">
        <f t="shared" si="19"/>
        <v/>
      </c>
      <c r="R176" s="65" t="str">
        <f t="shared" si="20"/>
        <v/>
      </c>
      <c r="S176" s="5" t="str">
        <f t="shared" si="21"/>
        <v/>
      </c>
      <c r="T176" s="5" t="str">
        <f t="shared" si="22"/>
        <v/>
      </c>
      <c r="U176" s="5" t="str">
        <f t="shared" si="23"/>
        <v/>
      </c>
      <c r="V176" s="5" t="str">
        <f t="shared" si="24"/>
        <v/>
      </c>
      <c r="W176" s="5" t="str">
        <f t="shared" si="25"/>
        <v/>
      </c>
      <c r="X176" s="5" t="str">
        <f t="shared" si="26"/>
        <v/>
      </c>
    </row>
    <row r="177" spans="1:24">
      <c r="A177" s="91"/>
      <c r="B177" s="92"/>
      <c r="C177" s="69"/>
      <c r="D177" s="69"/>
      <c r="E177" s="69"/>
      <c r="F177" s="69"/>
      <c r="G177" s="70"/>
      <c r="H177" s="71"/>
      <c r="I177" s="66"/>
      <c r="J177" s="67"/>
      <c r="K177" s="67"/>
      <c r="L177" s="67"/>
      <c r="M177" s="67"/>
      <c r="N177" s="145" t="str">
        <f t="shared" si="18"/>
        <v/>
      </c>
      <c r="O177" s="64"/>
      <c r="P177" s="64"/>
      <c r="Q177" s="152" t="str">
        <f t="shared" si="19"/>
        <v/>
      </c>
      <c r="R177" s="65" t="str">
        <f t="shared" si="20"/>
        <v/>
      </c>
      <c r="S177" s="5" t="str">
        <f t="shared" si="21"/>
        <v/>
      </c>
      <c r="T177" s="5" t="str">
        <f t="shared" si="22"/>
        <v/>
      </c>
      <c r="U177" s="5" t="str">
        <f t="shared" si="23"/>
        <v/>
      </c>
      <c r="V177" s="5" t="str">
        <f t="shared" si="24"/>
        <v/>
      </c>
      <c r="W177" s="5" t="str">
        <f t="shared" si="25"/>
        <v/>
      </c>
      <c r="X177" s="5" t="str">
        <f t="shared" si="26"/>
        <v/>
      </c>
    </row>
    <row r="178" spans="1:24">
      <c r="A178" s="91"/>
      <c r="B178" s="92"/>
      <c r="C178" s="69"/>
      <c r="D178" s="69"/>
      <c r="E178" s="69"/>
      <c r="F178" s="69"/>
      <c r="G178" s="70"/>
      <c r="H178" s="71"/>
      <c r="I178" s="66"/>
      <c r="J178" s="67"/>
      <c r="K178" s="67"/>
      <c r="L178" s="67"/>
      <c r="M178" s="67"/>
      <c r="N178" s="145" t="str">
        <f t="shared" si="18"/>
        <v/>
      </c>
      <c r="O178" s="64"/>
      <c r="P178" s="64"/>
      <c r="Q178" s="152" t="str">
        <f t="shared" si="19"/>
        <v/>
      </c>
      <c r="R178" s="65" t="str">
        <f t="shared" si="20"/>
        <v/>
      </c>
      <c r="S178" s="5" t="str">
        <f t="shared" si="21"/>
        <v/>
      </c>
      <c r="T178" s="5" t="str">
        <f t="shared" si="22"/>
        <v/>
      </c>
      <c r="U178" s="5" t="str">
        <f t="shared" si="23"/>
        <v/>
      </c>
      <c r="V178" s="5" t="str">
        <f t="shared" si="24"/>
        <v/>
      </c>
      <c r="W178" s="5" t="str">
        <f t="shared" si="25"/>
        <v/>
      </c>
      <c r="X178" s="5" t="str">
        <f t="shared" si="26"/>
        <v/>
      </c>
    </row>
    <row r="179" spans="1:24">
      <c r="A179" s="91"/>
      <c r="B179" s="92"/>
      <c r="C179" s="69"/>
      <c r="D179" s="69"/>
      <c r="E179" s="69"/>
      <c r="F179" s="69"/>
      <c r="G179" s="70"/>
      <c r="H179" s="71"/>
      <c r="I179" s="66"/>
      <c r="J179" s="67"/>
      <c r="K179" s="67"/>
      <c r="L179" s="67"/>
      <c r="M179" s="67"/>
      <c r="N179" s="145" t="str">
        <f t="shared" si="18"/>
        <v/>
      </c>
      <c r="O179" s="64"/>
      <c r="P179" s="64"/>
      <c r="Q179" s="152" t="str">
        <f t="shared" si="19"/>
        <v/>
      </c>
      <c r="R179" s="65" t="str">
        <f t="shared" si="20"/>
        <v/>
      </c>
      <c r="S179" s="5" t="str">
        <f t="shared" si="21"/>
        <v/>
      </c>
      <c r="T179" s="5" t="str">
        <f t="shared" si="22"/>
        <v/>
      </c>
      <c r="U179" s="5" t="str">
        <f t="shared" si="23"/>
        <v/>
      </c>
      <c r="V179" s="5" t="str">
        <f t="shared" si="24"/>
        <v/>
      </c>
      <c r="W179" s="5" t="str">
        <f t="shared" si="25"/>
        <v/>
      </c>
      <c r="X179" s="5" t="str">
        <f t="shared" si="26"/>
        <v/>
      </c>
    </row>
    <row r="180" spans="1:24">
      <c r="A180" s="91"/>
      <c r="B180" s="92"/>
      <c r="C180" s="69"/>
      <c r="D180" s="69"/>
      <c r="E180" s="69"/>
      <c r="F180" s="69"/>
      <c r="G180" s="70"/>
      <c r="H180" s="71"/>
      <c r="I180" s="66"/>
      <c r="J180" s="67"/>
      <c r="K180" s="67"/>
      <c r="L180" s="67"/>
      <c r="M180" s="67"/>
      <c r="N180" s="145" t="str">
        <f t="shared" si="18"/>
        <v/>
      </c>
      <c r="O180" s="64"/>
      <c r="P180" s="64"/>
      <c r="Q180" s="152" t="str">
        <f t="shared" si="19"/>
        <v/>
      </c>
      <c r="R180" s="65" t="str">
        <f t="shared" si="20"/>
        <v/>
      </c>
      <c r="S180" s="5" t="str">
        <f t="shared" si="21"/>
        <v/>
      </c>
      <c r="T180" s="5" t="str">
        <f t="shared" si="22"/>
        <v/>
      </c>
      <c r="U180" s="5" t="str">
        <f t="shared" si="23"/>
        <v/>
      </c>
      <c r="V180" s="5" t="str">
        <f t="shared" si="24"/>
        <v/>
      </c>
      <c r="W180" s="5" t="str">
        <f t="shared" si="25"/>
        <v/>
      </c>
      <c r="X180" s="5" t="str">
        <f t="shared" si="26"/>
        <v/>
      </c>
    </row>
    <row r="181" spans="1:24">
      <c r="A181" s="91"/>
      <c r="B181" s="92"/>
      <c r="C181" s="69"/>
      <c r="D181" s="69"/>
      <c r="E181" s="69"/>
      <c r="F181" s="69"/>
      <c r="G181" s="70"/>
      <c r="H181" s="71"/>
      <c r="I181" s="66"/>
      <c r="J181" s="67"/>
      <c r="K181" s="67"/>
      <c r="L181" s="67"/>
      <c r="M181" s="67"/>
      <c r="N181" s="145" t="str">
        <f t="shared" si="18"/>
        <v/>
      </c>
      <c r="O181" s="64"/>
      <c r="P181" s="64"/>
      <c r="Q181" s="152" t="str">
        <f t="shared" si="19"/>
        <v/>
      </c>
      <c r="R181" s="65" t="str">
        <f t="shared" si="20"/>
        <v/>
      </c>
      <c r="S181" s="5" t="str">
        <f t="shared" si="21"/>
        <v/>
      </c>
      <c r="T181" s="5" t="str">
        <f t="shared" si="22"/>
        <v/>
      </c>
      <c r="U181" s="5" t="str">
        <f t="shared" si="23"/>
        <v/>
      </c>
      <c r="V181" s="5" t="str">
        <f t="shared" si="24"/>
        <v/>
      </c>
      <c r="W181" s="5" t="str">
        <f t="shared" si="25"/>
        <v/>
      </c>
      <c r="X181" s="5" t="str">
        <f t="shared" si="26"/>
        <v/>
      </c>
    </row>
    <row r="182" spans="1:24">
      <c r="A182" s="91"/>
      <c r="B182" s="92"/>
      <c r="C182" s="69"/>
      <c r="D182" s="69"/>
      <c r="E182" s="69"/>
      <c r="F182" s="69"/>
      <c r="G182" s="70"/>
      <c r="H182" s="71"/>
      <c r="I182" s="66"/>
      <c r="J182" s="67"/>
      <c r="K182" s="67"/>
      <c r="L182" s="67"/>
      <c r="M182" s="67"/>
      <c r="N182" s="145" t="str">
        <f t="shared" si="18"/>
        <v/>
      </c>
      <c r="O182" s="64"/>
      <c r="P182" s="64"/>
      <c r="Q182" s="152" t="str">
        <f t="shared" si="19"/>
        <v/>
      </c>
      <c r="R182" s="65" t="str">
        <f t="shared" si="20"/>
        <v/>
      </c>
      <c r="S182" s="5" t="str">
        <f t="shared" si="21"/>
        <v/>
      </c>
      <c r="T182" s="5" t="str">
        <f t="shared" si="22"/>
        <v/>
      </c>
      <c r="U182" s="5" t="str">
        <f t="shared" si="23"/>
        <v/>
      </c>
      <c r="V182" s="5" t="str">
        <f t="shared" si="24"/>
        <v/>
      </c>
      <c r="W182" s="5" t="str">
        <f t="shared" si="25"/>
        <v/>
      </c>
      <c r="X182" s="5" t="str">
        <f t="shared" si="26"/>
        <v/>
      </c>
    </row>
    <row r="183" spans="1:24">
      <c r="A183" s="91"/>
      <c r="B183" s="92"/>
      <c r="C183" s="69"/>
      <c r="D183" s="69"/>
      <c r="E183" s="69"/>
      <c r="F183" s="69"/>
      <c r="G183" s="70"/>
      <c r="H183" s="71"/>
      <c r="I183" s="66"/>
      <c r="J183" s="67"/>
      <c r="K183" s="67"/>
      <c r="L183" s="67"/>
      <c r="M183" s="67"/>
      <c r="N183" s="145" t="str">
        <f t="shared" si="18"/>
        <v/>
      </c>
      <c r="O183" s="64"/>
      <c r="P183" s="64"/>
      <c r="Q183" s="152" t="str">
        <f t="shared" si="19"/>
        <v/>
      </c>
      <c r="R183" s="65" t="str">
        <f t="shared" si="20"/>
        <v/>
      </c>
      <c r="S183" s="5" t="str">
        <f t="shared" si="21"/>
        <v/>
      </c>
      <c r="T183" s="5" t="str">
        <f t="shared" si="22"/>
        <v/>
      </c>
      <c r="U183" s="5" t="str">
        <f t="shared" si="23"/>
        <v/>
      </c>
      <c r="V183" s="5" t="str">
        <f t="shared" si="24"/>
        <v/>
      </c>
      <c r="W183" s="5" t="str">
        <f t="shared" si="25"/>
        <v/>
      </c>
      <c r="X183" s="5" t="str">
        <f t="shared" si="26"/>
        <v/>
      </c>
    </row>
    <row r="184" spans="1:24">
      <c r="A184" s="91"/>
      <c r="B184" s="92"/>
      <c r="C184" s="69"/>
      <c r="D184" s="69"/>
      <c r="E184" s="69"/>
      <c r="F184" s="69"/>
      <c r="G184" s="70"/>
      <c r="H184" s="71"/>
      <c r="I184" s="66"/>
      <c r="J184" s="67"/>
      <c r="K184" s="67"/>
      <c r="L184" s="67"/>
      <c r="M184" s="67"/>
      <c r="N184" s="145" t="str">
        <f t="shared" si="18"/>
        <v/>
      </c>
      <c r="O184" s="64"/>
      <c r="P184" s="64"/>
      <c r="Q184" s="152" t="str">
        <f t="shared" si="19"/>
        <v/>
      </c>
      <c r="R184" s="65" t="str">
        <f t="shared" si="20"/>
        <v/>
      </c>
      <c r="S184" s="5" t="str">
        <f t="shared" si="21"/>
        <v/>
      </c>
      <c r="T184" s="5" t="str">
        <f t="shared" si="22"/>
        <v/>
      </c>
      <c r="U184" s="5" t="str">
        <f t="shared" si="23"/>
        <v/>
      </c>
      <c r="V184" s="5" t="str">
        <f t="shared" si="24"/>
        <v/>
      </c>
      <c r="W184" s="5" t="str">
        <f t="shared" si="25"/>
        <v/>
      </c>
      <c r="X184" s="5" t="str">
        <f t="shared" si="26"/>
        <v/>
      </c>
    </row>
    <row r="185" spans="1:24">
      <c r="A185" s="91"/>
      <c r="B185" s="92"/>
      <c r="C185" s="69"/>
      <c r="D185" s="69"/>
      <c r="E185" s="69"/>
      <c r="F185" s="69"/>
      <c r="G185" s="70"/>
      <c r="H185" s="71"/>
      <c r="I185" s="66"/>
      <c r="J185" s="67"/>
      <c r="K185" s="67"/>
      <c r="L185" s="67"/>
      <c r="M185" s="67"/>
      <c r="N185" s="145" t="str">
        <f t="shared" si="18"/>
        <v/>
      </c>
      <c r="O185" s="64"/>
      <c r="P185" s="64"/>
      <c r="Q185" s="152" t="str">
        <f t="shared" si="19"/>
        <v/>
      </c>
      <c r="R185" s="65" t="str">
        <f t="shared" si="20"/>
        <v/>
      </c>
      <c r="S185" s="5" t="str">
        <f t="shared" si="21"/>
        <v/>
      </c>
      <c r="T185" s="5" t="str">
        <f t="shared" si="22"/>
        <v/>
      </c>
      <c r="U185" s="5" t="str">
        <f t="shared" si="23"/>
        <v/>
      </c>
      <c r="V185" s="5" t="str">
        <f t="shared" si="24"/>
        <v/>
      </c>
      <c r="W185" s="5" t="str">
        <f t="shared" si="25"/>
        <v/>
      </c>
      <c r="X185" s="5" t="str">
        <f t="shared" si="26"/>
        <v/>
      </c>
    </row>
    <row r="186" spans="1:24">
      <c r="A186" s="91"/>
      <c r="B186" s="92"/>
      <c r="C186" s="69"/>
      <c r="D186" s="69"/>
      <c r="E186" s="69"/>
      <c r="F186" s="69"/>
      <c r="G186" s="70"/>
      <c r="H186" s="71"/>
      <c r="I186" s="66"/>
      <c r="J186" s="67"/>
      <c r="K186" s="67"/>
      <c r="L186" s="67"/>
      <c r="M186" s="67"/>
      <c r="N186" s="145" t="str">
        <f t="shared" si="18"/>
        <v/>
      </c>
      <c r="O186" s="64"/>
      <c r="P186" s="64"/>
      <c r="Q186" s="152" t="str">
        <f t="shared" si="19"/>
        <v/>
      </c>
      <c r="R186" s="65" t="str">
        <f t="shared" si="20"/>
        <v/>
      </c>
      <c r="S186" s="5" t="str">
        <f t="shared" si="21"/>
        <v/>
      </c>
      <c r="T186" s="5" t="str">
        <f t="shared" si="22"/>
        <v/>
      </c>
      <c r="U186" s="5" t="str">
        <f t="shared" si="23"/>
        <v/>
      </c>
      <c r="V186" s="5" t="str">
        <f t="shared" si="24"/>
        <v/>
      </c>
      <c r="W186" s="5" t="str">
        <f t="shared" si="25"/>
        <v/>
      </c>
      <c r="X186" s="5" t="str">
        <f t="shared" si="26"/>
        <v/>
      </c>
    </row>
    <row r="187" spans="1:24">
      <c r="A187" s="91"/>
      <c r="B187" s="92"/>
      <c r="C187" s="69"/>
      <c r="D187" s="69"/>
      <c r="E187" s="69"/>
      <c r="F187" s="69"/>
      <c r="G187" s="70"/>
      <c r="H187" s="71"/>
      <c r="I187" s="66"/>
      <c r="J187" s="67"/>
      <c r="K187" s="67"/>
      <c r="L187" s="67"/>
      <c r="M187" s="67"/>
      <c r="N187" s="145" t="str">
        <f t="shared" si="18"/>
        <v/>
      </c>
      <c r="O187" s="64"/>
      <c r="P187" s="64"/>
      <c r="Q187" s="152" t="str">
        <f t="shared" si="19"/>
        <v/>
      </c>
      <c r="R187" s="65" t="str">
        <f t="shared" si="20"/>
        <v/>
      </c>
      <c r="S187" s="5" t="str">
        <f t="shared" si="21"/>
        <v/>
      </c>
      <c r="T187" s="5" t="str">
        <f t="shared" si="22"/>
        <v/>
      </c>
      <c r="U187" s="5" t="str">
        <f t="shared" si="23"/>
        <v/>
      </c>
      <c r="V187" s="5" t="str">
        <f t="shared" si="24"/>
        <v/>
      </c>
      <c r="W187" s="5" t="str">
        <f t="shared" si="25"/>
        <v/>
      </c>
      <c r="X187" s="5" t="str">
        <f t="shared" si="26"/>
        <v/>
      </c>
    </row>
    <row r="188" spans="1:24">
      <c r="A188" s="91"/>
      <c r="B188" s="92"/>
      <c r="C188" s="69"/>
      <c r="D188" s="69"/>
      <c r="E188" s="69"/>
      <c r="F188" s="69"/>
      <c r="G188" s="70"/>
      <c r="H188" s="71"/>
      <c r="I188" s="66"/>
      <c r="J188" s="67"/>
      <c r="K188" s="67"/>
      <c r="L188" s="67"/>
      <c r="M188" s="67"/>
      <c r="N188" s="145" t="str">
        <f t="shared" si="18"/>
        <v/>
      </c>
      <c r="O188" s="64"/>
      <c r="P188" s="64"/>
      <c r="Q188" s="152" t="str">
        <f t="shared" si="19"/>
        <v/>
      </c>
      <c r="R188" s="65" t="str">
        <f t="shared" si="20"/>
        <v/>
      </c>
      <c r="S188" s="5" t="str">
        <f t="shared" si="21"/>
        <v/>
      </c>
      <c r="T188" s="5" t="str">
        <f t="shared" si="22"/>
        <v/>
      </c>
      <c r="U188" s="5" t="str">
        <f t="shared" si="23"/>
        <v/>
      </c>
      <c r="V188" s="5" t="str">
        <f t="shared" si="24"/>
        <v/>
      </c>
      <c r="W188" s="5" t="str">
        <f t="shared" si="25"/>
        <v/>
      </c>
      <c r="X188" s="5" t="str">
        <f t="shared" si="26"/>
        <v/>
      </c>
    </row>
    <row r="189" spans="1:24">
      <c r="A189" s="91"/>
      <c r="B189" s="92"/>
      <c r="C189" s="69"/>
      <c r="D189" s="69"/>
      <c r="E189" s="69"/>
      <c r="F189" s="69"/>
      <c r="G189" s="70"/>
      <c r="H189" s="71"/>
      <c r="I189" s="66"/>
      <c r="J189" s="67"/>
      <c r="K189" s="67"/>
      <c r="L189" s="67"/>
      <c r="M189" s="67"/>
      <c r="N189" s="145" t="str">
        <f t="shared" si="18"/>
        <v/>
      </c>
      <c r="O189" s="64"/>
      <c r="P189" s="64"/>
      <c r="Q189" s="152" t="str">
        <f t="shared" si="19"/>
        <v/>
      </c>
      <c r="R189" s="65" t="str">
        <f t="shared" si="20"/>
        <v/>
      </c>
      <c r="S189" s="5" t="str">
        <f t="shared" si="21"/>
        <v/>
      </c>
      <c r="T189" s="5" t="str">
        <f t="shared" si="22"/>
        <v/>
      </c>
      <c r="U189" s="5" t="str">
        <f t="shared" si="23"/>
        <v/>
      </c>
      <c r="V189" s="5" t="str">
        <f t="shared" si="24"/>
        <v/>
      </c>
      <c r="W189" s="5" t="str">
        <f t="shared" si="25"/>
        <v/>
      </c>
      <c r="X189" s="5" t="str">
        <f t="shared" si="26"/>
        <v/>
      </c>
    </row>
    <row r="190" spans="1:24">
      <c r="A190" s="91"/>
      <c r="B190" s="92"/>
      <c r="C190" s="69"/>
      <c r="D190" s="69"/>
      <c r="E190" s="69"/>
      <c r="F190" s="69"/>
      <c r="G190" s="70"/>
      <c r="H190" s="71"/>
      <c r="I190" s="66"/>
      <c r="J190" s="67"/>
      <c r="K190" s="67"/>
      <c r="L190" s="67"/>
      <c r="M190" s="67"/>
      <c r="N190" s="145" t="str">
        <f t="shared" si="18"/>
        <v/>
      </c>
      <c r="O190" s="64"/>
      <c r="P190" s="64"/>
      <c r="Q190" s="152" t="str">
        <f t="shared" si="19"/>
        <v/>
      </c>
      <c r="R190" s="65" t="str">
        <f t="shared" si="20"/>
        <v/>
      </c>
      <c r="S190" s="5" t="str">
        <f t="shared" si="21"/>
        <v/>
      </c>
      <c r="T190" s="5" t="str">
        <f t="shared" si="22"/>
        <v/>
      </c>
      <c r="U190" s="5" t="str">
        <f t="shared" si="23"/>
        <v/>
      </c>
      <c r="V190" s="5" t="str">
        <f t="shared" si="24"/>
        <v/>
      </c>
      <c r="W190" s="5" t="str">
        <f t="shared" si="25"/>
        <v/>
      </c>
      <c r="X190" s="5" t="str">
        <f t="shared" si="26"/>
        <v/>
      </c>
    </row>
    <row r="191" spans="1:24">
      <c r="A191" s="91"/>
      <c r="B191" s="92"/>
      <c r="C191" s="69"/>
      <c r="D191" s="69"/>
      <c r="E191" s="69"/>
      <c r="F191" s="69"/>
      <c r="G191" s="70"/>
      <c r="H191" s="71"/>
      <c r="I191" s="66"/>
      <c r="J191" s="67"/>
      <c r="K191" s="67"/>
      <c r="L191" s="67"/>
      <c r="M191" s="67"/>
      <c r="N191" s="145" t="str">
        <f t="shared" si="18"/>
        <v/>
      </c>
      <c r="O191" s="64"/>
      <c r="P191" s="64"/>
      <c r="Q191" s="152" t="str">
        <f t="shared" si="19"/>
        <v/>
      </c>
      <c r="R191" s="65" t="str">
        <f t="shared" si="20"/>
        <v/>
      </c>
      <c r="S191" s="5" t="str">
        <f t="shared" si="21"/>
        <v/>
      </c>
      <c r="T191" s="5" t="str">
        <f t="shared" si="22"/>
        <v/>
      </c>
      <c r="U191" s="5" t="str">
        <f t="shared" si="23"/>
        <v/>
      </c>
      <c r="V191" s="5" t="str">
        <f t="shared" si="24"/>
        <v/>
      </c>
      <c r="W191" s="5" t="str">
        <f t="shared" si="25"/>
        <v/>
      </c>
      <c r="X191" s="5" t="str">
        <f t="shared" si="26"/>
        <v/>
      </c>
    </row>
    <row r="192" spans="1:24">
      <c r="A192" s="91"/>
      <c r="B192" s="92"/>
      <c r="C192" s="69"/>
      <c r="D192" s="69"/>
      <c r="E192" s="69"/>
      <c r="F192" s="69"/>
      <c r="G192" s="70"/>
      <c r="H192" s="71"/>
      <c r="I192" s="66"/>
      <c r="J192" s="67"/>
      <c r="K192" s="67"/>
      <c r="L192" s="67"/>
      <c r="M192" s="67"/>
      <c r="N192" s="145" t="str">
        <f t="shared" si="18"/>
        <v/>
      </c>
      <c r="O192" s="64"/>
      <c r="P192" s="64"/>
      <c r="Q192" s="152" t="str">
        <f t="shared" si="19"/>
        <v/>
      </c>
      <c r="R192" s="65" t="str">
        <f t="shared" si="20"/>
        <v/>
      </c>
      <c r="S192" s="5" t="str">
        <f t="shared" si="21"/>
        <v/>
      </c>
      <c r="T192" s="5" t="str">
        <f t="shared" si="22"/>
        <v/>
      </c>
      <c r="U192" s="5" t="str">
        <f t="shared" si="23"/>
        <v/>
      </c>
      <c r="V192" s="5" t="str">
        <f t="shared" si="24"/>
        <v/>
      </c>
      <c r="W192" s="5" t="str">
        <f t="shared" si="25"/>
        <v/>
      </c>
      <c r="X192" s="5" t="str">
        <f t="shared" si="26"/>
        <v/>
      </c>
    </row>
    <row r="193" spans="1:24">
      <c r="A193" s="91"/>
      <c r="B193" s="92"/>
      <c r="C193" s="69"/>
      <c r="D193" s="69"/>
      <c r="E193" s="69"/>
      <c r="F193" s="69"/>
      <c r="G193" s="70"/>
      <c r="H193" s="71"/>
      <c r="I193" s="66"/>
      <c r="J193" s="67"/>
      <c r="K193" s="67"/>
      <c r="L193" s="67"/>
      <c r="M193" s="67"/>
      <c r="N193" s="145" t="str">
        <f t="shared" si="18"/>
        <v/>
      </c>
      <c r="O193" s="64"/>
      <c r="P193" s="64"/>
      <c r="Q193" s="152" t="str">
        <f t="shared" si="19"/>
        <v/>
      </c>
      <c r="R193" s="65" t="str">
        <f t="shared" si="20"/>
        <v/>
      </c>
      <c r="S193" s="5" t="str">
        <f t="shared" si="21"/>
        <v/>
      </c>
      <c r="T193" s="5" t="str">
        <f t="shared" si="22"/>
        <v/>
      </c>
      <c r="U193" s="5" t="str">
        <f t="shared" si="23"/>
        <v/>
      </c>
      <c r="V193" s="5" t="str">
        <f t="shared" si="24"/>
        <v/>
      </c>
      <c r="W193" s="5" t="str">
        <f t="shared" si="25"/>
        <v/>
      </c>
      <c r="X193" s="5" t="str">
        <f t="shared" si="26"/>
        <v/>
      </c>
    </row>
    <row r="194" spans="1:24">
      <c r="A194" s="91"/>
      <c r="B194" s="92"/>
      <c r="C194" s="69"/>
      <c r="D194" s="69"/>
      <c r="E194" s="69"/>
      <c r="F194" s="69"/>
      <c r="G194" s="70"/>
      <c r="H194" s="71"/>
      <c r="I194" s="66"/>
      <c r="J194" s="67"/>
      <c r="K194" s="67"/>
      <c r="L194" s="67"/>
      <c r="M194" s="67"/>
      <c r="N194" s="145" t="str">
        <f t="shared" si="18"/>
        <v/>
      </c>
      <c r="O194" s="64"/>
      <c r="P194" s="64"/>
      <c r="Q194" s="152" t="str">
        <f t="shared" si="19"/>
        <v/>
      </c>
      <c r="R194" s="65" t="str">
        <f t="shared" si="20"/>
        <v/>
      </c>
      <c r="S194" s="5" t="str">
        <f t="shared" si="21"/>
        <v/>
      </c>
      <c r="T194" s="5" t="str">
        <f t="shared" si="22"/>
        <v/>
      </c>
      <c r="U194" s="5" t="str">
        <f t="shared" si="23"/>
        <v/>
      </c>
      <c r="V194" s="5" t="str">
        <f t="shared" si="24"/>
        <v/>
      </c>
      <c r="W194" s="5" t="str">
        <f t="shared" si="25"/>
        <v/>
      </c>
      <c r="X194" s="5" t="str">
        <f t="shared" si="26"/>
        <v/>
      </c>
    </row>
    <row r="195" spans="1:24">
      <c r="A195" s="91"/>
      <c r="B195" s="92"/>
      <c r="C195" s="69"/>
      <c r="D195" s="69"/>
      <c r="E195" s="69"/>
      <c r="F195" s="69"/>
      <c r="G195" s="70"/>
      <c r="H195" s="71"/>
      <c r="I195" s="66"/>
      <c r="J195" s="67"/>
      <c r="K195" s="67"/>
      <c r="L195" s="67"/>
      <c r="M195" s="67"/>
      <c r="N195" s="145" t="str">
        <f t="shared" si="18"/>
        <v/>
      </c>
      <c r="O195" s="64"/>
      <c r="P195" s="64"/>
      <c r="Q195" s="152" t="str">
        <f t="shared" si="19"/>
        <v/>
      </c>
      <c r="R195" s="65" t="str">
        <f t="shared" si="20"/>
        <v/>
      </c>
      <c r="S195" s="5" t="str">
        <f t="shared" si="21"/>
        <v/>
      </c>
      <c r="T195" s="5" t="str">
        <f t="shared" si="22"/>
        <v/>
      </c>
      <c r="U195" s="5" t="str">
        <f t="shared" si="23"/>
        <v/>
      </c>
      <c r="V195" s="5" t="str">
        <f t="shared" si="24"/>
        <v/>
      </c>
      <c r="W195" s="5" t="str">
        <f t="shared" si="25"/>
        <v/>
      </c>
      <c r="X195" s="5" t="str">
        <f t="shared" si="26"/>
        <v/>
      </c>
    </row>
    <row r="196" spans="1:24">
      <c r="A196" s="91"/>
      <c r="B196" s="92"/>
      <c r="C196" s="69"/>
      <c r="D196" s="69"/>
      <c r="E196" s="69"/>
      <c r="F196" s="69"/>
      <c r="G196" s="70"/>
      <c r="H196" s="71"/>
      <c r="I196" s="66"/>
      <c r="J196" s="67"/>
      <c r="K196" s="67"/>
      <c r="L196" s="67"/>
      <c r="M196" s="67"/>
      <c r="N196" s="145" t="str">
        <f t="shared" si="18"/>
        <v/>
      </c>
      <c r="O196" s="64"/>
      <c r="P196" s="64"/>
      <c r="Q196" s="152" t="str">
        <f t="shared" si="19"/>
        <v/>
      </c>
      <c r="R196" s="65" t="str">
        <f t="shared" si="20"/>
        <v/>
      </c>
      <c r="S196" s="5" t="str">
        <f t="shared" si="21"/>
        <v/>
      </c>
      <c r="T196" s="5" t="str">
        <f t="shared" si="22"/>
        <v/>
      </c>
      <c r="U196" s="5" t="str">
        <f t="shared" si="23"/>
        <v/>
      </c>
      <c r="V196" s="5" t="str">
        <f t="shared" si="24"/>
        <v/>
      </c>
      <c r="W196" s="5" t="str">
        <f t="shared" si="25"/>
        <v/>
      </c>
      <c r="X196" s="5" t="str">
        <f t="shared" si="26"/>
        <v/>
      </c>
    </row>
    <row r="197" spans="1:24">
      <c r="A197" s="91"/>
      <c r="B197" s="92"/>
      <c r="C197" s="69"/>
      <c r="D197" s="69"/>
      <c r="E197" s="69"/>
      <c r="F197" s="69"/>
      <c r="G197" s="70"/>
      <c r="H197" s="71"/>
      <c r="I197" s="66"/>
      <c r="J197" s="67"/>
      <c r="K197" s="67"/>
      <c r="L197" s="67"/>
      <c r="M197" s="67"/>
      <c r="N197" s="145" t="str">
        <f t="shared" si="18"/>
        <v/>
      </c>
      <c r="O197" s="64"/>
      <c r="P197" s="64"/>
      <c r="Q197" s="152" t="str">
        <f t="shared" si="19"/>
        <v/>
      </c>
      <c r="R197" s="65" t="str">
        <f t="shared" si="20"/>
        <v/>
      </c>
      <c r="S197" s="5" t="str">
        <f t="shared" si="21"/>
        <v/>
      </c>
      <c r="T197" s="5" t="str">
        <f t="shared" si="22"/>
        <v/>
      </c>
      <c r="U197" s="5" t="str">
        <f t="shared" si="23"/>
        <v/>
      </c>
      <c r="V197" s="5" t="str">
        <f t="shared" si="24"/>
        <v/>
      </c>
      <c r="W197" s="5" t="str">
        <f t="shared" si="25"/>
        <v/>
      </c>
      <c r="X197" s="5" t="str">
        <f t="shared" si="26"/>
        <v/>
      </c>
    </row>
    <row r="198" spans="1:24">
      <c r="A198" s="91"/>
      <c r="B198" s="92"/>
      <c r="C198" s="69"/>
      <c r="D198" s="69"/>
      <c r="E198" s="69"/>
      <c r="F198" s="69"/>
      <c r="G198" s="70"/>
      <c r="H198" s="71"/>
      <c r="I198" s="66"/>
      <c r="J198" s="67"/>
      <c r="K198" s="67"/>
      <c r="L198" s="67"/>
      <c r="M198" s="67"/>
      <c r="N198" s="145" t="str">
        <f t="shared" si="18"/>
        <v/>
      </c>
      <c r="O198" s="64"/>
      <c r="P198" s="64"/>
      <c r="Q198" s="152" t="str">
        <f t="shared" si="19"/>
        <v/>
      </c>
      <c r="R198" s="65" t="str">
        <f t="shared" si="20"/>
        <v/>
      </c>
      <c r="S198" s="5" t="str">
        <f t="shared" si="21"/>
        <v/>
      </c>
      <c r="T198" s="5" t="str">
        <f t="shared" si="22"/>
        <v/>
      </c>
      <c r="U198" s="5" t="str">
        <f t="shared" si="23"/>
        <v/>
      </c>
      <c r="V198" s="5" t="str">
        <f t="shared" si="24"/>
        <v/>
      </c>
      <c r="W198" s="5" t="str">
        <f t="shared" si="25"/>
        <v/>
      </c>
      <c r="X198" s="5" t="str">
        <f t="shared" si="26"/>
        <v/>
      </c>
    </row>
    <row r="199" spans="1:24">
      <c r="A199" s="91"/>
      <c r="B199" s="92"/>
      <c r="C199" s="69"/>
      <c r="D199" s="69"/>
      <c r="E199" s="69"/>
      <c r="F199" s="69"/>
      <c r="G199" s="70"/>
      <c r="H199" s="71"/>
      <c r="I199" s="66"/>
      <c r="J199" s="67"/>
      <c r="K199" s="67"/>
      <c r="L199" s="67"/>
      <c r="M199" s="67"/>
      <c r="N199" s="145" t="str">
        <f t="shared" ref="N199:N262" si="27">IF($C199="","",IF($L199+$M199=0,0,$L199/($L199+$M199)))</f>
        <v/>
      </c>
      <c r="O199" s="64"/>
      <c r="P199" s="64"/>
      <c r="Q199" s="152" t="str">
        <f t="shared" ref="Q199:Q262" si="28">IF($C199="","",($O199-($P199/2)))</f>
        <v/>
      </c>
      <c r="R199" s="65" t="str">
        <f t="shared" ref="R199:R262" si="29">IF($C199="","",IF(TRIM($B199)="beginning",(((SUM($S199:$X199)-7085)/3811)*40)+360,IF(TRIM($B199)="middle",(((SUM($S199:$X199)-7085)/3811)*40)+400,IF(TRIM($B199)="end",(((SUM($S199:$X199)-7085)/3811)*40)+440,""))))</f>
        <v/>
      </c>
      <c r="S199" s="5" t="str">
        <f t="shared" ref="S199:S262" si="30">IF($C199="","",I199*32.74)</f>
        <v/>
      </c>
      <c r="T199" s="5" t="str">
        <f t="shared" ref="T199:T262" si="31">IF($C199="","",J199*10.95)</f>
        <v/>
      </c>
      <c r="U199" s="5" t="str">
        <f t="shared" ref="U199:U262" si="32">IF($C199="","",K199*21.26)</f>
        <v/>
      </c>
      <c r="V199" s="5" t="str">
        <f t="shared" ref="V199:V262" si="33">IF($C199="","",L199*35.36)</f>
        <v/>
      </c>
      <c r="W199" s="5" t="str">
        <f t="shared" ref="W199:W262" si="34">IF($C199="","",N199*0.15)</f>
        <v/>
      </c>
      <c r="X199" s="5" t="str">
        <f t="shared" ref="X199:X262" si="35">IF($C199="","",Q199*4.28)</f>
        <v/>
      </c>
    </row>
    <row r="200" spans="1:24">
      <c r="A200" s="91"/>
      <c r="B200" s="92"/>
      <c r="C200" s="69"/>
      <c r="D200" s="69"/>
      <c r="E200" s="69"/>
      <c r="F200" s="69"/>
      <c r="G200" s="70"/>
      <c r="H200" s="71"/>
      <c r="I200" s="66"/>
      <c r="J200" s="67"/>
      <c r="K200" s="67"/>
      <c r="L200" s="67"/>
      <c r="M200" s="67"/>
      <c r="N200" s="145" t="str">
        <f t="shared" si="27"/>
        <v/>
      </c>
      <c r="O200" s="64"/>
      <c r="P200" s="64"/>
      <c r="Q200" s="152" t="str">
        <f t="shared" si="28"/>
        <v/>
      </c>
      <c r="R200" s="65" t="str">
        <f t="shared" si="29"/>
        <v/>
      </c>
      <c r="S200" s="5" t="str">
        <f t="shared" si="30"/>
        <v/>
      </c>
      <c r="T200" s="5" t="str">
        <f t="shared" si="31"/>
        <v/>
      </c>
      <c r="U200" s="5" t="str">
        <f t="shared" si="32"/>
        <v/>
      </c>
      <c r="V200" s="5" t="str">
        <f t="shared" si="33"/>
        <v/>
      </c>
      <c r="W200" s="5" t="str">
        <f t="shared" si="34"/>
        <v/>
      </c>
      <c r="X200" s="5" t="str">
        <f t="shared" si="35"/>
        <v/>
      </c>
    </row>
    <row r="201" spans="1:24">
      <c r="A201" s="91"/>
      <c r="B201" s="92"/>
      <c r="C201" s="69"/>
      <c r="D201" s="69"/>
      <c r="E201" s="69"/>
      <c r="F201" s="69"/>
      <c r="G201" s="70"/>
      <c r="H201" s="71"/>
      <c r="I201" s="66"/>
      <c r="J201" s="67"/>
      <c r="K201" s="67"/>
      <c r="L201" s="67"/>
      <c r="M201" s="67"/>
      <c r="N201" s="145" t="str">
        <f t="shared" si="27"/>
        <v/>
      </c>
      <c r="O201" s="64"/>
      <c r="P201" s="64"/>
      <c r="Q201" s="152" t="str">
        <f t="shared" si="28"/>
        <v/>
      </c>
      <c r="R201" s="65" t="str">
        <f t="shared" si="29"/>
        <v/>
      </c>
      <c r="S201" s="5" t="str">
        <f t="shared" si="30"/>
        <v/>
      </c>
      <c r="T201" s="5" t="str">
        <f t="shared" si="31"/>
        <v/>
      </c>
      <c r="U201" s="5" t="str">
        <f t="shared" si="32"/>
        <v/>
      </c>
      <c r="V201" s="5" t="str">
        <f t="shared" si="33"/>
        <v/>
      </c>
      <c r="W201" s="5" t="str">
        <f t="shared" si="34"/>
        <v/>
      </c>
      <c r="X201" s="5" t="str">
        <f t="shared" si="35"/>
        <v/>
      </c>
    </row>
    <row r="202" spans="1:24">
      <c r="A202" s="91"/>
      <c r="B202" s="92"/>
      <c r="C202" s="69"/>
      <c r="D202" s="69"/>
      <c r="E202" s="69"/>
      <c r="F202" s="69"/>
      <c r="G202" s="70"/>
      <c r="H202" s="71"/>
      <c r="I202" s="66"/>
      <c r="J202" s="67"/>
      <c r="K202" s="67"/>
      <c r="L202" s="67"/>
      <c r="M202" s="67"/>
      <c r="N202" s="145" t="str">
        <f t="shared" si="27"/>
        <v/>
      </c>
      <c r="O202" s="64"/>
      <c r="P202" s="64"/>
      <c r="Q202" s="152" t="str">
        <f t="shared" si="28"/>
        <v/>
      </c>
      <c r="R202" s="65" t="str">
        <f t="shared" si="29"/>
        <v/>
      </c>
      <c r="S202" s="5" t="str">
        <f t="shared" si="30"/>
        <v/>
      </c>
      <c r="T202" s="5" t="str">
        <f t="shared" si="31"/>
        <v/>
      </c>
      <c r="U202" s="5" t="str">
        <f t="shared" si="32"/>
        <v/>
      </c>
      <c r="V202" s="5" t="str">
        <f t="shared" si="33"/>
        <v/>
      </c>
      <c r="W202" s="5" t="str">
        <f t="shared" si="34"/>
        <v/>
      </c>
      <c r="X202" s="5" t="str">
        <f t="shared" si="35"/>
        <v/>
      </c>
    </row>
    <row r="203" spans="1:24">
      <c r="A203" s="91"/>
      <c r="B203" s="92"/>
      <c r="C203" s="69"/>
      <c r="D203" s="69"/>
      <c r="E203" s="69"/>
      <c r="F203" s="69"/>
      <c r="G203" s="70"/>
      <c r="H203" s="71"/>
      <c r="I203" s="66"/>
      <c r="J203" s="67"/>
      <c r="K203" s="67"/>
      <c r="L203" s="67"/>
      <c r="M203" s="67"/>
      <c r="N203" s="145" t="str">
        <f t="shared" si="27"/>
        <v/>
      </c>
      <c r="O203" s="64"/>
      <c r="P203" s="64"/>
      <c r="Q203" s="152" t="str">
        <f t="shared" si="28"/>
        <v/>
      </c>
      <c r="R203" s="65" t="str">
        <f t="shared" si="29"/>
        <v/>
      </c>
      <c r="S203" s="5" t="str">
        <f t="shared" si="30"/>
        <v/>
      </c>
      <c r="T203" s="5" t="str">
        <f t="shared" si="31"/>
        <v/>
      </c>
      <c r="U203" s="5" t="str">
        <f t="shared" si="32"/>
        <v/>
      </c>
      <c r="V203" s="5" t="str">
        <f t="shared" si="33"/>
        <v/>
      </c>
      <c r="W203" s="5" t="str">
        <f t="shared" si="34"/>
        <v/>
      </c>
      <c r="X203" s="5" t="str">
        <f t="shared" si="35"/>
        <v/>
      </c>
    </row>
    <row r="204" spans="1:24">
      <c r="A204" s="91"/>
      <c r="B204" s="92"/>
      <c r="C204" s="69"/>
      <c r="D204" s="69"/>
      <c r="E204" s="69"/>
      <c r="F204" s="69"/>
      <c r="G204" s="70"/>
      <c r="H204" s="71"/>
      <c r="I204" s="66"/>
      <c r="J204" s="67"/>
      <c r="K204" s="67"/>
      <c r="L204" s="67"/>
      <c r="M204" s="67"/>
      <c r="N204" s="145" t="str">
        <f t="shared" si="27"/>
        <v/>
      </c>
      <c r="O204" s="64"/>
      <c r="P204" s="64"/>
      <c r="Q204" s="152" t="str">
        <f t="shared" si="28"/>
        <v/>
      </c>
      <c r="R204" s="65" t="str">
        <f t="shared" si="29"/>
        <v/>
      </c>
      <c r="S204" s="5" t="str">
        <f t="shared" si="30"/>
        <v/>
      </c>
      <c r="T204" s="5" t="str">
        <f t="shared" si="31"/>
        <v/>
      </c>
      <c r="U204" s="5" t="str">
        <f t="shared" si="32"/>
        <v/>
      </c>
      <c r="V204" s="5" t="str">
        <f t="shared" si="33"/>
        <v/>
      </c>
      <c r="W204" s="5" t="str">
        <f t="shared" si="34"/>
        <v/>
      </c>
      <c r="X204" s="5" t="str">
        <f t="shared" si="35"/>
        <v/>
      </c>
    </row>
    <row r="205" spans="1:24">
      <c r="A205" s="91"/>
      <c r="B205" s="92"/>
      <c r="C205" s="69"/>
      <c r="D205" s="69"/>
      <c r="E205" s="69"/>
      <c r="F205" s="69"/>
      <c r="G205" s="70"/>
      <c r="H205" s="71"/>
      <c r="I205" s="66"/>
      <c r="J205" s="67"/>
      <c r="K205" s="67"/>
      <c r="L205" s="67"/>
      <c r="M205" s="67"/>
      <c r="N205" s="145" t="str">
        <f t="shared" si="27"/>
        <v/>
      </c>
      <c r="O205" s="64"/>
      <c r="P205" s="64"/>
      <c r="Q205" s="152" t="str">
        <f t="shared" si="28"/>
        <v/>
      </c>
      <c r="R205" s="65" t="str">
        <f t="shared" si="29"/>
        <v/>
      </c>
      <c r="S205" s="5" t="str">
        <f t="shared" si="30"/>
        <v/>
      </c>
      <c r="T205" s="5" t="str">
        <f t="shared" si="31"/>
        <v/>
      </c>
      <c r="U205" s="5" t="str">
        <f t="shared" si="32"/>
        <v/>
      </c>
      <c r="V205" s="5" t="str">
        <f t="shared" si="33"/>
        <v/>
      </c>
      <c r="W205" s="5" t="str">
        <f t="shared" si="34"/>
        <v/>
      </c>
      <c r="X205" s="5" t="str">
        <f t="shared" si="35"/>
        <v/>
      </c>
    </row>
    <row r="206" spans="1:24">
      <c r="A206" s="91"/>
      <c r="B206" s="92"/>
      <c r="C206" s="69"/>
      <c r="D206" s="69"/>
      <c r="E206" s="69"/>
      <c r="F206" s="69"/>
      <c r="G206" s="70"/>
      <c r="H206" s="71"/>
      <c r="I206" s="66"/>
      <c r="J206" s="67"/>
      <c r="K206" s="67"/>
      <c r="L206" s="67"/>
      <c r="M206" s="67"/>
      <c r="N206" s="145" t="str">
        <f t="shared" si="27"/>
        <v/>
      </c>
      <c r="O206" s="64"/>
      <c r="P206" s="64"/>
      <c r="Q206" s="152" t="str">
        <f t="shared" si="28"/>
        <v/>
      </c>
      <c r="R206" s="65" t="str">
        <f t="shared" si="29"/>
        <v/>
      </c>
      <c r="S206" s="5" t="str">
        <f t="shared" si="30"/>
        <v/>
      </c>
      <c r="T206" s="5" t="str">
        <f t="shared" si="31"/>
        <v/>
      </c>
      <c r="U206" s="5" t="str">
        <f t="shared" si="32"/>
        <v/>
      </c>
      <c r="V206" s="5" t="str">
        <f t="shared" si="33"/>
        <v/>
      </c>
      <c r="W206" s="5" t="str">
        <f t="shared" si="34"/>
        <v/>
      </c>
      <c r="X206" s="5" t="str">
        <f t="shared" si="35"/>
        <v/>
      </c>
    </row>
    <row r="207" spans="1:24">
      <c r="A207" s="91"/>
      <c r="B207" s="92"/>
      <c r="C207" s="69"/>
      <c r="D207" s="69"/>
      <c r="E207" s="69"/>
      <c r="F207" s="69"/>
      <c r="G207" s="70"/>
      <c r="H207" s="71"/>
      <c r="I207" s="66"/>
      <c r="J207" s="67"/>
      <c r="K207" s="67"/>
      <c r="L207" s="67"/>
      <c r="M207" s="67"/>
      <c r="N207" s="145" t="str">
        <f t="shared" si="27"/>
        <v/>
      </c>
      <c r="O207" s="64"/>
      <c r="P207" s="64"/>
      <c r="Q207" s="152" t="str">
        <f t="shared" si="28"/>
        <v/>
      </c>
      <c r="R207" s="65" t="str">
        <f t="shared" si="29"/>
        <v/>
      </c>
      <c r="S207" s="5" t="str">
        <f t="shared" si="30"/>
        <v/>
      </c>
      <c r="T207" s="5" t="str">
        <f t="shared" si="31"/>
        <v/>
      </c>
      <c r="U207" s="5" t="str">
        <f t="shared" si="32"/>
        <v/>
      </c>
      <c r="V207" s="5" t="str">
        <f t="shared" si="33"/>
        <v/>
      </c>
      <c r="W207" s="5" t="str">
        <f t="shared" si="34"/>
        <v/>
      </c>
      <c r="X207" s="5" t="str">
        <f t="shared" si="35"/>
        <v/>
      </c>
    </row>
    <row r="208" spans="1:24">
      <c r="A208" s="91"/>
      <c r="B208" s="92"/>
      <c r="C208" s="69"/>
      <c r="D208" s="69"/>
      <c r="E208" s="69"/>
      <c r="F208" s="69"/>
      <c r="G208" s="70"/>
      <c r="H208" s="71"/>
      <c r="I208" s="66"/>
      <c r="J208" s="67"/>
      <c r="K208" s="67"/>
      <c r="L208" s="67"/>
      <c r="M208" s="67"/>
      <c r="N208" s="145" t="str">
        <f t="shared" si="27"/>
        <v/>
      </c>
      <c r="O208" s="64"/>
      <c r="P208" s="64"/>
      <c r="Q208" s="152" t="str">
        <f t="shared" si="28"/>
        <v/>
      </c>
      <c r="R208" s="65" t="str">
        <f t="shared" si="29"/>
        <v/>
      </c>
      <c r="S208" s="5" t="str">
        <f t="shared" si="30"/>
        <v/>
      </c>
      <c r="T208" s="5" t="str">
        <f t="shared" si="31"/>
        <v/>
      </c>
      <c r="U208" s="5" t="str">
        <f t="shared" si="32"/>
        <v/>
      </c>
      <c r="V208" s="5" t="str">
        <f t="shared" si="33"/>
        <v/>
      </c>
      <c r="W208" s="5" t="str">
        <f t="shared" si="34"/>
        <v/>
      </c>
      <c r="X208" s="5" t="str">
        <f t="shared" si="35"/>
        <v/>
      </c>
    </row>
    <row r="209" spans="1:24">
      <c r="A209" s="91"/>
      <c r="B209" s="92"/>
      <c r="C209" s="69"/>
      <c r="D209" s="69"/>
      <c r="E209" s="69"/>
      <c r="F209" s="69"/>
      <c r="G209" s="70"/>
      <c r="H209" s="71"/>
      <c r="I209" s="66"/>
      <c r="J209" s="67"/>
      <c r="K209" s="67"/>
      <c r="L209" s="67"/>
      <c r="M209" s="67"/>
      <c r="N209" s="145" t="str">
        <f t="shared" si="27"/>
        <v/>
      </c>
      <c r="O209" s="64"/>
      <c r="P209" s="64"/>
      <c r="Q209" s="152" t="str">
        <f t="shared" si="28"/>
        <v/>
      </c>
      <c r="R209" s="65" t="str">
        <f t="shared" si="29"/>
        <v/>
      </c>
      <c r="S209" s="5" t="str">
        <f t="shared" si="30"/>
        <v/>
      </c>
      <c r="T209" s="5" t="str">
        <f t="shared" si="31"/>
        <v/>
      </c>
      <c r="U209" s="5" t="str">
        <f t="shared" si="32"/>
        <v/>
      </c>
      <c r="V209" s="5" t="str">
        <f t="shared" si="33"/>
        <v/>
      </c>
      <c r="W209" s="5" t="str">
        <f t="shared" si="34"/>
        <v/>
      </c>
      <c r="X209" s="5" t="str">
        <f t="shared" si="35"/>
        <v/>
      </c>
    </row>
    <row r="210" spans="1:24">
      <c r="A210" s="91"/>
      <c r="B210" s="92"/>
      <c r="C210" s="69"/>
      <c r="D210" s="69"/>
      <c r="E210" s="69"/>
      <c r="F210" s="69"/>
      <c r="G210" s="70"/>
      <c r="H210" s="71"/>
      <c r="I210" s="66"/>
      <c r="J210" s="67"/>
      <c r="K210" s="67"/>
      <c r="L210" s="67"/>
      <c r="M210" s="67"/>
      <c r="N210" s="145" t="str">
        <f t="shared" si="27"/>
        <v/>
      </c>
      <c r="O210" s="64"/>
      <c r="P210" s="64"/>
      <c r="Q210" s="152" t="str">
        <f t="shared" si="28"/>
        <v/>
      </c>
      <c r="R210" s="65" t="str">
        <f t="shared" si="29"/>
        <v/>
      </c>
      <c r="S210" s="5" t="str">
        <f t="shared" si="30"/>
        <v/>
      </c>
      <c r="T210" s="5" t="str">
        <f t="shared" si="31"/>
        <v/>
      </c>
      <c r="U210" s="5" t="str">
        <f t="shared" si="32"/>
        <v/>
      </c>
      <c r="V210" s="5" t="str">
        <f t="shared" si="33"/>
        <v/>
      </c>
      <c r="W210" s="5" t="str">
        <f t="shared" si="34"/>
        <v/>
      </c>
      <c r="X210" s="5" t="str">
        <f t="shared" si="35"/>
        <v/>
      </c>
    </row>
    <row r="211" spans="1:24">
      <c r="A211" s="91"/>
      <c r="B211" s="92"/>
      <c r="C211" s="69"/>
      <c r="D211" s="69"/>
      <c r="E211" s="69"/>
      <c r="F211" s="69"/>
      <c r="G211" s="70"/>
      <c r="H211" s="71"/>
      <c r="I211" s="66"/>
      <c r="J211" s="67"/>
      <c r="K211" s="67"/>
      <c r="L211" s="67"/>
      <c r="M211" s="67"/>
      <c r="N211" s="145" t="str">
        <f t="shared" si="27"/>
        <v/>
      </c>
      <c r="O211" s="64"/>
      <c r="P211" s="64"/>
      <c r="Q211" s="152" t="str">
        <f t="shared" si="28"/>
        <v/>
      </c>
      <c r="R211" s="65" t="str">
        <f t="shared" si="29"/>
        <v/>
      </c>
      <c r="S211" s="5" t="str">
        <f t="shared" si="30"/>
        <v/>
      </c>
      <c r="T211" s="5" t="str">
        <f t="shared" si="31"/>
        <v/>
      </c>
      <c r="U211" s="5" t="str">
        <f t="shared" si="32"/>
        <v/>
      </c>
      <c r="V211" s="5" t="str">
        <f t="shared" si="33"/>
        <v/>
      </c>
      <c r="W211" s="5" t="str">
        <f t="shared" si="34"/>
        <v/>
      </c>
      <c r="X211" s="5" t="str">
        <f t="shared" si="35"/>
        <v/>
      </c>
    </row>
    <row r="212" spans="1:24">
      <c r="A212" s="91"/>
      <c r="B212" s="92"/>
      <c r="C212" s="69"/>
      <c r="D212" s="69"/>
      <c r="E212" s="69"/>
      <c r="F212" s="69"/>
      <c r="G212" s="70"/>
      <c r="H212" s="71"/>
      <c r="I212" s="66"/>
      <c r="J212" s="67"/>
      <c r="K212" s="67"/>
      <c r="L212" s="67"/>
      <c r="M212" s="67"/>
      <c r="N212" s="145" t="str">
        <f t="shared" si="27"/>
        <v/>
      </c>
      <c r="O212" s="64"/>
      <c r="P212" s="64"/>
      <c r="Q212" s="152" t="str">
        <f t="shared" si="28"/>
        <v/>
      </c>
      <c r="R212" s="65" t="str">
        <f t="shared" si="29"/>
        <v/>
      </c>
      <c r="S212" s="5" t="str">
        <f t="shared" si="30"/>
        <v/>
      </c>
      <c r="T212" s="5" t="str">
        <f t="shared" si="31"/>
        <v/>
      </c>
      <c r="U212" s="5" t="str">
        <f t="shared" si="32"/>
        <v/>
      </c>
      <c r="V212" s="5" t="str">
        <f t="shared" si="33"/>
        <v/>
      </c>
      <c r="W212" s="5" t="str">
        <f t="shared" si="34"/>
        <v/>
      </c>
      <c r="X212" s="5" t="str">
        <f t="shared" si="35"/>
        <v/>
      </c>
    </row>
    <row r="213" spans="1:24">
      <c r="A213" s="91"/>
      <c r="B213" s="92"/>
      <c r="C213" s="69"/>
      <c r="D213" s="69"/>
      <c r="E213" s="69"/>
      <c r="F213" s="69"/>
      <c r="G213" s="70"/>
      <c r="H213" s="71"/>
      <c r="I213" s="66"/>
      <c r="J213" s="67"/>
      <c r="K213" s="67"/>
      <c r="L213" s="67"/>
      <c r="M213" s="67"/>
      <c r="N213" s="145" t="str">
        <f t="shared" si="27"/>
        <v/>
      </c>
      <c r="O213" s="64"/>
      <c r="P213" s="64"/>
      <c r="Q213" s="152" t="str">
        <f t="shared" si="28"/>
        <v/>
      </c>
      <c r="R213" s="65" t="str">
        <f t="shared" si="29"/>
        <v/>
      </c>
      <c r="S213" s="5" t="str">
        <f t="shared" si="30"/>
        <v/>
      </c>
      <c r="T213" s="5" t="str">
        <f t="shared" si="31"/>
        <v/>
      </c>
      <c r="U213" s="5" t="str">
        <f t="shared" si="32"/>
        <v/>
      </c>
      <c r="V213" s="5" t="str">
        <f t="shared" si="33"/>
        <v/>
      </c>
      <c r="W213" s="5" t="str">
        <f t="shared" si="34"/>
        <v/>
      </c>
      <c r="X213" s="5" t="str">
        <f t="shared" si="35"/>
        <v/>
      </c>
    </row>
    <row r="214" spans="1:24">
      <c r="A214" s="91"/>
      <c r="B214" s="92"/>
      <c r="C214" s="69"/>
      <c r="D214" s="69"/>
      <c r="E214" s="69"/>
      <c r="F214" s="69"/>
      <c r="G214" s="70"/>
      <c r="H214" s="71"/>
      <c r="I214" s="66"/>
      <c r="J214" s="67"/>
      <c r="K214" s="67"/>
      <c r="L214" s="67"/>
      <c r="M214" s="67"/>
      <c r="N214" s="145" t="str">
        <f t="shared" si="27"/>
        <v/>
      </c>
      <c r="O214" s="64"/>
      <c r="P214" s="64"/>
      <c r="Q214" s="152" t="str">
        <f t="shared" si="28"/>
        <v/>
      </c>
      <c r="R214" s="65" t="str">
        <f t="shared" si="29"/>
        <v/>
      </c>
      <c r="S214" s="5" t="str">
        <f t="shared" si="30"/>
        <v/>
      </c>
      <c r="T214" s="5" t="str">
        <f t="shared" si="31"/>
        <v/>
      </c>
      <c r="U214" s="5" t="str">
        <f t="shared" si="32"/>
        <v/>
      </c>
      <c r="V214" s="5" t="str">
        <f t="shared" si="33"/>
        <v/>
      </c>
      <c r="W214" s="5" t="str">
        <f t="shared" si="34"/>
        <v/>
      </c>
      <c r="X214" s="5" t="str">
        <f t="shared" si="35"/>
        <v/>
      </c>
    </row>
    <row r="215" spans="1:24">
      <c r="A215" s="91"/>
      <c r="B215" s="92"/>
      <c r="C215" s="69"/>
      <c r="D215" s="69"/>
      <c r="E215" s="69"/>
      <c r="F215" s="69"/>
      <c r="G215" s="70"/>
      <c r="H215" s="71"/>
      <c r="I215" s="66"/>
      <c r="J215" s="67"/>
      <c r="K215" s="67"/>
      <c r="L215" s="67"/>
      <c r="M215" s="67"/>
      <c r="N215" s="145" t="str">
        <f t="shared" si="27"/>
        <v/>
      </c>
      <c r="O215" s="64"/>
      <c r="P215" s="64"/>
      <c r="Q215" s="152" t="str">
        <f t="shared" si="28"/>
        <v/>
      </c>
      <c r="R215" s="65" t="str">
        <f t="shared" si="29"/>
        <v/>
      </c>
      <c r="S215" s="5" t="str">
        <f t="shared" si="30"/>
        <v/>
      </c>
      <c r="T215" s="5" t="str">
        <f t="shared" si="31"/>
        <v/>
      </c>
      <c r="U215" s="5" t="str">
        <f t="shared" si="32"/>
        <v/>
      </c>
      <c r="V215" s="5" t="str">
        <f t="shared" si="33"/>
        <v/>
      </c>
      <c r="W215" s="5" t="str">
        <f t="shared" si="34"/>
        <v/>
      </c>
      <c r="X215" s="5" t="str">
        <f t="shared" si="35"/>
        <v/>
      </c>
    </row>
    <row r="216" spans="1:24">
      <c r="A216" s="91"/>
      <c r="B216" s="92"/>
      <c r="C216" s="69"/>
      <c r="D216" s="69"/>
      <c r="E216" s="69"/>
      <c r="F216" s="69"/>
      <c r="G216" s="70"/>
      <c r="H216" s="71"/>
      <c r="I216" s="66"/>
      <c r="J216" s="67"/>
      <c r="K216" s="67"/>
      <c r="L216" s="67"/>
      <c r="M216" s="67"/>
      <c r="N216" s="145" t="str">
        <f t="shared" si="27"/>
        <v/>
      </c>
      <c r="O216" s="64"/>
      <c r="P216" s="64"/>
      <c r="Q216" s="152" t="str">
        <f t="shared" si="28"/>
        <v/>
      </c>
      <c r="R216" s="65" t="str">
        <f t="shared" si="29"/>
        <v/>
      </c>
      <c r="S216" s="5" t="str">
        <f t="shared" si="30"/>
        <v/>
      </c>
      <c r="T216" s="5" t="str">
        <f t="shared" si="31"/>
        <v/>
      </c>
      <c r="U216" s="5" t="str">
        <f t="shared" si="32"/>
        <v/>
      </c>
      <c r="V216" s="5" t="str">
        <f t="shared" si="33"/>
        <v/>
      </c>
      <c r="W216" s="5" t="str">
        <f t="shared" si="34"/>
        <v/>
      </c>
      <c r="X216" s="5" t="str">
        <f t="shared" si="35"/>
        <v/>
      </c>
    </row>
    <row r="217" spans="1:24">
      <c r="A217" s="91"/>
      <c r="B217" s="92"/>
      <c r="C217" s="69"/>
      <c r="D217" s="69"/>
      <c r="E217" s="69"/>
      <c r="F217" s="69"/>
      <c r="G217" s="70"/>
      <c r="H217" s="71"/>
      <c r="I217" s="66"/>
      <c r="J217" s="67"/>
      <c r="K217" s="67"/>
      <c r="L217" s="67"/>
      <c r="M217" s="67"/>
      <c r="N217" s="145" t="str">
        <f t="shared" si="27"/>
        <v/>
      </c>
      <c r="O217" s="64"/>
      <c r="P217" s="64"/>
      <c r="Q217" s="152" t="str">
        <f t="shared" si="28"/>
        <v/>
      </c>
      <c r="R217" s="65" t="str">
        <f t="shared" si="29"/>
        <v/>
      </c>
      <c r="S217" s="5" t="str">
        <f t="shared" si="30"/>
        <v/>
      </c>
      <c r="T217" s="5" t="str">
        <f t="shared" si="31"/>
        <v/>
      </c>
      <c r="U217" s="5" t="str">
        <f t="shared" si="32"/>
        <v/>
      </c>
      <c r="V217" s="5" t="str">
        <f t="shared" si="33"/>
        <v/>
      </c>
      <c r="W217" s="5" t="str">
        <f t="shared" si="34"/>
        <v/>
      </c>
      <c r="X217" s="5" t="str">
        <f t="shared" si="35"/>
        <v/>
      </c>
    </row>
    <row r="218" spans="1:24">
      <c r="A218" s="91"/>
      <c r="B218" s="92"/>
      <c r="C218" s="69"/>
      <c r="D218" s="69"/>
      <c r="E218" s="69"/>
      <c r="F218" s="69"/>
      <c r="G218" s="70"/>
      <c r="H218" s="71"/>
      <c r="I218" s="66"/>
      <c r="J218" s="67"/>
      <c r="K218" s="67"/>
      <c r="L218" s="67"/>
      <c r="M218" s="67"/>
      <c r="N218" s="145" t="str">
        <f t="shared" si="27"/>
        <v/>
      </c>
      <c r="O218" s="64"/>
      <c r="P218" s="64"/>
      <c r="Q218" s="152" t="str">
        <f t="shared" si="28"/>
        <v/>
      </c>
      <c r="R218" s="65" t="str">
        <f t="shared" si="29"/>
        <v/>
      </c>
      <c r="S218" s="5" t="str">
        <f t="shared" si="30"/>
        <v/>
      </c>
      <c r="T218" s="5" t="str">
        <f t="shared" si="31"/>
        <v/>
      </c>
      <c r="U218" s="5" t="str">
        <f t="shared" si="32"/>
        <v/>
      </c>
      <c r="V218" s="5" t="str">
        <f t="shared" si="33"/>
        <v/>
      </c>
      <c r="W218" s="5" t="str">
        <f t="shared" si="34"/>
        <v/>
      </c>
      <c r="X218" s="5" t="str">
        <f t="shared" si="35"/>
        <v/>
      </c>
    </row>
    <row r="219" spans="1:24">
      <c r="A219" s="91"/>
      <c r="B219" s="92"/>
      <c r="C219" s="69"/>
      <c r="D219" s="69"/>
      <c r="E219" s="69"/>
      <c r="F219" s="69"/>
      <c r="G219" s="70"/>
      <c r="H219" s="71"/>
      <c r="I219" s="66"/>
      <c r="J219" s="67"/>
      <c r="K219" s="67"/>
      <c r="L219" s="67"/>
      <c r="M219" s="67"/>
      <c r="N219" s="145" t="str">
        <f t="shared" si="27"/>
        <v/>
      </c>
      <c r="O219" s="64"/>
      <c r="P219" s="64"/>
      <c r="Q219" s="152" t="str">
        <f t="shared" si="28"/>
        <v/>
      </c>
      <c r="R219" s="65" t="str">
        <f t="shared" si="29"/>
        <v/>
      </c>
      <c r="S219" s="5" t="str">
        <f t="shared" si="30"/>
        <v/>
      </c>
      <c r="T219" s="5" t="str">
        <f t="shared" si="31"/>
        <v/>
      </c>
      <c r="U219" s="5" t="str">
        <f t="shared" si="32"/>
        <v/>
      </c>
      <c r="V219" s="5" t="str">
        <f t="shared" si="33"/>
        <v/>
      </c>
      <c r="W219" s="5" t="str">
        <f t="shared" si="34"/>
        <v/>
      </c>
      <c r="X219" s="5" t="str">
        <f t="shared" si="35"/>
        <v/>
      </c>
    </row>
    <row r="220" spans="1:24">
      <c r="A220" s="91"/>
      <c r="B220" s="92"/>
      <c r="C220" s="69"/>
      <c r="D220" s="69"/>
      <c r="E220" s="69"/>
      <c r="F220" s="69"/>
      <c r="G220" s="70"/>
      <c r="H220" s="71"/>
      <c r="I220" s="66"/>
      <c r="J220" s="67"/>
      <c r="K220" s="67"/>
      <c r="L220" s="67"/>
      <c r="M220" s="67"/>
      <c r="N220" s="145" t="str">
        <f t="shared" si="27"/>
        <v/>
      </c>
      <c r="O220" s="64"/>
      <c r="P220" s="64"/>
      <c r="Q220" s="152" t="str">
        <f t="shared" si="28"/>
        <v/>
      </c>
      <c r="R220" s="65" t="str">
        <f t="shared" si="29"/>
        <v/>
      </c>
      <c r="S220" s="5" t="str">
        <f t="shared" si="30"/>
        <v/>
      </c>
      <c r="T220" s="5" t="str">
        <f t="shared" si="31"/>
        <v/>
      </c>
      <c r="U220" s="5" t="str">
        <f t="shared" si="32"/>
        <v/>
      </c>
      <c r="V220" s="5" t="str">
        <f t="shared" si="33"/>
        <v/>
      </c>
      <c r="W220" s="5" t="str">
        <f t="shared" si="34"/>
        <v/>
      </c>
      <c r="X220" s="5" t="str">
        <f t="shared" si="35"/>
        <v/>
      </c>
    </row>
    <row r="221" spans="1:24">
      <c r="A221" s="91"/>
      <c r="B221" s="92"/>
      <c r="C221" s="69"/>
      <c r="D221" s="69"/>
      <c r="E221" s="69"/>
      <c r="F221" s="69"/>
      <c r="G221" s="70"/>
      <c r="H221" s="71"/>
      <c r="I221" s="66"/>
      <c r="J221" s="67"/>
      <c r="K221" s="67"/>
      <c r="L221" s="67"/>
      <c r="M221" s="67"/>
      <c r="N221" s="145" t="str">
        <f t="shared" si="27"/>
        <v/>
      </c>
      <c r="O221" s="64"/>
      <c r="P221" s="64"/>
      <c r="Q221" s="152" t="str">
        <f t="shared" si="28"/>
        <v/>
      </c>
      <c r="R221" s="65" t="str">
        <f t="shared" si="29"/>
        <v/>
      </c>
      <c r="S221" s="5" t="str">
        <f t="shared" si="30"/>
        <v/>
      </c>
      <c r="T221" s="5" t="str">
        <f t="shared" si="31"/>
        <v/>
      </c>
      <c r="U221" s="5" t="str">
        <f t="shared" si="32"/>
        <v/>
      </c>
      <c r="V221" s="5" t="str">
        <f t="shared" si="33"/>
        <v/>
      </c>
      <c r="W221" s="5" t="str">
        <f t="shared" si="34"/>
        <v/>
      </c>
      <c r="X221" s="5" t="str">
        <f t="shared" si="35"/>
        <v/>
      </c>
    </row>
    <row r="222" spans="1:24">
      <c r="A222" s="91"/>
      <c r="B222" s="92"/>
      <c r="C222" s="69"/>
      <c r="D222" s="69"/>
      <c r="E222" s="69"/>
      <c r="F222" s="69"/>
      <c r="G222" s="70"/>
      <c r="H222" s="71"/>
      <c r="I222" s="66"/>
      <c r="J222" s="67"/>
      <c r="K222" s="67"/>
      <c r="L222" s="67"/>
      <c r="M222" s="67"/>
      <c r="N222" s="145" t="str">
        <f t="shared" si="27"/>
        <v/>
      </c>
      <c r="O222" s="64"/>
      <c r="P222" s="64"/>
      <c r="Q222" s="152" t="str">
        <f t="shared" si="28"/>
        <v/>
      </c>
      <c r="R222" s="65" t="str">
        <f t="shared" si="29"/>
        <v/>
      </c>
      <c r="S222" s="5" t="str">
        <f t="shared" si="30"/>
        <v/>
      </c>
      <c r="T222" s="5" t="str">
        <f t="shared" si="31"/>
        <v/>
      </c>
      <c r="U222" s="5" t="str">
        <f t="shared" si="32"/>
        <v/>
      </c>
      <c r="V222" s="5" t="str">
        <f t="shared" si="33"/>
        <v/>
      </c>
      <c r="W222" s="5" t="str">
        <f t="shared" si="34"/>
        <v/>
      </c>
      <c r="X222" s="5" t="str">
        <f t="shared" si="35"/>
        <v/>
      </c>
    </row>
    <row r="223" spans="1:24">
      <c r="A223" s="91"/>
      <c r="B223" s="92"/>
      <c r="C223" s="69"/>
      <c r="D223" s="69"/>
      <c r="E223" s="69"/>
      <c r="F223" s="69"/>
      <c r="G223" s="70"/>
      <c r="H223" s="71"/>
      <c r="I223" s="66"/>
      <c r="J223" s="67"/>
      <c r="K223" s="67"/>
      <c r="L223" s="67"/>
      <c r="M223" s="67"/>
      <c r="N223" s="145" t="str">
        <f t="shared" si="27"/>
        <v/>
      </c>
      <c r="O223" s="64"/>
      <c r="P223" s="64"/>
      <c r="Q223" s="152" t="str">
        <f t="shared" si="28"/>
        <v/>
      </c>
      <c r="R223" s="65" t="str">
        <f t="shared" si="29"/>
        <v/>
      </c>
      <c r="S223" s="5" t="str">
        <f t="shared" si="30"/>
        <v/>
      </c>
      <c r="T223" s="5" t="str">
        <f t="shared" si="31"/>
        <v/>
      </c>
      <c r="U223" s="5" t="str">
        <f t="shared" si="32"/>
        <v/>
      </c>
      <c r="V223" s="5" t="str">
        <f t="shared" si="33"/>
        <v/>
      </c>
      <c r="W223" s="5" t="str">
        <f t="shared" si="34"/>
        <v/>
      </c>
      <c r="X223" s="5" t="str">
        <f t="shared" si="35"/>
        <v/>
      </c>
    </row>
    <row r="224" spans="1:24">
      <c r="A224" s="91"/>
      <c r="B224" s="92"/>
      <c r="C224" s="69"/>
      <c r="D224" s="69"/>
      <c r="E224" s="69"/>
      <c r="F224" s="69"/>
      <c r="G224" s="70"/>
      <c r="H224" s="71"/>
      <c r="I224" s="66"/>
      <c r="J224" s="67"/>
      <c r="K224" s="67"/>
      <c r="L224" s="67"/>
      <c r="M224" s="67"/>
      <c r="N224" s="145" t="str">
        <f t="shared" si="27"/>
        <v/>
      </c>
      <c r="O224" s="64"/>
      <c r="P224" s="64"/>
      <c r="Q224" s="152" t="str">
        <f t="shared" si="28"/>
        <v/>
      </c>
      <c r="R224" s="65" t="str">
        <f t="shared" si="29"/>
        <v/>
      </c>
      <c r="S224" s="5" t="str">
        <f t="shared" si="30"/>
        <v/>
      </c>
      <c r="T224" s="5" t="str">
        <f t="shared" si="31"/>
        <v/>
      </c>
      <c r="U224" s="5" t="str">
        <f t="shared" si="32"/>
        <v/>
      </c>
      <c r="V224" s="5" t="str">
        <f t="shared" si="33"/>
        <v/>
      </c>
      <c r="W224" s="5" t="str">
        <f t="shared" si="34"/>
        <v/>
      </c>
      <c r="X224" s="5" t="str">
        <f t="shared" si="35"/>
        <v/>
      </c>
    </row>
    <row r="225" spans="1:24">
      <c r="A225" s="91"/>
      <c r="B225" s="92"/>
      <c r="C225" s="69"/>
      <c r="D225" s="69"/>
      <c r="E225" s="69"/>
      <c r="F225" s="69"/>
      <c r="G225" s="70"/>
      <c r="H225" s="71"/>
      <c r="I225" s="66"/>
      <c r="J225" s="67"/>
      <c r="K225" s="67"/>
      <c r="L225" s="67"/>
      <c r="M225" s="67"/>
      <c r="N225" s="145" t="str">
        <f t="shared" si="27"/>
        <v/>
      </c>
      <c r="O225" s="64"/>
      <c r="P225" s="64"/>
      <c r="Q225" s="152" t="str">
        <f t="shared" si="28"/>
        <v/>
      </c>
      <c r="R225" s="65" t="str">
        <f t="shared" si="29"/>
        <v/>
      </c>
      <c r="S225" s="5" t="str">
        <f t="shared" si="30"/>
        <v/>
      </c>
      <c r="T225" s="5" t="str">
        <f t="shared" si="31"/>
        <v/>
      </c>
      <c r="U225" s="5" t="str">
        <f t="shared" si="32"/>
        <v/>
      </c>
      <c r="V225" s="5" t="str">
        <f t="shared" si="33"/>
        <v/>
      </c>
      <c r="W225" s="5" t="str">
        <f t="shared" si="34"/>
        <v/>
      </c>
      <c r="X225" s="5" t="str">
        <f t="shared" si="35"/>
        <v/>
      </c>
    </row>
    <row r="226" spans="1:24">
      <c r="A226" s="91"/>
      <c r="B226" s="92"/>
      <c r="C226" s="69"/>
      <c r="D226" s="69"/>
      <c r="E226" s="69"/>
      <c r="F226" s="69"/>
      <c r="G226" s="70"/>
      <c r="H226" s="71"/>
      <c r="I226" s="66"/>
      <c r="J226" s="67"/>
      <c r="K226" s="67"/>
      <c r="L226" s="67"/>
      <c r="M226" s="67"/>
      <c r="N226" s="145" t="str">
        <f t="shared" si="27"/>
        <v/>
      </c>
      <c r="O226" s="64"/>
      <c r="P226" s="64"/>
      <c r="Q226" s="152" t="str">
        <f t="shared" si="28"/>
        <v/>
      </c>
      <c r="R226" s="65" t="str">
        <f t="shared" si="29"/>
        <v/>
      </c>
      <c r="S226" s="5" t="str">
        <f t="shared" si="30"/>
        <v/>
      </c>
      <c r="T226" s="5" t="str">
        <f t="shared" si="31"/>
        <v/>
      </c>
      <c r="U226" s="5" t="str">
        <f t="shared" si="32"/>
        <v/>
      </c>
      <c r="V226" s="5" t="str">
        <f t="shared" si="33"/>
        <v/>
      </c>
      <c r="W226" s="5" t="str">
        <f t="shared" si="34"/>
        <v/>
      </c>
      <c r="X226" s="5" t="str">
        <f t="shared" si="35"/>
        <v/>
      </c>
    </row>
    <row r="227" spans="1:24">
      <c r="A227" s="91"/>
      <c r="B227" s="92"/>
      <c r="C227" s="69"/>
      <c r="D227" s="69"/>
      <c r="E227" s="69"/>
      <c r="F227" s="69"/>
      <c r="G227" s="70"/>
      <c r="H227" s="71"/>
      <c r="I227" s="66"/>
      <c r="J227" s="67"/>
      <c r="K227" s="67"/>
      <c r="L227" s="67"/>
      <c r="M227" s="67"/>
      <c r="N227" s="145" t="str">
        <f t="shared" si="27"/>
        <v/>
      </c>
      <c r="O227" s="64"/>
      <c r="P227" s="64"/>
      <c r="Q227" s="152" t="str">
        <f t="shared" si="28"/>
        <v/>
      </c>
      <c r="R227" s="65" t="str">
        <f t="shared" si="29"/>
        <v/>
      </c>
      <c r="S227" s="5" t="str">
        <f t="shared" si="30"/>
        <v/>
      </c>
      <c r="T227" s="5" t="str">
        <f t="shared" si="31"/>
        <v/>
      </c>
      <c r="U227" s="5" t="str">
        <f t="shared" si="32"/>
        <v/>
      </c>
      <c r="V227" s="5" t="str">
        <f t="shared" si="33"/>
        <v/>
      </c>
      <c r="W227" s="5" t="str">
        <f t="shared" si="34"/>
        <v/>
      </c>
      <c r="X227" s="5" t="str">
        <f t="shared" si="35"/>
        <v/>
      </c>
    </row>
    <row r="228" spans="1:24">
      <c r="A228" s="91"/>
      <c r="B228" s="92"/>
      <c r="C228" s="69"/>
      <c r="D228" s="69"/>
      <c r="E228" s="69"/>
      <c r="F228" s="69"/>
      <c r="G228" s="70"/>
      <c r="H228" s="71"/>
      <c r="I228" s="66"/>
      <c r="J228" s="67"/>
      <c r="K228" s="67"/>
      <c r="L228" s="67"/>
      <c r="M228" s="67"/>
      <c r="N228" s="145" t="str">
        <f t="shared" si="27"/>
        <v/>
      </c>
      <c r="O228" s="64"/>
      <c r="P228" s="64"/>
      <c r="Q228" s="152" t="str">
        <f t="shared" si="28"/>
        <v/>
      </c>
      <c r="R228" s="65" t="str">
        <f t="shared" si="29"/>
        <v/>
      </c>
      <c r="S228" s="5" t="str">
        <f t="shared" si="30"/>
        <v/>
      </c>
      <c r="T228" s="5" t="str">
        <f t="shared" si="31"/>
        <v/>
      </c>
      <c r="U228" s="5" t="str">
        <f t="shared" si="32"/>
        <v/>
      </c>
      <c r="V228" s="5" t="str">
        <f t="shared" si="33"/>
        <v/>
      </c>
      <c r="W228" s="5" t="str">
        <f t="shared" si="34"/>
        <v/>
      </c>
      <c r="X228" s="5" t="str">
        <f t="shared" si="35"/>
        <v/>
      </c>
    </row>
    <row r="229" spans="1:24">
      <c r="A229" s="91"/>
      <c r="B229" s="92"/>
      <c r="C229" s="69"/>
      <c r="D229" s="69"/>
      <c r="E229" s="69"/>
      <c r="F229" s="69"/>
      <c r="G229" s="70"/>
      <c r="H229" s="71"/>
      <c r="I229" s="66"/>
      <c r="J229" s="67"/>
      <c r="K229" s="67"/>
      <c r="L229" s="67"/>
      <c r="M229" s="67"/>
      <c r="N229" s="145" t="str">
        <f t="shared" si="27"/>
        <v/>
      </c>
      <c r="O229" s="64"/>
      <c r="P229" s="64"/>
      <c r="Q229" s="152" t="str">
        <f t="shared" si="28"/>
        <v/>
      </c>
      <c r="R229" s="65" t="str">
        <f t="shared" si="29"/>
        <v/>
      </c>
      <c r="S229" s="5" t="str">
        <f t="shared" si="30"/>
        <v/>
      </c>
      <c r="T229" s="5" t="str">
        <f t="shared" si="31"/>
        <v/>
      </c>
      <c r="U229" s="5" t="str">
        <f t="shared" si="32"/>
        <v/>
      </c>
      <c r="V229" s="5" t="str">
        <f t="shared" si="33"/>
        <v/>
      </c>
      <c r="W229" s="5" t="str">
        <f t="shared" si="34"/>
        <v/>
      </c>
      <c r="X229" s="5" t="str">
        <f t="shared" si="35"/>
        <v/>
      </c>
    </row>
    <row r="230" spans="1:24">
      <c r="A230" s="91"/>
      <c r="B230" s="92"/>
      <c r="C230" s="69"/>
      <c r="D230" s="69"/>
      <c r="E230" s="69"/>
      <c r="F230" s="69"/>
      <c r="G230" s="70"/>
      <c r="H230" s="71"/>
      <c r="I230" s="66"/>
      <c r="J230" s="67"/>
      <c r="K230" s="67"/>
      <c r="L230" s="67"/>
      <c r="M230" s="67"/>
      <c r="N230" s="145" t="str">
        <f t="shared" si="27"/>
        <v/>
      </c>
      <c r="O230" s="64"/>
      <c r="P230" s="64"/>
      <c r="Q230" s="152" t="str">
        <f t="shared" si="28"/>
        <v/>
      </c>
      <c r="R230" s="65" t="str">
        <f t="shared" si="29"/>
        <v/>
      </c>
      <c r="S230" s="5" t="str">
        <f t="shared" si="30"/>
        <v/>
      </c>
      <c r="T230" s="5" t="str">
        <f t="shared" si="31"/>
        <v/>
      </c>
      <c r="U230" s="5" t="str">
        <f t="shared" si="32"/>
        <v/>
      </c>
      <c r="V230" s="5" t="str">
        <f t="shared" si="33"/>
        <v/>
      </c>
      <c r="W230" s="5" t="str">
        <f t="shared" si="34"/>
        <v/>
      </c>
      <c r="X230" s="5" t="str">
        <f t="shared" si="35"/>
        <v/>
      </c>
    </row>
    <row r="231" spans="1:24">
      <c r="A231" s="91"/>
      <c r="B231" s="92"/>
      <c r="C231" s="69"/>
      <c r="D231" s="69"/>
      <c r="E231" s="69"/>
      <c r="F231" s="69"/>
      <c r="G231" s="70"/>
      <c r="H231" s="71"/>
      <c r="I231" s="66"/>
      <c r="J231" s="67"/>
      <c r="K231" s="67"/>
      <c r="L231" s="67"/>
      <c r="M231" s="67"/>
      <c r="N231" s="145" t="str">
        <f t="shared" si="27"/>
        <v/>
      </c>
      <c r="O231" s="64"/>
      <c r="P231" s="64"/>
      <c r="Q231" s="152" t="str">
        <f t="shared" si="28"/>
        <v/>
      </c>
      <c r="R231" s="65" t="str">
        <f t="shared" si="29"/>
        <v/>
      </c>
      <c r="S231" s="5" t="str">
        <f t="shared" si="30"/>
        <v/>
      </c>
      <c r="T231" s="5" t="str">
        <f t="shared" si="31"/>
        <v/>
      </c>
      <c r="U231" s="5" t="str">
        <f t="shared" si="32"/>
        <v/>
      </c>
      <c r="V231" s="5" t="str">
        <f t="shared" si="33"/>
        <v/>
      </c>
      <c r="W231" s="5" t="str">
        <f t="shared" si="34"/>
        <v/>
      </c>
      <c r="X231" s="5" t="str">
        <f t="shared" si="35"/>
        <v/>
      </c>
    </row>
    <row r="232" spans="1:24">
      <c r="A232" s="91"/>
      <c r="B232" s="92"/>
      <c r="C232" s="69"/>
      <c r="D232" s="69"/>
      <c r="E232" s="69"/>
      <c r="F232" s="69"/>
      <c r="G232" s="70"/>
      <c r="H232" s="71"/>
      <c r="I232" s="66"/>
      <c r="J232" s="67"/>
      <c r="K232" s="67"/>
      <c r="L232" s="67"/>
      <c r="M232" s="67"/>
      <c r="N232" s="145" t="str">
        <f t="shared" si="27"/>
        <v/>
      </c>
      <c r="O232" s="64"/>
      <c r="P232" s="64"/>
      <c r="Q232" s="152" t="str">
        <f t="shared" si="28"/>
        <v/>
      </c>
      <c r="R232" s="65" t="str">
        <f t="shared" si="29"/>
        <v/>
      </c>
      <c r="S232" s="5" t="str">
        <f t="shared" si="30"/>
        <v/>
      </c>
      <c r="T232" s="5" t="str">
        <f t="shared" si="31"/>
        <v/>
      </c>
      <c r="U232" s="5" t="str">
        <f t="shared" si="32"/>
        <v/>
      </c>
      <c r="V232" s="5" t="str">
        <f t="shared" si="33"/>
        <v/>
      </c>
      <c r="W232" s="5" t="str">
        <f t="shared" si="34"/>
        <v/>
      </c>
      <c r="X232" s="5" t="str">
        <f t="shared" si="35"/>
        <v/>
      </c>
    </row>
    <row r="233" spans="1:24">
      <c r="A233" s="91"/>
      <c r="B233" s="92"/>
      <c r="C233" s="69"/>
      <c r="D233" s="69"/>
      <c r="E233" s="69"/>
      <c r="F233" s="69"/>
      <c r="G233" s="70"/>
      <c r="H233" s="71"/>
      <c r="I233" s="66"/>
      <c r="J233" s="67"/>
      <c r="K233" s="67"/>
      <c r="L233" s="67"/>
      <c r="M233" s="67"/>
      <c r="N233" s="145" t="str">
        <f t="shared" si="27"/>
        <v/>
      </c>
      <c r="O233" s="64"/>
      <c r="P233" s="64"/>
      <c r="Q233" s="152" t="str">
        <f t="shared" si="28"/>
        <v/>
      </c>
      <c r="R233" s="65" t="str">
        <f t="shared" si="29"/>
        <v/>
      </c>
      <c r="S233" s="5" t="str">
        <f t="shared" si="30"/>
        <v/>
      </c>
      <c r="T233" s="5" t="str">
        <f t="shared" si="31"/>
        <v/>
      </c>
      <c r="U233" s="5" t="str">
        <f t="shared" si="32"/>
        <v/>
      </c>
      <c r="V233" s="5" t="str">
        <f t="shared" si="33"/>
        <v/>
      </c>
      <c r="W233" s="5" t="str">
        <f t="shared" si="34"/>
        <v/>
      </c>
      <c r="X233" s="5" t="str">
        <f t="shared" si="35"/>
        <v/>
      </c>
    </row>
    <row r="234" spans="1:24">
      <c r="A234" s="91"/>
      <c r="B234" s="92"/>
      <c r="C234" s="69"/>
      <c r="D234" s="69"/>
      <c r="E234" s="69"/>
      <c r="F234" s="69"/>
      <c r="G234" s="70"/>
      <c r="H234" s="71"/>
      <c r="I234" s="66"/>
      <c r="J234" s="67"/>
      <c r="K234" s="67"/>
      <c r="L234" s="67"/>
      <c r="M234" s="67"/>
      <c r="N234" s="145" t="str">
        <f t="shared" si="27"/>
        <v/>
      </c>
      <c r="O234" s="64"/>
      <c r="P234" s="64"/>
      <c r="Q234" s="152" t="str">
        <f t="shared" si="28"/>
        <v/>
      </c>
      <c r="R234" s="65" t="str">
        <f t="shared" si="29"/>
        <v/>
      </c>
      <c r="S234" s="5" t="str">
        <f t="shared" si="30"/>
        <v/>
      </c>
      <c r="T234" s="5" t="str">
        <f t="shared" si="31"/>
        <v/>
      </c>
      <c r="U234" s="5" t="str">
        <f t="shared" si="32"/>
        <v/>
      </c>
      <c r="V234" s="5" t="str">
        <f t="shared" si="33"/>
        <v/>
      </c>
      <c r="W234" s="5" t="str">
        <f t="shared" si="34"/>
        <v/>
      </c>
      <c r="X234" s="5" t="str">
        <f t="shared" si="35"/>
        <v/>
      </c>
    </row>
    <row r="235" spans="1:24">
      <c r="A235" s="91"/>
      <c r="B235" s="92"/>
      <c r="C235" s="69"/>
      <c r="D235" s="69"/>
      <c r="E235" s="69"/>
      <c r="F235" s="69"/>
      <c r="G235" s="70"/>
      <c r="H235" s="71"/>
      <c r="I235" s="66"/>
      <c r="J235" s="67"/>
      <c r="K235" s="67"/>
      <c r="L235" s="67"/>
      <c r="M235" s="67"/>
      <c r="N235" s="145" t="str">
        <f t="shared" si="27"/>
        <v/>
      </c>
      <c r="O235" s="64"/>
      <c r="P235" s="64"/>
      <c r="Q235" s="152" t="str">
        <f t="shared" si="28"/>
        <v/>
      </c>
      <c r="R235" s="65" t="str">
        <f t="shared" si="29"/>
        <v/>
      </c>
      <c r="S235" s="5" t="str">
        <f t="shared" si="30"/>
        <v/>
      </c>
      <c r="T235" s="5" t="str">
        <f t="shared" si="31"/>
        <v/>
      </c>
      <c r="U235" s="5" t="str">
        <f t="shared" si="32"/>
        <v/>
      </c>
      <c r="V235" s="5" t="str">
        <f t="shared" si="33"/>
        <v/>
      </c>
      <c r="W235" s="5" t="str">
        <f t="shared" si="34"/>
        <v/>
      </c>
      <c r="X235" s="5" t="str">
        <f t="shared" si="35"/>
        <v/>
      </c>
    </row>
    <row r="236" spans="1:24">
      <c r="A236" s="91"/>
      <c r="B236" s="92"/>
      <c r="C236" s="69"/>
      <c r="D236" s="69"/>
      <c r="E236" s="69"/>
      <c r="F236" s="69"/>
      <c r="G236" s="70"/>
      <c r="H236" s="71"/>
      <c r="I236" s="66"/>
      <c r="J236" s="67"/>
      <c r="K236" s="67"/>
      <c r="L236" s="67"/>
      <c r="M236" s="67"/>
      <c r="N236" s="145" t="str">
        <f t="shared" si="27"/>
        <v/>
      </c>
      <c r="O236" s="64"/>
      <c r="P236" s="64"/>
      <c r="Q236" s="152" t="str">
        <f t="shared" si="28"/>
        <v/>
      </c>
      <c r="R236" s="65" t="str">
        <f t="shared" si="29"/>
        <v/>
      </c>
      <c r="S236" s="5" t="str">
        <f t="shared" si="30"/>
        <v/>
      </c>
      <c r="T236" s="5" t="str">
        <f t="shared" si="31"/>
        <v/>
      </c>
      <c r="U236" s="5" t="str">
        <f t="shared" si="32"/>
        <v/>
      </c>
      <c r="V236" s="5" t="str">
        <f t="shared" si="33"/>
        <v/>
      </c>
      <c r="W236" s="5" t="str">
        <f t="shared" si="34"/>
        <v/>
      </c>
      <c r="X236" s="5" t="str">
        <f t="shared" si="35"/>
        <v/>
      </c>
    </row>
    <row r="237" spans="1:24">
      <c r="A237" s="91"/>
      <c r="B237" s="92"/>
      <c r="C237" s="69"/>
      <c r="D237" s="69"/>
      <c r="E237" s="69"/>
      <c r="F237" s="69"/>
      <c r="G237" s="70"/>
      <c r="H237" s="71"/>
      <c r="I237" s="66"/>
      <c r="J237" s="67"/>
      <c r="K237" s="67"/>
      <c r="L237" s="67"/>
      <c r="M237" s="67"/>
      <c r="N237" s="145" t="str">
        <f t="shared" si="27"/>
        <v/>
      </c>
      <c r="O237" s="64"/>
      <c r="P237" s="64"/>
      <c r="Q237" s="152" t="str">
        <f t="shared" si="28"/>
        <v/>
      </c>
      <c r="R237" s="65" t="str">
        <f t="shared" si="29"/>
        <v/>
      </c>
      <c r="S237" s="5" t="str">
        <f t="shared" si="30"/>
        <v/>
      </c>
      <c r="T237" s="5" t="str">
        <f t="shared" si="31"/>
        <v/>
      </c>
      <c r="U237" s="5" t="str">
        <f t="shared" si="32"/>
        <v/>
      </c>
      <c r="V237" s="5" t="str">
        <f t="shared" si="33"/>
        <v/>
      </c>
      <c r="W237" s="5" t="str">
        <f t="shared" si="34"/>
        <v/>
      </c>
      <c r="X237" s="5" t="str">
        <f t="shared" si="35"/>
        <v/>
      </c>
    </row>
    <row r="238" spans="1:24">
      <c r="A238" s="91"/>
      <c r="B238" s="92"/>
      <c r="C238" s="69"/>
      <c r="D238" s="69"/>
      <c r="E238" s="69"/>
      <c r="F238" s="69"/>
      <c r="G238" s="70"/>
      <c r="H238" s="71"/>
      <c r="I238" s="66"/>
      <c r="J238" s="67"/>
      <c r="K238" s="67"/>
      <c r="L238" s="67"/>
      <c r="M238" s="67"/>
      <c r="N238" s="145" t="str">
        <f t="shared" si="27"/>
        <v/>
      </c>
      <c r="O238" s="64"/>
      <c r="P238" s="64"/>
      <c r="Q238" s="152" t="str">
        <f t="shared" si="28"/>
        <v/>
      </c>
      <c r="R238" s="65" t="str">
        <f t="shared" si="29"/>
        <v/>
      </c>
      <c r="S238" s="5" t="str">
        <f t="shared" si="30"/>
        <v/>
      </c>
      <c r="T238" s="5" t="str">
        <f t="shared" si="31"/>
        <v/>
      </c>
      <c r="U238" s="5" t="str">
        <f t="shared" si="32"/>
        <v/>
      </c>
      <c r="V238" s="5" t="str">
        <f t="shared" si="33"/>
        <v/>
      </c>
      <c r="W238" s="5" t="str">
        <f t="shared" si="34"/>
        <v/>
      </c>
      <c r="X238" s="5" t="str">
        <f t="shared" si="35"/>
        <v/>
      </c>
    </row>
    <row r="239" spans="1:24">
      <c r="A239" s="91"/>
      <c r="B239" s="92"/>
      <c r="C239" s="69"/>
      <c r="D239" s="69"/>
      <c r="E239" s="69"/>
      <c r="F239" s="69"/>
      <c r="G239" s="70"/>
      <c r="H239" s="71"/>
      <c r="I239" s="66"/>
      <c r="J239" s="67"/>
      <c r="K239" s="67"/>
      <c r="L239" s="67"/>
      <c r="M239" s="67"/>
      <c r="N239" s="145" t="str">
        <f t="shared" si="27"/>
        <v/>
      </c>
      <c r="O239" s="64"/>
      <c r="P239" s="64"/>
      <c r="Q239" s="152" t="str">
        <f t="shared" si="28"/>
        <v/>
      </c>
      <c r="R239" s="65" t="str">
        <f t="shared" si="29"/>
        <v/>
      </c>
      <c r="S239" s="5" t="str">
        <f t="shared" si="30"/>
        <v/>
      </c>
      <c r="T239" s="5" t="str">
        <f t="shared" si="31"/>
        <v/>
      </c>
      <c r="U239" s="5" t="str">
        <f t="shared" si="32"/>
        <v/>
      </c>
      <c r="V239" s="5" t="str">
        <f t="shared" si="33"/>
        <v/>
      </c>
      <c r="W239" s="5" t="str">
        <f t="shared" si="34"/>
        <v/>
      </c>
      <c r="X239" s="5" t="str">
        <f t="shared" si="35"/>
        <v/>
      </c>
    </row>
    <row r="240" spans="1:24">
      <c r="A240" s="91"/>
      <c r="B240" s="92"/>
      <c r="C240" s="69"/>
      <c r="D240" s="69"/>
      <c r="E240" s="69"/>
      <c r="F240" s="69"/>
      <c r="G240" s="70"/>
      <c r="H240" s="71"/>
      <c r="I240" s="66"/>
      <c r="J240" s="67"/>
      <c r="K240" s="67"/>
      <c r="L240" s="67"/>
      <c r="M240" s="67"/>
      <c r="N240" s="145" t="str">
        <f t="shared" si="27"/>
        <v/>
      </c>
      <c r="O240" s="64"/>
      <c r="P240" s="64"/>
      <c r="Q240" s="152" t="str">
        <f t="shared" si="28"/>
        <v/>
      </c>
      <c r="R240" s="65" t="str">
        <f t="shared" si="29"/>
        <v/>
      </c>
      <c r="S240" s="5" t="str">
        <f t="shared" si="30"/>
        <v/>
      </c>
      <c r="T240" s="5" t="str">
        <f t="shared" si="31"/>
        <v/>
      </c>
      <c r="U240" s="5" t="str">
        <f t="shared" si="32"/>
        <v/>
      </c>
      <c r="V240" s="5" t="str">
        <f t="shared" si="33"/>
        <v/>
      </c>
      <c r="W240" s="5" t="str">
        <f t="shared" si="34"/>
        <v/>
      </c>
      <c r="X240" s="5" t="str">
        <f t="shared" si="35"/>
        <v/>
      </c>
    </row>
    <row r="241" spans="1:24">
      <c r="A241" s="91"/>
      <c r="B241" s="92"/>
      <c r="C241" s="69"/>
      <c r="D241" s="69"/>
      <c r="E241" s="69"/>
      <c r="F241" s="69"/>
      <c r="G241" s="70"/>
      <c r="H241" s="71"/>
      <c r="I241" s="66"/>
      <c r="J241" s="67"/>
      <c r="K241" s="67"/>
      <c r="L241" s="67"/>
      <c r="M241" s="67"/>
      <c r="N241" s="145" t="str">
        <f t="shared" si="27"/>
        <v/>
      </c>
      <c r="O241" s="64"/>
      <c r="P241" s="64"/>
      <c r="Q241" s="152" t="str">
        <f t="shared" si="28"/>
        <v/>
      </c>
      <c r="R241" s="65" t="str">
        <f t="shared" si="29"/>
        <v/>
      </c>
      <c r="S241" s="5" t="str">
        <f t="shared" si="30"/>
        <v/>
      </c>
      <c r="T241" s="5" t="str">
        <f t="shared" si="31"/>
        <v/>
      </c>
      <c r="U241" s="5" t="str">
        <f t="shared" si="32"/>
        <v/>
      </c>
      <c r="V241" s="5" t="str">
        <f t="shared" si="33"/>
        <v/>
      </c>
      <c r="W241" s="5" t="str">
        <f t="shared" si="34"/>
        <v/>
      </c>
      <c r="X241" s="5" t="str">
        <f t="shared" si="35"/>
        <v/>
      </c>
    </row>
    <row r="242" spans="1:24">
      <c r="A242" s="91"/>
      <c r="B242" s="92"/>
      <c r="C242" s="69"/>
      <c r="D242" s="69"/>
      <c r="E242" s="69"/>
      <c r="F242" s="69"/>
      <c r="G242" s="70"/>
      <c r="H242" s="71"/>
      <c r="I242" s="66"/>
      <c r="J242" s="67"/>
      <c r="K242" s="67"/>
      <c r="L242" s="67"/>
      <c r="M242" s="67"/>
      <c r="N242" s="145" t="str">
        <f t="shared" si="27"/>
        <v/>
      </c>
      <c r="O242" s="64"/>
      <c r="P242" s="64"/>
      <c r="Q242" s="152" t="str">
        <f t="shared" si="28"/>
        <v/>
      </c>
      <c r="R242" s="65" t="str">
        <f t="shared" si="29"/>
        <v/>
      </c>
      <c r="S242" s="5" t="str">
        <f t="shared" si="30"/>
        <v/>
      </c>
      <c r="T242" s="5" t="str">
        <f t="shared" si="31"/>
        <v/>
      </c>
      <c r="U242" s="5" t="str">
        <f t="shared" si="32"/>
        <v/>
      </c>
      <c r="V242" s="5" t="str">
        <f t="shared" si="33"/>
        <v/>
      </c>
      <c r="W242" s="5" t="str">
        <f t="shared" si="34"/>
        <v/>
      </c>
      <c r="X242" s="5" t="str">
        <f t="shared" si="35"/>
        <v/>
      </c>
    </row>
    <row r="243" spans="1:24">
      <c r="A243" s="91"/>
      <c r="B243" s="92"/>
      <c r="C243" s="69"/>
      <c r="D243" s="69"/>
      <c r="E243" s="69"/>
      <c r="F243" s="69"/>
      <c r="G243" s="70"/>
      <c r="H243" s="71"/>
      <c r="I243" s="66"/>
      <c r="J243" s="67"/>
      <c r="K243" s="67"/>
      <c r="L243" s="67"/>
      <c r="M243" s="67"/>
      <c r="N243" s="145" t="str">
        <f t="shared" si="27"/>
        <v/>
      </c>
      <c r="O243" s="64"/>
      <c r="P243" s="64"/>
      <c r="Q243" s="152" t="str">
        <f t="shared" si="28"/>
        <v/>
      </c>
      <c r="R243" s="65" t="str">
        <f t="shared" si="29"/>
        <v/>
      </c>
      <c r="S243" s="5" t="str">
        <f t="shared" si="30"/>
        <v/>
      </c>
      <c r="T243" s="5" t="str">
        <f t="shared" si="31"/>
        <v/>
      </c>
      <c r="U243" s="5" t="str">
        <f t="shared" si="32"/>
        <v/>
      </c>
      <c r="V243" s="5" t="str">
        <f t="shared" si="33"/>
        <v/>
      </c>
      <c r="W243" s="5" t="str">
        <f t="shared" si="34"/>
        <v/>
      </c>
      <c r="X243" s="5" t="str">
        <f t="shared" si="35"/>
        <v/>
      </c>
    </row>
    <row r="244" spans="1:24">
      <c r="A244" s="91"/>
      <c r="B244" s="92"/>
      <c r="C244" s="69"/>
      <c r="D244" s="69"/>
      <c r="E244" s="69"/>
      <c r="F244" s="69"/>
      <c r="G244" s="70"/>
      <c r="H244" s="71"/>
      <c r="I244" s="66"/>
      <c r="J244" s="67"/>
      <c r="K244" s="67"/>
      <c r="L244" s="67"/>
      <c r="M244" s="67"/>
      <c r="N244" s="145" t="str">
        <f t="shared" si="27"/>
        <v/>
      </c>
      <c r="O244" s="64"/>
      <c r="P244" s="64"/>
      <c r="Q244" s="152" t="str">
        <f t="shared" si="28"/>
        <v/>
      </c>
      <c r="R244" s="65" t="str">
        <f t="shared" si="29"/>
        <v/>
      </c>
      <c r="S244" s="5" t="str">
        <f t="shared" si="30"/>
        <v/>
      </c>
      <c r="T244" s="5" t="str">
        <f t="shared" si="31"/>
        <v/>
      </c>
      <c r="U244" s="5" t="str">
        <f t="shared" si="32"/>
        <v/>
      </c>
      <c r="V244" s="5" t="str">
        <f t="shared" si="33"/>
        <v/>
      </c>
      <c r="W244" s="5" t="str">
        <f t="shared" si="34"/>
        <v/>
      </c>
      <c r="X244" s="5" t="str">
        <f t="shared" si="35"/>
        <v/>
      </c>
    </row>
    <row r="245" spans="1:24">
      <c r="A245" s="91"/>
      <c r="B245" s="92"/>
      <c r="C245" s="69"/>
      <c r="D245" s="69"/>
      <c r="E245" s="69"/>
      <c r="F245" s="69"/>
      <c r="G245" s="70"/>
      <c r="H245" s="71"/>
      <c r="I245" s="66"/>
      <c r="J245" s="67"/>
      <c r="K245" s="67"/>
      <c r="L245" s="67"/>
      <c r="M245" s="67"/>
      <c r="N245" s="145" t="str">
        <f t="shared" si="27"/>
        <v/>
      </c>
      <c r="O245" s="64"/>
      <c r="P245" s="64"/>
      <c r="Q245" s="152" t="str">
        <f t="shared" si="28"/>
        <v/>
      </c>
      <c r="R245" s="65" t="str">
        <f t="shared" si="29"/>
        <v/>
      </c>
      <c r="S245" s="5" t="str">
        <f t="shared" si="30"/>
        <v/>
      </c>
      <c r="T245" s="5" t="str">
        <f t="shared" si="31"/>
        <v/>
      </c>
      <c r="U245" s="5" t="str">
        <f t="shared" si="32"/>
        <v/>
      </c>
      <c r="V245" s="5" t="str">
        <f t="shared" si="33"/>
        <v/>
      </c>
      <c r="W245" s="5" t="str">
        <f t="shared" si="34"/>
        <v/>
      </c>
      <c r="X245" s="5" t="str">
        <f t="shared" si="35"/>
        <v/>
      </c>
    </row>
    <row r="246" spans="1:24">
      <c r="A246" s="91"/>
      <c r="B246" s="92"/>
      <c r="C246" s="69"/>
      <c r="D246" s="69"/>
      <c r="E246" s="69"/>
      <c r="F246" s="69"/>
      <c r="G246" s="70"/>
      <c r="H246" s="71"/>
      <c r="I246" s="66"/>
      <c r="J246" s="67"/>
      <c r="K246" s="67"/>
      <c r="L246" s="67"/>
      <c r="M246" s="67"/>
      <c r="N246" s="145" t="str">
        <f t="shared" si="27"/>
        <v/>
      </c>
      <c r="O246" s="64"/>
      <c r="P246" s="64"/>
      <c r="Q246" s="152" t="str">
        <f t="shared" si="28"/>
        <v/>
      </c>
      <c r="R246" s="65" t="str">
        <f t="shared" si="29"/>
        <v/>
      </c>
      <c r="S246" s="5" t="str">
        <f t="shared" si="30"/>
        <v/>
      </c>
      <c r="T246" s="5" t="str">
        <f t="shared" si="31"/>
        <v/>
      </c>
      <c r="U246" s="5" t="str">
        <f t="shared" si="32"/>
        <v/>
      </c>
      <c r="V246" s="5" t="str">
        <f t="shared" si="33"/>
        <v/>
      </c>
      <c r="W246" s="5" t="str">
        <f t="shared" si="34"/>
        <v/>
      </c>
      <c r="X246" s="5" t="str">
        <f t="shared" si="35"/>
        <v/>
      </c>
    </row>
    <row r="247" spans="1:24">
      <c r="A247" s="91"/>
      <c r="B247" s="92"/>
      <c r="C247" s="69"/>
      <c r="D247" s="69"/>
      <c r="E247" s="69"/>
      <c r="F247" s="69"/>
      <c r="G247" s="70"/>
      <c r="H247" s="71"/>
      <c r="I247" s="66"/>
      <c r="J247" s="67"/>
      <c r="K247" s="67"/>
      <c r="L247" s="67"/>
      <c r="M247" s="67"/>
      <c r="N247" s="145" t="str">
        <f t="shared" si="27"/>
        <v/>
      </c>
      <c r="O247" s="64"/>
      <c r="P247" s="64"/>
      <c r="Q247" s="152" t="str">
        <f t="shared" si="28"/>
        <v/>
      </c>
      <c r="R247" s="65" t="str">
        <f t="shared" si="29"/>
        <v/>
      </c>
      <c r="S247" s="5" t="str">
        <f t="shared" si="30"/>
        <v/>
      </c>
      <c r="T247" s="5" t="str">
        <f t="shared" si="31"/>
        <v/>
      </c>
      <c r="U247" s="5" t="str">
        <f t="shared" si="32"/>
        <v/>
      </c>
      <c r="V247" s="5" t="str">
        <f t="shared" si="33"/>
        <v/>
      </c>
      <c r="W247" s="5" t="str">
        <f t="shared" si="34"/>
        <v/>
      </c>
      <c r="X247" s="5" t="str">
        <f t="shared" si="35"/>
        <v/>
      </c>
    </row>
    <row r="248" spans="1:24">
      <c r="A248" s="91"/>
      <c r="B248" s="92"/>
      <c r="C248" s="69"/>
      <c r="D248" s="69"/>
      <c r="E248" s="69"/>
      <c r="F248" s="69"/>
      <c r="G248" s="70"/>
      <c r="H248" s="71"/>
      <c r="I248" s="66"/>
      <c r="J248" s="67"/>
      <c r="K248" s="67"/>
      <c r="L248" s="67"/>
      <c r="M248" s="67"/>
      <c r="N248" s="145" t="str">
        <f t="shared" si="27"/>
        <v/>
      </c>
      <c r="O248" s="64"/>
      <c r="P248" s="64"/>
      <c r="Q248" s="152" t="str">
        <f t="shared" si="28"/>
        <v/>
      </c>
      <c r="R248" s="65" t="str">
        <f t="shared" si="29"/>
        <v/>
      </c>
      <c r="S248" s="5" t="str">
        <f t="shared" si="30"/>
        <v/>
      </c>
      <c r="T248" s="5" t="str">
        <f t="shared" si="31"/>
        <v/>
      </c>
      <c r="U248" s="5" t="str">
        <f t="shared" si="32"/>
        <v/>
      </c>
      <c r="V248" s="5" t="str">
        <f t="shared" si="33"/>
        <v/>
      </c>
      <c r="W248" s="5" t="str">
        <f t="shared" si="34"/>
        <v/>
      </c>
      <c r="X248" s="5" t="str">
        <f t="shared" si="35"/>
        <v/>
      </c>
    </row>
    <row r="249" spans="1:24">
      <c r="A249" s="91"/>
      <c r="B249" s="92"/>
      <c r="C249" s="69"/>
      <c r="D249" s="69"/>
      <c r="E249" s="69"/>
      <c r="F249" s="69"/>
      <c r="G249" s="70"/>
      <c r="H249" s="71"/>
      <c r="I249" s="66"/>
      <c r="J249" s="67"/>
      <c r="K249" s="67"/>
      <c r="L249" s="67"/>
      <c r="M249" s="67"/>
      <c r="N249" s="145" t="str">
        <f t="shared" si="27"/>
        <v/>
      </c>
      <c r="O249" s="64"/>
      <c r="P249" s="64"/>
      <c r="Q249" s="152" t="str">
        <f t="shared" si="28"/>
        <v/>
      </c>
      <c r="R249" s="65" t="str">
        <f t="shared" si="29"/>
        <v/>
      </c>
      <c r="S249" s="5" t="str">
        <f t="shared" si="30"/>
        <v/>
      </c>
      <c r="T249" s="5" t="str">
        <f t="shared" si="31"/>
        <v/>
      </c>
      <c r="U249" s="5" t="str">
        <f t="shared" si="32"/>
        <v/>
      </c>
      <c r="V249" s="5" t="str">
        <f t="shared" si="33"/>
        <v/>
      </c>
      <c r="W249" s="5" t="str">
        <f t="shared" si="34"/>
        <v/>
      </c>
      <c r="X249" s="5" t="str">
        <f t="shared" si="35"/>
        <v/>
      </c>
    </row>
    <row r="250" spans="1:24">
      <c r="A250" s="91"/>
      <c r="B250" s="92"/>
      <c r="C250" s="69"/>
      <c r="D250" s="69"/>
      <c r="E250" s="69"/>
      <c r="F250" s="69"/>
      <c r="G250" s="70"/>
      <c r="H250" s="71"/>
      <c r="I250" s="66"/>
      <c r="J250" s="67"/>
      <c r="K250" s="67"/>
      <c r="L250" s="67"/>
      <c r="M250" s="67"/>
      <c r="N250" s="145" t="str">
        <f t="shared" si="27"/>
        <v/>
      </c>
      <c r="O250" s="64"/>
      <c r="P250" s="64"/>
      <c r="Q250" s="152" t="str">
        <f t="shared" si="28"/>
        <v/>
      </c>
      <c r="R250" s="65" t="str">
        <f t="shared" si="29"/>
        <v/>
      </c>
      <c r="S250" s="5" t="str">
        <f t="shared" si="30"/>
        <v/>
      </c>
      <c r="T250" s="5" t="str">
        <f t="shared" si="31"/>
        <v/>
      </c>
      <c r="U250" s="5" t="str">
        <f t="shared" si="32"/>
        <v/>
      </c>
      <c r="V250" s="5" t="str">
        <f t="shared" si="33"/>
        <v/>
      </c>
      <c r="W250" s="5" t="str">
        <f t="shared" si="34"/>
        <v/>
      </c>
      <c r="X250" s="5" t="str">
        <f t="shared" si="35"/>
        <v/>
      </c>
    </row>
    <row r="251" spans="1:24">
      <c r="A251" s="91"/>
      <c r="B251" s="92"/>
      <c r="C251" s="69"/>
      <c r="D251" s="69"/>
      <c r="E251" s="69"/>
      <c r="F251" s="69"/>
      <c r="G251" s="70"/>
      <c r="H251" s="71"/>
      <c r="I251" s="66"/>
      <c r="J251" s="67"/>
      <c r="K251" s="67"/>
      <c r="L251" s="67"/>
      <c r="M251" s="67"/>
      <c r="N251" s="145" t="str">
        <f t="shared" si="27"/>
        <v/>
      </c>
      <c r="O251" s="64"/>
      <c r="P251" s="64"/>
      <c r="Q251" s="152" t="str">
        <f t="shared" si="28"/>
        <v/>
      </c>
      <c r="R251" s="65" t="str">
        <f t="shared" si="29"/>
        <v/>
      </c>
      <c r="S251" s="5" t="str">
        <f t="shared" si="30"/>
        <v/>
      </c>
      <c r="T251" s="5" t="str">
        <f t="shared" si="31"/>
        <v/>
      </c>
      <c r="U251" s="5" t="str">
        <f t="shared" si="32"/>
        <v/>
      </c>
      <c r="V251" s="5" t="str">
        <f t="shared" si="33"/>
        <v/>
      </c>
      <c r="W251" s="5" t="str">
        <f t="shared" si="34"/>
        <v/>
      </c>
      <c r="X251" s="5" t="str">
        <f t="shared" si="35"/>
        <v/>
      </c>
    </row>
    <row r="252" spans="1:24">
      <c r="A252" s="91"/>
      <c r="B252" s="92"/>
      <c r="C252" s="69"/>
      <c r="D252" s="69"/>
      <c r="E252" s="69"/>
      <c r="F252" s="69"/>
      <c r="G252" s="70"/>
      <c r="H252" s="71"/>
      <c r="I252" s="66"/>
      <c r="J252" s="67"/>
      <c r="K252" s="67"/>
      <c r="L252" s="67"/>
      <c r="M252" s="67"/>
      <c r="N252" s="145" t="str">
        <f t="shared" si="27"/>
        <v/>
      </c>
      <c r="O252" s="64"/>
      <c r="P252" s="64"/>
      <c r="Q252" s="152" t="str">
        <f t="shared" si="28"/>
        <v/>
      </c>
      <c r="R252" s="65" t="str">
        <f t="shared" si="29"/>
        <v/>
      </c>
      <c r="S252" s="5" t="str">
        <f t="shared" si="30"/>
        <v/>
      </c>
      <c r="T252" s="5" t="str">
        <f t="shared" si="31"/>
        <v/>
      </c>
      <c r="U252" s="5" t="str">
        <f t="shared" si="32"/>
        <v/>
      </c>
      <c r="V252" s="5" t="str">
        <f t="shared" si="33"/>
        <v/>
      </c>
      <c r="W252" s="5" t="str">
        <f t="shared" si="34"/>
        <v/>
      </c>
      <c r="X252" s="5" t="str">
        <f t="shared" si="35"/>
        <v/>
      </c>
    </row>
    <row r="253" spans="1:24">
      <c r="A253" s="91"/>
      <c r="B253" s="92"/>
      <c r="C253" s="69"/>
      <c r="D253" s="69"/>
      <c r="E253" s="69"/>
      <c r="F253" s="69"/>
      <c r="G253" s="70"/>
      <c r="H253" s="71"/>
      <c r="I253" s="66"/>
      <c r="J253" s="67"/>
      <c r="K253" s="67"/>
      <c r="L253" s="67"/>
      <c r="M253" s="67"/>
      <c r="N253" s="145" t="str">
        <f t="shared" si="27"/>
        <v/>
      </c>
      <c r="O253" s="64"/>
      <c r="P253" s="64"/>
      <c r="Q253" s="152" t="str">
        <f t="shared" si="28"/>
        <v/>
      </c>
      <c r="R253" s="65" t="str">
        <f t="shared" si="29"/>
        <v/>
      </c>
      <c r="S253" s="5" t="str">
        <f t="shared" si="30"/>
        <v/>
      </c>
      <c r="T253" s="5" t="str">
        <f t="shared" si="31"/>
        <v/>
      </c>
      <c r="U253" s="5" t="str">
        <f t="shared" si="32"/>
        <v/>
      </c>
      <c r="V253" s="5" t="str">
        <f t="shared" si="33"/>
        <v/>
      </c>
      <c r="W253" s="5" t="str">
        <f t="shared" si="34"/>
        <v/>
      </c>
      <c r="X253" s="5" t="str">
        <f t="shared" si="35"/>
        <v/>
      </c>
    </row>
    <row r="254" spans="1:24">
      <c r="A254" s="91"/>
      <c r="B254" s="92"/>
      <c r="C254" s="69"/>
      <c r="D254" s="69"/>
      <c r="E254" s="69"/>
      <c r="F254" s="69"/>
      <c r="G254" s="70"/>
      <c r="H254" s="71"/>
      <c r="I254" s="66"/>
      <c r="J254" s="67"/>
      <c r="K254" s="67"/>
      <c r="L254" s="67"/>
      <c r="M254" s="67"/>
      <c r="N254" s="145" t="str">
        <f t="shared" si="27"/>
        <v/>
      </c>
      <c r="O254" s="64"/>
      <c r="P254" s="64"/>
      <c r="Q254" s="152" t="str">
        <f t="shared" si="28"/>
        <v/>
      </c>
      <c r="R254" s="65" t="str">
        <f t="shared" si="29"/>
        <v/>
      </c>
      <c r="S254" s="5" t="str">
        <f t="shared" si="30"/>
        <v/>
      </c>
      <c r="T254" s="5" t="str">
        <f t="shared" si="31"/>
        <v/>
      </c>
      <c r="U254" s="5" t="str">
        <f t="shared" si="32"/>
        <v/>
      </c>
      <c r="V254" s="5" t="str">
        <f t="shared" si="33"/>
        <v/>
      </c>
      <c r="W254" s="5" t="str">
        <f t="shared" si="34"/>
        <v/>
      </c>
      <c r="X254" s="5" t="str">
        <f t="shared" si="35"/>
        <v/>
      </c>
    </row>
    <row r="255" spans="1:24">
      <c r="A255" s="91"/>
      <c r="B255" s="92"/>
      <c r="C255" s="69"/>
      <c r="D255" s="69"/>
      <c r="E255" s="69"/>
      <c r="F255" s="69"/>
      <c r="G255" s="70"/>
      <c r="H255" s="71"/>
      <c r="I255" s="66"/>
      <c r="J255" s="67"/>
      <c r="K255" s="67"/>
      <c r="L255" s="67"/>
      <c r="M255" s="67"/>
      <c r="N255" s="145" t="str">
        <f t="shared" si="27"/>
        <v/>
      </c>
      <c r="O255" s="64"/>
      <c r="P255" s="64"/>
      <c r="Q255" s="152" t="str">
        <f t="shared" si="28"/>
        <v/>
      </c>
      <c r="R255" s="65" t="str">
        <f t="shared" si="29"/>
        <v/>
      </c>
      <c r="S255" s="5" t="str">
        <f t="shared" si="30"/>
        <v/>
      </c>
      <c r="T255" s="5" t="str">
        <f t="shared" si="31"/>
        <v/>
      </c>
      <c r="U255" s="5" t="str">
        <f t="shared" si="32"/>
        <v/>
      </c>
      <c r="V255" s="5" t="str">
        <f t="shared" si="33"/>
        <v/>
      </c>
      <c r="W255" s="5" t="str">
        <f t="shared" si="34"/>
        <v/>
      </c>
      <c r="X255" s="5" t="str">
        <f t="shared" si="35"/>
        <v/>
      </c>
    </row>
    <row r="256" spans="1:24">
      <c r="A256" s="91"/>
      <c r="B256" s="92"/>
      <c r="C256" s="69"/>
      <c r="D256" s="69"/>
      <c r="E256" s="69"/>
      <c r="F256" s="69"/>
      <c r="G256" s="70"/>
      <c r="H256" s="71"/>
      <c r="I256" s="66"/>
      <c r="J256" s="67"/>
      <c r="K256" s="67"/>
      <c r="L256" s="67"/>
      <c r="M256" s="67"/>
      <c r="N256" s="145" t="str">
        <f t="shared" si="27"/>
        <v/>
      </c>
      <c r="O256" s="64"/>
      <c r="P256" s="64"/>
      <c r="Q256" s="152" t="str">
        <f t="shared" si="28"/>
        <v/>
      </c>
      <c r="R256" s="65" t="str">
        <f t="shared" si="29"/>
        <v/>
      </c>
      <c r="S256" s="5" t="str">
        <f t="shared" si="30"/>
        <v/>
      </c>
      <c r="T256" s="5" t="str">
        <f t="shared" si="31"/>
        <v/>
      </c>
      <c r="U256" s="5" t="str">
        <f t="shared" si="32"/>
        <v/>
      </c>
      <c r="V256" s="5" t="str">
        <f t="shared" si="33"/>
        <v/>
      </c>
      <c r="W256" s="5" t="str">
        <f t="shared" si="34"/>
        <v/>
      </c>
      <c r="X256" s="5" t="str">
        <f t="shared" si="35"/>
        <v/>
      </c>
    </row>
    <row r="257" spans="1:24">
      <c r="A257" s="91"/>
      <c r="B257" s="92"/>
      <c r="C257" s="69"/>
      <c r="D257" s="69"/>
      <c r="E257" s="69"/>
      <c r="F257" s="69"/>
      <c r="G257" s="70"/>
      <c r="H257" s="71"/>
      <c r="I257" s="66"/>
      <c r="J257" s="67"/>
      <c r="K257" s="67"/>
      <c r="L257" s="67"/>
      <c r="M257" s="67"/>
      <c r="N257" s="145" t="str">
        <f t="shared" si="27"/>
        <v/>
      </c>
      <c r="O257" s="64"/>
      <c r="P257" s="64"/>
      <c r="Q257" s="152" t="str">
        <f t="shared" si="28"/>
        <v/>
      </c>
      <c r="R257" s="65" t="str">
        <f t="shared" si="29"/>
        <v/>
      </c>
      <c r="S257" s="5" t="str">
        <f t="shared" si="30"/>
        <v/>
      </c>
      <c r="T257" s="5" t="str">
        <f t="shared" si="31"/>
        <v/>
      </c>
      <c r="U257" s="5" t="str">
        <f t="shared" si="32"/>
        <v/>
      </c>
      <c r="V257" s="5" t="str">
        <f t="shared" si="33"/>
        <v/>
      </c>
      <c r="W257" s="5" t="str">
        <f t="shared" si="34"/>
        <v/>
      </c>
      <c r="X257" s="5" t="str">
        <f t="shared" si="35"/>
        <v/>
      </c>
    </row>
    <row r="258" spans="1:24">
      <c r="A258" s="91"/>
      <c r="B258" s="92"/>
      <c r="C258" s="69"/>
      <c r="D258" s="69"/>
      <c r="E258" s="69"/>
      <c r="F258" s="69"/>
      <c r="G258" s="70"/>
      <c r="H258" s="71"/>
      <c r="I258" s="66"/>
      <c r="J258" s="67"/>
      <c r="K258" s="67"/>
      <c r="L258" s="67"/>
      <c r="M258" s="67"/>
      <c r="N258" s="145" t="str">
        <f t="shared" si="27"/>
        <v/>
      </c>
      <c r="O258" s="64"/>
      <c r="P258" s="64"/>
      <c r="Q258" s="152" t="str">
        <f t="shared" si="28"/>
        <v/>
      </c>
      <c r="R258" s="65" t="str">
        <f t="shared" si="29"/>
        <v/>
      </c>
      <c r="S258" s="5" t="str">
        <f t="shared" si="30"/>
        <v/>
      </c>
      <c r="T258" s="5" t="str">
        <f t="shared" si="31"/>
        <v/>
      </c>
      <c r="U258" s="5" t="str">
        <f t="shared" si="32"/>
        <v/>
      </c>
      <c r="V258" s="5" t="str">
        <f t="shared" si="33"/>
        <v/>
      </c>
      <c r="W258" s="5" t="str">
        <f t="shared" si="34"/>
        <v/>
      </c>
      <c r="X258" s="5" t="str">
        <f t="shared" si="35"/>
        <v/>
      </c>
    </row>
    <row r="259" spans="1:24">
      <c r="A259" s="91"/>
      <c r="B259" s="92"/>
      <c r="C259" s="69"/>
      <c r="D259" s="69"/>
      <c r="E259" s="69"/>
      <c r="F259" s="69"/>
      <c r="G259" s="70"/>
      <c r="H259" s="71"/>
      <c r="I259" s="66"/>
      <c r="J259" s="67"/>
      <c r="K259" s="67"/>
      <c r="L259" s="67"/>
      <c r="M259" s="67"/>
      <c r="N259" s="145" t="str">
        <f t="shared" si="27"/>
        <v/>
      </c>
      <c r="O259" s="64"/>
      <c r="P259" s="64"/>
      <c r="Q259" s="152" t="str">
        <f t="shared" si="28"/>
        <v/>
      </c>
      <c r="R259" s="65" t="str">
        <f t="shared" si="29"/>
        <v/>
      </c>
      <c r="S259" s="5" t="str">
        <f t="shared" si="30"/>
        <v/>
      </c>
      <c r="T259" s="5" t="str">
        <f t="shared" si="31"/>
        <v/>
      </c>
      <c r="U259" s="5" t="str">
        <f t="shared" si="32"/>
        <v/>
      </c>
      <c r="V259" s="5" t="str">
        <f t="shared" si="33"/>
        <v/>
      </c>
      <c r="W259" s="5" t="str">
        <f t="shared" si="34"/>
        <v/>
      </c>
      <c r="X259" s="5" t="str">
        <f t="shared" si="35"/>
        <v/>
      </c>
    </row>
    <row r="260" spans="1:24">
      <c r="A260" s="91"/>
      <c r="B260" s="92"/>
      <c r="C260" s="69"/>
      <c r="D260" s="69"/>
      <c r="E260" s="69"/>
      <c r="F260" s="69"/>
      <c r="G260" s="70"/>
      <c r="H260" s="71"/>
      <c r="I260" s="66"/>
      <c r="J260" s="67"/>
      <c r="K260" s="67"/>
      <c r="L260" s="67"/>
      <c r="M260" s="67"/>
      <c r="N260" s="145" t="str">
        <f t="shared" si="27"/>
        <v/>
      </c>
      <c r="O260" s="64"/>
      <c r="P260" s="64"/>
      <c r="Q260" s="152" t="str">
        <f t="shared" si="28"/>
        <v/>
      </c>
      <c r="R260" s="65" t="str">
        <f t="shared" si="29"/>
        <v/>
      </c>
      <c r="S260" s="5" t="str">
        <f t="shared" si="30"/>
        <v/>
      </c>
      <c r="T260" s="5" t="str">
        <f t="shared" si="31"/>
        <v/>
      </c>
      <c r="U260" s="5" t="str">
        <f t="shared" si="32"/>
        <v/>
      </c>
      <c r="V260" s="5" t="str">
        <f t="shared" si="33"/>
        <v/>
      </c>
      <c r="W260" s="5" t="str">
        <f t="shared" si="34"/>
        <v/>
      </c>
      <c r="X260" s="5" t="str">
        <f t="shared" si="35"/>
        <v/>
      </c>
    </row>
    <row r="261" spans="1:24">
      <c r="A261" s="91"/>
      <c r="B261" s="92"/>
      <c r="C261" s="69"/>
      <c r="D261" s="69"/>
      <c r="E261" s="69"/>
      <c r="F261" s="69"/>
      <c r="G261" s="70"/>
      <c r="H261" s="71"/>
      <c r="I261" s="66"/>
      <c r="J261" s="67"/>
      <c r="K261" s="67"/>
      <c r="L261" s="67"/>
      <c r="M261" s="67"/>
      <c r="N261" s="145" t="str">
        <f t="shared" si="27"/>
        <v/>
      </c>
      <c r="O261" s="64"/>
      <c r="P261" s="64"/>
      <c r="Q261" s="152" t="str">
        <f t="shared" si="28"/>
        <v/>
      </c>
      <c r="R261" s="65" t="str">
        <f t="shared" si="29"/>
        <v/>
      </c>
      <c r="S261" s="5" t="str">
        <f t="shared" si="30"/>
        <v/>
      </c>
      <c r="T261" s="5" t="str">
        <f t="shared" si="31"/>
        <v/>
      </c>
      <c r="U261" s="5" t="str">
        <f t="shared" si="32"/>
        <v/>
      </c>
      <c r="V261" s="5" t="str">
        <f t="shared" si="33"/>
        <v/>
      </c>
      <c r="W261" s="5" t="str">
        <f t="shared" si="34"/>
        <v/>
      </c>
      <c r="X261" s="5" t="str">
        <f t="shared" si="35"/>
        <v/>
      </c>
    </row>
    <row r="262" spans="1:24">
      <c r="A262" s="91"/>
      <c r="B262" s="92"/>
      <c r="C262" s="69"/>
      <c r="D262" s="69"/>
      <c r="E262" s="69"/>
      <c r="F262" s="69"/>
      <c r="G262" s="70"/>
      <c r="H262" s="71"/>
      <c r="I262" s="66"/>
      <c r="J262" s="67"/>
      <c r="K262" s="67"/>
      <c r="L262" s="67"/>
      <c r="M262" s="67"/>
      <c r="N262" s="145" t="str">
        <f t="shared" si="27"/>
        <v/>
      </c>
      <c r="O262" s="64"/>
      <c r="P262" s="64"/>
      <c r="Q262" s="152" t="str">
        <f t="shared" si="28"/>
        <v/>
      </c>
      <c r="R262" s="65" t="str">
        <f t="shared" si="29"/>
        <v/>
      </c>
      <c r="S262" s="5" t="str">
        <f t="shared" si="30"/>
        <v/>
      </c>
      <c r="T262" s="5" t="str">
        <f t="shared" si="31"/>
        <v/>
      </c>
      <c r="U262" s="5" t="str">
        <f t="shared" si="32"/>
        <v/>
      </c>
      <c r="V262" s="5" t="str">
        <f t="shared" si="33"/>
        <v/>
      </c>
      <c r="W262" s="5" t="str">
        <f t="shared" si="34"/>
        <v/>
      </c>
      <c r="X262" s="5" t="str">
        <f t="shared" si="35"/>
        <v/>
      </c>
    </row>
    <row r="263" spans="1:24">
      <c r="A263" s="91"/>
      <c r="B263" s="92"/>
      <c r="C263" s="69"/>
      <c r="D263" s="69"/>
      <c r="E263" s="69"/>
      <c r="F263" s="69"/>
      <c r="G263" s="70"/>
      <c r="H263" s="71"/>
      <c r="I263" s="66"/>
      <c r="J263" s="67"/>
      <c r="K263" s="67"/>
      <c r="L263" s="67"/>
      <c r="M263" s="67"/>
      <c r="N263" s="145" t="str">
        <f t="shared" ref="N263:N326" si="36">IF($C263="","",IF($L263+$M263=0,0,$L263/($L263+$M263)))</f>
        <v/>
      </c>
      <c r="O263" s="64"/>
      <c r="P263" s="64"/>
      <c r="Q263" s="152" t="str">
        <f t="shared" ref="Q263:Q326" si="37">IF($C263="","",($O263-($P263/2)))</f>
        <v/>
      </c>
      <c r="R263" s="65" t="str">
        <f t="shared" ref="R263:R326" si="38">IF($C263="","",IF(TRIM($B263)="beginning",(((SUM($S263:$X263)-7085)/3811)*40)+360,IF(TRIM($B263)="middle",(((SUM($S263:$X263)-7085)/3811)*40)+400,IF(TRIM($B263)="end",(((SUM($S263:$X263)-7085)/3811)*40)+440,""))))</f>
        <v/>
      </c>
      <c r="S263" s="5" t="str">
        <f t="shared" ref="S263:S326" si="39">IF($C263="","",I263*32.74)</f>
        <v/>
      </c>
      <c r="T263" s="5" t="str">
        <f t="shared" ref="T263:T326" si="40">IF($C263="","",J263*10.95)</f>
        <v/>
      </c>
      <c r="U263" s="5" t="str">
        <f t="shared" ref="U263:U326" si="41">IF($C263="","",K263*21.26)</f>
        <v/>
      </c>
      <c r="V263" s="5" t="str">
        <f t="shared" ref="V263:V326" si="42">IF($C263="","",L263*35.36)</f>
        <v/>
      </c>
      <c r="W263" s="5" t="str">
        <f t="shared" ref="W263:W326" si="43">IF($C263="","",N263*0.15)</f>
        <v/>
      </c>
      <c r="X263" s="5" t="str">
        <f t="shared" ref="X263:X326" si="44">IF($C263="","",Q263*4.28)</f>
        <v/>
      </c>
    </row>
    <row r="264" spans="1:24">
      <c r="A264" s="91"/>
      <c r="B264" s="92"/>
      <c r="C264" s="69"/>
      <c r="D264" s="69"/>
      <c r="E264" s="69"/>
      <c r="F264" s="69"/>
      <c r="G264" s="70"/>
      <c r="H264" s="71"/>
      <c r="I264" s="66"/>
      <c r="J264" s="67"/>
      <c r="K264" s="67"/>
      <c r="L264" s="67"/>
      <c r="M264" s="67"/>
      <c r="N264" s="145" t="str">
        <f t="shared" si="36"/>
        <v/>
      </c>
      <c r="O264" s="64"/>
      <c r="P264" s="64"/>
      <c r="Q264" s="152" t="str">
        <f t="shared" si="37"/>
        <v/>
      </c>
      <c r="R264" s="65" t="str">
        <f t="shared" si="38"/>
        <v/>
      </c>
      <c r="S264" s="5" t="str">
        <f t="shared" si="39"/>
        <v/>
      </c>
      <c r="T264" s="5" t="str">
        <f t="shared" si="40"/>
        <v/>
      </c>
      <c r="U264" s="5" t="str">
        <f t="shared" si="41"/>
        <v/>
      </c>
      <c r="V264" s="5" t="str">
        <f t="shared" si="42"/>
        <v/>
      </c>
      <c r="W264" s="5" t="str">
        <f t="shared" si="43"/>
        <v/>
      </c>
      <c r="X264" s="5" t="str">
        <f t="shared" si="44"/>
        <v/>
      </c>
    </row>
    <row r="265" spans="1:24">
      <c r="A265" s="91"/>
      <c r="B265" s="92"/>
      <c r="C265" s="69"/>
      <c r="D265" s="69"/>
      <c r="E265" s="69"/>
      <c r="F265" s="69"/>
      <c r="G265" s="70"/>
      <c r="H265" s="71"/>
      <c r="I265" s="66"/>
      <c r="J265" s="67"/>
      <c r="K265" s="67"/>
      <c r="L265" s="67"/>
      <c r="M265" s="67"/>
      <c r="N265" s="145" t="str">
        <f t="shared" si="36"/>
        <v/>
      </c>
      <c r="O265" s="64"/>
      <c r="P265" s="64"/>
      <c r="Q265" s="152" t="str">
        <f t="shared" si="37"/>
        <v/>
      </c>
      <c r="R265" s="65" t="str">
        <f t="shared" si="38"/>
        <v/>
      </c>
      <c r="S265" s="5" t="str">
        <f t="shared" si="39"/>
        <v/>
      </c>
      <c r="T265" s="5" t="str">
        <f t="shared" si="40"/>
        <v/>
      </c>
      <c r="U265" s="5" t="str">
        <f t="shared" si="41"/>
        <v/>
      </c>
      <c r="V265" s="5" t="str">
        <f t="shared" si="42"/>
        <v/>
      </c>
      <c r="W265" s="5" t="str">
        <f t="shared" si="43"/>
        <v/>
      </c>
      <c r="X265" s="5" t="str">
        <f t="shared" si="44"/>
        <v/>
      </c>
    </row>
    <row r="266" spans="1:24">
      <c r="A266" s="91"/>
      <c r="B266" s="92"/>
      <c r="C266" s="69"/>
      <c r="D266" s="69"/>
      <c r="E266" s="69"/>
      <c r="F266" s="69"/>
      <c r="G266" s="70"/>
      <c r="H266" s="71"/>
      <c r="I266" s="66"/>
      <c r="J266" s="67"/>
      <c r="K266" s="67"/>
      <c r="L266" s="67"/>
      <c r="M266" s="67"/>
      <c r="N266" s="145" t="str">
        <f t="shared" si="36"/>
        <v/>
      </c>
      <c r="O266" s="64"/>
      <c r="P266" s="64"/>
      <c r="Q266" s="152" t="str">
        <f t="shared" si="37"/>
        <v/>
      </c>
      <c r="R266" s="65" t="str">
        <f t="shared" si="38"/>
        <v/>
      </c>
      <c r="S266" s="5" t="str">
        <f t="shared" si="39"/>
        <v/>
      </c>
      <c r="T266" s="5" t="str">
        <f t="shared" si="40"/>
        <v/>
      </c>
      <c r="U266" s="5" t="str">
        <f t="shared" si="41"/>
        <v/>
      </c>
      <c r="V266" s="5" t="str">
        <f t="shared" si="42"/>
        <v/>
      </c>
      <c r="W266" s="5" t="str">
        <f t="shared" si="43"/>
        <v/>
      </c>
      <c r="X266" s="5" t="str">
        <f t="shared" si="44"/>
        <v/>
      </c>
    </row>
    <row r="267" spans="1:24">
      <c r="A267" s="91"/>
      <c r="B267" s="92"/>
      <c r="C267" s="69"/>
      <c r="D267" s="69"/>
      <c r="E267" s="69"/>
      <c r="F267" s="69"/>
      <c r="G267" s="70"/>
      <c r="H267" s="71"/>
      <c r="I267" s="66"/>
      <c r="J267" s="67"/>
      <c r="K267" s="67"/>
      <c r="L267" s="67"/>
      <c r="M267" s="67"/>
      <c r="N267" s="145" t="str">
        <f t="shared" si="36"/>
        <v/>
      </c>
      <c r="O267" s="64"/>
      <c r="P267" s="64"/>
      <c r="Q267" s="152" t="str">
        <f t="shared" si="37"/>
        <v/>
      </c>
      <c r="R267" s="65" t="str">
        <f t="shared" si="38"/>
        <v/>
      </c>
      <c r="S267" s="5" t="str">
        <f t="shared" si="39"/>
        <v/>
      </c>
      <c r="T267" s="5" t="str">
        <f t="shared" si="40"/>
        <v/>
      </c>
      <c r="U267" s="5" t="str">
        <f t="shared" si="41"/>
        <v/>
      </c>
      <c r="V267" s="5" t="str">
        <f t="shared" si="42"/>
        <v/>
      </c>
      <c r="W267" s="5" t="str">
        <f t="shared" si="43"/>
        <v/>
      </c>
      <c r="X267" s="5" t="str">
        <f t="shared" si="44"/>
        <v/>
      </c>
    </row>
    <row r="268" spans="1:24">
      <c r="A268" s="91"/>
      <c r="B268" s="92"/>
      <c r="C268" s="69"/>
      <c r="D268" s="69"/>
      <c r="E268" s="69"/>
      <c r="F268" s="69"/>
      <c r="G268" s="70"/>
      <c r="H268" s="71"/>
      <c r="I268" s="66"/>
      <c r="J268" s="67"/>
      <c r="K268" s="67"/>
      <c r="L268" s="67"/>
      <c r="M268" s="67"/>
      <c r="N268" s="145" t="str">
        <f t="shared" si="36"/>
        <v/>
      </c>
      <c r="O268" s="64"/>
      <c r="P268" s="64"/>
      <c r="Q268" s="152" t="str">
        <f t="shared" si="37"/>
        <v/>
      </c>
      <c r="R268" s="65" t="str">
        <f t="shared" si="38"/>
        <v/>
      </c>
      <c r="S268" s="5" t="str">
        <f t="shared" si="39"/>
        <v/>
      </c>
      <c r="T268" s="5" t="str">
        <f t="shared" si="40"/>
        <v/>
      </c>
      <c r="U268" s="5" t="str">
        <f t="shared" si="41"/>
        <v/>
      </c>
      <c r="V268" s="5" t="str">
        <f t="shared" si="42"/>
        <v/>
      </c>
      <c r="W268" s="5" t="str">
        <f t="shared" si="43"/>
        <v/>
      </c>
      <c r="X268" s="5" t="str">
        <f t="shared" si="44"/>
        <v/>
      </c>
    </row>
    <row r="269" spans="1:24">
      <c r="A269" s="91"/>
      <c r="B269" s="92"/>
      <c r="C269" s="69"/>
      <c r="D269" s="69"/>
      <c r="E269" s="69"/>
      <c r="F269" s="69"/>
      <c r="G269" s="70"/>
      <c r="H269" s="71"/>
      <c r="I269" s="66"/>
      <c r="J269" s="67"/>
      <c r="K269" s="67"/>
      <c r="L269" s="67"/>
      <c r="M269" s="67"/>
      <c r="N269" s="145" t="str">
        <f t="shared" si="36"/>
        <v/>
      </c>
      <c r="O269" s="64"/>
      <c r="P269" s="64"/>
      <c r="Q269" s="152" t="str">
        <f t="shared" si="37"/>
        <v/>
      </c>
      <c r="R269" s="65" t="str">
        <f t="shared" si="38"/>
        <v/>
      </c>
      <c r="S269" s="5" t="str">
        <f t="shared" si="39"/>
        <v/>
      </c>
      <c r="T269" s="5" t="str">
        <f t="shared" si="40"/>
        <v/>
      </c>
      <c r="U269" s="5" t="str">
        <f t="shared" si="41"/>
        <v/>
      </c>
      <c r="V269" s="5" t="str">
        <f t="shared" si="42"/>
        <v/>
      </c>
      <c r="W269" s="5" t="str">
        <f t="shared" si="43"/>
        <v/>
      </c>
      <c r="X269" s="5" t="str">
        <f t="shared" si="44"/>
        <v/>
      </c>
    </row>
    <row r="270" spans="1:24">
      <c r="A270" s="91"/>
      <c r="B270" s="92"/>
      <c r="C270" s="69"/>
      <c r="D270" s="69"/>
      <c r="E270" s="69"/>
      <c r="F270" s="69"/>
      <c r="G270" s="70"/>
      <c r="H270" s="71"/>
      <c r="I270" s="66"/>
      <c r="J270" s="67"/>
      <c r="K270" s="67"/>
      <c r="L270" s="67"/>
      <c r="M270" s="67"/>
      <c r="N270" s="145" t="str">
        <f t="shared" si="36"/>
        <v/>
      </c>
      <c r="O270" s="64"/>
      <c r="P270" s="64"/>
      <c r="Q270" s="152" t="str">
        <f t="shared" si="37"/>
        <v/>
      </c>
      <c r="R270" s="65" t="str">
        <f t="shared" si="38"/>
        <v/>
      </c>
      <c r="S270" s="5" t="str">
        <f t="shared" si="39"/>
        <v/>
      </c>
      <c r="T270" s="5" t="str">
        <f t="shared" si="40"/>
        <v/>
      </c>
      <c r="U270" s="5" t="str">
        <f t="shared" si="41"/>
        <v/>
      </c>
      <c r="V270" s="5" t="str">
        <f t="shared" si="42"/>
        <v/>
      </c>
      <c r="W270" s="5" t="str">
        <f t="shared" si="43"/>
        <v/>
      </c>
      <c r="X270" s="5" t="str">
        <f t="shared" si="44"/>
        <v/>
      </c>
    </row>
    <row r="271" spans="1:24">
      <c r="A271" s="91"/>
      <c r="B271" s="92"/>
      <c r="C271" s="69"/>
      <c r="D271" s="69"/>
      <c r="E271" s="69"/>
      <c r="F271" s="69"/>
      <c r="G271" s="70"/>
      <c r="H271" s="71"/>
      <c r="I271" s="66"/>
      <c r="J271" s="67"/>
      <c r="K271" s="67"/>
      <c r="L271" s="67"/>
      <c r="M271" s="67"/>
      <c r="N271" s="145" t="str">
        <f t="shared" si="36"/>
        <v/>
      </c>
      <c r="O271" s="64"/>
      <c r="P271" s="64"/>
      <c r="Q271" s="152" t="str">
        <f t="shared" si="37"/>
        <v/>
      </c>
      <c r="R271" s="65" t="str">
        <f t="shared" si="38"/>
        <v/>
      </c>
      <c r="S271" s="5" t="str">
        <f t="shared" si="39"/>
        <v/>
      </c>
      <c r="T271" s="5" t="str">
        <f t="shared" si="40"/>
        <v/>
      </c>
      <c r="U271" s="5" t="str">
        <f t="shared" si="41"/>
        <v/>
      </c>
      <c r="V271" s="5" t="str">
        <f t="shared" si="42"/>
        <v/>
      </c>
      <c r="W271" s="5" t="str">
        <f t="shared" si="43"/>
        <v/>
      </c>
      <c r="X271" s="5" t="str">
        <f t="shared" si="44"/>
        <v/>
      </c>
    </row>
    <row r="272" spans="1:24">
      <c r="A272" s="91"/>
      <c r="B272" s="92"/>
      <c r="C272" s="69"/>
      <c r="D272" s="69"/>
      <c r="E272" s="69"/>
      <c r="F272" s="69"/>
      <c r="G272" s="70"/>
      <c r="H272" s="71"/>
      <c r="I272" s="66"/>
      <c r="J272" s="67"/>
      <c r="K272" s="67"/>
      <c r="L272" s="67"/>
      <c r="M272" s="67"/>
      <c r="N272" s="145" t="str">
        <f t="shared" si="36"/>
        <v/>
      </c>
      <c r="O272" s="64"/>
      <c r="P272" s="64"/>
      <c r="Q272" s="152" t="str">
        <f t="shared" si="37"/>
        <v/>
      </c>
      <c r="R272" s="65" t="str">
        <f t="shared" si="38"/>
        <v/>
      </c>
      <c r="S272" s="5" t="str">
        <f t="shared" si="39"/>
        <v/>
      </c>
      <c r="T272" s="5" t="str">
        <f t="shared" si="40"/>
        <v/>
      </c>
      <c r="U272" s="5" t="str">
        <f t="shared" si="41"/>
        <v/>
      </c>
      <c r="V272" s="5" t="str">
        <f t="shared" si="42"/>
        <v/>
      </c>
      <c r="W272" s="5" t="str">
        <f t="shared" si="43"/>
        <v/>
      </c>
      <c r="X272" s="5" t="str">
        <f t="shared" si="44"/>
        <v/>
      </c>
    </row>
    <row r="273" spans="1:24">
      <c r="A273" s="91"/>
      <c r="B273" s="92"/>
      <c r="C273" s="69"/>
      <c r="D273" s="69"/>
      <c r="E273" s="69"/>
      <c r="F273" s="69"/>
      <c r="G273" s="70"/>
      <c r="H273" s="71"/>
      <c r="I273" s="66"/>
      <c r="J273" s="67"/>
      <c r="K273" s="67"/>
      <c r="L273" s="67"/>
      <c r="M273" s="67"/>
      <c r="N273" s="145" t="str">
        <f t="shared" si="36"/>
        <v/>
      </c>
      <c r="O273" s="64"/>
      <c r="P273" s="64"/>
      <c r="Q273" s="152" t="str">
        <f t="shared" si="37"/>
        <v/>
      </c>
      <c r="R273" s="65" t="str">
        <f t="shared" si="38"/>
        <v/>
      </c>
      <c r="S273" s="5" t="str">
        <f t="shared" si="39"/>
        <v/>
      </c>
      <c r="T273" s="5" t="str">
        <f t="shared" si="40"/>
        <v/>
      </c>
      <c r="U273" s="5" t="str">
        <f t="shared" si="41"/>
        <v/>
      </c>
      <c r="V273" s="5" t="str">
        <f t="shared" si="42"/>
        <v/>
      </c>
      <c r="W273" s="5" t="str">
        <f t="shared" si="43"/>
        <v/>
      </c>
      <c r="X273" s="5" t="str">
        <f t="shared" si="44"/>
        <v/>
      </c>
    </row>
    <row r="274" spans="1:24">
      <c r="A274" s="91"/>
      <c r="B274" s="92"/>
      <c r="C274" s="69"/>
      <c r="D274" s="69"/>
      <c r="E274" s="69"/>
      <c r="F274" s="69"/>
      <c r="G274" s="70"/>
      <c r="H274" s="71"/>
      <c r="I274" s="66"/>
      <c r="J274" s="67"/>
      <c r="K274" s="67"/>
      <c r="L274" s="67"/>
      <c r="M274" s="67"/>
      <c r="N274" s="145" t="str">
        <f t="shared" si="36"/>
        <v/>
      </c>
      <c r="O274" s="64"/>
      <c r="P274" s="64"/>
      <c r="Q274" s="152" t="str">
        <f t="shared" si="37"/>
        <v/>
      </c>
      <c r="R274" s="65" t="str">
        <f t="shared" si="38"/>
        <v/>
      </c>
      <c r="S274" s="5" t="str">
        <f t="shared" si="39"/>
        <v/>
      </c>
      <c r="T274" s="5" t="str">
        <f t="shared" si="40"/>
        <v/>
      </c>
      <c r="U274" s="5" t="str">
        <f t="shared" si="41"/>
        <v/>
      </c>
      <c r="V274" s="5" t="str">
        <f t="shared" si="42"/>
        <v/>
      </c>
      <c r="W274" s="5" t="str">
        <f t="shared" si="43"/>
        <v/>
      </c>
      <c r="X274" s="5" t="str">
        <f t="shared" si="44"/>
        <v/>
      </c>
    </row>
    <row r="275" spans="1:24">
      <c r="A275" s="91"/>
      <c r="B275" s="92"/>
      <c r="C275" s="69"/>
      <c r="D275" s="69"/>
      <c r="E275" s="69"/>
      <c r="F275" s="69"/>
      <c r="G275" s="70"/>
      <c r="H275" s="71"/>
      <c r="I275" s="66"/>
      <c r="J275" s="67"/>
      <c r="K275" s="67"/>
      <c r="L275" s="67"/>
      <c r="M275" s="67"/>
      <c r="N275" s="145" t="str">
        <f t="shared" si="36"/>
        <v/>
      </c>
      <c r="O275" s="64"/>
      <c r="P275" s="64"/>
      <c r="Q275" s="152" t="str">
        <f t="shared" si="37"/>
        <v/>
      </c>
      <c r="R275" s="65" t="str">
        <f t="shared" si="38"/>
        <v/>
      </c>
      <c r="S275" s="5" t="str">
        <f t="shared" si="39"/>
        <v/>
      </c>
      <c r="T275" s="5" t="str">
        <f t="shared" si="40"/>
        <v/>
      </c>
      <c r="U275" s="5" t="str">
        <f t="shared" si="41"/>
        <v/>
      </c>
      <c r="V275" s="5" t="str">
        <f t="shared" si="42"/>
        <v/>
      </c>
      <c r="W275" s="5" t="str">
        <f t="shared" si="43"/>
        <v/>
      </c>
      <c r="X275" s="5" t="str">
        <f t="shared" si="44"/>
        <v/>
      </c>
    </row>
    <row r="276" spans="1:24">
      <c r="A276" s="91"/>
      <c r="B276" s="92"/>
      <c r="C276" s="69"/>
      <c r="D276" s="69"/>
      <c r="E276" s="69"/>
      <c r="F276" s="69"/>
      <c r="G276" s="70"/>
      <c r="H276" s="71"/>
      <c r="I276" s="66"/>
      <c r="J276" s="67"/>
      <c r="K276" s="67"/>
      <c r="L276" s="67"/>
      <c r="M276" s="67"/>
      <c r="N276" s="145" t="str">
        <f t="shared" si="36"/>
        <v/>
      </c>
      <c r="O276" s="64"/>
      <c r="P276" s="64"/>
      <c r="Q276" s="152" t="str">
        <f t="shared" si="37"/>
        <v/>
      </c>
      <c r="R276" s="65" t="str">
        <f t="shared" si="38"/>
        <v/>
      </c>
      <c r="S276" s="5" t="str">
        <f t="shared" si="39"/>
        <v/>
      </c>
      <c r="T276" s="5" t="str">
        <f t="shared" si="40"/>
        <v/>
      </c>
      <c r="U276" s="5" t="str">
        <f t="shared" si="41"/>
        <v/>
      </c>
      <c r="V276" s="5" t="str">
        <f t="shared" si="42"/>
        <v/>
      </c>
      <c r="W276" s="5" t="str">
        <f t="shared" si="43"/>
        <v/>
      </c>
      <c r="X276" s="5" t="str">
        <f t="shared" si="44"/>
        <v/>
      </c>
    </row>
    <row r="277" spans="1:24">
      <c r="A277" s="91"/>
      <c r="B277" s="92"/>
      <c r="C277" s="69"/>
      <c r="D277" s="69"/>
      <c r="E277" s="69"/>
      <c r="F277" s="69"/>
      <c r="G277" s="70"/>
      <c r="H277" s="71"/>
      <c r="I277" s="66"/>
      <c r="J277" s="67"/>
      <c r="K277" s="67"/>
      <c r="L277" s="67"/>
      <c r="M277" s="67"/>
      <c r="N277" s="145" t="str">
        <f t="shared" si="36"/>
        <v/>
      </c>
      <c r="O277" s="64"/>
      <c r="P277" s="64"/>
      <c r="Q277" s="152" t="str">
        <f t="shared" si="37"/>
        <v/>
      </c>
      <c r="R277" s="65" t="str">
        <f t="shared" si="38"/>
        <v/>
      </c>
      <c r="S277" s="5" t="str">
        <f t="shared" si="39"/>
        <v/>
      </c>
      <c r="T277" s="5" t="str">
        <f t="shared" si="40"/>
        <v/>
      </c>
      <c r="U277" s="5" t="str">
        <f t="shared" si="41"/>
        <v/>
      </c>
      <c r="V277" s="5" t="str">
        <f t="shared" si="42"/>
        <v/>
      </c>
      <c r="W277" s="5" t="str">
        <f t="shared" si="43"/>
        <v/>
      </c>
      <c r="X277" s="5" t="str">
        <f t="shared" si="44"/>
        <v/>
      </c>
    </row>
    <row r="278" spans="1:24">
      <c r="A278" s="91"/>
      <c r="B278" s="92"/>
      <c r="C278" s="69"/>
      <c r="D278" s="69"/>
      <c r="E278" s="69"/>
      <c r="F278" s="69"/>
      <c r="G278" s="70"/>
      <c r="H278" s="71"/>
      <c r="I278" s="66"/>
      <c r="J278" s="67"/>
      <c r="K278" s="67"/>
      <c r="L278" s="67"/>
      <c r="M278" s="67"/>
      <c r="N278" s="145" t="str">
        <f t="shared" si="36"/>
        <v/>
      </c>
      <c r="O278" s="64"/>
      <c r="P278" s="64"/>
      <c r="Q278" s="152" t="str">
        <f t="shared" si="37"/>
        <v/>
      </c>
      <c r="R278" s="65" t="str">
        <f t="shared" si="38"/>
        <v/>
      </c>
      <c r="S278" s="5" t="str">
        <f t="shared" si="39"/>
        <v/>
      </c>
      <c r="T278" s="5" t="str">
        <f t="shared" si="40"/>
        <v/>
      </c>
      <c r="U278" s="5" t="str">
        <f t="shared" si="41"/>
        <v/>
      </c>
      <c r="V278" s="5" t="str">
        <f t="shared" si="42"/>
        <v/>
      </c>
      <c r="W278" s="5" t="str">
        <f t="shared" si="43"/>
        <v/>
      </c>
      <c r="X278" s="5" t="str">
        <f t="shared" si="44"/>
        <v/>
      </c>
    </row>
    <row r="279" spans="1:24">
      <c r="A279" s="91"/>
      <c r="B279" s="92"/>
      <c r="C279" s="69"/>
      <c r="D279" s="69"/>
      <c r="E279" s="69"/>
      <c r="F279" s="69"/>
      <c r="G279" s="70"/>
      <c r="H279" s="71"/>
      <c r="I279" s="66"/>
      <c r="J279" s="67"/>
      <c r="K279" s="67"/>
      <c r="L279" s="67"/>
      <c r="M279" s="67"/>
      <c r="N279" s="145" t="str">
        <f t="shared" si="36"/>
        <v/>
      </c>
      <c r="O279" s="64"/>
      <c r="P279" s="64"/>
      <c r="Q279" s="152" t="str">
        <f t="shared" si="37"/>
        <v/>
      </c>
      <c r="R279" s="65" t="str">
        <f t="shared" si="38"/>
        <v/>
      </c>
      <c r="S279" s="5" t="str">
        <f t="shared" si="39"/>
        <v/>
      </c>
      <c r="T279" s="5" t="str">
        <f t="shared" si="40"/>
        <v/>
      </c>
      <c r="U279" s="5" t="str">
        <f t="shared" si="41"/>
        <v/>
      </c>
      <c r="V279" s="5" t="str">
        <f t="shared" si="42"/>
        <v/>
      </c>
      <c r="W279" s="5" t="str">
        <f t="shared" si="43"/>
        <v/>
      </c>
      <c r="X279" s="5" t="str">
        <f t="shared" si="44"/>
        <v/>
      </c>
    </row>
    <row r="280" spans="1:24">
      <c r="A280" s="91"/>
      <c r="B280" s="92"/>
      <c r="C280" s="69"/>
      <c r="D280" s="69"/>
      <c r="E280" s="69"/>
      <c r="F280" s="69"/>
      <c r="G280" s="70"/>
      <c r="H280" s="71"/>
      <c r="I280" s="66"/>
      <c r="J280" s="67"/>
      <c r="K280" s="67"/>
      <c r="L280" s="67"/>
      <c r="M280" s="67"/>
      <c r="N280" s="145" t="str">
        <f t="shared" si="36"/>
        <v/>
      </c>
      <c r="O280" s="64"/>
      <c r="P280" s="64"/>
      <c r="Q280" s="152" t="str">
        <f t="shared" si="37"/>
        <v/>
      </c>
      <c r="R280" s="65" t="str">
        <f t="shared" si="38"/>
        <v/>
      </c>
      <c r="S280" s="5" t="str">
        <f t="shared" si="39"/>
        <v/>
      </c>
      <c r="T280" s="5" t="str">
        <f t="shared" si="40"/>
        <v/>
      </c>
      <c r="U280" s="5" t="str">
        <f t="shared" si="41"/>
        <v/>
      </c>
      <c r="V280" s="5" t="str">
        <f t="shared" si="42"/>
        <v/>
      </c>
      <c r="W280" s="5" t="str">
        <f t="shared" si="43"/>
        <v/>
      </c>
      <c r="X280" s="5" t="str">
        <f t="shared" si="44"/>
        <v/>
      </c>
    </row>
    <row r="281" spans="1:24">
      <c r="A281" s="91"/>
      <c r="B281" s="92"/>
      <c r="C281" s="69"/>
      <c r="D281" s="69"/>
      <c r="E281" s="69"/>
      <c r="F281" s="69"/>
      <c r="G281" s="70"/>
      <c r="H281" s="71"/>
      <c r="I281" s="66"/>
      <c r="J281" s="67"/>
      <c r="K281" s="67"/>
      <c r="L281" s="67"/>
      <c r="M281" s="67"/>
      <c r="N281" s="145" t="str">
        <f t="shared" si="36"/>
        <v/>
      </c>
      <c r="O281" s="64"/>
      <c r="P281" s="64"/>
      <c r="Q281" s="152" t="str">
        <f t="shared" si="37"/>
        <v/>
      </c>
      <c r="R281" s="65" t="str">
        <f t="shared" si="38"/>
        <v/>
      </c>
      <c r="S281" s="5" t="str">
        <f t="shared" si="39"/>
        <v/>
      </c>
      <c r="T281" s="5" t="str">
        <f t="shared" si="40"/>
        <v/>
      </c>
      <c r="U281" s="5" t="str">
        <f t="shared" si="41"/>
        <v/>
      </c>
      <c r="V281" s="5" t="str">
        <f t="shared" si="42"/>
        <v/>
      </c>
      <c r="W281" s="5" t="str">
        <f t="shared" si="43"/>
        <v/>
      </c>
      <c r="X281" s="5" t="str">
        <f t="shared" si="44"/>
        <v/>
      </c>
    </row>
    <row r="282" spans="1:24">
      <c r="A282" s="91"/>
      <c r="B282" s="92"/>
      <c r="C282" s="69"/>
      <c r="D282" s="69"/>
      <c r="E282" s="69"/>
      <c r="F282" s="69"/>
      <c r="G282" s="70"/>
      <c r="H282" s="71"/>
      <c r="I282" s="66"/>
      <c r="J282" s="67"/>
      <c r="K282" s="67"/>
      <c r="L282" s="67"/>
      <c r="M282" s="67"/>
      <c r="N282" s="145" t="str">
        <f t="shared" si="36"/>
        <v/>
      </c>
      <c r="O282" s="64"/>
      <c r="P282" s="64"/>
      <c r="Q282" s="152" t="str">
        <f t="shared" si="37"/>
        <v/>
      </c>
      <c r="R282" s="65" t="str">
        <f t="shared" si="38"/>
        <v/>
      </c>
      <c r="S282" s="5" t="str">
        <f t="shared" si="39"/>
        <v/>
      </c>
      <c r="T282" s="5" t="str">
        <f t="shared" si="40"/>
        <v/>
      </c>
      <c r="U282" s="5" t="str">
        <f t="shared" si="41"/>
        <v/>
      </c>
      <c r="V282" s="5" t="str">
        <f t="shared" si="42"/>
        <v/>
      </c>
      <c r="W282" s="5" t="str">
        <f t="shared" si="43"/>
        <v/>
      </c>
      <c r="X282" s="5" t="str">
        <f t="shared" si="44"/>
        <v/>
      </c>
    </row>
    <row r="283" spans="1:24">
      <c r="A283" s="91"/>
      <c r="B283" s="92"/>
      <c r="C283" s="69"/>
      <c r="D283" s="69"/>
      <c r="E283" s="69"/>
      <c r="F283" s="69"/>
      <c r="G283" s="70"/>
      <c r="H283" s="71"/>
      <c r="I283" s="66"/>
      <c r="J283" s="67"/>
      <c r="K283" s="67"/>
      <c r="L283" s="67"/>
      <c r="M283" s="67"/>
      <c r="N283" s="145" t="str">
        <f t="shared" si="36"/>
        <v/>
      </c>
      <c r="O283" s="64"/>
      <c r="P283" s="64"/>
      <c r="Q283" s="152" t="str">
        <f t="shared" si="37"/>
        <v/>
      </c>
      <c r="R283" s="65" t="str">
        <f t="shared" si="38"/>
        <v/>
      </c>
      <c r="S283" s="5" t="str">
        <f t="shared" si="39"/>
        <v/>
      </c>
      <c r="T283" s="5" t="str">
        <f t="shared" si="40"/>
        <v/>
      </c>
      <c r="U283" s="5" t="str">
        <f t="shared" si="41"/>
        <v/>
      </c>
      <c r="V283" s="5" t="str">
        <f t="shared" si="42"/>
        <v/>
      </c>
      <c r="W283" s="5" t="str">
        <f t="shared" si="43"/>
        <v/>
      </c>
      <c r="X283" s="5" t="str">
        <f t="shared" si="44"/>
        <v/>
      </c>
    </row>
    <row r="284" spans="1:24">
      <c r="A284" s="91"/>
      <c r="B284" s="92"/>
      <c r="C284" s="69"/>
      <c r="D284" s="69"/>
      <c r="E284" s="69"/>
      <c r="F284" s="69"/>
      <c r="G284" s="70"/>
      <c r="H284" s="71"/>
      <c r="I284" s="66"/>
      <c r="J284" s="67"/>
      <c r="K284" s="67"/>
      <c r="L284" s="67"/>
      <c r="M284" s="67"/>
      <c r="N284" s="145" t="str">
        <f t="shared" si="36"/>
        <v/>
      </c>
      <c r="O284" s="64"/>
      <c r="P284" s="64"/>
      <c r="Q284" s="152" t="str">
        <f t="shared" si="37"/>
        <v/>
      </c>
      <c r="R284" s="65" t="str">
        <f t="shared" si="38"/>
        <v/>
      </c>
      <c r="S284" s="5" t="str">
        <f t="shared" si="39"/>
        <v/>
      </c>
      <c r="T284" s="5" t="str">
        <f t="shared" si="40"/>
        <v/>
      </c>
      <c r="U284" s="5" t="str">
        <f t="shared" si="41"/>
        <v/>
      </c>
      <c r="V284" s="5" t="str">
        <f t="shared" si="42"/>
        <v/>
      </c>
      <c r="W284" s="5" t="str">
        <f t="shared" si="43"/>
        <v/>
      </c>
      <c r="X284" s="5" t="str">
        <f t="shared" si="44"/>
        <v/>
      </c>
    </row>
    <row r="285" spans="1:24">
      <c r="A285" s="91"/>
      <c r="B285" s="92"/>
      <c r="C285" s="69"/>
      <c r="D285" s="69"/>
      <c r="E285" s="69"/>
      <c r="F285" s="69"/>
      <c r="G285" s="70"/>
      <c r="H285" s="71"/>
      <c r="I285" s="66"/>
      <c r="J285" s="67"/>
      <c r="K285" s="67"/>
      <c r="L285" s="67"/>
      <c r="M285" s="67"/>
      <c r="N285" s="145" t="str">
        <f t="shared" si="36"/>
        <v/>
      </c>
      <c r="O285" s="64"/>
      <c r="P285" s="64"/>
      <c r="Q285" s="152" t="str">
        <f t="shared" si="37"/>
        <v/>
      </c>
      <c r="R285" s="65" t="str">
        <f t="shared" si="38"/>
        <v/>
      </c>
      <c r="S285" s="5" t="str">
        <f t="shared" si="39"/>
        <v/>
      </c>
      <c r="T285" s="5" t="str">
        <f t="shared" si="40"/>
        <v/>
      </c>
      <c r="U285" s="5" t="str">
        <f t="shared" si="41"/>
        <v/>
      </c>
      <c r="V285" s="5" t="str">
        <f t="shared" si="42"/>
        <v/>
      </c>
      <c r="W285" s="5" t="str">
        <f t="shared" si="43"/>
        <v/>
      </c>
      <c r="X285" s="5" t="str">
        <f t="shared" si="44"/>
        <v/>
      </c>
    </row>
    <row r="286" spans="1:24">
      <c r="A286" s="91"/>
      <c r="B286" s="92"/>
      <c r="C286" s="69"/>
      <c r="D286" s="69"/>
      <c r="E286" s="69"/>
      <c r="F286" s="69"/>
      <c r="G286" s="70"/>
      <c r="H286" s="71"/>
      <c r="I286" s="66"/>
      <c r="J286" s="67"/>
      <c r="K286" s="67"/>
      <c r="L286" s="67"/>
      <c r="M286" s="67"/>
      <c r="N286" s="145" t="str">
        <f t="shared" si="36"/>
        <v/>
      </c>
      <c r="O286" s="64"/>
      <c r="P286" s="64"/>
      <c r="Q286" s="152" t="str">
        <f t="shared" si="37"/>
        <v/>
      </c>
      <c r="R286" s="65" t="str">
        <f t="shared" si="38"/>
        <v/>
      </c>
      <c r="S286" s="5" t="str">
        <f t="shared" si="39"/>
        <v/>
      </c>
      <c r="T286" s="5" t="str">
        <f t="shared" si="40"/>
        <v/>
      </c>
      <c r="U286" s="5" t="str">
        <f t="shared" si="41"/>
        <v/>
      </c>
      <c r="V286" s="5" t="str">
        <f t="shared" si="42"/>
        <v/>
      </c>
      <c r="W286" s="5" t="str">
        <f t="shared" si="43"/>
        <v/>
      </c>
      <c r="X286" s="5" t="str">
        <f t="shared" si="44"/>
        <v/>
      </c>
    </row>
    <row r="287" spans="1:24">
      <c r="A287" s="91"/>
      <c r="B287" s="92"/>
      <c r="C287" s="69"/>
      <c r="D287" s="69"/>
      <c r="E287" s="69"/>
      <c r="F287" s="69"/>
      <c r="G287" s="70"/>
      <c r="H287" s="71"/>
      <c r="I287" s="66"/>
      <c r="J287" s="67"/>
      <c r="K287" s="67"/>
      <c r="L287" s="67"/>
      <c r="M287" s="67"/>
      <c r="N287" s="145" t="str">
        <f t="shared" si="36"/>
        <v/>
      </c>
      <c r="O287" s="64"/>
      <c r="P287" s="64"/>
      <c r="Q287" s="152" t="str">
        <f t="shared" si="37"/>
        <v/>
      </c>
      <c r="R287" s="65" t="str">
        <f t="shared" si="38"/>
        <v/>
      </c>
      <c r="S287" s="5" t="str">
        <f t="shared" si="39"/>
        <v/>
      </c>
      <c r="T287" s="5" t="str">
        <f t="shared" si="40"/>
        <v/>
      </c>
      <c r="U287" s="5" t="str">
        <f t="shared" si="41"/>
        <v/>
      </c>
      <c r="V287" s="5" t="str">
        <f t="shared" si="42"/>
        <v/>
      </c>
      <c r="W287" s="5" t="str">
        <f t="shared" si="43"/>
        <v/>
      </c>
      <c r="X287" s="5" t="str">
        <f t="shared" si="44"/>
        <v/>
      </c>
    </row>
    <row r="288" spans="1:24">
      <c r="A288" s="91"/>
      <c r="B288" s="92"/>
      <c r="C288" s="69"/>
      <c r="D288" s="69"/>
      <c r="E288" s="69"/>
      <c r="F288" s="69"/>
      <c r="G288" s="70"/>
      <c r="H288" s="71"/>
      <c r="I288" s="66"/>
      <c r="J288" s="67"/>
      <c r="K288" s="67"/>
      <c r="L288" s="67"/>
      <c r="M288" s="67"/>
      <c r="N288" s="145" t="str">
        <f t="shared" si="36"/>
        <v/>
      </c>
      <c r="O288" s="64"/>
      <c r="P288" s="64"/>
      <c r="Q288" s="152" t="str">
        <f t="shared" si="37"/>
        <v/>
      </c>
      <c r="R288" s="65" t="str">
        <f t="shared" si="38"/>
        <v/>
      </c>
      <c r="S288" s="5" t="str">
        <f t="shared" si="39"/>
        <v/>
      </c>
      <c r="T288" s="5" t="str">
        <f t="shared" si="40"/>
        <v/>
      </c>
      <c r="U288" s="5" t="str">
        <f t="shared" si="41"/>
        <v/>
      </c>
      <c r="V288" s="5" t="str">
        <f t="shared" si="42"/>
        <v/>
      </c>
      <c r="W288" s="5" t="str">
        <f t="shared" si="43"/>
        <v/>
      </c>
      <c r="X288" s="5" t="str">
        <f t="shared" si="44"/>
        <v/>
      </c>
    </row>
    <row r="289" spans="1:24">
      <c r="A289" s="91"/>
      <c r="B289" s="92"/>
      <c r="C289" s="69"/>
      <c r="D289" s="69"/>
      <c r="E289" s="69"/>
      <c r="F289" s="69"/>
      <c r="G289" s="70"/>
      <c r="H289" s="71"/>
      <c r="I289" s="66"/>
      <c r="J289" s="67"/>
      <c r="K289" s="67"/>
      <c r="L289" s="67"/>
      <c r="M289" s="67"/>
      <c r="N289" s="145" t="str">
        <f t="shared" si="36"/>
        <v/>
      </c>
      <c r="O289" s="64"/>
      <c r="P289" s="64"/>
      <c r="Q289" s="152" t="str">
        <f t="shared" si="37"/>
        <v/>
      </c>
      <c r="R289" s="65" t="str">
        <f t="shared" si="38"/>
        <v/>
      </c>
      <c r="S289" s="5" t="str">
        <f t="shared" si="39"/>
        <v/>
      </c>
      <c r="T289" s="5" t="str">
        <f t="shared" si="40"/>
        <v/>
      </c>
      <c r="U289" s="5" t="str">
        <f t="shared" si="41"/>
        <v/>
      </c>
      <c r="V289" s="5" t="str">
        <f t="shared" si="42"/>
        <v/>
      </c>
      <c r="W289" s="5" t="str">
        <f t="shared" si="43"/>
        <v/>
      </c>
      <c r="X289" s="5" t="str">
        <f t="shared" si="44"/>
        <v/>
      </c>
    </row>
    <row r="290" spans="1:24">
      <c r="A290" s="91"/>
      <c r="B290" s="92"/>
      <c r="C290" s="69"/>
      <c r="D290" s="69"/>
      <c r="E290" s="69"/>
      <c r="F290" s="69"/>
      <c r="G290" s="70"/>
      <c r="H290" s="71"/>
      <c r="I290" s="66"/>
      <c r="J290" s="67"/>
      <c r="K290" s="67"/>
      <c r="L290" s="67"/>
      <c r="M290" s="67"/>
      <c r="N290" s="145" t="str">
        <f t="shared" si="36"/>
        <v/>
      </c>
      <c r="O290" s="64"/>
      <c r="P290" s="64"/>
      <c r="Q290" s="152" t="str">
        <f t="shared" si="37"/>
        <v/>
      </c>
      <c r="R290" s="65" t="str">
        <f t="shared" si="38"/>
        <v/>
      </c>
      <c r="S290" s="5" t="str">
        <f t="shared" si="39"/>
        <v/>
      </c>
      <c r="T290" s="5" t="str">
        <f t="shared" si="40"/>
        <v/>
      </c>
      <c r="U290" s="5" t="str">
        <f t="shared" si="41"/>
        <v/>
      </c>
      <c r="V290" s="5" t="str">
        <f t="shared" si="42"/>
        <v/>
      </c>
      <c r="W290" s="5" t="str">
        <f t="shared" si="43"/>
        <v/>
      </c>
      <c r="X290" s="5" t="str">
        <f t="shared" si="44"/>
        <v/>
      </c>
    </row>
    <row r="291" spans="1:24">
      <c r="A291" s="91"/>
      <c r="B291" s="92"/>
      <c r="C291" s="69"/>
      <c r="D291" s="69"/>
      <c r="E291" s="69"/>
      <c r="F291" s="69"/>
      <c r="G291" s="70"/>
      <c r="H291" s="71"/>
      <c r="I291" s="66"/>
      <c r="J291" s="67"/>
      <c r="K291" s="67"/>
      <c r="L291" s="67"/>
      <c r="M291" s="67"/>
      <c r="N291" s="145" t="str">
        <f t="shared" si="36"/>
        <v/>
      </c>
      <c r="O291" s="64"/>
      <c r="P291" s="64"/>
      <c r="Q291" s="152" t="str">
        <f t="shared" si="37"/>
        <v/>
      </c>
      <c r="R291" s="65" t="str">
        <f t="shared" si="38"/>
        <v/>
      </c>
      <c r="S291" s="5" t="str">
        <f t="shared" si="39"/>
        <v/>
      </c>
      <c r="T291" s="5" t="str">
        <f t="shared" si="40"/>
        <v/>
      </c>
      <c r="U291" s="5" t="str">
        <f t="shared" si="41"/>
        <v/>
      </c>
      <c r="V291" s="5" t="str">
        <f t="shared" si="42"/>
        <v/>
      </c>
      <c r="W291" s="5" t="str">
        <f t="shared" si="43"/>
        <v/>
      </c>
      <c r="X291" s="5" t="str">
        <f t="shared" si="44"/>
        <v/>
      </c>
    </row>
    <row r="292" spans="1:24">
      <c r="A292" s="91"/>
      <c r="B292" s="92"/>
      <c r="C292" s="69"/>
      <c r="D292" s="69"/>
      <c r="E292" s="69"/>
      <c r="F292" s="69"/>
      <c r="G292" s="70"/>
      <c r="H292" s="71"/>
      <c r="I292" s="66"/>
      <c r="J292" s="67"/>
      <c r="K292" s="67"/>
      <c r="L292" s="67"/>
      <c r="M292" s="67"/>
      <c r="N292" s="145" t="str">
        <f t="shared" si="36"/>
        <v/>
      </c>
      <c r="O292" s="64"/>
      <c r="P292" s="64"/>
      <c r="Q292" s="152" t="str">
        <f t="shared" si="37"/>
        <v/>
      </c>
      <c r="R292" s="65" t="str">
        <f t="shared" si="38"/>
        <v/>
      </c>
      <c r="S292" s="5" t="str">
        <f t="shared" si="39"/>
        <v/>
      </c>
      <c r="T292" s="5" t="str">
        <f t="shared" si="40"/>
        <v/>
      </c>
      <c r="U292" s="5" t="str">
        <f t="shared" si="41"/>
        <v/>
      </c>
      <c r="V292" s="5" t="str">
        <f t="shared" si="42"/>
        <v/>
      </c>
      <c r="W292" s="5" t="str">
        <f t="shared" si="43"/>
        <v/>
      </c>
      <c r="X292" s="5" t="str">
        <f t="shared" si="44"/>
        <v/>
      </c>
    </row>
    <row r="293" spans="1:24">
      <c r="A293" s="91"/>
      <c r="B293" s="92"/>
      <c r="C293" s="69"/>
      <c r="D293" s="69"/>
      <c r="E293" s="69"/>
      <c r="F293" s="69"/>
      <c r="G293" s="70"/>
      <c r="H293" s="71"/>
      <c r="I293" s="66"/>
      <c r="J293" s="67"/>
      <c r="K293" s="67"/>
      <c r="L293" s="67"/>
      <c r="M293" s="67"/>
      <c r="N293" s="145" t="str">
        <f t="shared" si="36"/>
        <v/>
      </c>
      <c r="O293" s="64"/>
      <c r="P293" s="64"/>
      <c r="Q293" s="152" t="str">
        <f t="shared" si="37"/>
        <v/>
      </c>
      <c r="R293" s="65" t="str">
        <f t="shared" si="38"/>
        <v/>
      </c>
      <c r="S293" s="5" t="str">
        <f t="shared" si="39"/>
        <v/>
      </c>
      <c r="T293" s="5" t="str">
        <f t="shared" si="40"/>
        <v/>
      </c>
      <c r="U293" s="5" t="str">
        <f t="shared" si="41"/>
        <v/>
      </c>
      <c r="V293" s="5" t="str">
        <f t="shared" si="42"/>
        <v/>
      </c>
      <c r="W293" s="5" t="str">
        <f t="shared" si="43"/>
        <v/>
      </c>
      <c r="X293" s="5" t="str">
        <f t="shared" si="44"/>
        <v/>
      </c>
    </row>
    <row r="294" spans="1:24">
      <c r="A294" s="91"/>
      <c r="B294" s="92"/>
      <c r="C294" s="69"/>
      <c r="D294" s="69"/>
      <c r="E294" s="69"/>
      <c r="F294" s="69"/>
      <c r="G294" s="70"/>
      <c r="H294" s="71"/>
      <c r="I294" s="66"/>
      <c r="J294" s="67"/>
      <c r="K294" s="67"/>
      <c r="L294" s="67"/>
      <c r="M294" s="67"/>
      <c r="N294" s="145" t="str">
        <f t="shared" si="36"/>
        <v/>
      </c>
      <c r="O294" s="64"/>
      <c r="P294" s="64"/>
      <c r="Q294" s="152" t="str">
        <f t="shared" si="37"/>
        <v/>
      </c>
      <c r="R294" s="65" t="str">
        <f t="shared" si="38"/>
        <v/>
      </c>
      <c r="S294" s="5" t="str">
        <f t="shared" si="39"/>
        <v/>
      </c>
      <c r="T294" s="5" t="str">
        <f t="shared" si="40"/>
        <v/>
      </c>
      <c r="U294" s="5" t="str">
        <f t="shared" si="41"/>
        <v/>
      </c>
      <c r="V294" s="5" t="str">
        <f t="shared" si="42"/>
        <v/>
      </c>
      <c r="W294" s="5" t="str">
        <f t="shared" si="43"/>
        <v/>
      </c>
      <c r="X294" s="5" t="str">
        <f t="shared" si="44"/>
        <v/>
      </c>
    </row>
    <row r="295" spans="1:24">
      <c r="A295" s="91"/>
      <c r="B295" s="92"/>
      <c r="C295" s="69"/>
      <c r="D295" s="69"/>
      <c r="E295" s="69"/>
      <c r="F295" s="69"/>
      <c r="G295" s="70"/>
      <c r="H295" s="71"/>
      <c r="I295" s="66"/>
      <c r="J295" s="67"/>
      <c r="K295" s="67"/>
      <c r="L295" s="67"/>
      <c r="M295" s="67"/>
      <c r="N295" s="145" t="str">
        <f t="shared" si="36"/>
        <v/>
      </c>
      <c r="O295" s="64"/>
      <c r="P295" s="64"/>
      <c r="Q295" s="152" t="str">
        <f t="shared" si="37"/>
        <v/>
      </c>
      <c r="R295" s="65" t="str">
        <f t="shared" si="38"/>
        <v/>
      </c>
      <c r="S295" s="5" t="str">
        <f t="shared" si="39"/>
        <v/>
      </c>
      <c r="T295" s="5" t="str">
        <f t="shared" si="40"/>
        <v/>
      </c>
      <c r="U295" s="5" t="str">
        <f t="shared" si="41"/>
        <v/>
      </c>
      <c r="V295" s="5" t="str">
        <f t="shared" si="42"/>
        <v/>
      </c>
      <c r="W295" s="5" t="str">
        <f t="shared" si="43"/>
        <v/>
      </c>
      <c r="X295" s="5" t="str">
        <f t="shared" si="44"/>
        <v/>
      </c>
    </row>
    <row r="296" spans="1:24">
      <c r="A296" s="91"/>
      <c r="B296" s="92"/>
      <c r="C296" s="69"/>
      <c r="D296" s="69"/>
      <c r="E296" s="69"/>
      <c r="F296" s="69"/>
      <c r="G296" s="70"/>
      <c r="H296" s="71"/>
      <c r="I296" s="66"/>
      <c r="J296" s="67"/>
      <c r="K296" s="67"/>
      <c r="L296" s="67"/>
      <c r="M296" s="67"/>
      <c r="N296" s="145" t="str">
        <f t="shared" si="36"/>
        <v/>
      </c>
      <c r="O296" s="64"/>
      <c r="P296" s="64"/>
      <c r="Q296" s="152" t="str">
        <f t="shared" si="37"/>
        <v/>
      </c>
      <c r="R296" s="65" t="str">
        <f t="shared" si="38"/>
        <v/>
      </c>
      <c r="S296" s="5" t="str">
        <f t="shared" si="39"/>
        <v/>
      </c>
      <c r="T296" s="5" t="str">
        <f t="shared" si="40"/>
        <v/>
      </c>
      <c r="U296" s="5" t="str">
        <f t="shared" si="41"/>
        <v/>
      </c>
      <c r="V296" s="5" t="str">
        <f t="shared" si="42"/>
        <v/>
      </c>
      <c r="W296" s="5" t="str">
        <f t="shared" si="43"/>
        <v/>
      </c>
      <c r="X296" s="5" t="str">
        <f t="shared" si="44"/>
        <v/>
      </c>
    </row>
    <row r="297" spans="1:24">
      <c r="A297" s="91"/>
      <c r="B297" s="92"/>
      <c r="C297" s="69"/>
      <c r="D297" s="69"/>
      <c r="E297" s="69"/>
      <c r="F297" s="69"/>
      <c r="G297" s="70"/>
      <c r="H297" s="71"/>
      <c r="I297" s="66"/>
      <c r="J297" s="67"/>
      <c r="K297" s="67"/>
      <c r="L297" s="67"/>
      <c r="M297" s="67"/>
      <c r="N297" s="145" t="str">
        <f t="shared" si="36"/>
        <v/>
      </c>
      <c r="O297" s="64"/>
      <c r="P297" s="64"/>
      <c r="Q297" s="152" t="str">
        <f t="shared" si="37"/>
        <v/>
      </c>
      <c r="R297" s="65" t="str">
        <f t="shared" si="38"/>
        <v/>
      </c>
      <c r="S297" s="5" t="str">
        <f t="shared" si="39"/>
        <v/>
      </c>
      <c r="T297" s="5" t="str">
        <f t="shared" si="40"/>
        <v/>
      </c>
      <c r="U297" s="5" t="str">
        <f t="shared" si="41"/>
        <v/>
      </c>
      <c r="V297" s="5" t="str">
        <f t="shared" si="42"/>
        <v/>
      </c>
      <c r="W297" s="5" t="str">
        <f t="shared" si="43"/>
        <v/>
      </c>
      <c r="X297" s="5" t="str">
        <f t="shared" si="44"/>
        <v/>
      </c>
    </row>
    <row r="298" spans="1:24">
      <c r="A298" s="91"/>
      <c r="B298" s="92"/>
      <c r="C298" s="69"/>
      <c r="D298" s="69"/>
      <c r="E298" s="69"/>
      <c r="F298" s="69"/>
      <c r="G298" s="70"/>
      <c r="H298" s="71"/>
      <c r="I298" s="66"/>
      <c r="J298" s="67"/>
      <c r="K298" s="67"/>
      <c r="L298" s="67"/>
      <c r="M298" s="67"/>
      <c r="N298" s="145" t="str">
        <f t="shared" si="36"/>
        <v/>
      </c>
      <c r="O298" s="64"/>
      <c r="P298" s="64"/>
      <c r="Q298" s="152" t="str">
        <f t="shared" si="37"/>
        <v/>
      </c>
      <c r="R298" s="65" t="str">
        <f t="shared" si="38"/>
        <v/>
      </c>
      <c r="S298" s="5" t="str">
        <f t="shared" si="39"/>
        <v/>
      </c>
      <c r="T298" s="5" t="str">
        <f t="shared" si="40"/>
        <v/>
      </c>
      <c r="U298" s="5" t="str">
        <f t="shared" si="41"/>
        <v/>
      </c>
      <c r="V298" s="5" t="str">
        <f t="shared" si="42"/>
        <v/>
      </c>
      <c r="W298" s="5" t="str">
        <f t="shared" si="43"/>
        <v/>
      </c>
      <c r="X298" s="5" t="str">
        <f t="shared" si="44"/>
        <v/>
      </c>
    </row>
    <row r="299" spans="1:24">
      <c r="A299" s="91"/>
      <c r="B299" s="92"/>
      <c r="C299" s="69"/>
      <c r="D299" s="69"/>
      <c r="E299" s="69"/>
      <c r="F299" s="69"/>
      <c r="G299" s="70"/>
      <c r="H299" s="71"/>
      <c r="I299" s="66"/>
      <c r="J299" s="67"/>
      <c r="K299" s="67"/>
      <c r="L299" s="67"/>
      <c r="M299" s="67"/>
      <c r="N299" s="145" t="str">
        <f t="shared" si="36"/>
        <v/>
      </c>
      <c r="O299" s="64"/>
      <c r="P299" s="64"/>
      <c r="Q299" s="152" t="str">
        <f t="shared" si="37"/>
        <v/>
      </c>
      <c r="R299" s="65" t="str">
        <f t="shared" si="38"/>
        <v/>
      </c>
      <c r="S299" s="5" t="str">
        <f t="shared" si="39"/>
        <v/>
      </c>
      <c r="T299" s="5" t="str">
        <f t="shared" si="40"/>
        <v/>
      </c>
      <c r="U299" s="5" t="str">
        <f t="shared" si="41"/>
        <v/>
      </c>
      <c r="V299" s="5" t="str">
        <f t="shared" si="42"/>
        <v/>
      </c>
      <c r="W299" s="5" t="str">
        <f t="shared" si="43"/>
        <v/>
      </c>
      <c r="X299" s="5" t="str">
        <f t="shared" si="44"/>
        <v/>
      </c>
    </row>
    <row r="300" spans="1:24">
      <c r="A300" s="91"/>
      <c r="B300" s="92"/>
      <c r="C300" s="69"/>
      <c r="D300" s="69"/>
      <c r="E300" s="69"/>
      <c r="F300" s="69"/>
      <c r="G300" s="70"/>
      <c r="H300" s="71"/>
      <c r="I300" s="66"/>
      <c r="J300" s="67"/>
      <c r="K300" s="67"/>
      <c r="L300" s="67"/>
      <c r="M300" s="67"/>
      <c r="N300" s="145" t="str">
        <f t="shared" si="36"/>
        <v/>
      </c>
      <c r="O300" s="64"/>
      <c r="P300" s="64"/>
      <c r="Q300" s="152" t="str">
        <f t="shared" si="37"/>
        <v/>
      </c>
      <c r="R300" s="65" t="str">
        <f t="shared" si="38"/>
        <v/>
      </c>
      <c r="S300" s="5" t="str">
        <f t="shared" si="39"/>
        <v/>
      </c>
      <c r="T300" s="5" t="str">
        <f t="shared" si="40"/>
        <v/>
      </c>
      <c r="U300" s="5" t="str">
        <f t="shared" si="41"/>
        <v/>
      </c>
      <c r="V300" s="5" t="str">
        <f t="shared" si="42"/>
        <v/>
      </c>
      <c r="W300" s="5" t="str">
        <f t="shared" si="43"/>
        <v/>
      </c>
      <c r="X300" s="5" t="str">
        <f t="shared" si="44"/>
        <v/>
      </c>
    </row>
    <row r="301" spans="1:24">
      <c r="A301" s="91"/>
      <c r="B301" s="92"/>
      <c r="C301" s="69"/>
      <c r="D301" s="69"/>
      <c r="E301" s="69"/>
      <c r="F301" s="69"/>
      <c r="G301" s="70"/>
      <c r="H301" s="71"/>
      <c r="I301" s="66"/>
      <c r="J301" s="67"/>
      <c r="K301" s="67"/>
      <c r="L301" s="67"/>
      <c r="M301" s="67"/>
      <c r="N301" s="145" t="str">
        <f t="shared" si="36"/>
        <v/>
      </c>
      <c r="O301" s="64"/>
      <c r="P301" s="64"/>
      <c r="Q301" s="152" t="str">
        <f t="shared" si="37"/>
        <v/>
      </c>
      <c r="R301" s="65" t="str">
        <f t="shared" si="38"/>
        <v/>
      </c>
      <c r="S301" s="5" t="str">
        <f t="shared" si="39"/>
        <v/>
      </c>
      <c r="T301" s="5" t="str">
        <f t="shared" si="40"/>
        <v/>
      </c>
      <c r="U301" s="5" t="str">
        <f t="shared" si="41"/>
        <v/>
      </c>
      <c r="V301" s="5" t="str">
        <f t="shared" si="42"/>
        <v/>
      </c>
      <c r="W301" s="5" t="str">
        <f t="shared" si="43"/>
        <v/>
      </c>
      <c r="X301" s="5" t="str">
        <f t="shared" si="44"/>
        <v/>
      </c>
    </row>
    <row r="302" spans="1:24">
      <c r="A302" s="91"/>
      <c r="B302" s="92"/>
      <c r="C302" s="69"/>
      <c r="D302" s="69"/>
      <c r="E302" s="69"/>
      <c r="F302" s="69"/>
      <c r="G302" s="70"/>
      <c r="H302" s="71"/>
      <c r="I302" s="66"/>
      <c r="J302" s="67"/>
      <c r="K302" s="67"/>
      <c r="L302" s="67"/>
      <c r="M302" s="67"/>
      <c r="N302" s="145" t="str">
        <f t="shared" si="36"/>
        <v/>
      </c>
      <c r="O302" s="64"/>
      <c r="P302" s="64"/>
      <c r="Q302" s="152" t="str">
        <f t="shared" si="37"/>
        <v/>
      </c>
      <c r="R302" s="65" t="str">
        <f t="shared" si="38"/>
        <v/>
      </c>
      <c r="S302" s="5" t="str">
        <f t="shared" si="39"/>
        <v/>
      </c>
      <c r="T302" s="5" t="str">
        <f t="shared" si="40"/>
        <v/>
      </c>
      <c r="U302" s="5" t="str">
        <f t="shared" si="41"/>
        <v/>
      </c>
      <c r="V302" s="5" t="str">
        <f t="shared" si="42"/>
        <v/>
      </c>
      <c r="W302" s="5" t="str">
        <f t="shared" si="43"/>
        <v/>
      </c>
      <c r="X302" s="5" t="str">
        <f t="shared" si="44"/>
        <v/>
      </c>
    </row>
    <row r="303" spans="1:24">
      <c r="A303" s="91"/>
      <c r="B303" s="92"/>
      <c r="C303" s="69"/>
      <c r="D303" s="69"/>
      <c r="E303" s="69"/>
      <c r="F303" s="69"/>
      <c r="G303" s="70"/>
      <c r="H303" s="71"/>
      <c r="I303" s="66"/>
      <c r="J303" s="67"/>
      <c r="K303" s="67"/>
      <c r="L303" s="67"/>
      <c r="M303" s="67"/>
      <c r="N303" s="145" t="str">
        <f t="shared" si="36"/>
        <v/>
      </c>
      <c r="O303" s="64"/>
      <c r="P303" s="64"/>
      <c r="Q303" s="152" t="str">
        <f t="shared" si="37"/>
        <v/>
      </c>
      <c r="R303" s="65" t="str">
        <f t="shared" si="38"/>
        <v/>
      </c>
      <c r="S303" s="5" t="str">
        <f t="shared" si="39"/>
        <v/>
      </c>
      <c r="T303" s="5" t="str">
        <f t="shared" si="40"/>
        <v/>
      </c>
      <c r="U303" s="5" t="str">
        <f t="shared" si="41"/>
        <v/>
      </c>
      <c r="V303" s="5" t="str">
        <f t="shared" si="42"/>
        <v/>
      </c>
      <c r="W303" s="5" t="str">
        <f t="shared" si="43"/>
        <v/>
      </c>
      <c r="X303" s="5" t="str">
        <f t="shared" si="44"/>
        <v/>
      </c>
    </row>
    <row r="304" spans="1:24">
      <c r="A304" s="91"/>
      <c r="B304" s="92"/>
      <c r="C304" s="69"/>
      <c r="D304" s="69"/>
      <c r="E304" s="69"/>
      <c r="F304" s="69"/>
      <c r="G304" s="70"/>
      <c r="H304" s="71"/>
      <c r="I304" s="66"/>
      <c r="J304" s="67"/>
      <c r="K304" s="67"/>
      <c r="L304" s="67"/>
      <c r="M304" s="67"/>
      <c r="N304" s="145" t="str">
        <f t="shared" si="36"/>
        <v/>
      </c>
      <c r="O304" s="64"/>
      <c r="P304" s="64"/>
      <c r="Q304" s="152" t="str">
        <f t="shared" si="37"/>
        <v/>
      </c>
      <c r="R304" s="65" t="str">
        <f t="shared" si="38"/>
        <v/>
      </c>
      <c r="S304" s="5" t="str">
        <f t="shared" si="39"/>
        <v/>
      </c>
      <c r="T304" s="5" t="str">
        <f t="shared" si="40"/>
        <v/>
      </c>
      <c r="U304" s="5" t="str">
        <f t="shared" si="41"/>
        <v/>
      </c>
      <c r="V304" s="5" t="str">
        <f t="shared" si="42"/>
        <v/>
      </c>
      <c r="W304" s="5" t="str">
        <f t="shared" si="43"/>
        <v/>
      </c>
      <c r="X304" s="5" t="str">
        <f t="shared" si="44"/>
        <v/>
      </c>
    </row>
    <row r="305" spans="1:24">
      <c r="A305" s="91"/>
      <c r="B305" s="92"/>
      <c r="C305" s="69"/>
      <c r="D305" s="69"/>
      <c r="E305" s="69"/>
      <c r="F305" s="69"/>
      <c r="G305" s="70"/>
      <c r="H305" s="71"/>
      <c r="I305" s="66"/>
      <c r="J305" s="67"/>
      <c r="K305" s="67"/>
      <c r="L305" s="67"/>
      <c r="M305" s="67"/>
      <c r="N305" s="145" t="str">
        <f t="shared" si="36"/>
        <v/>
      </c>
      <c r="O305" s="64"/>
      <c r="P305" s="64"/>
      <c r="Q305" s="152" t="str">
        <f t="shared" si="37"/>
        <v/>
      </c>
      <c r="R305" s="65" t="str">
        <f t="shared" si="38"/>
        <v/>
      </c>
      <c r="S305" s="5" t="str">
        <f t="shared" si="39"/>
        <v/>
      </c>
      <c r="T305" s="5" t="str">
        <f t="shared" si="40"/>
        <v/>
      </c>
      <c r="U305" s="5" t="str">
        <f t="shared" si="41"/>
        <v/>
      </c>
      <c r="V305" s="5" t="str">
        <f t="shared" si="42"/>
        <v/>
      </c>
      <c r="W305" s="5" t="str">
        <f t="shared" si="43"/>
        <v/>
      </c>
      <c r="X305" s="5" t="str">
        <f t="shared" si="44"/>
        <v/>
      </c>
    </row>
    <row r="306" spans="1:24">
      <c r="A306" s="91"/>
      <c r="B306" s="92"/>
      <c r="C306" s="69"/>
      <c r="D306" s="69"/>
      <c r="E306" s="69"/>
      <c r="F306" s="69"/>
      <c r="G306" s="70"/>
      <c r="H306" s="71"/>
      <c r="I306" s="66"/>
      <c r="J306" s="67"/>
      <c r="K306" s="67"/>
      <c r="L306" s="67"/>
      <c r="M306" s="67"/>
      <c r="N306" s="145" t="str">
        <f t="shared" si="36"/>
        <v/>
      </c>
      <c r="O306" s="64"/>
      <c r="P306" s="64"/>
      <c r="Q306" s="152" t="str">
        <f t="shared" si="37"/>
        <v/>
      </c>
      <c r="R306" s="65" t="str">
        <f t="shared" si="38"/>
        <v/>
      </c>
      <c r="S306" s="5" t="str">
        <f t="shared" si="39"/>
        <v/>
      </c>
      <c r="T306" s="5" t="str">
        <f t="shared" si="40"/>
        <v/>
      </c>
      <c r="U306" s="5" t="str">
        <f t="shared" si="41"/>
        <v/>
      </c>
      <c r="V306" s="5" t="str">
        <f t="shared" si="42"/>
        <v/>
      </c>
      <c r="W306" s="5" t="str">
        <f t="shared" si="43"/>
        <v/>
      </c>
      <c r="X306" s="5" t="str">
        <f t="shared" si="44"/>
        <v/>
      </c>
    </row>
    <row r="307" spans="1:24">
      <c r="A307" s="91"/>
      <c r="B307" s="92"/>
      <c r="C307" s="69"/>
      <c r="D307" s="69"/>
      <c r="E307" s="69"/>
      <c r="F307" s="69"/>
      <c r="G307" s="70"/>
      <c r="H307" s="71"/>
      <c r="I307" s="66"/>
      <c r="J307" s="67"/>
      <c r="K307" s="67"/>
      <c r="L307" s="67"/>
      <c r="M307" s="67"/>
      <c r="N307" s="145" t="str">
        <f t="shared" si="36"/>
        <v/>
      </c>
      <c r="O307" s="64"/>
      <c r="P307" s="64"/>
      <c r="Q307" s="152" t="str">
        <f t="shared" si="37"/>
        <v/>
      </c>
      <c r="R307" s="65" t="str">
        <f t="shared" si="38"/>
        <v/>
      </c>
      <c r="S307" s="5" t="str">
        <f t="shared" si="39"/>
        <v/>
      </c>
      <c r="T307" s="5" t="str">
        <f t="shared" si="40"/>
        <v/>
      </c>
      <c r="U307" s="5" t="str">
        <f t="shared" si="41"/>
        <v/>
      </c>
      <c r="V307" s="5" t="str">
        <f t="shared" si="42"/>
        <v/>
      </c>
      <c r="W307" s="5" t="str">
        <f t="shared" si="43"/>
        <v/>
      </c>
      <c r="X307" s="5" t="str">
        <f t="shared" si="44"/>
        <v/>
      </c>
    </row>
    <row r="308" spans="1:24">
      <c r="A308" s="91"/>
      <c r="B308" s="92"/>
      <c r="C308" s="69"/>
      <c r="D308" s="69"/>
      <c r="E308" s="69"/>
      <c r="F308" s="69"/>
      <c r="G308" s="70"/>
      <c r="H308" s="71"/>
      <c r="I308" s="66"/>
      <c r="J308" s="67"/>
      <c r="K308" s="67"/>
      <c r="L308" s="67"/>
      <c r="M308" s="67"/>
      <c r="N308" s="145" t="str">
        <f t="shared" si="36"/>
        <v/>
      </c>
      <c r="O308" s="64"/>
      <c r="P308" s="64"/>
      <c r="Q308" s="152" t="str">
        <f t="shared" si="37"/>
        <v/>
      </c>
      <c r="R308" s="65" t="str">
        <f t="shared" si="38"/>
        <v/>
      </c>
      <c r="S308" s="5" t="str">
        <f t="shared" si="39"/>
        <v/>
      </c>
      <c r="T308" s="5" t="str">
        <f t="shared" si="40"/>
        <v/>
      </c>
      <c r="U308" s="5" t="str">
        <f t="shared" si="41"/>
        <v/>
      </c>
      <c r="V308" s="5" t="str">
        <f t="shared" si="42"/>
        <v/>
      </c>
      <c r="W308" s="5" t="str">
        <f t="shared" si="43"/>
        <v/>
      </c>
      <c r="X308" s="5" t="str">
        <f t="shared" si="44"/>
        <v/>
      </c>
    </row>
    <row r="309" spans="1:24">
      <c r="A309" s="91"/>
      <c r="B309" s="92"/>
      <c r="C309" s="69"/>
      <c r="D309" s="69"/>
      <c r="E309" s="69"/>
      <c r="F309" s="69"/>
      <c r="G309" s="70"/>
      <c r="H309" s="71"/>
      <c r="I309" s="66"/>
      <c r="J309" s="67"/>
      <c r="K309" s="67"/>
      <c r="L309" s="67"/>
      <c r="M309" s="67"/>
      <c r="N309" s="145" t="str">
        <f t="shared" si="36"/>
        <v/>
      </c>
      <c r="O309" s="64"/>
      <c r="P309" s="64"/>
      <c r="Q309" s="152" t="str">
        <f t="shared" si="37"/>
        <v/>
      </c>
      <c r="R309" s="65" t="str">
        <f t="shared" si="38"/>
        <v/>
      </c>
      <c r="S309" s="5" t="str">
        <f t="shared" si="39"/>
        <v/>
      </c>
      <c r="T309" s="5" t="str">
        <f t="shared" si="40"/>
        <v/>
      </c>
      <c r="U309" s="5" t="str">
        <f t="shared" si="41"/>
        <v/>
      </c>
      <c r="V309" s="5" t="str">
        <f t="shared" si="42"/>
        <v/>
      </c>
      <c r="W309" s="5" t="str">
        <f t="shared" si="43"/>
        <v/>
      </c>
      <c r="X309" s="5" t="str">
        <f t="shared" si="44"/>
        <v/>
      </c>
    </row>
    <row r="310" spans="1:24">
      <c r="A310" s="91"/>
      <c r="B310" s="92"/>
      <c r="C310" s="69"/>
      <c r="D310" s="69"/>
      <c r="E310" s="69"/>
      <c r="F310" s="69"/>
      <c r="G310" s="70"/>
      <c r="H310" s="71"/>
      <c r="I310" s="66"/>
      <c r="J310" s="67"/>
      <c r="K310" s="67"/>
      <c r="L310" s="67"/>
      <c r="M310" s="67"/>
      <c r="N310" s="145" t="str">
        <f t="shared" si="36"/>
        <v/>
      </c>
      <c r="O310" s="64"/>
      <c r="P310" s="64"/>
      <c r="Q310" s="152" t="str">
        <f t="shared" si="37"/>
        <v/>
      </c>
      <c r="R310" s="65" t="str">
        <f t="shared" si="38"/>
        <v/>
      </c>
      <c r="S310" s="5" t="str">
        <f t="shared" si="39"/>
        <v/>
      </c>
      <c r="T310" s="5" t="str">
        <f t="shared" si="40"/>
        <v/>
      </c>
      <c r="U310" s="5" t="str">
        <f t="shared" si="41"/>
        <v/>
      </c>
      <c r="V310" s="5" t="str">
        <f t="shared" si="42"/>
        <v/>
      </c>
      <c r="W310" s="5" t="str">
        <f t="shared" si="43"/>
        <v/>
      </c>
      <c r="X310" s="5" t="str">
        <f t="shared" si="44"/>
        <v/>
      </c>
    </row>
    <row r="311" spans="1:24">
      <c r="A311" s="91"/>
      <c r="B311" s="92"/>
      <c r="C311" s="69"/>
      <c r="D311" s="69"/>
      <c r="E311" s="69"/>
      <c r="F311" s="69"/>
      <c r="G311" s="70"/>
      <c r="H311" s="71"/>
      <c r="I311" s="66"/>
      <c r="J311" s="67"/>
      <c r="K311" s="67"/>
      <c r="L311" s="67"/>
      <c r="M311" s="67"/>
      <c r="N311" s="145" t="str">
        <f t="shared" si="36"/>
        <v/>
      </c>
      <c r="O311" s="64"/>
      <c r="P311" s="64"/>
      <c r="Q311" s="152" t="str">
        <f t="shared" si="37"/>
        <v/>
      </c>
      <c r="R311" s="65" t="str">
        <f t="shared" si="38"/>
        <v/>
      </c>
      <c r="S311" s="5" t="str">
        <f t="shared" si="39"/>
        <v/>
      </c>
      <c r="T311" s="5" t="str">
        <f t="shared" si="40"/>
        <v/>
      </c>
      <c r="U311" s="5" t="str">
        <f t="shared" si="41"/>
        <v/>
      </c>
      <c r="V311" s="5" t="str">
        <f t="shared" si="42"/>
        <v/>
      </c>
      <c r="W311" s="5" t="str">
        <f t="shared" si="43"/>
        <v/>
      </c>
      <c r="X311" s="5" t="str">
        <f t="shared" si="44"/>
        <v/>
      </c>
    </row>
    <row r="312" spans="1:24">
      <c r="A312" s="91"/>
      <c r="B312" s="92"/>
      <c r="C312" s="69"/>
      <c r="D312" s="69"/>
      <c r="E312" s="69"/>
      <c r="F312" s="69"/>
      <c r="G312" s="70"/>
      <c r="H312" s="71"/>
      <c r="I312" s="66"/>
      <c r="J312" s="67"/>
      <c r="K312" s="67"/>
      <c r="L312" s="67"/>
      <c r="M312" s="67"/>
      <c r="N312" s="145" t="str">
        <f t="shared" si="36"/>
        <v/>
      </c>
      <c r="O312" s="64"/>
      <c r="P312" s="64"/>
      <c r="Q312" s="152" t="str">
        <f t="shared" si="37"/>
        <v/>
      </c>
      <c r="R312" s="65" t="str">
        <f t="shared" si="38"/>
        <v/>
      </c>
      <c r="S312" s="5" t="str">
        <f t="shared" si="39"/>
        <v/>
      </c>
      <c r="T312" s="5" t="str">
        <f t="shared" si="40"/>
        <v/>
      </c>
      <c r="U312" s="5" t="str">
        <f t="shared" si="41"/>
        <v/>
      </c>
      <c r="V312" s="5" t="str">
        <f t="shared" si="42"/>
        <v/>
      </c>
      <c r="W312" s="5" t="str">
        <f t="shared" si="43"/>
        <v/>
      </c>
      <c r="X312" s="5" t="str">
        <f t="shared" si="44"/>
        <v/>
      </c>
    </row>
    <row r="313" spans="1:24">
      <c r="A313" s="91"/>
      <c r="B313" s="92"/>
      <c r="C313" s="69"/>
      <c r="D313" s="69"/>
      <c r="E313" s="69"/>
      <c r="F313" s="69"/>
      <c r="G313" s="70"/>
      <c r="H313" s="71"/>
      <c r="I313" s="66"/>
      <c r="J313" s="67"/>
      <c r="K313" s="67"/>
      <c r="L313" s="67"/>
      <c r="M313" s="67"/>
      <c r="N313" s="145" t="str">
        <f t="shared" si="36"/>
        <v/>
      </c>
      <c r="O313" s="64"/>
      <c r="P313" s="64"/>
      <c r="Q313" s="152" t="str">
        <f t="shared" si="37"/>
        <v/>
      </c>
      <c r="R313" s="65" t="str">
        <f t="shared" si="38"/>
        <v/>
      </c>
      <c r="S313" s="5" t="str">
        <f t="shared" si="39"/>
        <v/>
      </c>
      <c r="T313" s="5" t="str">
        <f t="shared" si="40"/>
        <v/>
      </c>
      <c r="U313" s="5" t="str">
        <f t="shared" si="41"/>
        <v/>
      </c>
      <c r="V313" s="5" t="str">
        <f t="shared" si="42"/>
        <v/>
      </c>
      <c r="W313" s="5" t="str">
        <f t="shared" si="43"/>
        <v/>
      </c>
      <c r="X313" s="5" t="str">
        <f t="shared" si="44"/>
        <v/>
      </c>
    </row>
    <row r="314" spans="1:24">
      <c r="A314" s="91"/>
      <c r="B314" s="92"/>
      <c r="C314" s="69"/>
      <c r="D314" s="69"/>
      <c r="E314" s="69"/>
      <c r="F314" s="69"/>
      <c r="G314" s="70"/>
      <c r="H314" s="71"/>
      <c r="I314" s="66"/>
      <c r="J314" s="67"/>
      <c r="K314" s="67"/>
      <c r="L314" s="67"/>
      <c r="M314" s="67"/>
      <c r="N314" s="145" t="str">
        <f t="shared" si="36"/>
        <v/>
      </c>
      <c r="O314" s="64"/>
      <c r="P314" s="64"/>
      <c r="Q314" s="152" t="str">
        <f t="shared" si="37"/>
        <v/>
      </c>
      <c r="R314" s="65" t="str">
        <f t="shared" si="38"/>
        <v/>
      </c>
      <c r="S314" s="5" t="str">
        <f t="shared" si="39"/>
        <v/>
      </c>
      <c r="T314" s="5" t="str">
        <f t="shared" si="40"/>
        <v/>
      </c>
      <c r="U314" s="5" t="str">
        <f t="shared" si="41"/>
        <v/>
      </c>
      <c r="V314" s="5" t="str">
        <f t="shared" si="42"/>
        <v/>
      </c>
      <c r="W314" s="5" t="str">
        <f t="shared" si="43"/>
        <v/>
      </c>
      <c r="X314" s="5" t="str">
        <f t="shared" si="44"/>
        <v/>
      </c>
    </row>
    <row r="315" spans="1:24">
      <c r="A315" s="91"/>
      <c r="B315" s="92"/>
      <c r="C315" s="69"/>
      <c r="D315" s="69"/>
      <c r="E315" s="69"/>
      <c r="F315" s="69"/>
      <c r="G315" s="70"/>
      <c r="H315" s="71"/>
      <c r="I315" s="66"/>
      <c r="J315" s="67"/>
      <c r="K315" s="67"/>
      <c r="L315" s="67"/>
      <c r="M315" s="67"/>
      <c r="N315" s="145" t="str">
        <f t="shared" si="36"/>
        <v/>
      </c>
      <c r="O315" s="64"/>
      <c r="P315" s="64"/>
      <c r="Q315" s="152" t="str">
        <f t="shared" si="37"/>
        <v/>
      </c>
      <c r="R315" s="65" t="str">
        <f t="shared" si="38"/>
        <v/>
      </c>
      <c r="S315" s="5" t="str">
        <f t="shared" si="39"/>
        <v/>
      </c>
      <c r="T315" s="5" t="str">
        <f t="shared" si="40"/>
        <v/>
      </c>
      <c r="U315" s="5" t="str">
        <f t="shared" si="41"/>
        <v/>
      </c>
      <c r="V315" s="5" t="str">
        <f t="shared" si="42"/>
        <v/>
      </c>
      <c r="W315" s="5" t="str">
        <f t="shared" si="43"/>
        <v/>
      </c>
      <c r="X315" s="5" t="str">
        <f t="shared" si="44"/>
        <v/>
      </c>
    </row>
    <row r="316" spans="1:24">
      <c r="A316" s="91"/>
      <c r="B316" s="92"/>
      <c r="C316" s="69"/>
      <c r="D316" s="69"/>
      <c r="E316" s="69"/>
      <c r="F316" s="69"/>
      <c r="G316" s="70"/>
      <c r="H316" s="71"/>
      <c r="I316" s="66"/>
      <c r="J316" s="67"/>
      <c r="K316" s="67"/>
      <c r="L316" s="67"/>
      <c r="M316" s="67"/>
      <c r="N316" s="145" t="str">
        <f t="shared" si="36"/>
        <v/>
      </c>
      <c r="O316" s="64"/>
      <c r="P316" s="64"/>
      <c r="Q316" s="152" t="str">
        <f t="shared" si="37"/>
        <v/>
      </c>
      <c r="R316" s="65" t="str">
        <f t="shared" si="38"/>
        <v/>
      </c>
      <c r="S316" s="5" t="str">
        <f t="shared" si="39"/>
        <v/>
      </c>
      <c r="T316" s="5" t="str">
        <f t="shared" si="40"/>
        <v/>
      </c>
      <c r="U316" s="5" t="str">
        <f t="shared" si="41"/>
        <v/>
      </c>
      <c r="V316" s="5" t="str">
        <f t="shared" si="42"/>
        <v/>
      </c>
      <c r="W316" s="5" t="str">
        <f t="shared" si="43"/>
        <v/>
      </c>
      <c r="X316" s="5" t="str">
        <f t="shared" si="44"/>
        <v/>
      </c>
    </row>
    <row r="317" spans="1:24">
      <c r="A317" s="91"/>
      <c r="B317" s="92"/>
      <c r="C317" s="69"/>
      <c r="D317" s="69"/>
      <c r="E317" s="69"/>
      <c r="F317" s="69"/>
      <c r="G317" s="70"/>
      <c r="H317" s="71"/>
      <c r="I317" s="66"/>
      <c r="J317" s="67"/>
      <c r="K317" s="67"/>
      <c r="L317" s="67"/>
      <c r="M317" s="67"/>
      <c r="N317" s="145" t="str">
        <f t="shared" si="36"/>
        <v/>
      </c>
      <c r="O317" s="64"/>
      <c r="P317" s="64"/>
      <c r="Q317" s="152" t="str">
        <f t="shared" si="37"/>
        <v/>
      </c>
      <c r="R317" s="65" t="str">
        <f t="shared" si="38"/>
        <v/>
      </c>
      <c r="S317" s="5" t="str">
        <f t="shared" si="39"/>
        <v/>
      </c>
      <c r="T317" s="5" t="str">
        <f t="shared" si="40"/>
        <v/>
      </c>
      <c r="U317" s="5" t="str">
        <f t="shared" si="41"/>
        <v/>
      </c>
      <c r="V317" s="5" t="str">
        <f t="shared" si="42"/>
        <v/>
      </c>
      <c r="W317" s="5" t="str">
        <f t="shared" si="43"/>
        <v/>
      </c>
      <c r="X317" s="5" t="str">
        <f t="shared" si="44"/>
        <v/>
      </c>
    </row>
    <row r="318" spans="1:24">
      <c r="A318" s="91"/>
      <c r="B318" s="92"/>
      <c r="C318" s="69"/>
      <c r="D318" s="69"/>
      <c r="E318" s="69"/>
      <c r="F318" s="69"/>
      <c r="G318" s="70"/>
      <c r="H318" s="71"/>
      <c r="I318" s="66"/>
      <c r="J318" s="67"/>
      <c r="K318" s="67"/>
      <c r="L318" s="67"/>
      <c r="M318" s="67"/>
      <c r="N318" s="145" t="str">
        <f t="shared" si="36"/>
        <v/>
      </c>
      <c r="O318" s="64"/>
      <c r="P318" s="64"/>
      <c r="Q318" s="152" t="str">
        <f t="shared" si="37"/>
        <v/>
      </c>
      <c r="R318" s="65" t="str">
        <f t="shared" si="38"/>
        <v/>
      </c>
      <c r="S318" s="5" t="str">
        <f t="shared" si="39"/>
        <v/>
      </c>
      <c r="T318" s="5" t="str">
        <f t="shared" si="40"/>
        <v/>
      </c>
      <c r="U318" s="5" t="str">
        <f t="shared" si="41"/>
        <v/>
      </c>
      <c r="V318" s="5" t="str">
        <f t="shared" si="42"/>
        <v/>
      </c>
      <c r="W318" s="5" t="str">
        <f t="shared" si="43"/>
        <v/>
      </c>
      <c r="X318" s="5" t="str">
        <f t="shared" si="44"/>
        <v/>
      </c>
    </row>
    <row r="319" spans="1:24">
      <c r="A319" s="91"/>
      <c r="B319" s="92"/>
      <c r="C319" s="69"/>
      <c r="D319" s="69"/>
      <c r="E319" s="69"/>
      <c r="F319" s="69"/>
      <c r="G319" s="70"/>
      <c r="H319" s="71"/>
      <c r="I319" s="66"/>
      <c r="J319" s="67"/>
      <c r="K319" s="67"/>
      <c r="L319" s="67"/>
      <c r="M319" s="67"/>
      <c r="N319" s="145" t="str">
        <f t="shared" si="36"/>
        <v/>
      </c>
      <c r="O319" s="64"/>
      <c r="P319" s="64"/>
      <c r="Q319" s="152" t="str">
        <f t="shared" si="37"/>
        <v/>
      </c>
      <c r="R319" s="65" t="str">
        <f t="shared" si="38"/>
        <v/>
      </c>
      <c r="S319" s="5" t="str">
        <f t="shared" si="39"/>
        <v/>
      </c>
      <c r="T319" s="5" t="str">
        <f t="shared" si="40"/>
        <v/>
      </c>
      <c r="U319" s="5" t="str">
        <f t="shared" si="41"/>
        <v/>
      </c>
      <c r="V319" s="5" t="str">
        <f t="shared" si="42"/>
        <v/>
      </c>
      <c r="W319" s="5" t="str">
        <f t="shared" si="43"/>
        <v/>
      </c>
      <c r="X319" s="5" t="str">
        <f t="shared" si="44"/>
        <v/>
      </c>
    </row>
    <row r="320" spans="1:24">
      <c r="A320" s="91"/>
      <c r="B320" s="92"/>
      <c r="C320" s="69"/>
      <c r="D320" s="69"/>
      <c r="E320" s="69"/>
      <c r="F320" s="69"/>
      <c r="G320" s="70"/>
      <c r="H320" s="71"/>
      <c r="I320" s="66"/>
      <c r="J320" s="67"/>
      <c r="K320" s="67"/>
      <c r="L320" s="67"/>
      <c r="M320" s="67"/>
      <c r="N320" s="145" t="str">
        <f t="shared" si="36"/>
        <v/>
      </c>
      <c r="O320" s="64"/>
      <c r="P320" s="64"/>
      <c r="Q320" s="152" t="str">
        <f t="shared" si="37"/>
        <v/>
      </c>
      <c r="R320" s="65" t="str">
        <f t="shared" si="38"/>
        <v/>
      </c>
      <c r="S320" s="5" t="str">
        <f t="shared" si="39"/>
        <v/>
      </c>
      <c r="T320" s="5" t="str">
        <f t="shared" si="40"/>
        <v/>
      </c>
      <c r="U320" s="5" t="str">
        <f t="shared" si="41"/>
        <v/>
      </c>
      <c r="V320" s="5" t="str">
        <f t="shared" si="42"/>
        <v/>
      </c>
      <c r="W320" s="5" t="str">
        <f t="shared" si="43"/>
        <v/>
      </c>
      <c r="X320" s="5" t="str">
        <f t="shared" si="44"/>
        <v/>
      </c>
    </row>
    <row r="321" spans="1:24">
      <c r="A321" s="91"/>
      <c r="B321" s="92"/>
      <c r="C321" s="69"/>
      <c r="D321" s="69"/>
      <c r="E321" s="69"/>
      <c r="F321" s="69"/>
      <c r="G321" s="70"/>
      <c r="H321" s="71"/>
      <c r="I321" s="66"/>
      <c r="J321" s="67"/>
      <c r="K321" s="67"/>
      <c r="L321" s="67"/>
      <c r="M321" s="67"/>
      <c r="N321" s="145" t="str">
        <f t="shared" si="36"/>
        <v/>
      </c>
      <c r="O321" s="64"/>
      <c r="P321" s="64"/>
      <c r="Q321" s="152" t="str">
        <f t="shared" si="37"/>
        <v/>
      </c>
      <c r="R321" s="65" t="str">
        <f t="shared" si="38"/>
        <v/>
      </c>
      <c r="S321" s="5" t="str">
        <f t="shared" si="39"/>
        <v/>
      </c>
      <c r="T321" s="5" t="str">
        <f t="shared" si="40"/>
        <v/>
      </c>
      <c r="U321" s="5" t="str">
        <f t="shared" si="41"/>
        <v/>
      </c>
      <c r="V321" s="5" t="str">
        <f t="shared" si="42"/>
        <v/>
      </c>
      <c r="W321" s="5" t="str">
        <f t="shared" si="43"/>
        <v/>
      </c>
      <c r="X321" s="5" t="str">
        <f t="shared" si="44"/>
        <v/>
      </c>
    </row>
    <row r="322" spans="1:24">
      <c r="A322" s="91"/>
      <c r="B322" s="92"/>
      <c r="C322" s="69"/>
      <c r="D322" s="69"/>
      <c r="E322" s="69"/>
      <c r="F322" s="69"/>
      <c r="G322" s="70"/>
      <c r="H322" s="71"/>
      <c r="I322" s="66"/>
      <c r="J322" s="67"/>
      <c r="K322" s="67"/>
      <c r="L322" s="67"/>
      <c r="M322" s="67"/>
      <c r="N322" s="145" t="str">
        <f t="shared" si="36"/>
        <v/>
      </c>
      <c r="O322" s="64"/>
      <c r="P322" s="64"/>
      <c r="Q322" s="152" t="str">
        <f t="shared" si="37"/>
        <v/>
      </c>
      <c r="R322" s="65" t="str">
        <f t="shared" si="38"/>
        <v/>
      </c>
      <c r="S322" s="5" t="str">
        <f t="shared" si="39"/>
        <v/>
      </c>
      <c r="T322" s="5" t="str">
        <f t="shared" si="40"/>
        <v/>
      </c>
      <c r="U322" s="5" t="str">
        <f t="shared" si="41"/>
        <v/>
      </c>
      <c r="V322" s="5" t="str">
        <f t="shared" si="42"/>
        <v/>
      </c>
      <c r="W322" s="5" t="str">
        <f t="shared" si="43"/>
        <v/>
      </c>
      <c r="X322" s="5" t="str">
        <f t="shared" si="44"/>
        <v/>
      </c>
    </row>
    <row r="323" spans="1:24">
      <c r="A323" s="91"/>
      <c r="B323" s="92"/>
      <c r="C323" s="69"/>
      <c r="D323" s="69"/>
      <c r="E323" s="69"/>
      <c r="F323" s="69"/>
      <c r="G323" s="70"/>
      <c r="H323" s="71"/>
      <c r="I323" s="66"/>
      <c r="J323" s="67"/>
      <c r="K323" s="67"/>
      <c r="L323" s="67"/>
      <c r="M323" s="67"/>
      <c r="N323" s="145" t="str">
        <f t="shared" si="36"/>
        <v/>
      </c>
      <c r="O323" s="64"/>
      <c r="P323" s="64"/>
      <c r="Q323" s="152" t="str">
        <f t="shared" si="37"/>
        <v/>
      </c>
      <c r="R323" s="65" t="str">
        <f t="shared" si="38"/>
        <v/>
      </c>
      <c r="S323" s="5" t="str">
        <f t="shared" si="39"/>
        <v/>
      </c>
      <c r="T323" s="5" t="str">
        <f t="shared" si="40"/>
        <v/>
      </c>
      <c r="U323" s="5" t="str">
        <f t="shared" si="41"/>
        <v/>
      </c>
      <c r="V323" s="5" t="str">
        <f t="shared" si="42"/>
        <v/>
      </c>
      <c r="W323" s="5" t="str">
        <f t="shared" si="43"/>
        <v/>
      </c>
      <c r="X323" s="5" t="str">
        <f t="shared" si="44"/>
        <v/>
      </c>
    </row>
    <row r="324" spans="1:24">
      <c r="A324" s="91"/>
      <c r="B324" s="92"/>
      <c r="C324" s="69"/>
      <c r="D324" s="69"/>
      <c r="E324" s="69"/>
      <c r="F324" s="69"/>
      <c r="G324" s="70"/>
      <c r="H324" s="71"/>
      <c r="I324" s="66"/>
      <c r="J324" s="67"/>
      <c r="K324" s="67"/>
      <c r="L324" s="67"/>
      <c r="M324" s="67"/>
      <c r="N324" s="145" t="str">
        <f t="shared" si="36"/>
        <v/>
      </c>
      <c r="O324" s="64"/>
      <c r="P324" s="64"/>
      <c r="Q324" s="152" t="str">
        <f t="shared" si="37"/>
        <v/>
      </c>
      <c r="R324" s="65" t="str">
        <f t="shared" si="38"/>
        <v/>
      </c>
      <c r="S324" s="5" t="str">
        <f t="shared" si="39"/>
        <v/>
      </c>
      <c r="T324" s="5" t="str">
        <f t="shared" si="40"/>
        <v/>
      </c>
      <c r="U324" s="5" t="str">
        <f t="shared" si="41"/>
        <v/>
      </c>
      <c r="V324" s="5" t="str">
        <f t="shared" si="42"/>
        <v/>
      </c>
      <c r="W324" s="5" t="str">
        <f t="shared" si="43"/>
        <v/>
      </c>
      <c r="X324" s="5" t="str">
        <f t="shared" si="44"/>
        <v/>
      </c>
    </row>
    <row r="325" spans="1:24">
      <c r="A325" s="91"/>
      <c r="B325" s="92"/>
      <c r="C325" s="69"/>
      <c r="D325" s="69"/>
      <c r="E325" s="69"/>
      <c r="F325" s="69"/>
      <c r="G325" s="70"/>
      <c r="H325" s="71"/>
      <c r="I325" s="66"/>
      <c r="J325" s="67"/>
      <c r="K325" s="67"/>
      <c r="L325" s="67"/>
      <c r="M325" s="67"/>
      <c r="N325" s="145" t="str">
        <f t="shared" si="36"/>
        <v/>
      </c>
      <c r="O325" s="64"/>
      <c r="P325" s="64"/>
      <c r="Q325" s="152" t="str">
        <f t="shared" si="37"/>
        <v/>
      </c>
      <c r="R325" s="65" t="str">
        <f t="shared" si="38"/>
        <v/>
      </c>
      <c r="S325" s="5" t="str">
        <f t="shared" si="39"/>
        <v/>
      </c>
      <c r="T325" s="5" t="str">
        <f t="shared" si="40"/>
        <v/>
      </c>
      <c r="U325" s="5" t="str">
        <f t="shared" si="41"/>
        <v/>
      </c>
      <c r="V325" s="5" t="str">
        <f t="shared" si="42"/>
        <v/>
      </c>
      <c r="W325" s="5" t="str">
        <f t="shared" si="43"/>
        <v/>
      </c>
      <c r="X325" s="5" t="str">
        <f t="shared" si="44"/>
        <v/>
      </c>
    </row>
    <row r="326" spans="1:24">
      <c r="A326" s="91"/>
      <c r="B326" s="92"/>
      <c r="C326" s="69"/>
      <c r="D326" s="69"/>
      <c r="E326" s="69"/>
      <c r="F326" s="69"/>
      <c r="G326" s="70"/>
      <c r="H326" s="71"/>
      <c r="I326" s="66"/>
      <c r="J326" s="67"/>
      <c r="K326" s="67"/>
      <c r="L326" s="67"/>
      <c r="M326" s="67"/>
      <c r="N326" s="145" t="str">
        <f t="shared" si="36"/>
        <v/>
      </c>
      <c r="O326" s="64"/>
      <c r="P326" s="64"/>
      <c r="Q326" s="152" t="str">
        <f t="shared" si="37"/>
        <v/>
      </c>
      <c r="R326" s="65" t="str">
        <f t="shared" si="38"/>
        <v/>
      </c>
      <c r="S326" s="5" t="str">
        <f t="shared" si="39"/>
        <v/>
      </c>
      <c r="T326" s="5" t="str">
        <f t="shared" si="40"/>
        <v/>
      </c>
      <c r="U326" s="5" t="str">
        <f t="shared" si="41"/>
        <v/>
      </c>
      <c r="V326" s="5" t="str">
        <f t="shared" si="42"/>
        <v/>
      </c>
      <c r="W326" s="5" t="str">
        <f t="shared" si="43"/>
        <v/>
      </c>
      <c r="X326" s="5" t="str">
        <f t="shared" si="44"/>
        <v/>
      </c>
    </row>
    <row r="327" spans="1:24">
      <c r="A327" s="91"/>
      <c r="B327" s="92"/>
      <c r="C327" s="69"/>
      <c r="D327" s="69"/>
      <c r="E327" s="69"/>
      <c r="F327" s="69"/>
      <c r="G327" s="70"/>
      <c r="H327" s="71"/>
      <c r="I327" s="66"/>
      <c r="J327" s="67"/>
      <c r="K327" s="67"/>
      <c r="L327" s="67"/>
      <c r="M327" s="67"/>
      <c r="N327" s="145" t="str">
        <f t="shared" ref="N327:N390" si="45">IF($C327="","",IF($L327+$M327=0,0,$L327/($L327+$M327)))</f>
        <v/>
      </c>
      <c r="O327" s="64"/>
      <c r="P327" s="64"/>
      <c r="Q327" s="152" t="str">
        <f t="shared" ref="Q327:Q390" si="46">IF($C327="","",($O327-($P327/2)))</f>
        <v/>
      </c>
      <c r="R327" s="65" t="str">
        <f t="shared" ref="R327:R390" si="47">IF($C327="","",IF(TRIM($B327)="beginning",(((SUM($S327:$X327)-7085)/3811)*40)+360,IF(TRIM($B327)="middle",(((SUM($S327:$X327)-7085)/3811)*40)+400,IF(TRIM($B327)="end",(((SUM($S327:$X327)-7085)/3811)*40)+440,""))))</f>
        <v/>
      </c>
      <c r="S327" s="5" t="str">
        <f t="shared" ref="S327:S390" si="48">IF($C327="","",I327*32.74)</f>
        <v/>
      </c>
      <c r="T327" s="5" t="str">
        <f t="shared" ref="T327:T390" si="49">IF($C327="","",J327*10.95)</f>
        <v/>
      </c>
      <c r="U327" s="5" t="str">
        <f t="shared" ref="U327:U390" si="50">IF($C327="","",K327*21.26)</f>
        <v/>
      </c>
      <c r="V327" s="5" t="str">
        <f t="shared" ref="V327:V390" si="51">IF($C327="","",L327*35.36)</f>
        <v/>
      </c>
      <c r="W327" s="5" t="str">
        <f t="shared" ref="W327:W390" si="52">IF($C327="","",N327*0.15)</f>
        <v/>
      </c>
      <c r="X327" s="5" t="str">
        <f t="shared" ref="X327:X390" si="53">IF($C327="","",Q327*4.28)</f>
        <v/>
      </c>
    </row>
    <row r="328" spans="1:24">
      <c r="A328" s="91"/>
      <c r="B328" s="92"/>
      <c r="C328" s="69"/>
      <c r="D328" s="69"/>
      <c r="E328" s="69"/>
      <c r="F328" s="69"/>
      <c r="G328" s="70"/>
      <c r="H328" s="71"/>
      <c r="I328" s="66"/>
      <c r="J328" s="67"/>
      <c r="K328" s="67"/>
      <c r="L328" s="67"/>
      <c r="M328" s="67"/>
      <c r="N328" s="145" t="str">
        <f t="shared" si="45"/>
        <v/>
      </c>
      <c r="O328" s="64"/>
      <c r="P328" s="64"/>
      <c r="Q328" s="152" t="str">
        <f t="shared" si="46"/>
        <v/>
      </c>
      <c r="R328" s="65" t="str">
        <f t="shared" si="47"/>
        <v/>
      </c>
      <c r="S328" s="5" t="str">
        <f t="shared" si="48"/>
        <v/>
      </c>
      <c r="T328" s="5" t="str">
        <f t="shared" si="49"/>
        <v/>
      </c>
      <c r="U328" s="5" t="str">
        <f t="shared" si="50"/>
        <v/>
      </c>
      <c r="V328" s="5" t="str">
        <f t="shared" si="51"/>
        <v/>
      </c>
      <c r="W328" s="5" t="str">
        <f t="shared" si="52"/>
        <v/>
      </c>
      <c r="X328" s="5" t="str">
        <f t="shared" si="53"/>
        <v/>
      </c>
    </row>
    <row r="329" spans="1:24">
      <c r="A329" s="91"/>
      <c r="B329" s="92"/>
      <c r="C329" s="69"/>
      <c r="D329" s="69"/>
      <c r="E329" s="69"/>
      <c r="F329" s="69"/>
      <c r="G329" s="70"/>
      <c r="H329" s="71"/>
      <c r="I329" s="66"/>
      <c r="J329" s="67"/>
      <c r="K329" s="67"/>
      <c r="L329" s="67"/>
      <c r="M329" s="67"/>
      <c r="N329" s="145" t="str">
        <f t="shared" si="45"/>
        <v/>
      </c>
      <c r="O329" s="64"/>
      <c r="P329" s="64"/>
      <c r="Q329" s="152" t="str">
        <f t="shared" si="46"/>
        <v/>
      </c>
      <c r="R329" s="65" t="str">
        <f t="shared" si="47"/>
        <v/>
      </c>
      <c r="S329" s="5" t="str">
        <f t="shared" si="48"/>
        <v/>
      </c>
      <c r="T329" s="5" t="str">
        <f t="shared" si="49"/>
        <v/>
      </c>
      <c r="U329" s="5" t="str">
        <f t="shared" si="50"/>
        <v/>
      </c>
      <c r="V329" s="5" t="str">
        <f t="shared" si="51"/>
        <v/>
      </c>
      <c r="W329" s="5" t="str">
        <f t="shared" si="52"/>
        <v/>
      </c>
      <c r="X329" s="5" t="str">
        <f t="shared" si="53"/>
        <v/>
      </c>
    </row>
    <row r="330" spans="1:24">
      <c r="A330" s="91"/>
      <c r="B330" s="92"/>
      <c r="C330" s="69"/>
      <c r="D330" s="69"/>
      <c r="E330" s="69"/>
      <c r="F330" s="69"/>
      <c r="G330" s="70"/>
      <c r="H330" s="71"/>
      <c r="I330" s="66"/>
      <c r="J330" s="67"/>
      <c r="K330" s="67"/>
      <c r="L330" s="67"/>
      <c r="M330" s="67"/>
      <c r="N330" s="145" t="str">
        <f t="shared" si="45"/>
        <v/>
      </c>
      <c r="O330" s="64"/>
      <c r="P330" s="64"/>
      <c r="Q330" s="152" t="str">
        <f t="shared" si="46"/>
        <v/>
      </c>
      <c r="R330" s="65" t="str">
        <f t="shared" si="47"/>
        <v/>
      </c>
      <c r="S330" s="5" t="str">
        <f t="shared" si="48"/>
        <v/>
      </c>
      <c r="T330" s="5" t="str">
        <f t="shared" si="49"/>
        <v/>
      </c>
      <c r="U330" s="5" t="str">
        <f t="shared" si="50"/>
        <v/>
      </c>
      <c r="V330" s="5" t="str">
        <f t="shared" si="51"/>
        <v/>
      </c>
      <c r="W330" s="5" t="str">
        <f t="shared" si="52"/>
        <v/>
      </c>
      <c r="X330" s="5" t="str">
        <f t="shared" si="53"/>
        <v/>
      </c>
    </row>
    <row r="331" spans="1:24">
      <c r="A331" s="91"/>
      <c r="B331" s="92"/>
      <c r="C331" s="69"/>
      <c r="D331" s="69"/>
      <c r="E331" s="69"/>
      <c r="F331" s="69"/>
      <c r="G331" s="70"/>
      <c r="H331" s="71"/>
      <c r="I331" s="66"/>
      <c r="J331" s="67"/>
      <c r="K331" s="67"/>
      <c r="L331" s="67"/>
      <c r="M331" s="67"/>
      <c r="N331" s="145" t="str">
        <f t="shared" si="45"/>
        <v/>
      </c>
      <c r="O331" s="64"/>
      <c r="P331" s="64"/>
      <c r="Q331" s="152" t="str">
        <f t="shared" si="46"/>
        <v/>
      </c>
      <c r="R331" s="65" t="str">
        <f t="shared" si="47"/>
        <v/>
      </c>
      <c r="S331" s="5" t="str">
        <f t="shared" si="48"/>
        <v/>
      </c>
      <c r="T331" s="5" t="str">
        <f t="shared" si="49"/>
        <v/>
      </c>
      <c r="U331" s="5" t="str">
        <f t="shared" si="50"/>
        <v/>
      </c>
      <c r="V331" s="5" t="str">
        <f t="shared" si="51"/>
        <v/>
      </c>
      <c r="W331" s="5" t="str">
        <f t="shared" si="52"/>
        <v/>
      </c>
      <c r="X331" s="5" t="str">
        <f t="shared" si="53"/>
        <v/>
      </c>
    </row>
    <row r="332" spans="1:24">
      <c r="A332" s="91"/>
      <c r="B332" s="92"/>
      <c r="C332" s="69"/>
      <c r="D332" s="69"/>
      <c r="E332" s="69"/>
      <c r="F332" s="69"/>
      <c r="G332" s="70"/>
      <c r="H332" s="71"/>
      <c r="I332" s="66"/>
      <c r="J332" s="67"/>
      <c r="K332" s="67"/>
      <c r="L332" s="67"/>
      <c r="M332" s="67"/>
      <c r="N332" s="145" t="str">
        <f t="shared" si="45"/>
        <v/>
      </c>
      <c r="O332" s="64"/>
      <c r="P332" s="64"/>
      <c r="Q332" s="152" t="str">
        <f t="shared" si="46"/>
        <v/>
      </c>
      <c r="R332" s="65" t="str">
        <f t="shared" si="47"/>
        <v/>
      </c>
      <c r="S332" s="5" t="str">
        <f t="shared" si="48"/>
        <v/>
      </c>
      <c r="T332" s="5" t="str">
        <f t="shared" si="49"/>
        <v/>
      </c>
      <c r="U332" s="5" t="str">
        <f t="shared" si="50"/>
        <v/>
      </c>
      <c r="V332" s="5" t="str">
        <f t="shared" si="51"/>
        <v/>
      </c>
      <c r="W332" s="5" t="str">
        <f t="shared" si="52"/>
        <v/>
      </c>
      <c r="X332" s="5" t="str">
        <f t="shared" si="53"/>
        <v/>
      </c>
    </row>
    <row r="333" spans="1:24">
      <c r="A333" s="91"/>
      <c r="B333" s="92"/>
      <c r="C333" s="69"/>
      <c r="D333" s="69"/>
      <c r="E333" s="69"/>
      <c r="F333" s="69"/>
      <c r="G333" s="70"/>
      <c r="H333" s="71"/>
      <c r="I333" s="66"/>
      <c r="J333" s="67"/>
      <c r="K333" s="67"/>
      <c r="L333" s="67"/>
      <c r="M333" s="67"/>
      <c r="N333" s="145" t="str">
        <f t="shared" si="45"/>
        <v/>
      </c>
      <c r="O333" s="64"/>
      <c r="P333" s="64"/>
      <c r="Q333" s="152" t="str">
        <f t="shared" si="46"/>
        <v/>
      </c>
      <c r="R333" s="65" t="str">
        <f t="shared" si="47"/>
        <v/>
      </c>
      <c r="S333" s="5" t="str">
        <f t="shared" si="48"/>
        <v/>
      </c>
      <c r="T333" s="5" t="str">
        <f t="shared" si="49"/>
        <v/>
      </c>
      <c r="U333" s="5" t="str">
        <f t="shared" si="50"/>
        <v/>
      </c>
      <c r="V333" s="5" t="str">
        <f t="shared" si="51"/>
        <v/>
      </c>
      <c r="W333" s="5" t="str">
        <f t="shared" si="52"/>
        <v/>
      </c>
      <c r="X333" s="5" t="str">
        <f t="shared" si="53"/>
        <v/>
      </c>
    </row>
    <row r="334" spans="1:24">
      <c r="A334" s="91"/>
      <c r="B334" s="92"/>
      <c r="C334" s="69"/>
      <c r="D334" s="69"/>
      <c r="E334" s="69"/>
      <c r="F334" s="69"/>
      <c r="G334" s="70"/>
      <c r="H334" s="71"/>
      <c r="I334" s="66"/>
      <c r="J334" s="67"/>
      <c r="K334" s="67"/>
      <c r="L334" s="67"/>
      <c r="M334" s="67"/>
      <c r="N334" s="145" t="str">
        <f t="shared" si="45"/>
        <v/>
      </c>
      <c r="O334" s="64"/>
      <c r="P334" s="64"/>
      <c r="Q334" s="152" t="str">
        <f t="shared" si="46"/>
        <v/>
      </c>
      <c r="R334" s="65" t="str">
        <f t="shared" si="47"/>
        <v/>
      </c>
      <c r="S334" s="5" t="str">
        <f t="shared" si="48"/>
        <v/>
      </c>
      <c r="T334" s="5" t="str">
        <f t="shared" si="49"/>
        <v/>
      </c>
      <c r="U334" s="5" t="str">
        <f t="shared" si="50"/>
        <v/>
      </c>
      <c r="V334" s="5" t="str">
        <f t="shared" si="51"/>
        <v/>
      </c>
      <c r="W334" s="5" t="str">
        <f t="shared" si="52"/>
        <v/>
      </c>
      <c r="X334" s="5" t="str">
        <f t="shared" si="53"/>
        <v/>
      </c>
    </row>
    <row r="335" spans="1:24">
      <c r="A335" s="91"/>
      <c r="B335" s="92"/>
      <c r="C335" s="69"/>
      <c r="D335" s="69"/>
      <c r="E335" s="69"/>
      <c r="F335" s="69"/>
      <c r="G335" s="70"/>
      <c r="H335" s="71"/>
      <c r="I335" s="66"/>
      <c r="J335" s="67"/>
      <c r="K335" s="67"/>
      <c r="L335" s="67"/>
      <c r="M335" s="67"/>
      <c r="N335" s="145" t="str">
        <f t="shared" si="45"/>
        <v/>
      </c>
      <c r="O335" s="64"/>
      <c r="P335" s="64"/>
      <c r="Q335" s="152" t="str">
        <f t="shared" si="46"/>
        <v/>
      </c>
      <c r="R335" s="65" t="str">
        <f t="shared" si="47"/>
        <v/>
      </c>
      <c r="S335" s="5" t="str">
        <f t="shared" si="48"/>
        <v/>
      </c>
      <c r="T335" s="5" t="str">
        <f t="shared" si="49"/>
        <v/>
      </c>
      <c r="U335" s="5" t="str">
        <f t="shared" si="50"/>
        <v/>
      </c>
      <c r="V335" s="5" t="str">
        <f t="shared" si="51"/>
        <v/>
      </c>
      <c r="W335" s="5" t="str">
        <f t="shared" si="52"/>
        <v/>
      </c>
      <c r="X335" s="5" t="str">
        <f t="shared" si="53"/>
        <v/>
      </c>
    </row>
    <row r="336" spans="1:24">
      <c r="A336" s="91"/>
      <c r="B336" s="92"/>
      <c r="C336" s="69"/>
      <c r="D336" s="69"/>
      <c r="E336" s="69"/>
      <c r="F336" s="69"/>
      <c r="G336" s="70"/>
      <c r="H336" s="71"/>
      <c r="I336" s="66"/>
      <c r="J336" s="67"/>
      <c r="K336" s="67"/>
      <c r="L336" s="67"/>
      <c r="M336" s="67"/>
      <c r="N336" s="145" t="str">
        <f t="shared" si="45"/>
        <v/>
      </c>
      <c r="O336" s="64"/>
      <c r="P336" s="64"/>
      <c r="Q336" s="152" t="str">
        <f t="shared" si="46"/>
        <v/>
      </c>
      <c r="R336" s="65" t="str">
        <f t="shared" si="47"/>
        <v/>
      </c>
      <c r="S336" s="5" t="str">
        <f t="shared" si="48"/>
        <v/>
      </c>
      <c r="T336" s="5" t="str">
        <f t="shared" si="49"/>
        <v/>
      </c>
      <c r="U336" s="5" t="str">
        <f t="shared" si="50"/>
        <v/>
      </c>
      <c r="V336" s="5" t="str">
        <f t="shared" si="51"/>
        <v/>
      </c>
      <c r="W336" s="5" t="str">
        <f t="shared" si="52"/>
        <v/>
      </c>
      <c r="X336" s="5" t="str">
        <f t="shared" si="53"/>
        <v/>
      </c>
    </row>
    <row r="337" spans="1:24">
      <c r="A337" s="91"/>
      <c r="B337" s="92"/>
      <c r="C337" s="69"/>
      <c r="D337" s="69"/>
      <c r="E337" s="69"/>
      <c r="F337" s="69"/>
      <c r="G337" s="70"/>
      <c r="H337" s="71"/>
      <c r="I337" s="66"/>
      <c r="J337" s="67"/>
      <c r="K337" s="67"/>
      <c r="L337" s="67"/>
      <c r="M337" s="67"/>
      <c r="N337" s="145" t="str">
        <f t="shared" si="45"/>
        <v/>
      </c>
      <c r="O337" s="64"/>
      <c r="P337" s="64"/>
      <c r="Q337" s="152" t="str">
        <f t="shared" si="46"/>
        <v/>
      </c>
      <c r="R337" s="65" t="str">
        <f t="shared" si="47"/>
        <v/>
      </c>
      <c r="S337" s="5" t="str">
        <f t="shared" si="48"/>
        <v/>
      </c>
      <c r="T337" s="5" t="str">
        <f t="shared" si="49"/>
        <v/>
      </c>
      <c r="U337" s="5" t="str">
        <f t="shared" si="50"/>
        <v/>
      </c>
      <c r="V337" s="5" t="str">
        <f t="shared" si="51"/>
        <v/>
      </c>
      <c r="W337" s="5" t="str">
        <f t="shared" si="52"/>
        <v/>
      </c>
      <c r="X337" s="5" t="str">
        <f t="shared" si="53"/>
        <v/>
      </c>
    </row>
    <row r="338" spans="1:24">
      <c r="A338" s="91"/>
      <c r="B338" s="92"/>
      <c r="C338" s="69"/>
      <c r="D338" s="69"/>
      <c r="E338" s="69"/>
      <c r="F338" s="69"/>
      <c r="G338" s="70"/>
      <c r="H338" s="71"/>
      <c r="I338" s="66"/>
      <c r="J338" s="67"/>
      <c r="K338" s="67"/>
      <c r="L338" s="67"/>
      <c r="M338" s="67"/>
      <c r="N338" s="145" t="str">
        <f t="shared" si="45"/>
        <v/>
      </c>
      <c r="O338" s="64"/>
      <c r="P338" s="64"/>
      <c r="Q338" s="152" t="str">
        <f t="shared" si="46"/>
        <v/>
      </c>
      <c r="R338" s="65" t="str">
        <f t="shared" si="47"/>
        <v/>
      </c>
      <c r="S338" s="5" t="str">
        <f t="shared" si="48"/>
        <v/>
      </c>
      <c r="T338" s="5" t="str">
        <f t="shared" si="49"/>
        <v/>
      </c>
      <c r="U338" s="5" t="str">
        <f t="shared" si="50"/>
        <v/>
      </c>
      <c r="V338" s="5" t="str">
        <f t="shared" si="51"/>
        <v/>
      </c>
      <c r="W338" s="5" t="str">
        <f t="shared" si="52"/>
        <v/>
      </c>
      <c r="X338" s="5" t="str">
        <f t="shared" si="53"/>
        <v/>
      </c>
    </row>
    <row r="339" spans="1:24">
      <c r="A339" s="91"/>
      <c r="B339" s="92"/>
      <c r="C339" s="69"/>
      <c r="D339" s="69"/>
      <c r="E339" s="69"/>
      <c r="F339" s="69"/>
      <c r="G339" s="70"/>
      <c r="H339" s="71"/>
      <c r="I339" s="66"/>
      <c r="J339" s="67"/>
      <c r="K339" s="67"/>
      <c r="L339" s="67"/>
      <c r="M339" s="67"/>
      <c r="N339" s="145" t="str">
        <f t="shared" si="45"/>
        <v/>
      </c>
      <c r="O339" s="64"/>
      <c r="P339" s="64"/>
      <c r="Q339" s="152" t="str">
        <f t="shared" si="46"/>
        <v/>
      </c>
      <c r="R339" s="65" t="str">
        <f t="shared" si="47"/>
        <v/>
      </c>
      <c r="S339" s="5" t="str">
        <f t="shared" si="48"/>
        <v/>
      </c>
      <c r="T339" s="5" t="str">
        <f t="shared" si="49"/>
        <v/>
      </c>
      <c r="U339" s="5" t="str">
        <f t="shared" si="50"/>
        <v/>
      </c>
      <c r="V339" s="5" t="str">
        <f t="shared" si="51"/>
        <v/>
      </c>
      <c r="W339" s="5" t="str">
        <f t="shared" si="52"/>
        <v/>
      </c>
      <c r="X339" s="5" t="str">
        <f t="shared" si="53"/>
        <v/>
      </c>
    </row>
    <row r="340" spans="1:24">
      <c r="A340" s="91"/>
      <c r="B340" s="92"/>
      <c r="C340" s="69"/>
      <c r="D340" s="69"/>
      <c r="E340" s="69"/>
      <c r="F340" s="69"/>
      <c r="G340" s="70"/>
      <c r="H340" s="71"/>
      <c r="I340" s="66"/>
      <c r="J340" s="67"/>
      <c r="K340" s="67"/>
      <c r="L340" s="67"/>
      <c r="M340" s="67"/>
      <c r="N340" s="145" t="str">
        <f t="shared" si="45"/>
        <v/>
      </c>
      <c r="O340" s="64"/>
      <c r="P340" s="64"/>
      <c r="Q340" s="152" t="str">
        <f t="shared" si="46"/>
        <v/>
      </c>
      <c r="R340" s="65" t="str">
        <f t="shared" si="47"/>
        <v/>
      </c>
      <c r="S340" s="5" t="str">
        <f t="shared" si="48"/>
        <v/>
      </c>
      <c r="T340" s="5" t="str">
        <f t="shared" si="49"/>
        <v/>
      </c>
      <c r="U340" s="5" t="str">
        <f t="shared" si="50"/>
        <v/>
      </c>
      <c r="V340" s="5" t="str">
        <f t="shared" si="51"/>
        <v/>
      </c>
      <c r="W340" s="5" t="str">
        <f t="shared" si="52"/>
        <v/>
      </c>
      <c r="X340" s="5" t="str">
        <f t="shared" si="53"/>
        <v/>
      </c>
    </row>
    <row r="341" spans="1:24">
      <c r="A341" s="91"/>
      <c r="B341" s="92"/>
      <c r="C341" s="69"/>
      <c r="D341" s="69"/>
      <c r="E341" s="69"/>
      <c r="F341" s="69"/>
      <c r="G341" s="70"/>
      <c r="H341" s="71"/>
      <c r="I341" s="66"/>
      <c r="J341" s="67"/>
      <c r="K341" s="67"/>
      <c r="L341" s="67"/>
      <c r="M341" s="67"/>
      <c r="N341" s="145" t="str">
        <f t="shared" si="45"/>
        <v/>
      </c>
      <c r="O341" s="64"/>
      <c r="P341" s="64"/>
      <c r="Q341" s="152" t="str">
        <f t="shared" si="46"/>
        <v/>
      </c>
      <c r="R341" s="65" t="str">
        <f t="shared" si="47"/>
        <v/>
      </c>
      <c r="S341" s="5" t="str">
        <f t="shared" si="48"/>
        <v/>
      </c>
      <c r="T341" s="5" t="str">
        <f t="shared" si="49"/>
        <v/>
      </c>
      <c r="U341" s="5" t="str">
        <f t="shared" si="50"/>
        <v/>
      </c>
      <c r="V341" s="5" t="str">
        <f t="shared" si="51"/>
        <v/>
      </c>
      <c r="W341" s="5" t="str">
        <f t="shared" si="52"/>
        <v/>
      </c>
      <c r="X341" s="5" t="str">
        <f t="shared" si="53"/>
        <v/>
      </c>
    </row>
    <row r="342" spans="1:24">
      <c r="A342" s="91"/>
      <c r="B342" s="92"/>
      <c r="C342" s="69"/>
      <c r="D342" s="69"/>
      <c r="E342" s="69"/>
      <c r="F342" s="69"/>
      <c r="G342" s="70"/>
      <c r="H342" s="71"/>
      <c r="I342" s="66"/>
      <c r="J342" s="67"/>
      <c r="K342" s="67"/>
      <c r="L342" s="67"/>
      <c r="M342" s="67"/>
      <c r="N342" s="145" t="str">
        <f t="shared" si="45"/>
        <v/>
      </c>
      <c r="O342" s="64"/>
      <c r="P342" s="64"/>
      <c r="Q342" s="152" t="str">
        <f t="shared" si="46"/>
        <v/>
      </c>
      <c r="R342" s="65" t="str">
        <f t="shared" si="47"/>
        <v/>
      </c>
      <c r="S342" s="5" t="str">
        <f t="shared" si="48"/>
        <v/>
      </c>
      <c r="T342" s="5" t="str">
        <f t="shared" si="49"/>
        <v/>
      </c>
      <c r="U342" s="5" t="str">
        <f t="shared" si="50"/>
        <v/>
      </c>
      <c r="V342" s="5" t="str">
        <f t="shared" si="51"/>
        <v/>
      </c>
      <c r="W342" s="5" t="str">
        <f t="shared" si="52"/>
        <v/>
      </c>
      <c r="X342" s="5" t="str">
        <f t="shared" si="53"/>
        <v/>
      </c>
    </row>
    <row r="343" spans="1:24">
      <c r="A343" s="91"/>
      <c r="B343" s="92"/>
      <c r="C343" s="69"/>
      <c r="D343" s="69"/>
      <c r="E343" s="69"/>
      <c r="F343" s="69"/>
      <c r="G343" s="70"/>
      <c r="H343" s="71"/>
      <c r="I343" s="66"/>
      <c r="J343" s="67"/>
      <c r="K343" s="67"/>
      <c r="L343" s="67"/>
      <c r="M343" s="67"/>
      <c r="N343" s="145" t="str">
        <f t="shared" si="45"/>
        <v/>
      </c>
      <c r="O343" s="64"/>
      <c r="P343" s="64"/>
      <c r="Q343" s="152" t="str">
        <f t="shared" si="46"/>
        <v/>
      </c>
      <c r="R343" s="65" t="str">
        <f t="shared" si="47"/>
        <v/>
      </c>
      <c r="S343" s="5" t="str">
        <f t="shared" si="48"/>
        <v/>
      </c>
      <c r="T343" s="5" t="str">
        <f t="shared" si="49"/>
        <v/>
      </c>
      <c r="U343" s="5" t="str">
        <f t="shared" si="50"/>
        <v/>
      </c>
      <c r="V343" s="5" t="str">
        <f t="shared" si="51"/>
        <v/>
      </c>
      <c r="W343" s="5" t="str">
        <f t="shared" si="52"/>
        <v/>
      </c>
      <c r="X343" s="5" t="str">
        <f t="shared" si="53"/>
        <v/>
      </c>
    </row>
    <row r="344" spans="1:24">
      <c r="A344" s="91"/>
      <c r="B344" s="92"/>
      <c r="C344" s="69"/>
      <c r="D344" s="69"/>
      <c r="E344" s="69"/>
      <c r="F344" s="69"/>
      <c r="G344" s="70"/>
      <c r="H344" s="71"/>
      <c r="I344" s="66"/>
      <c r="J344" s="67"/>
      <c r="K344" s="67"/>
      <c r="L344" s="67"/>
      <c r="M344" s="67"/>
      <c r="N344" s="145" t="str">
        <f t="shared" si="45"/>
        <v/>
      </c>
      <c r="O344" s="64"/>
      <c r="P344" s="64"/>
      <c r="Q344" s="152" t="str">
        <f t="shared" si="46"/>
        <v/>
      </c>
      <c r="R344" s="65" t="str">
        <f t="shared" si="47"/>
        <v/>
      </c>
      <c r="S344" s="5" t="str">
        <f t="shared" si="48"/>
        <v/>
      </c>
      <c r="T344" s="5" t="str">
        <f t="shared" si="49"/>
        <v/>
      </c>
      <c r="U344" s="5" t="str">
        <f t="shared" si="50"/>
        <v/>
      </c>
      <c r="V344" s="5" t="str">
        <f t="shared" si="51"/>
        <v/>
      </c>
      <c r="W344" s="5" t="str">
        <f t="shared" si="52"/>
        <v/>
      </c>
      <c r="X344" s="5" t="str">
        <f t="shared" si="53"/>
        <v/>
      </c>
    </row>
    <row r="345" spans="1:24">
      <c r="A345" s="91"/>
      <c r="B345" s="92"/>
      <c r="C345" s="69"/>
      <c r="D345" s="69"/>
      <c r="E345" s="69"/>
      <c r="F345" s="69"/>
      <c r="G345" s="70"/>
      <c r="H345" s="71"/>
      <c r="I345" s="66"/>
      <c r="J345" s="67"/>
      <c r="K345" s="67"/>
      <c r="L345" s="67"/>
      <c r="M345" s="67"/>
      <c r="N345" s="145" t="str">
        <f t="shared" si="45"/>
        <v/>
      </c>
      <c r="O345" s="64"/>
      <c r="P345" s="64"/>
      <c r="Q345" s="152" t="str">
        <f t="shared" si="46"/>
        <v/>
      </c>
      <c r="R345" s="65" t="str">
        <f t="shared" si="47"/>
        <v/>
      </c>
      <c r="S345" s="5" t="str">
        <f t="shared" si="48"/>
        <v/>
      </c>
      <c r="T345" s="5" t="str">
        <f t="shared" si="49"/>
        <v/>
      </c>
      <c r="U345" s="5" t="str">
        <f t="shared" si="50"/>
        <v/>
      </c>
      <c r="V345" s="5" t="str">
        <f t="shared" si="51"/>
        <v/>
      </c>
      <c r="W345" s="5" t="str">
        <f t="shared" si="52"/>
        <v/>
      </c>
      <c r="X345" s="5" t="str">
        <f t="shared" si="53"/>
        <v/>
      </c>
    </row>
    <row r="346" spans="1:24">
      <c r="A346" s="91"/>
      <c r="B346" s="92"/>
      <c r="C346" s="69"/>
      <c r="D346" s="69"/>
      <c r="E346" s="69"/>
      <c r="F346" s="69"/>
      <c r="G346" s="70"/>
      <c r="H346" s="71"/>
      <c r="I346" s="66"/>
      <c r="J346" s="67"/>
      <c r="K346" s="67"/>
      <c r="L346" s="67"/>
      <c r="M346" s="67"/>
      <c r="N346" s="145" t="str">
        <f t="shared" si="45"/>
        <v/>
      </c>
      <c r="O346" s="64"/>
      <c r="P346" s="64"/>
      <c r="Q346" s="152" t="str">
        <f t="shared" si="46"/>
        <v/>
      </c>
      <c r="R346" s="65" t="str">
        <f t="shared" si="47"/>
        <v/>
      </c>
      <c r="S346" s="5" t="str">
        <f t="shared" si="48"/>
        <v/>
      </c>
      <c r="T346" s="5" t="str">
        <f t="shared" si="49"/>
        <v/>
      </c>
      <c r="U346" s="5" t="str">
        <f t="shared" si="50"/>
        <v/>
      </c>
      <c r="V346" s="5" t="str">
        <f t="shared" si="51"/>
        <v/>
      </c>
      <c r="W346" s="5" t="str">
        <f t="shared" si="52"/>
        <v/>
      </c>
      <c r="X346" s="5" t="str">
        <f t="shared" si="53"/>
        <v/>
      </c>
    </row>
    <row r="347" spans="1:24">
      <c r="A347" s="91"/>
      <c r="B347" s="92"/>
      <c r="C347" s="69"/>
      <c r="D347" s="69"/>
      <c r="E347" s="69"/>
      <c r="F347" s="69"/>
      <c r="G347" s="70"/>
      <c r="H347" s="71"/>
      <c r="I347" s="66"/>
      <c r="J347" s="67"/>
      <c r="K347" s="67"/>
      <c r="L347" s="67"/>
      <c r="M347" s="67"/>
      <c r="N347" s="145" t="str">
        <f t="shared" si="45"/>
        <v/>
      </c>
      <c r="O347" s="64"/>
      <c r="P347" s="64"/>
      <c r="Q347" s="152" t="str">
        <f t="shared" si="46"/>
        <v/>
      </c>
      <c r="R347" s="65" t="str">
        <f t="shared" si="47"/>
        <v/>
      </c>
      <c r="S347" s="5" t="str">
        <f t="shared" si="48"/>
        <v/>
      </c>
      <c r="T347" s="5" t="str">
        <f t="shared" si="49"/>
        <v/>
      </c>
      <c r="U347" s="5" t="str">
        <f t="shared" si="50"/>
        <v/>
      </c>
      <c r="V347" s="5" t="str">
        <f t="shared" si="51"/>
        <v/>
      </c>
      <c r="W347" s="5" t="str">
        <f t="shared" si="52"/>
        <v/>
      </c>
      <c r="X347" s="5" t="str">
        <f t="shared" si="53"/>
        <v/>
      </c>
    </row>
    <row r="348" spans="1:24">
      <c r="A348" s="91"/>
      <c r="B348" s="92"/>
      <c r="C348" s="69"/>
      <c r="D348" s="69"/>
      <c r="E348" s="69"/>
      <c r="F348" s="69"/>
      <c r="G348" s="70"/>
      <c r="H348" s="71"/>
      <c r="I348" s="66"/>
      <c r="J348" s="67"/>
      <c r="K348" s="67"/>
      <c r="L348" s="67"/>
      <c r="M348" s="67"/>
      <c r="N348" s="145" t="str">
        <f t="shared" si="45"/>
        <v/>
      </c>
      <c r="O348" s="64"/>
      <c r="P348" s="64"/>
      <c r="Q348" s="152" t="str">
        <f t="shared" si="46"/>
        <v/>
      </c>
      <c r="R348" s="65" t="str">
        <f t="shared" si="47"/>
        <v/>
      </c>
      <c r="S348" s="5" t="str">
        <f t="shared" si="48"/>
        <v/>
      </c>
      <c r="T348" s="5" t="str">
        <f t="shared" si="49"/>
        <v/>
      </c>
      <c r="U348" s="5" t="str">
        <f t="shared" si="50"/>
        <v/>
      </c>
      <c r="V348" s="5" t="str">
        <f t="shared" si="51"/>
        <v/>
      </c>
      <c r="W348" s="5" t="str">
        <f t="shared" si="52"/>
        <v/>
      </c>
      <c r="X348" s="5" t="str">
        <f t="shared" si="53"/>
        <v/>
      </c>
    </row>
    <row r="349" spans="1:24">
      <c r="A349" s="91"/>
      <c r="B349" s="92"/>
      <c r="C349" s="69"/>
      <c r="D349" s="69"/>
      <c r="E349" s="69"/>
      <c r="F349" s="69"/>
      <c r="G349" s="70"/>
      <c r="H349" s="71"/>
      <c r="I349" s="66"/>
      <c r="J349" s="67"/>
      <c r="K349" s="67"/>
      <c r="L349" s="67"/>
      <c r="M349" s="67"/>
      <c r="N349" s="145" t="str">
        <f t="shared" si="45"/>
        <v/>
      </c>
      <c r="O349" s="64"/>
      <c r="P349" s="64"/>
      <c r="Q349" s="152" t="str">
        <f t="shared" si="46"/>
        <v/>
      </c>
      <c r="R349" s="65" t="str">
        <f t="shared" si="47"/>
        <v/>
      </c>
      <c r="S349" s="5" t="str">
        <f t="shared" si="48"/>
        <v/>
      </c>
      <c r="T349" s="5" t="str">
        <f t="shared" si="49"/>
        <v/>
      </c>
      <c r="U349" s="5" t="str">
        <f t="shared" si="50"/>
        <v/>
      </c>
      <c r="V349" s="5" t="str">
        <f t="shared" si="51"/>
        <v/>
      </c>
      <c r="W349" s="5" t="str">
        <f t="shared" si="52"/>
        <v/>
      </c>
      <c r="X349" s="5" t="str">
        <f t="shared" si="53"/>
        <v/>
      </c>
    </row>
    <row r="350" spans="1:24">
      <c r="A350" s="91"/>
      <c r="B350" s="92"/>
      <c r="C350" s="69"/>
      <c r="D350" s="69"/>
      <c r="E350" s="69"/>
      <c r="F350" s="69"/>
      <c r="G350" s="70"/>
      <c r="H350" s="71"/>
      <c r="I350" s="66"/>
      <c r="J350" s="67"/>
      <c r="K350" s="67"/>
      <c r="L350" s="67"/>
      <c r="M350" s="67"/>
      <c r="N350" s="145" t="str">
        <f t="shared" si="45"/>
        <v/>
      </c>
      <c r="O350" s="64"/>
      <c r="P350" s="64"/>
      <c r="Q350" s="152" t="str">
        <f t="shared" si="46"/>
        <v/>
      </c>
      <c r="R350" s="65" t="str">
        <f t="shared" si="47"/>
        <v/>
      </c>
      <c r="S350" s="5" t="str">
        <f t="shared" si="48"/>
        <v/>
      </c>
      <c r="T350" s="5" t="str">
        <f t="shared" si="49"/>
        <v/>
      </c>
      <c r="U350" s="5" t="str">
        <f t="shared" si="50"/>
        <v/>
      </c>
      <c r="V350" s="5" t="str">
        <f t="shared" si="51"/>
        <v/>
      </c>
      <c r="W350" s="5" t="str">
        <f t="shared" si="52"/>
        <v/>
      </c>
      <c r="X350" s="5" t="str">
        <f t="shared" si="53"/>
        <v/>
      </c>
    </row>
    <row r="351" spans="1:24">
      <c r="A351" s="91"/>
      <c r="B351" s="92"/>
      <c r="C351" s="69"/>
      <c r="D351" s="69"/>
      <c r="E351" s="69"/>
      <c r="F351" s="69"/>
      <c r="G351" s="70"/>
      <c r="H351" s="71"/>
      <c r="I351" s="66"/>
      <c r="J351" s="67"/>
      <c r="K351" s="67"/>
      <c r="L351" s="67"/>
      <c r="M351" s="67"/>
      <c r="N351" s="145" t="str">
        <f t="shared" si="45"/>
        <v/>
      </c>
      <c r="O351" s="64"/>
      <c r="P351" s="64"/>
      <c r="Q351" s="152" t="str">
        <f t="shared" si="46"/>
        <v/>
      </c>
      <c r="R351" s="65" t="str">
        <f t="shared" si="47"/>
        <v/>
      </c>
      <c r="S351" s="5" t="str">
        <f t="shared" si="48"/>
        <v/>
      </c>
      <c r="T351" s="5" t="str">
        <f t="shared" si="49"/>
        <v/>
      </c>
      <c r="U351" s="5" t="str">
        <f t="shared" si="50"/>
        <v/>
      </c>
      <c r="V351" s="5" t="str">
        <f t="shared" si="51"/>
        <v/>
      </c>
      <c r="W351" s="5" t="str">
        <f t="shared" si="52"/>
        <v/>
      </c>
      <c r="X351" s="5" t="str">
        <f t="shared" si="53"/>
        <v/>
      </c>
    </row>
    <row r="352" spans="1:24">
      <c r="A352" s="91"/>
      <c r="B352" s="92"/>
      <c r="C352" s="69"/>
      <c r="D352" s="69"/>
      <c r="E352" s="69"/>
      <c r="F352" s="69"/>
      <c r="G352" s="70"/>
      <c r="H352" s="71"/>
      <c r="I352" s="66"/>
      <c r="J352" s="67"/>
      <c r="K352" s="67"/>
      <c r="L352" s="67"/>
      <c r="M352" s="67"/>
      <c r="N352" s="145" t="str">
        <f t="shared" si="45"/>
        <v/>
      </c>
      <c r="O352" s="64"/>
      <c r="P352" s="64"/>
      <c r="Q352" s="152" t="str">
        <f t="shared" si="46"/>
        <v/>
      </c>
      <c r="R352" s="65" t="str">
        <f t="shared" si="47"/>
        <v/>
      </c>
      <c r="S352" s="5" t="str">
        <f t="shared" si="48"/>
        <v/>
      </c>
      <c r="T352" s="5" t="str">
        <f t="shared" si="49"/>
        <v/>
      </c>
      <c r="U352" s="5" t="str">
        <f t="shared" si="50"/>
        <v/>
      </c>
      <c r="V352" s="5" t="str">
        <f t="shared" si="51"/>
        <v/>
      </c>
      <c r="W352" s="5" t="str">
        <f t="shared" si="52"/>
        <v/>
      </c>
      <c r="X352" s="5" t="str">
        <f t="shared" si="53"/>
        <v/>
      </c>
    </row>
    <row r="353" spans="1:24">
      <c r="A353" s="91"/>
      <c r="B353" s="92"/>
      <c r="C353" s="69"/>
      <c r="D353" s="69"/>
      <c r="E353" s="69"/>
      <c r="F353" s="69"/>
      <c r="G353" s="70"/>
      <c r="H353" s="71"/>
      <c r="I353" s="66"/>
      <c r="J353" s="67"/>
      <c r="K353" s="67"/>
      <c r="L353" s="67"/>
      <c r="M353" s="67"/>
      <c r="N353" s="145" t="str">
        <f t="shared" si="45"/>
        <v/>
      </c>
      <c r="O353" s="64"/>
      <c r="P353" s="64"/>
      <c r="Q353" s="152" t="str">
        <f t="shared" si="46"/>
        <v/>
      </c>
      <c r="R353" s="65" t="str">
        <f t="shared" si="47"/>
        <v/>
      </c>
      <c r="S353" s="5" t="str">
        <f t="shared" si="48"/>
        <v/>
      </c>
      <c r="T353" s="5" t="str">
        <f t="shared" si="49"/>
        <v/>
      </c>
      <c r="U353" s="5" t="str">
        <f t="shared" si="50"/>
        <v/>
      </c>
      <c r="V353" s="5" t="str">
        <f t="shared" si="51"/>
        <v/>
      </c>
      <c r="W353" s="5" t="str">
        <f t="shared" si="52"/>
        <v/>
      </c>
      <c r="X353" s="5" t="str">
        <f t="shared" si="53"/>
        <v/>
      </c>
    </row>
    <row r="354" spans="1:24">
      <c r="A354" s="91"/>
      <c r="B354" s="92"/>
      <c r="C354" s="69"/>
      <c r="D354" s="69"/>
      <c r="E354" s="69"/>
      <c r="F354" s="69"/>
      <c r="G354" s="70"/>
      <c r="H354" s="71"/>
      <c r="I354" s="66"/>
      <c r="J354" s="67"/>
      <c r="K354" s="67"/>
      <c r="L354" s="67"/>
      <c r="M354" s="67"/>
      <c r="N354" s="145" t="str">
        <f t="shared" si="45"/>
        <v/>
      </c>
      <c r="O354" s="64"/>
      <c r="P354" s="64"/>
      <c r="Q354" s="152" t="str">
        <f t="shared" si="46"/>
        <v/>
      </c>
      <c r="R354" s="65" t="str">
        <f t="shared" si="47"/>
        <v/>
      </c>
      <c r="S354" s="5" t="str">
        <f t="shared" si="48"/>
        <v/>
      </c>
      <c r="T354" s="5" t="str">
        <f t="shared" si="49"/>
        <v/>
      </c>
      <c r="U354" s="5" t="str">
        <f t="shared" si="50"/>
        <v/>
      </c>
      <c r="V354" s="5" t="str">
        <f t="shared" si="51"/>
        <v/>
      </c>
      <c r="W354" s="5" t="str">
        <f t="shared" si="52"/>
        <v/>
      </c>
      <c r="X354" s="5" t="str">
        <f t="shared" si="53"/>
        <v/>
      </c>
    </row>
    <row r="355" spans="1:24">
      <c r="A355" s="91"/>
      <c r="B355" s="92"/>
      <c r="C355" s="69"/>
      <c r="D355" s="69"/>
      <c r="E355" s="69"/>
      <c r="F355" s="69"/>
      <c r="G355" s="70"/>
      <c r="H355" s="71"/>
      <c r="I355" s="66"/>
      <c r="J355" s="67"/>
      <c r="K355" s="67"/>
      <c r="L355" s="67"/>
      <c r="M355" s="67"/>
      <c r="N355" s="145" t="str">
        <f t="shared" si="45"/>
        <v/>
      </c>
      <c r="O355" s="64"/>
      <c r="P355" s="64"/>
      <c r="Q355" s="152" t="str">
        <f t="shared" si="46"/>
        <v/>
      </c>
      <c r="R355" s="65" t="str">
        <f t="shared" si="47"/>
        <v/>
      </c>
      <c r="S355" s="5" t="str">
        <f t="shared" si="48"/>
        <v/>
      </c>
      <c r="T355" s="5" t="str">
        <f t="shared" si="49"/>
        <v/>
      </c>
      <c r="U355" s="5" t="str">
        <f t="shared" si="50"/>
        <v/>
      </c>
      <c r="V355" s="5" t="str">
        <f t="shared" si="51"/>
        <v/>
      </c>
      <c r="W355" s="5" t="str">
        <f t="shared" si="52"/>
        <v/>
      </c>
      <c r="X355" s="5" t="str">
        <f t="shared" si="53"/>
        <v/>
      </c>
    </row>
    <row r="356" spans="1:24">
      <c r="A356" s="91"/>
      <c r="B356" s="92"/>
      <c r="C356" s="69"/>
      <c r="D356" s="69"/>
      <c r="E356" s="69"/>
      <c r="F356" s="69"/>
      <c r="G356" s="70"/>
      <c r="H356" s="71"/>
      <c r="I356" s="66"/>
      <c r="J356" s="67"/>
      <c r="K356" s="67"/>
      <c r="L356" s="67"/>
      <c r="M356" s="67"/>
      <c r="N356" s="145" t="str">
        <f t="shared" si="45"/>
        <v/>
      </c>
      <c r="O356" s="64"/>
      <c r="P356" s="64"/>
      <c r="Q356" s="152" t="str">
        <f t="shared" si="46"/>
        <v/>
      </c>
      <c r="R356" s="65" t="str">
        <f t="shared" si="47"/>
        <v/>
      </c>
      <c r="S356" s="5" t="str">
        <f t="shared" si="48"/>
        <v/>
      </c>
      <c r="T356" s="5" t="str">
        <f t="shared" si="49"/>
        <v/>
      </c>
      <c r="U356" s="5" t="str">
        <f t="shared" si="50"/>
        <v/>
      </c>
      <c r="V356" s="5" t="str">
        <f t="shared" si="51"/>
        <v/>
      </c>
      <c r="W356" s="5" t="str">
        <f t="shared" si="52"/>
        <v/>
      </c>
      <c r="X356" s="5" t="str">
        <f t="shared" si="53"/>
        <v/>
      </c>
    </row>
    <row r="357" spans="1:24">
      <c r="A357" s="91"/>
      <c r="B357" s="92"/>
      <c r="C357" s="69"/>
      <c r="D357" s="69"/>
      <c r="E357" s="69"/>
      <c r="F357" s="69"/>
      <c r="G357" s="70"/>
      <c r="H357" s="71"/>
      <c r="I357" s="66"/>
      <c r="J357" s="67"/>
      <c r="K357" s="67"/>
      <c r="L357" s="67"/>
      <c r="M357" s="67"/>
      <c r="N357" s="145" t="str">
        <f t="shared" si="45"/>
        <v/>
      </c>
      <c r="O357" s="64"/>
      <c r="P357" s="64"/>
      <c r="Q357" s="152" t="str">
        <f t="shared" si="46"/>
        <v/>
      </c>
      <c r="R357" s="65" t="str">
        <f t="shared" si="47"/>
        <v/>
      </c>
      <c r="S357" s="5" t="str">
        <f t="shared" si="48"/>
        <v/>
      </c>
      <c r="T357" s="5" t="str">
        <f t="shared" si="49"/>
        <v/>
      </c>
      <c r="U357" s="5" t="str">
        <f t="shared" si="50"/>
        <v/>
      </c>
      <c r="V357" s="5" t="str">
        <f t="shared" si="51"/>
        <v/>
      </c>
      <c r="W357" s="5" t="str">
        <f t="shared" si="52"/>
        <v/>
      </c>
      <c r="X357" s="5" t="str">
        <f t="shared" si="53"/>
        <v/>
      </c>
    </row>
    <row r="358" spans="1:24">
      <c r="A358" s="91"/>
      <c r="B358" s="92"/>
      <c r="C358" s="69"/>
      <c r="D358" s="69"/>
      <c r="E358" s="69"/>
      <c r="F358" s="69"/>
      <c r="G358" s="70"/>
      <c r="H358" s="71"/>
      <c r="I358" s="66"/>
      <c r="J358" s="67"/>
      <c r="K358" s="67"/>
      <c r="L358" s="67"/>
      <c r="M358" s="67"/>
      <c r="N358" s="145" t="str">
        <f t="shared" si="45"/>
        <v/>
      </c>
      <c r="O358" s="64"/>
      <c r="P358" s="64"/>
      <c r="Q358" s="152" t="str">
        <f t="shared" si="46"/>
        <v/>
      </c>
      <c r="R358" s="65" t="str">
        <f t="shared" si="47"/>
        <v/>
      </c>
      <c r="S358" s="5" t="str">
        <f t="shared" si="48"/>
        <v/>
      </c>
      <c r="T358" s="5" t="str">
        <f t="shared" si="49"/>
        <v/>
      </c>
      <c r="U358" s="5" t="str">
        <f t="shared" si="50"/>
        <v/>
      </c>
      <c r="V358" s="5" t="str">
        <f t="shared" si="51"/>
        <v/>
      </c>
      <c r="W358" s="5" t="str">
        <f t="shared" si="52"/>
        <v/>
      </c>
      <c r="X358" s="5" t="str">
        <f t="shared" si="53"/>
        <v/>
      </c>
    </row>
    <row r="359" spans="1:24">
      <c r="A359" s="91"/>
      <c r="B359" s="92"/>
      <c r="C359" s="69"/>
      <c r="D359" s="69"/>
      <c r="E359" s="69"/>
      <c r="F359" s="69"/>
      <c r="G359" s="70"/>
      <c r="H359" s="71"/>
      <c r="I359" s="66"/>
      <c r="J359" s="67"/>
      <c r="K359" s="67"/>
      <c r="L359" s="67"/>
      <c r="M359" s="67"/>
      <c r="N359" s="145" t="str">
        <f t="shared" si="45"/>
        <v/>
      </c>
      <c r="O359" s="64"/>
      <c r="P359" s="64"/>
      <c r="Q359" s="152" t="str">
        <f t="shared" si="46"/>
        <v/>
      </c>
      <c r="R359" s="65" t="str">
        <f t="shared" si="47"/>
        <v/>
      </c>
      <c r="S359" s="5" t="str">
        <f t="shared" si="48"/>
        <v/>
      </c>
      <c r="T359" s="5" t="str">
        <f t="shared" si="49"/>
        <v/>
      </c>
      <c r="U359" s="5" t="str">
        <f t="shared" si="50"/>
        <v/>
      </c>
      <c r="V359" s="5" t="str">
        <f t="shared" si="51"/>
        <v/>
      </c>
      <c r="W359" s="5" t="str">
        <f t="shared" si="52"/>
        <v/>
      </c>
      <c r="X359" s="5" t="str">
        <f t="shared" si="53"/>
        <v/>
      </c>
    </row>
    <row r="360" spans="1:24">
      <c r="A360" s="91"/>
      <c r="B360" s="92"/>
      <c r="C360" s="69"/>
      <c r="D360" s="69"/>
      <c r="E360" s="69"/>
      <c r="F360" s="69"/>
      <c r="G360" s="70"/>
      <c r="H360" s="71"/>
      <c r="I360" s="66"/>
      <c r="J360" s="67"/>
      <c r="K360" s="67"/>
      <c r="L360" s="67"/>
      <c r="M360" s="67"/>
      <c r="N360" s="145" t="str">
        <f t="shared" si="45"/>
        <v/>
      </c>
      <c r="O360" s="64"/>
      <c r="P360" s="64"/>
      <c r="Q360" s="152" t="str">
        <f t="shared" si="46"/>
        <v/>
      </c>
      <c r="R360" s="65" t="str">
        <f t="shared" si="47"/>
        <v/>
      </c>
      <c r="S360" s="5" t="str">
        <f t="shared" si="48"/>
        <v/>
      </c>
      <c r="T360" s="5" t="str">
        <f t="shared" si="49"/>
        <v/>
      </c>
      <c r="U360" s="5" t="str">
        <f t="shared" si="50"/>
        <v/>
      </c>
      <c r="V360" s="5" t="str">
        <f t="shared" si="51"/>
        <v/>
      </c>
      <c r="W360" s="5" t="str">
        <f t="shared" si="52"/>
        <v/>
      </c>
      <c r="X360" s="5" t="str">
        <f t="shared" si="53"/>
        <v/>
      </c>
    </row>
    <row r="361" spans="1:24">
      <c r="A361" s="91"/>
      <c r="B361" s="92"/>
      <c r="C361" s="69"/>
      <c r="D361" s="69"/>
      <c r="E361" s="69"/>
      <c r="F361" s="69"/>
      <c r="G361" s="70"/>
      <c r="H361" s="71"/>
      <c r="I361" s="66"/>
      <c r="J361" s="67"/>
      <c r="K361" s="67"/>
      <c r="L361" s="67"/>
      <c r="M361" s="67"/>
      <c r="N361" s="145" t="str">
        <f t="shared" si="45"/>
        <v/>
      </c>
      <c r="O361" s="64"/>
      <c r="P361" s="64"/>
      <c r="Q361" s="152" t="str">
        <f t="shared" si="46"/>
        <v/>
      </c>
      <c r="R361" s="65" t="str">
        <f t="shared" si="47"/>
        <v/>
      </c>
      <c r="S361" s="5" t="str">
        <f t="shared" si="48"/>
        <v/>
      </c>
      <c r="T361" s="5" t="str">
        <f t="shared" si="49"/>
        <v/>
      </c>
      <c r="U361" s="5" t="str">
        <f t="shared" si="50"/>
        <v/>
      </c>
      <c r="V361" s="5" t="str">
        <f t="shared" si="51"/>
        <v/>
      </c>
      <c r="W361" s="5" t="str">
        <f t="shared" si="52"/>
        <v/>
      </c>
      <c r="X361" s="5" t="str">
        <f t="shared" si="53"/>
        <v/>
      </c>
    </row>
    <row r="362" spans="1:24">
      <c r="A362" s="91"/>
      <c r="B362" s="92"/>
      <c r="C362" s="69"/>
      <c r="D362" s="69"/>
      <c r="E362" s="69"/>
      <c r="F362" s="69"/>
      <c r="G362" s="70"/>
      <c r="H362" s="71"/>
      <c r="I362" s="66"/>
      <c r="J362" s="67"/>
      <c r="K362" s="67"/>
      <c r="L362" s="67"/>
      <c r="M362" s="67"/>
      <c r="N362" s="145" t="str">
        <f t="shared" si="45"/>
        <v/>
      </c>
      <c r="O362" s="64"/>
      <c r="P362" s="64"/>
      <c r="Q362" s="152" t="str">
        <f t="shared" si="46"/>
        <v/>
      </c>
      <c r="R362" s="65" t="str">
        <f t="shared" si="47"/>
        <v/>
      </c>
      <c r="S362" s="5" t="str">
        <f t="shared" si="48"/>
        <v/>
      </c>
      <c r="T362" s="5" t="str">
        <f t="shared" si="49"/>
        <v/>
      </c>
      <c r="U362" s="5" t="str">
        <f t="shared" si="50"/>
        <v/>
      </c>
      <c r="V362" s="5" t="str">
        <f t="shared" si="51"/>
        <v/>
      </c>
      <c r="W362" s="5" t="str">
        <f t="shared" si="52"/>
        <v/>
      </c>
      <c r="X362" s="5" t="str">
        <f t="shared" si="53"/>
        <v/>
      </c>
    </row>
    <row r="363" spans="1:24">
      <c r="A363" s="91"/>
      <c r="B363" s="92"/>
      <c r="C363" s="69"/>
      <c r="D363" s="69"/>
      <c r="E363" s="69"/>
      <c r="F363" s="69"/>
      <c r="G363" s="70"/>
      <c r="H363" s="71"/>
      <c r="I363" s="66"/>
      <c r="J363" s="67"/>
      <c r="K363" s="67"/>
      <c r="L363" s="67"/>
      <c r="M363" s="67"/>
      <c r="N363" s="145" t="str">
        <f t="shared" si="45"/>
        <v/>
      </c>
      <c r="O363" s="64"/>
      <c r="P363" s="64"/>
      <c r="Q363" s="152" t="str">
        <f t="shared" si="46"/>
        <v/>
      </c>
      <c r="R363" s="65" t="str">
        <f t="shared" si="47"/>
        <v/>
      </c>
      <c r="S363" s="5" t="str">
        <f t="shared" si="48"/>
        <v/>
      </c>
      <c r="T363" s="5" t="str">
        <f t="shared" si="49"/>
        <v/>
      </c>
      <c r="U363" s="5" t="str">
        <f t="shared" si="50"/>
        <v/>
      </c>
      <c r="V363" s="5" t="str">
        <f t="shared" si="51"/>
        <v/>
      </c>
      <c r="W363" s="5" t="str">
        <f t="shared" si="52"/>
        <v/>
      </c>
      <c r="X363" s="5" t="str">
        <f t="shared" si="53"/>
        <v/>
      </c>
    </row>
    <row r="364" spans="1:24">
      <c r="A364" s="91"/>
      <c r="B364" s="92"/>
      <c r="C364" s="69"/>
      <c r="D364" s="69"/>
      <c r="E364" s="69"/>
      <c r="F364" s="69"/>
      <c r="G364" s="70"/>
      <c r="H364" s="71"/>
      <c r="I364" s="66"/>
      <c r="J364" s="67"/>
      <c r="K364" s="67"/>
      <c r="L364" s="67"/>
      <c r="M364" s="67"/>
      <c r="N364" s="145" t="str">
        <f t="shared" si="45"/>
        <v/>
      </c>
      <c r="O364" s="64"/>
      <c r="P364" s="64"/>
      <c r="Q364" s="152" t="str">
        <f t="shared" si="46"/>
        <v/>
      </c>
      <c r="R364" s="65" t="str">
        <f t="shared" si="47"/>
        <v/>
      </c>
      <c r="S364" s="5" t="str">
        <f t="shared" si="48"/>
        <v/>
      </c>
      <c r="T364" s="5" t="str">
        <f t="shared" si="49"/>
        <v/>
      </c>
      <c r="U364" s="5" t="str">
        <f t="shared" si="50"/>
        <v/>
      </c>
      <c r="V364" s="5" t="str">
        <f t="shared" si="51"/>
        <v/>
      </c>
      <c r="W364" s="5" t="str">
        <f t="shared" si="52"/>
        <v/>
      </c>
      <c r="X364" s="5" t="str">
        <f t="shared" si="53"/>
        <v/>
      </c>
    </row>
    <row r="365" spans="1:24">
      <c r="A365" s="91"/>
      <c r="B365" s="92"/>
      <c r="C365" s="69"/>
      <c r="D365" s="69"/>
      <c r="E365" s="69"/>
      <c r="F365" s="69"/>
      <c r="G365" s="70"/>
      <c r="H365" s="71"/>
      <c r="I365" s="66"/>
      <c r="J365" s="67"/>
      <c r="K365" s="67"/>
      <c r="L365" s="67"/>
      <c r="M365" s="67"/>
      <c r="N365" s="145" t="str">
        <f t="shared" si="45"/>
        <v/>
      </c>
      <c r="O365" s="64"/>
      <c r="P365" s="64"/>
      <c r="Q365" s="152" t="str">
        <f t="shared" si="46"/>
        <v/>
      </c>
      <c r="R365" s="65" t="str">
        <f t="shared" si="47"/>
        <v/>
      </c>
      <c r="S365" s="5" t="str">
        <f t="shared" si="48"/>
        <v/>
      </c>
      <c r="T365" s="5" t="str">
        <f t="shared" si="49"/>
        <v/>
      </c>
      <c r="U365" s="5" t="str">
        <f t="shared" si="50"/>
        <v/>
      </c>
      <c r="V365" s="5" t="str">
        <f t="shared" si="51"/>
        <v/>
      </c>
      <c r="W365" s="5" t="str">
        <f t="shared" si="52"/>
        <v/>
      </c>
      <c r="X365" s="5" t="str">
        <f t="shared" si="53"/>
        <v/>
      </c>
    </row>
    <row r="366" spans="1:24">
      <c r="A366" s="91"/>
      <c r="B366" s="92"/>
      <c r="C366" s="69"/>
      <c r="D366" s="69"/>
      <c r="E366" s="69"/>
      <c r="F366" s="69"/>
      <c r="G366" s="70"/>
      <c r="H366" s="71"/>
      <c r="I366" s="66"/>
      <c r="J366" s="67"/>
      <c r="K366" s="67"/>
      <c r="L366" s="67"/>
      <c r="M366" s="67"/>
      <c r="N366" s="145" t="str">
        <f t="shared" si="45"/>
        <v/>
      </c>
      <c r="O366" s="64"/>
      <c r="P366" s="64"/>
      <c r="Q366" s="152" t="str">
        <f t="shared" si="46"/>
        <v/>
      </c>
      <c r="R366" s="65" t="str">
        <f t="shared" si="47"/>
        <v/>
      </c>
      <c r="S366" s="5" t="str">
        <f t="shared" si="48"/>
        <v/>
      </c>
      <c r="T366" s="5" t="str">
        <f t="shared" si="49"/>
        <v/>
      </c>
      <c r="U366" s="5" t="str">
        <f t="shared" si="50"/>
        <v/>
      </c>
      <c r="V366" s="5" t="str">
        <f t="shared" si="51"/>
        <v/>
      </c>
      <c r="W366" s="5" t="str">
        <f t="shared" si="52"/>
        <v/>
      </c>
      <c r="X366" s="5" t="str">
        <f t="shared" si="53"/>
        <v/>
      </c>
    </row>
    <row r="367" spans="1:24">
      <c r="A367" s="91"/>
      <c r="B367" s="92"/>
      <c r="C367" s="69"/>
      <c r="D367" s="69"/>
      <c r="E367" s="69"/>
      <c r="F367" s="69"/>
      <c r="G367" s="70"/>
      <c r="H367" s="71"/>
      <c r="I367" s="66"/>
      <c r="J367" s="67"/>
      <c r="K367" s="67"/>
      <c r="L367" s="67"/>
      <c r="M367" s="67"/>
      <c r="N367" s="145" t="str">
        <f t="shared" si="45"/>
        <v/>
      </c>
      <c r="O367" s="64"/>
      <c r="P367" s="64"/>
      <c r="Q367" s="152" t="str">
        <f t="shared" si="46"/>
        <v/>
      </c>
      <c r="R367" s="65" t="str">
        <f t="shared" si="47"/>
        <v/>
      </c>
      <c r="S367" s="5" t="str">
        <f t="shared" si="48"/>
        <v/>
      </c>
      <c r="T367" s="5" t="str">
        <f t="shared" si="49"/>
        <v/>
      </c>
      <c r="U367" s="5" t="str">
        <f t="shared" si="50"/>
        <v/>
      </c>
      <c r="V367" s="5" t="str">
        <f t="shared" si="51"/>
        <v/>
      </c>
      <c r="W367" s="5" t="str">
        <f t="shared" si="52"/>
        <v/>
      </c>
      <c r="X367" s="5" t="str">
        <f t="shared" si="53"/>
        <v/>
      </c>
    </row>
    <row r="368" spans="1:24">
      <c r="A368" s="91"/>
      <c r="B368" s="92"/>
      <c r="C368" s="69"/>
      <c r="D368" s="69"/>
      <c r="E368" s="69"/>
      <c r="F368" s="69"/>
      <c r="G368" s="70"/>
      <c r="H368" s="71"/>
      <c r="I368" s="66"/>
      <c r="J368" s="67"/>
      <c r="K368" s="67"/>
      <c r="L368" s="67"/>
      <c r="M368" s="67"/>
      <c r="N368" s="145" t="str">
        <f t="shared" si="45"/>
        <v/>
      </c>
      <c r="O368" s="64"/>
      <c r="P368" s="64"/>
      <c r="Q368" s="152" t="str">
        <f t="shared" si="46"/>
        <v/>
      </c>
      <c r="R368" s="65" t="str">
        <f t="shared" si="47"/>
        <v/>
      </c>
      <c r="S368" s="5" t="str">
        <f t="shared" si="48"/>
        <v/>
      </c>
      <c r="T368" s="5" t="str">
        <f t="shared" si="49"/>
        <v/>
      </c>
      <c r="U368" s="5" t="str">
        <f t="shared" si="50"/>
        <v/>
      </c>
      <c r="V368" s="5" t="str">
        <f t="shared" si="51"/>
        <v/>
      </c>
      <c r="W368" s="5" t="str">
        <f t="shared" si="52"/>
        <v/>
      </c>
      <c r="X368" s="5" t="str">
        <f t="shared" si="53"/>
        <v/>
      </c>
    </row>
    <row r="369" spans="1:24">
      <c r="A369" s="91"/>
      <c r="B369" s="92"/>
      <c r="C369" s="69"/>
      <c r="D369" s="69"/>
      <c r="E369" s="69"/>
      <c r="F369" s="69"/>
      <c r="G369" s="70"/>
      <c r="H369" s="71"/>
      <c r="I369" s="66"/>
      <c r="J369" s="67"/>
      <c r="K369" s="67"/>
      <c r="L369" s="67"/>
      <c r="M369" s="67"/>
      <c r="N369" s="145" t="str">
        <f t="shared" si="45"/>
        <v/>
      </c>
      <c r="O369" s="64"/>
      <c r="P369" s="64"/>
      <c r="Q369" s="152" t="str">
        <f t="shared" si="46"/>
        <v/>
      </c>
      <c r="R369" s="65" t="str">
        <f t="shared" si="47"/>
        <v/>
      </c>
      <c r="S369" s="5" t="str">
        <f t="shared" si="48"/>
        <v/>
      </c>
      <c r="T369" s="5" t="str">
        <f t="shared" si="49"/>
        <v/>
      </c>
      <c r="U369" s="5" t="str">
        <f t="shared" si="50"/>
        <v/>
      </c>
      <c r="V369" s="5" t="str">
        <f t="shared" si="51"/>
        <v/>
      </c>
      <c r="W369" s="5" t="str">
        <f t="shared" si="52"/>
        <v/>
      </c>
      <c r="X369" s="5" t="str">
        <f t="shared" si="53"/>
        <v/>
      </c>
    </row>
    <row r="370" spans="1:24">
      <c r="A370" s="91"/>
      <c r="B370" s="92"/>
      <c r="C370" s="69"/>
      <c r="D370" s="69"/>
      <c r="E370" s="69"/>
      <c r="F370" s="69"/>
      <c r="G370" s="70"/>
      <c r="H370" s="71"/>
      <c r="I370" s="66"/>
      <c r="J370" s="67"/>
      <c r="K370" s="67"/>
      <c r="L370" s="67"/>
      <c r="M370" s="67"/>
      <c r="N370" s="145" t="str">
        <f t="shared" si="45"/>
        <v/>
      </c>
      <c r="O370" s="64"/>
      <c r="P370" s="64"/>
      <c r="Q370" s="152" t="str">
        <f t="shared" si="46"/>
        <v/>
      </c>
      <c r="R370" s="65" t="str">
        <f t="shared" si="47"/>
        <v/>
      </c>
      <c r="S370" s="5" t="str">
        <f t="shared" si="48"/>
        <v/>
      </c>
      <c r="T370" s="5" t="str">
        <f t="shared" si="49"/>
        <v/>
      </c>
      <c r="U370" s="5" t="str">
        <f t="shared" si="50"/>
        <v/>
      </c>
      <c r="V370" s="5" t="str">
        <f t="shared" si="51"/>
        <v/>
      </c>
      <c r="W370" s="5" t="str">
        <f t="shared" si="52"/>
        <v/>
      </c>
      <c r="X370" s="5" t="str">
        <f t="shared" si="53"/>
        <v/>
      </c>
    </row>
    <row r="371" spans="1:24">
      <c r="A371" s="91"/>
      <c r="B371" s="92"/>
      <c r="C371" s="69"/>
      <c r="D371" s="69"/>
      <c r="E371" s="69"/>
      <c r="F371" s="69"/>
      <c r="G371" s="70"/>
      <c r="H371" s="71"/>
      <c r="I371" s="66"/>
      <c r="J371" s="67"/>
      <c r="K371" s="67"/>
      <c r="L371" s="67"/>
      <c r="M371" s="67"/>
      <c r="N371" s="145" t="str">
        <f t="shared" si="45"/>
        <v/>
      </c>
      <c r="O371" s="64"/>
      <c r="P371" s="64"/>
      <c r="Q371" s="152" t="str">
        <f t="shared" si="46"/>
        <v/>
      </c>
      <c r="R371" s="65" t="str">
        <f t="shared" si="47"/>
        <v/>
      </c>
      <c r="S371" s="5" t="str">
        <f t="shared" si="48"/>
        <v/>
      </c>
      <c r="T371" s="5" t="str">
        <f t="shared" si="49"/>
        <v/>
      </c>
      <c r="U371" s="5" t="str">
        <f t="shared" si="50"/>
        <v/>
      </c>
      <c r="V371" s="5" t="str">
        <f t="shared" si="51"/>
        <v/>
      </c>
      <c r="W371" s="5" t="str">
        <f t="shared" si="52"/>
        <v/>
      </c>
      <c r="X371" s="5" t="str">
        <f t="shared" si="53"/>
        <v/>
      </c>
    </row>
    <row r="372" spans="1:24">
      <c r="A372" s="91"/>
      <c r="B372" s="92"/>
      <c r="C372" s="69"/>
      <c r="D372" s="69"/>
      <c r="E372" s="69"/>
      <c r="F372" s="69"/>
      <c r="G372" s="70"/>
      <c r="H372" s="71"/>
      <c r="I372" s="66"/>
      <c r="J372" s="67"/>
      <c r="K372" s="67"/>
      <c r="L372" s="67"/>
      <c r="M372" s="67"/>
      <c r="N372" s="145" t="str">
        <f t="shared" si="45"/>
        <v/>
      </c>
      <c r="O372" s="64"/>
      <c r="P372" s="64"/>
      <c r="Q372" s="152" t="str">
        <f t="shared" si="46"/>
        <v/>
      </c>
      <c r="R372" s="65" t="str">
        <f t="shared" si="47"/>
        <v/>
      </c>
      <c r="S372" s="5" t="str">
        <f t="shared" si="48"/>
        <v/>
      </c>
      <c r="T372" s="5" t="str">
        <f t="shared" si="49"/>
        <v/>
      </c>
      <c r="U372" s="5" t="str">
        <f t="shared" si="50"/>
        <v/>
      </c>
      <c r="V372" s="5" t="str">
        <f t="shared" si="51"/>
        <v/>
      </c>
      <c r="W372" s="5" t="str">
        <f t="shared" si="52"/>
        <v/>
      </c>
      <c r="X372" s="5" t="str">
        <f t="shared" si="53"/>
        <v/>
      </c>
    </row>
    <row r="373" spans="1:24">
      <c r="A373" s="91"/>
      <c r="B373" s="92"/>
      <c r="C373" s="69"/>
      <c r="D373" s="69"/>
      <c r="E373" s="69"/>
      <c r="F373" s="69"/>
      <c r="G373" s="70"/>
      <c r="H373" s="71"/>
      <c r="I373" s="66"/>
      <c r="J373" s="67"/>
      <c r="K373" s="67"/>
      <c r="L373" s="67"/>
      <c r="M373" s="67"/>
      <c r="N373" s="145" t="str">
        <f t="shared" si="45"/>
        <v/>
      </c>
      <c r="O373" s="64"/>
      <c r="P373" s="64"/>
      <c r="Q373" s="152" t="str">
        <f t="shared" si="46"/>
        <v/>
      </c>
      <c r="R373" s="65" t="str">
        <f t="shared" si="47"/>
        <v/>
      </c>
      <c r="S373" s="5" t="str">
        <f t="shared" si="48"/>
        <v/>
      </c>
      <c r="T373" s="5" t="str">
        <f t="shared" si="49"/>
        <v/>
      </c>
      <c r="U373" s="5" t="str">
        <f t="shared" si="50"/>
        <v/>
      </c>
      <c r="V373" s="5" t="str">
        <f t="shared" si="51"/>
        <v/>
      </c>
      <c r="W373" s="5" t="str">
        <f t="shared" si="52"/>
        <v/>
      </c>
      <c r="X373" s="5" t="str">
        <f t="shared" si="53"/>
        <v/>
      </c>
    </row>
    <row r="374" spans="1:24">
      <c r="A374" s="91"/>
      <c r="B374" s="92"/>
      <c r="C374" s="69"/>
      <c r="D374" s="69"/>
      <c r="E374" s="69"/>
      <c r="F374" s="69"/>
      <c r="G374" s="70"/>
      <c r="H374" s="71"/>
      <c r="I374" s="66"/>
      <c r="J374" s="67"/>
      <c r="K374" s="67"/>
      <c r="L374" s="67"/>
      <c r="M374" s="67"/>
      <c r="N374" s="145" t="str">
        <f t="shared" si="45"/>
        <v/>
      </c>
      <c r="O374" s="64"/>
      <c r="P374" s="64"/>
      <c r="Q374" s="152" t="str">
        <f t="shared" si="46"/>
        <v/>
      </c>
      <c r="R374" s="65" t="str">
        <f t="shared" si="47"/>
        <v/>
      </c>
      <c r="S374" s="5" t="str">
        <f t="shared" si="48"/>
        <v/>
      </c>
      <c r="T374" s="5" t="str">
        <f t="shared" si="49"/>
        <v/>
      </c>
      <c r="U374" s="5" t="str">
        <f t="shared" si="50"/>
        <v/>
      </c>
      <c r="V374" s="5" t="str">
        <f t="shared" si="51"/>
        <v/>
      </c>
      <c r="W374" s="5" t="str">
        <f t="shared" si="52"/>
        <v/>
      </c>
      <c r="X374" s="5" t="str">
        <f t="shared" si="53"/>
        <v/>
      </c>
    </row>
    <row r="375" spans="1:24">
      <c r="A375" s="91"/>
      <c r="B375" s="92"/>
      <c r="C375" s="69"/>
      <c r="D375" s="69"/>
      <c r="E375" s="69"/>
      <c r="F375" s="69"/>
      <c r="G375" s="70"/>
      <c r="H375" s="71"/>
      <c r="I375" s="66"/>
      <c r="J375" s="67"/>
      <c r="K375" s="67"/>
      <c r="L375" s="67"/>
      <c r="M375" s="67"/>
      <c r="N375" s="145" t="str">
        <f t="shared" si="45"/>
        <v/>
      </c>
      <c r="O375" s="64"/>
      <c r="P375" s="64"/>
      <c r="Q375" s="152" t="str">
        <f t="shared" si="46"/>
        <v/>
      </c>
      <c r="R375" s="65" t="str">
        <f t="shared" si="47"/>
        <v/>
      </c>
      <c r="S375" s="5" t="str">
        <f t="shared" si="48"/>
        <v/>
      </c>
      <c r="T375" s="5" t="str">
        <f t="shared" si="49"/>
        <v/>
      </c>
      <c r="U375" s="5" t="str">
        <f t="shared" si="50"/>
        <v/>
      </c>
      <c r="V375" s="5" t="str">
        <f t="shared" si="51"/>
        <v/>
      </c>
      <c r="W375" s="5" t="str">
        <f t="shared" si="52"/>
        <v/>
      </c>
      <c r="X375" s="5" t="str">
        <f t="shared" si="53"/>
        <v/>
      </c>
    </row>
    <row r="376" spans="1:24">
      <c r="A376" s="91"/>
      <c r="B376" s="92"/>
      <c r="C376" s="69"/>
      <c r="D376" s="69"/>
      <c r="E376" s="69"/>
      <c r="F376" s="69"/>
      <c r="G376" s="70"/>
      <c r="H376" s="71"/>
      <c r="I376" s="66"/>
      <c r="J376" s="67"/>
      <c r="K376" s="67"/>
      <c r="L376" s="67"/>
      <c r="M376" s="67"/>
      <c r="N376" s="145" t="str">
        <f t="shared" si="45"/>
        <v/>
      </c>
      <c r="O376" s="64"/>
      <c r="P376" s="64"/>
      <c r="Q376" s="152" t="str">
        <f t="shared" si="46"/>
        <v/>
      </c>
      <c r="R376" s="65" t="str">
        <f t="shared" si="47"/>
        <v/>
      </c>
      <c r="S376" s="5" t="str">
        <f t="shared" si="48"/>
        <v/>
      </c>
      <c r="T376" s="5" t="str">
        <f t="shared" si="49"/>
        <v/>
      </c>
      <c r="U376" s="5" t="str">
        <f t="shared" si="50"/>
        <v/>
      </c>
      <c r="V376" s="5" t="str">
        <f t="shared" si="51"/>
        <v/>
      </c>
      <c r="W376" s="5" t="str">
        <f t="shared" si="52"/>
        <v/>
      </c>
      <c r="X376" s="5" t="str">
        <f t="shared" si="53"/>
        <v/>
      </c>
    </row>
    <row r="377" spans="1:24">
      <c r="A377" s="91"/>
      <c r="B377" s="92"/>
      <c r="C377" s="69"/>
      <c r="D377" s="69"/>
      <c r="E377" s="69"/>
      <c r="F377" s="69"/>
      <c r="G377" s="70"/>
      <c r="H377" s="71"/>
      <c r="I377" s="66"/>
      <c r="J377" s="67"/>
      <c r="K377" s="67"/>
      <c r="L377" s="67"/>
      <c r="M377" s="67"/>
      <c r="N377" s="145" t="str">
        <f t="shared" si="45"/>
        <v/>
      </c>
      <c r="O377" s="64"/>
      <c r="P377" s="64"/>
      <c r="Q377" s="152" t="str">
        <f t="shared" si="46"/>
        <v/>
      </c>
      <c r="R377" s="65" t="str">
        <f t="shared" si="47"/>
        <v/>
      </c>
      <c r="S377" s="5" t="str">
        <f t="shared" si="48"/>
        <v/>
      </c>
      <c r="T377" s="5" t="str">
        <f t="shared" si="49"/>
        <v/>
      </c>
      <c r="U377" s="5" t="str">
        <f t="shared" si="50"/>
        <v/>
      </c>
      <c r="V377" s="5" t="str">
        <f t="shared" si="51"/>
        <v/>
      </c>
      <c r="W377" s="5" t="str">
        <f t="shared" si="52"/>
        <v/>
      </c>
      <c r="X377" s="5" t="str">
        <f t="shared" si="53"/>
        <v/>
      </c>
    </row>
    <row r="378" spans="1:24">
      <c r="A378" s="91"/>
      <c r="B378" s="92"/>
      <c r="C378" s="69"/>
      <c r="D378" s="69"/>
      <c r="E378" s="69"/>
      <c r="F378" s="69"/>
      <c r="G378" s="70"/>
      <c r="H378" s="71"/>
      <c r="I378" s="66"/>
      <c r="J378" s="67"/>
      <c r="K378" s="67"/>
      <c r="L378" s="67"/>
      <c r="M378" s="67"/>
      <c r="N378" s="145" t="str">
        <f t="shared" si="45"/>
        <v/>
      </c>
      <c r="O378" s="64"/>
      <c r="P378" s="64"/>
      <c r="Q378" s="152" t="str">
        <f t="shared" si="46"/>
        <v/>
      </c>
      <c r="R378" s="65" t="str">
        <f t="shared" si="47"/>
        <v/>
      </c>
      <c r="S378" s="5" t="str">
        <f t="shared" si="48"/>
        <v/>
      </c>
      <c r="T378" s="5" t="str">
        <f t="shared" si="49"/>
        <v/>
      </c>
      <c r="U378" s="5" t="str">
        <f t="shared" si="50"/>
        <v/>
      </c>
      <c r="V378" s="5" t="str">
        <f t="shared" si="51"/>
        <v/>
      </c>
      <c r="W378" s="5" t="str">
        <f t="shared" si="52"/>
        <v/>
      </c>
      <c r="X378" s="5" t="str">
        <f t="shared" si="53"/>
        <v/>
      </c>
    </row>
    <row r="379" spans="1:24">
      <c r="A379" s="91"/>
      <c r="B379" s="92"/>
      <c r="C379" s="69"/>
      <c r="D379" s="69"/>
      <c r="E379" s="69"/>
      <c r="F379" s="69"/>
      <c r="G379" s="70"/>
      <c r="H379" s="71"/>
      <c r="I379" s="66"/>
      <c r="J379" s="67"/>
      <c r="K379" s="67"/>
      <c r="L379" s="67"/>
      <c r="M379" s="67"/>
      <c r="N379" s="145" t="str">
        <f t="shared" si="45"/>
        <v/>
      </c>
      <c r="O379" s="64"/>
      <c r="P379" s="64"/>
      <c r="Q379" s="152" t="str">
        <f t="shared" si="46"/>
        <v/>
      </c>
      <c r="R379" s="65" t="str">
        <f t="shared" si="47"/>
        <v/>
      </c>
      <c r="S379" s="5" t="str">
        <f t="shared" si="48"/>
        <v/>
      </c>
      <c r="T379" s="5" t="str">
        <f t="shared" si="49"/>
        <v/>
      </c>
      <c r="U379" s="5" t="str">
        <f t="shared" si="50"/>
        <v/>
      </c>
      <c r="V379" s="5" t="str">
        <f t="shared" si="51"/>
        <v/>
      </c>
      <c r="W379" s="5" t="str">
        <f t="shared" si="52"/>
        <v/>
      </c>
      <c r="X379" s="5" t="str">
        <f t="shared" si="53"/>
        <v/>
      </c>
    </row>
    <row r="380" spans="1:24">
      <c r="A380" s="91"/>
      <c r="B380" s="92"/>
      <c r="C380" s="69"/>
      <c r="D380" s="69"/>
      <c r="E380" s="69"/>
      <c r="F380" s="69"/>
      <c r="G380" s="70"/>
      <c r="H380" s="71"/>
      <c r="I380" s="66"/>
      <c r="J380" s="67"/>
      <c r="K380" s="67"/>
      <c r="L380" s="67"/>
      <c r="M380" s="67"/>
      <c r="N380" s="145" t="str">
        <f t="shared" si="45"/>
        <v/>
      </c>
      <c r="O380" s="64"/>
      <c r="P380" s="64"/>
      <c r="Q380" s="152" t="str">
        <f t="shared" si="46"/>
        <v/>
      </c>
      <c r="R380" s="65" t="str">
        <f t="shared" si="47"/>
        <v/>
      </c>
      <c r="S380" s="5" t="str">
        <f t="shared" si="48"/>
        <v/>
      </c>
      <c r="T380" s="5" t="str">
        <f t="shared" si="49"/>
        <v/>
      </c>
      <c r="U380" s="5" t="str">
        <f t="shared" si="50"/>
        <v/>
      </c>
      <c r="V380" s="5" t="str">
        <f t="shared" si="51"/>
        <v/>
      </c>
      <c r="W380" s="5" t="str">
        <f t="shared" si="52"/>
        <v/>
      </c>
      <c r="X380" s="5" t="str">
        <f t="shared" si="53"/>
        <v/>
      </c>
    </row>
    <row r="381" spans="1:24">
      <c r="A381" s="91"/>
      <c r="B381" s="92"/>
      <c r="C381" s="69"/>
      <c r="D381" s="69"/>
      <c r="E381" s="69"/>
      <c r="F381" s="69"/>
      <c r="G381" s="70"/>
      <c r="H381" s="71"/>
      <c r="I381" s="66"/>
      <c r="J381" s="67"/>
      <c r="K381" s="67"/>
      <c r="L381" s="67"/>
      <c r="M381" s="67"/>
      <c r="N381" s="145" t="str">
        <f t="shared" si="45"/>
        <v/>
      </c>
      <c r="O381" s="64"/>
      <c r="P381" s="64"/>
      <c r="Q381" s="152" t="str">
        <f t="shared" si="46"/>
        <v/>
      </c>
      <c r="R381" s="65" t="str">
        <f t="shared" si="47"/>
        <v/>
      </c>
      <c r="S381" s="5" t="str">
        <f t="shared" si="48"/>
        <v/>
      </c>
      <c r="T381" s="5" t="str">
        <f t="shared" si="49"/>
        <v/>
      </c>
      <c r="U381" s="5" t="str">
        <f t="shared" si="50"/>
        <v/>
      </c>
      <c r="V381" s="5" t="str">
        <f t="shared" si="51"/>
        <v/>
      </c>
      <c r="W381" s="5" t="str">
        <f t="shared" si="52"/>
        <v/>
      </c>
      <c r="X381" s="5" t="str">
        <f t="shared" si="53"/>
        <v/>
      </c>
    </row>
    <row r="382" spans="1:24">
      <c r="A382" s="91"/>
      <c r="B382" s="92"/>
      <c r="C382" s="69"/>
      <c r="D382" s="69"/>
      <c r="E382" s="69"/>
      <c r="F382" s="69"/>
      <c r="G382" s="70"/>
      <c r="H382" s="71"/>
      <c r="I382" s="66"/>
      <c r="J382" s="67"/>
      <c r="K382" s="67"/>
      <c r="L382" s="67"/>
      <c r="M382" s="67"/>
      <c r="N382" s="145" t="str">
        <f t="shared" si="45"/>
        <v/>
      </c>
      <c r="O382" s="64"/>
      <c r="P382" s="64"/>
      <c r="Q382" s="152" t="str">
        <f t="shared" si="46"/>
        <v/>
      </c>
      <c r="R382" s="65" t="str">
        <f t="shared" si="47"/>
        <v/>
      </c>
      <c r="S382" s="5" t="str">
        <f t="shared" si="48"/>
        <v/>
      </c>
      <c r="T382" s="5" t="str">
        <f t="shared" si="49"/>
        <v/>
      </c>
      <c r="U382" s="5" t="str">
        <f t="shared" si="50"/>
        <v/>
      </c>
      <c r="V382" s="5" t="str">
        <f t="shared" si="51"/>
        <v/>
      </c>
      <c r="W382" s="5" t="str">
        <f t="shared" si="52"/>
        <v/>
      </c>
      <c r="X382" s="5" t="str">
        <f t="shared" si="53"/>
        <v/>
      </c>
    </row>
    <row r="383" spans="1:24">
      <c r="A383" s="91"/>
      <c r="B383" s="92"/>
      <c r="C383" s="69"/>
      <c r="D383" s="69"/>
      <c r="E383" s="69"/>
      <c r="F383" s="69"/>
      <c r="G383" s="70"/>
      <c r="H383" s="71"/>
      <c r="I383" s="66"/>
      <c r="J383" s="67"/>
      <c r="K383" s="67"/>
      <c r="L383" s="67"/>
      <c r="M383" s="67"/>
      <c r="N383" s="145" t="str">
        <f t="shared" si="45"/>
        <v/>
      </c>
      <c r="O383" s="64"/>
      <c r="P383" s="64"/>
      <c r="Q383" s="152" t="str">
        <f t="shared" si="46"/>
        <v/>
      </c>
      <c r="R383" s="65" t="str">
        <f t="shared" si="47"/>
        <v/>
      </c>
      <c r="S383" s="5" t="str">
        <f t="shared" si="48"/>
        <v/>
      </c>
      <c r="T383" s="5" t="str">
        <f t="shared" si="49"/>
        <v/>
      </c>
      <c r="U383" s="5" t="str">
        <f t="shared" si="50"/>
        <v/>
      </c>
      <c r="V383" s="5" t="str">
        <f t="shared" si="51"/>
        <v/>
      </c>
      <c r="W383" s="5" t="str">
        <f t="shared" si="52"/>
        <v/>
      </c>
      <c r="X383" s="5" t="str">
        <f t="shared" si="53"/>
        <v/>
      </c>
    </row>
    <row r="384" spans="1:24">
      <c r="A384" s="91"/>
      <c r="B384" s="92"/>
      <c r="C384" s="69"/>
      <c r="D384" s="69"/>
      <c r="E384" s="69"/>
      <c r="F384" s="69"/>
      <c r="G384" s="70"/>
      <c r="H384" s="71"/>
      <c r="I384" s="66"/>
      <c r="J384" s="67"/>
      <c r="K384" s="67"/>
      <c r="L384" s="67"/>
      <c r="M384" s="67"/>
      <c r="N384" s="145" t="str">
        <f t="shared" si="45"/>
        <v/>
      </c>
      <c r="O384" s="64"/>
      <c r="P384" s="64"/>
      <c r="Q384" s="152" t="str">
        <f t="shared" si="46"/>
        <v/>
      </c>
      <c r="R384" s="65" t="str">
        <f t="shared" si="47"/>
        <v/>
      </c>
      <c r="S384" s="5" t="str">
        <f t="shared" si="48"/>
        <v/>
      </c>
      <c r="T384" s="5" t="str">
        <f t="shared" si="49"/>
        <v/>
      </c>
      <c r="U384" s="5" t="str">
        <f t="shared" si="50"/>
        <v/>
      </c>
      <c r="V384" s="5" t="str">
        <f t="shared" si="51"/>
        <v/>
      </c>
      <c r="W384" s="5" t="str">
        <f t="shared" si="52"/>
        <v/>
      </c>
      <c r="X384" s="5" t="str">
        <f t="shared" si="53"/>
        <v/>
      </c>
    </row>
    <row r="385" spans="1:24">
      <c r="A385" s="91"/>
      <c r="B385" s="92"/>
      <c r="C385" s="69"/>
      <c r="D385" s="69"/>
      <c r="E385" s="69"/>
      <c r="F385" s="69"/>
      <c r="G385" s="70"/>
      <c r="H385" s="71"/>
      <c r="I385" s="66"/>
      <c r="J385" s="67"/>
      <c r="K385" s="67"/>
      <c r="L385" s="67"/>
      <c r="M385" s="67"/>
      <c r="N385" s="145" t="str">
        <f t="shared" si="45"/>
        <v/>
      </c>
      <c r="O385" s="64"/>
      <c r="P385" s="64"/>
      <c r="Q385" s="152" t="str">
        <f t="shared" si="46"/>
        <v/>
      </c>
      <c r="R385" s="65" t="str">
        <f t="shared" si="47"/>
        <v/>
      </c>
      <c r="S385" s="5" t="str">
        <f t="shared" si="48"/>
        <v/>
      </c>
      <c r="T385" s="5" t="str">
        <f t="shared" si="49"/>
        <v/>
      </c>
      <c r="U385" s="5" t="str">
        <f t="shared" si="50"/>
        <v/>
      </c>
      <c r="V385" s="5" t="str">
        <f t="shared" si="51"/>
        <v/>
      </c>
      <c r="W385" s="5" t="str">
        <f t="shared" si="52"/>
        <v/>
      </c>
      <c r="X385" s="5" t="str">
        <f t="shared" si="53"/>
        <v/>
      </c>
    </row>
    <row r="386" spans="1:24">
      <c r="A386" s="91"/>
      <c r="B386" s="92"/>
      <c r="C386" s="69"/>
      <c r="D386" s="69"/>
      <c r="E386" s="69"/>
      <c r="F386" s="69"/>
      <c r="G386" s="70"/>
      <c r="H386" s="71"/>
      <c r="I386" s="66"/>
      <c r="J386" s="67"/>
      <c r="K386" s="67"/>
      <c r="L386" s="67"/>
      <c r="M386" s="67"/>
      <c r="N386" s="145" t="str">
        <f t="shared" si="45"/>
        <v/>
      </c>
      <c r="O386" s="64"/>
      <c r="P386" s="64"/>
      <c r="Q386" s="152" t="str">
        <f t="shared" si="46"/>
        <v/>
      </c>
      <c r="R386" s="65" t="str">
        <f t="shared" si="47"/>
        <v/>
      </c>
      <c r="S386" s="5" t="str">
        <f t="shared" si="48"/>
        <v/>
      </c>
      <c r="T386" s="5" t="str">
        <f t="shared" si="49"/>
        <v/>
      </c>
      <c r="U386" s="5" t="str">
        <f t="shared" si="50"/>
        <v/>
      </c>
      <c r="V386" s="5" t="str">
        <f t="shared" si="51"/>
        <v/>
      </c>
      <c r="W386" s="5" t="str">
        <f t="shared" si="52"/>
        <v/>
      </c>
      <c r="X386" s="5" t="str">
        <f t="shared" si="53"/>
        <v/>
      </c>
    </row>
    <row r="387" spans="1:24">
      <c r="A387" s="91"/>
      <c r="B387" s="92"/>
      <c r="C387" s="69"/>
      <c r="D387" s="69"/>
      <c r="E387" s="69"/>
      <c r="F387" s="69"/>
      <c r="G387" s="70"/>
      <c r="H387" s="71"/>
      <c r="I387" s="66"/>
      <c r="J387" s="67"/>
      <c r="K387" s="67"/>
      <c r="L387" s="67"/>
      <c r="M387" s="67"/>
      <c r="N387" s="145" t="str">
        <f t="shared" si="45"/>
        <v/>
      </c>
      <c r="O387" s="64"/>
      <c r="P387" s="64"/>
      <c r="Q387" s="152" t="str">
        <f t="shared" si="46"/>
        <v/>
      </c>
      <c r="R387" s="65" t="str">
        <f t="shared" si="47"/>
        <v/>
      </c>
      <c r="S387" s="5" t="str">
        <f t="shared" si="48"/>
        <v/>
      </c>
      <c r="T387" s="5" t="str">
        <f t="shared" si="49"/>
        <v/>
      </c>
      <c r="U387" s="5" t="str">
        <f t="shared" si="50"/>
        <v/>
      </c>
      <c r="V387" s="5" t="str">
        <f t="shared" si="51"/>
        <v/>
      </c>
      <c r="W387" s="5" t="str">
        <f t="shared" si="52"/>
        <v/>
      </c>
      <c r="X387" s="5" t="str">
        <f t="shared" si="53"/>
        <v/>
      </c>
    </row>
    <row r="388" spans="1:24">
      <c r="A388" s="91"/>
      <c r="B388" s="92"/>
      <c r="C388" s="69"/>
      <c r="D388" s="69"/>
      <c r="E388" s="69"/>
      <c r="F388" s="69"/>
      <c r="G388" s="70"/>
      <c r="H388" s="71"/>
      <c r="I388" s="66"/>
      <c r="J388" s="67"/>
      <c r="K388" s="67"/>
      <c r="L388" s="67"/>
      <c r="M388" s="67"/>
      <c r="N388" s="145" t="str">
        <f t="shared" si="45"/>
        <v/>
      </c>
      <c r="O388" s="64"/>
      <c r="P388" s="64"/>
      <c r="Q388" s="152" t="str">
        <f t="shared" si="46"/>
        <v/>
      </c>
      <c r="R388" s="65" t="str">
        <f t="shared" si="47"/>
        <v/>
      </c>
      <c r="S388" s="5" t="str">
        <f t="shared" si="48"/>
        <v/>
      </c>
      <c r="T388" s="5" t="str">
        <f t="shared" si="49"/>
        <v/>
      </c>
      <c r="U388" s="5" t="str">
        <f t="shared" si="50"/>
        <v/>
      </c>
      <c r="V388" s="5" t="str">
        <f t="shared" si="51"/>
        <v/>
      </c>
      <c r="W388" s="5" t="str">
        <f t="shared" si="52"/>
        <v/>
      </c>
      <c r="X388" s="5" t="str">
        <f t="shared" si="53"/>
        <v/>
      </c>
    </row>
    <row r="389" spans="1:24">
      <c r="A389" s="91"/>
      <c r="B389" s="92"/>
      <c r="C389" s="69"/>
      <c r="D389" s="69"/>
      <c r="E389" s="69"/>
      <c r="F389" s="69"/>
      <c r="G389" s="70"/>
      <c r="H389" s="71"/>
      <c r="I389" s="66"/>
      <c r="J389" s="67"/>
      <c r="K389" s="67"/>
      <c r="L389" s="67"/>
      <c r="M389" s="67"/>
      <c r="N389" s="145" t="str">
        <f t="shared" si="45"/>
        <v/>
      </c>
      <c r="O389" s="64"/>
      <c r="P389" s="64"/>
      <c r="Q389" s="152" t="str">
        <f t="shared" si="46"/>
        <v/>
      </c>
      <c r="R389" s="65" t="str">
        <f t="shared" si="47"/>
        <v/>
      </c>
      <c r="S389" s="5" t="str">
        <f t="shared" si="48"/>
        <v/>
      </c>
      <c r="T389" s="5" t="str">
        <f t="shared" si="49"/>
        <v/>
      </c>
      <c r="U389" s="5" t="str">
        <f t="shared" si="50"/>
        <v/>
      </c>
      <c r="V389" s="5" t="str">
        <f t="shared" si="51"/>
        <v/>
      </c>
      <c r="W389" s="5" t="str">
        <f t="shared" si="52"/>
        <v/>
      </c>
      <c r="X389" s="5" t="str">
        <f t="shared" si="53"/>
        <v/>
      </c>
    </row>
    <row r="390" spans="1:24">
      <c r="A390" s="91"/>
      <c r="B390" s="92"/>
      <c r="C390" s="69"/>
      <c r="D390" s="69"/>
      <c r="E390" s="69"/>
      <c r="F390" s="69"/>
      <c r="G390" s="70"/>
      <c r="H390" s="71"/>
      <c r="I390" s="66"/>
      <c r="J390" s="67"/>
      <c r="K390" s="67"/>
      <c r="L390" s="67"/>
      <c r="M390" s="67"/>
      <c r="N390" s="145" t="str">
        <f t="shared" si="45"/>
        <v/>
      </c>
      <c r="O390" s="64"/>
      <c r="P390" s="64"/>
      <c r="Q390" s="152" t="str">
        <f t="shared" si="46"/>
        <v/>
      </c>
      <c r="R390" s="65" t="str">
        <f t="shared" si="47"/>
        <v/>
      </c>
      <c r="S390" s="5" t="str">
        <f t="shared" si="48"/>
        <v/>
      </c>
      <c r="T390" s="5" t="str">
        <f t="shared" si="49"/>
        <v/>
      </c>
      <c r="U390" s="5" t="str">
        <f t="shared" si="50"/>
        <v/>
      </c>
      <c r="V390" s="5" t="str">
        <f t="shared" si="51"/>
        <v/>
      </c>
      <c r="W390" s="5" t="str">
        <f t="shared" si="52"/>
        <v/>
      </c>
      <c r="X390" s="5" t="str">
        <f t="shared" si="53"/>
        <v/>
      </c>
    </row>
    <row r="391" spans="1:24">
      <c r="A391" s="91"/>
      <c r="B391" s="92"/>
      <c r="C391" s="69"/>
      <c r="D391" s="69"/>
      <c r="E391" s="69"/>
      <c r="F391" s="69"/>
      <c r="G391" s="70"/>
      <c r="H391" s="71"/>
      <c r="I391" s="66"/>
      <c r="J391" s="67"/>
      <c r="K391" s="67"/>
      <c r="L391" s="67"/>
      <c r="M391" s="67"/>
      <c r="N391" s="145" t="str">
        <f t="shared" ref="N391:N429" si="54">IF($C391="","",IF($L391+$M391=0,0,$L391/($L391+$M391)))</f>
        <v/>
      </c>
      <c r="O391" s="64"/>
      <c r="P391" s="64"/>
      <c r="Q391" s="152" t="str">
        <f t="shared" ref="Q391:Q429" si="55">IF($C391="","",($O391-($P391/2)))</f>
        <v/>
      </c>
      <c r="R391" s="65" t="str">
        <f t="shared" ref="R391:R429" si="56">IF($C391="","",IF(TRIM($B391)="beginning",(((SUM($S391:$X391)-7085)/3811)*40)+360,IF(TRIM($B391)="middle",(((SUM($S391:$X391)-7085)/3811)*40)+400,IF(TRIM($B391)="end",(((SUM($S391:$X391)-7085)/3811)*40)+440,""))))</f>
        <v/>
      </c>
      <c r="S391" s="5" t="str">
        <f t="shared" ref="S391:S429" si="57">IF($C391="","",I391*32.74)</f>
        <v/>
      </c>
      <c r="T391" s="5" t="str">
        <f t="shared" ref="T391:T429" si="58">IF($C391="","",J391*10.95)</f>
        <v/>
      </c>
      <c r="U391" s="5" t="str">
        <f t="shared" ref="U391:U429" si="59">IF($C391="","",K391*21.26)</f>
        <v/>
      </c>
      <c r="V391" s="5" t="str">
        <f t="shared" ref="V391:V429" si="60">IF($C391="","",L391*35.36)</f>
        <v/>
      </c>
      <c r="W391" s="5" t="str">
        <f t="shared" ref="W391:W429" si="61">IF($C391="","",N391*0.15)</f>
        <v/>
      </c>
      <c r="X391" s="5" t="str">
        <f t="shared" ref="X391:X429" si="62">IF($C391="","",Q391*4.28)</f>
        <v/>
      </c>
    </row>
    <row r="392" spans="1:24">
      <c r="A392" s="91"/>
      <c r="B392" s="92"/>
      <c r="C392" s="69"/>
      <c r="D392" s="69"/>
      <c r="E392" s="69"/>
      <c r="F392" s="69"/>
      <c r="G392" s="70"/>
      <c r="H392" s="71"/>
      <c r="I392" s="66"/>
      <c r="J392" s="67"/>
      <c r="K392" s="67"/>
      <c r="L392" s="67"/>
      <c r="M392" s="67"/>
      <c r="N392" s="145" t="str">
        <f t="shared" si="54"/>
        <v/>
      </c>
      <c r="O392" s="64"/>
      <c r="P392" s="64"/>
      <c r="Q392" s="152" t="str">
        <f t="shared" si="55"/>
        <v/>
      </c>
      <c r="R392" s="65" t="str">
        <f t="shared" si="56"/>
        <v/>
      </c>
      <c r="S392" s="5" t="str">
        <f t="shared" si="57"/>
        <v/>
      </c>
      <c r="T392" s="5" t="str">
        <f t="shared" si="58"/>
        <v/>
      </c>
      <c r="U392" s="5" t="str">
        <f t="shared" si="59"/>
        <v/>
      </c>
      <c r="V392" s="5" t="str">
        <f t="shared" si="60"/>
        <v/>
      </c>
      <c r="W392" s="5" t="str">
        <f t="shared" si="61"/>
        <v/>
      </c>
      <c r="X392" s="5" t="str">
        <f t="shared" si="62"/>
        <v/>
      </c>
    </row>
    <row r="393" spans="1:24">
      <c r="A393" s="91"/>
      <c r="B393" s="92"/>
      <c r="C393" s="69"/>
      <c r="D393" s="69"/>
      <c r="E393" s="69"/>
      <c r="F393" s="69"/>
      <c r="G393" s="70"/>
      <c r="H393" s="71"/>
      <c r="I393" s="66"/>
      <c r="J393" s="67"/>
      <c r="K393" s="67"/>
      <c r="L393" s="67"/>
      <c r="M393" s="67"/>
      <c r="N393" s="145" t="str">
        <f t="shared" si="54"/>
        <v/>
      </c>
      <c r="O393" s="64"/>
      <c r="P393" s="64"/>
      <c r="Q393" s="152" t="str">
        <f t="shared" si="55"/>
        <v/>
      </c>
      <c r="R393" s="65" t="str">
        <f t="shared" si="56"/>
        <v/>
      </c>
      <c r="S393" s="5" t="str">
        <f t="shared" si="57"/>
        <v/>
      </c>
      <c r="T393" s="5" t="str">
        <f t="shared" si="58"/>
        <v/>
      </c>
      <c r="U393" s="5" t="str">
        <f t="shared" si="59"/>
        <v/>
      </c>
      <c r="V393" s="5" t="str">
        <f t="shared" si="60"/>
        <v/>
      </c>
      <c r="W393" s="5" t="str">
        <f t="shared" si="61"/>
        <v/>
      </c>
      <c r="X393" s="5" t="str">
        <f t="shared" si="62"/>
        <v/>
      </c>
    </row>
    <row r="394" spans="1:24">
      <c r="A394" s="91"/>
      <c r="B394" s="92"/>
      <c r="C394" s="69"/>
      <c r="D394" s="69"/>
      <c r="E394" s="69"/>
      <c r="F394" s="69"/>
      <c r="G394" s="70"/>
      <c r="H394" s="71"/>
      <c r="I394" s="66"/>
      <c r="J394" s="67"/>
      <c r="K394" s="67"/>
      <c r="L394" s="67"/>
      <c r="M394" s="67"/>
      <c r="N394" s="145" t="str">
        <f t="shared" si="54"/>
        <v/>
      </c>
      <c r="O394" s="64"/>
      <c r="P394" s="64"/>
      <c r="Q394" s="152" t="str">
        <f t="shared" si="55"/>
        <v/>
      </c>
      <c r="R394" s="65" t="str">
        <f t="shared" si="56"/>
        <v/>
      </c>
      <c r="S394" s="5" t="str">
        <f t="shared" si="57"/>
        <v/>
      </c>
      <c r="T394" s="5" t="str">
        <f t="shared" si="58"/>
        <v/>
      </c>
      <c r="U394" s="5" t="str">
        <f t="shared" si="59"/>
        <v/>
      </c>
      <c r="V394" s="5" t="str">
        <f t="shared" si="60"/>
        <v/>
      </c>
      <c r="W394" s="5" t="str">
        <f t="shared" si="61"/>
        <v/>
      </c>
      <c r="X394" s="5" t="str">
        <f t="shared" si="62"/>
        <v/>
      </c>
    </row>
    <row r="395" spans="1:24">
      <c r="A395" s="91"/>
      <c r="B395" s="92"/>
      <c r="C395" s="69"/>
      <c r="D395" s="69"/>
      <c r="E395" s="69"/>
      <c r="F395" s="69"/>
      <c r="G395" s="70"/>
      <c r="H395" s="71"/>
      <c r="I395" s="66"/>
      <c r="J395" s="67"/>
      <c r="K395" s="67"/>
      <c r="L395" s="67"/>
      <c r="M395" s="67"/>
      <c r="N395" s="145" t="str">
        <f t="shared" si="54"/>
        <v/>
      </c>
      <c r="O395" s="64"/>
      <c r="P395" s="64"/>
      <c r="Q395" s="152" t="str">
        <f t="shared" si="55"/>
        <v/>
      </c>
      <c r="R395" s="65" t="str">
        <f t="shared" si="56"/>
        <v/>
      </c>
      <c r="S395" s="5" t="str">
        <f t="shared" si="57"/>
        <v/>
      </c>
      <c r="T395" s="5" t="str">
        <f t="shared" si="58"/>
        <v/>
      </c>
      <c r="U395" s="5" t="str">
        <f t="shared" si="59"/>
        <v/>
      </c>
      <c r="V395" s="5" t="str">
        <f t="shared" si="60"/>
        <v/>
      </c>
      <c r="W395" s="5" t="str">
        <f t="shared" si="61"/>
        <v/>
      </c>
      <c r="X395" s="5" t="str">
        <f t="shared" si="62"/>
        <v/>
      </c>
    </row>
    <row r="396" spans="1:24">
      <c r="A396" s="91"/>
      <c r="B396" s="92"/>
      <c r="C396" s="69"/>
      <c r="D396" s="69"/>
      <c r="E396" s="69"/>
      <c r="F396" s="69"/>
      <c r="G396" s="70"/>
      <c r="H396" s="71"/>
      <c r="I396" s="66"/>
      <c r="J396" s="67"/>
      <c r="K396" s="67"/>
      <c r="L396" s="67"/>
      <c r="M396" s="67"/>
      <c r="N396" s="145" t="str">
        <f t="shared" si="54"/>
        <v/>
      </c>
      <c r="O396" s="64"/>
      <c r="P396" s="64"/>
      <c r="Q396" s="152" t="str">
        <f t="shared" si="55"/>
        <v/>
      </c>
      <c r="R396" s="65" t="str">
        <f t="shared" si="56"/>
        <v/>
      </c>
      <c r="S396" s="5" t="str">
        <f t="shared" si="57"/>
        <v/>
      </c>
      <c r="T396" s="5" t="str">
        <f t="shared" si="58"/>
        <v/>
      </c>
      <c r="U396" s="5" t="str">
        <f t="shared" si="59"/>
        <v/>
      </c>
      <c r="V396" s="5" t="str">
        <f t="shared" si="60"/>
        <v/>
      </c>
      <c r="W396" s="5" t="str">
        <f t="shared" si="61"/>
        <v/>
      </c>
      <c r="X396" s="5" t="str">
        <f t="shared" si="62"/>
        <v/>
      </c>
    </row>
    <row r="397" spans="1:24">
      <c r="A397" s="91"/>
      <c r="B397" s="92"/>
      <c r="C397" s="69"/>
      <c r="D397" s="69"/>
      <c r="E397" s="69"/>
      <c r="F397" s="69"/>
      <c r="G397" s="70"/>
      <c r="H397" s="71"/>
      <c r="I397" s="66"/>
      <c r="J397" s="67"/>
      <c r="K397" s="67"/>
      <c r="L397" s="67"/>
      <c r="M397" s="67"/>
      <c r="N397" s="145" t="str">
        <f t="shared" si="54"/>
        <v/>
      </c>
      <c r="O397" s="64"/>
      <c r="P397" s="64"/>
      <c r="Q397" s="152" t="str">
        <f t="shared" si="55"/>
        <v/>
      </c>
      <c r="R397" s="65" t="str">
        <f t="shared" si="56"/>
        <v/>
      </c>
      <c r="S397" s="5" t="str">
        <f t="shared" si="57"/>
        <v/>
      </c>
      <c r="T397" s="5" t="str">
        <f t="shared" si="58"/>
        <v/>
      </c>
      <c r="U397" s="5" t="str">
        <f t="shared" si="59"/>
        <v/>
      </c>
      <c r="V397" s="5" t="str">
        <f t="shared" si="60"/>
        <v/>
      </c>
      <c r="W397" s="5" t="str">
        <f t="shared" si="61"/>
        <v/>
      </c>
      <c r="X397" s="5" t="str">
        <f t="shared" si="62"/>
        <v/>
      </c>
    </row>
    <row r="398" spans="1:24">
      <c r="A398" s="91"/>
      <c r="B398" s="92"/>
      <c r="C398" s="69"/>
      <c r="D398" s="69"/>
      <c r="E398" s="69"/>
      <c r="F398" s="69"/>
      <c r="G398" s="70"/>
      <c r="H398" s="71"/>
      <c r="I398" s="66"/>
      <c r="J398" s="67"/>
      <c r="K398" s="67"/>
      <c r="L398" s="67"/>
      <c r="M398" s="67"/>
      <c r="N398" s="145" t="str">
        <f t="shared" si="54"/>
        <v/>
      </c>
      <c r="O398" s="64"/>
      <c r="P398" s="64"/>
      <c r="Q398" s="152" t="str">
        <f t="shared" si="55"/>
        <v/>
      </c>
      <c r="R398" s="65" t="str">
        <f t="shared" si="56"/>
        <v/>
      </c>
      <c r="S398" s="5" t="str">
        <f t="shared" si="57"/>
        <v/>
      </c>
      <c r="T398" s="5" t="str">
        <f t="shared" si="58"/>
        <v/>
      </c>
      <c r="U398" s="5" t="str">
        <f t="shared" si="59"/>
        <v/>
      </c>
      <c r="V398" s="5" t="str">
        <f t="shared" si="60"/>
        <v/>
      </c>
      <c r="W398" s="5" t="str">
        <f t="shared" si="61"/>
        <v/>
      </c>
      <c r="X398" s="5" t="str">
        <f t="shared" si="62"/>
        <v/>
      </c>
    </row>
    <row r="399" spans="1:24">
      <c r="A399" s="91"/>
      <c r="B399" s="92"/>
      <c r="C399" s="69"/>
      <c r="D399" s="69"/>
      <c r="E399" s="69"/>
      <c r="F399" s="69"/>
      <c r="G399" s="70"/>
      <c r="H399" s="71"/>
      <c r="I399" s="66"/>
      <c r="J399" s="67"/>
      <c r="K399" s="67"/>
      <c r="L399" s="67"/>
      <c r="M399" s="67"/>
      <c r="N399" s="145" t="str">
        <f t="shared" si="54"/>
        <v/>
      </c>
      <c r="O399" s="64"/>
      <c r="P399" s="64"/>
      <c r="Q399" s="152" t="str">
        <f t="shared" si="55"/>
        <v/>
      </c>
      <c r="R399" s="65" t="str">
        <f t="shared" si="56"/>
        <v/>
      </c>
      <c r="S399" s="5" t="str">
        <f t="shared" si="57"/>
        <v/>
      </c>
      <c r="T399" s="5" t="str">
        <f t="shared" si="58"/>
        <v/>
      </c>
      <c r="U399" s="5" t="str">
        <f t="shared" si="59"/>
        <v/>
      </c>
      <c r="V399" s="5" t="str">
        <f t="shared" si="60"/>
        <v/>
      </c>
      <c r="W399" s="5" t="str">
        <f t="shared" si="61"/>
        <v/>
      </c>
      <c r="X399" s="5" t="str">
        <f t="shared" si="62"/>
        <v/>
      </c>
    </row>
    <row r="400" spans="1:24">
      <c r="A400" s="91"/>
      <c r="B400" s="92"/>
      <c r="C400" s="69"/>
      <c r="D400" s="69"/>
      <c r="E400" s="69"/>
      <c r="F400" s="69"/>
      <c r="G400" s="70"/>
      <c r="H400" s="71"/>
      <c r="I400" s="66"/>
      <c r="J400" s="67"/>
      <c r="K400" s="67"/>
      <c r="L400" s="67"/>
      <c r="M400" s="67"/>
      <c r="N400" s="145" t="str">
        <f t="shared" si="54"/>
        <v/>
      </c>
      <c r="O400" s="64"/>
      <c r="P400" s="64"/>
      <c r="Q400" s="152" t="str">
        <f t="shared" si="55"/>
        <v/>
      </c>
      <c r="R400" s="65" t="str">
        <f t="shared" si="56"/>
        <v/>
      </c>
      <c r="S400" s="5" t="str">
        <f t="shared" si="57"/>
        <v/>
      </c>
      <c r="T400" s="5" t="str">
        <f t="shared" si="58"/>
        <v/>
      </c>
      <c r="U400" s="5" t="str">
        <f t="shared" si="59"/>
        <v/>
      </c>
      <c r="V400" s="5" t="str">
        <f t="shared" si="60"/>
        <v/>
      </c>
      <c r="W400" s="5" t="str">
        <f t="shared" si="61"/>
        <v/>
      </c>
      <c r="X400" s="5" t="str">
        <f t="shared" si="62"/>
        <v/>
      </c>
    </row>
    <row r="401" spans="1:24">
      <c r="A401" s="91"/>
      <c r="B401" s="92"/>
      <c r="C401" s="69"/>
      <c r="D401" s="69"/>
      <c r="E401" s="69"/>
      <c r="F401" s="69"/>
      <c r="G401" s="70"/>
      <c r="H401" s="71"/>
      <c r="I401" s="66"/>
      <c r="J401" s="67"/>
      <c r="K401" s="67"/>
      <c r="L401" s="67"/>
      <c r="M401" s="67"/>
      <c r="N401" s="145" t="str">
        <f t="shared" si="54"/>
        <v/>
      </c>
      <c r="O401" s="64"/>
      <c r="P401" s="64"/>
      <c r="Q401" s="152" t="str">
        <f t="shared" si="55"/>
        <v/>
      </c>
      <c r="R401" s="65" t="str">
        <f t="shared" si="56"/>
        <v/>
      </c>
      <c r="S401" s="5" t="str">
        <f t="shared" si="57"/>
        <v/>
      </c>
      <c r="T401" s="5" t="str">
        <f t="shared" si="58"/>
        <v/>
      </c>
      <c r="U401" s="5" t="str">
        <f t="shared" si="59"/>
        <v/>
      </c>
      <c r="V401" s="5" t="str">
        <f t="shared" si="60"/>
        <v/>
      </c>
      <c r="W401" s="5" t="str">
        <f t="shared" si="61"/>
        <v/>
      </c>
      <c r="X401" s="5" t="str">
        <f t="shared" si="62"/>
        <v/>
      </c>
    </row>
    <row r="402" spans="1:24">
      <c r="A402" s="91"/>
      <c r="B402" s="92"/>
      <c r="C402" s="69"/>
      <c r="D402" s="69"/>
      <c r="E402" s="69"/>
      <c r="F402" s="69"/>
      <c r="G402" s="70"/>
      <c r="H402" s="71"/>
      <c r="I402" s="66"/>
      <c r="J402" s="67"/>
      <c r="K402" s="67"/>
      <c r="L402" s="67"/>
      <c r="M402" s="67"/>
      <c r="N402" s="145" t="str">
        <f t="shared" si="54"/>
        <v/>
      </c>
      <c r="O402" s="64"/>
      <c r="P402" s="64"/>
      <c r="Q402" s="152" t="str">
        <f t="shared" si="55"/>
        <v/>
      </c>
      <c r="R402" s="65" t="str">
        <f t="shared" si="56"/>
        <v/>
      </c>
      <c r="S402" s="5" t="str">
        <f t="shared" si="57"/>
        <v/>
      </c>
      <c r="T402" s="5" t="str">
        <f t="shared" si="58"/>
        <v/>
      </c>
      <c r="U402" s="5" t="str">
        <f t="shared" si="59"/>
        <v/>
      </c>
      <c r="V402" s="5" t="str">
        <f t="shared" si="60"/>
        <v/>
      </c>
      <c r="W402" s="5" t="str">
        <f t="shared" si="61"/>
        <v/>
      </c>
      <c r="X402" s="5" t="str">
        <f t="shared" si="62"/>
        <v/>
      </c>
    </row>
    <row r="403" spans="1:24">
      <c r="A403" s="91"/>
      <c r="B403" s="92"/>
      <c r="C403" s="69"/>
      <c r="D403" s="69"/>
      <c r="E403" s="69"/>
      <c r="F403" s="69"/>
      <c r="G403" s="70"/>
      <c r="H403" s="71"/>
      <c r="I403" s="66"/>
      <c r="J403" s="67"/>
      <c r="K403" s="67"/>
      <c r="L403" s="67"/>
      <c r="M403" s="67"/>
      <c r="N403" s="145" t="str">
        <f t="shared" si="54"/>
        <v/>
      </c>
      <c r="O403" s="64"/>
      <c r="P403" s="64"/>
      <c r="Q403" s="152" t="str">
        <f t="shared" si="55"/>
        <v/>
      </c>
      <c r="R403" s="65" t="str">
        <f t="shared" si="56"/>
        <v/>
      </c>
      <c r="S403" s="5" t="str">
        <f t="shared" si="57"/>
        <v/>
      </c>
      <c r="T403" s="5" t="str">
        <f t="shared" si="58"/>
        <v/>
      </c>
      <c r="U403" s="5" t="str">
        <f t="shared" si="59"/>
        <v/>
      </c>
      <c r="V403" s="5" t="str">
        <f t="shared" si="60"/>
        <v/>
      </c>
      <c r="W403" s="5" t="str">
        <f t="shared" si="61"/>
        <v/>
      </c>
      <c r="X403" s="5" t="str">
        <f t="shared" si="62"/>
        <v/>
      </c>
    </row>
    <row r="404" spans="1:24">
      <c r="A404" s="91"/>
      <c r="B404" s="92"/>
      <c r="C404" s="69"/>
      <c r="D404" s="69"/>
      <c r="E404" s="69"/>
      <c r="F404" s="69"/>
      <c r="G404" s="70"/>
      <c r="H404" s="71"/>
      <c r="I404" s="66"/>
      <c r="J404" s="67"/>
      <c r="K404" s="67"/>
      <c r="L404" s="67"/>
      <c r="M404" s="67"/>
      <c r="N404" s="145" t="str">
        <f t="shared" si="54"/>
        <v/>
      </c>
      <c r="O404" s="64"/>
      <c r="P404" s="64"/>
      <c r="Q404" s="152" t="str">
        <f t="shared" si="55"/>
        <v/>
      </c>
      <c r="R404" s="65" t="str">
        <f t="shared" si="56"/>
        <v/>
      </c>
      <c r="S404" s="5" t="str">
        <f t="shared" si="57"/>
        <v/>
      </c>
      <c r="T404" s="5" t="str">
        <f t="shared" si="58"/>
        <v/>
      </c>
      <c r="U404" s="5" t="str">
        <f t="shared" si="59"/>
        <v/>
      </c>
      <c r="V404" s="5" t="str">
        <f t="shared" si="60"/>
        <v/>
      </c>
      <c r="W404" s="5" t="str">
        <f t="shared" si="61"/>
        <v/>
      </c>
      <c r="X404" s="5" t="str">
        <f t="shared" si="62"/>
        <v/>
      </c>
    </row>
    <row r="405" spans="1:24">
      <c r="A405" s="91"/>
      <c r="B405" s="92"/>
      <c r="C405" s="69"/>
      <c r="D405" s="69"/>
      <c r="E405" s="69"/>
      <c r="F405" s="69"/>
      <c r="G405" s="70"/>
      <c r="H405" s="71"/>
      <c r="I405" s="66"/>
      <c r="J405" s="67"/>
      <c r="K405" s="67"/>
      <c r="L405" s="67"/>
      <c r="M405" s="67"/>
      <c r="N405" s="145" t="str">
        <f t="shared" si="54"/>
        <v/>
      </c>
      <c r="O405" s="64"/>
      <c r="P405" s="64"/>
      <c r="Q405" s="152" t="str">
        <f t="shared" si="55"/>
        <v/>
      </c>
      <c r="R405" s="65" t="str">
        <f t="shared" si="56"/>
        <v/>
      </c>
      <c r="S405" s="5" t="str">
        <f t="shared" si="57"/>
        <v/>
      </c>
      <c r="T405" s="5" t="str">
        <f t="shared" si="58"/>
        <v/>
      </c>
      <c r="U405" s="5" t="str">
        <f t="shared" si="59"/>
        <v/>
      </c>
      <c r="V405" s="5" t="str">
        <f t="shared" si="60"/>
        <v/>
      </c>
      <c r="W405" s="5" t="str">
        <f t="shared" si="61"/>
        <v/>
      </c>
      <c r="X405" s="5" t="str">
        <f t="shared" si="62"/>
        <v/>
      </c>
    </row>
    <row r="406" spans="1:24">
      <c r="A406" s="91"/>
      <c r="B406" s="92"/>
      <c r="C406" s="69"/>
      <c r="D406" s="69"/>
      <c r="E406" s="69"/>
      <c r="F406" s="69"/>
      <c r="G406" s="70"/>
      <c r="H406" s="71"/>
      <c r="I406" s="66"/>
      <c r="J406" s="67"/>
      <c r="K406" s="67"/>
      <c r="L406" s="67"/>
      <c r="M406" s="67"/>
      <c r="N406" s="145" t="str">
        <f t="shared" si="54"/>
        <v/>
      </c>
      <c r="O406" s="64"/>
      <c r="P406" s="64"/>
      <c r="Q406" s="152" t="str">
        <f t="shared" si="55"/>
        <v/>
      </c>
      <c r="R406" s="65" t="str">
        <f t="shared" si="56"/>
        <v/>
      </c>
      <c r="S406" s="5" t="str">
        <f t="shared" si="57"/>
        <v/>
      </c>
      <c r="T406" s="5" t="str">
        <f t="shared" si="58"/>
        <v/>
      </c>
      <c r="U406" s="5" t="str">
        <f t="shared" si="59"/>
        <v/>
      </c>
      <c r="V406" s="5" t="str">
        <f t="shared" si="60"/>
        <v/>
      </c>
      <c r="W406" s="5" t="str">
        <f t="shared" si="61"/>
        <v/>
      </c>
      <c r="X406" s="5" t="str">
        <f t="shared" si="62"/>
        <v/>
      </c>
    </row>
    <row r="407" spans="1:24">
      <c r="A407" s="91"/>
      <c r="B407" s="92"/>
      <c r="C407" s="69"/>
      <c r="D407" s="69"/>
      <c r="E407" s="69"/>
      <c r="F407" s="69"/>
      <c r="G407" s="70"/>
      <c r="H407" s="71"/>
      <c r="I407" s="66"/>
      <c r="J407" s="67"/>
      <c r="K407" s="67"/>
      <c r="L407" s="67"/>
      <c r="M407" s="67"/>
      <c r="N407" s="145" t="str">
        <f t="shared" si="54"/>
        <v/>
      </c>
      <c r="O407" s="64"/>
      <c r="P407" s="64"/>
      <c r="Q407" s="152" t="str">
        <f t="shared" si="55"/>
        <v/>
      </c>
      <c r="R407" s="65" t="str">
        <f t="shared" si="56"/>
        <v/>
      </c>
      <c r="S407" s="5" t="str">
        <f t="shared" si="57"/>
        <v/>
      </c>
      <c r="T407" s="5" t="str">
        <f t="shared" si="58"/>
        <v/>
      </c>
      <c r="U407" s="5" t="str">
        <f t="shared" si="59"/>
        <v/>
      </c>
      <c r="V407" s="5" t="str">
        <f t="shared" si="60"/>
        <v/>
      </c>
      <c r="W407" s="5" t="str">
        <f t="shared" si="61"/>
        <v/>
      </c>
      <c r="X407" s="5" t="str">
        <f t="shared" si="62"/>
        <v/>
      </c>
    </row>
    <row r="408" spans="1:24">
      <c r="A408" s="91"/>
      <c r="B408" s="92"/>
      <c r="C408" s="69"/>
      <c r="D408" s="69"/>
      <c r="E408" s="69"/>
      <c r="F408" s="69"/>
      <c r="G408" s="70"/>
      <c r="H408" s="71"/>
      <c r="I408" s="66"/>
      <c r="J408" s="67"/>
      <c r="K408" s="67"/>
      <c r="L408" s="67"/>
      <c r="M408" s="67"/>
      <c r="N408" s="145" t="str">
        <f t="shared" si="54"/>
        <v/>
      </c>
      <c r="O408" s="64"/>
      <c r="P408" s="64"/>
      <c r="Q408" s="152" t="str">
        <f t="shared" si="55"/>
        <v/>
      </c>
      <c r="R408" s="65" t="str">
        <f t="shared" si="56"/>
        <v/>
      </c>
      <c r="S408" s="5" t="str">
        <f t="shared" si="57"/>
        <v/>
      </c>
      <c r="T408" s="5" t="str">
        <f t="shared" si="58"/>
        <v/>
      </c>
      <c r="U408" s="5" t="str">
        <f t="shared" si="59"/>
        <v/>
      </c>
      <c r="V408" s="5" t="str">
        <f t="shared" si="60"/>
        <v/>
      </c>
      <c r="W408" s="5" t="str">
        <f t="shared" si="61"/>
        <v/>
      </c>
      <c r="X408" s="5" t="str">
        <f t="shared" si="62"/>
        <v/>
      </c>
    </row>
    <row r="409" spans="1:24">
      <c r="A409" s="91"/>
      <c r="B409" s="92"/>
      <c r="C409" s="69"/>
      <c r="D409" s="69"/>
      <c r="E409" s="69"/>
      <c r="F409" s="69"/>
      <c r="G409" s="70"/>
      <c r="H409" s="71"/>
      <c r="I409" s="66"/>
      <c r="J409" s="67"/>
      <c r="K409" s="67"/>
      <c r="L409" s="67"/>
      <c r="M409" s="67"/>
      <c r="N409" s="145" t="str">
        <f t="shared" si="54"/>
        <v/>
      </c>
      <c r="O409" s="64"/>
      <c r="P409" s="64"/>
      <c r="Q409" s="152" t="str">
        <f t="shared" si="55"/>
        <v/>
      </c>
      <c r="R409" s="65" t="str">
        <f t="shared" si="56"/>
        <v/>
      </c>
      <c r="S409" s="5" t="str">
        <f t="shared" si="57"/>
        <v/>
      </c>
      <c r="T409" s="5" t="str">
        <f t="shared" si="58"/>
        <v/>
      </c>
      <c r="U409" s="5" t="str">
        <f t="shared" si="59"/>
        <v/>
      </c>
      <c r="V409" s="5" t="str">
        <f t="shared" si="60"/>
        <v/>
      </c>
      <c r="W409" s="5" t="str">
        <f t="shared" si="61"/>
        <v/>
      </c>
      <c r="X409" s="5" t="str">
        <f t="shared" si="62"/>
        <v/>
      </c>
    </row>
    <row r="410" spans="1:24">
      <c r="A410" s="91"/>
      <c r="B410" s="92"/>
      <c r="C410" s="69"/>
      <c r="D410" s="69"/>
      <c r="E410" s="69"/>
      <c r="F410" s="69"/>
      <c r="G410" s="70"/>
      <c r="H410" s="71"/>
      <c r="I410" s="66"/>
      <c r="J410" s="67"/>
      <c r="K410" s="67"/>
      <c r="L410" s="67"/>
      <c r="M410" s="67"/>
      <c r="N410" s="145" t="str">
        <f t="shared" si="54"/>
        <v/>
      </c>
      <c r="O410" s="64"/>
      <c r="P410" s="64"/>
      <c r="Q410" s="152" t="str">
        <f t="shared" si="55"/>
        <v/>
      </c>
      <c r="R410" s="65" t="str">
        <f t="shared" si="56"/>
        <v/>
      </c>
      <c r="S410" s="5" t="str">
        <f t="shared" si="57"/>
        <v/>
      </c>
      <c r="T410" s="5" t="str">
        <f t="shared" si="58"/>
        <v/>
      </c>
      <c r="U410" s="5" t="str">
        <f t="shared" si="59"/>
        <v/>
      </c>
      <c r="V410" s="5" t="str">
        <f t="shared" si="60"/>
        <v/>
      </c>
      <c r="W410" s="5" t="str">
        <f t="shared" si="61"/>
        <v/>
      </c>
      <c r="X410" s="5" t="str">
        <f t="shared" si="62"/>
        <v/>
      </c>
    </row>
    <row r="411" spans="1:24">
      <c r="A411" s="91"/>
      <c r="B411" s="92"/>
      <c r="C411" s="69"/>
      <c r="D411" s="69"/>
      <c r="E411" s="69"/>
      <c r="F411" s="69"/>
      <c r="G411" s="70"/>
      <c r="H411" s="71"/>
      <c r="I411" s="66"/>
      <c r="J411" s="67"/>
      <c r="K411" s="67"/>
      <c r="L411" s="67"/>
      <c r="M411" s="67"/>
      <c r="N411" s="145" t="str">
        <f t="shared" si="54"/>
        <v/>
      </c>
      <c r="O411" s="64"/>
      <c r="P411" s="64"/>
      <c r="Q411" s="152" t="str">
        <f t="shared" si="55"/>
        <v/>
      </c>
      <c r="R411" s="65" t="str">
        <f t="shared" si="56"/>
        <v/>
      </c>
      <c r="S411" s="5" t="str">
        <f t="shared" si="57"/>
        <v/>
      </c>
      <c r="T411" s="5" t="str">
        <f t="shared" si="58"/>
        <v/>
      </c>
      <c r="U411" s="5" t="str">
        <f t="shared" si="59"/>
        <v/>
      </c>
      <c r="V411" s="5" t="str">
        <f t="shared" si="60"/>
        <v/>
      </c>
      <c r="W411" s="5" t="str">
        <f t="shared" si="61"/>
        <v/>
      </c>
      <c r="X411" s="5" t="str">
        <f t="shared" si="62"/>
        <v/>
      </c>
    </row>
    <row r="412" spans="1:24">
      <c r="A412" s="91"/>
      <c r="B412" s="92"/>
      <c r="C412" s="69"/>
      <c r="D412" s="69"/>
      <c r="E412" s="69"/>
      <c r="F412" s="69"/>
      <c r="G412" s="70"/>
      <c r="H412" s="71"/>
      <c r="I412" s="66"/>
      <c r="J412" s="67"/>
      <c r="K412" s="67"/>
      <c r="L412" s="67"/>
      <c r="M412" s="67"/>
      <c r="N412" s="145" t="str">
        <f t="shared" si="54"/>
        <v/>
      </c>
      <c r="O412" s="64"/>
      <c r="P412" s="64"/>
      <c r="Q412" s="152" t="str">
        <f t="shared" si="55"/>
        <v/>
      </c>
      <c r="R412" s="65" t="str">
        <f t="shared" si="56"/>
        <v/>
      </c>
      <c r="S412" s="5" t="str">
        <f t="shared" si="57"/>
        <v/>
      </c>
      <c r="T412" s="5" t="str">
        <f t="shared" si="58"/>
        <v/>
      </c>
      <c r="U412" s="5" t="str">
        <f t="shared" si="59"/>
        <v/>
      </c>
      <c r="V412" s="5" t="str">
        <f t="shared" si="60"/>
        <v/>
      </c>
      <c r="W412" s="5" t="str">
        <f t="shared" si="61"/>
        <v/>
      </c>
      <c r="X412" s="5" t="str">
        <f t="shared" si="62"/>
        <v/>
      </c>
    </row>
    <row r="413" spans="1:24">
      <c r="A413" s="91"/>
      <c r="B413" s="92"/>
      <c r="C413" s="69"/>
      <c r="D413" s="69"/>
      <c r="E413" s="69"/>
      <c r="F413" s="69"/>
      <c r="G413" s="70"/>
      <c r="H413" s="71"/>
      <c r="I413" s="66"/>
      <c r="J413" s="67"/>
      <c r="K413" s="67"/>
      <c r="L413" s="67"/>
      <c r="M413" s="67"/>
      <c r="N413" s="145" t="str">
        <f t="shared" si="54"/>
        <v/>
      </c>
      <c r="O413" s="64"/>
      <c r="P413" s="64"/>
      <c r="Q413" s="152" t="str">
        <f t="shared" si="55"/>
        <v/>
      </c>
      <c r="R413" s="65" t="str">
        <f t="shared" si="56"/>
        <v/>
      </c>
      <c r="S413" s="5" t="str">
        <f t="shared" si="57"/>
        <v/>
      </c>
      <c r="T413" s="5" t="str">
        <f t="shared" si="58"/>
        <v/>
      </c>
      <c r="U413" s="5" t="str">
        <f t="shared" si="59"/>
        <v/>
      </c>
      <c r="V413" s="5" t="str">
        <f t="shared" si="60"/>
        <v/>
      </c>
      <c r="W413" s="5" t="str">
        <f t="shared" si="61"/>
        <v/>
      </c>
      <c r="X413" s="5" t="str">
        <f t="shared" si="62"/>
        <v/>
      </c>
    </row>
    <row r="414" spans="1:24">
      <c r="A414" s="91"/>
      <c r="B414" s="92"/>
      <c r="C414" s="69"/>
      <c r="D414" s="69"/>
      <c r="E414" s="69"/>
      <c r="F414" s="69"/>
      <c r="G414" s="70"/>
      <c r="H414" s="71"/>
      <c r="I414" s="66"/>
      <c r="J414" s="67"/>
      <c r="K414" s="67"/>
      <c r="L414" s="67"/>
      <c r="M414" s="67"/>
      <c r="N414" s="145" t="str">
        <f t="shared" si="54"/>
        <v/>
      </c>
      <c r="O414" s="64"/>
      <c r="P414" s="64"/>
      <c r="Q414" s="152" t="str">
        <f t="shared" si="55"/>
        <v/>
      </c>
      <c r="R414" s="65" t="str">
        <f t="shared" si="56"/>
        <v/>
      </c>
      <c r="S414" s="5" t="str">
        <f t="shared" si="57"/>
        <v/>
      </c>
      <c r="T414" s="5" t="str">
        <f t="shared" si="58"/>
        <v/>
      </c>
      <c r="U414" s="5" t="str">
        <f t="shared" si="59"/>
        <v/>
      </c>
      <c r="V414" s="5" t="str">
        <f t="shared" si="60"/>
        <v/>
      </c>
      <c r="W414" s="5" t="str">
        <f t="shared" si="61"/>
        <v/>
      </c>
      <c r="X414" s="5" t="str">
        <f t="shared" si="62"/>
        <v/>
      </c>
    </row>
    <row r="415" spans="1:24">
      <c r="A415" s="91"/>
      <c r="B415" s="92"/>
      <c r="C415" s="69"/>
      <c r="D415" s="69"/>
      <c r="E415" s="69"/>
      <c r="F415" s="69"/>
      <c r="G415" s="70"/>
      <c r="H415" s="71"/>
      <c r="I415" s="66"/>
      <c r="J415" s="67"/>
      <c r="K415" s="67"/>
      <c r="L415" s="67"/>
      <c r="M415" s="67"/>
      <c r="N415" s="145" t="str">
        <f t="shared" si="54"/>
        <v/>
      </c>
      <c r="O415" s="64"/>
      <c r="P415" s="64"/>
      <c r="Q415" s="152" t="str">
        <f t="shared" si="55"/>
        <v/>
      </c>
      <c r="R415" s="65" t="str">
        <f t="shared" si="56"/>
        <v/>
      </c>
      <c r="S415" s="5" t="str">
        <f t="shared" si="57"/>
        <v/>
      </c>
      <c r="T415" s="5" t="str">
        <f t="shared" si="58"/>
        <v/>
      </c>
      <c r="U415" s="5" t="str">
        <f t="shared" si="59"/>
        <v/>
      </c>
      <c r="V415" s="5" t="str">
        <f t="shared" si="60"/>
        <v/>
      </c>
      <c r="W415" s="5" t="str">
        <f t="shared" si="61"/>
        <v/>
      </c>
      <c r="X415" s="5" t="str">
        <f t="shared" si="62"/>
        <v/>
      </c>
    </row>
    <row r="416" spans="1:24">
      <c r="A416" s="91"/>
      <c r="B416" s="92"/>
      <c r="C416" s="69"/>
      <c r="D416" s="69"/>
      <c r="E416" s="69"/>
      <c r="F416" s="69"/>
      <c r="G416" s="70"/>
      <c r="H416" s="71"/>
      <c r="I416" s="66"/>
      <c r="J416" s="67"/>
      <c r="K416" s="67"/>
      <c r="L416" s="67"/>
      <c r="M416" s="67"/>
      <c r="N416" s="145" t="str">
        <f t="shared" si="54"/>
        <v/>
      </c>
      <c r="O416" s="64"/>
      <c r="P416" s="64"/>
      <c r="Q416" s="152" t="str">
        <f t="shared" si="55"/>
        <v/>
      </c>
      <c r="R416" s="65" t="str">
        <f t="shared" si="56"/>
        <v/>
      </c>
      <c r="S416" s="5" t="str">
        <f t="shared" si="57"/>
        <v/>
      </c>
      <c r="T416" s="5" t="str">
        <f t="shared" si="58"/>
        <v/>
      </c>
      <c r="U416" s="5" t="str">
        <f t="shared" si="59"/>
        <v/>
      </c>
      <c r="V416" s="5" t="str">
        <f t="shared" si="60"/>
        <v/>
      </c>
      <c r="W416" s="5" t="str">
        <f t="shared" si="61"/>
        <v/>
      </c>
      <c r="X416" s="5" t="str">
        <f t="shared" si="62"/>
        <v/>
      </c>
    </row>
    <row r="417" spans="1:24">
      <c r="A417" s="91"/>
      <c r="B417" s="92"/>
      <c r="C417" s="69"/>
      <c r="D417" s="69"/>
      <c r="E417" s="69"/>
      <c r="F417" s="69"/>
      <c r="G417" s="70"/>
      <c r="H417" s="71"/>
      <c r="I417" s="66"/>
      <c r="J417" s="67"/>
      <c r="K417" s="67"/>
      <c r="L417" s="67"/>
      <c r="M417" s="67"/>
      <c r="N417" s="145" t="str">
        <f t="shared" si="54"/>
        <v/>
      </c>
      <c r="O417" s="64"/>
      <c r="P417" s="64"/>
      <c r="Q417" s="152" t="str">
        <f t="shared" si="55"/>
        <v/>
      </c>
      <c r="R417" s="65" t="str">
        <f t="shared" si="56"/>
        <v/>
      </c>
      <c r="S417" s="5" t="str">
        <f t="shared" si="57"/>
        <v/>
      </c>
      <c r="T417" s="5" t="str">
        <f t="shared" si="58"/>
        <v/>
      </c>
      <c r="U417" s="5" t="str">
        <f t="shared" si="59"/>
        <v/>
      </c>
      <c r="V417" s="5" t="str">
        <f t="shared" si="60"/>
        <v/>
      </c>
      <c r="W417" s="5" t="str">
        <f t="shared" si="61"/>
        <v/>
      </c>
      <c r="X417" s="5" t="str">
        <f t="shared" si="62"/>
        <v/>
      </c>
    </row>
    <row r="418" spans="1:24">
      <c r="A418" s="91"/>
      <c r="B418" s="92"/>
      <c r="C418" s="69"/>
      <c r="D418" s="69"/>
      <c r="E418" s="69"/>
      <c r="F418" s="69"/>
      <c r="G418" s="70"/>
      <c r="H418" s="71"/>
      <c r="I418" s="66"/>
      <c r="J418" s="67"/>
      <c r="K418" s="67"/>
      <c r="L418" s="67"/>
      <c r="M418" s="67"/>
      <c r="N418" s="145" t="str">
        <f t="shared" si="54"/>
        <v/>
      </c>
      <c r="O418" s="64"/>
      <c r="P418" s="64"/>
      <c r="Q418" s="152" t="str">
        <f t="shared" si="55"/>
        <v/>
      </c>
      <c r="R418" s="65" t="str">
        <f t="shared" si="56"/>
        <v/>
      </c>
      <c r="S418" s="5" t="str">
        <f t="shared" si="57"/>
        <v/>
      </c>
      <c r="T418" s="5" t="str">
        <f t="shared" si="58"/>
        <v/>
      </c>
      <c r="U418" s="5" t="str">
        <f t="shared" si="59"/>
        <v/>
      </c>
      <c r="V418" s="5" t="str">
        <f t="shared" si="60"/>
        <v/>
      </c>
      <c r="W418" s="5" t="str">
        <f t="shared" si="61"/>
        <v/>
      </c>
      <c r="X418" s="5" t="str">
        <f t="shared" si="62"/>
        <v/>
      </c>
    </row>
    <row r="419" spans="1:24">
      <c r="A419" s="91"/>
      <c r="B419" s="92"/>
      <c r="C419" s="69"/>
      <c r="D419" s="69"/>
      <c r="E419" s="69"/>
      <c r="F419" s="69"/>
      <c r="G419" s="70"/>
      <c r="H419" s="71"/>
      <c r="I419" s="66"/>
      <c r="J419" s="67"/>
      <c r="K419" s="67"/>
      <c r="L419" s="67"/>
      <c r="M419" s="67"/>
      <c r="N419" s="145" t="str">
        <f t="shared" si="54"/>
        <v/>
      </c>
      <c r="O419" s="64"/>
      <c r="P419" s="64"/>
      <c r="Q419" s="152" t="str">
        <f t="shared" si="55"/>
        <v/>
      </c>
      <c r="R419" s="65" t="str">
        <f t="shared" si="56"/>
        <v/>
      </c>
      <c r="S419" s="5" t="str">
        <f t="shared" si="57"/>
        <v/>
      </c>
      <c r="T419" s="5" t="str">
        <f t="shared" si="58"/>
        <v/>
      </c>
      <c r="U419" s="5" t="str">
        <f t="shared" si="59"/>
        <v/>
      </c>
      <c r="V419" s="5" t="str">
        <f t="shared" si="60"/>
        <v/>
      </c>
      <c r="W419" s="5" t="str">
        <f t="shared" si="61"/>
        <v/>
      </c>
      <c r="X419" s="5" t="str">
        <f t="shared" si="62"/>
        <v/>
      </c>
    </row>
    <row r="420" spans="1:24">
      <c r="A420" s="91"/>
      <c r="B420" s="92"/>
      <c r="C420" s="69"/>
      <c r="D420" s="69"/>
      <c r="E420" s="69"/>
      <c r="F420" s="69"/>
      <c r="G420" s="70"/>
      <c r="H420" s="71"/>
      <c r="I420" s="66"/>
      <c r="J420" s="67"/>
      <c r="K420" s="67"/>
      <c r="L420" s="67"/>
      <c r="M420" s="67"/>
      <c r="N420" s="145" t="str">
        <f t="shared" si="54"/>
        <v/>
      </c>
      <c r="O420" s="64"/>
      <c r="P420" s="64"/>
      <c r="Q420" s="152" t="str">
        <f t="shared" si="55"/>
        <v/>
      </c>
      <c r="R420" s="65" t="str">
        <f t="shared" si="56"/>
        <v/>
      </c>
      <c r="S420" s="5" t="str">
        <f t="shared" si="57"/>
        <v/>
      </c>
      <c r="T420" s="5" t="str">
        <f t="shared" si="58"/>
        <v/>
      </c>
      <c r="U420" s="5" t="str">
        <f t="shared" si="59"/>
        <v/>
      </c>
      <c r="V420" s="5" t="str">
        <f t="shared" si="60"/>
        <v/>
      </c>
      <c r="W420" s="5" t="str">
        <f t="shared" si="61"/>
        <v/>
      </c>
      <c r="X420" s="5" t="str">
        <f t="shared" si="62"/>
        <v/>
      </c>
    </row>
    <row r="421" spans="1:24">
      <c r="A421" s="91"/>
      <c r="B421" s="92"/>
      <c r="C421" s="69"/>
      <c r="D421" s="69"/>
      <c r="E421" s="69"/>
      <c r="F421" s="69"/>
      <c r="G421" s="70"/>
      <c r="H421" s="71"/>
      <c r="I421" s="66"/>
      <c r="J421" s="67"/>
      <c r="K421" s="67"/>
      <c r="L421" s="67"/>
      <c r="M421" s="67"/>
      <c r="N421" s="145" t="str">
        <f t="shared" si="54"/>
        <v/>
      </c>
      <c r="O421" s="64"/>
      <c r="P421" s="64"/>
      <c r="Q421" s="152" t="str">
        <f t="shared" si="55"/>
        <v/>
      </c>
      <c r="R421" s="65" t="str">
        <f t="shared" si="56"/>
        <v/>
      </c>
      <c r="S421" s="5" t="str">
        <f t="shared" si="57"/>
        <v/>
      </c>
      <c r="T421" s="5" t="str">
        <f t="shared" si="58"/>
        <v/>
      </c>
      <c r="U421" s="5" t="str">
        <f t="shared" si="59"/>
        <v/>
      </c>
      <c r="V421" s="5" t="str">
        <f t="shared" si="60"/>
        <v/>
      </c>
      <c r="W421" s="5" t="str">
        <f t="shared" si="61"/>
        <v/>
      </c>
      <c r="X421" s="5" t="str">
        <f t="shared" si="62"/>
        <v/>
      </c>
    </row>
    <row r="422" spans="1:24">
      <c r="A422" s="91"/>
      <c r="B422" s="92"/>
      <c r="C422" s="69"/>
      <c r="D422" s="69"/>
      <c r="E422" s="69"/>
      <c r="F422" s="69"/>
      <c r="G422" s="70"/>
      <c r="H422" s="71"/>
      <c r="I422" s="66"/>
      <c r="J422" s="67"/>
      <c r="K422" s="67"/>
      <c r="L422" s="67"/>
      <c r="M422" s="67"/>
      <c r="N422" s="145" t="str">
        <f t="shared" si="54"/>
        <v/>
      </c>
      <c r="O422" s="64"/>
      <c r="P422" s="64"/>
      <c r="Q422" s="152" t="str">
        <f t="shared" si="55"/>
        <v/>
      </c>
      <c r="R422" s="65" t="str">
        <f t="shared" si="56"/>
        <v/>
      </c>
      <c r="S422" s="5" t="str">
        <f t="shared" si="57"/>
        <v/>
      </c>
      <c r="T422" s="5" t="str">
        <f t="shared" si="58"/>
        <v/>
      </c>
      <c r="U422" s="5" t="str">
        <f t="shared" si="59"/>
        <v/>
      </c>
      <c r="V422" s="5" t="str">
        <f t="shared" si="60"/>
        <v/>
      </c>
      <c r="W422" s="5" t="str">
        <f t="shared" si="61"/>
        <v/>
      </c>
      <c r="X422" s="5" t="str">
        <f t="shared" si="62"/>
        <v/>
      </c>
    </row>
    <row r="423" spans="1:24">
      <c r="A423" s="91"/>
      <c r="B423" s="92"/>
      <c r="C423" s="69"/>
      <c r="D423" s="69"/>
      <c r="E423" s="69"/>
      <c r="F423" s="69"/>
      <c r="G423" s="70"/>
      <c r="H423" s="71"/>
      <c r="I423" s="66"/>
      <c r="J423" s="67"/>
      <c r="K423" s="67"/>
      <c r="L423" s="67"/>
      <c r="M423" s="67"/>
      <c r="N423" s="145" t="str">
        <f t="shared" si="54"/>
        <v/>
      </c>
      <c r="O423" s="64"/>
      <c r="P423" s="64"/>
      <c r="Q423" s="152" t="str">
        <f t="shared" si="55"/>
        <v/>
      </c>
      <c r="R423" s="65" t="str">
        <f t="shared" si="56"/>
        <v/>
      </c>
      <c r="S423" s="5" t="str">
        <f t="shared" si="57"/>
        <v/>
      </c>
      <c r="T423" s="5" t="str">
        <f t="shared" si="58"/>
        <v/>
      </c>
      <c r="U423" s="5" t="str">
        <f t="shared" si="59"/>
        <v/>
      </c>
      <c r="V423" s="5" t="str">
        <f t="shared" si="60"/>
        <v/>
      </c>
      <c r="W423" s="5" t="str">
        <f t="shared" si="61"/>
        <v/>
      </c>
      <c r="X423" s="5" t="str">
        <f t="shared" si="62"/>
        <v/>
      </c>
    </row>
    <row r="424" spans="1:24">
      <c r="A424" s="91"/>
      <c r="B424" s="92"/>
      <c r="C424" s="69"/>
      <c r="D424" s="69"/>
      <c r="E424" s="69"/>
      <c r="F424" s="69"/>
      <c r="G424" s="70"/>
      <c r="H424" s="71"/>
      <c r="I424" s="66"/>
      <c r="J424" s="67"/>
      <c r="K424" s="67"/>
      <c r="L424" s="67"/>
      <c r="M424" s="67"/>
      <c r="N424" s="145" t="str">
        <f t="shared" si="54"/>
        <v/>
      </c>
      <c r="O424" s="64"/>
      <c r="P424" s="64"/>
      <c r="Q424" s="152" t="str">
        <f t="shared" si="55"/>
        <v/>
      </c>
      <c r="R424" s="65" t="str">
        <f t="shared" si="56"/>
        <v/>
      </c>
      <c r="S424" s="5" t="str">
        <f t="shared" si="57"/>
        <v/>
      </c>
      <c r="T424" s="5" t="str">
        <f t="shared" si="58"/>
        <v/>
      </c>
      <c r="U424" s="5" t="str">
        <f t="shared" si="59"/>
        <v/>
      </c>
      <c r="V424" s="5" t="str">
        <f t="shared" si="60"/>
        <v/>
      </c>
      <c r="W424" s="5" t="str">
        <f t="shared" si="61"/>
        <v/>
      </c>
      <c r="X424" s="5" t="str">
        <f t="shared" si="62"/>
        <v/>
      </c>
    </row>
    <row r="425" spans="1:24">
      <c r="A425" s="91"/>
      <c r="B425" s="92"/>
      <c r="C425" s="69"/>
      <c r="D425" s="69"/>
      <c r="E425" s="69"/>
      <c r="F425" s="69"/>
      <c r="G425" s="70"/>
      <c r="H425" s="71"/>
      <c r="I425" s="66"/>
      <c r="J425" s="67"/>
      <c r="K425" s="67"/>
      <c r="L425" s="67"/>
      <c r="M425" s="67"/>
      <c r="N425" s="145" t="str">
        <f t="shared" si="54"/>
        <v/>
      </c>
      <c r="O425" s="64"/>
      <c r="P425" s="64"/>
      <c r="Q425" s="152" t="str">
        <f t="shared" si="55"/>
        <v/>
      </c>
      <c r="R425" s="65" t="str">
        <f t="shared" si="56"/>
        <v/>
      </c>
      <c r="S425" s="5" t="str">
        <f t="shared" si="57"/>
        <v/>
      </c>
      <c r="T425" s="5" t="str">
        <f t="shared" si="58"/>
        <v/>
      </c>
      <c r="U425" s="5" t="str">
        <f t="shared" si="59"/>
        <v/>
      </c>
      <c r="V425" s="5" t="str">
        <f t="shared" si="60"/>
        <v/>
      </c>
      <c r="W425" s="5" t="str">
        <f t="shared" si="61"/>
        <v/>
      </c>
      <c r="X425" s="5" t="str">
        <f t="shared" si="62"/>
        <v/>
      </c>
    </row>
    <row r="426" spans="1:24">
      <c r="A426" s="91"/>
      <c r="B426" s="92"/>
      <c r="C426" s="69"/>
      <c r="D426" s="69"/>
      <c r="E426" s="69"/>
      <c r="F426" s="69"/>
      <c r="G426" s="70"/>
      <c r="H426" s="71"/>
      <c r="I426" s="66"/>
      <c r="J426" s="67"/>
      <c r="K426" s="67"/>
      <c r="L426" s="67"/>
      <c r="M426" s="67"/>
      <c r="N426" s="145" t="str">
        <f t="shared" si="54"/>
        <v/>
      </c>
      <c r="O426" s="64"/>
      <c r="P426" s="64"/>
      <c r="Q426" s="152" t="str">
        <f t="shared" si="55"/>
        <v/>
      </c>
      <c r="R426" s="65" t="str">
        <f t="shared" si="56"/>
        <v/>
      </c>
      <c r="S426" s="5" t="str">
        <f t="shared" si="57"/>
        <v/>
      </c>
      <c r="T426" s="5" t="str">
        <f t="shared" si="58"/>
        <v/>
      </c>
      <c r="U426" s="5" t="str">
        <f t="shared" si="59"/>
        <v/>
      </c>
      <c r="V426" s="5" t="str">
        <f t="shared" si="60"/>
        <v/>
      </c>
      <c r="W426" s="5" t="str">
        <f t="shared" si="61"/>
        <v/>
      </c>
      <c r="X426" s="5" t="str">
        <f t="shared" si="62"/>
        <v/>
      </c>
    </row>
    <row r="427" spans="1:24">
      <c r="A427" s="91"/>
      <c r="B427" s="92"/>
      <c r="C427" s="69"/>
      <c r="D427" s="69"/>
      <c r="E427" s="69"/>
      <c r="F427" s="69"/>
      <c r="G427" s="70"/>
      <c r="H427" s="71"/>
      <c r="I427" s="66"/>
      <c r="J427" s="67"/>
      <c r="K427" s="67"/>
      <c r="L427" s="67"/>
      <c r="M427" s="67"/>
      <c r="N427" s="145" t="str">
        <f t="shared" si="54"/>
        <v/>
      </c>
      <c r="O427" s="64"/>
      <c r="P427" s="64"/>
      <c r="Q427" s="152" t="str">
        <f t="shared" si="55"/>
        <v/>
      </c>
      <c r="R427" s="65" t="str">
        <f t="shared" si="56"/>
        <v/>
      </c>
      <c r="S427" s="5" t="str">
        <f t="shared" si="57"/>
        <v/>
      </c>
      <c r="T427" s="5" t="str">
        <f t="shared" si="58"/>
        <v/>
      </c>
      <c r="U427" s="5" t="str">
        <f t="shared" si="59"/>
        <v/>
      </c>
      <c r="V427" s="5" t="str">
        <f t="shared" si="60"/>
        <v/>
      </c>
      <c r="W427" s="5" t="str">
        <f t="shared" si="61"/>
        <v/>
      </c>
      <c r="X427" s="5" t="str">
        <f t="shared" si="62"/>
        <v/>
      </c>
    </row>
    <row r="428" spans="1:24">
      <c r="A428" s="91"/>
      <c r="B428" s="92"/>
      <c r="C428" s="69"/>
      <c r="D428" s="69"/>
      <c r="E428" s="69"/>
      <c r="F428" s="69"/>
      <c r="G428" s="70"/>
      <c r="H428" s="71"/>
      <c r="I428" s="66"/>
      <c r="J428" s="67"/>
      <c r="K428" s="67"/>
      <c r="L428" s="67"/>
      <c r="M428" s="67"/>
      <c r="N428" s="145" t="str">
        <f t="shared" si="54"/>
        <v/>
      </c>
      <c r="O428" s="64"/>
      <c r="P428" s="64"/>
      <c r="Q428" s="152" t="str">
        <f t="shared" si="55"/>
        <v/>
      </c>
      <c r="R428" s="65" t="str">
        <f t="shared" si="56"/>
        <v/>
      </c>
      <c r="S428" s="5" t="str">
        <f t="shared" si="57"/>
        <v/>
      </c>
      <c r="T428" s="5" t="str">
        <f t="shared" si="58"/>
        <v/>
      </c>
      <c r="U428" s="5" t="str">
        <f t="shared" si="59"/>
        <v/>
      </c>
      <c r="V428" s="5" t="str">
        <f t="shared" si="60"/>
        <v/>
      </c>
      <c r="W428" s="5" t="str">
        <f t="shared" si="61"/>
        <v/>
      </c>
      <c r="X428" s="5" t="str">
        <f t="shared" si="62"/>
        <v/>
      </c>
    </row>
    <row r="429" spans="1:24">
      <c r="A429" s="91"/>
      <c r="B429" s="92"/>
      <c r="C429" s="69"/>
      <c r="D429" s="69"/>
      <c r="E429" s="69"/>
      <c r="F429" s="69"/>
      <c r="G429" s="70"/>
      <c r="H429" s="71"/>
      <c r="I429" s="66"/>
      <c r="J429" s="67"/>
      <c r="K429" s="67"/>
      <c r="L429" s="67"/>
      <c r="M429" s="67"/>
      <c r="N429" s="145" t="str">
        <f t="shared" si="54"/>
        <v/>
      </c>
      <c r="O429" s="64"/>
      <c r="P429" s="64"/>
      <c r="Q429" s="152" t="str">
        <f t="shared" si="55"/>
        <v/>
      </c>
      <c r="R429" s="65" t="str">
        <f t="shared" si="56"/>
        <v/>
      </c>
      <c r="S429" s="5" t="str">
        <f t="shared" si="57"/>
        <v/>
      </c>
      <c r="T429" s="5" t="str">
        <f t="shared" si="58"/>
        <v/>
      </c>
      <c r="U429" s="5" t="str">
        <f t="shared" si="59"/>
        <v/>
      </c>
      <c r="V429" s="5" t="str">
        <f t="shared" si="60"/>
        <v/>
      </c>
      <c r="W429" s="5" t="str">
        <f t="shared" si="61"/>
        <v/>
      </c>
      <c r="X429" s="5" t="str">
        <f t="shared" si="62"/>
        <v/>
      </c>
    </row>
    <row r="430" spans="1:24" ht="15.75" thickBot="1">
      <c r="A430" s="93"/>
      <c r="B430" s="94"/>
      <c r="C430" s="72"/>
      <c r="D430" s="72"/>
      <c r="E430" s="72"/>
      <c r="F430" s="72"/>
      <c r="G430" s="73"/>
      <c r="H430" s="74"/>
      <c r="I430" s="75"/>
      <c r="J430" s="76"/>
      <c r="K430" s="76"/>
      <c r="L430" s="76"/>
      <c r="M430" s="76"/>
      <c r="N430" s="146" t="str">
        <f t="shared" ref="N430" si="63">IF($C430="","",IF($L430+$M430=0,0,$L430/($L430+$M430)))</f>
        <v/>
      </c>
      <c r="O430" s="153"/>
      <c r="P430" s="153"/>
      <c r="Q430" s="154" t="str">
        <f t="shared" ref="Q430" si="64">IF($C430="","",(O430-(0.5*P430)))</f>
        <v/>
      </c>
      <c r="R430" s="147" t="str">
        <f t="shared" ref="R430" si="65">IF($C430="","",IF($B430="beginning",(((SUM($P430:$R430)-7085)/3811)*40)+360,IF($B430="middle",(((SUM($P430:$R430)-7085)/3811)*40)+400,IF($B430="end",(((SUM($P430:$R430)-7085)/3811)*40)+440,""))))</f>
        <v/>
      </c>
    </row>
    <row r="431" spans="1:24">
      <c r="A431" s="95"/>
      <c r="G431" s="77"/>
    </row>
    <row r="432" spans="1:24">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yAf6BQk8SmXZns2DwfZ0WeYv01Qmam0LETC3mwAQwXtwtdli+6jy2u/Np7dDTDpbCvx9xI1pV3nEegKcusF0Qg==" saltValue="n9WEoeHYlzmNOySu+gUjiw==" spinCount="100000" sheet="1" objects="1" scenarios="1" formatCells="0" formatColumns="0" formatRows="0" deleteRows="0" sort="0" autoFilter="0"/>
  <mergeCells count="7">
    <mergeCell ref="I4:J4"/>
    <mergeCell ref="S4:X4"/>
    <mergeCell ref="A1:H1"/>
    <mergeCell ref="L4:N4"/>
    <mergeCell ref="O4:Q4"/>
    <mergeCell ref="L3:N3"/>
    <mergeCell ref="O3:Q3"/>
  </mergeCells>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4AAD2-4B89-014A-BF8D-9C0E269479FB}">
  <dimension ref="A1:X439"/>
  <sheetViews>
    <sheetView workbookViewId="0">
      <selection activeCell="A6" sqref="A6:H16"/>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1" width="13.140625" style="5" customWidth="1"/>
    <col min="12" max="12" width="13.28515625" style="5" customWidth="1"/>
    <col min="13" max="17" width="13.140625" style="5" customWidth="1"/>
    <col min="18" max="18" width="10.7109375" style="78" customWidth="1"/>
    <col min="19" max="24" width="3.7109375" style="5" hidden="1" customWidth="1"/>
    <col min="25" max="16384" width="10" style="5"/>
  </cols>
  <sheetData>
    <row r="1" spans="1:24" ht="30" customHeight="1" thickBot="1">
      <c r="A1" s="213" t="s">
        <v>17</v>
      </c>
      <c r="B1" s="214"/>
      <c r="C1" s="214"/>
      <c r="D1" s="214"/>
      <c r="E1" s="214"/>
      <c r="F1" s="214"/>
      <c r="G1" s="214"/>
      <c r="H1" s="215"/>
      <c r="I1" s="4"/>
    </row>
    <row r="2" spans="1:24" ht="15" customHeight="1" thickBot="1">
      <c r="D2" s="79"/>
    </row>
    <row r="3" spans="1:24" s="175" customFormat="1" ht="15.75" thickBot="1">
      <c r="A3" s="170" t="s">
        <v>5</v>
      </c>
      <c r="B3" s="171" t="s">
        <v>5</v>
      </c>
      <c r="C3" s="171" t="s">
        <v>5</v>
      </c>
      <c r="D3" s="171" t="s">
        <v>5</v>
      </c>
      <c r="E3" s="171" t="s">
        <v>5</v>
      </c>
      <c r="F3" s="172" t="s">
        <v>4</v>
      </c>
      <c r="G3" s="172" t="s">
        <v>4</v>
      </c>
      <c r="H3" s="173" t="s">
        <v>4</v>
      </c>
      <c r="I3" s="177" t="s">
        <v>5</v>
      </c>
      <c r="J3" s="178" t="s">
        <v>5</v>
      </c>
      <c r="K3" s="178" t="s">
        <v>5</v>
      </c>
      <c r="L3" s="221" t="s">
        <v>5</v>
      </c>
      <c r="M3" s="222"/>
      <c r="N3" s="223"/>
      <c r="O3" s="221" t="s">
        <v>5</v>
      </c>
      <c r="P3" s="222"/>
      <c r="Q3" s="223"/>
      <c r="R3" s="179" t="s">
        <v>5</v>
      </c>
    </row>
    <row r="4" spans="1:24" s="6" customFormat="1" ht="33" customHeight="1" thickBot="1">
      <c r="A4" s="80"/>
      <c r="B4" s="81"/>
      <c r="C4" s="82"/>
      <c r="D4" s="81"/>
      <c r="E4" s="82"/>
      <c r="F4" s="83"/>
      <c r="G4" s="84"/>
      <c r="H4" s="83"/>
      <c r="I4" s="218" t="s">
        <v>13</v>
      </c>
      <c r="J4" s="217"/>
      <c r="K4" s="49"/>
      <c r="L4" s="209" t="s">
        <v>36</v>
      </c>
      <c r="M4" s="210"/>
      <c r="N4" s="219"/>
      <c r="O4" s="220" t="s">
        <v>22</v>
      </c>
      <c r="P4" s="211"/>
      <c r="Q4" s="211"/>
      <c r="R4" s="85"/>
      <c r="S4" s="212" t="s">
        <v>28</v>
      </c>
      <c r="T4" s="212"/>
      <c r="U4" s="212"/>
      <c r="V4" s="212"/>
      <c r="W4" s="212"/>
      <c r="X4" s="212"/>
    </row>
    <row r="5" spans="1:24" ht="60.75" thickBot="1">
      <c r="A5" s="50" t="s">
        <v>7</v>
      </c>
      <c r="B5" s="50" t="s">
        <v>19</v>
      </c>
      <c r="C5" s="51" t="s">
        <v>0</v>
      </c>
      <c r="D5" s="52" t="s">
        <v>6</v>
      </c>
      <c r="E5" s="53" t="s">
        <v>1</v>
      </c>
      <c r="F5" s="54" t="s">
        <v>2</v>
      </c>
      <c r="G5" s="55" t="s">
        <v>8</v>
      </c>
      <c r="H5" s="56" t="s">
        <v>3</v>
      </c>
      <c r="I5" s="57" t="s">
        <v>12</v>
      </c>
      <c r="J5" s="59" t="s">
        <v>14</v>
      </c>
      <c r="K5" s="140" t="s">
        <v>15</v>
      </c>
      <c r="L5" s="58" t="s">
        <v>32</v>
      </c>
      <c r="M5" s="141" t="s">
        <v>21</v>
      </c>
      <c r="N5" s="140" t="s">
        <v>33</v>
      </c>
      <c r="O5" s="140" t="s">
        <v>23</v>
      </c>
      <c r="P5" s="141" t="s">
        <v>24</v>
      </c>
      <c r="Q5" s="59" t="s">
        <v>25</v>
      </c>
      <c r="R5" s="60" t="s">
        <v>11</v>
      </c>
      <c r="S5" s="18" t="s">
        <v>31</v>
      </c>
      <c r="T5" s="18" t="s">
        <v>30</v>
      </c>
      <c r="U5" s="18" t="s">
        <v>29</v>
      </c>
      <c r="V5" s="18" t="s">
        <v>26</v>
      </c>
      <c r="W5" s="18" t="s">
        <v>27</v>
      </c>
      <c r="X5" s="18" t="s">
        <v>16</v>
      </c>
    </row>
    <row r="6" spans="1:24">
      <c r="A6" s="86">
        <v>45780</v>
      </c>
      <c r="B6" s="86" t="s">
        <v>87</v>
      </c>
      <c r="C6" s="189" t="s">
        <v>63</v>
      </c>
      <c r="D6" s="189" t="s">
        <v>64</v>
      </c>
      <c r="E6" s="189" t="s">
        <v>52</v>
      </c>
      <c r="F6" s="142" t="s">
        <v>88</v>
      </c>
      <c r="G6" s="143">
        <v>40959</v>
      </c>
      <c r="H6" s="61" t="s">
        <v>85</v>
      </c>
      <c r="I6" s="68"/>
      <c r="J6" s="64"/>
      <c r="K6" s="64"/>
      <c r="L6" s="144"/>
      <c r="M6" s="144"/>
      <c r="N6" s="145">
        <f>IF($C6="","",IF($L6+$M6=0,0,$L6/($L6+$M6)))</f>
        <v>0</v>
      </c>
      <c r="O6" s="144"/>
      <c r="P6" s="144"/>
      <c r="Q6" s="152">
        <f>IF($C6="","",($O6-($P6/2)))</f>
        <v>0</v>
      </c>
      <c r="R6" s="65">
        <f>IF($C6="","",IF(TRIM($B6)="beginning",(((SUM($S6:$X6)-10051)/4349)*40)+360,IF(TRIM($B6)="middle",(((SUM($S6:$X6)-10051)/4349)*40)+400,IF(TRIM($B6)="end",(((SUM($S6:$X6)-10051)/4349)*40)+440,""))))</f>
        <v>267.55575994481489</v>
      </c>
      <c r="S6" s="5">
        <f>IF($C6="","",I6*40.02)</f>
        <v>0</v>
      </c>
      <c r="T6" s="5">
        <f>IF($C6="","",J6*11.8)</f>
        <v>0</v>
      </c>
      <c r="U6" s="5">
        <f>IF($C6="","",K6*19.83)</f>
        <v>0</v>
      </c>
      <c r="V6" s="5">
        <f>IF($C6="","",L6*39.42)</f>
        <v>0</v>
      </c>
      <c r="W6" s="5">
        <f>IF($C6="","",N6*0.09)</f>
        <v>0</v>
      </c>
      <c r="X6" s="5">
        <f>IF($C6="","",Q6*4.79)</f>
        <v>0</v>
      </c>
    </row>
    <row r="7" spans="1:24">
      <c r="A7" s="87">
        <v>45780</v>
      </c>
      <c r="B7" s="87" t="s">
        <v>87</v>
      </c>
      <c r="C7" s="189" t="s">
        <v>65</v>
      </c>
      <c r="D7" s="189" t="s">
        <v>66</v>
      </c>
      <c r="E7" s="189" t="s">
        <v>53</v>
      </c>
      <c r="F7" s="69" t="s">
        <v>89</v>
      </c>
      <c r="G7" s="70">
        <v>40960</v>
      </c>
      <c r="H7" s="71" t="s">
        <v>85</v>
      </c>
      <c r="I7" s="66"/>
      <c r="J7" s="67"/>
      <c r="K7" s="67"/>
      <c r="L7" s="67"/>
      <c r="M7" s="67"/>
      <c r="N7" s="145">
        <f>IF($C7="","",IF($L7+$M7=0,0,$L7/($L7+$M7)))</f>
        <v>0</v>
      </c>
      <c r="O7" s="64"/>
      <c r="P7" s="64"/>
      <c r="Q7" s="152">
        <f t="shared" ref="Q7:Q70" si="0">IF($C7="","",($O7-($P7/2)))</f>
        <v>0</v>
      </c>
      <c r="R7" s="65">
        <f>IF($C7="","",IF(TRIM($B7)="beginning",(((SUM($S7:$X7)-10051)/4349)*40)+360,IF(TRIM($B7)="middle",(((SUM($S7:$X7)-10051)/4349)*40)+400,IF(TRIM($B7)="end",(((SUM($S7:$X7)-10051)/4349)*40)+440,""))))</f>
        <v>267.55575994481489</v>
      </c>
      <c r="S7" s="5">
        <f t="shared" ref="S7:S70" si="1">IF($C7="","",I7*40.02)</f>
        <v>0</v>
      </c>
      <c r="T7" s="5">
        <f t="shared" ref="T7:T70" si="2">IF($C7="","",J7*11.8)</f>
        <v>0</v>
      </c>
      <c r="U7" s="5">
        <f t="shared" ref="U7:U70" si="3">IF($C7="","",K7*19.83)</f>
        <v>0</v>
      </c>
      <c r="V7" s="5">
        <f t="shared" ref="V7:V70" si="4">IF($C7="","",L7*39.42)</f>
        <v>0</v>
      </c>
      <c r="W7" s="5">
        <f t="shared" ref="W7:W70" si="5">IF($C7="","",N7*0.09)</f>
        <v>0</v>
      </c>
      <c r="X7" s="5">
        <f t="shared" ref="X7:X70" si="6">IF($C7="","",Q7*4.79)</f>
        <v>0</v>
      </c>
    </row>
    <row r="8" spans="1:24">
      <c r="A8" s="87">
        <v>45780</v>
      </c>
      <c r="B8" s="87" t="s">
        <v>87</v>
      </c>
      <c r="C8" s="189" t="s">
        <v>67</v>
      </c>
      <c r="D8" s="189" t="s">
        <v>68</v>
      </c>
      <c r="E8" s="189" t="s">
        <v>54</v>
      </c>
      <c r="F8" s="69" t="s">
        <v>88</v>
      </c>
      <c r="G8" s="70">
        <v>40961</v>
      </c>
      <c r="H8" s="71" t="s">
        <v>85</v>
      </c>
      <c r="I8" s="66"/>
      <c r="J8" s="67"/>
      <c r="K8" s="67"/>
      <c r="L8" s="67"/>
      <c r="M8" s="67"/>
      <c r="N8" s="145">
        <f t="shared" ref="N8:N70" si="7">IF($C8="","",IF($L8+$M8=0,0,$L8/($L8+$M8)))</f>
        <v>0</v>
      </c>
      <c r="O8" s="64"/>
      <c r="P8" s="64"/>
      <c r="Q8" s="152">
        <f t="shared" si="0"/>
        <v>0</v>
      </c>
      <c r="R8" s="65">
        <f t="shared" ref="R8:R71" si="8">IF($C8="","",IF(TRIM($B8)="beginning",(((SUM($S8:$X8)-10051)/4349)*40)+360,IF(TRIM($B8)="middle",(((SUM($S8:$X8)-10051)/4349)*40)+400,IF(TRIM($B8)="end",(((SUM($S8:$X8)-10051)/4349)*40)+440,""))))</f>
        <v>267.55575994481489</v>
      </c>
      <c r="S8" s="5">
        <f t="shared" si="1"/>
        <v>0</v>
      </c>
      <c r="T8" s="5">
        <f t="shared" si="2"/>
        <v>0</v>
      </c>
      <c r="U8" s="5">
        <f t="shared" si="3"/>
        <v>0</v>
      </c>
      <c r="V8" s="5">
        <f t="shared" si="4"/>
        <v>0</v>
      </c>
      <c r="W8" s="5">
        <f t="shared" si="5"/>
        <v>0</v>
      </c>
      <c r="X8" s="5">
        <f t="shared" si="6"/>
        <v>0</v>
      </c>
    </row>
    <row r="9" spans="1:24">
      <c r="A9" s="87">
        <v>45780</v>
      </c>
      <c r="B9" s="87" t="s">
        <v>87</v>
      </c>
      <c r="C9" s="189" t="s">
        <v>69</v>
      </c>
      <c r="D9" s="189" t="s">
        <v>70</v>
      </c>
      <c r="E9" s="189" t="s">
        <v>55</v>
      </c>
      <c r="F9" s="69" t="s">
        <v>88</v>
      </c>
      <c r="G9" s="70">
        <v>40962</v>
      </c>
      <c r="H9" s="71" t="s">
        <v>85</v>
      </c>
      <c r="I9" s="66"/>
      <c r="J9" s="67"/>
      <c r="K9" s="67"/>
      <c r="L9" s="67"/>
      <c r="M9" s="67"/>
      <c r="N9" s="145">
        <f t="shared" si="7"/>
        <v>0</v>
      </c>
      <c r="O9" s="64"/>
      <c r="P9" s="64"/>
      <c r="Q9" s="152">
        <f t="shared" si="0"/>
        <v>0</v>
      </c>
      <c r="R9" s="65">
        <f t="shared" si="8"/>
        <v>267.55575994481489</v>
      </c>
      <c r="S9" s="5">
        <f t="shared" si="1"/>
        <v>0</v>
      </c>
      <c r="T9" s="5">
        <f t="shared" si="2"/>
        <v>0</v>
      </c>
      <c r="U9" s="5">
        <f t="shared" si="3"/>
        <v>0</v>
      </c>
      <c r="V9" s="5">
        <f t="shared" si="4"/>
        <v>0</v>
      </c>
      <c r="W9" s="5">
        <f t="shared" si="5"/>
        <v>0</v>
      </c>
      <c r="X9" s="5">
        <f t="shared" si="6"/>
        <v>0</v>
      </c>
    </row>
    <row r="10" spans="1:24">
      <c r="A10" s="87">
        <v>45780</v>
      </c>
      <c r="B10" s="87" t="s">
        <v>87</v>
      </c>
      <c r="C10" s="189" t="s">
        <v>71</v>
      </c>
      <c r="D10" s="189" t="s">
        <v>72</v>
      </c>
      <c r="E10" s="189" t="s">
        <v>56</v>
      </c>
      <c r="F10" s="69" t="s">
        <v>89</v>
      </c>
      <c r="G10" s="70">
        <v>40970</v>
      </c>
      <c r="H10" s="71" t="s">
        <v>86</v>
      </c>
      <c r="I10" s="66"/>
      <c r="J10" s="67"/>
      <c r="K10" s="67"/>
      <c r="L10" s="67"/>
      <c r="M10" s="67"/>
      <c r="N10" s="145">
        <f t="shared" si="7"/>
        <v>0</v>
      </c>
      <c r="O10" s="64"/>
      <c r="P10" s="64"/>
      <c r="Q10" s="152">
        <f t="shared" si="0"/>
        <v>0</v>
      </c>
      <c r="R10" s="65">
        <f t="shared" si="8"/>
        <v>267.55575994481489</v>
      </c>
      <c r="S10" s="5">
        <f t="shared" si="1"/>
        <v>0</v>
      </c>
      <c r="T10" s="5">
        <f t="shared" si="2"/>
        <v>0</v>
      </c>
      <c r="U10" s="5">
        <f t="shared" si="3"/>
        <v>0</v>
      </c>
      <c r="V10" s="5">
        <f t="shared" si="4"/>
        <v>0</v>
      </c>
      <c r="W10" s="5">
        <f t="shared" si="5"/>
        <v>0</v>
      </c>
      <c r="X10" s="5">
        <f t="shared" si="6"/>
        <v>0</v>
      </c>
    </row>
    <row r="11" spans="1:24">
      <c r="A11" s="87">
        <v>45780</v>
      </c>
      <c r="B11" s="87" t="s">
        <v>87</v>
      </c>
      <c r="C11" s="189" t="s">
        <v>73</v>
      </c>
      <c r="D11" s="189" t="s">
        <v>74</v>
      </c>
      <c r="E11" s="189" t="s">
        <v>57</v>
      </c>
      <c r="F11" s="69" t="s">
        <v>89</v>
      </c>
      <c r="G11" s="70">
        <v>40963</v>
      </c>
      <c r="H11" s="71" t="s">
        <v>85</v>
      </c>
      <c r="I11" s="66"/>
      <c r="J11" s="67"/>
      <c r="K11" s="67"/>
      <c r="L11" s="67"/>
      <c r="M11" s="67"/>
      <c r="N11" s="145">
        <f t="shared" si="7"/>
        <v>0</v>
      </c>
      <c r="O11" s="64"/>
      <c r="P11" s="64"/>
      <c r="Q11" s="152">
        <f t="shared" si="0"/>
        <v>0</v>
      </c>
      <c r="R11" s="65">
        <f t="shared" si="8"/>
        <v>267.55575994481489</v>
      </c>
      <c r="S11" s="5">
        <f t="shared" si="1"/>
        <v>0</v>
      </c>
      <c r="T11" s="5">
        <f t="shared" si="2"/>
        <v>0</v>
      </c>
      <c r="U11" s="5">
        <f t="shared" si="3"/>
        <v>0</v>
      </c>
      <c r="V11" s="5">
        <f t="shared" si="4"/>
        <v>0</v>
      </c>
      <c r="W11" s="5">
        <f t="shared" si="5"/>
        <v>0</v>
      </c>
      <c r="X11" s="5">
        <f t="shared" si="6"/>
        <v>0</v>
      </c>
    </row>
    <row r="12" spans="1:24">
      <c r="A12" s="87">
        <v>45780</v>
      </c>
      <c r="B12" s="87" t="s">
        <v>87</v>
      </c>
      <c r="C12" s="189" t="s">
        <v>75</v>
      </c>
      <c r="D12" s="189" t="s">
        <v>76</v>
      </c>
      <c r="E12" s="189" t="s">
        <v>58</v>
      </c>
      <c r="F12" s="69" t="s">
        <v>88</v>
      </c>
      <c r="G12" s="70">
        <v>40964</v>
      </c>
      <c r="H12" s="71" t="s">
        <v>86</v>
      </c>
      <c r="I12" s="66"/>
      <c r="J12" s="67"/>
      <c r="K12" s="67"/>
      <c r="L12" s="67"/>
      <c r="M12" s="67"/>
      <c r="N12" s="145">
        <f t="shared" si="7"/>
        <v>0</v>
      </c>
      <c r="O12" s="64"/>
      <c r="P12" s="64"/>
      <c r="Q12" s="152">
        <f t="shared" si="0"/>
        <v>0</v>
      </c>
      <c r="R12" s="65">
        <f t="shared" si="8"/>
        <v>267.55575994481489</v>
      </c>
      <c r="S12" s="5">
        <f t="shared" si="1"/>
        <v>0</v>
      </c>
      <c r="T12" s="5">
        <f t="shared" si="2"/>
        <v>0</v>
      </c>
      <c r="U12" s="5">
        <f t="shared" si="3"/>
        <v>0</v>
      </c>
      <c r="V12" s="5">
        <f t="shared" si="4"/>
        <v>0</v>
      </c>
      <c r="W12" s="5">
        <f t="shared" si="5"/>
        <v>0</v>
      </c>
      <c r="X12" s="5">
        <f t="shared" si="6"/>
        <v>0</v>
      </c>
    </row>
    <row r="13" spans="1:24">
      <c r="A13" s="87">
        <v>45780</v>
      </c>
      <c r="B13" s="87" t="s">
        <v>87</v>
      </c>
      <c r="C13" s="189" t="s">
        <v>77</v>
      </c>
      <c r="D13" s="189" t="s">
        <v>78</v>
      </c>
      <c r="E13" s="189" t="s">
        <v>59</v>
      </c>
      <c r="F13" s="69" t="s">
        <v>89</v>
      </c>
      <c r="G13" s="70">
        <v>40965</v>
      </c>
      <c r="H13" s="71" t="s">
        <v>86</v>
      </c>
      <c r="I13" s="66"/>
      <c r="J13" s="67"/>
      <c r="K13" s="67"/>
      <c r="L13" s="67"/>
      <c r="M13" s="67"/>
      <c r="N13" s="145">
        <f t="shared" si="7"/>
        <v>0</v>
      </c>
      <c r="O13" s="64"/>
      <c r="P13" s="64"/>
      <c r="Q13" s="152">
        <f t="shared" si="0"/>
        <v>0</v>
      </c>
      <c r="R13" s="65">
        <f t="shared" si="8"/>
        <v>267.55575994481489</v>
      </c>
      <c r="S13" s="5">
        <f t="shared" si="1"/>
        <v>0</v>
      </c>
      <c r="T13" s="5">
        <f t="shared" si="2"/>
        <v>0</v>
      </c>
      <c r="U13" s="5">
        <f t="shared" si="3"/>
        <v>0</v>
      </c>
      <c r="V13" s="5">
        <f t="shared" si="4"/>
        <v>0</v>
      </c>
      <c r="W13" s="5">
        <f t="shared" si="5"/>
        <v>0</v>
      </c>
      <c r="X13" s="5">
        <f t="shared" si="6"/>
        <v>0</v>
      </c>
    </row>
    <row r="14" spans="1:24">
      <c r="A14" s="87">
        <v>45780</v>
      </c>
      <c r="B14" s="87" t="s">
        <v>87</v>
      </c>
      <c r="C14" s="189" t="s">
        <v>79</v>
      </c>
      <c r="D14" s="189" t="s">
        <v>80</v>
      </c>
      <c r="E14" s="189" t="s">
        <v>60</v>
      </c>
      <c r="F14" s="69" t="s">
        <v>88</v>
      </c>
      <c r="G14" s="70">
        <v>40966</v>
      </c>
      <c r="H14" s="71" t="s">
        <v>86</v>
      </c>
      <c r="I14" s="66"/>
      <c r="J14" s="67"/>
      <c r="K14" s="67"/>
      <c r="L14" s="67"/>
      <c r="M14" s="67"/>
      <c r="N14" s="145">
        <f t="shared" si="7"/>
        <v>0</v>
      </c>
      <c r="O14" s="64"/>
      <c r="P14" s="64"/>
      <c r="Q14" s="152">
        <f>IF($C14="","",($O14-($P14/2)))</f>
        <v>0</v>
      </c>
      <c r="R14" s="65">
        <f t="shared" si="8"/>
        <v>267.55575994481489</v>
      </c>
      <c r="S14" s="5">
        <f t="shared" si="1"/>
        <v>0</v>
      </c>
      <c r="T14" s="5">
        <f t="shared" si="2"/>
        <v>0</v>
      </c>
      <c r="U14" s="5">
        <f t="shared" si="3"/>
        <v>0</v>
      </c>
      <c r="V14" s="5">
        <f t="shared" si="4"/>
        <v>0</v>
      </c>
      <c r="W14" s="5">
        <f t="shared" si="5"/>
        <v>0</v>
      </c>
      <c r="X14" s="5">
        <f t="shared" si="6"/>
        <v>0</v>
      </c>
    </row>
    <row r="15" spans="1:24">
      <c r="A15" s="87">
        <v>45780</v>
      </c>
      <c r="B15" s="87" t="s">
        <v>87</v>
      </c>
      <c r="C15" s="189" t="s">
        <v>81</v>
      </c>
      <c r="D15" s="189" t="s">
        <v>82</v>
      </c>
      <c r="E15" s="189" t="s">
        <v>61</v>
      </c>
      <c r="F15" s="69" t="s">
        <v>88</v>
      </c>
      <c r="G15" s="70">
        <v>40967</v>
      </c>
      <c r="H15" s="71" t="s">
        <v>86</v>
      </c>
      <c r="I15" s="66"/>
      <c r="J15" s="67"/>
      <c r="K15" s="67"/>
      <c r="L15" s="67"/>
      <c r="M15" s="67"/>
      <c r="N15" s="145">
        <f t="shared" si="7"/>
        <v>0</v>
      </c>
      <c r="O15" s="64"/>
      <c r="P15" s="64"/>
      <c r="Q15" s="152">
        <f t="shared" si="0"/>
        <v>0</v>
      </c>
      <c r="R15" s="65">
        <f t="shared" si="8"/>
        <v>267.55575994481489</v>
      </c>
      <c r="S15" s="5">
        <f t="shared" si="1"/>
        <v>0</v>
      </c>
      <c r="T15" s="5">
        <f t="shared" si="2"/>
        <v>0</v>
      </c>
      <c r="U15" s="5">
        <f t="shared" si="3"/>
        <v>0</v>
      </c>
      <c r="V15" s="5">
        <f t="shared" si="4"/>
        <v>0</v>
      </c>
      <c r="W15" s="5">
        <f t="shared" si="5"/>
        <v>0</v>
      </c>
      <c r="X15" s="5">
        <f t="shared" si="6"/>
        <v>0</v>
      </c>
    </row>
    <row r="16" spans="1:24">
      <c r="A16" s="87">
        <v>45780</v>
      </c>
      <c r="B16" s="87" t="s">
        <v>87</v>
      </c>
      <c r="C16" s="189" t="s">
        <v>83</v>
      </c>
      <c r="D16" s="189" t="s">
        <v>84</v>
      </c>
      <c r="E16" s="189" t="s">
        <v>62</v>
      </c>
      <c r="F16" s="69" t="s">
        <v>88</v>
      </c>
      <c r="G16" s="70">
        <v>40968</v>
      </c>
      <c r="H16" s="71" t="s">
        <v>86</v>
      </c>
      <c r="I16" s="66"/>
      <c r="J16" s="67"/>
      <c r="K16" s="67"/>
      <c r="L16" s="67"/>
      <c r="M16" s="67"/>
      <c r="N16" s="145">
        <f t="shared" si="7"/>
        <v>0</v>
      </c>
      <c r="O16" s="64"/>
      <c r="P16" s="64"/>
      <c r="Q16" s="152">
        <f t="shared" si="0"/>
        <v>0</v>
      </c>
      <c r="R16" s="65">
        <f t="shared" si="8"/>
        <v>267.55575994481489</v>
      </c>
      <c r="S16" s="5">
        <f t="shared" si="1"/>
        <v>0</v>
      </c>
      <c r="T16" s="5">
        <f t="shared" si="2"/>
        <v>0</v>
      </c>
      <c r="U16" s="5">
        <f t="shared" si="3"/>
        <v>0</v>
      </c>
      <c r="V16" s="5">
        <f t="shared" si="4"/>
        <v>0</v>
      </c>
      <c r="W16" s="5">
        <f t="shared" si="5"/>
        <v>0</v>
      </c>
      <c r="X16" s="5">
        <f t="shared" si="6"/>
        <v>0</v>
      </c>
    </row>
    <row r="17" spans="1:24">
      <c r="A17" s="87"/>
      <c r="B17" s="87"/>
      <c r="C17" s="88"/>
      <c r="D17" s="89"/>
      <c r="E17" s="90"/>
      <c r="F17" s="69"/>
      <c r="G17" s="70"/>
      <c r="H17" s="71"/>
      <c r="I17" s="66"/>
      <c r="J17" s="67"/>
      <c r="K17" s="67"/>
      <c r="L17" s="67"/>
      <c r="M17" s="67"/>
      <c r="N17" s="145" t="str">
        <f t="shared" si="7"/>
        <v/>
      </c>
      <c r="O17" s="64"/>
      <c r="P17" s="64"/>
      <c r="Q17" s="152" t="str">
        <f t="shared" si="0"/>
        <v/>
      </c>
      <c r="R17" s="65" t="str">
        <f t="shared" si="8"/>
        <v/>
      </c>
      <c r="S17" s="5" t="str">
        <f t="shared" si="1"/>
        <v/>
      </c>
      <c r="T17" s="5" t="str">
        <f t="shared" si="2"/>
        <v/>
      </c>
      <c r="U17" s="5" t="str">
        <f t="shared" si="3"/>
        <v/>
      </c>
      <c r="V17" s="5" t="str">
        <f t="shared" si="4"/>
        <v/>
      </c>
      <c r="W17" s="5" t="str">
        <f t="shared" si="5"/>
        <v/>
      </c>
      <c r="X17" s="5" t="str">
        <f t="shared" si="6"/>
        <v/>
      </c>
    </row>
    <row r="18" spans="1:24">
      <c r="A18" s="87"/>
      <c r="B18" s="87"/>
      <c r="C18" s="88"/>
      <c r="D18" s="89"/>
      <c r="E18" s="90"/>
      <c r="F18" s="69"/>
      <c r="G18" s="70"/>
      <c r="H18" s="71"/>
      <c r="I18" s="66"/>
      <c r="J18" s="67"/>
      <c r="K18" s="67"/>
      <c r="L18" s="67"/>
      <c r="M18" s="67"/>
      <c r="N18" s="145" t="str">
        <f t="shared" si="7"/>
        <v/>
      </c>
      <c r="O18" s="64"/>
      <c r="P18" s="64"/>
      <c r="Q18" s="152" t="str">
        <f t="shared" si="0"/>
        <v/>
      </c>
      <c r="R18" s="65" t="str">
        <f t="shared" si="8"/>
        <v/>
      </c>
      <c r="S18" s="5" t="str">
        <f t="shared" si="1"/>
        <v/>
      </c>
      <c r="T18" s="5" t="str">
        <f t="shared" si="2"/>
        <v/>
      </c>
      <c r="U18" s="5" t="str">
        <f t="shared" si="3"/>
        <v/>
      </c>
      <c r="V18" s="5" t="str">
        <f t="shared" si="4"/>
        <v/>
      </c>
      <c r="W18" s="5" t="str">
        <f t="shared" si="5"/>
        <v/>
      </c>
      <c r="X18" s="5" t="str">
        <f t="shared" si="6"/>
        <v/>
      </c>
    </row>
    <row r="19" spans="1:24">
      <c r="A19" s="87"/>
      <c r="B19" s="87"/>
      <c r="C19" s="88"/>
      <c r="D19" s="89"/>
      <c r="E19" s="90"/>
      <c r="F19" s="69"/>
      <c r="G19" s="70"/>
      <c r="H19" s="71"/>
      <c r="I19" s="66"/>
      <c r="J19" s="67"/>
      <c r="K19" s="67"/>
      <c r="L19" s="67"/>
      <c r="M19" s="67"/>
      <c r="N19" s="145" t="str">
        <f t="shared" si="7"/>
        <v/>
      </c>
      <c r="O19" s="64"/>
      <c r="P19" s="64"/>
      <c r="Q19" s="152" t="str">
        <f t="shared" si="0"/>
        <v/>
      </c>
      <c r="R19" s="65" t="str">
        <f t="shared" si="8"/>
        <v/>
      </c>
      <c r="S19" s="5" t="str">
        <f t="shared" si="1"/>
        <v/>
      </c>
      <c r="T19" s="5" t="str">
        <f t="shared" si="2"/>
        <v/>
      </c>
      <c r="U19" s="5" t="str">
        <f t="shared" si="3"/>
        <v/>
      </c>
      <c r="V19" s="5" t="str">
        <f t="shared" si="4"/>
        <v/>
      </c>
      <c r="W19" s="5" t="str">
        <f t="shared" si="5"/>
        <v/>
      </c>
      <c r="X19" s="5" t="str">
        <f t="shared" si="6"/>
        <v/>
      </c>
    </row>
    <row r="20" spans="1:24">
      <c r="A20" s="87"/>
      <c r="B20" s="87"/>
      <c r="C20" s="88"/>
      <c r="D20" s="89"/>
      <c r="E20" s="90"/>
      <c r="F20" s="69"/>
      <c r="G20" s="70"/>
      <c r="H20" s="71"/>
      <c r="I20" s="66"/>
      <c r="J20" s="67"/>
      <c r="K20" s="67"/>
      <c r="L20" s="67"/>
      <c r="M20" s="67"/>
      <c r="N20" s="145" t="str">
        <f t="shared" si="7"/>
        <v/>
      </c>
      <c r="O20" s="64"/>
      <c r="P20" s="64"/>
      <c r="Q20" s="152" t="str">
        <f t="shared" si="0"/>
        <v/>
      </c>
      <c r="R20" s="65" t="str">
        <f t="shared" si="8"/>
        <v/>
      </c>
      <c r="S20" s="5" t="str">
        <f t="shared" si="1"/>
        <v/>
      </c>
      <c r="T20" s="5" t="str">
        <f t="shared" si="2"/>
        <v/>
      </c>
      <c r="U20" s="5" t="str">
        <f t="shared" si="3"/>
        <v/>
      </c>
      <c r="V20" s="5" t="str">
        <f t="shared" si="4"/>
        <v/>
      </c>
      <c r="W20" s="5" t="str">
        <f t="shared" si="5"/>
        <v/>
      </c>
      <c r="X20" s="5" t="str">
        <f t="shared" si="6"/>
        <v/>
      </c>
    </row>
    <row r="21" spans="1:24">
      <c r="A21" s="87"/>
      <c r="B21" s="87"/>
      <c r="C21" s="88"/>
      <c r="D21" s="89"/>
      <c r="E21" s="90"/>
      <c r="F21" s="69"/>
      <c r="G21" s="70"/>
      <c r="H21" s="71"/>
      <c r="I21" s="66"/>
      <c r="J21" s="67"/>
      <c r="K21" s="67"/>
      <c r="L21" s="67"/>
      <c r="M21" s="67"/>
      <c r="N21" s="145" t="str">
        <f t="shared" si="7"/>
        <v/>
      </c>
      <c r="O21" s="64"/>
      <c r="P21" s="64"/>
      <c r="Q21" s="152" t="str">
        <f t="shared" si="0"/>
        <v/>
      </c>
      <c r="R21" s="65" t="str">
        <f t="shared" si="8"/>
        <v/>
      </c>
      <c r="S21" s="5" t="str">
        <f t="shared" si="1"/>
        <v/>
      </c>
      <c r="T21" s="5" t="str">
        <f t="shared" si="2"/>
        <v/>
      </c>
      <c r="U21" s="5" t="str">
        <f t="shared" si="3"/>
        <v/>
      </c>
      <c r="V21" s="5" t="str">
        <f t="shared" si="4"/>
        <v/>
      </c>
      <c r="W21" s="5" t="str">
        <f t="shared" si="5"/>
        <v/>
      </c>
      <c r="X21" s="5" t="str">
        <f t="shared" si="6"/>
        <v/>
      </c>
    </row>
    <row r="22" spans="1:24">
      <c r="A22" s="87"/>
      <c r="B22" s="87"/>
      <c r="C22" s="88"/>
      <c r="D22" s="89"/>
      <c r="E22" s="90"/>
      <c r="F22" s="69"/>
      <c r="G22" s="70"/>
      <c r="H22" s="71"/>
      <c r="I22" s="66"/>
      <c r="J22" s="67"/>
      <c r="K22" s="67"/>
      <c r="L22" s="67"/>
      <c r="M22" s="67"/>
      <c r="N22" s="145" t="str">
        <f t="shared" si="7"/>
        <v/>
      </c>
      <c r="O22" s="64"/>
      <c r="P22" s="64"/>
      <c r="Q22" s="152" t="str">
        <f t="shared" si="0"/>
        <v/>
      </c>
      <c r="R22" s="65" t="str">
        <f t="shared" si="8"/>
        <v/>
      </c>
      <c r="S22" s="5" t="str">
        <f t="shared" si="1"/>
        <v/>
      </c>
      <c r="T22" s="5" t="str">
        <f t="shared" si="2"/>
        <v/>
      </c>
      <c r="U22" s="5" t="str">
        <f t="shared" si="3"/>
        <v/>
      </c>
      <c r="V22" s="5" t="str">
        <f t="shared" si="4"/>
        <v/>
      </c>
      <c r="W22" s="5" t="str">
        <f t="shared" si="5"/>
        <v/>
      </c>
      <c r="X22" s="5" t="str">
        <f t="shared" si="6"/>
        <v/>
      </c>
    </row>
    <row r="23" spans="1:24">
      <c r="A23" s="87"/>
      <c r="B23" s="87"/>
      <c r="C23" s="88"/>
      <c r="D23" s="89"/>
      <c r="E23" s="90"/>
      <c r="F23" s="69"/>
      <c r="G23" s="70"/>
      <c r="H23" s="71"/>
      <c r="I23" s="66"/>
      <c r="J23" s="67"/>
      <c r="K23" s="67"/>
      <c r="L23" s="67"/>
      <c r="M23" s="67"/>
      <c r="N23" s="145" t="str">
        <f t="shared" si="7"/>
        <v/>
      </c>
      <c r="O23" s="64"/>
      <c r="P23" s="64"/>
      <c r="Q23" s="152" t="str">
        <f t="shared" si="0"/>
        <v/>
      </c>
      <c r="R23" s="65" t="str">
        <f t="shared" si="8"/>
        <v/>
      </c>
      <c r="S23" s="5" t="str">
        <f t="shared" si="1"/>
        <v/>
      </c>
      <c r="T23" s="5" t="str">
        <f t="shared" si="2"/>
        <v/>
      </c>
      <c r="U23" s="5" t="str">
        <f t="shared" si="3"/>
        <v/>
      </c>
      <c r="V23" s="5" t="str">
        <f t="shared" si="4"/>
        <v/>
      </c>
      <c r="W23" s="5" t="str">
        <f t="shared" si="5"/>
        <v/>
      </c>
      <c r="X23" s="5" t="str">
        <f t="shared" si="6"/>
        <v/>
      </c>
    </row>
    <row r="24" spans="1:24">
      <c r="A24" s="87"/>
      <c r="B24" s="87"/>
      <c r="C24" s="88"/>
      <c r="D24" s="89"/>
      <c r="E24" s="90"/>
      <c r="F24" s="69"/>
      <c r="G24" s="70"/>
      <c r="H24" s="71"/>
      <c r="I24" s="66"/>
      <c r="J24" s="67"/>
      <c r="K24" s="67"/>
      <c r="L24" s="67"/>
      <c r="M24" s="67"/>
      <c r="N24" s="145" t="str">
        <f>IF($C24="","",IF($L24+$M24=0,0,$L24/($L24+$M24)))</f>
        <v/>
      </c>
      <c r="O24" s="64"/>
      <c r="P24" s="64"/>
      <c r="Q24" s="152" t="str">
        <f t="shared" si="0"/>
        <v/>
      </c>
      <c r="R24" s="65" t="str">
        <f t="shared" si="8"/>
        <v/>
      </c>
      <c r="S24" s="5" t="str">
        <f t="shared" si="1"/>
        <v/>
      </c>
      <c r="T24" s="5" t="str">
        <f t="shared" si="2"/>
        <v/>
      </c>
      <c r="U24" s="5" t="str">
        <f t="shared" si="3"/>
        <v/>
      </c>
      <c r="V24" s="5" t="str">
        <f t="shared" si="4"/>
        <v/>
      </c>
      <c r="W24" s="5" t="str">
        <f t="shared" si="5"/>
        <v/>
      </c>
      <c r="X24" s="5" t="str">
        <f t="shared" si="6"/>
        <v/>
      </c>
    </row>
    <row r="25" spans="1:24">
      <c r="A25" s="87"/>
      <c r="B25" s="87"/>
      <c r="C25" s="88"/>
      <c r="D25" s="89"/>
      <c r="E25" s="90"/>
      <c r="F25" s="69"/>
      <c r="G25" s="70"/>
      <c r="H25" s="71"/>
      <c r="I25" s="66"/>
      <c r="J25" s="67"/>
      <c r="K25" s="67"/>
      <c r="L25" s="67"/>
      <c r="M25" s="67"/>
      <c r="N25" s="145" t="str">
        <f t="shared" si="7"/>
        <v/>
      </c>
      <c r="O25" s="64"/>
      <c r="P25" s="64"/>
      <c r="Q25" s="152" t="str">
        <f t="shared" si="0"/>
        <v/>
      </c>
      <c r="R25" s="65" t="str">
        <f t="shared" si="8"/>
        <v/>
      </c>
      <c r="S25" s="5" t="str">
        <f t="shared" si="1"/>
        <v/>
      </c>
      <c r="T25" s="5" t="str">
        <f t="shared" si="2"/>
        <v/>
      </c>
      <c r="U25" s="5" t="str">
        <f t="shared" si="3"/>
        <v/>
      </c>
      <c r="V25" s="5" t="str">
        <f t="shared" si="4"/>
        <v/>
      </c>
      <c r="W25" s="5" t="str">
        <f t="shared" si="5"/>
        <v/>
      </c>
      <c r="X25" s="5" t="str">
        <f t="shared" si="6"/>
        <v/>
      </c>
    </row>
    <row r="26" spans="1:24">
      <c r="A26" s="87"/>
      <c r="B26" s="87"/>
      <c r="C26" s="88"/>
      <c r="D26" s="89"/>
      <c r="E26" s="90"/>
      <c r="F26" s="69"/>
      <c r="G26" s="70"/>
      <c r="H26" s="71"/>
      <c r="I26" s="66"/>
      <c r="J26" s="67"/>
      <c r="K26" s="67"/>
      <c r="L26" s="67"/>
      <c r="M26" s="67"/>
      <c r="N26" s="145" t="str">
        <f t="shared" si="7"/>
        <v/>
      </c>
      <c r="O26" s="64"/>
      <c r="P26" s="64"/>
      <c r="Q26" s="152" t="str">
        <f t="shared" si="0"/>
        <v/>
      </c>
      <c r="R26" s="65" t="str">
        <f t="shared" si="8"/>
        <v/>
      </c>
      <c r="S26" s="5" t="str">
        <f t="shared" si="1"/>
        <v/>
      </c>
      <c r="T26" s="5" t="str">
        <f t="shared" si="2"/>
        <v/>
      </c>
      <c r="U26" s="5" t="str">
        <f t="shared" si="3"/>
        <v/>
      </c>
      <c r="V26" s="5" t="str">
        <f t="shared" si="4"/>
        <v/>
      </c>
      <c r="W26" s="5" t="str">
        <f t="shared" si="5"/>
        <v/>
      </c>
      <c r="X26" s="5" t="str">
        <f t="shared" si="6"/>
        <v/>
      </c>
    </row>
    <row r="27" spans="1:24">
      <c r="A27" s="87"/>
      <c r="B27" s="87"/>
      <c r="C27" s="88"/>
      <c r="D27" s="89"/>
      <c r="E27" s="90"/>
      <c r="F27" s="69"/>
      <c r="G27" s="70"/>
      <c r="H27" s="71"/>
      <c r="I27" s="66"/>
      <c r="J27" s="67"/>
      <c r="K27" s="67"/>
      <c r="L27" s="67"/>
      <c r="M27" s="67"/>
      <c r="N27" s="145" t="str">
        <f t="shared" si="7"/>
        <v/>
      </c>
      <c r="O27" s="64"/>
      <c r="P27" s="64"/>
      <c r="Q27" s="152" t="str">
        <f t="shared" si="0"/>
        <v/>
      </c>
      <c r="R27" s="65" t="str">
        <f t="shared" si="8"/>
        <v/>
      </c>
      <c r="S27" s="5" t="str">
        <f t="shared" si="1"/>
        <v/>
      </c>
      <c r="T27" s="5" t="str">
        <f t="shared" si="2"/>
        <v/>
      </c>
      <c r="U27" s="5" t="str">
        <f t="shared" si="3"/>
        <v/>
      </c>
      <c r="V27" s="5" t="str">
        <f t="shared" si="4"/>
        <v/>
      </c>
      <c r="W27" s="5" t="str">
        <f t="shared" si="5"/>
        <v/>
      </c>
      <c r="X27" s="5" t="str">
        <f t="shared" si="6"/>
        <v/>
      </c>
    </row>
    <row r="28" spans="1:24">
      <c r="A28" s="87"/>
      <c r="B28" s="87"/>
      <c r="C28" s="88"/>
      <c r="D28" s="89"/>
      <c r="E28" s="90"/>
      <c r="F28" s="69"/>
      <c r="G28" s="70"/>
      <c r="H28" s="71"/>
      <c r="I28" s="66"/>
      <c r="J28" s="67"/>
      <c r="K28" s="67"/>
      <c r="L28" s="67"/>
      <c r="M28" s="67"/>
      <c r="N28" s="145" t="str">
        <f t="shared" si="7"/>
        <v/>
      </c>
      <c r="O28" s="64"/>
      <c r="P28" s="64"/>
      <c r="Q28" s="152" t="str">
        <f t="shared" si="0"/>
        <v/>
      </c>
      <c r="R28" s="65" t="str">
        <f t="shared" si="8"/>
        <v/>
      </c>
      <c r="S28" s="5" t="str">
        <f t="shared" si="1"/>
        <v/>
      </c>
      <c r="T28" s="5" t="str">
        <f t="shared" si="2"/>
        <v/>
      </c>
      <c r="U28" s="5" t="str">
        <f t="shared" si="3"/>
        <v/>
      </c>
      <c r="V28" s="5" t="str">
        <f t="shared" si="4"/>
        <v/>
      </c>
      <c r="W28" s="5" t="str">
        <f t="shared" si="5"/>
        <v/>
      </c>
      <c r="X28" s="5" t="str">
        <f t="shared" si="6"/>
        <v/>
      </c>
    </row>
    <row r="29" spans="1:24">
      <c r="A29" s="87"/>
      <c r="B29" s="87"/>
      <c r="C29" s="88"/>
      <c r="D29" s="89"/>
      <c r="E29" s="90"/>
      <c r="F29" s="69"/>
      <c r="G29" s="70"/>
      <c r="H29" s="71"/>
      <c r="I29" s="66"/>
      <c r="J29" s="67"/>
      <c r="K29" s="67"/>
      <c r="L29" s="67"/>
      <c r="M29" s="67"/>
      <c r="N29" s="145" t="str">
        <f t="shared" si="7"/>
        <v/>
      </c>
      <c r="O29" s="64"/>
      <c r="P29" s="64"/>
      <c r="Q29" s="152" t="str">
        <f t="shared" si="0"/>
        <v/>
      </c>
      <c r="R29" s="65" t="str">
        <f t="shared" si="8"/>
        <v/>
      </c>
      <c r="S29" s="5" t="str">
        <f t="shared" si="1"/>
        <v/>
      </c>
      <c r="T29" s="5" t="str">
        <f t="shared" si="2"/>
        <v/>
      </c>
      <c r="U29" s="5" t="str">
        <f t="shared" si="3"/>
        <v/>
      </c>
      <c r="V29" s="5" t="str">
        <f t="shared" si="4"/>
        <v/>
      </c>
      <c r="W29" s="5" t="str">
        <f t="shared" si="5"/>
        <v/>
      </c>
      <c r="X29" s="5" t="str">
        <f t="shared" si="6"/>
        <v/>
      </c>
    </row>
    <row r="30" spans="1:24">
      <c r="A30" s="87"/>
      <c r="B30" s="87"/>
      <c r="C30" s="88"/>
      <c r="D30" s="89"/>
      <c r="E30" s="90"/>
      <c r="F30" s="69"/>
      <c r="G30" s="70"/>
      <c r="H30" s="71"/>
      <c r="I30" s="66"/>
      <c r="J30" s="67"/>
      <c r="K30" s="67"/>
      <c r="L30" s="67"/>
      <c r="M30" s="67"/>
      <c r="N30" s="145" t="str">
        <f t="shared" si="7"/>
        <v/>
      </c>
      <c r="O30" s="64"/>
      <c r="P30" s="64"/>
      <c r="Q30" s="152" t="str">
        <f t="shared" si="0"/>
        <v/>
      </c>
      <c r="R30" s="65" t="str">
        <f t="shared" si="8"/>
        <v/>
      </c>
      <c r="S30" s="5" t="str">
        <f t="shared" si="1"/>
        <v/>
      </c>
      <c r="T30" s="5" t="str">
        <f t="shared" si="2"/>
        <v/>
      </c>
      <c r="U30" s="5" t="str">
        <f t="shared" si="3"/>
        <v/>
      </c>
      <c r="V30" s="5" t="str">
        <f t="shared" si="4"/>
        <v/>
      </c>
      <c r="W30" s="5" t="str">
        <f t="shared" si="5"/>
        <v/>
      </c>
      <c r="X30" s="5" t="str">
        <f t="shared" si="6"/>
        <v/>
      </c>
    </row>
    <row r="31" spans="1:24">
      <c r="A31" s="87"/>
      <c r="B31" s="87"/>
      <c r="C31" s="88"/>
      <c r="D31" s="89"/>
      <c r="E31" s="90"/>
      <c r="F31" s="69"/>
      <c r="G31" s="70"/>
      <c r="H31" s="71"/>
      <c r="I31" s="66"/>
      <c r="J31" s="67"/>
      <c r="K31" s="67"/>
      <c r="L31" s="67"/>
      <c r="M31" s="67"/>
      <c r="N31" s="145" t="str">
        <f t="shared" si="7"/>
        <v/>
      </c>
      <c r="O31" s="64"/>
      <c r="P31" s="64"/>
      <c r="Q31" s="152" t="str">
        <f t="shared" si="0"/>
        <v/>
      </c>
      <c r="R31" s="65" t="str">
        <f t="shared" si="8"/>
        <v/>
      </c>
      <c r="S31" s="5" t="str">
        <f t="shared" si="1"/>
        <v/>
      </c>
      <c r="T31" s="5" t="str">
        <f t="shared" si="2"/>
        <v/>
      </c>
      <c r="U31" s="5" t="str">
        <f t="shared" si="3"/>
        <v/>
      </c>
      <c r="V31" s="5" t="str">
        <f t="shared" si="4"/>
        <v/>
      </c>
      <c r="W31" s="5" t="str">
        <f t="shared" si="5"/>
        <v/>
      </c>
      <c r="X31" s="5" t="str">
        <f t="shared" si="6"/>
        <v/>
      </c>
    </row>
    <row r="32" spans="1:24">
      <c r="A32" s="87"/>
      <c r="B32" s="87"/>
      <c r="C32" s="88"/>
      <c r="D32" s="89"/>
      <c r="E32" s="90"/>
      <c r="F32" s="69"/>
      <c r="G32" s="70"/>
      <c r="H32" s="71"/>
      <c r="I32" s="66"/>
      <c r="J32" s="67"/>
      <c r="K32" s="67"/>
      <c r="L32" s="67"/>
      <c r="M32" s="67"/>
      <c r="N32" s="145" t="str">
        <f t="shared" si="7"/>
        <v/>
      </c>
      <c r="O32" s="64"/>
      <c r="P32" s="64"/>
      <c r="Q32" s="152" t="str">
        <f t="shared" si="0"/>
        <v/>
      </c>
      <c r="R32" s="65" t="str">
        <f t="shared" si="8"/>
        <v/>
      </c>
      <c r="S32" s="5" t="str">
        <f t="shared" si="1"/>
        <v/>
      </c>
      <c r="T32" s="5" t="str">
        <f t="shared" si="2"/>
        <v/>
      </c>
      <c r="U32" s="5" t="str">
        <f t="shared" si="3"/>
        <v/>
      </c>
      <c r="V32" s="5" t="str">
        <f t="shared" si="4"/>
        <v/>
      </c>
      <c r="W32" s="5" t="str">
        <f t="shared" si="5"/>
        <v/>
      </c>
      <c r="X32" s="5" t="str">
        <f t="shared" si="6"/>
        <v/>
      </c>
    </row>
    <row r="33" spans="1:24">
      <c r="A33" s="87"/>
      <c r="B33" s="87"/>
      <c r="C33" s="88"/>
      <c r="D33" s="89"/>
      <c r="E33" s="90"/>
      <c r="F33" s="69"/>
      <c r="G33" s="70"/>
      <c r="H33" s="71"/>
      <c r="I33" s="66"/>
      <c r="J33" s="67"/>
      <c r="K33" s="67"/>
      <c r="L33" s="67"/>
      <c r="M33" s="67"/>
      <c r="N33" s="145" t="str">
        <f t="shared" si="7"/>
        <v/>
      </c>
      <c r="O33" s="64"/>
      <c r="P33" s="64"/>
      <c r="Q33" s="152" t="str">
        <f t="shared" si="0"/>
        <v/>
      </c>
      <c r="R33" s="65" t="str">
        <f t="shared" si="8"/>
        <v/>
      </c>
      <c r="S33" s="5" t="str">
        <f t="shared" si="1"/>
        <v/>
      </c>
      <c r="T33" s="5" t="str">
        <f t="shared" si="2"/>
        <v/>
      </c>
      <c r="U33" s="5" t="str">
        <f t="shared" si="3"/>
        <v/>
      </c>
      <c r="V33" s="5" t="str">
        <f t="shared" si="4"/>
        <v/>
      </c>
      <c r="W33" s="5" t="str">
        <f t="shared" si="5"/>
        <v/>
      </c>
      <c r="X33" s="5" t="str">
        <f t="shared" si="6"/>
        <v/>
      </c>
    </row>
    <row r="34" spans="1:24">
      <c r="A34" s="87"/>
      <c r="B34" s="87"/>
      <c r="C34" s="88"/>
      <c r="D34" s="89"/>
      <c r="E34" s="90"/>
      <c r="F34" s="69"/>
      <c r="G34" s="70"/>
      <c r="H34" s="71"/>
      <c r="I34" s="66"/>
      <c r="J34" s="67"/>
      <c r="K34" s="67"/>
      <c r="L34" s="67"/>
      <c r="M34" s="67"/>
      <c r="N34" s="145" t="str">
        <f t="shared" si="7"/>
        <v/>
      </c>
      <c r="O34" s="64"/>
      <c r="P34" s="64"/>
      <c r="Q34" s="152" t="str">
        <f t="shared" si="0"/>
        <v/>
      </c>
      <c r="R34" s="65" t="str">
        <f t="shared" si="8"/>
        <v/>
      </c>
      <c r="S34" s="5" t="str">
        <f t="shared" si="1"/>
        <v/>
      </c>
      <c r="T34" s="5" t="str">
        <f t="shared" si="2"/>
        <v/>
      </c>
      <c r="U34" s="5" t="str">
        <f t="shared" si="3"/>
        <v/>
      </c>
      <c r="V34" s="5" t="str">
        <f t="shared" si="4"/>
        <v/>
      </c>
      <c r="W34" s="5" t="str">
        <f t="shared" si="5"/>
        <v/>
      </c>
      <c r="X34" s="5" t="str">
        <f t="shared" si="6"/>
        <v/>
      </c>
    </row>
    <row r="35" spans="1:24">
      <c r="A35" s="87"/>
      <c r="B35" s="87"/>
      <c r="C35" s="88"/>
      <c r="D35" s="89"/>
      <c r="E35" s="90"/>
      <c r="F35" s="69"/>
      <c r="G35" s="70"/>
      <c r="H35" s="71"/>
      <c r="I35" s="66"/>
      <c r="J35" s="67"/>
      <c r="K35" s="67"/>
      <c r="L35" s="67"/>
      <c r="M35" s="67"/>
      <c r="N35" s="145" t="str">
        <f t="shared" si="7"/>
        <v/>
      </c>
      <c r="O35" s="64"/>
      <c r="P35" s="64"/>
      <c r="Q35" s="152" t="str">
        <f t="shared" si="0"/>
        <v/>
      </c>
      <c r="R35" s="65" t="str">
        <f t="shared" si="8"/>
        <v/>
      </c>
      <c r="S35" s="5" t="str">
        <f t="shared" si="1"/>
        <v/>
      </c>
      <c r="T35" s="5" t="str">
        <f t="shared" si="2"/>
        <v/>
      </c>
      <c r="U35" s="5" t="str">
        <f t="shared" si="3"/>
        <v/>
      </c>
      <c r="V35" s="5" t="str">
        <f t="shared" si="4"/>
        <v/>
      </c>
      <c r="W35" s="5" t="str">
        <f t="shared" si="5"/>
        <v/>
      </c>
      <c r="X35" s="5" t="str">
        <f t="shared" si="6"/>
        <v/>
      </c>
    </row>
    <row r="36" spans="1:24">
      <c r="A36" s="87"/>
      <c r="B36" s="87"/>
      <c r="C36" s="88"/>
      <c r="D36" s="89"/>
      <c r="E36" s="90"/>
      <c r="F36" s="69"/>
      <c r="G36" s="70"/>
      <c r="H36" s="71"/>
      <c r="I36" s="66"/>
      <c r="J36" s="67"/>
      <c r="K36" s="67"/>
      <c r="L36" s="67"/>
      <c r="M36" s="67"/>
      <c r="N36" s="145" t="str">
        <f t="shared" si="7"/>
        <v/>
      </c>
      <c r="O36" s="64"/>
      <c r="P36" s="64"/>
      <c r="Q36" s="152" t="str">
        <f t="shared" si="0"/>
        <v/>
      </c>
      <c r="R36" s="65" t="str">
        <f t="shared" si="8"/>
        <v/>
      </c>
      <c r="S36" s="5" t="str">
        <f t="shared" si="1"/>
        <v/>
      </c>
      <c r="T36" s="5" t="str">
        <f t="shared" si="2"/>
        <v/>
      </c>
      <c r="U36" s="5" t="str">
        <f t="shared" si="3"/>
        <v/>
      </c>
      <c r="V36" s="5" t="str">
        <f t="shared" si="4"/>
        <v/>
      </c>
      <c r="W36" s="5" t="str">
        <f t="shared" si="5"/>
        <v/>
      </c>
      <c r="X36" s="5" t="str">
        <f t="shared" si="6"/>
        <v/>
      </c>
    </row>
    <row r="37" spans="1:24">
      <c r="A37" s="87"/>
      <c r="B37" s="87"/>
      <c r="C37" s="88"/>
      <c r="D37" s="89"/>
      <c r="E37" s="90"/>
      <c r="F37" s="69"/>
      <c r="G37" s="70"/>
      <c r="H37" s="71"/>
      <c r="I37" s="66"/>
      <c r="J37" s="67"/>
      <c r="K37" s="67"/>
      <c r="L37" s="67"/>
      <c r="M37" s="67"/>
      <c r="N37" s="145" t="str">
        <f>IF($C37="","",IF($L37+$M37=0,0,$L37/($L37+$M37)))</f>
        <v/>
      </c>
      <c r="O37" s="64"/>
      <c r="P37" s="64"/>
      <c r="Q37" s="152" t="str">
        <f t="shared" si="0"/>
        <v/>
      </c>
      <c r="R37" s="65" t="str">
        <f t="shared" si="8"/>
        <v/>
      </c>
      <c r="S37" s="5" t="str">
        <f t="shared" si="1"/>
        <v/>
      </c>
      <c r="T37" s="5" t="str">
        <f t="shared" si="2"/>
        <v/>
      </c>
      <c r="U37" s="5" t="str">
        <f t="shared" si="3"/>
        <v/>
      </c>
      <c r="V37" s="5" t="str">
        <f t="shared" si="4"/>
        <v/>
      </c>
      <c r="W37" s="5" t="str">
        <f t="shared" si="5"/>
        <v/>
      </c>
      <c r="X37" s="5" t="str">
        <f t="shared" si="6"/>
        <v/>
      </c>
    </row>
    <row r="38" spans="1:24">
      <c r="A38" s="87"/>
      <c r="B38" s="87"/>
      <c r="C38" s="88"/>
      <c r="D38" s="89"/>
      <c r="E38" s="90"/>
      <c r="F38" s="69"/>
      <c r="G38" s="70"/>
      <c r="H38" s="71"/>
      <c r="I38" s="66"/>
      <c r="J38" s="67"/>
      <c r="K38" s="67"/>
      <c r="L38" s="67"/>
      <c r="M38" s="67"/>
      <c r="N38" s="145" t="str">
        <f t="shared" si="7"/>
        <v/>
      </c>
      <c r="O38" s="64"/>
      <c r="P38" s="64"/>
      <c r="Q38" s="152" t="str">
        <f>IF($C38="","",($O38-($P38/2)))</f>
        <v/>
      </c>
      <c r="R38" s="65" t="str">
        <f t="shared" si="8"/>
        <v/>
      </c>
      <c r="S38" s="5" t="str">
        <f t="shared" si="1"/>
        <v/>
      </c>
      <c r="T38" s="5" t="str">
        <f t="shared" si="2"/>
        <v/>
      </c>
      <c r="U38" s="5" t="str">
        <f t="shared" si="3"/>
        <v/>
      </c>
      <c r="V38" s="5" t="str">
        <f t="shared" si="4"/>
        <v/>
      </c>
      <c r="W38" s="5" t="str">
        <f t="shared" si="5"/>
        <v/>
      </c>
      <c r="X38" s="5" t="str">
        <f t="shared" si="6"/>
        <v/>
      </c>
    </row>
    <row r="39" spans="1:24">
      <c r="A39" s="87"/>
      <c r="B39" s="87"/>
      <c r="C39" s="88"/>
      <c r="D39" s="89"/>
      <c r="E39" s="90"/>
      <c r="F39" s="69"/>
      <c r="G39" s="70"/>
      <c r="H39" s="71"/>
      <c r="I39" s="66"/>
      <c r="J39" s="67"/>
      <c r="K39" s="67"/>
      <c r="L39" s="67"/>
      <c r="M39" s="67"/>
      <c r="N39" s="145" t="str">
        <f t="shared" si="7"/>
        <v/>
      </c>
      <c r="O39" s="64"/>
      <c r="P39" s="64"/>
      <c r="Q39" s="152" t="str">
        <f t="shared" si="0"/>
        <v/>
      </c>
      <c r="R39" s="65" t="str">
        <f t="shared" si="8"/>
        <v/>
      </c>
      <c r="S39" s="5" t="str">
        <f t="shared" si="1"/>
        <v/>
      </c>
      <c r="T39" s="5" t="str">
        <f t="shared" si="2"/>
        <v/>
      </c>
      <c r="U39" s="5" t="str">
        <f t="shared" si="3"/>
        <v/>
      </c>
      <c r="V39" s="5" t="str">
        <f t="shared" si="4"/>
        <v/>
      </c>
      <c r="W39" s="5" t="str">
        <f t="shared" si="5"/>
        <v/>
      </c>
      <c r="X39" s="5" t="str">
        <f t="shared" si="6"/>
        <v/>
      </c>
    </row>
    <row r="40" spans="1:24">
      <c r="A40" s="87"/>
      <c r="B40" s="87"/>
      <c r="C40" s="88"/>
      <c r="D40" s="89"/>
      <c r="E40" s="90"/>
      <c r="F40" s="69"/>
      <c r="G40" s="70"/>
      <c r="H40" s="71"/>
      <c r="I40" s="66"/>
      <c r="J40" s="67"/>
      <c r="K40" s="67"/>
      <c r="L40" s="67"/>
      <c r="M40" s="67"/>
      <c r="N40" s="145" t="str">
        <f>IF($C40="","",IF($L40+$M40=0,0,$L40/($L40+$M40)))</f>
        <v/>
      </c>
      <c r="O40" s="64"/>
      <c r="P40" s="64"/>
      <c r="Q40" s="152" t="str">
        <f t="shared" si="0"/>
        <v/>
      </c>
      <c r="R40" s="65" t="str">
        <f t="shared" si="8"/>
        <v/>
      </c>
      <c r="S40" s="5" t="str">
        <f t="shared" si="1"/>
        <v/>
      </c>
      <c r="T40" s="5" t="str">
        <f t="shared" si="2"/>
        <v/>
      </c>
      <c r="U40" s="5" t="str">
        <f t="shared" si="3"/>
        <v/>
      </c>
      <c r="V40" s="5" t="str">
        <f t="shared" si="4"/>
        <v/>
      </c>
      <c r="W40" s="5" t="str">
        <f t="shared" si="5"/>
        <v/>
      </c>
      <c r="X40" s="5" t="str">
        <f t="shared" si="6"/>
        <v/>
      </c>
    </row>
    <row r="41" spans="1:24">
      <c r="A41" s="87"/>
      <c r="B41" s="87"/>
      <c r="C41" s="88"/>
      <c r="D41" s="89"/>
      <c r="E41" s="90"/>
      <c r="F41" s="69"/>
      <c r="G41" s="70"/>
      <c r="H41" s="71"/>
      <c r="I41" s="66"/>
      <c r="J41" s="67"/>
      <c r="K41" s="67"/>
      <c r="L41" s="67"/>
      <c r="M41" s="67"/>
      <c r="N41" s="145" t="str">
        <f t="shared" si="7"/>
        <v/>
      </c>
      <c r="O41" s="64"/>
      <c r="P41" s="64"/>
      <c r="Q41" s="152" t="str">
        <f t="shared" si="0"/>
        <v/>
      </c>
      <c r="R41" s="65" t="str">
        <f t="shared" si="8"/>
        <v/>
      </c>
      <c r="S41" s="5" t="str">
        <f t="shared" si="1"/>
        <v/>
      </c>
      <c r="T41" s="5" t="str">
        <f t="shared" si="2"/>
        <v/>
      </c>
      <c r="U41" s="5" t="str">
        <f t="shared" si="3"/>
        <v/>
      </c>
      <c r="V41" s="5" t="str">
        <f t="shared" si="4"/>
        <v/>
      </c>
      <c r="W41" s="5" t="str">
        <f t="shared" si="5"/>
        <v/>
      </c>
      <c r="X41" s="5" t="str">
        <f t="shared" si="6"/>
        <v/>
      </c>
    </row>
    <row r="42" spans="1:24">
      <c r="A42" s="87"/>
      <c r="B42" s="87"/>
      <c r="C42" s="88"/>
      <c r="D42" s="89"/>
      <c r="E42" s="90"/>
      <c r="F42" s="69"/>
      <c r="G42" s="70"/>
      <c r="H42" s="71"/>
      <c r="I42" s="66"/>
      <c r="J42" s="67"/>
      <c r="K42" s="67"/>
      <c r="L42" s="67"/>
      <c r="M42" s="67"/>
      <c r="N42" s="145" t="str">
        <f t="shared" si="7"/>
        <v/>
      </c>
      <c r="O42" s="64"/>
      <c r="P42" s="64"/>
      <c r="Q42" s="152" t="str">
        <f t="shared" si="0"/>
        <v/>
      </c>
      <c r="R42" s="65" t="str">
        <f t="shared" si="8"/>
        <v/>
      </c>
      <c r="S42" s="5" t="str">
        <f t="shared" si="1"/>
        <v/>
      </c>
      <c r="T42" s="5" t="str">
        <f t="shared" si="2"/>
        <v/>
      </c>
      <c r="U42" s="5" t="str">
        <f t="shared" si="3"/>
        <v/>
      </c>
      <c r="V42" s="5" t="str">
        <f t="shared" si="4"/>
        <v/>
      </c>
      <c r="W42" s="5" t="str">
        <f t="shared" si="5"/>
        <v/>
      </c>
      <c r="X42" s="5" t="str">
        <f t="shared" si="6"/>
        <v/>
      </c>
    </row>
    <row r="43" spans="1:24">
      <c r="A43" s="87"/>
      <c r="B43" s="87"/>
      <c r="C43" s="88"/>
      <c r="D43" s="89"/>
      <c r="E43" s="90"/>
      <c r="F43" s="69"/>
      <c r="G43" s="70"/>
      <c r="H43" s="71"/>
      <c r="I43" s="66"/>
      <c r="J43" s="67"/>
      <c r="K43" s="67"/>
      <c r="L43" s="67"/>
      <c r="M43" s="67"/>
      <c r="N43" s="145" t="str">
        <f t="shared" si="7"/>
        <v/>
      </c>
      <c r="O43" s="64"/>
      <c r="P43" s="64"/>
      <c r="Q43" s="152" t="str">
        <f t="shared" si="0"/>
        <v/>
      </c>
      <c r="R43" s="65" t="str">
        <f t="shared" si="8"/>
        <v/>
      </c>
      <c r="S43" s="5" t="str">
        <f t="shared" si="1"/>
        <v/>
      </c>
      <c r="T43" s="5" t="str">
        <f t="shared" si="2"/>
        <v/>
      </c>
      <c r="U43" s="5" t="str">
        <f t="shared" si="3"/>
        <v/>
      </c>
      <c r="V43" s="5" t="str">
        <f t="shared" si="4"/>
        <v/>
      </c>
      <c r="W43" s="5" t="str">
        <f t="shared" si="5"/>
        <v/>
      </c>
      <c r="X43" s="5" t="str">
        <f t="shared" si="6"/>
        <v/>
      </c>
    </row>
    <row r="44" spans="1:24">
      <c r="A44" s="87"/>
      <c r="B44" s="87"/>
      <c r="C44" s="88"/>
      <c r="D44" s="89"/>
      <c r="E44" s="90"/>
      <c r="F44" s="69"/>
      <c r="G44" s="70"/>
      <c r="H44" s="71"/>
      <c r="I44" s="66"/>
      <c r="J44" s="67"/>
      <c r="K44" s="67"/>
      <c r="L44" s="67"/>
      <c r="M44" s="67"/>
      <c r="N44" s="145" t="str">
        <f t="shared" si="7"/>
        <v/>
      </c>
      <c r="O44" s="64"/>
      <c r="P44" s="64"/>
      <c r="Q44" s="152" t="str">
        <f t="shared" si="0"/>
        <v/>
      </c>
      <c r="R44" s="65" t="str">
        <f t="shared" si="8"/>
        <v/>
      </c>
      <c r="S44" s="5" t="str">
        <f t="shared" si="1"/>
        <v/>
      </c>
      <c r="T44" s="5" t="str">
        <f t="shared" si="2"/>
        <v/>
      </c>
      <c r="U44" s="5" t="str">
        <f t="shared" si="3"/>
        <v/>
      </c>
      <c r="V44" s="5" t="str">
        <f t="shared" si="4"/>
        <v/>
      </c>
      <c r="W44" s="5" t="str">
        <f t="shared" si="5"/>
        <v/>
      </c>
      <c r="X44" s="5" t="str">
        <f t="shared" si="6"/>
        <v/>
      </c>
    </row>
    <row r="45" spans="1:24">
      <c r="A45" s="87"/>
      <c r="B45" s="87"/>
      <c r="C45" s="88"/>
      <c r="D45" s="89"/>
      <c r="E45" s="90"/>
      <c r="F45" s="69"/>
      <c r="G45" s="70"/>
      <c r="H45" s="71"/>
      <c r="I45" s="66"/>
      <c r="J45" s="67"/>
      <c r="K45" s="67"/>
      <c r="L45" s="67"/>
      <c r="M45" s="67"/>
      <c r="N45" s="145" t="str">
        <f t="shared" si="7"/>
        <v/>
      </c>
      <c r="O45" s="64"/>
      <c r="P45" s="64"/>
      <c r="Q45" s="152" t="str">
        <f t="shared" si="0"/>
        <v/>
      </c>
      <c r="R45" s="65" t="str">
        <f t="shared" si="8"/>
        <v/>
      </c>
      <c r="S45" s="5" t="str">
        <f t="shared" si="1"/>
        <v/>
      </c>
      <c r="T45" s="5" t="str">
        <f t="shared" si="2"/>
        <v/>
      </c>
      <c r="U45" s="5" t="str">
        <f t="shared" si="3"/>
        <v/>
      </c>
      <c r="V45" s="5" t="str">
        <f t="shared" si="4"/>
        <v/>
      </c>
      <c r="W45" s="5" t="str">
        <f t="shared" si="5"/>
        <v/>
      </c>
      <c r="X45" s="5" t="str">
        <f t="shared" si="6"/>
        <v/>
      </c>
    </row>
    <row r="46" spans="1:24">
      <c r="A46" s="87"/>
      <c r="B46" s="87"/>
      <c r="C46" s="88"/>
      <c r="D46" s="89"/>
      <c r="E46" s="90"/>
      <c r="F46" s="69"/>
      <c r="G46" s="70"/>
      <c r="H46" s="71"/>
      <c r="I46" s="66"/>
      <c r="J46" s="67"/>
      <c r="K46" s="67"/>
      <c r="L46" s="67"/>
      <c r="M46" s="67"/>
      <c r="N46" s="145" t="str">
        <f t="shared" si="7"/>
        <v/>
      </c>
      <c r="O46" s="64"/>
      <c r="P46" s="64"/>
      <c r="Q46" s="152" t="str">
        <f t="shared" si="0"/>
        <v/>
      </c>
      <c r="R46" s="65" t="str">
        <f t="shared" si="8"/>
        <v/>
      </c>
      <c r="S46" s="5" t="str">
        <f t="shared" si="1"/>
        <v/>
      </c>
      <c r="T46" s="5" t="str">
        <f t="shared" si="2"/>
        <v/>
      </c>
      <c r="U46" s="5" t="str">
        <f t="shared" si="3"/>
        <v/>
      </c>
      <c r="V46" s="5" t="str">
        <f t="shared" si="4"/>
        <v/>
      </c>
      <c r="W46" s="5" t="str">
        <f t="shared" si="5"/>
        <v/>
      </c>
      <c r="X46" s="5" t="str">
        <f t="shared" si="6"/>
        <v/>
      </c>
    </row>
    <row r="47" spans="1:24">
      <c r="A47" s="87"/>
      <c r="B47" s="87"/>
      <c r="C47" s="88"/>
      <c r="D47" s="89"/>
      <c r="E47" s="90"/>
      <c r="F47" s="69"/>
      <c r="G47" s="70"/>
      <c r="H47" s="71"/>
      <c r="I47" s="66"/>
      <c r="J47" s="67"/>
      <c r="K47" s="67"/>
      <c r="L47" s="67"/>
      <c r="M47" s="67"/>
      <c r="N47" s="145" t="str">
        <f t="shared" si="7"/>
        <v/>
      </c>
      <c r="O47" s="64"/>
      <c r="P47" s="64"/>
      <c r="Q47" s="152" t="str">
        <f t="shared" si="0"/>
        <v/>
      </c>
      <c r="R47" s="65" t="str">
        <f t="shared" si="8"/>
        <v/>
      </c>
      <c r="S47" s="5" t="str">
        <f t="shared" si="1"/>
        <v/>
      </c>
      <c r="T47" s="5" t="str">
        <f t="shared" si="2"/>
        <v/>
      </c>
      <c r="U47" s="5" t="str">
        <f t="shared" si="3"/>
        <v/>
      </c>
      <c r="V47" s="5" t="str">
        <f t="shared" si="4"/>
        <v/>
      </c>
      <c r="W47" s="5" t="str">
        <f t="shared" si="5"/>
        <v/>
      </c>
      <c r="X47" s="5" t="str">
        <f t="shared" si="6"/>
        <v/>
      </c>
    </row>
    <row r="48" spans="1:24">
      <c r="A48" s="87"/>
      <c r="B48" s="87"/>
      <c r="C48" s="88"/>
      <c r="D48" s="89"/>
      <c r="E48" s="90"/>
      <c r="F48" s="69"/>
      <c r="G48" s="70"/>
      <c r="H48" s="71"/>
      <c r="I48" s="66"/>
      <c r="J48" s="67"/>
      <c r="K48" s="67"/>
      <c r="L48" s="67"/>
      <c r="M48" s="67"/>
      <c r="N48" s="145" t="str">
        <f t="shared" si="7"/>
        <v/>
      </c>
      <c r="O48" s="64"/>
      <c r="P48" s="64"/>
      <c r="Q48" s="152" t="str">
        <f t="shared" si="0"/>
        <v/>
      </c>
      <c r="R48" s="65" t="str">
        <f t="shared" si="8"/>
        <v/>
      </c>
      <c r="S48" s="5" t="str">
        <f t="shared" si="1"/>
        <v/>
      </c>
      <c r="T48" s="5" t="str">
        <f t="shared" si="2"/>
        <v/>
      </c>
      <c r="U48" s="5" t="str">
        <f t="shared" si="3"/>
        <v/>
      </c>
      <c r="V48" s="5" t="str">
        <f t="shared" si="4"/>
        <v/>
      </c>
      <c r="W48" s="5" t="str">
        <f t="shared" si="5"/>
        <v/>
      </c>
      <c r="X48" s="5" t="str">
        <f t="shared" si="6"/>
        <v/>
      </c>
    </row>
    <row r="49" spans="1:24">
      <c r="A49" s="87"/>
      <c r="B49" s="87"/>
      <c r="C49" s="88"/>
      <c r="D49" s="89"/>
      <c r="E49" s="90"/>
      <c r="F49" s="69"/>
      <c r="G49" s="70"/>
      <c r="H49" s="71"/>
      <c r="I49" s="66"/>
      <c r="J49" s="67"/>
      <c r="K49" s="67"/>
      <c r="L49" s="67"/>
      <c r="M49" s="67"/>
      <c r="N49" s="145" t="str">
        <f t="shared" si="7"/>
        <v/>
      </c>
      <c r="O49" s="64"/>
      <c r="P49" s="64"/>
      <c r="Q49" s="152" t="str">
        <f t="shared" si="0"/>
        <v/>
      </c>
      <c r="R49" s="65" t="str">
        <f t="shared" si="8"/>
        <v/>
      </c>
      <c r="S49" s="5" t="str">
        <f t="shared" si="1"/>
        <v/>
      </c>
      <c r="T49" s="5" t="str">
        <f t="shared" si="2"/>
        <v/>
      </c>
      <c r="U49" s="5" t="str">
        <f t="shared" si="3"/>
        <v/>
      </c>
      <c r="V49" s="5" t="str">
        <f t="shared" si="4"/>
        <v/>
      </c>
      <c r="W49" s="5" t="str">
        <f t="shared" si="5"/>
        <v/>
      </c>
      <c r="X49" s="5" t="str">
        <f t="shared" si="6"/>
        <v/>
      </c>
    </row>
    <row r="50" spans="1:24">
      <c r="A50" s="87"/>
      <c r="B50" s="87"/>
      <c r="C50" s="88"/>
      <c r="D50" s="89"/>
      <c r="E50" s="90"/>
      <c r="F50" s="69"/>
      <c r="G50" s="70"/>
      <c r="H50" s="71"/>
      <c r="I50" s="66"/>
      <c r="J50" s="67"/>
      <c r="K50" s="67"/>
      <c r="L50" s="67"/>
      <c r="M50" s="67"/>
      <c r="N50" s="145" t="str">
        <f t="shared" si="7"/>
        <v/>
      </c>
      <c r="O50" s="64"/>
      <c r="P50" s="64"/>
      <c r="Q50" s="152" t="str">
        <f t="shared" si="0"/>
        <v/>
      </c>
      <c r="R50" s="65" t="str">
        <f t="shared" si="8"/>
        <v/>
      </c>
      <c r="S50" s="5" t="str">
        <f t="shared" si="1"/>
        <v/>
      </c>
      <c r="T50" s="5" t="str">
        <f t="shared" si="2"/>
        <v/>
      </c>
      <c r="U50" s="5" t="str">
        <f t="shared" si="3"/>
        <v/>
      </c>
      <c r="V50" s="5" t="str">
        <f t="shared" si="4"/>
        <v/>
      </c>
      <c r="W50" s="5" t="str">
        <f t="shared" si="5"/>
        <v/>
      </c>
      <c r="X50" s="5" t="str">
        <f t="shared" si="6"/>
        <v/>
      </c>
    </row>
    <row r="51" spans="1:24">
      <c r="A51" s="87"/>
      <c r="B51" s="87"/>
      <c r="C51" s="88"/>
      <c r="D51" s="89"/>
      <c r="E51" s="90"/>
      <c r="F51" s="69"/>
      <c r="G51" s="70"/>
      <c r="H51" s="71"/>
      <c r="I51" s="66"/>
      <c r="J51" s="67"/>
      <c r="K51" s="67"/>
      <c r="L51" s="67"/>
      <c r="M51" s="67"/>
      <c r="N51" s="145" t="str">
        <f t="shared" si="7"/>
        <v/>
      </c>
      <c r="O51" s="64"/>
      <c r="P51" s="64"/>
      <c r="Q51" s="152" t="str">
        <f t="shared" si="0"/>
        <v/>
      </c>
      <c r="R51" s="65" t="str">
        <f t="shared" si="8"/>
        <v/>
      </c>
      <c r="S51" s="5" t="str">
        <f t="shared" si="1"/>
        <v/>
      </c>
      <c r="T51" s="5" t="str">
        <f t="shared" si="2"/>
        <v/>
      </c>
      <c r="U51" s="5" t="str">
        <f t="shared" si="3"/>
        <v/>
      </c>
      <c r="V51" s="5" t="str">
        <f t="shared" si="4"/>
        <v/>
      </c>
      <c r="W51" s="5" t="str">
        <f t="shared" si="5"/>
        <v/>
      </c>
      <c r="X51" s="5" t="str">
        <f t="shared" si="6"/>
        <v/>
      </c>
    </row>
    <row r="52" spans="1:24">
      <c r="A52" s="87"/>
      <c r="B52" s="87"/>
      <c r="C52" s="88"/>
      <c r="D52" s="89"/>
      <c r="E52" s="90"/>
      <c r="F52" s="69"/>
      <c r="G52" s="70"/>
      <c r="H52" s="71"/>
      <c r="I52" s="66"/>
      <c r="J52" s="67"/>
      <c r="K52" s="67"/>
      <c r="L52" s="67"/>
      <c r="M52" s="67"/>
      <c r="N52" s="145" t="str">
        <f t="shared" si="7"/>
        <v/>
      </c>
      <c r="O52" s="64"/>
      <c r="P52" s="64"/>
      <c r="Q52" s="152" t="str">
        <f t="shared" si="0"/>
        <v/>
      </c>
      <c r="R52" s="65" t="str">
        <f t="shared" si="8"/>
        <v/>
      </c>
      <c r="S52" s="5" t="str">
        <f t="shared" si="1"/>
        <v/>
      </c>
      <c r="T52" s="5" t="str">
        <f t="shared" si="2"/>
        <v/>
      </c>
      <c r="U52" s="5" t="str">
        <f t="shared" si="3"/>
        <v/>
      </c>
      <c r="V52" s="5" t="str">
        <f t="shared" si="4"/>
        <v/>
      </c>
      <c r="W52" s="5" t="str">
        <f t="shared" si="5"/>
        <v/>
      </c>
      <c r="X52" s="5" t="str">
        <f t="shared" si="6"/>
        <v/>
      </c>
    </row>
    <row r="53" spans="1:24">
      <c r="A53" s="87"/>
      <c r="B53" s="87"/>
      <c r="C53" s="88"/>
      <c r="D53" s="89"/>
      <c r="E53" s="90"/>
      <c r="F53" s="69"/>
      <c r="G53" s="70"/>
      <c r="H53" s="71"/>
      <c r="I53" s="66"/>
      <c r="J53" s="67"/>
      <c r="K53" s="67"/>
      <c r="L53" s="67"/>
      <c r="M53" s="67"/>
      <c r="N53" s="145" t="str">
        <f t="shared" si="7"/>
        <v/>
      </c>
      <c r="O53" s="64"/>
      <c r="P53" s="64"/>
      <c r="Q53" s="152" t="str">
        <f t="shared" si="0"/>
        <v/>
      </c>
      <c r="R53" s="65" t="str">
        <f t="shared" si="8"/>
        <v/>
      </c>
      <c r="S53" s="5" t="str">
        <f t="shared" si="1"/>
        <v/>
      </c>
      <c r="T53" s="5" t="str">
        <f t="shared" si="2"/>
        <v/>
      </c>
      <c r="U53" s="5" t="str">
        <f t="shared" si="3"/>
        <v/>
      </c>
      <c r="V53" s="5" t="str">
        <f t="shared" si="4"/>
        <v/>
      </c>
      <c r="W53" s="5" t="str">
        <f t="shared" si="5"/>
        <v/>
      </c>
      <c r="X53" s="5" t="str">
        <f t="shared" si="6"/>
        <v/>
      </c>
    </row>
    <row r="54" spans="1:24">
      <c r="A54" s="87"/>
      <c r="B54" s="87"/>
      <c r="C54" s="88"/>
      <c r="D54" s="89"/>
      <c r="E54" s="90"/>
      <c r="F54" s="69"/>
      <c r="G54" s="70"/>
      <c r="H54" s="71"/>
      <c r="I54" s="66"/>
      <c r="J54" s="67"/>
      <c r="K54" s="67"/>
      <c r="L54" s="67"/>
      <c r="M54" s="67"/>
      <c r="N54" s="145" t="str">
        <f t="shared" si="7"/>
        <v/>
      </c>
      <c r="O54" s="64"/>
      <c r="P54" s="64"/>
      <c r="Q54" s="152" t="str">
        <f t="shared" si="0"/>
        <v/>
      </c>
      <c r="R54" s="65" t="str">
        <f t="shared" si="8"/>
        <v/>
      </c>
      <c r="S54" s="5" t="str">
        <f t="shared" si="1"/>
        <v/>
      </c>
      <c r="T54" s="5" t="str">
        <f t="shared" si="2"/>
        <v/>
      </c>
      <c r="U54" s="5" t="str">
        <f t="shared" si="3"/>
        <v/>
      </c>
      <c r="V54" s="5" t="str">
        <f t="shared" si="4"/>
        <v/>
      </c>
      <c r="W54" s="5" t="str">
        <f t="shared" si="5"/>
        <v/>
      </c>
      <c r="X54" s="5" t="str">
        <f t="shared" si="6"/>
        <v/>
      </c>
    </row>
    <row r="55" spans="1:24">
      <c r="A55" s="87"/>
      <c r="B55" s="87"/>
      <c r="C55" s="88"/>
      <c r="D55" s="89"/>
      <c r="E55" s="90"/>
      <c r="F55" s="69"/>
      <c r="G55" s="70"/>
      <c r="H55" s="71"/>
      <c r="I55" s="66"/>
      <c r="J55" s="67"/>
      <c r="K55" s="67"/>
      <c r="L55" s="67"/>
      <c r="M55" s="67"/>
      <c r="N55" s="145" t="str">
        <f t="shared" si="7"/>
        <v/>
      </c>
      <c r="O55" s="64"/>
      <c r="P55" s="64"/>
      <c r="Q55" s="152" t="str">
        <f t="shared" si="0"/>
        <v/>
      </c>
      <c r="R55" s="65" t="str">
        <f t="shared" si="8"/>
        <v/>
      </c>
      <c r="S55" s="5" t="str">
        <f t="shared" si="1"/>
        <v/>
      </c>
      <c r="T55" s="5" t="str">
        <f t="shared" si="2"/>
        <v/>
      </c>
      <c r="U55" s="5" t="str">
        <f t="shared" si="3"/>
        <v/>
      </c>
      <c r="V55" s="5" t="str">
        <f t="shared" si="4"/>
        <v/>
      </c>
      <c r="W55" s="5" t="str">
        <f t="shared" si="5"/>
        <v/>
      </c>
      <c r="X55" s="5" t="str">
        <f t="shared" si="6"/>
        <v/>
      </c>
    </row>
    <row r="56" spans="1:24">
      <c r="A56" s="87"/>
      <c r="B56" s="87"/>
      <c r="C56" s="88"/>
      <c r="D56" s="89"/>
      <c r="E56" s="90"/>
      <c r="F56" s="69"/>
      <c r="G56" s="70"/>
      <c r="H56" s="71"/>
      <c r="I56" s="66"/>
      <c r="J56" s="67"/>
      <c r="K56" s="67"/>
      <c r="L56" s="67"/>
      <c r="M56" s="67"/>
      <c r="N56" s="145" t="str">
        <f t="shared" si="7"/>
        <v/>
      </c>
      <c r="O56" s="64"/>
      <c r="P56" s="64"/>
      <c r="Q56" s="152" t="str">
        <f t="shared" si="0"/>
        <v/>
      </c>
      <c r="R56" s="65" t="str">
        <f t="shared" si="8"/>
        <v/>
      </c>
      <c r="S56" s="5" t="str">
        <f t="shared" si="1"/>
        <v/>
      </c>
      <c r="T56" s="5" t="str">
        <f t="shared" si="2"/>
        <v/>
      </c>
      <c r="U56" s="5" t="str">
        <f t="shared" si="3"/>
        <v/>
      </c>
      <c r="V56" s="5" t="str">
        <f t="shared" si="4"/>
        <v/>
      </c>
      <c r="W56" s="5" t="str">
        <f t="shared" si="5"/>
        <v/>
      </c>
      <c r="X56" s="5" t="str">
        <f t="shared" si="6"/>
        <v/>
      </c>
    </row>
    <row r="57" spans="1:24">
      <c r="A57" s="87"/>
      <c r="B57" s="87"/>
      <c r="C57" s="88"/>
      <c r="D57" s="89"/>
      <c r="E57" s="90"/>
      <c r="F57" s="69"/>
      <c r="G57" s="70"/>
      <c r="H57" s="71"/>
      <c r="I57" s="66"/>
      <c r="J57" s="67"/>
      <c r="K57" s="67"/>
      <c r="L57" s="67"/>
      <c r="M57" s="67"/>
      <c r="N57" s="145" t="str">
        <f t="shared" si="7"/>
        <v/>
      </c>
      <c r="O57" s="64"/>
      <c r="P57" s="64"/>
      <c r="Q57" s="152" t="str">
        <f t="shared" si="0"/>
        <v/>
      </c>
      <c r="R57" s="65" t="str">
        <f t="shared" si="8"/>
        <v/>
      </c>
      <c r="S57" s="5" t="str">
        <f t="shared" si="1"/>
        <v/>
      </c>
      <c r="T57" s="5" t="str">
        <f t="shared" si="2"/>
        <v/>
      </c>
      <c r="U57" s="5" t="str">
        <f t="shared" si="3"/>
        <v/>
      </c>
      <c r="V57" s="5" t="str">
        <f t="shared" si="4"/>
        <v/>
      </c>
      <c r="W57" s="5" t="str">
        <f t="shared" si="5"/>
        <v/>
      </c>
      <c r="X57" s="5" t="str">
        <f t="shared" si="6"/>
        <v/>
      </c>
    </row>
    <row r="58" spans="1:24">
      <c r="A58" s="87"/>
      <c r="B58" s="87"/>
      <c r="C58" s="88"/>
      <c r="D58" s="89"/>
      <c r="E58" s="90"/>
      <c r="F58" s="69"/>
      <c r="G58" s="70"/>
      <c r="H58" s="71"/>
      <c r="I58" s="66"/>
      <c r="J58" s="67"/>
      <c r="K58" s="67"/>
      <c r="L58" s="67"/>
      <c r="M58" s="67"/>
      <c r="N58" s="145" t="str">
        <f t="shared" si="7"/>
        <v/>
      </c>
      <c r="O58" s="64"/>
      <c r="P58" s="64"/>
      <c r="Q58" s="152" t="str">
        <f t="shared" si="0"/>
        <v/>
      </c>
      <c r="R58" s="65" t="str">
        <f t="shared" si="8"/>
        <v/>
      </c>
      <c r="S58" s="5" t="str">
        <f t="shared" si="1"/>
        <v/>
      </c>
      <c r="T58" s="5" t="str">
        <f t="shared" si="2"/>
        <v/>
      </c>
      <c r="U58" s="5" t="str">
        <f t="shared" si="3"/>
        <v/>
      </c>
      <c r="V58" s="5" t="str">
        <f t="shared" si="4"/>
        <v/>
      </c>
      <c r="W58" s="5" t="str">
        <f t="shared" si="5"/>
        <v/>
      </c>
      <c r="X58" s="5" t="str">
        <f t="shared" si="6"/>
        <v/>
      </c>
    </row>
    <row r="59" spans="1:24">
      <c r="A59" s="87"/>
      <c r="B59" s="87"/>
      <c r="C59" s="88"/>
      <c r="D59" s="89"/>
      <c r="E59" s="90"/>
      <c r="F59" s="69"/>
      <c r="G59" s="70"/>
      <c r="H59" s="71"/>
      <c r="I59" s="66"/>
      <c r="J59" s="67"/>
      <c r="K59" s="67"/>
      <c r="L59" s="67"/>
      <c r="M59" s="67"/>
      <c r="N59" s="145" t="str">
        <f t="shared" si="7"/>
        <v/>
      </c>
      <c r="O59" s="64"/>
      <c r="P59" s="64"/>
      <c r="Q59" s="152" t="str">
        <f t="shared" si="0"/>
        <v/>
      </c>
      <c r="R59" s="65" t="str">
        <f t="shared" si="8"/>
        <v/>
      </c>
      <c r="S59" s="5" t="str">
        <f t="shared" si="1"/>
        <v/>
      </c>
      <c r="T59" s="5" t="str">
        <f t="shared" si="2"/>
        <v/>
      </c>
      <c r="U59" s="5" t="str">
        <f t="shared" si="3"/>
        <v/>
      </c>
      <c r="V59" s="5" t="str">
        <f t="shared" si="4"/>
        <v/>
      </c>
      <c r="W59" s="5" t="str">
        <f t="shared" si="5"/>
        <v/>
      </c>
      <c r="X59" s="5" t="str">
        <f t="shared" si="6"/>
        <v/>
      </c>
    </row>
    <row r="60" spans="1:24">
      <c r="A60" s="87"/>
      <c r="B60" s="87"/>
      <c r="C60" s="88"/>
      <c r="D60" s="89"/>
      <c r="E60" s="90"/>
      <c r="F60" s="69"/>
      <c r="G60" s="70"/>
      <c r="H60" s="71"/>
      <c r="I60" s="66"/>
      <c r="J60" s="67"/>
      <c r="K60" s="67"/>
      <c r="L60" s="67"/>
      <c r="M60" s="67"/>
      <c r="N60" s="145" t="str">
        <f t="shared" si="7"/>
        <v/>
      </c>
      <c r="O60" s="64"/>
      <c r="P60" s="64"/>
      <c r="Q60" s="152" t="str">
        <f t="shared" si="0"/>
        <v/>
      </c>
      <c r="R60" s="65" t="str">
        <f t="shared" si="8"/>
        <v/>
      </c>
      <c r="S60" s="5" t="str">
        <f t="shared" si="1"/>
        <v/>
      </c>
      <c r="T60" s="5" t="str">
        <f t="shared" si="2"/>
        <v/>
      </c>
      <c r="U60" s="5" t="str">
        <f t="shared" si="3"/>
        <v/>
      </c>
      <c r="V60" s="5" t="str">
        <f t="shared" si="4"/>
        <v/>
      </c>
      <c r="W60" s="5" t="str">
        <f t="shared" si="5"/>
        <v/>
      </c>
      <c r="X60" s="5" t="str">
        <f t="shared" si="6"/>
        <v/>
      </c>
    </row>
    <row r="61" spans="1:24">
      <c r="A61" s="87"/>
      <c r="B61" s="87"/>
      <c r="C61" s="88"/>
      <c r="D61" s="89"/>
      <c r="E61" s="90"/>
      <c r="F61" s="69"/>
      <c r="G61" s="70"/>
      <c r="H61" s="71"/>
      <c r="I61" s="66"/>
      <c r="J61" s="67"/>
      <c r="K61" s="67"/>
      <c r="L61" s="67"/>
      <c r="M61" s="67"/>
      <c r="N61" s="145" t="str">
        <f t="shared" si="7"/>
        <v/>
      </c>
      <c r="O61" s="64"/>
      <c r="P61" s="64"/>
      <c r="Q61" s="152" t="str">
        <f t="shared" si="0"/>
        <v/>
      </c>
      <c r="R61" s="65" t="str">
        <f t="shared" si="8"/>
        <v/>
      </c>
      <c r="S61" s="5" t="str">
        <f t="shared" si="1"/>
        <v/>
      </c>
      <c r="T61" s="5" t="str">
        <f t="shared" si="2"/>
        <v/>
      </c>
      <c r="U61" s="5" t="str">
        <f t="shared" si="3"/>
        <v/>
      </c>
      <c r="V61" s="5" t="str">
        <f t="shared" si="4"/>
        <v/>
      </c>
      <c r="W61" s="5" t="str">
        <f t="shared" si="5"/>
        <v/>
      </c>
      <c r="X61" s="5" t="str">
        <f t="shared" si="6"/>
        <v/>
      </c>
    </row>
    <row r="62" spans="1:24">
      <c r="A62" s="87"/>
      <c r="B62" s="87"/>
      <c r="C62" s="88"/>
      <c r="D62" s="89"/>
      <c r="E62" s="90"/>
      <c r="F62" s="69"/>
      <c r="G62" s="70"/>
      <c r="H62" s="71"/>
      <c r="I62" s="66"/>
      <c r="J62" s="67"/>
      <c r="K62" s="67"/>
      <c r="L62" s="67"/>
      <c r="M62" s="67"/>
      <c r="N62" s="145" t="str">
        <f t="shared" si="7"/>
        <v/>
      </c>
      <c r="O62" s="64"/>
      <c r="P62" s="64"/>
      <c r="Q62" s="152" t="str">
        <f t="shared" si="0"/>
        <v/>
      </c>
      <c r="R62" s="65" t="str">
        <f t="shared" si="8"/>
        <v/>
      </c>
      <c r="S62" s="5" t="str">
        <f t="shared" si="1"/>
        <v/>
      </c>
      <c r="T62" s="5" t="str">
        <f t="shared" si="2"/>
        <v/>
      </c>
      <c r="U62" s="5" t="str">
        <f t="shared" si="3"/>
        <v/>
      </c>
      <c r="V62" s="5" t="str">
        <f t="shared" si="4"/>
        <v/>
      </c>
      <c r="W62" s="5" t="str">
        <f t="shared" si="5"/>
        <v/>
      </c>
      <c r="X62" s="5" t="str">
        <f t="shared" si="6"/>
        <v/>
      </c>
    </row>
    <row r="63" spans="1:24">
      <c r="A63" s="87"/>
      <c r="B63" s="87"/>
      <c r="C63" s="88"/>
      <c r="D63" s="89"/>
      <c r="E63" s="90"/>
      <c r="F63" s="69"/>
      <c r="G63" s="70"/>
      <c r="H63" s="71"/>
      <c r="I63" s="66"/>
      <c r="J63" s="67"/>
      <c r="K63" s="67"/>
      <c r="L63" s="67"/>
      <c r="M63" s="67"/>
      <c r="N63" s="145" t="str">
        <f t="shared" si="7"/>
        <v/>
      </c>
      <c r="O63" s="64"/>
      <c r="P63" s="64"/>
      <c r="Q63" s="152" t="str">
        <f t="shared" si="0"/>
        <v/>
      </c>
      <c r="R63" s="65" t="str">
        <f t="shared" si="8"/>
        <v/>
      </c>
      <c r="S63" s="5" t="str">
        <f t="shared" si="1"/>
        <v/>
      </c>
      <c r="T63" s="5" t="str">
        <f t="shared" si="2"/>
        <v/>
      </c>
      <c r="U63" s="5" t="str">
        <f t="shared" si="3"/>
        <v/>
      </c>
      <c r="V63" s="5" t="str">
        <f t="shared" si="4"/>
        <v/>
      </c>
      <c r="W63" s="5" t="str">
        <f t="shared" si="5"/>
        <v/>
      </c>
      <c r="X63" s="5" t="str">
        <f t="shared" si="6"/>
        <v/>
      </c>
    </row>
    <row r="64" spans="1:24">
      <c r="A64" s="87"/>
      <c r="B64" s="87"/>
      <c r="C64" s="88"/>
      <c r="D64" s="89"/>
      <c r="E64" s="90"/>
      <c r="F64" s="69"/>
      <c r="G64" s="70"/>
      <c r="H64" s="71"/>
      <c r="I64" s="66"/>
      <c r="J64" s="67"/>
      <c r="K64" s="67"/>
      <c r="L64" s="67"/>
      <c r="M64" s="67"/>
      <c r="N64" s="145" t="str">
        <f t="shared" si="7"/>
        <v/>
      </c>
      <c r="O64" s="64"/>
      <c r="P64" s="64"/>
      <c r="Q64" s="152" t="str">
        <f t="shared" si="0"/>
        <v/>
      </c>
      <c r="R64" s="65" t="str">
        <f t="shared" si="8"/>
        <v/>
      </c>
      <c r="S64" s="5" t="str">
        <f t="shared" si="1"/>
        <v/>
      </c>
      <c r="T64" s="5" t="str">
        <f t="shared" si="2"/>
        <v/>
      </c>
      <c r="U64" s="5" t="str">
        <f t="shared" si="3"/>
        <v/>
      </c>
      <c r="V64" s="5" t="str">
        <f t="shared" si="4"/>
        <v/>
      </c>
      <c r="W64" s="5" t="str">
        <f t="shared" si="5"/>
        <v/>
      </c>
      <c r="X64" s="5" t="str">
        <f t="shared" si="6"/>
        <v/>
      </c>
    </row>
    <row r="65" spans="1:24">
      <c r="A65" s="87"/>
      <c r="B65" s="87"/>
      <c r="C65" s="88"/>
      <c r="D65" s="89"/>
      <c r="E65" s="90"/>
      <c r="F65" s="69"/>
      <c r="G65" s="70"/>
      <c r="H65" s="71"/>
      <c r="I65" s="66"/>
      <c r="J65" s="67"/>
      <c r="K65" s="67"/>
      <c r="L65" s="67"/>
      <c r="M65" s="67"/>
      <c r="N65" s="145" t="str">
        <f t="shared" si="7"/>
        <v/>
      </c>
      <c r="O65" s="64"/>
      <c r="P65" s="64"/>
      <c r="Q65" s="152" t="str">
        <f t="shared" si="0"/>
        <v/>
      </c>
      <c r="R65" s="65" t="str">
        <f t="shared" si="8"/>
        <v/>
      </c>
      <c r="S65" s="5" t="str">
        <f t="shared" si="1"/>
        <v/>
      </c>
      <c r="T65" s="5" t="str">
        <f t="shared" si="2"/>
        <v/>
      </c>
      <c r="U65" s="5" t="str">
        <f t="shared" si="3"/>
        <v/>
      </c>
      <c r="V65" s="5" t="str">
        <f t="shared" si="4"/>
        <v/>
      </c>
      <c r="W65" s="5" t="str">
        <f t="shared" si="5"/>
        <v/>
      </c>
      <c r="X65" s="5" t="str">
        <f t="shared" si="6"/>
        <v/>
      </c>
    </row>
    <row r="66" spans="1:24">
      <c r="A66" s="87"/>
      <c r="B66" s="87"/>
      <c r="C66" s="88"/>
      <c r="D66" s="89"/>
      <c r="E66" s="90"/>
      <c r="F66" s="69"/>
      <c r="G66" s="70"/>
      <c r="H66" s="71"/>
      <c r="I66" s="66"/>
      <c r="J66" s="67"/>
      <c r="K66" s="67"/>
      <c r="L66" s="67"/>
      <c r="M66" s="67"/>
      <c r="N66" s="145" t="str">
        <f t="shared" si="7"/>
        <v/>
      </c>
      <c r="O66" s="64"/>
      <c r="P66" s="64"/>
      <c r="Q66" s="152" t="str">
        <f t="shared" si="0"/>
        <v/>
      </c>
      <c r="R66" s="65" t="str">
        <f t="shared" si="8"/>
        <v/>
      </c>
      <c r="S66" s="5" t="str">
        <f t="shared" si="1"/>
        <v/>
      </c>
      <c r="T66" s="5" t="str">
        <f t="shared" si="2"/>
        <v/>
      </c>
      <c r="U66" s="5" t="str">
        <f t="shared" si="3"/>
        <v/>
      </c>
      <c r="V66" s="5" t="str">
        <f t="shared" si="4"/>
        <v/>
      </c>
      <c r="W66" s="5" t="str">
        <f t="shared" si="5"/>
        <v/>
      </c>
      <c r="X66" s="5" t="str">
        <f t="shared" si="6"/>
        <v/>
      </c>
    </row>
    <row r="67" spans="1:24">
      <c r="A67" s="87"/>
      <c r="B67" s="87"/>
      <c r="C67" s="88"/>
      <c r="D67" s="89"/>
      <c r="E67" s="90"/>
      <c r="F67" s="69"/>
      <c r="G67" s="70"/>
      <c r="H67" s="71"/>
      <c r="I67" s="66"/>
      <c r="J67" s="67"/>
      <c r="K67" s="67"/>
      <c r="L67" s="67"/>
      <c r="M67" s="67"/>
      <c r="N67" s="145" t="str">
        <f t="shared" si="7"/>
        <v/>
      </c>
      <c r="O67" s="64"/>
      <c r="P67" s="64"/>
      <c r="Q67" s="152" t="str">
        <f t="shared" si="0"/>
        <v/>
      </c>
      <c r="R67" s="65" t="str">
        <f t="shared" si="8"/>
        <v/>
      </c>
      <c r="S67" s="5" t="str">
        <f t="shared" si="1"/>
        <v/>
      </c>
      <c r="T67" s="5" t="str">
        <f t="shared" si="2"/>
        <v/>
      </c>
      <c r="U67" s="5" t="str">
        <f t="shared" si="3"/>
        <v/>
      </c>
      <c r="V67" s="5" t="str">
        <f t="shared" si="4"/>
        <v/>
      </c>
      <c r="W67" s="5" t="str">
        <f t="shared" si="5"/>
        <v/>
      </c>
      <c r="X67" s="5" t="str">
        <f t="shared" si="6"/>
        <v/>
      </c>
    </row>
    <row r="68" spans="1:24">
      <c r="A68" s="87"/>
      <c r="B68" s="87"/>
      <c r="C68" s="88"/>
      <c r="D68" s="89"/>
      <c r="E68" s="90"/>
      <c r="F68" s="69"/>
      <c r="G68" s="70"/>
      <c r="H68" s="71"/>
      <c r="I68" s="66"/>
      <c r="J68" s="67"/>
      <c r="K68" s="67"/>
      <c r="L68" s="67"/>
      <c r="M68" s="67"/>
      <c r="N68" s="145" t="str">
        <f t="shared" si="7"/>
        <v/>
      </c>
      <c r="O68" s="64"/>
      <c r="P68" s="64"/>
      <c r="Q68" s="152" t="str">
        <f t="shared" si="0"/>
        <v/>
      </c>
      <c r="R68" s="65" t="str">
        <f t="shared" si="8"/>
        <v/>
      </c>
      <c r="S68" s="5" t="str">
        <f t="shared" si="1"/>
        <v/>
      </c>
      <c r="T68" s="5" t="str">
        <f t="shared" si="2"/>
        <v/>
      </c>
      <c r="U68" s="5" t="str">
        <f t="shared" si="3"/>
        <v/>
      </c>
      <c r="V68" s="5" t="str">
        <f t="shared" si="4"/>
        <v/>
      </c>
      <c r="W68" s="5" t="str">
        <f t="shared" si="5"/>
        <v/>
      </c>
      <c r="X68" s="5" t="str">
        <f t="shared" si="6"/>
        <v/>
      </c>
    </row>
    <row r="69" spans="1:24">
      <c r="A69" s="87"/>
      <c r="B69" s="87"/>
      <c r="C69" s="88"/>
      <c r="D69" s="89"/>
      <c r="E69" s="90"/>
      <c r="F69" s="69"/>
      <c r="G69" s="70"/>
      <c r="H69" s="71"/>
      <c r="I69" s="66"/>
      <c r="J69" s="67"/>
      <c r="K69" s="67"/>
      <c r="L69" s="67"/>
      <c r="M69" s="67"/>
      <c r="N69" s="145" t="str">
        <f t="shared" si="7"/>
        <v/>
      </c>
      <c r="O69" s="64"/>
      <c r="P69" s="64"/>
      <c r="Q69" s="152" t="str">
        <f t="shared" si="0"/>
        <v/>
      </c>
      <c r="R69" s="65" t="str">
        <f t="shared" si="8"/>
        <v/>
      </c>
      <c r="S69" s="5" t="str">
        <f t="shared" si="1"/>
        <v/>
      </c>
      <c r="T69" s="5" t="str">
        <f t="shared" si="2"/>
        <v/>
      </c>
      <c r="U69" s="5" t="str">
        <f t="shared" si="3"/>
        <v/>
      </c>
      <c r="V69" s="5" t="str">
        <f t="shared" si="4"/>
        <v/>
      </c>
      <c r="W69" s="5" t="str">
        <f t="shared" si="5"/>
        <v/>
      </c>
      <c r="X69" s="5" t="str">
        <f t="shared" si="6"/>
        <v/>
      </c>
    </row>
    <row r="70" spans="1:24">
      <c r="A70" s="87"/>
      <c r="B70" s="87"/>
      <c r="C70" s="88"/>
      <c r="D70" s="89"/>
      <c r="E70" s="90"/>
      <c r="F70" s="69"/>
      <c r="G70" s="70"/>
      <c r="H70" s="71"/>
      <c r="I70" s="66"/>
      <c r="J70" s="67"/>
      <c r="K70" s="67"/>
      <c r="L70" s="67"/>
      <c r="M70" s="67"/>
      <c r="N70" s="145" t="str">
        <f t="shared" si="7"/>
        <v/>
      </c>
      <c r="O70" s="64"/>
      <c r="P70" s="64"/>
      <c r="Q70" s="152" t="str">
        <f t="shared" si="0"/>
        <v/>
      </c>
      <c r="R70" s="65" t="str">
        <f t="shared" si="8"/>
        <v/>
      </c>
      <c r="S70" s="5" t="str">
        <f t="shared" si="1"/>
        <v/>
      </c>
      <c r="T70" s="5" t="str">
        <f t="shared" si="2"/>
        <v/>
      </c>
      <c r="U70" s="5" t="str">
        <f t="shared" si="3"/>
        <v/>
      </c>
      <c r="V70" s="5" t="str">
        <f t="shared" si="4"/>
        <v/>
      </c>
      <c r="W70" s="5" t="str">
        <f t="shared" si="5"/>
        <v/>
      </c>
      <c r="X70" s="5" t="str">
        <f t="shared" si="6"/>
        <v/>
      </c>
    </row>
    <row r="71" spans="1:24">
      <c r="A71" s="87"/>
      <c r="B71" s="87"/>
      <c r="C71" s="88"/>
      <c r="D71" s="89"/>
      <c r="E71" s="90"/>
      <c r="F71" s="69"/>
      <c r="G71" s="70"/>
      <c r="H71" s="71"/>
      <c r="I71" s="66"/>
      <c r="J71" s="67"/>
      <c r="K71" s="67"/>
      <c r="L71" s="67"/>
      <c r="M71" s="67"/>
      <c r="N71" s="145" t="str">
        <f t="shared" ref="N71:N134" si="9">IF($C71="","",IF($L71+$M71=0,0,$L71/($L71+$M71)))</f>
        <v/>
      </c>
      <c r="O71" s="64"/>
      <c r="P71" s="64"/>
      <c r="Q71" s="152" t="str">
        <f t="shared" ref="Q71:Q134" si="10">IF($C71="","",($O71-($P71/2)))</f>
        <v/>
      </c>
      <c r="R71" s="65" t="str">
        <f t="shared" si="8"/>
        <v/>
      </c>
      <c r="S71" s="5" t="str">
        <f t="shared" ref="S71:S134" si="11">IF($C71="","",I71*40.02)</f>
        <v/>
      </c>
      <c r="T71" s="5" t="str">
        <f t="shared" ref="T71:T134" si="12">IF($C71="","",J71*11.8)</f>
        <v/>
      </c>
      <c r="U71" s="5" t="str">
        <f t="shared" ref="U71:U134" si="13">IF($C71="","",K71*19.83)</f>
        <v/>
      </c>
      <c r="V71" s="5" t="str">
        <f t="shared" ref="V71:V134" si="14">IF($C71="","",L71*39.42)</f>
        <v/>
      </c>
      <c r="W71" s="5" t="str">
        <f t="shared" ref="W71:W134" si="15">IF($C71="","",N71*0.09)</f>
        <v/>
      </c>
      <c r="X71" s="5" t="str">
        <f t="shared" ref="X71:X134" si="16">IF($C71="","",Q71*4.79)</f>
        <v/>
      </c>
    </row>
    <row r="72" spans="1:24">
      <c r="A72" s="87"/>
      <c r="B72" s="87"/>
      <c r="C72" s="88"/>
      <c r="D72" s="89"/>
      <c r="E72" s="90"/>
      <c r="F72" s="69"/>
      <c r="G72" s="70"/>
      <c r="H72" s="71"/>
      <c r="I72" s="66"/>
      <c r="J72" s="67"/>
      <c r="K72" s="67"/>
      <c r="L72" s="67"/>
      <c r="M72" s="67"/>
      <c r="N72" s="145" t="str">
        <f t="shared" si="9"/>
        <v/>
      </c>
      <c r="O72" s="64"/>
      <c r="P72" s="64"/>
      <c r="Q72" s="152" t="str">
        <f t="shared" si="10"/>
        <v/>
      </c>
      <c r="R72" s="65" t="str">
        <f t="shared" ref="R72:R135" si="17">IF($C72="","",IF(TRIM($B72)="beginning",(((SUM($S72:$X72)-10051)/4349)*40)+360,IF(TRIM($B72)="middle",(((SUM($S72:$X72)-10051)/4349)*40)+400,IF(TRIM($B72)="end",(((SUM($S72:$X72)-10051)/4349)*40)+440,""))))</f>
        <v/>
      </c>
      <c r="S72" s="5" t="str">
        <f t="shared" si="11"/>
        <v/>
      </c>
      <c r="T72" s="5" t="str">
        <f t="shared" si="12"/>
        <v/>
      </c>
      <c r="U72" s="5" t="str">
        <f t="shared" si="13"/>
        <v/>
      </c>
      <c r="V72" s="5" t="str">
        <f t="shared" si="14"/>
        <v/>
      </c>
      <c r="W72" s="5" t="str">
        <f t="shared" si="15"/>
        <v/>
      </c>
      <c r="X72" s="5" t="str">
        <f t="shared" si="16"/>
        <v/>
      </c>
    </row>
    <row r="73" spans="1:24">
      <c r="A73" s="87"/>
      <c r="B73" s="87"/>
      <c r="C73" s="88"/>
      <c r="D73" s="89"/>
      <c r="E73" s="90"/>
      <c r="F73" s="69"/>
      <c r="G73" s="70"/>
      <c r="H73" s="71"/>
      <c r="I73" s="66"/>
      <c r="J73" s="67"/>
      <c r="K73" s="67"/>
      <c r="L73" s="67"/>
      <c r="M73" s="67"/>
      <c r="N73" s="145" t="str">
        <f t="shared" si="9"/>
        <v/>
      </c>
      <c r="O73" s="64"/>
      <c r="P73" s="64"/>
      <c r="Q73" s="152" t="str">
        <f t="shared" si="10"/>
        <v/>
      </c>
      <c r="R73" s="65" t="str">
        <f t="shared" si="17"/>
        <v/>
      </c>
      <c r="S73" s="5" t="str">
        <f t="shared" si="11"/>
        <v/>
      </c>
      <c r="T73" s="5" t="str">
        <f t="shared" si="12"/>
        <v/>
      </c>
      <c r="U73" s="5" t="str">
        <f t="shared" si="13"/>
        <v/>
      </c>
      <c r="V73" s="5" t="str">
        <f t="shared" si="14"/>
        <v/>
      </c>
      <c r="W73" s="5" t="str">
        <f t="shared" si="15"/>
        <v/>
      </c>
      <c r="X73" s="5" t="str">
        <f t="shared" si="16"/>
        <v/>
      </c>
    </row>
    <row r="74" spans="1:24">
      <c r="A74" s="87"/>
      <c r="B74" s="87"/>
      <c r="C74" s="88"/>
      <c r="D74" s="89"/>
      <c r="E74" s="90"/>
      <c r="F74" s="69"/>
      <c r="G74" s="70"/>
      <c r="H74" s="71"/>
      <c r="I74" s="66"/>
      <c r="J74" s="67"/>
      <c r="K74" s="67"/>
      <c r="L74" s="67"/>
      <c r="M74" s="67"/>
      <c r="N74" s="145" t="str">
        <f t="shared" si="9"/>
        <v/>
      </c>
      <c r="O74" s="64"/>
      <c r="P74" s="64"/>
      <c r="Q74" s="152" t="str">
        <f t="shared" si="10"/>
        <v/>
      </c>
      <c r="R74" s="65" t="str">
        <f t="shared" si="17"/>
        <v/>
      </c>
      <c r="S74" s="5" t="str">
        <f t="shared" si="11"/>
        <v/>
      </c>
      <c r="T74" s="5" t="str">
        <f t="shared" si="12"/>
        <v/>
      </c>
      <c r="U74" s="5" t="str">
        <f t="shared" si="13"/>
        <v/>
      </c>
      <c r="V74" s="5" t="str">
        <f t="shared" si="14"/>
        <v/>
      </c>
      <c r="W74" s="5" t="str">
        <f t="shared" si="15"/>
        <v/>
      </c>
      <c r="X74" s="5" t="str">
        <f t="shared" si="16"/>
        <v/>
      </c>
    </row>
    <row r="75" spans="1:24">
      <c r="A75" s="87"/>
      <c r="B75" s="87"/>
      <c r="C75" s="88"/>
      <c r="D75" s="89"/>
      <c r="E75" s="90"/>
      <c r="F75" s="69"/>
      <c r="G75" s="70"/>
      <c r="H75" s="71"/>
      <c r="I75" s="66"/>
      <c r="J75" s="67"/>
      <c r="K75" s="67"/>
      <c r="L75" s="67"/>
      <c r="M75" s="67"/>
      <c r="N75" s="145" t="str">
        <f t="shared" si="9"/>
        <v/>
      </c>
      <c r="O75" s="64"/>
      <c r="P75" s="64"/>
      <c r="Q75" s="152" t="str">
        <f t="shared" si="10"/>
        <v/>
      </c>
      <c r="R75" s="65" t="str">
        <f t="shared" si="17"/>
        <v/>
      </c>
      <c r="S75" s="5" t="str">
        <f t="shared" si="11"/>
        <v/>
      </c>
      <c r="T75" s="5" t="str">
        <f t="shared" si="12"/>
        <v/>
      </c>
      <c r="U75" s="5" t="str">
        <f t="shared" si="13"/>
        <v/>
      </c>
      <c r="V75" s="5" t="str">
        <f t="shared" si="14"/>
        <v/>
      </c>
      <c r="W75" s="5" t="str">
        <f t="shared" si="15"/>
        <v/>
      </c>
      <c r="X75" s="5" t="str">
        <f t="shared" si="16"/>
        <v/>
      </c>
    </row>
    <row r="76" spans="1:24">
      <c r="A76" s="87"/>
      <c r="B76" s="87"/>
      <c r="C76" s="88"/>
      <c r="D76" s="89"/>
      <c r="E76" s="90"/>
      <c r="F76" s="69"/>
      <c r="G76" s="70"/>
      <c r="H76" s="71"/>
      <c r="I76" s="66"/>
      <c r="J76" s="67"/>
      <c r="K76" s="67"/>
      <c r="L76" s="67"/>
      <c r="M76" s="67"/>
      <c r="N76" s="145" t="str">
        <f t="shared" si="9"/>
        <v/>
      </c>
      <c r="O76" s="64"/>
      <c r="P76" s="64"/>
      <c r="Q76" s="152" t="str">
        <f t="shared" si="10"/>
        <v/>
      </c>
      <c r="R76" s="65" t="str">
        <f t="shared" si="17"/>
        <v/>
      </c>
      <c r="S76" s="5" t="str">
        <f t="shared" si="11"/>
        <v/>
      </c>
      <c r="T76" s="5" t="str">
        <f t="shared" si="12"/>
        <v/>
      </c>
      <c r="U76" s="5" t="str">
        <f t="shared" si="13"/>
        <v/>
      </c>
      <c r="V76" s="5" t="str">
        <f t="shared" si="14"/>
        <v/>
      </c>
      <c r="W76" s="5" t="str">
        <f t="shared" si="15"/>
        <v/>
      </c>
      <c r="X76" s="5" t="str">
        <f t="shared" si="16"/>
        <v/>
      </c>
    </row>
    <row r="77" spans="1:24">
      <c r="A77" s="87"/>
      <c r="B77" s="87"/>
      <c r="C77" s="88"/>
      <c r="D77" s="89"/>
      <c r="E77" s="90"/>
      <c r="F77" s="69"/>
      <c r="G77" s="70"/>
      <c r="H77" s="71"/>
      <c r="I77" s="66"/>
      <c r="J77" s="67"/>
      <c r="K77" s="67"/>
      <c r="L77" s="67"/>
      <c r="M77" s="67"/>
      <c r="N77" s="145" t="str">
        <f t="shared" si="9"/>
        <v/>
      </c>
      <c r="O77" s="64"/>
      <c r="P77" s="64"/>
      <c r="Q77" s="152" t="str">
        <f t="shared" si="10"/>
        <v/>
      </c>
      <c r="R77" s="65" t="str">
        <f t="shared" si="17"/>
        <v/>
      </c>
      <c r="S77" s="5" t="str">
        <f t="shared" si="11"/>
        <v/>
      </c>
      <c r="T77" s="5" t="str">
        <f t="shared" si="12"/>
        <v/>
      </c>
      <c r="U77" s="5" t="str">
        <f t="shared" si="13"/>
        <v/>
      </c>
      <c r="V77" s="5" t="str">
        <f t="shared" si="14"/>
        <v/>
      </c>
      <c r="W77" s="5" t="str">
        <f t="shared" si="15"/>
        <v/>
      </c>
      <c r="X77" s="5" t="str">
        <f t="shared" si="16"/>
        <v/>
      </c>
    </row>
    <row r="78" spans="1:24">
      <c r="A78" s="87"/>
      <c r="B78" s="87"/>
      <c r="C78" s="88"/>
      <c r="D78" s="89"/>
      <c r="E78" s="90"/>
      <c r="F78" s="69"/>
      <c r="G78" s="70"/>
      <c r="H78" s="71"/>
      <c r="I78" s="66"/>
      <c r="J78" s="67"/>
      <c r="K78" s="67"/>
      <c r="L78" s="67"/>
      <c r="M78" s="67"/>
      <c r="N78" s="145" t="str">
        <f t="shared" si="9"/>
        <v/>
      </c>
      <c r="O78" s="64"/>
      <c r="P78" s="64"/>
      <c r="Q78" s="152" t="str">
        <f t="shared" si="10"/>
        <v/>
      </c>
      <c r="R78" s="65" t="str">
        <f t="shared" si="17"/>
        <v/>
      </c>
      <c r="S78" s="5" t="str">
        <f t="shared" si="11"/>
        <v/>
      </c>
      <c r="T78" s="5" t="str">
        <f t="shared" si="12"/>
        <v/>
      </c>
      <c r="U78" s="5" t="str">
        <f t="shared" si="13"/>
        <v/>
      </c>
      <c r="V78" s="5" t="str">
        <f t="shared" si="14"/>
        <v/>
      </c>
      <c r="W78" s="5" t="str">
        <f t="shared" si="15"/>
        <v/>
      </c>
      <c r="X78" s="5" t="str">
        <f t="shared" si="16"/>
        <v/>
      </c>
    </row>
    <row r="79" spans="1:24">
      <c r="A79" s="87"/>
      <c r="B79" s="87"/>
      <c r="C79" s="88"/>
      <c r="D79" s="89"/>
      <c r="E79" s="90"/>
      <c r="F79" s="69"/>
      <c r="G79" s="70"/>
      <c r="H79" s="71"/>
      <c r="I79" s="66"/>
      <c r="J79" s="67"/>
      <c r="K79" s="67"/>
      <c r="L79" s="67"/>
      <c r="M79" s="67"/>
      <c r="N79" s="145" t="str">
        <f t="shared" si="9"/>
        <v/>
      </c>
      <c r="O79" s="64"/>
      <c r="P79" s="64"/>
      <c r="Q79" s="152" t="str">
        <f t="shared" si="10"/>
        <v/>
      </c>
      <c r="R79" s="65" t="str">
        <f t="shared" si="17"/>
        <v/>
      </c>
      <c r="S79" s="5" t="str">
        <f t="shared" si="11"/>
        <v/>
      </c>
      <c r="T79" s="5" t="str">
        <f t="shared" si="12"/>
        <v/>
      </c>
      <c r="U79" s="5" t="str">
        <f t="shared" si="13"/>
        <v/>
      </c>
      <c r="V79" s="5" t="str">
        <f t="shared" si="14"/>
        <v/>
      </c>
      <c r="W79" s="5" t="str">
        <f t="shared" si="15"/>
        <v/>
      </c>
      <c r="X79" s="5" t="str">
        <f t="shared" si="16"/>
        <v/>
      </c>
    </row>
    <row r="80" spans="1:24">
      <c r="A80" s="87"/>
      <c r="B80" s="87"/>
      <c r="C80" s="88"/>
      <c r="D80" s="89"/>
      <c r="E80" s="90"/>
      <c r="F80" s="69"/>
      <c r="G80" s="70"/>
      <c r="H80" s="71"/>
      <c r="I80" s="66"/>
      <c r="J80" s="67"/>
      <c r="K80" s="67"/>
      <c r="L80" s="67"/>
      <c r="M80" s="67"/>
      <c r="N80" s="145" t="str">
        <f t="shared" si="9"/>
        <v/>
      </c>
      <c r="O80" s="64"/>
      <c r="P80" s="64"/>
      <c r="Q80" s="152" t="str">
        <f t="shared" si="10"/>
        <v/>
      </c>
      <c r="R80" s="65" t="str">
        <f t="shared" si="17"/>
        <v/>
      </c>
      <c r="S80" s="5" t="str">
        <f t="shared" si="11"/>
        <v/>
      </c>
      <c r="T80" s="5" t="str">
        <f t="shared" si="12"/>
        <v/>
      </c>
      <c r="U80" s="5" t="str">
        <f t="shared" si="13"/>
        <v/>
      </c>
      <c r="V80" s="5" t="str">
        <f t="shared" si="14"/>
        <v/>
      </c>
      <c r="W80" s="5" t="str">
        <f t="shared" si="15"/>
        <v/>
      </c>
      <c r="X80" s="5" t="str">
        <f t="shared" si="16"/>
        <v/>
      </c>
    </row>
    <row r="81" spans="1:24">
      <c r="A81" s="87"/>
      <c r="B81" s="87"/>
      <c r="C81" s="88"/>
      <c r="D81" s="89"/>
      <c r="E81" s="90"/>
      <c r="F81" s="69"/>
      <c r="G81" s="70"/>
      <c r="H81" s="71"/>
      <c r="I81" s="66"/>
      <c r="J81" s="67"/>
      <c r="K81" s="67"/>
      <c r="L81" s="67"/>
      <c r="M81" s="67"/>
      <c r="N81" s="145" t="str">
        <f t="shared" si="9"/>
        <v/>
      </c>
      <c r="O81" s="64"/>
      <c r="P81" s="64"/>
      <c r="Q81" s="152" t="str">
        <f t="shared" si="10"/>
        <v/>
      </c>
      <c r="R81" s="65" t="str">
        <f t="shared" si="17"/>
        <v/>
      </c>
      <c r="S81" s="5" t="str">
        <f t="shared" si="11"/>
        <v/>
      </c>
      <c r="T81" s="5" t="str">
        <f t="shared" si="12"/>
        <v/>
      </c>
      <c r="U81" s="5" t="str">
        <f t="shared" si="13"/>
        <v/>
      </c>
      <c r="V81" s="5" t="str">
        <f t="shared" si="14"/>
        <v/>
      </c>
      <c r="W81" s="5" t="str">
        <f t="shared" si="15"/>
        <v/>
      </c>
      <c r="X81" s="5" t="str">
        <f t="shared" si="16"/>
        <v/>
      </c>
    </row>
    <row r="82" spans="1:24">
      <c r="A82" s="87"/>
      <c r="B82" s="87"/>
      <c r="C82" s="88"/>
      <c r="D82" s="89"/>
      <c r="E82" s="90"/>
      <c r="F82" s="69"/>
      <c r="G82" s="70"/>
      <c r="H82" s="71"/>
      <c r="I82" s="66"/>
      <c r="J82" s="67"/>
      <c r="K82" s="67"/>
      <c r="L82" s="67"/>
      <c r="M82" s="67"/>
      <c r="N82" s="145" t="str">
        <f t="shared" si="9"/>
        <v/>
      </c>
      <c r="O82" s="64"/>
      <c r="P82" s="64"/>
      <c r="Q82" s="152" t="str">
        <f t="shared" si="10"/>
        <v/>
      </c>
      <c r="R82" s="65" t="str">
        <f t="shared" si="17"/>
        <v/>
      </c>
      <c r="S82" s="5" t="str">
        <f t="shared" si="11"/>
        <v/>
      </c>
      <c r="T82" s="5" t="str">
        <f t="shared" si="12"/>
        <v/>
      </c>
      <c r="U82" s="5" t="str">
        <f t="shared" si="13"/>
        <v/>
      </c>
      <c r="V82" s="5" t="str">
        <f t="shared" si="14"/>
        <v/>
      </c>
      <c r="W82" s="5" t="str">
        <f t="shared" si="15"/>
        <v/>
      </c>
      <c r="X82" s="5" t="str">
        <f t="shared" si="16"/>
        <v/>
      </c>
    </row>
    <row r="83" spans="1:24">
      <c r="A83" s="87"/>
      <c r="B83" s="87"/>
      <c r="C83" s="88"/>
      <c r="D83" s="89"/>
      <c r="E83" s="90"/>
      <c r="F83" s="69"/>
      <c r="G83" s="70"/>
      <c r="H83" s="71"/>
      <c r="I83" s="66"/>
      <c r="J83" s="67"/>
      <c r="K83" s="67"/>
      <c r="L83" s="67"/>
      <c r="M83" s="67"/>
      <c r="N83" s="145" t="str">
        <f t="shared" si="9"/>
        <v/>
      </c>
      <c r="O83" s="64"/>
      <c r="P83" s="64"/>
      <c r="Q83" s="152" t="str">
        <f t="shared" si="10"/>
        <v/>
      </c>
      <c r="R83" s="65" t="str">
        <f t="shared" si="17"/>
        <v/>
      </c>
      <c r="S83" s="5" t="str">
        <f t="shared" si="11"/>
        <v/>
      </c>
      <c r="T83" s="5" t="str">
        <f t="shared" si="12"/>
        <v/>
      </c>
      <c r="U83" s="5" t="str">
        <f t="shared" si="13"/>
        <v/>
      </c>
      <c r="V83" s="5" t="str">
        <f t="shared" si="14"/>
        <v/>
      </c>
      <c r="W83" s="5" t="str">
        <f t="shared" si="15"/>
        <v/>
      </c>
      <c r="X83" s="5" t="str">
        <f t="shared" si="16"/>
        <v/>
      </c>
    </row>
    <row r="84" spans="1:24">
      <c r="A84" s="87"/>
      <c r="B84" s="87"/>
      <c r="C84" s="88"/>
      <c r="D84" s="89"/>
      <c r="E84" s="90"/>
      <c r="F84" s="69"/>
      <c r="G84" s="70"/>
      <c r="H84" s="71"/>
      <c r="I84" s="66"/>
      <c r="J84" s="67"/>
      <c r="K84" s="67"/>
      <c r="L84" s="67"/>
      <c r="M84" s="67"/>
      <c r="N84" s="145" t="str">
        <f t="shared" si="9"/>
        <v/>
      </c>
      <c r="O84" s="64"/>
      <c r="P84" s="64"/>
      <c r="Q84" s="152" t="str">
        <f t="shared" si="10"/>
        <v/>
      </c>
      <c r="R84" s="65" t="str">
        <f t="shared" si="17"/>
        <v/>
      </c>
      <c r="S84" s="5" t="str">
        <f t="shared" si="11"/>
        <v/>
      </c>
      <c r="T84" s="5" t="str">
        <f t="shared" si="12"/>
        <v/>
      </c>
      <c r="U84" s="5" t="str">
        <f t="shared" si="13"/>
        <v/>
      </c>
      <c r="V84" s="5" t="str">
        <f t="shared" si="14"/>
        <v/>
      </c>
      <c r="W84" s="5" t="str">
        <f t="shared" si="15"/>
        <v/>
      </c>
      <c r="X84" s="5" t="str">
        <f t="shared" si="16"/>
        <v/>
      </c>
    </row>
    <row r="85" spans="1:24">
      <c r="A85" s="87"/>
      <c r="B85" s="87"/>
      <c r="C85" s="88"/>
      <c r="D85" s="89"/>
      <c r="E85" s="90"/>
      <c r="F85" s="69"/>
      <c r="G85" s="70"/>
      <c r="H85" s="71"/>
      <c r="I85" s="66"/>
      <c r="J85" s="67"/>
      <c r="K85" s="67"/>
      <c r="L85" s="67"/>
      <c r="M85" s="67"/>
      <c r="N85" s="145" t="str">
        <f t="shared" si="9"/>
        <v/>
      </c>
      <c r="O85" s="64"/>
      <c r="P85" s="64"/>
      <c r="Q85" s="152" t="str">
        <f t="shared" si="10"/>
        <v/>
      </c>
      <c r="R85" s="65" t="str">
        <f t="shared" si="17"/>
        <v/>
      </c>
      <c r="S85" s="5" t="str">
        <f t="shared" si="11"/>
        <v/>
      </c>
      <c r="T85" s="5" t="str">
        <f t="shared" si="12"/>
        <v/>
      </c>
      <c r="U85" s="5" t="str">
        <f t="shared" si="13"/>
        <v/>
      </c>
      <c r="V85" s="5" t="str">
        <f t="shared" si="14"/>
        <v/>
      </c>
      <c r="W85" s="5" t="str">
        <f t="shared" si="15"/>
        <v/>
      </c>
      <c r="X85" s="5" t="str">
        <f t="shared" si="16"/>
        <v/>
      </c>
    </row>
    <row r="86" spans="1:24">
      <c r="A86" s="87"/>
      <c r="B86" s="87"/>
      <c r="C86" s="88"/>
      <c r="D86" s="89"/>
      <c r="E86" s="90"/>
      <c r="F86" s="69"/>
      <c r="G86" s="70"/>
      <c r="H86" s="71"/>
      <c r="I86" s="66"/>
      <c r="J86" s="67"/>
      <c r="K86" s="67"/>
      <c r="L86" s="67"/>
      <c r="M86" s="67"/>
      <c r="N86" s="145" t="str">
        <f t="shared" si="9"/>
        <v/>
      </c>
      <c r="O86" s="64"/>
      <c r="P86" s="64"/>
      <c r="Q86" s="152" t="str">
        <f t="shared" si="10"/>
        <v/>
      </c>
      <c r="R86" s="65" t="str">
        <f t="shared" si="17"/>
        <v/>
      </c>
      <c r="S86" s="5" t="str">
        <f t="shared" si="11"/>
        <v/>
      </c>
      <c r="T86" s="5" t="str">
        <f t="shared" si="12"/>
        <v/>
      </c>
      <c r="U86" s="5" t="str">
        <f t="shared" si="13"/>
        <v/>
      </c>
      <c r="V86" s="5" t="str">
        <f t="shared" si="14"/>
        <v/>
      </c>
      <c r="W86" s="5" t="str">
        <f t="shared" si="15"/>
        <v/>
      </c>
      <c r="X86" s="5" t="str">
        <f t="shared" si="16"/>
        <v/>
      </c>
    </row>
    <row r="87" spans="1:24">
      <c r="A87" s="87"/>
      <c r="B87" s="87"/>
      <c r="C87" s="88"/>
      <c r="D87" s="89"/>
      <c r="E87" s="90"/>
      <c r="F87" s="69"/>
      <c r="G87" s="70"/>
      <c r="H87" s="71"/>
      <c r="I87" s="66"/>
      <c r="J87" s="67"/>
      <c r="K87" s="67"/>
      <c r="L87" s="67"/>
      <c r="M87" s="67"/>
      <c r="N87" s="145" t="str">
        <f t="shared" si="9"/>
        <v/>
      </c>
      <c r="O87" s="64"/>
      <c r="P87" s="64"/>
      <c r="Q87" s="152" t="str">
        <f t="shared" si="10"/>
        <v/>
      </c>
      <c r="R87" s="65" t="str">
        <f t="shared" si="17"/>
        <v/>
      </c>
      <c r="S87" s="5" t="str">
        <f t="shared" si="11"/>
        <v/>
      </c>
      <c r="T87" s="5" t="str">
        <f t="shared" si="12"/>
        <v/>
      </c>
      <c r="U87" s="5" t="str">
        <f t="shared" si="13"/>
        <v/>
      </c>
      <c r="V87" s="5" t="str">
        <f t="shared" si="14"/>
        <v/>
      </c>
      <c r="W87" s="5" t="str">
        <f t="shared" si="15"/>
        <v/>
      </c>
      <c r="X87" s="5" t="str">
        <f t="shared" si="16"/>
        <v/>
      </c>
    </row>
    <row r="88" spans="1:24">
      <c r="A88" s="87"/>
      <c r="B88" s="87"/>
      <c r="C88" s="88"/>
      <c r="D88" s="89"/>
      <c r="E88" s="90"/>
      <c r="F88" s="69"/>
      <c r="G88" s="70"/>
      <c r="H88" s="71"/>
      <c r="I88" s="66"/>
      <c r="J88" s="67"/>
      <c r="K88" s="67"/>
      <c r="L88" s="67"/>
      <c r="M88" s="67"/>
      <c r="N88" s="145" t="str">
        <f t="shared" si="9"/>
        <v/>
      </c>
      <c r="O88" s="64"/>
      <c r="P88" s="64"/>
      <c r="Q88" s="152" t="str">
        <f t="shared" si="10"/>
        <v/>
      </c>
      <c r="R88" s="65" t="str">
        <f t="shared" si="17"/>
        <v/>
      </c>
      <c r="S88" s="5" t="str">
        <f t="shared" si="11"/>
        <v/>
      </c>
      <c r="T88" s="5" t="str">
        <f t="shared" si="12"/>
        <v/>
      </c>
      <c r="U88" s="5" t="str">
        <f t="shared" si="13"/>
        <v/>
      </c>
      <c r="V88" s="5" t="str">
        <f t="shared" si="14"/>
        <v/>
      </c>
      <c r="W88" s="5" t="str">
        <f t="shared" si="15"/>
        <v/>
      </c>
      <c r="X88" s="5" t="str">
        <f t="shared" si="16"/>
        <v/>
      </c>
    </row>
    <row r="89" spans="1:24">
      <c r="A89" s="87"/>
      <c r="B89" s="87"/>
      <c r="C89" s="88"/>
      <c r="D89" s="89"/>
      <c r="E89" s="90"/>
      <c r="F89" s="69"/>
      <c r="G89" s="70"/>
      <c r="H89" s="71"/>
      <c r="I89" s="66"/>
      <c r="J89" s="67"/>
      <c r="K89" s="67"/>
      <c r="L89" s="67"/>
      <c r="M89" s="67"/>
      <c r="N89" s="145" t="str">
        <f t="shared" si="9"/>
        <v/>
      </c>
      <c r="O89" s="64"/>
      <c r="P89" s="64"/>
      <c r="Q89" s="152" t="str">
        <f t="shared" si="10"/>
        <v/>
      </c>
      <c r="R89" s="65" t="str">
        <f t="shared" si="17"/>
        <v/>
      </c>
      <c r="S89" s="5" t="str">
        <f t="shared" si="11"/>
        <v/>
      </c>
      <c r="T89" s="5" t="str">
        <f t="shared" si="12"/>
        <v/>
      </c>
      <c r="U89" s="5" t="str">
        <f t="shared" si="13"/>
        <v/>
      </c>
      <c r="V89" s="5" t="str">
        <f t="shared" si="14"/>
        <v/>
      </c>
      <c r="W89" s="5" t="str">
        <f t="shared" si="15"/>
        <v/>
      </c>
      <c r="X89" s="5" t="str">
        <f t="shared" si="16"/>
        <v/>
      </c>
    </row>
    <row r="90" spans="1:24">
      <c r="A90" s="87"/>
      <c r="B90" s="87"/>
      <c r="C90" s="88"/>
      <c r="D90" s="89"/>
      <c r="E90" s="90"/>
      <c r="F90" s="69"/>
      <c r="G90" s="70"/>
      <c r="H90" s="71"/>
      <c r="I90" s="66"/>
      <c r="J90" s="67"/>
      <c r="K90" s="67"/>
      <c r="L90" s="67"/>
      <c r="M90" s="67"/>
      <c r="N90" s="145" t="str">
        <f t="shared" si="9"/>
        <v/>
      </c>
      <c r="O90" s="64"/>
      <c r="P90" s="64"/>
      <c r="Q90" s="152" t="str">
        <f t="shared" si="10"/>
        <v/>
      </c>
      <c r="R90" s="65" t="str">
        <f t="shared" si="17"/>
        <v/>
      </c>
      <c r="S90" s="5" t="str">
        <f t="shared" si="11"/>
        <v/>
      </c>
      <c r="T90" s="5" t="str">
        <f t="shared" si="12"/>
        <v/>
      </c>
      <c r="U90" s="5" t="str">
        <f t="shared" si="13"/>
        <v/>
      </c>
      <c r="V90" s="5" t="str">
        <f t="shared" si="14"/>
        <v/>
      </c>
      <c r="W90" s="5" t="str">
        <f t="shared" si="15"/>
        <v/>
      </c>
      <c r="X90" s="5" t="str">
        <f t="shared" si="16"/>
        <v/>
      </c>
    </row>
    <row r="91" spans="1:24">
      <c r="A91" s="87"/>
      <c r="B91" s="87"/>
      <c r="C91" s="88"/>
      <c r="D91" s="89"/>
      <c r="E91" s="90"/>
      <c r="F91" s="69"/>
      <c r="G91" s="70"/>
      <c r="H91" s="71"/>
      <c r="I91" s="66"/>
      <c r="J91" s="67"/>
      <c r="K91" s="67"/>
      <c r="L91" s="67"/>
      <c r="M91" s="67"/>
      <c r="N91" s="145" t="str">
        <f t="shared" si="9"/>
        <v/>
      </c>
      <c r="O91" s="64"/>
      <c r="P91" s="64"/>
      <c r="Q91" s="152" t="str">
        <f t="shared" si="10"/>
        <v/>
      </c>
      <c r="R91" s="65" t="str">
        <f t="shared" si="17"/>
        <v/>
      </c>
      <c r="S91" s="5" t="str">
        <f t="shared" si="11"/>
        <v/>
      </c>
      <c r="T91" s="5" t="str">
        <f t="shared" si="12"/>
        <v/>
      </c>
      <c r="U91" s="5" t="str">
        <f t="shared" si="13"/>
        <v/>
      </c>
      <c r="V91" s="5" t="str">
        <f t="shared" si="14"/>
        <v/>
      </c>
      <c r="W91" s="5" t="str">
        <f t="shared" si="15"/>
        <v/>
      </c>
      <c r="X91" s="5" t="str">
        <f t="shared" si="16"/>
        <v/>
      </c>
    </row>
    <row r="92" spans="1:24">
      <c r="A92" s="87"/>
      <c r="B92" s="87"/>
      <c r="C92" s="88"/>
      <c r="D92" s="89"/>
      <c r="E92" s="90"/>
      <c r="F92" s="69"/>
      <c r="G92" s="70"/>
      <c r="H92" s="71"/>
      <c r="I92" s="66"/>
      <c r="J92" s="67"/>
      <c r="K92" s="67"/>
      <c r="L92" s="67"/>
      <c r="M92" s="67"/>
      <c r="N92" s="145" t="str">
        <f t="shared" si="9"/>
        <v/>
      </c>
      <c r="O92" s="64"/>
      <c r="P92" s="64"/>
      <c r="Q92" s="152" t="str">
        <f t="shared" si="10"/>
        <v/>
      </c>
      <c r="R92" s="65" t="str">
        <f t="shared" si="17"/>
        <v/>
      </c>
      <c r="S92" s="5" t="str">
        <f t="shared" si="11"/>
        <v/>
      </c>
      <c r="T92" s="5" t="str">
        <f t="shared" si="12"/>
        <v/>
      </c>
      <c r="U92" s="5" t="str">
        <f t="shared" si="13"/>
        <v/>
      </c>
      <c r="V92" s="5" t="str">
        <f t="shared" si="14"/>
        <v/>
      </c>
      <c r="W92" s="5" t="str">
        <f t="shared" si="15"/>
        <v/>
      </c>
      <c r="X92" s="5" t="str">
        <f t="shared" si="16"/>
        <v/>
      </c>
    </row>
    <row r="93" spans="1:24">
      <c r="A93" s="87"/>
      <c r="B93" s="87"/>
      <c r="C93" s="88"/>
      <c r="D93" s="89"/>
      <c r="E93" s="90"/>
      <c r="F93" s="69"/>
      <c r="G93" s="70"/>
      <c r="H93" s="71"/>
      <c r="I93" s="66"/>
      <c r="J93" s="67"/>
      <c r="K93" s="67"/>
      <c r="L93" s="67"/>
      <c r="M93" s="67"/>
      <c r="N93" s="145" t="str">
        <f t="shared" si="9"/>
        <v/>
      </c>
      <c r="O93" s="64"/>
      <c r="P93" s="64"/>
      <c r="Q93" s="152" t="str">
        <f t="shared" si="10"/>
        <v/>
      </c>
      <c r="R93" s="65" t="str">
        <f t="shared" si="17"/>
        <v/>
      </c>
      <c r="S93" s="5" t="str">
        <f t="shared" si="11"/>
        <v/>
      </c>
      <c r="T93" s="5" t="str">
        <f t="shared" si="12"/>
        <v/>
      </c>
      <c r="U93" s="5" t="str">
        <f t="shared" si="13"/>
        <v/>
      </c>
      <c r="V93" s="5" t="str">
        <f t="shared" si="14"/>
        <v/>
      </c>
      <c r="W93" s="5" t="str">
        <f t="shared" si="15"/>
        <v/>
      </c>
      <c r="X93" s="5" t="str">
        <f t="shared" si="16"/>
        <v/>
      </c>
    </row>
    <row r="94" spans="1:24">
      <c r="A94" s="87"/>
      <c r="B94" s="87"/>
      <c r="C94" s="88"/>
      <c r="D94" s="89"/>
      <c r="E94" s="90"/>
      <c r="F94" s="69"/>
      <c r="G94" s="70"/>
      <c r="H94" s="71"/>
      <c r="I94" s="66"/>
      <c r="J94" s="67"/>
      <c r="K94" s="67"/>
      <c r="L94" s="67"/>
      <c r="M94" s="67"/>
      <c r="N94" s="145" t="str">
        <f t="shared" si="9"/>
        <v/>
      </c>
      <c r="O94" s="64"/>
      <c r="P94" s="64"/>
      <c r="Q94" s="152" t="str">
        <f t="shared" si="10"/>
        <v/>
      </c>
      <c r="R94" s="65" t="str">
        <f t="shared" si="17"/>
        <v/>
      </c>
      <c r="S94" s="5" t="str">
        <f t="shared" si="11"/>
        <v/>
      </c>
      <c r="T94" s="5" t="str">
        <f t="shared" si="12"/>
        <v/>
      </c>
      <c r="U94" s="5" t="str">
        <f t="shared" si="13"/>
        <v/>
      </c>
      <c r="V94" s="5" t="str">
        <f t="shared" si="14"/>
        <v/>
      </c>
      <c r="W94" s="5" t="str">
        <f t="shared" si="15"/>
        <v/>
      </c>
      <c r="X94" s="5" t="str">
        <f t="shared" si="16"/>
        <v/>
      </c>
    </row>
    <row r="95" spans="1:24">
      <c r="A95" s="87"/>
      <c r="B95" s="87"/>
      <c r="C95" s="88"/>
      <c r="D95" s="89"/>
      <c r="E95" s="90"/>
      <c r="F95" s="69"/>
      <c r="G95" s="70"/>
      <c r="H95" s="71"/>
      <c r="I95" s="66"/>
      <c r="J95" s="67"/>
      <c r="K95" s="67"/>
      <c r="L95" s="67"/>
      <c r="M95" s="67"/>
      <c r="N95" s="145" t="str">
        <f t="shared" si="9"/>
        <v/>
      </c>
      <c r="O95" s="64"/>
      <c r="P95" s="64"/>
      <c r="Q95" s="152" t="str">
        <f t="shared" si="10"/>
        <v/>
      </c>
      <c r="R95" s="65" t="str">
        <f t="shared" si="17"/>
        <v/>
      </c>
      <c r="S95" s="5" t="str">
        <f t="shared" si="11"/>
        <v/>
      </c>
      <c r="T95" s="5" t="str">
        <f t="shared" si="12"/>
        <v/>
      </c>
      <c r="U95" s="5" t="str">
        <f t="shared" si="13"/>
        <v/>
      </c>
      <c r="V95" s="5" t="str">
        <f t="shared" si="14"/>
        <v/>
      </c>
      <c r="W95" s="5" t="str">
        <f t="shared" si="15"/>
        <v/>
      </c>
      <c r="X95" s="5" t="str">
        <f t="shared" si="16"/>
        <v/>
      </c>
    </row>
    <row r="96" spans="1:24">
      <c r="A96" s="87"/>
      <c r="B96" s="87"/>
      <c r="C96" s="88"/>
      <c r="D96" s="89"/>
      <c r="E96" s="90"/>
      <c r="F96" s="69"/>
      <c r="G96" s="70"/>
      <c r="H96" s="71"/>
      <c r="I96" s="66"/>
      <c r="J96" s="67"/>
      <c r="K96" s="67"/>
      <c r="L96" s="67"/>
      <c r="M96" s="67"/>
      <c r="N96" s="145" t="str">
        <f t="shared" si="9"/>
        <v/>
      </c>
      <c r="O96" s="64"/>
      <c r="P96" s="64"/>
      <c r="Q96" s="152" t="str">
        <f t="shared" si="10"/>
        <v/>
      </c>
      <c r="R96" s="65" t="str">
        <f t="shared" si="17"/>
        <v/>
      </c>
      <c r="S96" s="5" t="str">
        <f t="shared" si="11"/>
        <v/>
      </c>
      <c r="T96" s="5" t="str">
        <f t="shared" si="12"/>
        <v/>
      </c>
      <c r="U96" s="5" t="str">
        <f t="shared" si="13"/>
        <v/>
      </c>
      <c r="V96" s="5" t="str">
        <f t="shared" si="14"/>
        <v/>
      </c>
      <c r="W96" s="5" t="str">
        <f t="shared" si="15"/>
        <v/>
      </c>
      <c r="X96" s="5" t="str">
        <f t="shared" si="16"/>
        <v/>
      </c>
    </row>
    <row r="97" spans="1:24">
      <c r="A97" s="87"/>
      <c r="B97" s="87"/>
      <c r="C97" s="88"/>
      <c r="D97" s="89"/>
      <c r="E97" s="90"/>
      <c r="F97" s="69"/>
      <c r="G97" s="70"/>
      <c r="H97" s="71"/>
      <c r="I97" s="66"/>
      <c r="J97" s="67"/>
      <c r="K97" s="67"/>
      <c r="L97" s="67"/>
      <c r="M97" s="67"/>
      <c r="N97" s="145" t="str">
        <f t="shared" si="9"/>
        <v/>
      </c>
      <c r="O97" s="64"/>
      <c r="P97" s="64"/>
      <c r="Q97" s="152" t="str">
        <f t="shared" si="10"/>
        <v/>
      </c>
      <c r="R97" s="65" t="str">
        <f t="shared" si="17"/>
        <v/>
      </c>
      <c r="S97" s="5" t="str">
        <f t="shared" si="11"/>
        <v/>
      </c>
      <c r="T97" s="5" t="str">
        <f t="shared" si="12"/>
        <v/>
      </c>
      <c r="U97" s="5" t="str">
        <f t="shared" si="13"/>
        <v/>
      </c>
      <c r="V97" s="5" t="str">
        <f t="shared" si="14"/>
        <v/>
      </c>
      <c r="W97" s="5" t="str">
        <f t="shared" si="15"/>
        <v/>
      </c>
      <c r="X97" s="5" t="str">
        <f t="shared" si="16"/>
        <v/>
      </c>
    </row>
    <row r="98" spans="1:24">
      <c r="A98" s="87"/>
      <c r="B98" s="87"/>
      <c r="C98" s="88"/>
      <c r="D98" s="89"/>
      <c r="E98" s="90"/>
      <c r="F98" s="69"/>
      <c r="G98" s="70"/>
      <c r="H98" s="71"/>
      <c r="I98" s="66"/>
      <c r="J98" s="67"/>
      <c r="K98" s="67"/>
      <c r="L98" s="67"/>
      <c r="M98" s="67"/>
      <c r="N98" s="145" t="str">
        <f t="shared" si="9"/>
        <v/>
      </c>
      <c r="O98" s="64"/>
      <c r="P98" s="64"/>
      <c r="Q98" s="152" t="str">
        <f t="shared" si="10"/>
        <v/>
      </c>
      <c r="R98" s="65" t="str">
        <f t="shared" si="17"/>
        <v/>
      </c>
      <c r="S98" s="5" t="str">
        <f t="shared" si="11"/>
        <v/>
      </c>
      <c r="T98" s="5" t="str">
        <f t="shared" si="12"/>
        <v/>
      </c>
      <c r="U98" s="5" t="str">
        <f t="shared" si="13"/>
        <v/>
      </c>
      <c r="V98" s="5" t="str">
        <f t="shared" si="14"/>
        <v/>
      </c>
      <c r="W98" s="5" t="str">
        <f t="shared" si="15"/>
        <v/>
      </c>
      <c r="X98" s="5" t="str">
        <f t="shared" si="16"/>
        <v/>
      </c>
    </row>
    <row r="99" spans="1:24">
      <c r="A99" s="87"/>
      <c r="B99" s="87"/>
      <c r="C99" s="88"/>
      <c r="D99" s="89"/>
      <c r="E99" s="90"/>
      <c r="F99" s="69"/>
      <c r="G99" s="70"/>
      <c r="H99" s="71"/>
      <c r="I99" s="66"/>
      <c r="J99" s="67"/>
      <c r="K99" s="67"/>
      <c r="L99" s="67"/>
      <c r="M99" s="67"/>
      <c r="N99" s="145" t="str">
        <f t="shared" si="9"/>
        <v/>
      </c>
      <c r="O99" s="64"/>
      <c r="P99" s="64"/>
      <c r="Q99" s="152" t="str">
        <f t="shared" si="10"/>
        <v/>
      </c>
      <c r="R99" s="65" t="str">
        <f t="shared" si="17"/>
        <v/>
      </c>
      <c r="S99" s="5" t="str">
        <f t="shared" si="11"/>
        <v/>
      </c>
      <c r="T99" s="5" t="str">
        <f t="shared" si="12"/>
        <v/>
      </c>
      <c r="U99" s="5" t="str">
        <f t="shared" si="13"/>
        <v/>
      </c>
      <c r="V99" s="5" t="str">
        <f t="shared" si="14"/>
        <v/>
      </c>
      <c r="W99" s="5" t="str">
        <f t="shared" si="15"/>
        <v/>
      </c>
      <c r="X99" s="5" t="str">
        <f t="shared" si="16"/>
        <v/>
      </c>
    </row>
    <row r="100" spans="1:24">
      <c r="A100" s="87"/>
      <c r="B100" s="87"/>
      <c r="C100" s="88"/>
      <c r="D100" s="89"/>
      <c r="E100" s="90"/>
      <c r="F100" s="69"/>
      <c r="G100" s="70"/>
      <c r="H100" s="71"/>
      <c r="I100" s="66"/>
      <c r="J100" s="67"/>
      <c r="K100" s="67"/>
      <c r="L100" s="67"/>
      <c r="M100" s="67"/>
      <c r="N100" s="145" t="str">
        <f t="shared" si="9"/>
        <v/>
      </c>
      <c r="O100" s="64"/>
      <c r="P100" s="64"/>
      <c r="Q100" s="152" t="str">
        <f t="shared" si="10"/>
        <v/>
      </c>
      <c r="R100" s="65" t="str">
        <f t="shared" si="17"/>
        <v/>
      </c>
      <c r="S100" s="5" t="str">
        <f t="shared" si="11"/>
        <v/>
      </c>
      <c r="T100" s="5" t="str">
        <f t="shared" si="12"/>
        <v/>
      </c>
      <c r="U100" s="5" t="str">
        <f t="shared" si="13"/>
        <v/>
      </c>
      <c r="V100" s="5" t="str">
        <f t="shared" si="14"/>
        <v/>
      </c>
      <c r="W100" s="5" t="str">
        <f t="shared" si="15"/>
        <v/>
      </c>
      <c r="X100" s="5" t="str">
        <f t="shared" si="16"/>
        <v/>
      </c>
    </row>
    <row r="101" spans="1:24">
      <c r="A101" s="87"/>
      <c r="B101" s="87"/>
      <c r="C101" s="88"/>
      <c r="D101" s="89"/>
      <c r="E101" s="90"/>
      <c r="F101" s="69"/>
      <c r="G101" s="70"/>
      <c r="H101" s="71"/>
      <c r="I101" s="66"/>
      <c r="J101" s="67"/>
      <c r="K101" s="67"/>
      <c r="L101" s="67"/>
      <c r="M101" s="67"/>
      <c r="N101" s="145" t="str">
        <f t="shared" si="9"/>
        <v/>
      </c>
      <c r="O101" s="64"/>
      <c r="P101" s="64"/>
      <c r="Q101" s="152" t="str">
        <f t="shared" si="10"/>
        <v/>
      </c>
      <c r="R101" s="65" t="str">
        <f t="shared" si="17"/>
        <v/>
      </c>
      <c r="S101" s="5" t="str">
        <f t="shared" si="11"/>
        <v/>
      </c>
      <c r="T101" s="5" t="str">
        <f t="shared" si="12"/>
        <v/>
      </c>
      <c r="U101" s="5" t="str">
        <f t="shared" si="13"/>
        <v/>
      </c>
      <c r="V101" s="5" t="str">
        <f t="shared" si="14"/>
        <v/>
      </c>
      <c r="W101" s="5" t="str">
        <f t="shared" si="15"/>
        <v/>
      </c>
      <c r="X101" s="5" t="str">
        <f t="shared" si="16"/>
        <v/>
      </c>
    </row>
    <row r="102" spans="1:24">
      <c r="A102" s="87"/>
      <c r="B102" s="87"/>
      <c r="C102" s="88"/>
      <c r="D102" s="89"/>
      <c r="E102" s="90"/>
      <c r="F102" s="69"/>
      <c r="G102" s="70"/>
      <c r="H102" s="71"/>
      <c r="I102" s="66"/>
      <c r="J102" s="67"/>
      <c r="K102" s="67"/>
      <c r="L102" s="67"/>
      <c r="M102" s="67"/>
      <c r="N102" s="145" t="str">
        <f t="shared" si="9"/>
        <v/>
      </c>
      <c r="O102" s="64"/>
      <c r="P102" s="64"/>
      <c r="Q102" s="152" t="str">
        <f t="shared" si="10"/>
        <v/>
      </c>
      <c r="R102" s="65" t="str">
        <f t="shared" si="17"/>
        <v/>
      </c>
      <c r="S102" s="5" t="str">
        <f t="shared" si="11"/>
        <v/>
      </c>
      <c r="T102" s="5" t="str">
        <f t="shared" si="12"/>
        <v/>
      </c>
      <c r="U102" s="5" t="str">
        <f t="shared" si="13"/>
        <v/>
      </c>
      <c r="V102" s="5" t="str">
        <f t="shared" si="14"/>
        <v/>
      </c>
      <c r="W102" s="5" t="str">
        <f t="shared" si="15"/>
        <v/>
      </c>
      <c r="X102" s="5" t="str">
        <f t="shared" si="16"/>
        <v/>
      </c>
    </row>
    <row r="103" spans="1:24">
      <c r="A103" s="87"/>
      <c r="B103" s="87"/>
      <c r="C103" s="88"/>
      <c r="D103" s="89"/>
      <c r="E103" s="90"/>
      <c r="F103" s="69"/>
      <c r="G103" s="70"/>
      <c r="H103" s="71"/>
      <c r="I103" s="66"/>
      <c r="J103" s="67"/>
      <c r="K103" s="67"/>
      <c r="L103" s="67"/>
      <c r="M103" s="67"/>
      <c r="N103" s="145" t="str">
        <f t="shared" si="9"/>
        <v/>
      </c>
      <c r="O103" s="64"/>
      <c r="P103" s="64"/>
      <c r="Q103" s="152" t="str">
        <f t="shared" si="10"/>
        <v/>
      </c>
      <c r="R103" s="65" t="str">
        <f t="shared" si="17"/>
        <v/>
      </c>
      <c r="S103" s="5" t="str">
        <f t="shared" si="11"/>
        <v/>
      </c>
      <c r="T103" s="5" t="str">
        <f t="shared" si="12"/>
        <v/>
      </c>
      <c r="U103" s="5" t="str">
        <f t="shared" si="13"/>
        <v/>
      </c>
      <c r="V103" s="5" t="str">
        <f t="shared" si="14"/>
        <v/>
      </c>
      <c r="W103" s="5" t="str">
        <f t="shared" si="15"/>
        <v/>
      </c>
      <c r="X103" s="5" t="str">
        <f t="shared" si="16"/>
        <v/>
      </c>
    </row>
    <row r="104" spans="1:24">
      <c r="A104" s="87"/>
      <c r="B104" s="87"/>
      <c r="C104" s="88"/>
      <c r="D104" s="89"/>
      <c r="E104" s="90"/>
      <c r="F104" s="69"/>
      <c r="G104" s="70"/>
      <c r="H104" s="71"/>
      <c r="I104" s="66"/>
      <c r="J104" s="67"/>
      <c r="K104" s="67"/>
      <c r="L104" s="67"/>
      <c r="M104" s="67"/>
      <c r="N104" s="145" t="str">
        <f t="shared" si="9"/>
        <v/>
      </c>
      <c r="O104" s="64"/>
      <c r="P104" s="64"/>
      <c r="Q104" s="152" t="str">
        <f t="shared" si="10"/>
        <v/>
      </c>
      <c r="R104" s="65" t="str">
        <f t="shared" si="17"/>
        <v/>
      </c>
      <c r="S104" s="5" t="str">
        <f t="shared" si="11"/>
        <v/>
      </c>
      <c r="T104" s="5" t="str">
        <f t="shared" si="12"/>
        <v/>
      </c>
      <c r="U104" s="5" t="str">
        <f t="shared" si="13"/>
        <v/>
      </c>
      <c r="V104" s="5" t="str">
        <f t="shared" si="14"/>
        <v/>
      </c>
      <c r="W104" s="5" t="str">
        <f t="shared" si="15"/>
        <v/>
      </c>
      <c r="X104" s="5" t="str">
        <f t="shared" si="16"/>
        <v/>
      </c>
    </row>
    <row r="105" spans="1:24">
      <c r="A105" s="87"/>
      <c r="B105" s="87"/>
      <c r="C105" s="88"/>
      <c r="D105" s="89"/>
      <c r="E105" s="90"/>
      <c r="F105" s="69"/>
      <c r="G105" s="70"/>
      <c r="H105" s="71"/>
      <c r="I105" s="66"/>
      <c r="J105" s="67"/>
      <c r="K105" s="67"/>
      <c r="L105" s="67"/>
      <c r="M105" s="67"/>
      <c r="N105" s="145" t="str">
        <f t="shared" si="9"/>
        <v/>
      </c>
      <c r="O105" s="64"/>
      <c r="P105" s="64"/>
      <c r="Q105" s="152" t="str">
        <f t="shared" si="10"/>
        <v/>
      </c>
      <c r="R105" s="65" t="str">
        <f t="shared" si="17"/>
        <v/>
      </c>
      <c r="S105" s="5" t="str">
        <f t="shared" si="11"/>
        <v/>
      </c>
      <c r="T105" s="5" t="str">
        <f t="shared" si="12"/>
        <v/>
      </c>
      <c r="U105" s="5" t="str">
        <f t="shared" si="13"/>
        <v/>
      </c>
      <c r="V105" s="5" t="str">
        <f t="shared" si="14"/>
        <v/>
      </c>
      <c r="W105" s="5" t="str">
        <f t="shared" si="15"/>
        <v/>
      </c>
      <c r="X105" s="5" t="str">
        <f t="shared" si="16"/>
        <v/>
      </c>
    </row>
    <row r="106" spans="1:24">
      <c r="A106" s="87"/>
      <c r="B106" s="87"/>
      <c r="C106" s="88"/>
      <c r="D106" s="89"/>
      <c r="E106" s="90"/>
      <c r="F106" s="69"/>
      <c r="G106" s="70"/>
      <c r="H106" s="71"/>
      <c r="I106" s="66"/>
      <c r="J106" s="67"/>
      <c r="K106" s="67"/>
      <c r="L106" s="67"/>
      <c r="M106" s="67"/>
      <c r="N106" s="145" t="str">
        <f t="shared" si="9"/>
        <v/>
      </c>
      <c r="O106" s="64"/>
      <c r="P106" s="64"/>
      <c r="Q106" s="152" t="str">
        <f t="shared" si="10"/>
        <v/>
      </c>
      <c r="R106" s="65" t="str">
        <f t="shared" si="17"/>
        <v/>
      </c>
      <c r="S106" s="5" t="str">
        <f t="shared" si="11"/>
        <v/>
      </c>
      <c r="T106" s="5" t="str">
        <f t="shared" si="12"/>
        <v/>
      </c>
      <c r="U106" s="5" t="str">
        <f t="shared" si="13"/>
        <v/>
      </c>
      <c r="V106" s="5" t="str">
        <f t="shared" si="14"/>
        <v/>
      </c>
      <c r="W106" s="5" t="str">
        <f t="shared" si="15"/>
        <v/>
      </c>
      <c r="X106" s="5" t="str">
        <f t="shared" si="16"/>
        <v/>
      </c>
    </row>
    <row r="107" spans="1:24">
      <c r="A107" s="87"/>
      <c r="B107" s="87"/>
      <c r="C107" s="88"/>
      <c r="D107" s="89"/>
      <c r="E107" s="90"/>
      <c r="F107" s="69"/>
      <c r="G107" s="70"/>
      <c r="H107" s="71"/>
      <c r="I107" s="66"/>
      <c r="J107" s="67"/>
      <c r="K107" s="67"/>
      <c r="L107" s="67"/>
      <c r="M107" s="67"/>
      <c r="N107" s="145" t="str">
        <f t="shared" si="9"/>
        <v/>
      </c>
      <c r="O107" s="64"/>
      <c r="P107" s="64"/>
      <c r="Q107" s="152" t="str">
        <f t="shared" si="10"/>
        <v/>
      </c>
      <c r="R107" s="65" t="str">
        <f t="shared" si="17"/>
        <v/>
      </c>
      <c r="S107" s="5" t="str">
        <f t="shared" si="11"/>
        <v/>
      </c>
      <c r="T107" s="5" t="str">
        <f t="shared" si="12"/>
        <v/>
      </c>
      <c r="U107" s="5" t="str">
        <f t="shared" si="13"/>
        <v/>
      </c>
      <c r="V107" s="5" t="str">
        <f t="shared" si="14"/>
        <v/>
      </c>
      <c r="W107" s="5" t="str">
        <f t="shared" si="15"/>
        <v/>
      </c>
      <c r="X107" s="5" t="str">
        <f t="shared" si="16"/>
        <v/>
      </c>
    </row>
    <row r="108" spans="1:24">
      <c r="A108" s="87"/>
      <c r="B108" s="87"/>
      <c r="C108" s="88"/>
      <c r="D108" s="89"/>
      <c r="E108" s="90"/>
      <c r="F108" s="69"/>
      <c r="G108" s="70"/>
      <c r="H108" s="71"/>
      <c r="I108" s="66"/>
      <c r="J108" s="67"/>
      <c r="K108" s="67"/>
      <c r="L108" s="67"/>
      <c r="M108" s="67"/>
      <c r="N108" s="145" t="str">
        <f t="shared" si="9"/>
        <v/>
      </c>
      <c r="O108" s="64"/>
      <c r="P108" s="64"/>
      <c r="Q108" s="152" t="str">
        <f t="shared" si="10"/>
        <v/>
      </c>
      <c r="R108" s="65" t="str">
        <f t="shared" si="17"/>
        <v/>
      </c>
      <c r="S108" s="5" t="str">
        <f t="shared" si="11"/>
        <v/>
      </c>
      <c r="T108" s="5" t="str">
        <f t="shared" si="12"/>
        <v/>
      </c>
      <c r="U108" s="5" t="str">
        <f t="shared" si="13"/>
        <v/>
      </c>
      <c r="V108" s="5" t="str">
        <f t="shared" si="14"/>
        <v/>
      </c>
      <c r="W108" s="5" t="str">
        <f t="shared" si="15"/>
        <v/>
      </c>
      <c r="X108" s="5" t="str">
        <f t="shared" si="16"/>
        <v/>
      </c>
    </row>
    <row r="109" spans="1:24">
      <c r="A109" s="87"/>
      <c r="B109" s="87"/>
      <c r="C109" s="88"/>
      <c r="D109" s="89"/>
      <c r="E109" s="90"/>
      <c r="F109" s="69"/>
      <c r="G109" s="70"/>
      <c r="H109" s="71"/>
      <c r="I109" s="66"/>
      <c r="J109" s="67"/>
      <c r="K109" s="67"/>
      <c r="L109" s="67"/>
      <c r="M109" s="67"/>
      <c r="N109" s="145" t="str">
        <f t="shared" si="9"/>
        <v/>
      </c>
      <c r="O109" s="64"/>
      <c r="P109" s="64"/>
      <c r="Q109" s="152" t="str">
        <f t="shared" si="10"/>
        <v/>
      </c>
      <c r="R109" s="65" t="str">
        <f t="shared" si="17"/>
        <v/>
      </c>
      <c r="S109" s="5" t="str">
        <f t="shared" si="11"/>
        <v/>
      </c>
      <c r="T109" s="5" t="str">
        <f t="shared" si="12"/>
        <v/>
      </c>
      <c r="U109" s="5" t="str">
        <f t="shared" si="13"/>
        <v/>
      </c>
      <c r="V109" s="5" t="str">
        <f t="shared" si="14"/>
        <v/>
      </c>
      <c r="W109" s="5" t="str">
        <f t="shared" si="15"/>
        <v/>
      </c>
      <c r="X109" s="5" t="str">
        <f t="shared" si="16"/>
        <v/>
      </c>
    </row>
    <row r="110" spans="1:24">
      <c r="A110" s="87"/>
      <c r="B110" s="87"/>
      <c r="C110" s="88"/>
      <c r="D110" s="89"/>
      <c r="E110" s="90"/>
      <c r="F110" s="69"/>
      <c r="G110" s="70"/>
      <c r="H110" s="71"/>
      <c r="I110" s="66"/>
      <c r="J110" s="67"/>
      <c r="K110" s="67"/>
      <c r="L110" s="67"/>
      <c r="M110" s="67"/>
      <c r="N110" s="145" t="str">
        <f t="shared" si="9"/>
        <v/>
      </c>
      <c r="O110" s="64"/>
      <c r="P110" s="64"/>
      <c r="Q110" s="152" t="str">
        <f t="shared" si="10"/>
        <v/>
      </c>
      <c r="R110" s="65" t="str">
        <f t="shared" si="17"/>
        <v/>
      </c>
      <c r="S110" s="5" t="str">
        <f t="shared" si="11"/>
        <v/>
      </c>
      <c r="T110" s="5" t="str">
        <f t="shared" si="12"/>
        <v/>
      </c>
      <c r="U110" s="5" t="str">
        <f t="shared" si="13"/>
        <v/>
      </c>
      <c r="V110" s="5" t="str">
        <f t="shared" si="14"/>
        <v/>
      </c>
      <c r="W110" s="5" t="str">
        <f t="shared" si="15"/>
        <v/>
      </c>
      <c r="X110" s="5" t="str">
        <f t="shared" si="16"/>
        <v/>
      </c>
    </row>
    <row r="111" spans="1:24">
      <c r="A111" s="87"/>
      <c r="B111" s="87"/>
      <c r="C111" s="88"/>
      <c r="D111" s="89"/>
      <c r="E111" s="90"/>
      <c r="F111" s="69"/>
      <c r="G111" s="70"/>
      <c r="H111" s="71"/>
      <c r="I111" s="66"/>
      <c r="J111" s="67"/>
      <c r="K111" s="67"/>
      <c r="L111" s="67"/>
      <c r="M111" s="67"/>
      <c r="N111" s="145" t="str">
        <f t="shared" si="9"/>
        <v/>
      </c>
      <c r="O111" s="64"/>
      <c r="P111" s="64"/>
      <c r="Q111" s="152" t="str">
        <f t="shared" si="10"/>
        <v/>
      </c>
      <c r="R111" s="65" t="str">
        <f t="shared" si="17"/>
        <v/>
      </c>
      <c r="S111" s="5" t="str">
        <f t="shared" si="11"/>
        <v/>
      </c>
      <c r="T111" s="5" t="str">
        <f t="shared" si="12"/>
        <v/>
      </c>
      <c r="U111" s="5" t="str">
        <f t="shared" si="13"/>
        <v/>
      </c>
      <c r="V111" s="5" t="str">
        <f t="shared" si="14"/>
        <v/>
      </c>
      <c r="W111" s="5" t="str">
        <f t="shared" si="15"/>
        <v/>
      </c>
      <c r="X111" s="5" t="str">
        <f t="shared" si="16"/>
        <v/>
      </c>
    </row>
    <row r="112" spans="1:24">
      <c r="A112" s="87"/>
      <c r="B112" s="87"/>
      <c r="C112" s="88"/>
      <c r="D112" s="89"/>
      <c r="E112" s="90"/>
      <c r="F112" s="69"/>
      <c r="G112" s="70"/>
      <c r="H112" s="71"/>
      <c r="I112" s="66"/>
      <c r="J112" s="67"/>
      <c r="K112" s="67"/>
      <c r="L112" s="67"/>
      <c r="M112" s="67"/>
      <c r="N112" s="145" t="str">
        <f t="shared" si="9"/>
        <v/>
      </c>
      <c r="O112" s="64"/>
      <c r="P112" s="64"/>
      <c r="Q112" s="152" t="str">
        <f t="shared" si="10"/>
        <v/>
      </c>
      <c r="R112" s="65" t="str">
        <f t="shared" si="17"/>
        <v/>
      </c>
      <c r="S112" s="5" t="str">
        <f t="shared" si="11"/>
        <v/>
      </c>
      <c r="T112" s="5" t="str">
        <f t="shared" si="12"/>
        <v/>
      </c>
      <c r="U112" s="5" t="str">
        <f t="shared" si="13"/>
        <v/>
      </c>
      <c r="V112" s="5" t="str">
        <f t="shared" si="14"/>
        <v/>
      </c>
      <c r="W112" s="5" t="str">
        <f t="shared" si="15"/>
        <v/>
      </c>
      <c r="X112" s="5" t="str">
        <f t="shared" si="16"/>
        <v/>
      </c>
    </row>
    <row r="113" spans="1:24">
      <c r="A113" s="87"/>
      <c r="B113" s="87"/>
      <c r="C113" s="88"/>
      <c r="D113" s="89"/>
      <c r="E113" s="90"/>
      <c r="F113" s="69"/>
      <c r="G113" s="70"/>
      <c r="H113" s="71"/>
      <c r="I113" s="66"/>
      <c r="J113" s="67"/>
      <c r="K113" s="67"/>
      <c r="L113" s="67"/>
      <c r="M113" s="67"/>
      <c r="N113" s="145" t="str">
        <f t="shared" si="9"/>
        <v/>
      </c>
      <c r="O113" s="64"/>
      <c r="P113" s="64"/>
      <c r="Q113" s="152" t="str">
        <f t="shared" si="10"/>
        <v/>
      </c>
      <c r="R113" s="65" t="str">
        <f t="shared" si="17"/>
        <v/>
      </c>
      <c r="S113" s="5" t="str">
        <f t="shared" si="11"/>
        <v/>
      </c>
      <c r="T113" s="5" t="str">
        <f t="shared" si="12"/>
        <v/>
      </c>
      <c r="U113" s="5" t="str">
        <f t="shared" si="13"/>
        <v/>
      </c>
      <c r="V113" s="5" t="str">
        <f t="shared" si="14"/>
        <v/>
      </c>
      <c r="W113" s="5" t="str">
        <f t="shared" si="15"/>
        <v/>
      </c>
      <c r="X113" s="5" t="str">
        <f t="shared" si="16"/>
        <v/>
      </c>
    </row>
    <row r="114" spans="1:24">
      <c r="A114" s="87"/>
      <c r="B114" s="87"/>
      <c r="C114" s="88"/>
      <c r="D114" s="89"/>
      <c r="E114" s="90"/>
      <c r="F114" s="69"/>
      <c r="G114" s="70"/>
      <c r="H114" s="71"/>
      <c r="I114" s="66"/>
      <c r="J114" s="67"/>
      <c r="K114" s="67"/>
      <c r="L114" s="67"/>
      <c r="M114" s="67"/>
      <c r="N114" s="145" t="str">
        <f t="shared" si="9"/>
        <v/>
      </c>
      <c r="O114" s="64"/>
      <c r="P114" s="64"/>
      <c r="Q114" s="152" t="str">
        <f t="shared" si="10"/>
        <v/>
      </c>
      <c r="R114" s="65" t="str">
        <f t="shared" si="17"/>
        <v/>
      </c>
      <c r="S114" s="5" t="str">
        <f t="shared" si="11"/>
        <v/>
      </c>
      <c r="T114" s="5" t="str">
        <f t="shared" si="12"/>
        <v/>
      </c>
      <c r="U114" s="5" t="str">
        <f t="shared" si="13"/>
        <v/>
      </c>
      <c r="V114" s="5" t="str">
        <f t="shared" si="14"/>
        <v/>
      </c>
      <c r="W114" s="5" t="str">
        <f t="shared" si="15"/>
        <v/>
      </c>
      <c r="X114" s="5" t="str">
        <f t="shared" si="16"/>
        <v/>
      </c>
    </row>
    <row r="115" spans="1:24">
      <c r="A115" s="87"/>
      <c r="B115" s="87"/>
      <c r="C115" s="88"/>
      <c r="D115" s="89"/>
      <c r="E115" s="90"/>
      <c r="F115" s="69"/>
      <c r="G115" s="70"/>
      <c r="H115" s="71"/>
      <c r="I115" s="66"/>
      <c r="J115" s="67"/>
      <c r="K115" s="67"/>
      <c r="L115" s="67"/>
      <c r="M115" s="67"/>
      <c r="N115" s="145" t="str">
        <f t="shared" si="9"/>
        <v/>
      </c>
      <c r="O115" s="64"/>
      <c r="P115" s="64"/>
      <c r="Q115" s="152" t="str">
        <f t="shared" si="10"/>
        <v/>
      </c>
      <c r="R115" s="65" t="str">
        <f t="shared" si="17"/>
        <v/>
      </c>
      <c r="S115" s="5" t="str">
        <f t="shared" si="11"/>
        <v/>
      </c>
      <c r="T115" s="5" t="str">
        <f t="shared" si="12"/>
        <v/>
      </c>
      <c r="U115" s="5" t="str">
        <f t="shared" si="13"/>
        <v/>
      </c>
      <c r="V115" s="5" t="str">
        <f t="shared" si="14"/>
        <v/>
      </c>
      <c r="W115" s="5" t="str">
        <f t="shared" si="15"/>
        <v/>
      </c>
      <c r="X115" s="5" t="str">
        <f t="shared" si="16"/>
        <v/>
      </c>
    </row>
    <row r="116" spans="1:24">
      <c r="A116" s="87"/>
      <c r="B116" s="87"/>
      <c r="C116" s="88"/>
      <c r="D116" s="89"/>
      <c r="E116" s="90"/>
      <c r="F116" s="69"/>
      <c r="G116" s="70"/>
      <c r="H116" s="71"/>
      <c r="I116" s="66"/>
      <c r="J116" s="67"/>
      <c r="K116" s="67"/>
      <c r="L116" s="67"/>
      <c r="M116" s="67"/>
      <c r="N116" s="145" t="str">
        <f t="shared" si="9"/>
        <v/>
      </c>
      <c r="O116" s="64"/>
      <c r="P116" s="64"/>
      <c r="Q116" s="152" t="str">
        <f t="shared" si="10"/>
        <v/>
      </c>
      <c r="R116" s="65" t="str">
        <f t="shared" si="17"/>
        <v/>
      </c>
      <c r="S116" s="5" t="str">
        <f t="shared" si="11"/>
        <v/>
      </c>
      <c r="T116" s="5" t="str">
        <f t="shared" si="12"/>
        <v/>
      </c>
      <c r="U116" s="5" t="str">
        <f t="shared" si="13"/>
        <v/>
      </c>
      <c r="V116" s="5" t="str">
        <f t="shared" si="14"/>
        <v/>
      </c>
      <c r="W116" s="5" t="str">
        <f t="shared" si="15"/>
        <v/>
      </c>
      <c r="X116" s="5" t="str">
        <f t="shared" si="16"/>
        <v/>
      </c>
    </row>
    <row r="117" spans="1:24">
      <c r="A117" s="87"/>
      <c r="B117" s="87"/>
      <c r="C117" s="88"/>
      <c r="D117" s="89"/>
      <c r="E117" s="90"/>
      <c r="F117" s="69"/>
      <c r="G117" s="70"/>
      <c r="H117" s="71"/>
      <c r="I117" s="66"/>
      <c r="J117" s="67"/>
      <c r="K117" s="67"/>
      <c r="L117" s="67"/>
      <c r="M117" s="67"/>
      <c r="N117" s="145" t="str">
        <f t="shared" si="9"/>
        <v/>
      </c>
      <c r="O117" s="64"/>
      <c r="P117" s="64"/>
      <c r="Q117" s="152" t="str">
        <f t="shared" si="10"/>
        <v/>
      </c>
      <c r="R117" s="65" t="str">
        <f t="shared" si="17"/>
        <v/>
      </c>
      <c r="S117" s="5" t="str">
        <f t="shared" si="11"/>
        <v/>
      </c>
      <c r="T117" s="5" t="str">
        <f t="shared" si="12"/>
        <v/>
      </c>
      <c r="U117" s="5" t="str">
        <f t="shared" si="13"/>
        <v/>
      </c>
      <c r="V117" s="5" t="str">
        <f t="shared" si="14"/>
        <v/>
      </c>
      <c r="W117" s="5" t="str">
        <f t="shared" si="15"/>
        <v/>
      </c>
      <c r="X117" s="5" t="str">
        <f t="shared" si="16"/>
        <v/>
      </c>
    </row>
    <row r="118" spans="1:24">
      <c r="A118" s="87"/>
      <c r="B118" s="87"/>
      <c r="C118" s="88"/>
      <c r="D118" s="89"/>
      <c r="E118" s="90"/>
      <c r="F118" s="69"/>
      <c r="G118" s="70"/>
      <c r="H118" s="71"/>
      <c r="I118" s="66"/>
      <c r="J118" s="67"/>
      <c r="K118" s="67"/>
      <c r="L118" s="67"/>
      <c r="M118" s="67"/>
      <c r="N118" s="145" t="str">
        <f t="shared" si="9"/>
        <v/>
      </c>
      <c r="O118" s="64"/>
      <c r="P118" s="64"/>
      <c r="Q118" s="152" t="str">
        <f t="shared" si="10"/>
        <v/>
      </c>
      <c r="R118" s="65" t="str">
        <f t="shared" si="17"/>
        <v/>
      </c>
      <c r="S118" s="5" t="str">
        <f t="shared" si="11"/>
        <v/>
      </c>
      <c r="T118" s="5" t="str">
        <f t="shared" si="12"/>
        <v/>
      </c>
      <c r="U118" s="5" t="str">
        <f t="shared" si="13"/>
        <v/>
      </c>
      <c r="V118" s="5" t="str">
        <f t="shared" si="14"/>
        <v/>
      </c>
      <c r="W118" s="5" t="str">
        <f t="shared" si="15"/>
        <v/>
      </c>
      <c r="X118" s="5" t="str">
        <f t="shared" si="16"/>
        <v/>
      </c>
    </row>
    <row r="119" spans="1:24">
      <c r="A119" s="87"/>
      <c r="B119" s="87"/>
      <c r="C119" s="88"/>
      <c r="D119" s="89"/>
      <c r="E119" s="90"/>
      <c r="F119" s="69"/>
      <c r="G119" s="70"/>
      <c r="H119" s="71"/>
      <c r="I119" s="66"/>
      <c r="J119" s="67"/>
      <c r="K119" s="67"/>
      <c r="L119" s="67"/>
      <c r="M119" s="67"/>
      <c r="N119" s="145" t="str">
        <f t="shared" si="9"/>
        <v/>
      </c>
      <c r="O119" s="64"/>
      <c r="P119" s="64"/>
      <c r="Q119" s="152" t="str">
        <f t="shared" si="10"/>
        <v/>
      </c>
      <c r="R119" s="65" t="str">
        <f t="shared" si="17"/>
        <v/>
      </c>
      <c r="S119" s="5" t="str">
        <f t="shared" si="11"/>
        <v/>
      </c>
      <c r="T119" s="5" t="str">
        <f t="shared" si="12"/>
        <v/>
      </c>
      <c r="U119" s="5" t="str">
        <f t="shared" si="13"/>
        <v/>
      </c>
      <c r="V119" s="5" t="str">
        <f t="shared" si="14"/>
        <v/>
      </c>
      <c r="W119" s="5" t="str">
        <f t="shared" si="15"/>
        <v/>
      </c>
      <c r="X119" s="5" t="str">
        <f t="shared" si="16"/>
        <v/>
      </c>
    </row>
    <row r="120" spans="1:24">
      <c r="A120" s="87"/>
      <c r="B120" s="87"/>
      <c r="C120" s="88"/>
      <c r="D120" s="89"/>
      <c r="E120" s="90"/>
      <c r="F120" s="69"/>
      <c r="G120" s="70"/>
      <c r="H120" s="71"/>
      <c r="I120" s="66"/>
      <c r="J120" s="67"/>
      <c r="K120" s="67"/>
      <c r="L120" s="67"/>
      <c r="M120" s="67"/>
      <c r="N120" s="145" t="str">
        <f t="shared" si="9"/>
        <v/>
      </c>
      <c r="O120" s="64"/>
      <c r="P120" s="64"/>
      <c r="Q120" s="152" t="str">
        <f t="shared" si="10"/>
        <v/>
      </c>
      <c r="R120" s="65" t="str">
        <f t="shared" si="17"/>
        <v/>
      </c>
      <c r="S120" s="5" t="str">
        <f t="shared" si="11"/>
        <v/>
      </c>
      <c r="T120" s="5" t="str">
        <f t="shared" si="12"/>
        <v/>
      </c>
      <c r="U120" s="5" t="str">
        <f t="shared" si="13"/>
        <v/>
      </c>
      <c r="V120" s="5" t="str">
        <f t="shared" si="14"/>
        <v/>
      </c>
      <c r="W120" s="5" t="str">
        <f t="shared" si="15"/>
        <v/>
      </c>
      <c r="X120" s="5" t="str">
        <f t="shared" si="16"/>
        <v/>
      </c>
    </row>
    <row r="121" spans="1:24">
      <c r="A121" s="87"/>
      <c r="B121" s="87"/>
      <c r="C121" s="88"/>
      <c r="D121" s="89"/>
      <c r="E121" s="90"/>
      <c r="F121" s="69"/>
      <c r="G121" s="70"/>
      <c r="H121" s="71"/>
      <c r="I121" s="66"/>
      <c r="J121" s="67"/>
      <c r="K121" s="67"/>
      <c r="L121" s="67"/>
      <c r="M121" s="67"/>
      <c r="N121" s="145" t="str">
        <f t="shared" si="9"/>
        <v/>
      </c>
      <c r="O121" s="64"/>
      <c r="P121" s="64"/>
      <c r="Q121" s="152" t="str">
        <f t="shared" si="10"/>
        <v/>
      </c>
      <c r="R121" s="65" t="str">
        <f t="shared" si="17"/>
        <v/>
      </c>
      <c r="S121" s="5" t="str">
        <f t="shared" si="11"/>
        <v/>
      </c>
      <c r="T121" s="5" t="str">
        <f t="shared" si="12"/>
        <v/>
      </c>
      <c r="U121" s="5" t="str">
        <f t="shared" si="13"/>
        <v/>
      </c>
      <c r="V121" s="5" t="str">
        <f t="shared" si="14"/>
        <v/>
      </c>
      <c r="W121" s="5" t="str">
        <f t="shared" si="15"/>
        <v/>
      </c>
      <c r="X121" s="5" t="str">
        <f t="shared" si="16"/>
        <v/>
      </c>
    </row>
    <row r="122" spans="1:24">
      <c r="A122" s="87"/>
      <c r="B122" s="87"/>
      <c r="C122" s="88"/>
      <c r="D122" s="89"/>
      <c r="E122" s="90"/>
      <c r="F122" s="69"/>
      <c r="G122" s="70"/>
      <c r="H122" s="71"/>
      <c r="I122" s="66"/>
      <c r="J122" s="67"/>
      <c r="K122" s="67"/>
      <c r="L122" s="67"/>
      <c r="M122" s="67"/>
      <c r="N122" s="145" t="str">
        <f t="shared" si="9"/>
        <v/>
      </c>
      <c r="O122" s="64"/>
      <c r="P122" s="64"/>
      <c r="Q122" s="152" t="str">
        <f t="shared" si="10"/>
        <v/>
      </c>
      <c r="R122" s="65" t="str">
        <f t="shared" si="17"/>
        <v/>
      </c>
      <c r="S122" s="5" t="str">
        <f t="shared" si="11"/>
        <v/>
      </c>
      <c r="T122" s="5" t="str">
        <f t="shared" si="12"/>
        <v/>
      </c>
      <c r="U122" s="5" t="str">
        <f t="shared" si="13"/>
        <v/>
      </c>
      <c r="V122" s="5" t="str">
        <f t="shared" si="14"/>
        <v/>
      </c>
      <c r="W122" s="5" t="str">
        <f t="shared" si="15"/>
        <v/>
      </c>
      <c r="X122" s="5" t="str">
        <f t="shared" si="16"/>
        <v/>
      </c>
    </row>
    <row r="123" spans="1:24">
      <c r="A123" s="87"/>
      <c r="B123" s="87"/>
      <c r="C123" s="88"/>
      <c r="D123" s="89"/>
      <c r="E123" s="90"/>
      <c r="F123" s="69"/>
      <c r="G123" s="70"/>
      <c r="H123" s="71"/>
      <c r="I123" s="66"/>
      <c r="J123" s="67"/>
      <c r="K123" s="67"/>
      <c r="L123" s="67"/>
      <c r="M123" s="67"/>
      <c r="N123" s="145" t="str">
        <f t="shared" si="9"/>
        <v/>
      </c>
      <c r="O123" s="64"/>
      <c r="P123" s="64"/>
      <c r="Q123" s="152" t="str">
        <f t="shared" si="10"/>
        <v/>
      </c>
      <c r="R123" s="65" t="str">
        <f t="shared" si="17"/>
        <v/>
      </c>
      <c r="S123" s="5" t="str">
        <f t="shared" si="11"/>
        <v/>
      </c>
      <c r="T123" s="5" t="str">
        <f t="shared" si="12"/>
        <v/>
      </c>
      <c r="U123" s="5" t="str">
        <f t="shared" si="13"/>
        <v/>
      </c>
      <c r="V123" s="5" t="str">
        <f t="shared" si="14"/>
        <v/>
      </c>
      <c r="W123" s="5" t="str">
        <f t="shared" si="15"/>
        <v/>
      </c>
      <c r="X123" s="5" t="str">
        <f t="shared" si="16"/>
        <v/>
      </c>
    </row>
    <row r="124" spans="1:24">
      <c r="A124" s="87"/>
      <c r="B124" s="87"/>
      <c r="C124" s="88"/>
      <c r="D124" s="89"/>
      <c r="E124" s="90"/>
      <c r="F124" s="69"/>
      <c r="G124" s="70"/>
      <c r="H124" s="71"/>
      <c r="I124" s="66"/>
      <c r="J124" s="67"/>
      <c r="K124" s="67"/>
      <c r="L124" s="67"/>
      <c r="M124" s="67"/>
      <c r="N124" s="145" t="str">
        <f t="shared" si="9"/>
        <v/>
      </c>
      <c r="O124" s="64"/>
      <c r="P124" s="64"/>
      <c r="Q124" s="152" t="str">
        <f t="shared" si="10"/>
        <v/>
      </c>
      <c r="R124" s="65" t="str">
        <f t="shared" si="17"/>
        <v/>
      </c>
      <c r="S124" s="5" t="str">
        <f t="shared" si="11"/>
        <v/>
      </c>
      <c r="T124" s="5" t="str">
        <f t="shared" si="12"/>
        <v/>
      </c>
      <c r="U124" s="5" t="str">
        <f t="shared" si="13"/>
        <v/>
      </c>
      <c r="V124" s="5" t="str">
        <f t="shared" si="14"/>
        <v/>
      </c>
      <c r="W124" s="5" t="str">
        <f t="shared" si="15"/>
        <v/>
      </c>
      <c r="X124" s="5" t="str">
        <f t="shared" si="16"/>
        <v/>
      </c>
    </row>
    <row r="125" spans="1:24">
      <c r="A125" s="87"/>
      <c r="B125" s="87"/>
      <c r="C125" s="88"/>
      <c r="D125" s="89"/>
      <c r="E125" s="90"/>
      <c r="F125" s="69"/>
      <c r="G125" s="70"/>
      <c r="H125" s="71"/>
      <c r="I125" s="66"/>
      <c r="J125" s="67"/>
      <c r="K125" s="67"/>
      <c r="L125" s="67"/>
      <c r="M125" s="67"/>
      <c r="N125" s="145" t="str">
        <f t="shared" si="9"/>
        <v/>
      </c>
      <c r="O125" s="64"/>
      <c r="P125" s="64"/>
      <c r="Q125" s="152" t="str">
        <f t="shared" si="10"/>
        <v/>
      </c>
      <c r="R125" s="65" t="str">
        <f t="shared" si="17"/>
        <v/>
      </c>
      <c r="S125" s="5" t="str">
        <f t="shared" si="11"/>
        <v/>
      </c>
      <c r="T125" s="5" t="str">
        <f t="shared" si="12"/>
        <v/>
      </c>
      <c r="U125" s="5" t="str">
        <f t="shared" si="13"/>
        <v/>
      </c>
      <c r="V125" s="5" t="str">
        <f t="shared" si="14"/>
        <v/>
      </c>
      <c r="W125" s="5" t="str">
        <f t="shared" si="15"/>
        <v/>
      </c>
      <c r="X125" s="5" t="str">
        <f t="shared" si="16"/>
        <v/>
      </c>
    </row>
    <row r="126" spans="1:24">
      <c r="A126" s="87"/>
      <c r="B126" s="87"/>
      <c r="C126" s="88"/>
      <c r="D126" s="89"/>
      <c r="E126" s="90"/>
      <c r="F126" s="69"/>
      <c r="G126" s="70"/>
      <c r="H126" s="71"/>
      <c r="I126" s="66"/>
      <c r="J126" s="67"/>
      <c r="K126" s="67"/>
      <c r="L126" s="67"/>
      <c r="M126" s="67"/>
      <c r="N126" s="145" t="str">
        <f t="shared" si="9"/>
        <v/>
      </c>
      <c r="O126" s="64"/>
      <c r="P126" s="64"/>
      <c r="Q126" s="152" t="str">
        <f t="shared" si="10"/>
        <v/>
      </c>
      <c r="R126" s="65" t="str">
        <f t="shared" si="17"/>
        <v/>
      </c>
      <c r="S126" s="5" t="str">
        <f t="shared" si="11"/>
        <v/>
      </c>
      <c r="T126" s="5" t="str">
        <f t="shared" si="12"/>
        <v/>
      </c>
      <c r="U126" s="5" t="str">
        <f t="shared" si="13"/>
        <v/>
      </c>
      <c r="V126" s="5" t="str">
        <f t="shared" si="14"/>
        <v/>
      </c>
      <c r="W126" s="5" t="str">
        <f t="shared" si="15"/>
        <v/>
      </c>
      <c r="X126" s="5" t="str">
        <f t="shared" si="16"/>
        <v/>
      </c>
    </row>
    <row r="127" spans="1:24">
      <c r="A127" s="87"/>
      <c r="B127" s="87"/>
      <c r="C127" s="88"/>
      <c r="D127" s="89"/>
      <c r="E127" s="90"/>
      <c r="F127" s="69"/>
      <c r="G127" s="70"/>
      <c r="H127" s="71"/>
      <c r="I127" s="66"/>
      <c r="J127" s="67"/>
      <c r="K127" s="67"/>
      <c r="L127" s="67"/>
      <c r="M127" s="67"/>
      <c r="N127" s="145" t="str">
        <f t="shared" si="9"/>
        <v/>
      </c>
      <c r="O127" s="64"/>
      <c r="P127" s="64"/>
      <c r="Q127" s="152" t="str">
        <f t="shared" si="10"/>
        <v/>
      </c>
      <c r="R127" s="65" t="str">
        <f t="shared" si="17"/>
        <v/>
      </c>
      <c r="S127" s="5" t="str">
        <f t="shared" si="11"/>
        <v/>
      </c>
      <c r="T127" s="5" t="str">
        <f t="shared" si="12"/>
        <v/>
      </c>
      <c r="U127" s="5" t="str">
        <f t="shared" si="13"/>
        <v/>
      </c>
      <c r="V127" s="5" t="str">
        <f t="shared" si="14"/>
        <v/>
      </c>
      <c r="W127" s="5" t="str">
        <f t="shared" si="15"/>
        <v/>
      </c>
      <c r="X127" s="5" t="str">
        <f t="shared" si="16"/>
        <v/>
      </c>
    </row>
    <row r="128" spans="1:24">
      <c r="A128" s="87"/>
      <c r="B128" s="87"/>
      <c r="C128" s="88"/>
      <c r="D128" s="89"/>
      <c r="E128" s="90"/>
      <c r="F128" s="69"/>
      <c r="G128" s="70"/>
      <c r="H128" s="71"/>
      <c r="I128" s="66"/>
      <c r="J128" s="67"/>
      <c r="K128" s="67"/>
      <c r="L128" s="67"/>
      <c r="M128" s="67"/>
      <c r="N128" s="145" t="str">
        <f t="shared" si="9"/>
        <v/>
      </c>
      <c r="O128" s="64"/>
      <c r="P128" s="64"/>
      <c r="Q128" s="152" t="str">
        <f t="shared" si="10"/>
        <v/>
      </c>
      <c r="R128" s="65" t="str">
        <f t="shared" si="17"/>
        <v/>
      </c>
      <c r="S128" s="5" t="str">
        <f t="shared" si="11"/>
        <v/>
      </c>
      <c r="T128" s="5" t="str">
        <f t="shared" si="12"/>
        <v/>
      </c>
      <c r="U128" s="5" t="str">
        <f t="shared" si="13"/>
        <v/>
      </c>
      <c r="V128" s="5" t="str">
        <f t="shared" si="14"/>
        <v/>
      </c>
      <c r="W128" s="5" t="str">
        <f t="shared" si="15"/>
        <v/>
      </c>
      <c r="X128" s="5" t="str">
        <f t="shared" si="16"/>
        <v/>
      </c>
    </row>
    <row r="129" spans="1:24">
      <c r="A129" s="87"/>
      <c r="B129" s="87"/>
      <c r="C129" s="88"/>
      <c r="D129" s="89"/>
      <c r="E129" s="90"/>
      <c r="F129" s="69"/>
      <c r="G129" s="70"/>
      <c r="H129" s="71"/>
      <c r="I129" s="66"/>
      <c r="J129" s="67"/>
      <c r="K129" s="67"/>
      <c r="L129" s="67"/>
      <c r="M129" s="67"/>
      <c r="N129" s="145" t="str">
        <f t="shared" si="9"/>
        <v/>
      </c>
      <c r="O129" s="64"/>
      <c r="P129" s="64"/>
      <c r="Q129" s="152" t="str">
        <f t="shared" si="10"/>
        <v/>
      </c>
      <c r="R129" s="65" t="str">
        <f t="shared" si="17"/>
        <v/>
      </c>
      <c r="S129" s="5" t="str">
        <f t="shared" si="11"/>
        <v/>
      </c>
      <c r="T129" s="5" t="str">
        <f t="shared" si="12"/>
        <v/>
      </c>
      <c r="U129" s="5" t="str">
        <f t="shared" si="13"/>
        <v/>
      </c>
      <c r="V129" s="5" t="str">
        <f t="shared" si="14"/>
        <v/>
      </c>
      <c r="W129" s="5" t="str">
        <f t="shared" si="15"/>
        <v/>
      </c>
      <c r="X129" s="5" t="str">
        <f t="shared" si="16"/>
        <v/>
      </c>
    </row>
    <row r="130" spans="1:24">
      <c r="A130" s="87"/>
      <c r="B130" s="87"/>
      <c r="C130" s="88"/>
      <c r="D130" s="89"/>
      <c r="E130" s="90"/>
      <c r="F130" s="69"/>
      <c r="G130" s="70"/>
      <c r="H130" s="71"/>
      <c r="I130" s="66"/>
      <c r="J130" s="67"/>
      <c r="K130" s="67"/>
      <c r="L130" s="67"/>
      <c r="M130" s="67"/>
      <c r="N130" s="145" t="str">
        <f t="shared" si="9"/>
        <v/>
      </c>
      <c r="O130" s="64"/>
      <c r="P130" s="64"/>
      <c r="Q130" s="152" t="str">
        <f t="shared" si="10"/>
        <v/>
      </c>
      <c r="R130" s="65" t="str">
        <f t="shared" si="17"/>
        <v/>
      </c>
      <c r="S130" s="5" t="str">
        <f t="shared" si="11"/>
        <v/>
      </c>
      <c r="T130" s="5" t="str">
        <f t="shared" si="12"/>
        <v/>
      </c>
      <c r="U130" s="5" t="str">
        <f t="shared" si="13"/>
        <v/>
      </c>
      <c r="V130" s="5" t="str">
        <f t="shared" si="14"/>
        <v/>
      </c>
      <c r="W130" s="5" t="str">
        <f t="shared" si="15"/>
        <v/>
      </c>
      <c r="X130" s="5" t="str">
        <f t="shared" si="16"/>
        <v/>
      </c>
    </row>
    <row r="131" spans="1:24">
      <c r="A131" s="87"/>
      <c r="B131" s="87"/>
      <c r="C131" s="88"/>
      <c r="D131" s="89"/>
      <c r="E131" s="90"/>
      <c r="F131" s="69"/>
      <c r="G131" s="70"/>
      <c r="H131" s="71"/>
      <c r="I131" s="66"/>
      <c r="J131" s="67"/>
      <c r="K131" s="67"/>
      <c r="L131" s="67"/>
      <c r="M131" s="67"/>
      <c r="N131" s="145" t="str">
        <f t="shared" si="9"/>
        <v/>
      </c>
      <c r="O131" s="64"/>
      <c r="P131" s="64"/>
      <c r="Q131" s="152" t="str">
        <f t="shared" si="10"/>
        <v/>
      </c>
      <c r="R131" s="65" t="str">
        <f t="shared" si="17"/>
        <v/>
      </c>
      <c r="S131" s="5" t="str">
        <f t="shared" si="11"/>
        <v/>
      </c>
      <c r="T131" s="5" t="str">
        <f t="shared" si="12"/>
        <v/>
      </c>
      <c r="U131" s="5" t="str">
        <f t="shared" si="13"/>
        <v/>
      </c>
      <c r="V131" s="5" t="str">
        <f t="shared" si="14"/>
        <v/>
      </c>
      <c r="W131" s="5" t="str">
        <f t="shared" si="15"/>
        <v/>
      </c>
      <c r="X131" s="5" t="str">
        <f t="shared" si="16"/>
        <v/>
      </c>
    </row>
    <row r="132" spans="1:24">
      <c r="A132" s="87"/>
      <c r="B132" s="87"/>
      <c r="C132" s="88"/>
      <c r="D132" s="89"/>
      <c r="E132" s="90"/>
      <c r="F132" s="69"/>
      <c r="G132" s="70"/>
      <c r="H132" s="71"/>
      <c r="I132" s="66"/>
      <c r="J132" s="67"/>
      <c r="K132" s="67"/>
      <c r="L132" s="67"/>
      <c r="M132" s="67"/>
      <c r="N132" s="145" t="str">
        <f t="shared" si="9"/>
        <v/>
      </c>
      <c r="O132" s="64"/>
      <c r="P132" s="64"/>
      <c r="Q132" s="152" t="str">
        <f t="shared" si="10"/>
        <v/>
      </c>
      <c r="R132" s="65" t="str">
        <f t="shared" si="17"/>
        <v/>
      </c>
      <c r="S132" s="5" t="str">
        <f t="shared" si="11"/>
        <v/>
      </c>
      <c r="T132" s="5" t="str">
        <f t="shared" si="12"/>
        <v/>
      </c>
      <c r="U132" s="5" t="str">
        <f t="shared" si="13"/>
        <v/>
      </c>
      <c r="V132" s="5" t="str">
        <f t="shared" si="14"/>
        <v/>
      </c>
      <c r="W132" s="5" t="str">
        <f t="shared" si="15"/>
        <v/>
      </c>
      <c r="X132" s="5" t="str">
        <f t="shared" si="16"/>
        <v/>
      </c>
    </row>
    <row r="133" spans="1:24">
      <c r="A133" s="87"/>
      <c r="B133" s="87"/>
      <c r="C133" s="88"/>
      <c r="D133" s="89"/>
      <c r="E133" s="90"/>
      <c r="F133" s="69"/>
      <c r="G133" s="70"/>
      <c r="H133" s="71"/>
      <c r="I133" s="66"/>
      <c r="J133" s="67"/>
      <c r="K133" s="67"/>
      <c r="L133" s="67"/>
      <c r="M133" s="67"/>
      <c r="N133" s="145" t="str">
        <f t="shared" si="9"/>
        <v/>
      </c>
      <c r="O133" s="64"/>
      <c r="P133" s="64"/>
      <c r="Q133" s="152" t="str">
        <f t="shared" si="10"/>
        <v/>
      </c>
      <c r="R133" s="65" t="str">
        <f t="shared" si="17"/>
        <v/>
      </c>
      <c r="S133" s="5" t="str">
        <f t="shared" si="11"/>
        <v/>
      </c>
      <c r="T133" s="5" t="str">
        <f t="shared" si="12"/>
        <v/>
      </c>
      <c r="U133" s="5" t="str">
        <f t="shared" si="13"/>
        <v/>
      </c>
      <c r="V133" s="5" t="str">
        <f t="shared" si="14"/>
        <v/>
      </c>
      <c r="W133" s="5" t="str">
        <f t="shared" si="15"/>
        <v/>
      </c>
      <c r="X133" s="5" t="str">
        <f t="shared" si="16"/>
        <v/>
      </c>
    </row>
    <row r="134" spans="1:24">
      <c r="A134" s="87"/>
      <c r="B134" s="87"/>
      <c r="C134" s="88"/>
      <c r="D134" s="89"/>
      <c r="E134" s="90"/>
      <c r="F134" s="69"/>
      <c r="G134" s="70"/>
      <c r="H134" s="71"/>
      <c r="I134" s="66"/>
      <c r="J134" s="67"/>
      <c r="K134" s="67"/>
      <c r="L134" s="67"/>
      <c r="M134" s="67"/>
      <c r="N134" s="145" t="str">
        <f t="shared" si="9"/>
        <v/>
      </c>
      <c r="O134" s="64"/>
      <c r="P134" s="64"/>
      <c r="Q134" s="152" t="str">
        <f t="shared" si="10"/>
        <v/>
      </c>
      <c r="R134" s="65" t="str">
        <f t="shared" si="17"/>
        <v/>
      </c>
      <c r="S134" s="5" t="str">
        <f t="shared" si="11"/>
        <v/>
      </c>
      <c r="T134" s="5" t="str">
        <f t="shared" si="12"/>
        <v/>
      </c>
      <c r="U134" s="5" t="str">
        <f t="shared" si="13"/>
        <v/>
      </c>
      <c r="V134" s="5" t="str">
        <f t="shared" si="14"/>
        <v/>
      </c>
      <c r="W134" s="5" t="str">
        <f t="shared" si="15"/>
        <v/>
      </c>
      <c r="X134" s="5" t="str">
        <f t="shared" si="16"/>
        <v/>
      </c>
    </row>
    <row r="135" spans="1:24">
      <c r="A135" s="91"/>
      <c r="B135" s="92"/>
      <c r="C135" s="69"/>
      <c r="D135" s="69"/>
      <c r="E135" s="69"/>
      <c r="F135" s="69"/>
      <c r="G135" s="70"/>
      <c r="H135" s="71"/>
      <c r="I135" s="66"/>
      <c r="J135" s="67"/>
      <c r="K135" s="67"/>
      <c r="L135" s="67"/>
      <c r="M135" s="67"/>
      <c r="N135" s="145" t="str">
        <f t="shared" ref="N135:N198" si="18">IF($C135="","",IF($L135+$M135=0,0,$L135/($L135+$M135)))</f>
        <v/>
      </c>
      <c r="O135" s="64"/>
      <c r="P135" s="64"/>
      <c r="Q135" s="152" t="str">
        <f t="shared" ref="Q135:Q198" si="19">IF($C135="","",($O135-($P135/2)))</f>
        <v/>
      </c>
      <c r="R135" s="65" t="str">
        <f t="shared" si="17"/>
        <v/>
      </c>
      <c r="S135" s="5" t="str">
        <f t="shared" ref="S135:S198" si="20">IF($C135="","",I135*40.02)</f>
        <v/>
      </c>
      <c r="T135" s="5" t="str">
        <f t="shared" ref="T135:T198" si="21">IF($C135="","",J135*11.8)</f>
        <v/>
      </c>
      <c r="U135" s="5" t="str">
        <f t="shared" ref="U135:U198" si="22">IF($C135="","",K135*19.83)</f>
        <v/>
      </c>
      <c r="V135" s="5" t="str">
        <f t="shared" ref="V135:V198" si="23">IF($C135="","",L135*39.42)</f>
        <v/>
      </c>
      <c r="W135" s="5" t="str">
        <f t="shared" ref="W135:W198" si="24">IF($C135="","",N135*0.09)</f>
        <v/>
      </c>
      <c r="X135" s="5" t="str">
        <f t="shared" ref="X135:X198" si="25">IF($C135="","",Q135*4.79)</f>
        <v/>
      </c>
    </row>
    <row r="136" spans="1:24">
      <c r="A136" s="91"/>
      <c r="B136" s="92"/>
      <c r="C136" s="69"/>
      <c r="D136" s="69"/>
      <c r="E136" s="69"/>
      <c r="F136" s="69"/>
      <c r="G136" s="70"/>
      <c r="H136" s="71"/>
      <c r="I136" s="66"/>
      <c r="J136" s="67"/>
      <c r="K136" s="67"/>
      <c r="L136" s="67"/>
      <c r="M136" s="67"/>
      <c r="N136" s="145" t="str">
        <f t="shared" si="18"/>
        <v/>
      </c>
      <c r="O136" s="64"/>
      <c r="P136" s="64"/>
      <c r="Q136" s="152" t="str">
        <f t="shared" si="19"/>
        <v/>
      </c>
      <c r="R136" s="65" t="str">
        <f t="shared" ref="R136:R199" si="26">IF($C136="","",IF(TRIM($B136)="beginning",(((SUM($S136:$X136)-10051)/4349)*40)+360,IF(TRIM($B136)="middle",(((SUM($S136:$X136)-10051)/4349)*40)+400,IF(TRIM($B136)="end",(((SUM($S136:$X136)-10051)/4349)*40)+440,""))))</f>
        <v/>
      </c>
      <c r="S136" s="5" t="str">
        <f t="shared" si="20"/>
        <v/>
      </c>
      <c r="T136" s="5" t="str">
        <f t="shared" si="21"/>
        <v/>
      </c>
      <c r="U136" s="5" t="str">
        <f t="shared" si="22"/>
        <v/>
      </c>
      <c r="V136" s="5" t="str">
        <f t="shared" si="23"/>
        <v/>
      </c>
      <c r="W136" s="5" t="str">
        <f t="shared" si="24"/>
        <v/>
      </c>
      <c r="X136" s="5" t="str">
        <f t="shared" si="25"/>
        <v/>
      </c>
    </row>
    <row r="137" spans="1:24">
      <c r="A137" s="91"/>
      <c r="B137" s="92"/>
      <c r="C137" s="69"/>
      <c r="D137" s="69"/>
      <c r="E137" s="69"/>
      <c r="F137" s="69"/>
      <c r="G137" s="70"/>
      <c r="H137" s="71"/>
      <c r="I137" s="66"/>
      <c r="J137" s="67"/>
      <c r="K137" s="67"/>
      <c r="L137" s="67"/>
      <c r="M137" s="67"/>
      <c r="N137" s="145" t="str">
        <f t="shared" si="18"/>
        <v/>
      </c>
      <c r="O137" s="64"/>
      <c r="P137" s="64"/>
      <c r="Q137" s="152" t="str">
        <f t="shared" si="19"/>
        <v/>
      </c>
      <c r="R137" s="65" t="str">
        <f t="shared" si="26"/>
        <v/>
      </c>
      <c r="S137" s="5" t="str">
        <f t="shared" si="20"/>
        <v/>
      </c>
      <c r="T137" s="5" t="str">
        <f t="shared" si="21"/>
        <v/>
      </c>
      <c r="U137" s="5" t="str">
        <f t="shared" si="22"/>
        <v/>
      </c>
      <c r="V137" s="5" t="str">
        <f t="shared" si="23"/>
        <v/>
      </c>
      <c r="W137" s="5" t="str">
        <f t="shared" si="24"/>
        <v/>
      </c>
      <c r="X137" s="5" t="str">
        <f t="shared" si="25"/>
        <v/>
      </c>
    </row>
    <row r="138" spans="1:24">
      <c r="A138" s="91"/>
      <c r="B138" s="92"/>
      <c r="C138" s="69"/>
      <c r="D138" s="69"/>
      <c r="E138" s="69"/>
      <c r="F138" s="69"/>
      <c r="G138" s="70"/>
      <c r="H138" s="71"/>
      <c r="I138" s="66"/>
      <c r="J138" s="67"/>
      <c r="K138" s="67"/>
      <c r="L138" s="67"/>
      <c r="M138" s="67"/>
      <c r="N138" s="145" t="str">
        <f t="shared" si="18"/>
        <v/>
      </c>
      <c r="O138" s="64"/>
      <c r="P138" s="64"/>
      <c r="Q138" s="152" t="str">
        <f t="shared" si="19"/>
        <v/>
      </c>
      <c r="R138" s="65" t="str">
        <f t="shared" si="26"/>
        <v/>
      </c>
      <c r="S138" s="5" t="str">
        <f t="shared" si="20"/>
        <v/>
      </c>
      <c r="T138" s="5" t="str">
        <f t="shared" si="21"/>
        <v/>
      </c>
      <c r="U138" s="5" t="str">
        <f t="shared" si="22"/>
        <v/>
      </c>
      <c r="V138" s="5" t="str">
        <f t="shared" si="23"/>
        <v/>
      </c>
      <c r="W138" s="5" t="str">
        <f t="shared" si="24"/>
        <v/>
      </c>
      <c r="X138" s="5" t="str">
        <f t="shared" si="25"/>
        <v/>
      </c>
    </row>
    <row r="139" spans="1:24">
      <c r="A139" s="91"/>
      <c r="B139" s="92"/>
      <c r="C139" s="69"/>
      <c r="D139" s="69"/>
      <c r="E139" s="69"/>
      <c r="F139" s="69"/>
      <c r="G139" s="70"/>
      <c r="H139" s="71"/>
      <c r="I139" s="66"/>
      <c r="J139" s="67"/>
      <c r="K139" s="67"/>
      <c r="L139" s="67"/>
      <c r="M139" s="67"/>
      <c r="N139" s="145" t="str">
        <f t="shared" si="18"/>
        <v/>
      </c>
      <c r="O139" s="64"/>
      <c r="P139" s="64"/>
      <c r="Q139" s="152" t="str">
        <f t="shared" si="19"/>
        <v/>
      </c>
      <c r="R139" s="65" t="str">
        <f t="shared" si="26"/>
        <v/>
      </c>
      <c r="S139" s="5" t="str">
        <f t="shared" si="20"/>
        <v/>
      </c>
      <c r="T139" s="5" t="str">
        <f t="shared" si="21"/>
        <v/>
      </c>
      <c r="U139" s="5" t="str">
        <f t="shared" si="22"/>
        <v/>
      </c>
      <c r="V139" s="5" t="str">
        <f t="shared" si="23"/>
        <v/>
      </c>
      <c r="W139" s="5" t="str">
        <f t="shared" si="24"/>
        <v/>
      </c>
      <c r="X139" s="5" t="str">
        <f t="shared" si="25"/>
        <v/>
      </c>
    </row>
    <row r="140" spans="1:24">
      <c r="A140" s="91"/>
      <c r="B140" s="92"/>
      <c r="C140" s="69"/>
      <c r="D140" s="69"/>
      <c r="E140" s="69"/>
      <c r="F140" s="69"/>
      <c r="G140" s="70"/>
      <c r="H140" s="71"/>
      <c r="I140" s="66"/>
      <c r="J140" s="67"/>
      <c r="K140" s="67"/>
      <c r="L140" s="67"/>
      <c r="M140" s="67"/>
      <c r="N140" s="145" t="str">
        <f t="shared" si="18"/>
        <v/>
      </c>
      <c r="O140" s="64"/>
      <c r="P140" s="64"/>
      <c r="Q140" s="152" t="str">
        <f t="shared" si="19"/>
        <v/>
      </c>
      <c r="R140" s="65" t="str">
        <f t="shared" si="26"/>
        <v/>
      </c>
      <c r="S140" s="5" t="str">
        <f t="shared" si="20"/>
        <v/>
      </c>
      <c r="T140" s="5" t="str">
        <f t="shared" si="21"/>
        <v/>
      </c>
      <c r="U140" s="5" t="str">
        <f t="shared" si="22"/>
        <v/>
      </c>
      <c r="V140" s="5" t="str">
        <f t="shared" si="23"/>
        <v/>
      </c>
      <c r="W140" s="5" t="str">
        <f t="shared" si="24"/>
        <v/>
      </c>
      <c r="X140" s="5" t="str">
        <f t="shared" si="25"/>
        <v/>
      </c>
    </row>
    <row r="141" spans="1:24">
      <c r="A141" s="91"/>
      <c r="B141" s="92"/>
      <c r="C141" s="69"/>
      <c r="D141" s="69"/>
      <c r="E141" s="69"/>
      <c r="F141" s="69"/>
      <c r="G141" s="70"/>
      <c r="H141" s="71"/>
      <c r="I141" s="66"/>
      <c r="J141" s="67"/>
      <c r="K141" s="67"/>
      <c r="L141" s="67"/>
      <c r="M141" s="67"/>
      <c r="N141" s="145" t="str">
        <f t="shared" si="18"/>
        <v/>
      </c>
      <c r="O141" s="64"/>
      <c r="P141" s="64"/>
      <c r="Q141" s="152" t="str">
        <f t="shared" si="19"/>
        <v/>
      </c>
      <c r="R141" s="65" t="str">
        <f t="shared" si="26"/>
        <v/>
      </c>
      <c r="S141" s="5" t="str">
        <f t="shared" si="20"/>
        <v/>
      </c>
      <c r="T141" s="5" t="str">
        <f t="shared" si="21"/>
        <v/>
      </c>
      <c r="U141" s="5" t="str">
        <f t="shared" si="22"/>
        <v/>
      </c>
      <c r="V141" s="5" t="str">
        <f t="shared" si="23"/>
        <v/>
      </c>
      <c r="W141" s="5" t="str">
        <f t="shared" si="24"/>
        <v/>
      </c>
      <c r="X141" s="5" t="str">
        <f t="shared" si="25"/>
        <v/>
      </c>
    </row>
    <row r="142" spans="1:24">
      <c r="A142" s="91"/>
      <c r="B142" s="92"/>
      <c r="C142" s="69"/>
      <c r="D142" s="69"/>
      <c r="E142" s="69"/>
      <c r="F142" s="69"/>
      <c r="G142" s="70"/>
      <c r="H142" s="71"/>
      <c r="I142" s="66"/>
      <c r="J142" s="67"/>
      <c r="K142" s="67"/>
      <c r="L142" s="67"/>
      <c r="M142" s="67"/>
      <c r="N142" s="145" t="str">
        <f t="shared" si="18"/>
        <v/>
      </c>
      <c r="O142" s="64"/>
      <c r="P142" s="64"/>
      <c r="Q142" s="152" t="str">
        <f t="shared" si="19"/>
        <v/>
      </c>
      <c r="R142" s="65" t="str">
        <f t="shared" si="26"/>
        <v/>
      </c>
      <c r="S142" s="5" t="str">
        <f t="shared" si="20"/>
        <v/>
      </c>
      <c r="T142" s="5" t="str">
        <f t="shared" si="21"/>
        <v/>
      </c>
      <c r="U142" s="5" t="str">
        <f t="shared" si="22"/>
        <v/>
      </c>
      <c r="V142" s="5" t="str">
        <f t="shared" si="23"/>
        <v/>
      </c>
      <c r="W142" s="5" t="str">
        <f t="shared" si="24"/>
        <v/>
      </c>
      <c r="X142" s="5" t="str">
        <f t="shared" si="25"/>
        <v/>
      </c>
    </row>
    <row r="143" spans="1:24">
      <c r="A143" s="91"/>
      <c r="B143" s="92"/>
      <c r="C143" s="69"/>
      <c r="D143" s="69"/>
      <c r="E143" s="69"/>
      <c r="F143" s="69"/>
      <c r="G143" s="70"/>
      <c r="H143" s="71"/>
      <c r="I143" s="66"/>
      <c r="J143" s="67"/>
      <c r="K143" s="67"/>
      <c r="L143" s="67"/>
      <c r="M143" s="67"/>
      <c r="N143" s="145" t="str">
        <f t="shared" si="18"/>
        <v/>
      </c>
      <c r="O143" s="64"/>
      <c r="P143" s="64"/>
      <c r="Q143" s="152" t="str">
        <f t="shared" si="19"/>
        <v/>
      </c>
      <c r="R143" s="65" t="str">
        <f t="shared" si="26"/>
        <v/>
      </c>
      <c r="S143" s="5" t="str">
        <f t="shared" si="20"/>
        <v/>
      </c>
      <c r="T143" s="5" t="str">
        <f t="shared" si="21"/>
        <v/>
      </c>
      <c r="U143" s="5" t="str">
        <f t="shared" si="22"/>
        <v/>
      </c>
      <c r="V143" s="5" t="str">
        <f t="shared" si="23"/>
        <v/>
      </c>
      <c r="W143" s="5" t="str">
        <f t="shared" si="24"/>
        <v/>
      </c>
      <c r="X143" s="5" t="str">
        <f t="shared" si="25"/>
        <v/>
      </c>
    </row>
    <row r="144" spans="1:24">
      <c r="A144" s="91"/>
      <c r="B144" s="92"/>
      <c r="C144" s="69"/>
      <c r="D144" s="69"/>
      <c r="E144" s="69"/>
      <c r="F144" s="69"/>
      <c r="G144" s="70"/>
      <c r="H144" s="71"/>
      <c r="I144" s="66"/>
      <c r="J144" s="67"/>
      <c r="K144" s="67"/>
      <c r="L144" s="67"/>
      <c r="M144" s="67"/>
      <c r="N144" s="145" t="str">
        <f t="shared" si="18"/>
        <v/>
      </c>
      <c r="O144" s="64"/>
      <c r="P144" s="64"/>
      <c r="Q144" s="152" t="str">
        <f t="shared" si="19"/>
        <v/>
      </c>
      <c r="R144" s="65" t="str">
        <f t="shared" si="26"/>
        <v/>
      </c>
      <c r="S144" s="5" t="str">
        <f t="shared" si="20"/>
        <v/>
      </c>
      <c r="T144" s="5" t="str">
        <f t="shared" si="21"/>
        <v/>
      </c>
      <c r="U144" s="5" t="str">
        <f t="shared" si="22"/>
        <v/>
      </c>
      <c r="V144" s="5" t="str">
        <f t="shared" si="23"/>
        <v/>
      </c>
      <c r="W144" s="5" t="str">
        <f t="shared" si="24"/>
        <v/>
      </c>
      <c r="X144" s="5" t="str">
        <f t="shared" si="25"/>
        <v/>
      </c>
    </row>
    <row r="145" spans="1:24">
      <c r="A145" s="91"/>
      <c r="B145" s="92"/>
      <c r="C145" s="69"/>
      <c r="D145" s="69"/>
      <c r="E145" s="69"/>
      <c r="F145" s="69"/>
      <c r="G145" s="70"/>
      <c r="H145" s="71"/>
      <c r="I145" s="66"/>
      <c r="J145" s="67"/>
      <c r="K145" s="67"/>
      <c r="L145" s="67"/>
      <c r="M145" s="67"/>
      <c r="N145" s="145" t="str">
        <f t="shared" si="18"/>
        <v/>
      </c>
      <c r="O145" s="64"/>
      <c r="P145" s="64"/>
      <c r="Q145" s="152" t="str">
        <f t="shared" si="19"/>
        <v/>
      </c>
      <c r="R145" s="65" t="str">
        <f t="shared" si="26"/>
        <v/>
      </c>
      <c r="S145" s="5" t="str">
        <f t="shared" si="20"/>
        <v/>
      </c>
      <c r="T145" s="5" t="str">
        <f t="shared" si="21"/>
        <v/>
      </c>
      <c r="U145" s="5" t="str">
        <f t="shared" si="22"/>
        <v/>
      </c>
      <c r="V145" s="5" t="str">
        <f t="shared" si="23"/>
        <v/>
      </c>
      <c r="W145" s="5" t="str">
        <f t="shared" si="24"/>
        <v/>
      </c>
      <c r="X145" s="5" t="str">
        <f t="shared" si="25"/>
        <v/>
      </c>
    </row>
    <row r="146" spans="1:24">
      <c r="A146" s="91"/>
      <c r="B146" s="92"/>
      <c r="C146" s="69"/>
      <c r="D146" s="69"/>
      <c r="E146" s="69"/>
      <c r="F146" s="69"/>
      <c r="G146" s="70"/>
      <c r="H146" s="71"/>
      <c r="I146" s="66"/>
      <c r="J146" s="67"/>
      <c r="K146" s="67"/>
      <c r="L146" s="67"/>
      <c r="M146" s="67"/>
      <c r="N146" s="145" t="str">
        <f t="shared" si="18"/>
        <v/>
      </c>
      <c r="O146" s="64"/>
      <c r="P146" s="64"/>
      <c r="Q146" s="152" t="str">
        <f t="shared" si="19"/>
        <v/>
      </c>
      <c r="R146" s="65" t="str">
        <f t="shared" si="26"/>
        <v/>
      </c>
      <c r="S146" s="5" t="str">
        <f t="shared" si="20"/>
        <v/>
      </c>
      <c r="T146" s="5" t="str">
        <f t="shared" si="21"/>
        <v/>
      </c>
      <c r="U146" s="5" t="str">
        <f t="shared" si="22"/>
        <v/>
      </c>
      <c r="V146" s="5" t="str">
        <f t="shared" si="23"/>
        <v/>
      </c>
      <c r="W146" s="5" t="str">
        <f t="shared" si="24"/>
        <v/>
      </c>
      <c r="X146" s="5" t="str">
        <f t="shared" si="25"/>
        <v/>
      </c>
    </row>
    <row r="147" spans="1:24">
      <c r="A147" s="91"/>
      <c r="B147" s="92"/>
      <c r="C147" s="69"/>
      <c r="D147" s="69"/>
      <c r="E147" s="69"/>
      <c r="F147" s="69"/>
      <c r="G147" s="70"/>
      <c r="H147" s="71"/>
      <c r="I147" s="66"/>
      <c r="J147" s="67"/>
      <c r="K147" s="67"/>
      <c r="L147" s="67"/>
      <c r="M147" s="67"/>
      <c r="N147" s="145" t="str">
        <f t="shared" si="18"/>
        <v/>
      </c>
      <c r="O147" s="64"/>
      <c r="P147" s="64"/>
      <c r="Q147" s="152" t="str">
        <f t="shared" si="19"/>
        <v/>
      </c>
      <c r="R147" s="65" t="str">
        <f t="shared" si="26"/>
        <v/>
      </c>
      <c r="S147" s="5" t="str">
        <f t="shared" si="20"/>
        <v/>
      </c>
      <c r="T147" s="5" t="str">
        <f t="shared" si="21"/>
        <v/>
      </c>
      <c r="U147" s="5" t="str">
        <f t="shared" si="22"/>
        <v/>
      </c>
      <c r="V147" s="5" t="str">
        <f t="shared" si="23"/>
        <v/>
      </c>
      <c r="W147" s="5" t="str">
        <f t="shared" si="24"/>
        <v/>
      </c>
      <c r="X147" s="5" t="str">
        <f t="shared" si="25"/>
        <v/>
      </c>
    </row>
    <row r="148" spans="1:24">
      <c r="A148" s="91"/>
      <c r="B148" s="92"/>
      <c r="C148" s="69"/>
      <c r="D148" s="69"/>
      <c r="E148" s="69"/>
      <c r="F148" s="69"/>
      <c r="G148" s="70"/>
      <c r="H148" s="71"/>
      <c r="I148" s="66"/>
      <c r="J148" s="67"/>
      <c r="K148" s="67"/>
      <c r="L148" s="67"/>
      <c r="M148" s="67"/>
      <c r="N148" s="145" t="str">
        <f t="shared" si="18"/>
        <v/>
      </c>
      <c r="O148" s="64"/>
      <c r="P148" s="64"/>
      <c r="Q148" s="152" t="str">
        <f t="shared" si="19"/>
        <v/>
      </c>
      <c r="R148" s="65" t="str">
        <f t="shared" si="26"/>
        <v/>
      </c>
      <c r="S148" s="5" t="str">
        <f t="shared" si="20"/>
        <v/>
      </c>
      <c r="T148" s="5" t="str">
        <f t="shared" si="21"/>
        <v/>
      </c>
      <c r="U148" s="5" t="str">
        <f t="shared" si="22"/>
        <v/>
      </c>
      <c r="V148" s="5" t="str">
        <f t="shared" si="23"/>
        <v/>
      </c>
      <c r="W148" s="5" t="str">
        <f t="shared" si="24"/>
        <v/>
      </c>
      <c r="X148" s="5" t="str">
        <f t="shared" si="25"/>
        <v/>
      </c>
    </row>
    <row r="149" spans="1:24">
      <c r="A149" s="91"/>
      <c r="B149" s="92"/>
      <c r="C149" s="69"/>
      <c r="D149" s="69"/>
      <c r="E149" s="69"/>
      <c r="F149" s="69"/>
      <c r="G149" s="70"/>
      <c r="H149" s="71"/>
      <c r="I149" s="66"/>
      <c r="J149" s="67"/>
      <c r="K149" s="67"/>
      <c r="L149" s="67"/>
      <c r="M149" s="67"/>
      <c r="N149" s="145" t="str">
        <f t="shared" si="18"/>
        <v/>
      </c>
      <c r="O149" s="64"/>
      <c r="P149" s="64"/>
      <c r="Q149" s="152" t="str">
        <f t="shared" si="19"/>
        <v/>
      </c>
      <c r="R149" s="65" t="str">
        <f t="shared" si="26"/>
        <v/>
      </c>
      <c r="S149" s="5" t="str">
        <f t="shared" si="20"/>
        <v/>
      </c>
      <c r="T149" s="5" t="str">
        <f t="shared" si="21"/>
        <v/>
      </c>
      <c r="U149" s="5" t="str">
        <f t="shared" si="22"/>
        <v/>
      </c>
      <c r="V149" s="5" t="str">
        <f t="shared" si="23"/>
        <v/>
      </c>
      <c r="W149" s="5" t="str">
        <f t="shared" si="24"/>
        <v/>
      </c>
      <c r="X149" s="5" t="str">
        <f t="shared" si="25"/>
        <v/>
      </c>
    </row>
    <row r="150" spans="1:24">
      <c r="A150" s="91"/>
      <c r="B150" s="92"/>
      <c r="C150" s="69"/>
      <c r="D150" s="69"/>
      <c r="E150" s="69"/>
      <c r="F150" s="69"/>
      <c r="G150" s="70"/>
      <c r="H150" s="71"/>
      <c r="I150" s="66"/>
      <c r="J150" s="67"/>
      <c r="K150" s="67"/>
      <c r="L150" s="67"/>
      <c r="M150" s="67"/>
      <c r="N150" s="145" t="str">
        <f t="shared" si="18"/>
        <v/>
      </c>
      <c r="O150" s="64"/>
      <c r="P150" s="64"/>
      <c r="Q150" s="152" t="str">
        <f t="shared" si="19"/>
        <v/>
      </c>
      <c r="R150" s="65" t="str">
        <f t="shared" si="26"/>
        <v/>
      </c>
      <c r="S150" s="5" t="str">
        <f t="shared" si="20"/>
        <v/>
      </c>
      <c r="T150" s="5" t="str">
        <f t="shared" si="21"/>
        <v/>
      </c>
      <c r="U150" s="5" t="str">
        <f t="shared" si="22"/>
        <v/>
      </c>
      <c r="V150" s="5" t="str">
        <f t="shared" si="23"/>
        <v/>
      </c>
      <c r="W150" s="5" t="str">
        <f t="shared" si="24"/>
        <v/>
      </c>
      <c r="X150" s="5" t="str">
        <f t="shared" si="25"/>
        <v/>
      </c>
    </row>
    <row r="151" spans="1:24">
      <c r="A151" s="91"/>
      <c r="B151" s="92"/>
      <c r="C151" s="69"/>
      <c r="D151" s="69"/>
      <c r="E151" s="69"/>
      <c r="F151" s="69"/>
      <c r="G151" s="70"/>
      <c r="H151" s="71"/>
      <c r="I151" s="66"/>
      <c r="J151" s="67"/>
      <c r="K151" s="67"/>
      <c r="L151" s="67"/>
      <c r="M151" s="67"/>
      <c r="N151" s="145" t="str">
        <f t="shared" si="18"/>
        <v/>
      </c>
      <c r="O151" s="64"/>
      <c r="P151" s="64"/>
      <c r="Q151" s="152" t="str">
        <f t="shared" si="19"/>
        <v/>
      </c>
      <c r="R151" s="65" t="str">
        <f t="shared" si="26"/>
        <v/>
      </c>
      <c r="S151" s="5" t="str">
        <f t="shared" si="20"/>
        <v/>
      </c>
      <c r="T151" s="5" t="str">
        <f t="shared" si="21"/>
        <v/>
      </c>
      <c r="U151" s="5" t="str">
        <f t="shared" si="22"/>
        <v/>
      </c>
      <c r="V151" s="5" t="str">
        <f t="shared" si="23"/>
        <v/>
      </c>
      <c r="W151" s="5" t="str">
        <f t="shared" si="24"/>
        <v/>
      </c>
      <c r="X151" s="5" t="str">
        <f t="shared" si="25"/>
        <v/>
      </c>
    </row>
    <row r="152" spans="1:24">
      <c r="A152" s="91"/>
      <c r="B152" s="92"/>
      <c r="C152" s="69"/>
      <c r="D152" s="69"/>
      <c r="E152" s="69"/>
      <c r="F152" s="69"/>
      <c r="G152" s="70"/>
      <c r="H152" s="71"/>
      <c r="I152" s="66"/>
      <c r="J152" s="67"/>
      <c r="K152" s="67"/>
      <c r="L152" s="67"/>
      <c r="M152" s="67"/>
      <c r="N152" s="145" t="str">
        <f t="shared" si="18"/>
        <v/>
      </c>
      <c r="O152" s="64"/>
      <c r="P152" s="64"/>
      <c r="Q152" s="152" t="str">
        <f t="shared" si="19"/>
        <v/>
      </c>
      <c r="R152" s="65" t="str">
        <f t="shared" si="26"/>
        <v/>
      </c>
      <c r="S152" s="5" t="str">
        <f t="shared" si="20"/>
        <v/>
      </c>
      <c r="T152" s="5" t="str">
        <f t="shared" si="21"/>
        <v/>
      </c>
      <c r="U152" s="5" t="str">
        <f t="shared" si="22"/>
        <v/>
      </c>
      <c r="V152" s="5" t="str">
        <f t="shared" si="23"/>
        <v/>
      </c>
      <c r="W152" s="5" t="str">
        <f t="shared" si="24"/>
        <v/>
      </c>
      <c r="X152" s="5" t="str">
        <f t="shared" si="25"/>
        <v/>
      </c>
    </row>
    <row r="153" spans="1:24">
      <c r="A153" s="91"/>
      <c r="B153" s="92"/>
      <c r="C153" s="69"/>
      <c r="D153" s="69"/>
      <c r="E153" s="69"/>
      <c r="F153" s="69"/>
      <c r="G153" s="70"/>
      <c r="H153" s="71"/>
      <c r="I153" s="66"/>
      <c r="J153" s="67"/>
      <c r="K153" s="67"/>
      <c r="L153" s="67"/>
      <c r="M153" s="67"/>
      <c r="N153" s="145" t="str">
        <f t="shared" si="18"/>
        <v/>
      </c>
      <c r="O153" s="64"/>
      <c r="P153" s="64"/>
      <c r="Q153" s="152" t="str">
        <f t="shared" si="19"/>
        <v/>
      </c>
      <c r="R153" s="65" t="str">
        <f t="shared" si="26"/>
        <v/>
      </c>
      <c r="S153" s="5" t="str">
        <f t="shared" si="20"/>
        <v/>
      </c>
      <c r="T153" s="5" t="str">
        <f t="shared" si="21"/>
        <v/>
      </c>
      <c r="U153" s="5" t="str">
        <f t="shared" si="22"/>
        <v/>
      </c>
      <c r="V153" s="5" t="str">
        <f t="shared" si="23"/>
        <v/>
      </c>
      <c r="W153" s="5" t="str">
        <f t="shared" si="24"/>
        <v/>
      </c>
      <c r="X153" s="5" t="str">
        <f t="shared" si="25"/>
        <v/>
      </c>
    </row>
    <row r="154" spans="1:24">
      <c r="A154" s="91"/>
      <c r="B154" s="92"/>
      <c r="C154" s="69"/>
      <c r="D154" s="69"/>
      <c r="E154" s="69"/>
      <c r="F154" s="69"/>
      <c r="G154" s="70"/>
      <c r="H154" s="71"/>
      <c r="I154" s="66"/>
      <c r="J154" s="67"/>
      <c r="K154" s="67"/>
      <c r="L154" s="67"/>
      <c r="M154" s="67"/>
      <c r="N154" s="145" t="str">
        <f t="shared" si="18"/>
        <v/>
      </c>
      <c r="O154" s="64"/>
      <c r="P154" s="64"/>
      <c r="Q154" s="152" t="str">
        <f t="shared" si="19"/>
        <v/>
      </c>
      <c r="R154" s="65" t="str">
        <f t="shared" si="26"/>
        <v/>
      </c>
      <c r="S154" s="5" t="str">
        <f t="shared" si="20"/>
        <v/>
      </c>
      <c r="T154" s="5" t="str">
        <f t="shared" si="21"/>
        <v/>
      </c>
      <c r="U154" s="5" t="str">
        <f t="shared" si="22"/>
        <v/>
      </c>
      <c r="V154" s="5" t="str">
        <f t="shared" si="23"/>
        <v/>
      </c>
      <c r="W154" s="5" t="str">
        <f t="shared" si="24"/>
        <v/>
      </c>
      <c r="X154" s="5" t="str">
        <f t="shared" si="25"/>
        <v/>
      </c>
    </row>
    <row r="155" spans="1:24">
      <c r="A155" s="91"/>
      <c r="B155" s="92"/>
      <c r="C155" s="69"/>
      <c r="D155" s="69"/>
      <c r="E155" s="69"/>
      <c r="F155" s="69"/>
      <c r="G155" s="70"/>
      <c r="H155" s="71"/>
      <c r="I155" s="66"/>
      <c r="J155" s="67"/>
      <c r="K155" s="67"/>
      <c r="L155" s="67"/>
      <c r="M155" s="67"/>
      <c r="N155" s="145" t="str">
        <f t="shared" si="18"/>
        <v/>
      </c>
      <c r="O155" s="64"/>
      <c r="P155" s="64"/>
      <c r="Q155" s="152" t="str">
        <f t="shared" si="19"/>
        <v/>
      </c>
      <c r="R155" s="65" t="str">
        <f t="shared" si="26"/>
        <v/>
      </c>
      <c r="S155" s="5" t="str">
        <f t="shared" si="20"/>
        <v/>
      </c>
      <c r="T155" s="5" t="str">
        <f t="shared" si="21"/>
        <v/>
      </c>
      <c r="U155" s="5" t="str">
        <f t="shared" si="22"/>
        <v/>
      </c>
      <c r="V155" s="5" t="str">
        <f t="shared" si="23"/>
        <v/>
      </c>
      <c r="W155" s="5" t="str">
        <f t="shared" si="24"/>
        <v/>
      </c>
      <c r="X155" s="5" t="str">
        <f t="shared" si="25"/>
        <v/>
      </c>
    </row>
    <row r="156" spans="1:24">
      <c r="A156" s="91"/>
      <c r="B156" s="92"/>
      <c r="C156" s="69"/>
      <c r="D156" s="69"/>
      <c r="E156" s="69"/>
      <c r="F156" s="69"/>
      <c r="G156" s="70"/>
      <c r="H156" s="71"/>
      <c r="I156" s="66"/>
      <c r="J156" s="67"/>
      <c r="K156" s="67"/>
      <c r="L156" s="67"/>
      <c r="M156" s="67"/>
      <c r="N156" s="145" t="str">
        <f t="shared" si="18"/>
        <v/>
      </c>
      <c r="O156" s="64"/>
      <c r="P156" s="64"/>
      <c r="Q156" s="152" t="str">
        <f t="shared" si="19"/>
        <v/>
      </c>
      <c r="R156" s="65" t="str">
        <f t="shared" si="26"/>
        <v/>
      </c>
      <c r="S156" s="5" t="str">
        <f t="shared" si="20"/>
        <v/>
      </c>
      <c r="T156" s="5" t="str">
        <f t="shared" si="21"/>
        <v/>
      </c>
      <c r="U156" s="5" t="str">
        <f t="shared" si="22"/>
        <v/>
      </c>
      <c r="V156" s="5" t="str">
        <f t="shared" si="23"/>
        <v/>
      </c>
      <c r="W156" s="5" t="str">
        <f t="shared" si="24"/>
        <v/>
      </c>
      <c r="X156" s="5" t="str">
        <f t="shared" si="25"/>
        <v/>
      </c>
    </row>
    <row r="157" spans="1:24">
      <c r="A157" s="91"/>
      <c r="B157" s="92"/>
      <c r="C157" s="69"/>
      <c r="D157" s="69"/>
      <c r="E157" s="69"/>
      <c r="F157" s="69"/>
      <c r="G157" s="70"/>
      <c r="H157" s="71"/>
      <c r="I157" s="66"/>
      <c r="J157" s="67"/>
      <c r="K157" s="67"/>
      <c r="L157" s="67"/>
      <c r="M157" s="67"/>
      <c r="N157" s="145" t="str">
        <f t="shared" si="18"/>
        <v/>
      </c>
      <c r="O157" s="64"/>
      <c r="P157" s="64"/>
      <c r="Q157" s="152" t="str">
        <f t="shared" si="19"/>
        <v/>
      </c>
      <c r="R157" s="65" t="str">
        <f t="shared" si="26"/>
        <v/>
      </c>
      <c r="S157" s="5" t="str">
        <f t="shared" si="20"/>
        <v/>
      </c>
      <c r="T157" s="5" t="str">
        <f t="shared" si="21"/>
        <v/>
      </c>
      <c r="U157" s="5" t="str">
        <f t="shared" si="22"/>
        <v/>
      </c>
      <c r="V157" s="5" t="str">
        <f t="shared" si="23"/>
        <v/>
      </c>
      <c r="W157" s="5" t="str">
        <f t="shared" si="24"/>
        <v/>
      </c>
      <c r="X157" s="5" t="str">
        <f t="shared" si="25"/>
        <v/>
      </c>
    </row>
    <row r="158" spans="1:24">
      <c r="A158" s="91"/>
      <c r="B158" s="92"/>
      <c r="C158" s="69"/>
      <c r="D158" s="69"/>
      <c r="E158" s="69"/>
      <c r="F158" s="69"/>
      <c r="G158" s="70"/>
      <c r="H158" s="71"/>
      <c r="I158" s="66"/>
      <c r="J158" s="67"/>
      <c r="K158" s="67"/>
      <c r="L158" s="67"/>
      <c r="M158" s="67"/>
      <c r="N158" s="145" t="str">
        <f t="shared" si="18"/>
        <v/>
      </c>
      <c r="O158" s="64"/>
      <c r="P158" s="64"/>
      <c r="Q158" s="152" t="str">
        <f t="shared" si="19"/>
        <v/>
      </c>
      <c r="R158" s="65" t="str">
        <f t="shared" si="26"/>
        <v/>
      </c>
      <c r="S158" s="5" t="str">
        <f t="shared" si="20"/>
        <v/>
      </c>
      <c r="T158" s="5" t="str">
        <f t="shared" si="21"/>
        <v/>
      </c>
      <c r="U158" s="5" t="str">
        <f t="shared" si="22"/>
        <v/>
      </c>
      <c r="V158" s="5" t="str">
        <f t="shared" si="23"/>
        <v/>
      </c>
      <c r="W158" s="5" t="str">
        <f t="shared" si="24"/>
        <v/>
      </c>
      <c r="X158" s="5" t="str">
        <f t="shared" si="25"/>
        <v/>
      </c>
    </row>
    <row r="159" spans="1:24">
      <c r="A159" s="91"/>
      <c r="B159" s="92"/>
      <c r="C159" s="69"/>
      <c r="D159" s="69"/>
      <c r="E159" s="69"/>
      <c r="F159" s="69"/>
      <c r="G159" s="70"/>
      <c r="H159" s="71"/>
      <c r="I159" s="66"/>
      <c r="J159" s="67"/>
      <c r="K159" s="67"/>
      <c r="L159" s="67"/>
      <c r="M159" s="67"/>
      <c r="N159" s="145" t="str">
        <f t="shared" si="18"/>
        <v/>
      </c>
      <c r="O159" s="64"/>
      <c r="P159" s="64"/>
      <c r="Q159" s="152" t="str">
        <f t="shared" si="19"/>
        <v/>
      </c>
      <c r="R159" s="65" t="str">
        <f t="shared" si="26"/>
        <v/>
      </c>
      <c r="S159" s="5" t="str">
        <f t="shared" si="20"/>
        <v/>
      </c>
      <c r="T159" s="5" t="str">
        <f t="shared" si="21"/>
        <v/>
      </c>
      <c r="U159" s="5" t="str">
        <f t="shared" si="22"/>
        <v/>
      </c>
      <c r="V159" s="5" t="str">
        <f t="shared" si="23"/>
        <v/>
      </c>
      <c r="W159" s="5" t="str">
        <f t="shared" si="24"/>
        <v/>
      </c>
      <c r="X159" s="5" t="str">
        <f t="shared" si="25"/>
        <v/>
      </c>
    </row>
    <row r="160" spans="1:24">
      <c r="A160" s="91"/>
      <c r="B160" s="92"/>
      <c r="C160" s="69"/>
      <c r="D160" s="69"/>
      <c r="E160" s="69"/>
      <c r="F160" s="69"/>
      <c r="G160" s="70"/>
      <c r="H160" s="71"/>
      <c r="I160" s="66"/>
      <c r="J160" s="67"/>
      <c r="K160" s="67"/>
      <c r="L160" s="67"/>
      <c r="M160" s="67"/>
      <c r="N160" s="145" t="str">
        <f t="shared" si="18"/>
        <v/>
      </c>
      <c r="O160" s="64"/>
      <c r="P160" s="64"/>
      <c r="Q160" s="152" t="str">
        <f t="shared" si="19"/>
        <v/>
      </c>
      <c r="R160" s="65" t="str">
        <f t="shared" si="26"/>
        <v/>
      </c>
      <c r="S160" s="5" t="str">
        <f t="shared" si="20"/>
        <v/>
      </c>
      <c r="T160" s="5" t="str">
        <f t="shared" si="21"/>
        <v/>
      </c>
      <c r="U160" s="5" t="str">
        <f t="shared" si="22"/>
        <v/>
      </c>
      <c r="V160" s="5" t="str">
        <f t="shared" si="23"/>
        <v/>
      </c>
      <c r="W160" s="5" t="str">
        <f t="shared" si="24"/>
        <v/>
      </c>
      <c r="X160" s="5" t="str">
        <f t="shared" si="25"/>
        <v/>
      </c>
    </row>
    <row r="161" spans="1:24">
      <c r="A161" s="91"/>
      <c r="B161" s="92"/>
      <c r="C161" s="69"/>
      <c r="D161" s="69"/>
      <c r="E161" s="69"/>
      <c r="F161" s="69"/>
      <c r="G161" s="70"/>
      <c r="H161" s="71"/>
      <c r="I161" s="66"/>
      <c r="J161" s="67"/>
      <c r="K161" s="67"/>
      <c r="L161" s="67"/>
      <c r="M161" s="67"/>
      <c r="N161" s="145" t="str">
        <f t="shared" si="18"/>
        <v/>
      </c>
      <c r="O161" s="64"/>
      <c r="P161" s="64"/>
      <c r="Q161" s="152" t="str">
        <f t="shared" si="19"/>
        <v/>
      </c>
      <c r="R161" s="65" t="str">
        <f t="shared" si="26"/>
        <v/>
      </c>
      <c r="S161" s="5" t="str">
        <f t="shared" si="20"/>
        <v/>
      </c>
      <c r="T161" s="5" t="str">
        <f t="shared" si="21"/>
        <v/>
      </c>
      <c r="U161" s="5" t="str">
        <f t="shared" si="22"/>
        <v/>
      </c>
      <c r="V161" s="5" t="str">
        <f t="shared" si="23"/>
        <v/>
      </c>
      <c r="W161" s="5" t="str">
        <f t="shared" si="24"/>
        <v/>
      </c>
      <c r="X161" s="5" t="str">
        <f t="shared" si="25"/>
        <v/>
      </c>
    </row>
    <row r="162" spans="1:24">
      <c r="A162" s="91"/>
      <c r="B162" s="92"/>
      <c r="C162" s="69"/>
      <c r="D162" s="69"/>
      <c r="E162" s="69"/>
      <c r="F162" s="69"/>
      <c r="G162" s="70"/>
      <c r="H162" s="71"/>
      <c r="I162" s="66"/>
      <c r="J162" s="67"/>
      <c r="K162" s="67"/>
      <c r="L162" s="67"/>
      <c r="M162" s="67"/>
      <c r="N162" s="145" t="str">
        <f t="shared" si="18"/>
        <v/>
      </c>
      <c r="O162" s="64"/>
      <c r="P162" s="64"/>
      <c r="Q162" s="152" t="str">
        <f t="shared" si="19"/>
        <v/>
      </c>
      <c r="R162" s="65" t="str">
        <f t="shared" si="26"/>
        <v/>
      </c>
      <c r="S162" s="5" t="str">
        <f t="shared" si="20"/>
        <v/>
      </c>
      <c r="T162" s="5" t="str">
        <f t="shared" si="21"/>
        <v/>
      </c>
      <c r="U162" s="5" t="str">
        <f t="shared" si="22"/>
        <v/>
      </c>
      <c r="V162" s="5" t="str">
        <f t="shared" si="23"/>
        <v/>
      </c>
      <c r="W162" s="5" t="str">
        <f t="shared" si="24"/>
        <v/>
      </c>
      <c r="X162" s="5" t="str">
        <f t="shared" si="25"/>
        <v/>
      </c>
    </row>
    <row r="163" spans="1:24">
      <c r="A163" s="91"/>
      <c r="B163" s="92"/>
      <c r="C163" s="69"/>
      <c r="D163" s="69"/>
      <c r="E163" s="69"/>
      <c r="F163" s="69"/>
      <c r="G163" s="70"/>
      <c r="H163" s="71"/>
      <c r="I163" s="66"/>
      <c r="J163" s="67"/>
      <c r="K163" s="67"/>
      <c r="L163" s="67"/>
      <c r="M163" s="67"/>
      <c r="N163" s="145" t="str">
        <f t="shared" si="18"/>
        <v/>
      </c>
      <c r="O163" s="64"/>
      <c r="P163" s="64"/>
      <c r="Q163" s="152" t="str">
        <f t="shared" si="19"/>
        <v/>
      </c>
      <c r="R163" s="65" t="str">
        <f t="shared" si="26"/>
        <v/>
      </c>
      <c r="S163" s="5" t="str">
        <f t="shared" si="20"/>
        <v/>
      </c>
      <c r="T163" s="5" t="str">
        <f t="shared" si="21"/>
        <v/>
      </c>
      <c r="U163" s="5" t="str">
        <f t="shared" si="22"/>
        <v/>
      </c>
      <c r="V163" s="5" t="str">
        <f t="shared" si="23"/>
        <v/>
      </c>
      <c r="W163" s="5" t="str">
        <f t="shared" si="24"/>
        <v/>
      </c>
      <c r="X163" s="5" t="str">
        <f t="shared" si="25"/>
        <v/>
      </c>
    </row>
    <row r="164" spans="1:24">
      <c r="A164" s="91"/>
      <c r="B164" s="92"/>
      <c r="C164" s="69"/>
      <c r="D164" s="69"/>
      <c r="E164" s="69"/>
      <c r="F164" s="69"/>
      <c r="G164" s="70"/>
      <c r="H164" s="71"/>
      <c r="I164" s="66"/>
      <c r="J164" s="67"/>
      <c r="K164" s="67"/>
      <c r="L164" s="67"/>
      <c r="M164" s="67"/>
      <c r="N164" s="145" t="str">
        <f t="shared" si="18"/>
        <v/>
      </c>
      <c r="O164" s="64"/>
      <c r="P164" s="64"/>
      <c r="Q164" s="152" t="str">
        <f t="shared" si="19"/>
        <v/>
      </c>
      <c r="R164" s="65" t="str">
        <f t="shared" si="26"/>
        <v/>
      </c>
      <c r="S164" s="5" t="str">
        <f t="shared" si="20"/>
        <v/>
      </c>
      <c r="T164" s="5" t="str">
        <f t="shared" si="21"/>
        <v/>
      </c>
      <c r="U164" s="5" t="str">
        <f t="shared" si="22"/>
        <v/>
      </c>
      <c r="V164" s="5" t="str">
        <f t="shared" si="23"/>
        <v/>
      </c>
      <c r="W164" s="5" t="str">
        <f t="shared" si="24"/>
        <v/>
      </c>
      <c r="X164" s="5" t="str">
        <f t="shared" si="25"/>
        <v/>
      </c>
    </row>
    <row r="165" spans="1:24">
      <c r="A165" s="91"/>
      <c r="B165" s="92"/>
      <c r="C165" s="69"/>
      <c r="D165" s="69"/>
      <c r="E165" s="69"/>
      <c r="F165" s="69"/>
      <c r="G165" s="70"/>
      <c r="H165" s="71"/>
      <c r="I165" s="66"/>
      <c r="J165" s="67"/>
      <c r="K165" s="67"/>
      <c r="L165" s="67"/>
      <c r="M165" s="67"/>
      <c r="N165" s="145" t="str">
        <f t="shared" si="18"/>
        <v/>
      </c>
      <c r="O165" s="64"/>
      <c r="P165" s="64"/>
      <c r="Q165" s="152" t="str">
        <f t="shared" si="19"/>
        <v/>
      </c>
      <c r="R165" s="65" t="str">
        <f t="shared" si="26"/>
        <v/>
      </c>
      <c r="S165" s="5" t="str">
        <f t="shared" si="20"/>
        <v/>
      </c>
      <c r="T165" s="5" t="str">
        <f t="shared" si="21"/>
        <v/>
      </c>
      <c r="U165" s="5" t="str">
        <f t="shared" si="22"/>
        <v/>
      </c>
      <c r="V165" s="5" t="str">
        <f t="shared" si="23"/>
        <v/>
      </c>
      <c r="W165" s="5" t="str">
        <f t="shared" si="24"/>
        <v/>
      </c>
      <c r="X165" s="5" t="str">
        <f t="shared" si="25"/>
        <v/>
      </c>
    </row>
    <row r="166" spans="1:24">
      <c r="A166" s="91"/>
      <c r="B166" s="92"/>
      <c r="C166" s="69"/>
      <c r="D166" s="69"/>
      <c r="E166" s="69"/>
      <c r="F166" s="69"/>
      <c r="G166" s="70"/>
      <c r="H166" s="71"/>
      <c r="I166" s="66"/>
      <c r="J166" s="67"/>
      <c r="K166" s="67"/>
      <c r="L166" s="67"/>
      <c r="M166" s="67"/>
      <c r="N166" s="145" t="str">
        <f t="shared" si="18"/>
        <v/>
      </c>
      <c r="O166" s="64"/>
      <c r="P166" s="64"/>
      <c r="Q166" s="152" t="str">
        <f t="shared" si="19"/>
        <v/>
      </c>
      <c r="R166" s="65" t="str">
        <f t="shared" si="26"/>
        <v/>
      </c>
      <c r="S166" s="5" t="str">
        <f t="shared" si="20"/>
        <v/>
      </c>
      <c r="T166" s="5" t="str">
        <f t="shared" si="21"/>
        <v/>
      </c>
      <c r="U166" s="5" t="str">
        <f t="shared" si="22"/>
        <v/>
      </c>
      <c r="V166" s="5" t="str">
        <f t="shared" si="23"/>
        <v/>
      </c>
      <c r="W166" s="5" t="str">
        <f t="shared" si="24"/>
        <v/>
      </c>
      <c r="X166" s="5" t="str">
        <f t="shared" si="25"/>
        <v/>
      </c>
    </row>
    <row r="167" spans="1:24">
      <c r="A167" s="91"/>
      <c r="B167" s="92"/>
      <c r="C167" s="69"/>
      <c r="D167" s="69"/>
      <c r="E167" s="69"/>
      <c r="F167" s="69"/>
      <c r="G167" s="70"/>
      <c r="H167" s="71"/>
      <c r="I167" s="66"/>
      <c r="J167" s="67"/>
      <c r="K167" s="67"/>
      <c r="L167" s="67"/>
      <c r="M167" s="67"/>
      <c r="N167" s="145" t="str">
        <f t="shared" si="18"/>
        <v/>
      </c>
      <c r="O167" s="64"/>
      <c r="P167" s="64"/>
      <c r="Q167" s="152" t="str">
        <f t="shared" si="19"/>
        <v/>
      </c>
      <c r="R167" s="65" t="str">
        <f t="shared" si="26"/>
        <v/>
      </c>
      <c r="S167" s="5" t="str">
        <f t="shared" si="20"/>
        <v/>
      </c>
      <c r="T167" s="5" t="str">
        <f t="shared" si="21"/>
        <v/>
      </c>
      <c r="U167" s="5" t="str">
        <f t="shared" si="22"/>
        <v/>
      </c>
      <c r="V167" s="5" t="str">
        <f t="shared" si="23"/>
        <v/>
      </c>
      <c r="W167" s="5" t="str">
        <f t="shared" si="24"/>
        <v/>
      </c>
      <c r="X167" s="5" t="str">
        <f t="shared" si="25"/>
        <v/>
      </c>
    </row>
    <row r="168" spans="1:24">
      <c r="A168" s="91"/>
      <c r="B168" s="92"/>
      <c r="C168" s="69"/>
      <c r="D168" s="69"/>
      <c r="E168" s="69"/>
      <c r="F168" s="69"/>
      <c r="G168" s="70"/>
      <c r="H168" s="71"/>
      <c r="I168" s="66"/>
      <c r="J168" s="67"/>
      <c r="K168" s="67"/>
      <c r="L168" s="67"/>
      <c r="M168" s="67"/>
      <c r="N168" s="145" t="str">
        <f t="shared" si="18"/>
        <v/>
      </c>
      <c r="O168" s="64"/>
      <c r="P168" s="64"/>
      <c r="Q168" s="152" t="str">
        <f t="shared" si="19"/>
        <v/>
      </c>
      <c r="R168" s="65" t="str">
        <f t="shared" si="26"/>
        <v/>
      </c>
      <c r="S168" s="5" t="str">
        <f t="shared" si="20"/>
        <v/>
      </c>
      <c r="T168" s="5" t="str">
        <f t="shared" si="21"/>
        <v/>
      </c>
      <c r="U168" s="5" t="str">
        <f t="shared" si="22"/>
        <v/>
      </c>
      <c r="V168" s="5" t="str">
        <f t="shared" si="23"/>
        <v/>
      </c>
      <c r="W168" s="5" t="str">
        <f t="shared" si="24"/>
        <v/>
      </c>
      <c r="X168" s="5" t="str">
        <f t="shared" si="25"/>
        <v/>
      </c>
    </row>
    <row r="169" spans="1:24">
      <c r="A169" s="91"/>
      <c r="B169" s="92"/>
      <c r="C169" s="69"/>
      <c r="D169" s="69"/>
      <c r="E169" s="69"/>
      <c r="F169" s="69"/>
      <c r="G169" s="70"/>
      <c r="H169" s="71"/>
      <c r="I169" s="66"/>
      <c r="J169" s="67"/>
      <c r="K169" s="67"/>
      <c r="L169" s="67"/>
      <c r="M169" s="67"/>
      <c r="N169" s="145" t="str">
        <f t="shared" si="18"/>
        <v/>
      </c>
      <c r="O169" s="64"/>
      <c r="P169" s="64"/>
      <c r="Q169" s="152" t="str">
        <f t="shared" si="19"/>
        <v/>
      </c>
      <c r="R169" s="65" t="str">
        <f t="shared" si="26"/>
        <v/>
      </c>
      <c r="S169" s="5" t="str">
        <f t="shared" si="20"/>
        <v/>
      </c>
      <c r="T169" s="5" t="str">
        <f t="shared" si="21"/>
        <v/>
      </c>
      <c r="U169" s="5" t="str">
        <f t="shared" si="22"/>
        <v/>
      </c>
      <c r="V169" s="5" t="str">
        <f t="shared" si="23"/>
        <v/>
      </c>
      <c r="W169" s="5" t="str">
        <f t="shared" si="24"/>
        <v/>
      </c>
      <c r="X169" s="5" t="str">
        <f t="shared" si="25"/>
        <v/>
      </c>
    </row>
    <row r="170" spans="1:24">
      <c r="A170" s="91"/>
      <c r="B170" s="92"/>
      <c r="C170" s="69"/>
      <c r="D170" s="69"/>
      <c r="E170" s="69"/>
      <c r="F170" s="69"/>
      <c r="G170" s="70"/>
      <c r="H170" s="71"/>
      <c r="I170" s="66"/>
      <c r="J170" s="67"/>
      <c r="K170" s="67"/>
      <c r="L170" s="67"/>
      <c r="M170" s="67"/>
      <c r="N170" s="145" t="str">
        <f t="shared" si="18"/>
        <v/>
      </c>
      <c r="O170" s="64"/>
      <c r="P170" s="64"/>
      <c r="Q170" s="152" t="str">
        <f t="shared" si="19"/>
        <v/>
      </c>
      <c r="R170" s="65" t="str">
        <f t="shared" si="26"/>
        <v/>
      </c>
      <c r="S170" s="5" t="str">
        <f t="shared" si="20"/>
        <v/>
      </c>
      <c r="T170" s="5" t="str">
        <f t="shared" si="21"/>
        <v/>
      </c>
      <c r="U170" s="5" t="str">
        <f t="shared" si="22"/>
        <v/>
      </c>
      <c r="V170" s="5" t="str">
        <f t="shared" si="23"/>
        <v/>
      </c>
      <c r="W170" s="5" t="str">
        <f t="shared" si="24"/>
        <v/>
      </c>
      <c r="X170" s="5" t="str">
        <f t="shared" si="25"/>
        <v/>
      </c>
    </row>
    <row r="171" spans="1:24">
      <c r="A171" s="91"/>
      <c r="B171" s="92"/>
      <c r="C171" s="69"/>
      <c r="D171" s="69"/>
      <c r="E171" s="69"/>
      <c r="F171" s="69"/>
      <c r="G171" s="70"/>
      <c r="H171" s="71"/>
      <c r="I171" s="66"/>
      <c r="J171" s="67"/>
      <c r="K171" s="67"/>
      <c r="L171" s="67"/>
      <c r="M171" s="67"/>
      <c r="N171" s="145" t="str">
        <f t="shared" si="18"/>
        <v/>
      </c>
      <c r="O171" s="64"/>
      <c r="P171" s="64"/>
      <c r="Q171" s="152" t="str">
        <f t="shared" si="19"/>
        <v/>
      </c>
      <c r="R171" s="65" t="str">
        <f t="shared" si="26"/>
        <v/>
      </c>
      <c r="S171" s="5" t="str">
        <f t="shared" si="20"/>
        <v/>
      </c>
      <c r="T171" s="5" t="str">
        <f t="shared" si="21"/>
        <v/>
      </c>
      <c r="U171" s="5" t="str">
        <f t="shared" si="22"/>
        <v/>
      </c>
      <c r="V171" s="5" t="str">
        <f t="shared" si="23"/>
        <v/>
      </c>
      <c r="W171" s="5" t="str">
        <f t="shared" si="24"/>
        <v/>
      </c>
      <c r="X171" s="5" t="str">
        <f t="shared" si="25"/>
        <v/>
      </c>
    </row>
    <row r="172" spans="1:24">
      <c r="A172" s="91"/>
      <c r="B172" s="92"/>
      <c r="C172" s="69"/>
      <c r="D172" s="69"/>
      <c r="E172" s="69"/>
      <c r="F172" s="69"/>
      <c r="G172" s="70"/>
      <c r="H172" s="71"/>
      <c r="I172" s="66"/>
      <c r="J172" s="67"/>
      <c r="K172" s="67"/>
      <c r="L172" s="67"/>
      <c r="M172" s="67"/>
      <c r="N172" s="145" t="str">
        <f t="shared" si="18"/>
        <v/>
      </c>
      <c r="O172" s="64"/>
      <c r="P172" s="64"/>
      <c r="Q172" s="152" t="str">
        <f t="shared" si="19"/>
        <v/>
      </c>
      <c r="R172" s="65" t="str">
        <f t="shared" si="26"/>
        <v/>
      </c>
      <c r="S172" s="5" t="str">
        <f t="shared" si="20"/>
        <v/>
      </c>
      <c r="T172" s="5" t="str">
        <f t="shared" si="21"/>
        <v/>
      </c>
      <c r="U172" s="5" t="str">
        <f t="shared" si="22"/>
        <v/>
      </c>
      <c r="V172" s="5" t="str">
        <f t="shared" si="23"/>
        <v/>
      </c>
      <c r="W172" s="5" t="str">
        <f t="shared" si="24"/>
        <v/>
      </c>
      <c r="X172" s="5" t="str">
        <f t="shared" si="25"/>
        <v/>
      </c>
    </row>
    <row r="173" spans="1:24">
      <c r="A173" s="91"/>
      <c r="B173" s="92"/>
      <c r="C173" s="69"/>
      <c r="D173" s="69"/>
      <c r="E173" s="69"/>
      <c r="F173" s="69"/>
      <c r="G173" s="70"/>
      <c r="H173" s="71"/>
      <c r="I173" s="66"/>
      <c r="J173" s="67"/>
      <c r="K173" s="67"/>
      <c r="L173" s="67"/>
      <c r="M173" s="67"/>
      <c r="N173" s="145" t="str">
        <f t="shared" si="18"/>
        <v/>
      </c>
      <c r="O173" s="64"/>
      <c r="P173" s="64"/>
      <c r="Q173" s="152" t="str">
        <f t="shared" si="19"/>
        <v/>
      </c>
      <c r="R173" s="65" t="str">
        <f t="shared" si="26"/>
        <v/>
      </c>
      <c r="S173" s="5" t="str">
        <f t="shared" si="20"/>
        <v/>
      </c>
      <c r="T173" s="5" t="str">
        <f t="shared" si="21"/>
        <v/>
      </c>
      <c r="U173" s="5" t="str">
        <f t="shared" si="22"/>
        <v/>
      </c>
      <c r="V173" s="5" t="str">
        <f t="shared" si="23"/>
        <v/>
      </c>
      <c r="W173" s="5" t="str">
        <f t="shared" si="24"/>
        <v/>
      </c>
      <c r="X173" s="5" t="str">
        <f t="shared" si="25"/>
        <v/>
      </c>
    </row>
    <row r="174" spans="1:24">
      <c r="A174" s="91"/>
      <c r="B174" s="92"/>
      <c r="C174" s="69"/>
      <c r="D174" s="69"/>
      <c r="E174" s="69"/>
      <c r="F174" s="69"/>
      <c r="G174" s="70"/>
      <c r="H174" s="71"/>
      <c r="I174" s="66"/>
      <c r="J174" s="67"/>
      <c r="K174" s="67"/>
      <c r="L174" s="67"/>
      <c r="M174" s="67"/>
      <c r="N174" s="145" t="str">
        <f t="shared" si="18"/>
        <v/>
      </c>
      <c r="O174" s="64"/>
      <c r="P174" s="64"/>
      <c r="Q174" s="152" t="str">
        <f t="shared" si="19"/>
        <v/>
      </c>
      <c r="R174" s="65" t="str">
        <f t="shared" si="26"/>
        <v/>
      </c>
      <c r="S174" s="5" t="str">
        <f t="shared" si="20"/>
        <v/>
      </c>
      <c r="T174" s="5" t="str">
        <f t="shared" si="21"/>
        <v/>
      </c>
      <c r="U174" s="5" t="str">
        <f t="shared" si="22"/>
        <v/>
      </c>
      <c r="V174" s="5" t="str">
        <f t="shared" si="23"/>
        <v/>
      </c>
      <c r="W174" s="5" t="str">
        <f t="shared" si="24"/>
        <v/>
      </c>
      <c r="X174" s="5" t="str">
        <f t="shared" si="25"/>
        <v/>
      </c>
    </row>
    <row r="175" spans="1:24">
      <c r="A175" s="91"/>
      <c r="B175" s="92"/>
      <c r="C175" s="69"/>
      <c r="D175" s="69"/>
      <c r="E175" s="69"/>
      <c r="F175" s="69"/>
      <c r="G175" s="70"/>
      <c r="H175" s="71"/>
      <c r="I175" s="66"/>
      <c r="J175" s="67"/>
      <c r="K175" s="67"/>
      <c r="L175" s="67"/>
      <c r="M175" s="67"/>
      <c r="N175" s="145" t="str">
        <f t="shared" si="18"/>
        <v/>
      </c>
      <c r="O175" s="64"/>
      <c r="P175" s="64"/>
      <c r="Q175" s="152" t="str">
        <f t="shared" si="19"/>
        <v/>
      </c>
      <c r="R175" s="65" t="str">
        <f t="shared" si="26"/>
        <v/>
      </c>
      <c r="S175" s="5" t="str">
        <f t="shared" si="20"/>
        <v/>
      </c>
      <c r="T175" s="5" t="str">
        <f t="shared" si="21"/>
        <v/>
      </c>
      <c r="U175" s="5" t="str">
        <f t="shared" si="22"/>
        <v/>
      </c>
      <c r="V175" s="5" t="str">
        <f t="shared" si="23"/>
        <v/>
      </c>
      <c r="W175" s="5" t="str">
        <f t="shared" si="24"/>
        <v/>
      </c>
      <c r="X175" s="5" t="str">
        <f t="shared" si="25"/>
        <v/>
      </c>
    </row>
    <row r="176" spans="1:24">
      <c r="A176" s="91"/>
      <c r="B176" s="92"/>
      <c r="C176" s="69"/>
      <c r="D176" s="69"/>
      <c r="E176" s="69"/>
      <c r="F176" s="69"/>
      <c r="G176" s="70"/>
      <c r="H176" s="71"/>
      <c r="I176" s="66"/>
      <c r="J176" s="67"/>
      <c r="K176" s="67"/>
      <c r="L176" s="67"/>
      <c r="M176" s="67"/>
      <c r="N176" s="145" t="str">
        <f t="shared" si="18"/>
        <v/>
      </c>
      <c r="O176" s="64"/>
      <c r="P176" s="64"/>
      <c r="Q176" s="152" t="str">
        <f t="shared" si="19"/>
        <v/>
      </c>
      <c r="R176" s="65" t="str">
        <f t="shared" si="26"/>
        <v/>
      </c>
      <c r="S176" s="5" t="str">
        <f t="shared" si="20"/>
        <v/>
      </c>
      <c r="T176" s="5" t="str">
        <f t="shared" si="21"/>
        <v/>
      </c>
      <c r="U176" s="5" t="str">
        <f t="shared" si="22"/>
        <v/>
      </c>
      <c r="V176" s="5" t="str">
        <f t="shared" si="23"/>
        <v/>
      </c>
      <c r="W176" s="5" t="str">
        <f t="shared" si="24"/>
        <v/>
      </c>
      <c r="X176" s="5" t="str">
        <f t="shared" si="25"/>
        <v/>
      </c>
    </row>
    <row r="177" spans="1:24">
      <c r="A177" s="91"/>
      <c r="B177" s="92"/>
      <c r="C177" s="69"/>
      <c r="D177" s="69"/>
      <c r="E177" s="69"/>
      <c r="F177" s="69"/>
      <c r="G177" s="70"/>
      <c r="H177" s="71"/>
      <c r="I177" s="66"/>
      <c r="J177" s="67"/>
      <c r="K177" s="67"/>
      <c r="L177" s="67"/>
      <c r="M177" s="67"/>
      <c r="N177" s="145" t="str">
        <f t="shared" si="18"/>
        <v/>
      </c>
      <c r="O177" s="64"/>
      <c r="P177" s="64"/>
      <c r="Q177" s="152" t="str">
        <f t="shared" si="19"/>
        <v/>
      </c>
      <c r="R177" s="65" t="str">
        <f t="shared" si="26"/>
        <v/>
      </c>
      <c r="S177" s="5" t="str">
        <f t="shared" si="20"/>
        <v/>
      </c>
      <c r="T177" s="5" t="str">
        <f t="shared" si="21"/>
        <v/>
      </c>
      <c r="U177" s="5" t="str">
        <f t="shared" si="22"/>
        <v/>
      </c>
      <c r="V177" s="5" t="str">
        <f t="shared" si="23"/>
        <v/>
      </c>
      <c r="W177" s="5" t="str">
        <f t="shared" si="24"/>
        <v/>
      </c>
      <c r="X177" s="5" t="str">
        <f t="shared" si="25"/>
        <v/>
      </c>
    </row>
    <row r="178" spans="1:24">
      <c r="A178" s="91"/>
      <c r="B178" s="92"/>
      <c r="C178" s="69"/>
      <c r="D178" s="69"/>
      <c r="E178" s="69"/>
      <c r="F178" s="69"/>
      <c r="G178" s="70"/>
      <c r="H178" s="71"/>
      <c r="I178" s="66"/>
      <c r="J178" s="67"/>
      <c r="K178" s="67"/>
      <c r="L178" s="67"/>
      <c r="M178" s="67"/>
      <c r="N178" s="145" t="str">
        <f t="shared" si="18"/>
        <v/>
      </c>
      <c r="O178" s="64"/>
      <c r="P178" s="64"/>
      <c r="Q178" s="152" t="str">
        <f t="shared" si="19"/>
        <v/>
      </c>
      <c r="R178" s="65" t="str">
        <f t="shared" si="26"/>
        <v/>
      </c>
      <c r="S178" s="5" t="str">
        <f t="shared" si="20"/>
        <v/>
      </c>
      <c r="T178" s="5" t="str">
        <f t="shared" si="21"/>
        <v/>
      </c>
      <c r="U178" s="5" t="str">
        <f t="shared" si="22"/>
        <v/>
      </c>
      <c r="V178" s="5" t="str">
        <f t="shared" si="23"/>
        <v/>
      </c>
      <c r="W178" s="5" t="str">
        <f t="shared" si="24"/>
        <v/>
      </c>
      <c r="X178" s="5" t="str">
        <f t="shared" si="25"/>
        <v/>
      </c>
    </row>
    <row r="179" spans="1:24">
      <c r="A179" s="91"/>
      <c r="B179" s="92"/>
      <c r="C179" s="69"/>
      <c r="D179" s="69"/>
      <c r="E179" s="69"/>
      <c r="F179" s="69"/>
      <c r="G179" s="70"/>
      <c r="H179" s="71"/>
      <c r="I179" s="66"/>
      <c r="J179" s="67"/>
      <c r="K179" s="67"/>
      <c r="L179" s="67"/>
      <c r="M179" s="67"/>
      <c r="N179" s="145" t="str">
        <f t="shared" si="18"/>
        <v/>
      </c>
      <c r="O179" s="64"/>
      <c r="P179" s="64"/>
      <c r="Q179" s="152" t="str">
        <f t="shared" si="19"/>
        <v/>
      </c>
      <c r="R179" s="65" t="str">
        <f t="shared" si="26"/>
        <v/>
      </c>
      <c r="S179" s="5" t="str">
        <f t="shared" si="20"/>
        <v/>
      </c>
      <c r="T179" s="5" t="str">
        <f t="shared" si="21"/>
        <v/>
      </c>
      <c r="U179" s="5" t="str">
        <f t="shared" si="22"/>
        <v/>
      </c>
      <c r="V179" s="5" t="str">
        <f t="shared" si="23"/>
        <v/>
      </c>
      <c r="W179" s="5" t="str">
        <f t="shared" si="24"/>
        <v/>
      </c>
      <c r="X179" s="5" t="str">
        <f t="shared" si="25"/>
        <v/>
      </c>
    </row>
    <row r="180" spans="1:24">
      <c r="A180" s="91"/>
      <c r="B180" s="92"/>
      <c r="C180" s="69"/>
      <c r="D180" s="69"/>
      <c r="E180" s="69"/>
      <c r="F180" s="69"/>
      <c r="G180" s="70"/>
      <c r="H180" s="71"/>
      <c r="I180" s="66"/>
      <c r="J180" s="67"/>
      <c r="K180" s="67"/>
      <c r="L180" s="67"/>
      <c r="M180" s="67"/>
      <c r="N180" s="145" t="str">
        <f t="shared" si="18"/>
        <v/>
      </c>
      <c r="O180" s="64"/>
      <c r="P180" s="64"/>
      <c r="Q180" s="152" t="str">
        <f t="shared" si="19"/>
        <v/>
      </c>
      <c r="R180" s="65" t="str">
        <f t="shared" si="26"/>
        <v/>
      </c>
      <c r="S180" s="5" t="str">
        <f t="shared" si="20"/>
        <v/>
      </c>
      <c r="T180" s="5" t="str">
        <f t="shared" si="21"/>
        <v/>
      </c>
      <c r="U180" s="5" t="str">
        <f t="shared" si="22"/>
        <v/>
      </c>
      <c r="V180" s="5" t="str">
        <f t="shared" si="23"/>
        <v/>
      </c>
      <c r="W180" s="5" t="str">
        <f t="shared" si="24"/>
        <v/>
      </c>
      <c r="X180" s="5" t="str">
        <f t="shared" si="25"/>
        <v/>
      </c>
    </row>
    <row r="181" spans="1:24">
      <c r="A181" s="91"/>
      <c r="B181" s="92"/>
      <c r="C181" s="69"/>
      <c r="D181" s="69"/>
      <c r="E181" s="69"/>
      <c r="F181" s="69"/>
      <c r="G181" s="70"/>
      <c r="H181" s="71"/>
      <c r="I181" s="66"/>
      <c r="J181" s="67"/>
      <c r="K181" s="67"/>
      <c r="L181" s="67"/>
      <c r="M181" s="67"/>
      <c r="N181" s="145" t="str">
        <f t="shared" si="18"/>
        <v/>
      </c>
      <c r="O181" s="64"/>
      <c r="P181" s="64"/>
      <c r="Q181" s="152" t="str">
        <f t="shared" si="19"/>
        <v/>
      </c>
      <c r="R181" s="65" t="str">
        <f t="shared" si="26"/>
        <v/>
      </c>
      <c r="S181" s="5" t="str">
        <f t="shared" si="20"/>
        <v/>
      </c>
      <c r="T181" s="5" t="str">
        <f t="shared" si="21"/>
        <v/>
      </c>
      <c r="U181" s="5" t="str">
        <f t="shared" si="22"/>
        <v/>
      </c>
      <c r="V181" s="5" t="str">
        <f t="shared" si="23"/>
        <v/>
      </c>
      <c r="W181" s="5" t="str">
        <f t="shared" si="24"/>
        <v/>
      </c>
      <c r="X181" s="5" t="str">
        <f t="shared" si="25"/>
        <v/>
      </c>
    </row>
    <row r="182" spans="1:24">
      <c r="A182" s="91"/>
      <c r="B182" s="92"/>
      <c r="C182" s="69"/>
      <c r="D182" s="69"/>
      <c r="E182" s="69"/>
      <c r="F182" s="69"/>
      <c r="G182" s="70"/>
      <c r="H182" s="71"/>
      <c r="I182" s="66"/>
      <c r="J182" s="67"/>
      <c r="K182" s="67"/>
      <c r="L182" s="67"/>
      <c r="M182" s="67"/>
      <c r="N182" s="145" t="str">
        <f t="shared" si="18"/>
        <v/>
      </c>
      <c r="O182" s="64"/>
      <c r="P182" s="64"/>
      <c r="Q182" s="152" t="str">
        <f t="shared" si="19"/>
        <v/>
      </c>
      <c r="R182" s="65" t="str">
        <f t="shared" si="26"/>
        <v/>
      </c>
      <c r="S182" s="5" t="str">
        <f t="shared" si="20"/>
        <v/>
      </c>
      <c r="T182" s="5" t="str">
        <f t="shared" si="21"/>
        <v/>
      </c>
      <c r="U182" s="5" t="str">
        <f t="shared" si="22"/>
        <v/>
      </c>
      <c r="V182" s="5" t="str">
        <f t="shared" si="23"/>
        <v/>
      </c>
      <c r="W182" s="5" t="str">
        <f t="shared" si="24"/>
        <v/>
      </c>
      <c r="X182" s="5" t="str">
        <f t="shared" si="25"/>
        <v/>
      </c>
    </row>
    <row r="183" spans="1:24">
      <c r="A183" s="91"/>
      <c r="B183" s="92"/>
      <c r="C183" s="69"/>
      <c r="D183" s="69"/>
      <c r="E183" s="69"/>
      <c r="F183" s="69"/>
      <c r="G183" s="70"/>
      <c r="H183" s="71"/>
      <c r="I183" s="66"/>
      <c r="J183" s="67"/>
      <c r="K183" s="67"/>
      <c r="L183" s="67"/>
      <c r="M183" s="67"/>
      <c r="N183" s="145" t="str">
        <f t="shared" si="18"/>
        <v/>
      </c>
      <c r="O183" s="64"/>
      <c r="P183" s="64"/>
      <c r="Q183" s="152" t="str">
        <f t="shared" si="19"/>
        <v/>
      </c>
      <c r="R183" s="65" t="str">
        <f t="shared" si="26"/>
        <v/>
      </c>
      <c r="S183" s="5" t="str">
        <f t="shared" si="20"/>
        <v/>
      </c>
      <c r="T183" s="5" t="str">
        <f t="shared" si="21"/>
        <v/>
      </c>
      <c r="U183" s="5" t="str">
        <f t="shared" si="22"/>
        <v/>
      </c>
      <c r="V183" s="5" t="str">
        <f t="shared" si="23"/>
        <v/>
      </c>
      <c r="W183" s="5" t="str">
        <f t="shared" si="24"/>
        <v/>
      </c>
      <c r="X183" s="5" t="str">
        <f t="shared" si="25"/>
        <v/>
      </c>
    </row>
    <row r="184" spans="1:24">
      <c r="A184" s="91"/>
      <c r="B184" s="92"/>
      <c r="C184" s="69"/>
      <c r="D184" s="69"/>
      <c r="E184" s="69"/>
      <c r="F184" s="69"/>
      <c r="G184" s="70"/>
      <c r="H184" s="71"/>
      <c r="I184" s="66"/>
      <c r="J184" s="67"/>
      <c r="K184" s="67"/>
      <c r="L184" s="67"/>
      <c r="M184" s="67"/>
      <c r="N184" s="145" t="str">
        <f t="shared" si="18"/>
        <v/>
      </c>
      <c r="O184" s="64"/>
      <c r="P184" s="64"/>
      <c r="Q184" s="152" t="str">
        <f t="shared" si="19"/>
        <v/>
      </c>
      <c r="R184" s="65" t="str">
        <f t="shared" si="26"/>
        <v/>
      </c>
      <c r="S184" s="5" t="str">
        <f t="shared" si="20"/>
        <v/>
      </c>
      <c r="T184" s="5" t="str">
        <f t="shared" si="21"/>
        <v/>
      </c>
      <c r="U184" s="5" t="str">
        <f t="shared" si="22"/>
        <v/>
      </c>
      <c r="V184" s="5" t="str">
        <f t="shared" si="23"/>
        <v/>
      </c>
      <c r="W184" s="5" t="str">
        <f t="shared" si="24"/>
        <v/>
      </c>
      <c r="X184" s="5" t="str">
        <f t="shared" si="25"/>
        <v/>
      </c>
    </row>
    <row r="185" spans="1:24">
      <c r="A185" s="91"/>
      <c r="B185" s="92"/>
      <c r="C185" s="69"/>
      <c r="D185" s="69"/>
      <c r="E185" s="69"/>
      <c r="F185" s="69"/>
      <c r="G185" s="70"/>
      <c r="H185" s="71"/>
      <c r="I185" s="66"/>
      <c r="J185" s="67"/>
      <c r="K185" s="67"/>
      <c r="L185" s="67"/>
      <c r="M185" s="67"/>
      <c r="N185" s="145" t="str">
        <f t="shared" si="18"/>
        <v/>
      </c>
      <c r="O185" s="64"/>
      <c r="P185" s="64"/>
      <c r="Q185" s="152" t="str">
        <f t="shared" si="19"/>
        <v/>
      </c>
      <c r="R185" s="65" t="str">
        <f t="shared" si="26"/>
        <v/>
      </c>
      <c r="S185" s="5" t="str">
        <f t="shared" si="20"/>
        <v/>
      </c>
      <c r="T185" s="5" t="str">
        <f t="shared" si="21"/>
        <v/>
      </c>
      <c r="U185" s="5" t="str">
        <f t="shared" si="22"/>
        <v/>
      </c>
      <c r="V185" s="5" t="str">
        <f t="shared" si="23"/>
        <v/>
      </c>
      <c r="W185" s="5" t="str">
        <f t="shared" si="24"/>
        <v/>
      </c>
      <c r="X185" s="5" t="str">
        <f t="shared" si="25"/>
        <v/>
      </c>
    </row>
    <row r="186" spans="1:24">
      <c r="A186" s="91"/>
      <c r="B186" s="92"/>
      <c r="C186" s="69"/>
      <c r="D186" s="69"/>
      <c r="E186" s="69"/>
      <c r="F186" s="69"/>
      <c r="G186" s="70"/>
      <c r="H186" s="71"/>
      <c r="I186" s="66"/>
      <c r="J186" s="67"/>
      <c r="K186" s="67"/>
      <c r="L186" s="67"/>
      <c r="M186" s="67"/>
      <c r="N186" s="145" t="str">
        <f t="shared" si="18"/>
        <v/>
      </c>
      <c r="O186" s="64"/>
      <c r="P186" s="64"/>
      <c r="Q186" s="152" t="str">
        <f t="shared" si="19"/>
        <v/>
      </c>
      <c r="R186" s="65" t="str">
        <f t="shared" si="26"/>
        <v/>
      </c>
      <c r="S186" s="5" t="str">
        <f t="shared" si="20"/>
        <v/>
      </c>
      <c r="T186" s="5" t="str">
        <f t="shared" si="21"/>
        <v/>
      </c>
      <c r="U186" s="5" t="str">
        <f t="shared" si="22"/>
        <v/>
      </c>
      <c r="V186" s="5" t="str">
        <f t="shared" si="23"/>
        <v/>
      </c>
      <c r="W186" s="5" t="str">
        <f t="shared" si="24"/>
        <v/>
      </c>
      <c r="X186" s="5" t="str">
        <f t="shared" si="25"/>
        <v/>
      </c>
    </row>
    <row r="187" spans="1:24">
      <c r="A187" s="91"/>
      <c r="B187" s="92"/>
      <c r="C187" s="69"/>
      <c r="D187" s="69"/>
      <c r="E187" s="69"/>
      <c r="F187" s="69"/>
      <c r="G187" s="70"/>
      <c r="H187" s="71"/>
      <c r="I187" s="66"/>
      <c r="J187" s="67"/>
      <c r="K187" s="67"/>
      <c r="L187" s="67"/>
      <c r="M187" s="67"/>
      <c r="N187" s="145" t="str">
        <f t="shared" si="18"/>
        <v/>
      </c>
      <c r="O187" s="64"/>
      <c r="P187" s="64"/>
      <c r="Q187" s="152" t="str">
        <f t="shared" si="19"/>
        <v/>
      </c>
      <c r="R187" s="65" t="str">
        <f t="shared" si="26"/>
        <v/>
      </c>
      <c r="S187" s="5" t="str">
        <f t="shared" si="20"/>
        <v/>
      </c>
      <c r="T187" s="5" t="str">
        <f t="shared" si="21"/>
        <v/>
      </c>
      <c r="U187" s="5" t="str">
        <f t="shared" si="22"/>
        <v/>
      </c>
      <c r="V187" s="5" t="str">
        <f t="shared" si="23"/>
        <v/>
      </c>
      <c r="W187" s="5" t="str">
        <f t="shared" si="24"/>
        <v/>
      </c>
      <c r="X187" s="5" t="str">
        <f t="shared" si="25"/>
        <v/>
      </c>
    </row>
    <row r="188" spans="1:24">
      <c r="A188" s="91"/>
      <c r="B188" s="92"/>
      <c r="C188" s="69"/>
      <c r="D188" s="69"/>
      <c r="E188" s="69"/>
      <c r="F188" s="69"/>
      <c r="G188" s="70"/>
      <c r="H188" s="71"/>
      <c r="I188" s="66"/>
      <c r="J188" s="67"/>
      <c r="K188" s="67"/>
      <c r="L188" s="67"/>
      <c r="M188" s="67"/>
      <c r="N188" s="145" t="str">
        <f t="shared" si="18"/>
        <v/>
      </c>
      <c r="O188" s="64"/>
      <c r="P188" s="64"/>
      <c r="Q188" s="152" t="str">
        <f t="shared" si="19"/>
        <v/>
      </c>
      <c r="R188" s="65" t="str">
        <f t="shared" si="26"/>
        <v/>
      </c>
      <c r="S188" s="5" t="str">
        <f t="shared" si="20"/>
        <v/>
      </c>
      <c r="T188" s="5" t="str">
        <f t="shared" si="21"/>
        <v/>
      </c>
      <c r="U188" s="5" t="str">
        <f t="shared" si="22"/>
        <v/>
      </c>
      <c r="V188" s="5" t="str">
        <f t="shared" si="23"/>
        <v/>
      </c>
      <c r="W188" s="5" t="str">
        <f t="shared" si="24"/>
        <v/>
      </c>
      <c r="X188" s="5" t="str">
        <f t="shared" si="25"/>
        <v/>
      </c>
    </row>
    <row r="189" spans="1:24">
      <c r="A189" s="91"/>
      <c r="B189" s="92"/>
      <c r="C189" s="69"/>
      <c r="D189" s="69"/>
      <c r="E189" s="69"/>
      <c r="F189" s="69"/>
      <c r="G189" s="70"/>
      <c r="H189" s="71"/>
      <c r="I189" s="66"/>
      <c r="J189" s="67"/>
      <c r="K189" s="67"/>
      <c r="L189" s="67"/>
      <c r="M189" s="67"/>
      <c r="N189" s="145" t="str">
        <f t="shared" si="18"/>
        <v/>
      </c>
      <c r="O189" s="64"/>
      <c r="P189" s="64"/>
      <c r="Q189" s="152" t="str">
        <f t="shared" si="19"/>
        <v/>
      </c>
      <c r="R189" s="65" t="str">
        <f t="shared" si="26"/>
        <v/>
      </c>
      <c r="S189" s="5" t="str">
        <f t="shared" si="20"/>
        <v/>
      </c>
      <c r="T189" s="5" t="str">
        <f t="shared" si="21"/>
        <v/>
      </c>
      <c r="U189" s="5" t="str">
        <f t="shared" si="22"/>
        <v/>
      </c>
      <c r="V189" s="5" t="str">
        <f t="shared" si="23"/>
        <v/>
      </c>
      <c r="W189" s="5" t="str">
        <f t="shared" si="24"/>
        <v/>
      </c>
      <c r="X189" s="5" t="str">
        <f t="shared" si="25"/>
        <v/>
      </c>
    </row>
    <row r="190" spans="1:24">
      <c r="A190" s="91"/>
      <c r="B190" s="92"/>
      <c r="C190" s="69"/>
      <c r="D190" s="69"/>
      <c r="E190" s="69"/>
      <c r="F190" s="69"/>
      <c r="G190" s="70"/>
      <c r="H190" s="71"/>
      <c r="I190" s="66"/>
      <c r="J190" s="67"/>
      <c r="K190" s="67"/>
      <c r="L190" s="67"/>
      <c r="M190" s="67"/>
      <c r="N190" s="145" t="str">
        <f t="shared" si="18"/>
        <v/>
      </c>
      <c r="O190" s="64"/>
      <c r="P190" s="64"/>
      <c r="Q190" s="152" t="str">
        <f t="shared" si="19"/>
        <v/>
      </c>
      <c r="R190" s="65" t="str">
        <f t="shared" si="26"/>
        <v/>
      </c>
      <c r="S190" s="5" t="str">
        <f t="shared" si="20"/>
        <v/>
      </c>
      <c r="T190" s="5" t="str">
        <f t="shared" si="21"/>
        <v/>
      </c>
      <c r="U190" s="5" t="str">
        <f t="shared" si="22"/>
        <v/>
      </c>
      <c r="V190" s="5" t="str">
        <f t="shared" si="23"/>
        <v/>
      </c>
      <c r="W190" s="5" t="str">
        <f t="shared" si="24"/>
        <v/>
      </c>
      <c r="X190" s="5" t="str">
        <f t="shared" si="25"/>
        <v/>
      </c>
    </row>
    <row r="191" spans="1:24">
      <c r="A191" s="91"/>
      <c r="B191" s="92"/>
      <c r="C191" s="69"/>
      <c r="D191" s="69"/>
      <c r="E191" s="69"/>
      <c r="F191" s="69"/>
      <c r="G191" s="70"/>
      <c r="H191" s="71"/>
      <c r="I191" s="66"/>
      <c r="J191" s="67"/>
      <c r="K191" s="67"/>
      <c r="L191" s="67"/>
      <c r="M191" s="67"/>
      <c r="N191" s="145" t="str">
        <f t="shared" si="18"/>
        <v/>
      </c>
      <c r="O191" s="64"/>
      <c r="P191" s="64"/>
      <c r="Q191" s="152" t="str">
        <f t="shared" si="19"/>
        <v/>
      </c>
      <c r="R191" s="65" t="str">
        <f t="shared" si="26"/>
        <v/>
      </c>
      <c r="S191" s="5" t="str">
        <f t="shared" si="20"/>
        <v/>
      </c>
      <c r="T191" s="5" t="str">
        <f t="shared" si="21"/>
        <v/>
      </c>
      <c r="U191" s="5" t="str">
        <f t="shared" si="22"/>
        <v/>
      </c>
      <c r="V191" s="5" t="str">
        <f t="shared" si="23"/>
        <v/>
      </c>
      <c r="W191" s="5" t="str">
        <f t="shared" si="24"/>
        <v/>
      </c>
      <c r="X191" s="5" t="str">
        <f t="shared" si="25"/>
        <v/>
      </c>
    </row>
    <row r="192" spans="1:24">
      <c r="A192" s="91"/>
      <c r="B192" s="92"/>
      <c r="C192" s="69"/>
      <c r="D192" s="69"/>
      <c r="E192" s="69"/>
      <c r="F192" s="69"/>
      <c r="G192" s="70"/>
      <c r="H192" s="71"/>
      <c r="I192" s="66"/>
      <c r="J192" s="67"/>
      <c r="K192" s="67"/>
      <c r="L192" s="67"/>
      <c r="M192" s="67"/>
      <c r="N192" s="145" t="str">
        <f t="shared" si="18"/>
        <v/>
      </c>
      <c r="O192" s="64"/>
      <c r="P192" s="64"/>
      <c r="Q192" s="152" t="str">
        <f t="shared" si="19"/>
        <v/>
      </c>
      <c r="R192" s="65" t="str">
        <f t="shared" si="26"/>
        <v/>
      </c>
      <c r="S192" s="5" t="str">
        <f t="shared" si="20"/>
        <v/>
      </c>
      <c r="T192" s="5" t="str">
        <f t="shared" si="21"/>
        <v/>
      </c>
      <c r="U192" s="5" t="str">
        <f t="shared" si="22"/>
        <v/>
      </c>
      <c r="V192" s="5" t="str">
        <f t="shared" si="23"/>
        <v/>
      </c>
      <c r="W192" s="5" t="str">
        <f t="shared" si="24"/>
        <v/>
      </c>
      <c r="X192" s="5" t="str">
        <f t="shared" si="25"/>
        <v/>
      </c>
    </row>
    <row r="193" spans="1:24">
      <c r="A193" s="91"/>
      <c r="B193" s="92"/>
      <c r="C193" s="69"/>
      <c r="D193" s="69"/>
      <c r="E193" s="69"/>
      <c r="F193" s="69"/>
      <c r="G193" s="70"/>
      <c r="H193" s="71"/>
      <c r="I193" s="66"/>
      <c r="J193" s="67"/>
      <c r="K193" s="67"/>
      <c r="L193" s="67"/>
      <c r="M193" s="67"/>
      <c r="N193" s="145" t="str">
        <f t="shared" si="18"/>
        <v/>
      </c>
      <c r="O193" s="64"/>
      <c r="P193" s="64"/>
      <c r="Q193" s="152" t="str">
        <f t="shared" si="19"/>
        <v/>
      </c>
      <c r="R193" s="65" t="str">
        <f t="shared" si="26"/>
        <v/>
      </c>
      <c r="S193" s="5" t="str">
        <f t="shared" si="20"/>
        <v/>
      </c>
      <c r="T193" s="5" t="str">
        <f t="shared" si="21"/>
        <v/>
      </c>
      <c r="U193" s="5" t="str">
        <f t="shared" si="22"/>
        <v/>
      </c>
      <c r="V193" s="5" t="str">
        <f t="shared" si="23"/>
        <v/>
      </c>
      <c r="W193" s="5" t="str">
        <f t="shared" si="24"/>
        <v/>
      </c>
      <c r="X193" s="5" t="str">
        <f t="shared" si="25"/>
        <v/>
      </c>
    </row>
    <row r="194" spans="1:24">
      <c r="A194" s="91"/>
      <c r="B194" s="92"/>
      <c r="C194" s="69"/>
      <c r="D194" s="69"/>
      <c r="E194" s="69"/>
      <c r="F194" s="69"/>
      <c r="G194" s="70"/>
      <c r="H194" s="71"/>
      <c r="I194" s="66"/>
      <c r="J194" s="67"/>
      <c r="K194" s="67"/>
      <c r="L194" s="67"/>
      <c r="M194" s="67"/>
      <c r="N194" s="145" t="str">
        <f t="shared" si="18"/>
        <v/>
      </c>
      <c r="O194" s="64"/>
      <c r="P194" s="64"/>
      <c r="Q194" s="152" t="str">
        <f t="shared" si="19"/>
        <v/>
      </c>
      <c r="R194" s="65" t="str">
        <f t="shared" si="26"/>
        <v/>
      </c>
      <c r="S194" s="5" t="str">
        <f t="shared" si="20"/>
        <v/>
      </c>
      <c r="T194" s="5" t="str">
        <f t="shared" si="21"/>
        <v/>
      </c>
      <c r="U194" s="5" t="str">
        <f t="shared" si="22"/>
        <v/>
      </c>
      <c r="V194" s="5" t="str">
        <f t="shared" si="23"/>
        <v/>
      </c>
      <c r="W194" s="5" t="str">
        <f t="shared" si="24"/>
        <v/>
      </c>
      <c r="X194" s="5" t="str">
        <f t="shared" si="25"/>
        <v/>
      </c>
    </row>
    <row r="195" spans="1:24">
      <c r="A195" s="91"/>
      <c r="B195" s="92"/>
      <c r="C195" s="69"/>
      <c r="D195" s="69"/>
      <c r="E195" s="69"/>
      <c r="F195" s="69"/>
      <c r="G195" s="70"/>
      <c r="H195" s="71"/>
      <c r="I195" s="66"/>
      <c r="J195" s="67"/>
      <c r="K195" s="67"/>
      <c r="L195" s="67"/>
      <c r="M195" s="67"/>
      <c r="N195" s="145" t="str">
        <f t="shared" si="18"/>
        <v/>
      </c>
      <c r="O195" s="64"/>
      <c r="P195" s="64"/>
      <c r="Q195" s="152" t="str">
        <f t="shared" si="19"/>
        <v/>
      </c>
      <c r="R195" s="65" t="str">
        <f t="shared" si="26"/>
        <v/>
      </c>
      <c r="S195" s="5" t="str">
        <f t="shared" si="20"/>
        <v/>
      </c>
      <c r="T195" s="5" t="str">
        <f t="shared" si="21"/>
        <v/>
      </c>
      <c r="U195" s="5" t="str">
        <f t="shared" si="22"/>
        <v/>
      </c>
      <c r="V195" s="5" t="str">
        <f t="shared" si="23"/>
        <v/>
      </c>
      <c r="W195" s="5" t="str">
        <f t="shared" si="24"/>
        <v/>
      </c>
      <c r="X195" s="5" t="str">
        <f t="shared" si="25"/>
        <v/>
      </c>
    </row>
    <row r="196" spans="1:24">
      <c r="A196" s="91"/>
      <c r="B196" s="92"/>
      <c r="C196" s="69"/>
      <c r="D196" s="69"/>
      <c r="E196" s="69"/>
      <c r="F196" s="69"/>
      <c r="G196" s="70"/>
      <c r="H196" s="71"/>
      <c r="I196" s="66"/>
      <c r="J196" s="67"/>
      <c r="K196" s="67"/>
      <c r="L196" s="67"/>
      <c r="M196" s="67"/>
      <c r="N196" s="145" t="str">
        <f t="shared" si="18"/>
        <v/>
      </c>
      <c r="O196" s="64"/>
      <c r="P196" s="64"/>
      <c r="Q196" s="152" t="str">
        <f t="shared" si="19"/>
        <v/>
      </c>
      <c r="R196" s="65" t="str">
        <f t="shared" si="26"/>
        <v/>
      </c>
      <c r="S196" s="5" t="str">
        <f t="shared" si="20"/>
        <v/>
      </c>
      <c r="T196" s="5" t="str">
        <f t="shared" si="21"/>
        <v/>
      </c>
      <c r="U196" s="5" t="str">
        <f t="shared" si="22"/>
        <v/>
      </c>
      <c r="V196" s="5" t="str">
        <f t="shared" si="23"/>
        <v/>
      </c>
      <c r="W196" s="5" t="str">
        <f t="shared" si="24"/>
        <v/>
      </c>
      <c r="X196" s="5" t="str">
        <f t="shared" si="25"/>
        <v/>
      </c>
    </row>
    <row r="197" spans="1:24">
      <c r="A197" s="91"/>
      <c r="B197" s="92"/>
      <c r="C197" s="69"/>
      <c r="D197" s="69"/>
      <c r="E197" s="69"/>
      <c r="F197" s="69"/>
      <c r="G197" s="70"/>
      <c r="H197" s="71"/>
      <c r="I197" s="66"/>
      <c r="J197" s="67"/>
      <c r="K197" s="67"/>
      <c r="L197" s="67"/>
      <c r="M197" s="67"/>
      <c r="N197" s="145" t="str">
        <f t="shared" si="18"/>
        <v/>
      </c>
      <c r="O197" s="64"/>
      <c r="P197" s="64"/>
      <c r="Q197" s="152" t="str">
        <f t="shared" si="19"/>
        <v/>
      </c>
      <c r="R197" s="65" t="str">
        <f t="shared" si="26"/>
        <v/>
      </c>
      <c r="S197" s="5" t="str">
        <f t="shared" si="20"/>
        <v/>
      </c>
      <c r="T197" s="5" t="str">
        <f t="shared" si="21"/>
        <v/>
      </c>
      <c r="U197" s="5" t="str">
        <f t="shared" si="22"/>
        <v/>
      </c>
      <c r="V197" s="5" t="str">
        <f t="shared" si="23"/>
        <v/>
      </c>
      <c r="W197" s="5" t="str">
        <f t="shared" si="24"/>
        <v/>
      </c>
      <c r="X197" s="5" t="str">
        <f t="shared" si="25"/>
        <v/>
      </c>
    </row>
    <row r="198" spans="1:24">
      <c r="A198" s="91"/>
      <c r="B198" s="92"/>
      <c r="C198" s="69"/>
      <c r="D198" s="69"/>
      <c r="E198" s="69"/>
      <c r="F198" s="69"/>
      <c r="G198" s="70"/>
      <c r="H198" s="71"/>
      <c r="I198" s="66"/>
      <c r="J198" s="67"/>
      <c r="K198" s="67"/>
      <c r="L198" s="67"/>
      <c r="M198" s="67"/>
      <c r="N198" s="145" t="str">
        <f t="shared" si="18"/>
        <v/>
      </c>
      <c r="O198" s="64"/>
      <c r="P198" s="64"/>
      <c r="Q198" s="152" t="str">
        <f t="shared" si="19"/>
        <v/>
      </c>
      <c r="R198" s="65" t="str">
        <f t="shared" si="26"/>
        <v/>
      </c>
      <c r="S198" s="5" t="str">
        <f t="shared" si="20"/>
        <v/>
      </c>
      <c r="T198" s="5" t="str">
        <f t="shared" si="21"/>
        <v/>
      </c>
      <c r="U198" s="5" t="str">
        <f t="shared" si="22"/>
        <v/>
      </c>
      <c r="V198" s="5" t="str">
        <f t="shared" si="23"/>
        <v/>
      </c>
      <c r="W198" s="5" t="str">
        <f t="shared" si="24"/>
        <v/>
      </c>
      <c r="X198" s="5" t="str">
        <f t="shared" si="25"/>
        <v/>
      </c>
    </row>
    <row r="199" spans="1:24">
      <c r="A199" s="91"/>
      <c r="B199" s="92"/>
      <c r="C199" s="69"/>
      <c r="D199" s="69"/>
      <c r="E199" s="69"/>
      <c r="F199" s="69"/>
      <c r="G199" s="70"/>
      <c r="H199" s="71"/>
      <c r="I199" s="66"/>
      <c r="J199" s="67"/>
      <c r="K199" s="67"/>
      <c r="L199" s="67"/>
      <c r="M199" s="67"/>
      <c r="N199" s="145" t="str">
        <f t="shared" ref="N199:N262" si="27">IF($C199="","",IF($L199+$M199=0,0,$L199/($L199+$M199)))</f>
        <v/>
      </c>
      <c r="O199" s="64"/>
      <c r="P199" s="64"/>
      <c r="Q199" s="152" t="str">
        <f t="shared" ref="Q199:Q262" si="28">IF($C199="","",($O199-($P199/2)))</f>
        <v/>
      </c>
      <c r="R199" s="65" t="str">
        <f t="shared" si="26"/>
        <v/>
      </c>
      <c r="S199" s="5" t="str">
        <f t="shared" ref="S199:S262" si="29">IF($C199="","",I199*40.02)</f>
        <v/>
      </c>
      <c r="T199" s="5" t="str">
        <f t="shared" ref="T199:T262" si="30">IF($C199="","",J199*11.8)</f>
        <v/>
      </c>
      <c r="U199" s="5" t="str">
        <f t="shared" ref="U199:U262" si="31">IF($C199="","",K199*19.83)</f>
        <v/>
      </c>
      <c r="V199" s="5" t="str">
        <f t="shared" ref="V199:V262" si="32">IF($C199="","",L199*39.42)</f>
        <v/>
      </c>
      <c r="W199" s="5" t="str">
        <f t="shared" ref="W199:W262" si="33">IF($C199="","",N199*0.09)</f>
        <v/>
      </c>
      <c r="X199" s="5" t="str">
        <f t="shared" ref="X199:X262" si="34">IF($C199="","",Q199*4.79)</f>
        <v/>
      </c>
    </row>
    <row r="200" spans="1:24">
      <c r="A200" s="91"/>
      <c r="B200" s="92"/>
      <c r="C200" s="69"/>
      <c r="D200" s="69"/>
      <c r="E200" s="69"/>
      <c r="F200" s="69"/>
      <c r="G200" s="70"/>
      <c r="H200" s="71"/>
      <c r="I200" s="66"/>
      <c r="J200" s="67"/>
      <c r="K200" s="67"/>
      <c r="L200" s="67"/>
      <c r="M200" s="67"/>
      <c r="N200" s="145" t="str">
        <f t="shared" si="27"/>
        <v/>
      </c>
      <c r="O200" s="64"/>
      <c r="P200" s="64"/>
      <c r="Q200" s="152" t="str">
        <f t="shared" si="28"/>
        <v/>
      </c>
      <c r="R200" s="65" t="str">
        <f t="shared" ref="R200:R263" si="35">IF($C200="","",IF(TRIM($B200)="beginning",(((SUM($S200:$X200)-10051)/4349)*40)+360,IF(TRIM($B200)="middle",(((SUM($S200:$X200)-10051)/4349)*40)+400,IF(TRIM($B200)="end",(((SUM($S200:$X200)-10051)/4349)*40)+440,""))))</f>
        <v/>
      </c>
      <c r="S200" s="5" t="str">
        <f t="shared" si="29"/>
        <v/>
      </c>
      <c r="T200" s="5" t="str">
        <f t="shared" si="30"/>
        <v/>
      </c>
      <c r="U200" s="5" t="str">
        <f t="shared" si="31"/>
        <v/>
      </c>
      <c r="V200" s="5" t="str">
        <f t="shared" si="32"/>
        <v/>
      </c>
      <c r="W200" s="5" t="str">
        <f t="shared" si="33"/>
        <v/>
      </c>
      <c r="X200" s="5" t="str">
        <f t="shared" si="34"/>
        <v/>
      </c>
    </row>
    <row r="201" spans="1:24">
      <c r="A201" s="91"/>
      <c r="B201" s="92"/>
      <c r="C201" s="69"/>
      <c r="D201" s="69"/>
      <c r="E201" s="69"/>
      <c r="F201" s="69"/>
      <c r="G201" s="70"/>
      <c r="H201" s="71"/>
      <c r="I201" s="66"/>
      <c r="J201" s="67"/>
      <c r="K201" s="67"/>
      <c r="L201" s="67"/>
      <c r="M201" s="67"/>
      <c r="N201" s="145" t="str">
        <f t="shared" si="27"/>
        <v/>
      </c>
      <c r="O201" s="64"/>
      <c r="P201" s="64"/>
      <c r="Q201" s="152" t="str">
        <f t="shared" si="28"/>
        <v/>
      </c>
      <c r="R201" s="65" t="str">
        <f t="shared" si="35"/>
        <v/>
      </c>
      <c r="S201" s="5" t="str">
        <f t="shared" si="29"/>
        <v/>
      </c>
      <c r="T201" s="5" t="str">
        <f t="shared" si="30"/>
        <v/>
      </c>
      <c r="U201" s="5" t="str">
        <f t="shared" si="31"/>
        <v/>
      </c>
      <c r="V201" s="5" t="str">
        <f t="shared" si="32"/>
        <v/>
      </c>
      <c r="W201" s="5" t="str">
        <f t="shared" si="33"/>
        <v/>
      </c>
      <c r="X201" s="5" t="str">
        <f t="shared" si="34"/>
        <v/>
      </c>
    </row>
    <row r="202" spans="1:24">
      <c r="A202" s="91"/>
      <c r="B202" s="92"/>
      <c r="C202" s="69"/>
      <c r="D202" s="69"/>
      <c r="E202" s="69"/>
      <c r="F202" s="69"/>
      <c r="G202" s="70"/>
      <c r="H202" s="71"/>
      <c r="I202" s="66"/>
      <c r="J202" s="67"/>
      <c r="K202" s="67"/>
      <c r="L202" s="67"/>
      <c r="M202" s="67"/>
      <c r="N202" s="145" t="str">
        <f t="shared" si="27"/>
        <v/>
      </c>
      <c r="O202" s="64"/>
      <c r="P202" s="64"/>
      <c r="Q202" s="152" t="str">
        <f t="shared" si="28"/>
        <v/>
      </c>
      <c r="R202" s="65" t="str">
        <f t="shared" si="35"/>
        <v/>
      </c>
      <c r="S202" s="5" t="str">
        <f t="shared" si="29"/>
        <v/>
      </c>
      <c r="T202" s="5" t="str">
        <f t="shared" si="30"/>
        <v/>
      </c>
      <c r="U202" s="5" t="str">
        <f t="shared" si="31"/>
        <v/>
      </c>
      <c r="V202" s="5" t="str">
        <f t="shared" si="32"/>
        <v/>
      </c>
      <c r="W202" s="5" t="str">
        <f t="shared" si="33"/>
        <v/>
      </c>
      <c r="X202" s="5" t="str">
        <f t="shared" si="34"/>
        <v/>
      </c>
    </row>
    <row r="203" spans="1:24">
      <c r="A203" s="91"/>
      <c r="B203" s="92"/>
      <c r="C203" s="69"/>
      <c r="D203" s="69"/>
      <c r="E203" s="69"/>
      <c r="F203" s="69"/>
      <c r="G203" s="70"/>
      <c r="H203" s="71"/>
      <c r="I203" s="66"/>
      <c r="J203" s="67"/>
      <c r="K203" s="67"/>
      <c r="L203" s="67"/>
      <c r="M203" s="67"/>
      <c r="N203" s="145" t="str">
        <f t="shared" si="27"/>
        <v/>
      </c>
      <c r="O203" s="64"/>
      <c r="P203" s="64"/>
      <c r="Q203" s="152" t="str">
        <f t="shared" si="28"/>
        <v/>
      </c>
      <c r="R203" s="65" t="str">
        <f t="shared" si="35"/>
        <v/>
      </c>
      <c r="S203" s="5" t="str">
        <f t="shared" si="29"/>
        <v/>
      </c>
      <c r="T203" s="5" t="str">
        <f t="shared" si="30"/>
        <v/>
      </c>
      <c r="U203" s="5" t="str">
        <f t="shared" si="31"/>
        <v/>
      </c>
      <c r="V203" s="5" t="str">
        <f t="shared" si="32"/>
        <v/>
      </c>
      <c r="W203" s="5" t="str">
        <f t="shared" si="33"/>
        <v/>
      </c>
      <c r="X203" s="5" t="str">
        <f t="shared" si="34"/>
        <v/>
      </c>
    </row>
    <row r="204" spans="1:24">
      <c r="A204" s="91"/>
      <c r="B204" s="92"/>
      <c r="C204" s="69"/>
      <c r="D204" s="69"/>
      <c r="E204" s="69"/>
      <c r="F204" s="69"/>
      <c r="G204" s="70"/>
      <c r="H204" s="71"/>
      <c r="I204" s="66"/>
      <c r="J204" s="67"/>
      <c r="K204" s="67"/>
      <c r="L204" s="67"/>
      <c r="M204" s="67"/>
      <c r="N204" s="145" t="str">
        <f t="shared" si="27"/>
        <v/>
      </c>
      <c r="O204" s="64"/>
      <c r="P204" s="64"/>
      <c r="Q204" s="152" t="str">
        <f t="shared" si="28"/>
        <v/>
      </c>
      <c r="R204" s="65" t="str">
        <f t="shared" si="35"/>
        <v/>
      </c>
      <c r="S204" s="5" t="str">
        <f t="shared" si="29"/>
        <v/>
      </c>
      <c r="T204" s="5" t="str">
        <f t="shared" si="30"/>
        <v/>
      </c>
      <c r="U204" s="5" t="str">
        <f t="shared" si="31"/>
        <v/>
      </c>
      <c r="V204" s="5" t="str">
        <f t="shared" si="32"/>
        <v/>
      </c>
      <c r="W204" s="5" t="str">
        <f t="shared" si="33"/>
        <v/>
      </c>
      <c r="X204" s="5" t="str">
        <f t="shared" si="34"/>
        <v/>
      </c>
    </row>
    <row r="205" spans="1:24">
      <c r="A205" s="91"/>
      <c r="B205" s="92"/>
      <c r="C205" s="69"/>
      <c r="D205" s="69"/>
      <c r="E205" s="69"/>
      <c r="F205" s="69"/>
      <c r="G205" s="70"/>
      <c r="H205" s="71"/>
      <c r="I205" s="66"/>
      <c r="J205" s="67"/>
      <c r="K205" s="67"/>
      <c r="L205" s="67"/>
      <c r="M205" s="67"/>
      <c r="N205" s="145" t="str">
        <f t="shared" si="27"/>
        <v/>
      </c>
      <c r="O205" s="64"/>
      <c r="P205" s="64"/>
      <c r="Q205" s="152" t="str">
        <f t="shared" si="28"/>
        <v/>
      </c>
      <c r="R205" s="65" t="str">
        <f t="shared" si="35"/>
        <v/>
      </c>
      <c r="S205" s="5" t="str">
        <f t="shared" si="29"/>
        <v/>
      </c>
      <c r="T205" s="5" t="str">
        <f t="shared" si="30"/>
        <v/>
      </c>
      <c r="U205" s="5" t="str">
        <f t="shared" si="31"/>
        <v/>
      </c>
      <c r="V205" s="5" t="str">
        <f t="shared" si="32"/>
        <v/>
      </c>
      <c r="W205" s="5" t="str">
        <f t="shared" si="33"/>
        <v/>
      </c>
      <c r="X205" s="5" t="str">
        <f t="shared" si="34"/>
        <v/>
      </c>
    </row>
    <row r="206" spans="1:24">
      <c r="A206" s="91"/>
      <c r="B206" s="92"/>
      <c r="C206" s="69"/>
      <c r="D206" s="69"/>
      <c r="E206" s="69"/>
      <c r="F206" s="69"/>
      <c r="G206" s="70"/>
      <c r="H206" s="71"/>
      <c r="I206" s="66"/>
      <c r="J206" s="67"/>
      <c r="K206" s="67"/>
      <c r="L206" s="67"/>
      <c r="M206" s="67"/>
      <c r="N206" s="145" t="str">
        <f t="shared" si="27"/>
        <v/>
      </c>
      <c r="O206" s="64"/>
      <c r="P206" s="64"/>
      <c r="Q206" s="152" t="str">
        <f t="shared" si="28"/>
        <v/>
      </c>
      <c r="R206" s="65" t="str">
        <f t="shared" si="35"/>
        <v/>
      </c>
      <c r="S206" s="5" t="str">
        <f t="shared" si="29"/>
        <v/>
      </c>
      <c r="T206" s="5" t="str">
        <f t="shared" si="30"/>
        <v/>
      </c>
      <c r="U206" s="5" t="str">
        <f t="shared" si="31"/>
        <v/>
      </c>
      <c r="V206" s="5" t="str">
        <f t="shared" si="32"/>
        <v/>
      </c>
      <c r="W206" s="5" t="str">
        <f t="shared" si="33"/>
        <v/>
      </c>
      <c r="X206" s="5" t="str">
        <f t="shared" si="34"/>
        <v/>
      </c>
    </row>
    <row r="207" spans="1:24">
      <c r="A207" s="91"/>
      <c r="B207" s="92"/>
      <c r="C207" s="69"/>
      <c r="D207" s="69"/>
      <c r="E207" s="69"/>
      <c r="F207" s="69"/>
      <c r="G207" s="70"/>
      <c r="H207" s="71"/>
      <c r="I207" s="66"/>
      <c r="J207" s="67"/>
      <c r="K207" s="67"/>
      <c r="L207" s="67"/>
      <c r="M207" s="67"/>
      <c r="N207" s="145" t="str">
        <f t="shared" si="27"/>
        <v/>
      </c>
      <c r="O207" s="64"/>
      <c r="P207" s="64"/>
      <c r="Q207" s="152" t="str">
        <f t="shared" si="28"/>
        <v/>
      </c>
      <c r="R207" s="65" t="str">
        <f t="shared" si="35"/>
        <v/>
      </c>
      <c r="S207" s="5" t="str">
        <f t="shared" si="29"/>
        <v/>
      </c>
      <c r="T207" s="5" t="str">
        <f t="shared" si="30"/>
        <v/>
      </c>
      <c r="U207" s="5" t="str">
        <f t="shared" si="31"/>
        <v/>
      </c>
      <c r="V207" s="5" t="str">
        <f t="shared" si="32"/>
        <v/>
      </c>
      <c r="W207" s="5" t="str">
        <f t="shared" si="33"/>
        <v/>
      </c>
      <c r="X207" s="5" t="str">
        <f t="shared" si="34"/>
        <v/>
      </c>
    </row>
    <row r="208" spans="1:24">
      <c r="A208" s="91"/>
      <c r="B208" s="92"/>
      <c r="C208" s="69"/>
      <c r="D208" s="69"/>
      <c r="E208" s="69"/>
      <c r="F208" s="69"/>
      <c r="G208" s="70"/>
      <c r="H208" s="71"/>
      <c r="I208" s="66"/>
      <c r="J208" s="67"/>
      <c r="K208" s="67"/>
      <c r="L208" s="67"/>
      <c r="M208" s="67"/>
      <c r="N208" s="145" t="str">
        <f t="shared" si="27"/>
        <v/>
      </c>
      <c r="O208" s="64"/>
      <c r="P208" s="64"/>
      <c r="Q208" s="152" t="str">
        <f t="shared" si="28"/>
        <v/>
      </c>
      <c r="R208" s="65" t="str">
        <f t="shared" si="35"/>
        <v/>
      </c>
      <c r="S208" s="5" t="str">
        <f t="shared" si="29"/>
        <v/>
      </c>
      <c r="T208" s="5" t="str">
        <f t="shared" si="30"/>
        <v/>
      </c>
      <c r="U208" s="5" t="str">
        <f t="shared" si="31"/>
        <v/>
      </c>
      <c r="V208" s="5" t="str">
        <f t="shared" si="32"/>
        <v/>
      </c>
      <c r="W208" s="5" t="str">
        <f t="shared" si="33"/>
        <v/>
      </c>
      <c r="X208" s="5" t="str">
        <f t="shared" si="34"/>
        <v/>
      </c>
    </row>
    <row r="209" spans="1:24">
      <c r="A209" s="91"/>
      <c r="B209" s="92"/>
      <c r="C209" s="69"/>
      <c r="D209" s="69"/>
      <c r="E209" s="69"/>
      <c r="F209" s="69"/>
      <c r="G209" s="70"/>
      <c r="H209" s="71"/>
      <c r="I209" s="66"/>
      <c r="J209" s="67"/>
      <c r="K209" s="67"/>
      <c r="L209" s="67"/>
      <c r="M209" s="67"/>
      <c r="N209" s="145" t="str">
        <f t="shared" si="27"/>
        <v/>
      </c>
      <c r="O209" s="64"/>
      <c r="P209" s="64"/>
      <c r="Q209" s="152" t="str">
        <f t="shared" si="28"/>
        <v/>
      </c>
      <c r="R209" s="65" t="str">
        <f t="shared" si="35"/>
        <v/>
      </c>
      <c r="S209" s="5" t="str">
        <f t="shared" si="29"/>
        <v/>
      </c>
      <c r="T209" s="5" t="str">
        <f t="shared" si="30"/>
        <v/>
      </c>
      <c r="U209" s="5" t="str">
        <f t="shared" si="31"/>
        <v/>
      </c>
      <c r="V209" s="5" t="str">
        <f t="shared" si="32"/>
        <v/>
      </c>
      <c r="W209" s="5" t="str">
        <f t="shared" si="33"/>
        <v/>
      </c>
      <c r="X209" s="5" t="str">
        <f t="shared" si="34"/>
        <v/>
      </c>
    </row>
    <row r="210" spans="1:24">
      <c r="A210" s="91"/>
      <c r="B210" s="92"/>
      <c r="C210" s="69"/>
      <c r="D210" s="69"/>
      <c r="E210" s="69"/>
      <c r="F210" s="69"/>
      <c r="G210" s="70"/>
      <c r="H210" s="71"/>
      <c r="I210" s="66"/>
      <c r="J210" s="67"/>
      <c r="K210" s="67"/>
      <c r="L210" s="67"/>
      <c r="M210" s="67"/>
      <c r="N210" s="145" t="str">
        <f t="shared" si="27"/>
        <v/>
      </c>
      <c r="O210" s="64"/>
      <c r="P210" s="64"/>
      <c r="Q210" s="152" t="str">
        <f t="shared" si="28"/>
        <v/>
      </c>
      <c r="R210" s="65" t="str">
        <f t="shared" si="35"/>
        <v/>
      </c>
      <c r="S210" s="5" t="str">
        <f t="shared" si="29"/>
        <v/>
      </c>
      <c r="T210" s="5" t="str">
        <f t="shared" si="30"/>
        <v/>
      </c>
      <c r="U210" s="5" t="str">
        <f t="shared" si="31"/>
        <v/>
      </c>
      <c r="V210" s="5" t="str">
        <f t="shared" si="32"/>
        <v/>
      </c>
      <c r="W210" s="5" t="str">
        <f t="shared" si="33"/>
        <v/>
      </c>
      <c r="X210" s="5" t="str">
        <f t="shared" si="34"/>
        <v/>
      </c>
    </row>
    <row r="211" spans="1:24">
      <c r="A211" s="91"/>
      <c r="B211" s="92"/>
      <c r="C211" s="69"/>
      <c r="D211" s="69"/>
      <c r="E211" s="69"/>
      <c r="F211" s="69"/>
      <c r="G211" s="70"/>
      <c r="H211" s="71"/>
      <c r="I211" s="66"/>
      <c r="J211" s="67"/>
      <c r="K211" s="67"/>
      <c r="L211" s="67"/>
      <c r="M211" s="67"/>
      <c r="N211" s="145" t="str">
        <f t="shared" si="27"/>
        <v/>
      </c>
      <c r="O211" s="64"/>
      <c r="P211" s="64"/>
      <c r="Q211" s="152" t="str">
        <f t="shared" si="28"/>
        <v/>
      </c>
      <c r="R211" s="65" t="str">
        <f t="shared" si="35"/>
        <v/>
      </c>
      <c r="S211" s="5" t="str">
        <f t="shared" si="29"/>
        <v/>
      </c>
      <c r="T211" s="5" t="str">
        <f t="shared" si="30"/>
        <v/>
      </c>
      <c r="U211" s="5" t="str">
        <f t="shared" si="31"/>
        <v/>
      </c>
      <c r="V211" s="5" t="str">
        <f t="shared" si="32"/>
        <v/>
      </c>
      <c r="W211" s="5" t="str">
        <f t="shared" si="33"/>
        <v/>
      </c>
      <c r="X211" s="5" t="str">
        <f t="shared" si="34"/>
        <v/>
      </c>
    </row>
    <row r="212" spans="1:24">
      <c r="A212" s="91"/>
      <c r="B212" s="92"/>
      <c r="C212" s="69"/>
      <c r="D212" s="69"/>
      <c r="E212" s="69"/>
      <c r="F212" s="69"/>
      <c r="G212" s="70"/>
      <c r="H212" s="71"/>
      <c r="I212" s="66"/>
      <c r="J212" s="67"/>
      <c r="K212" s="67"/>
      <c r="L212" s="67"/>
      <c r="M212" s="67"/>
      <c r="N212" s="145" t="str">
        <f t="shared" si="27"/>
        <v/>
      </c>
      <c r="O212" s="64"/>
      <c r="P212" s="64"/>
      <c r="Q212" s="152" t="str">
        <f t="shared" si="28"/>
        <v/>
      </c>
      <c r="R212" s="65" t="str">
        <f t="shared" si="35"/>
        <v/>
      </c>
      <c r="S212" s="5" t="str">
        <f t="shared" si="29"/>
        <v/>
      </c>
      <c r="T212" s="5" t="str">
        <f t="shared" si="30"/>
        <v/>
      </c>
      <c r="U212" s="5" t="str">
        <f t="shared" si="31"/>
        <v/>
      </c>
      <c r="V212" s="5" t="str">
        <f t="shared" si="32"/>
        <v/>
      </c>
      <c r="W212" s="5" t="str">
        <f t="shared" si="33"/>
        <v/>
      </c>
      <c r="X212" s="5" t="str">
        <f t="shared" si="34"/>
        <v/>
      </c>
    </row>
    <row r="213" spans="1:24">
      <c r="A213" s="91"/>
      <c r="B213" s="92"/>
      <c r="C213" s="69"/>
      <c r="D213" s="69"/>
      <c r="E213" s="69"/>
      <c r="F213" s="69"/>
      <c r="G213" s="70"/>
      <c r="H213" s="71"/>
      <c r="I213" s="66"/>
      <c r="J213" s="67"/>
      <c r="K213" s="67"/>
      <c r="L213" s="67"/>
      <c r="M213" s="67"/>
      <c r="N213" s="145" t="str">
        <f t="shared" si="27"/>
        <v/>
      </c>
      <c r="O213" s="64"/>
      <c r="P213" s="64"/>
      <c r="Q213" s="152" t="str">
        <f t="shared" si="28"/>
        <v/>
      </c>
      <c r="R213" s="65" t="str">
        <f t="shared" si="35"/>
        <v/>
      </c>
      <c r="S213" s="5" t="str">
        <f t="shared" si="29"/>
        <v/>
      </c>
      <c r="T213" s="5" t="str">
        <f t="shared" si="30"/>
        <v/>
      </c>
      <c r="U213" s="5" t="str">
        <f t="shared" si="31"/>
        <v/>
      </c>
      <c r="V213" s="5" t="str">
        <f t="shared" si="32"/>
        <v/>
      </c>
      <c r="W213" s="5" t="str">
        <f t="shared" si="33"/>
        <v/>
      </c>
      <c r="X213" s="5" t="str">
        <f t="shared" si="34"/>
        <v/>
      </c>
    </row>
    <row r="214" spans="1:24">
      <c r="A214" s="91"/>
      <c r="B214" s="92"/>
      <c r="C214" s="69"/>
      <c r="D214" s="69"/>
      <c r="E214" s="69"/>
      <c r="F214" s="69"/>
      <c r="G214" s="70"/>
      <c r="H214" s="71"/>
      <c r="I214" s="66"/>
      <c r="J214" s="67"/>
      <c r="K214" s="67"/>
      <c r="L214" s="67"/>
      <c r="M214" s="67"/>
      <c r="N214" s="145" t="str">
        <f t="shared" si="27"/>
        <v/>
      </c>
      <c r="O214" s="64"/>
      <c r="P214" s="64"/>
      <c r="Q214" s="152" t="str">
        <f t="shared" si="28"/>
        <v/>
      </c>
      <c r="R214" s="65" t="str">
        <f t="shared" si="35"/>
        <v/>
      </c>
      <c r="S214" s="5" t="str">
        <f t="shared" si="29"/>
        <v/>
      </c>
      <c r="T214" s="5" t="str">
        <f t="shared" si="30"/>
        <v/>
      </c>
      <c r="U214" s="5" t="str">
        <f t="shared" si="31"/>
        <v/>
      </c>
      <c r="V214" s="5" t="str">
        <f t="shared" si="32"/>
        <v/>
      </c>
      <c r="W214" s="5" t="str">
        <f t="shared" si="33"/>
        <v/>
      </c>
      <c r="X214" s="5" t="str">
        <f t="shared" si="34"/>
        <v/>
      </c>
    </row>
    <row r="215" spans="1:24">
      <c r="A215" s="91"/>
      <c r="B215" s="92"/>
      <c r="C215" s="69"/>
      <c r="D215" s="69"/>
      <c r="E215" s="69"/>
      <c r="F215" s="69"/>
      <c r="G215" s="70"/>
      <c r="H215" s="71"/>
      <c r="I215" s="66"/>
      <c r="J215" s="67"/>
      <c r="K215" s="67"/>
      <c r="L215" s="67"/>
      <c r="M215" s="67"/>
      <c r="N215" s="145" t="str">
        <f t="shared" si="27"/>
        <v/>
      </c>
      <c r="O215" s="64"/>
      <c r="P215" s="64"/>
      <c r="Q215" s="152" t="str">
        <f t="shared" si="28"/>
        <v/>
      </c>
      <c r="R215" s="65" t="str">
        <f t="shared" si="35"/>
        <v/>
      </c>
      <c r="S215" s="5" t="str">
        <f t="shared" si="29"/>
        <v/>
      </c>
      <c r="T215" s="5" t="str">
        <f t="shared" si="30"/>
        <v/>
      </c>
      <c r="U215" s="5" t="str">
        <f t="shared" si="31"/>
        <v/>
      </c>
      <c r="V215" s="5" t="str">
        <f t="shared" si="32"/>
        <v/>
      </c>
      <c r="W215" s="5" t="str">
        <f t="shared" si="33"/>
        <v/>
      </c>
      <c r="X215" s="5" t="str">
        <f t="shared" si="34"/>
        <v/>
      </c>
    </row>
    <row r="216" spans="1:24">
      <c r="A216" s="91"/>
      <c r="B216" s="92"/>
      <c r="C216" s="69"/>
      <c r="D216" s="69"/>
      <c r="E216" s="69"/>
      <c r="F216" s="69"/>
      <c r="G216" s="70"/>
      <c r="H216" s="71"/>
      <c r="I216" s="66"/>
      <c r="J216" s="67"/>
      <c r="K216" s="67"/>
      <c r="L216" s="67"/>
      <c r="M216" s="67"/>
      <c r="N216" s="145" t="str">
        <f t="shared" si="27"/>
        <v/>
      </c>
      <c r="O216" s="64"/>
      <c r="P216" s="64"/>
      <c r="Q216" s="152" t="str">
        <f t="shared" si="28"/>
        <v/>
      </c>
      <c r="R216" s="65" t="str">
        <f t="shared" si="35"/>
        <v/>
      </c>
      <c r="S216" s="5" t="str">
        <f t="shared" si="29"/>
        <v/>
      </c>
      <c r="T216" s="5" t="str">
        <f t="shared" si="30"/>
        <v/>
      </c>
      <c r="U216" s="5" t="str">
        <f t="shared" si="31"/>
        <v/>
      </c>
      <c r="V216" s="5" t="str">
        <f t="shared" si="32"/>
        <v/>
      </c>
      <c r="W216" s="5" t="str">
        <f t="shared" si="33"/>
        <v/>
      </c>
      <c r="X216" s="5" t="str">
        <f t="shared" si="34"/>
        <v/>
      </c>
    </row>
    <row r="217" spans="1:24">
      <c r="A217" s="91"/>
      <c r="B217" s="92"/>
      <c r="C217" s="69"/>
      <c r="D217" s="69"/>
      <c r="E217" s="69"/>
      <c r="F217" s="69"/>
      <c r="G217" s="70"/>
      <c r="H217" s="71"/>
      <c r="I217" s="66"/>
      <c r="J217" s="67"/>
      <c r="K217" s="67"/>
      <c r="L217" s="67"/>
      <c r="M217" s="67"/>
      <c r="N217" s="145" t="str">
        <f t="shared" si="27"/>
        <v/>
      </c>
      <c r="O217" s="64"/>
      <c r="P217" s="64"/>
      <c r="Q217" s="152" t="str">
        <f t="shared" si="28"/>
        <v/>
      </c>
      <c r="R217" s="65" t="str">
        <f t="shared" si="35"/>
        <v/>
      </c>
      <c r="S217" s="5" t="str">
        <f t="shared" si="29"/>
        <v/>
      </c>
      <c r="T217" s="5" t="str">
        <f t="shared" si="30"/>
        <v/>
      </c>
      <c r="U217" s="5" t="str">
        <f t="shared" si="31"/>
        <v/>
      </c>
      <c r="V217" s="5" t="str">
        <f t="shared" si="32"/>
        <v/>
      </c>
      <c r="W217" s="5" t="str">
        <f t="shared" si="33"/>
        <v/>
      </c>
      <c r="X217" s="5" t="str">
        <f t="shared" si="34"/>
        <v/>
      </c>
    </row>
    <row r="218" spans="1:24">
      <c r="A218" s="91"/>
      <c r="B218" s="92"/>
      <c r="C218" s="69"/>
      <c r="D218" s="69"/>
      <c r="E218" s="69"/>
      <c r="F218" s="69"/>
      <c r="G218" s="70"/>
      <c r="H218" s="71"/>
      <c r="I218" s="66"/>
      <c r="J218" s="67"/>
      <c r="K218" s="67"/>
      <c r="L218" s="67"/>
      <c r="M218" s="67"/>
      <c r="N218" s="145" t="str">
        <f t="shared" si="27"/>
        <v/>
      </c>
      <c r="O218" s="64"/>
      <c r="P218" s="64"/>
      <c r="Q218" s="152" t="str">
        <f t="shared" si="28"/>
        <v/>
      </c>
      <c r="R218" s="65" t="str">
        <f t="shared" si="35"/>
        <v/>
      </c>
      <c r="S218" s="5" t="str">
        <f t="shared" si="29"/>
        <v/>
      </c>
      <c r="T218" s="5" t="str">
        <f t="shared" si="30"/>
        <v/>
      </c>
      <c r="U218" s="5" t="str">
        <f t="shared" si="31"/>
        <v/>
      </c>
      <c r="V218" s="5" t="str">
        <f t="shared" si="32"/>
        <v/>
      </c>
      <c r="W218" s="5" t="str">
        <f t="shared" si="33"/>
        <v/>
      </c>
      <c r="X218" s="5" t="str">
        <f t="shared" si="34"/>
        <v/>
      </c>
    </row>
    <row r="219" spans="1:24">
      <c r="A219" s="91"/>
      <c r="B219" s="92"/>
      <c r="C219" s="69"/>
      <c r="D219" s="69"/>
      <c r="E219" s="69"/>
      <c r="F219" s="69"/>
      <c r="G219" s="70"/>
      <c r="H219" s="71"/>
      <c r="I219" s="66"/>
      <c r="J219" s="67"/>
      <c r="K219" s="67"/>
      <c r="L219" s="67"/>
      <c r="M219" s="67"/>
      <c r="N219" s="145" t="str">
        <f t="shared" si="27"/>
        <v/>
      </c>
      <c r="O219" s="64"/>
      <c r="P219" s="64"/>
      <c r="Q219" s="152" t="str">
        <f t="shared" si="28"/>
        <v/>
      </c>
      <c r="R219" s="65" t="str">
        <f t="shared" si="35"/>
        <v/>
      </c>
      <c r="S219" s="5" t="str">
        <f t="shared" si="29"/>
        <v/>
      </c>
      <c r="T219" s="5" t="str">
        <f t="shared" si="30"/>
        <v/>
      </c>
      <c r="U219" s="5" t="str">
        <f t="shared" si="31"/>
        <v/>
      </c>
      <c r="V219" s="5" t="str">
        <f t="shared" si="32"/>
        <v/>
      </c>
      <c r="W219" s="5" t="str">
        <f t="shared" si="33"/>
        <v/>
      </c>
      <c r="X219" s="5" t="str">
        <f t="shared" si="34"/>
        <v/>
      </c>
    </row>
    <row r="220" spans="1:24">
      <c r="A220" s="91"/>
      <c r="B220" s="92"/>
      <c r="C220" s="69"/>
      <c r="D220" s="69"/>
      <c r="E220" s="69"/>
      <c r="F220" s="69"/>
      <c r="G220" s="70"/>
      <c r="H220" s="71"/>
      <c r="I220" s="66"/>
      <c r="J220" s="67"/>
      <c r="K220" s="67"/>
      <c r="L220" s="67"/>
      <c r="M220" s="67"/>
      <c r="N220" s="145" t="str">
        <f t="shared" si="27"/>
        <v/>
      </c>
      <c r="O220" s="64"/>
      <c r="P220" s="64"/>
      <c r="Q220" s="152" t="str">
        <f t="shared" si="28"/>
        <v/>
      </c>
      <c r="R220" s="65" t="str">
        <f t="shared" si="35"/>
        <v/>
      </c>
      <c r="S220" s="5" t="str">
        <f t="shared" si="29"/>
        <v/>
      </c>
      <c r="T220" s="5" t="str">
        <f t="shared" si="30"/>
        <v/>
      </c>
      <c r="U220" s="5" t="str">
        <f t="shared" si="31"/>
        <v/>
      </c>
      <c r="V220" s="5" t="str">
        <f t="shared" si="32"/>
        <v/>
      </c>
      <c r="W220" s="5" t="str">
        <f t="shared" si="33"/>
        <v/>
      </c>
      <c r="X220" s="5" t="str">
        <f t="shared" si="34"/>
        <v/>
      </c>
    </row>
    <row r="221" spans="1:24">
      <c r="A221" s="91"/>
      <c r="B221" s="92"/>
      <c r="C221" s="69"/>
      <c r="D221" s="69"/>
      <c r="E221" s="69"/>
      <c r="F221" s="69"/>
      <c r="G221" s="70"/>
      <c r="H221" s="71"/>
      <c r="I221" s="66"/>
      <c r="J221" s="67"/>
      <c r="K221" s="67"/>
      <c r="L221" s="67"/>
      <c r="M221" s="67"/>
      <c r="N221" s="145" t="str">
        <f t="shared" si="27"/>
        <v/>
      </c>
      <c r="O221" s="64"/>
      <c r="P221" s="64"/>
      <c r="Q221" s="152" t="str">
        <f t="shared" si="28"/>
        <v/>
      </c>
      <c r="R221" s="65" t="str">
        <f t="shared" si="35"/>
        <v/>
      </c>
      <c r="S221" s="5" t="str">
        <f t="shared" si="29"/>
        <v/>
      </c>
      <c r="T221" s="5" t="str">
        <f t="shared" si="30"/>
        <v/>
      </c>
      <c r="U221" s="5" t="str">
        <f t="shared" si="31"/>
        <v/>
      </c>
      <c r="V221" s="5" t="str">
        <f t="shared" si="32"/>
        <v/>
      </c>
      <c r="W221" s="5" t="str">
        <f t="shared" si="33"/>
        <v/>
      </c>
      <c r="X221" s="5" t="str">
        <f t="shared" si="34"/>
        <v/>
      </c>
    </row>
    <row r="222" spans="1:24">
      <c r="A222" s="91"/>
      <c r="B222" s="92"/>
      <c r="C222" s="69"/>
      <c r="D222" s="69"/>
      <c r="E222" s="69"/>
      <c r="F222" s="69"/>
      <c r="G222" s="70"/>
      <c r="H222" s="71"/>
      <c r="I222" s="66"/>
      <c r="J222" s="67"/>
      <c r="K222" s="67"/>
      <c r="L222" s="67"/>
      <c r="M222" s="67"/>
      <c r="N222" s="145" t="str">
        <f t="shared" si="27"/>
        <v/>
      </c>
      <c r="O222" s="64"/>
      <c r="P222" s="64"/>
      <c r="Q222" s="152" t="str">
        <f t="shared" si="28"/>
        <v/>
      </c>
      <c r="R222" s="65" t="str">
        <f t="shared" si="35"/>
        <v/>
      </c>
      <c r="S222" s="5" t="str">
        <f t="shared" si="29"/>
        <v/>
      </c>
      <c r="T222" s="5" t="str">
        <f t="shared" si="30"/>
        <v/>
      </c>
      <c r="U222" s="5" t="str">
        <f t="shared" si="31"/>
        <v/>
      </c>
      <c r="V222" s="5" t="str">
        <f t="shared" si="32"/>
        <v/>
      </c>
      <c r="W222" s="5" t="str">
        <f t="shared" si="33"/>
        <v/>
      </c>
      <c r="X222" s="5" t="str">
        <f t="shared" si="34"/>
        <v/>
      </c>
    </row>
    <row r="223" spans="1:24">
      <c r="A223" s="91"/>
      <c r="B223" s="92"/>
      <c r="C223" s="69"/>
      <c r="D223" s="69"/>
      <c r="E223" s="69"/>
      <c r="F223" s="69"/>
      <c r="G223" s="70"/>
      <c r="H223" s="71"/>
      <c r="I223" s="66"/>
      <c r="J223" s="67"/>
      <c r="K223" s="67"/>
      <c r="L223" s="67"/>
      <c r="M223" s="67"/>
      <c r="N223" s="145" t="str">
        <f t="shared" si="27"/>
        <v/>
      </c>
      <c r="O223" s="64"/>
      <c r="P223" s="64"/>
      <c r="Q223" s="152" t="str">
        <f t="shared" si="28"/>
        <v/>
      </c>
      <c r="R223" s="65" t="str">
        <f t="shared" si="35"/>
        <v/>
      </c>
      <c r="S223" s="5" t="str">
        <f t="shared" si="29"/>
        <v/>
      </c>
      <c r="T223" s="5" t="str">
        <f t="shared" si="30"/>
        <v/>
      </c>
      <c r="U223" s="5" t="str">
        <f t="shared" si="31"/>
        <v/>
      </c>
      <c r="V223" s="5" t="str">
        <f t="shared" si="32"/>
        <v/>
      </c>
      <c r="W223" s="5" t="str">
        <f t="shared" si="33"/>
        <v/>
      </c>
      <c r="X223" s="5" t="str">
        <f t="shared" si="34"/>
        <v/>
      </c>
    </row>
    <row r="224" spans="1:24">
      <c r="A224" s="91"/>
      <c r="B224" s="92"/>
      <c r="C224" s="69"/>
      <c r="D224" s="69"/>
      <c r="E224" s="69"/>
      <c r="F224" s="69"/>
      <c r="G224" s="70"/>
      <c r="H224" s="71"/>
      <c r="I224" s="66"/>
      <c r="J224" s="67"/>
      <c r="K224" s="67"/>
      <c r="L224" s="67"/>
      <c r="M224" s="67"/>
      <c r="N224" s="145" t="str">
        <f t="shared" si="27"/>
        <v/>
      </c>
      <c r="O224" s="64"/>
      <c r="P224" s="64"/>
      <c r="Q224" s="152" t="str">
        <f t="shared" si="28"/>
        <v/>
      </c>
      <c r="R224" s="65" t="str">
        <f t="shared" si="35"/>
        <v/>
      </c>
      <c r="S224" s="5" t="str">
        <f t="shared" si="29"/>
        <v/>
      </c>
      <c r="T224" s="5" t="str">
        <f t="shared" si="30"/>
        <v/>
      </c>
      <c r="U224" s="5" t="str">
        <f t="shared" si="31"/>
        <v/>
      </c>
      <c r="V224" s="5" t="str">
        <f t="shared" si="32"/>
        <v/>
      </c>
      <c r="W224" s="5" t="str">
        <f t="shared" si="33"/>
        <v/>
      </c>
      <c r="X224" s="5" t="str">
        <f t="shared" si="34"/>
        <v/>
      </c>
    </row>
    <row r="225" spans="1:24">
      <c r="A225" s="91"/>
      <c r="B225" s="92"/>
      <c r="C225" s="69"/>
      <c r="D225" s="69"/>
      <c r="E225" s="69"/>
      <c r="F225" s="69"/>
      <c r="G225" s="70"/>
      <c r="H225" s="71"/>
      <c r="I225" s="66"/>
      <c r="J225" s="67"/>
      <c r="K225" s="67"/>
      <c r="L225" s="67"/>
      <c r="M225" s="67"/>
      <c r="N225" s="145" t="str">
        <f t="shared" si="27"/>
        <v/>
      </c>
      <c r="O225" s="64"/>
      <c r="P225" s="64"/>
      <c r="Q225" s="152" t="str">
        <f t="shared" si="28"/>
        <v/>
      </c>
      <c r="R225" s="65" t="str">
        <f t="shared" si="35"/>
        <v/>
      </c>
      <c r="S225" s="5" t="str">
        <f t="shared" si="29"/>
        <v/>
      </c>
      <c r="T225" s="5" t="str">
        <f t="shared" si="30"/>
        <v/>
      </c>
      <c r="U225" s="5" t="str">
        <f t="shared" si="31"/>
        <v/>
      </c>
      <c r="V225" s="5" t="str">
        <f t="shared" si="32"/>
        <v/>
      </c>
      <c r="W225" s="5" t="str">
        <f t="shared" si="33"/>
        <v/>
      </c>
      <c r="X225" s="5" t="str">
        <f t="shared" si="34"/>
        <v/>
      </c>
    </row>
    <row r="226" spans="1:24">
      <c r="A226" s="91"/>
      <c r="B226" s="92"/>
      <c r="C226" s="69"/>
      <c r="D226" s="69"/>
      <c r="E226" s="69"/>
      <c r="F226" s="69"/>
      <c r="G226" s="70"/>
      <c r="H226" s="71"/>
      <c r="I226" s="66"/>
      <c r="J226" s="67"/>
      <c r="K226" s="67"/>
      <c r="L226" s="67"/>
      <c r="M226" s="67"/>
      <c r="N226" s="145" t="str">
        <f t="shared" si="27"/>
        <v/>
      </c>
      <c r="O226" s="64"/>
      <c r="P226" s="64"/>
      <c r="Q226" s="152" t="str">
        <f t="shared" si="28"/>
        <v/>
      </c>
      <c r="R226" s="65" t="str">
        <f t="shared" si="35"/>
        <v/>
      </c>
      <c r="S226" s="5" t="str">
        <f t="shared" si="29"/>
        <v/>
      </c>
      <c r="T226" s="5" t="str">
        <f t="shared" si="30"/>
        <v/>
      </c>
      <c r="U226" s="5" t="str">
        <f t="shared" si="31"/>
        <v/>
      </c>
      <c r="V226" s="5" t="str">
        <f t="shared" si="32"/>
        <v/>
      </c>
      <c r="W226" s="5" t="str">
        <f t="shared" si="33"/>
        <v/>
      </c>
      <c r="X226" s="5" t="str">
        <f t="shared" si="34"/>
        <v/>
      </c>
    </row>
    <row r="227" spans="1:24">
      <c r="A227" s="91"/>
      <c r="B227" s="92"/>
      <c r="C227" s="69"/>
      <c r="D227" s="69"/>
      <c r="E227" s="69"/>
      <c r="F227" s="69"/>
      <c r="G227" s="70"/>
      <c r="H227" s="71"/>
      <c r="I227" s="66"/>
      <c r="J227" s="67"/>
      <c r="K227" s="67"/>
      <c r="L227" s="67"/>
      <c r="M227" s="67"/>
      <c r="N227" s="145" t="str">
        <f t="shared" si="27"/>
        <v/>
      </c>
      <c r="O227" s="64"/>
      <c r="P227" s="64"/>
      <c r="Q227" s="152" t="str">
        <f t="shared" si="28"/>
        <v/>
      </c>
      <c r="R227" s="65" t="str">
        <f t="shared" si="35"/>
        <v/>
      </c>
      <c r="S227" s="5" t="str">
        <f t="shared" si="29"/>
        <v/>
      </c>
      <c r="T227" s="5" t="str">
        <f t="shared" si="30"/>
        <v/>
      </c>
      <c r="U227" s="5" t="str">
        <f t="shared" si="31"/>
        <v/>
      </c>
      <c r="V227" s="5" t="str">
        <f t="shared" si="32"/>
        <v/>
      </c>
      <c r="W227" s="5" t="str">
        <f t="shared" si="33"/>
        <v/>
      </c>
      <c r="X227" s="5" t="str">
        <f t="shared" si="34"/>
        <v/>
      </c>
    </row>
    <row r="228" spans="1:24">
      <c r="A228" s="91"/>
      <c r="B228" s="92"/>
      <c r="C228" s="69"/>
      <c r="D228" s="69"/>
      <c r="E228" s="69"/>
      <c r="F228" s="69"/>
      <c r="G228" s="70"/>
      <c r="H228" s="71"/>
      <c r="I228" s="66"/>
      <c r="J228" s="67"/>
      <c r="K228" s="67"/>
      <c r="L228" s="67"/>
      <c r="M228" s="67"/>
      <c r="N228" s="145" t="str">
        <f t="shared" si="27"/>
        <v/>
      </c>
      <c r="O228" s="64"/>
      <c r="P228" s="64"/>
      <c r="Q228" s="152" t="str">
        <f t="shared" si="28"/>
        <v/>
      </c>
      <c r="R228" s="65" t="str">
        <f t="shared" si="35"/>
        <v/>
      </c>
      <c r="S228" s="5" t="str">
        <f t="shared" si="29"/>
        <v/>
      </c>
      <c r="T228" s="5" t="str">
        <f t="shared" si="30"/>
        <v/>
      </c>
      <c r="U228" s="5" t="str">
        <f t="shared" si="31"/>
        <v/>
      </c>
      <c r="V228" s="5" t="str">
        <f t="shared" si="32"/>
        <v/>
      </c>
      <c r="W228" s="5" t="str">
        <f t="shared" si="33"/>
        <v/>
      </c>
      <c r="X228" s="5" t="str">
        <f t="shared" si="34"/>
        <v/>
      </c>
    </row>
    <row r="229" spans="1:24">
      <c r="A229" s="91"/>
      <c r="B229" s="92"/>
      <c r="C229" s="69"/>
      <c r="D229" s="69"/>
      <c r="E229" s="69"/>
      <c r="F229" s="69"/>
      <c r="G229" s="70"/>
      <c r="H229" s="71"/>
      <c r="I229" s="66"/>
      <c r="J229" s="67"/>
      <c r="K229" s="67"/>
      <c r="L229" s="67"/>
      <c r="M229" s="67"/>
      <c r="N229" s="145" t="str">
        <f t="shared" si="27"/>
        <v/>
      </c>
      <c r="O229" s="64"/>
      <c r="P229" s="64"/>
      <c r="Q229" s="152" t="str">
        <f t="shared" si="28"/>
        <v/>
      </c>
      <c r="R229" s="65" t="str">
        <f t="shared" si="35"/>
        <v/>
      </c>
      <c r="S229" s="5" t="str">
        <f t="shared" si="29"/>
        <v/>
      </c>
      <c r="T229" s="5" t="str">
        <f t="shared" si="30"/>
        <v/>
      </c>
      <c r="U229" s="5" t="str">
        <f t="shared" si="31"/>
        <v/>
      </c>
      <c r="V229" s="5" t="str">
        <f t="shared" si="32"/>
        <v/>
      </c>
      <c r="W229" s="5" t="str">
        <f t="shared" si="33"/>
        <v/>
      </c>
      <c r="X229" s="5" t="str">
        <f t="shared" si="34"/>
        <v/>
      </c>
    </row>
    <row r="230" spans="1:24">
      <c r="A230" s="91"/>
      <c r="B230" s="92"/>
      <c r="C230" s="69"/>
      <c r="D230" s="69"/>
      <c r="E230" s="69"/>
      <c r="F230" s="69"/>
      <c r="G230" s="70"/>
      <c r="H230" s="71"/>
      <c r="I230" s="66"/>
      <c r="J230" s="67"/>
      <c r="K230" s="67"/>
      <c r="L230" s="67"/>
      <c r="M230" s="67"/>
      <c r="N230" s="145" t="str">
        <f t="shared" si="27"/>
        <v/>
      </c>
      <c r="O230" s="64"/>
      <c r="P230" s="64"/>
      <c r="Q230" s="152" t="str">
        <f t="shared" si="28"/>
        <v/>
      </c>
      <c r="R230" s="65" t="str">
        <f t="shared" si="35"/>
        <v/>
      </c>
      <c r="S230" s="5" t="str">
        <f t="shared" si="29"/>
        <v/>
      </c>
      <c r="T230" s="5" t="str">
        <f t="shared" si="30"/>
        <v/>
      </c>
      <c r="U230" s="5" t="str">
        <f t="shared" si="31"/>
        <v/>
      </c>
      <c r="V230" s="5" t="str">
        <f t="shared" si="32"/>
        <v/>
      </c>
      <c r="W230" s="5" t="str">
        <f t="shared" si="33"/>
        <v/>
      </c>
      <c r="X230" s="5" t="str">
        <f t="shared" si="34"/>
        <v/>
      </c>
    </row>
    <row r="231" spans="1:24">
      <c r="A231" s="91"/>
      <c r="B231" s="92"/>
      <c r="C231" s="69"/>
      <c r="D231" s="69"/>
      <c r="E231" s="69"/>
      <c r="F231" s="69"/>
      <c r="G231" s="70"/>
      <c r="H231" s="71"/>
      <c r="I231" s="66"/>
      <c r="J231" s="67"/>
      <c r="K231" s="67"/>
      <c r="L231" s="67"/>
      <c r="M231" s="67"/>
      <c r="N231" s="145" t="str">
        <f t="shared" si="27"/>
        <v/>
      </c>
      <c r="O231" s="64"/>
      <c r="P231" s="64"/>
      <c r="Q231" s="152" t="str">
        <f t="shared" si="28"/>
        <v/>
      </c>
      <c r="R231" s="65" t="str">
        <f t="shared" si="35"/>
        <v/>
      </c>
      <c r="S231" s="5" t="str">
        <f t="shared" si="29"/>
        <v/>
      </c>
      <c r="T231" s="5" t="str">
        <f t="shared" si="30"/>
        <v/>
      </c>
      <c r="U231" s="5" t="str">
        <f t="shared" si="31"/>
        <v/>
      </c>
      <c r="V231" s="5" t="str">
        <f t="shared" si="32"/>
        <v/>
      </c>
      <c r="W231" s="5" t="str">
        <f t="shared" si="33"/>
        <v/>
      </c>
      <c r="X231" s="5" t="str">
        <f t="shared" si="34"/>
        <v/>
      </c>
    </row>
    <row r="232" spans="1:24">
      <c r="A232" s="91"/>
      <c r="B232" s="92"/>
      <c r="C232" s="69"/>
      <c r="D232" s="69"/>
      <c r="E232" s="69"/>
      <c r="F232" s="69"/>
      <c r="G232" s="70"/>
      <c r="H232" s="71"/>
      <c r="I232" s="66"/>
      <c r="J232" s="67"/>
      <c r="K232" s="67"/>
      <c r="L232" s="67"/>
      <c r="M232" s="67"/>
      <c r="N232" s="145" t="str">
        <f t="shared" si="27"/>
        <v/>
      </c>
      <c r="O232" s="64"/>
      <c r="P232" s="64"/>
      <c r="Q232" s="152" t="str">
        <f t="shared" si="28"/>
        <v/>
      </c>
      <c r="R232" s="65" t="str">
        <f t="shared" si="35"/>
        <v/>
      </c>
      <c r="S232" s="5" t="str">
        <f t="shared" si="29"/>
        <v/>
      </c>
      <c r="T232" s="5" t="str">
        <f t="shared" si="30"/>
        <v/>
      </c>
      <c r="U232" s="5" t="str">
        <f t="shared" si="31"/>
        <v/>
      </c>
      <c r="V232" s="5" t="str">
        <f t="shared" si="32"/>
        <v/>
      </c>
      <c r="W232" s="5" t="str">
        <f t="shared" si="33"/>
        <v/>
      </c>
      <c r="X232" s="5" t="str">
        <f t="shared" si="34"/>
        <v/>
      </c>
    </row>
    <row r="233" spans="1:24">
      <c r="A233" s="91"/>
      <c r="B233" s="92"/>
      <c r="C233" s="69"/>
      <c r="D233" s="69"/>
      <c r="E233" s="69"/>
      <c r="F233" s="69"/>
      <c r="G233" s="70"/>
      <c r="H233" s="71"/>
      <c r="I233" s="66"/>
      <c r="J233" s="67"/>
      <c r="K233" s="67"/>
      <c r="L233" s="67"/>
      <c r="M233" s="67"/>
      <c r="N233" s="145" t="str">
        <f t="shared" si="27"/>
        <v/>
      </c>
      <c r="O233" s="64"/>
      <c r="P233" s="64"/>
      <c r="Q233" s="152" t="str">
        <f t="shared" si="28"/>
        <v/>
      </c>
      <c r="R233" s="65" t="str">
        <f t="shared" si="35"/>
        <v/>
      </c>
      <c r="S233" s="5" t="str">
        <f t="shared" si="29"/>
        <v/>
      </c>
      <c r="T233" s="5" t="str">
        <f t="shared" si="30"/>
        <v/>
      </c>
      <c r="U233" s="5" t="str">
        <f t="shared" si="31"/>
        <v/>
      </c>
      <c r="V233" s="5" t="str">
        <f t="shared" si="32"/>
        <v/>
      </c>
      <c r="W233" s="5" t="str">
        <f t="shared" si="33"/>
        <v/>
      </c>
      <c r="X233" s="5" t="str">
        <f t="shared" si="34"/>
        <v/>
      </c>
    </row>
    <row r="234" spans="1:24">
      <c r="A234" s="91"/>
      <c r="B234" s="92"/>
      <c r="C234" s="69"/>
      <c r="D234" s="69"/>
      <c r="E234" s="69"/>
      <c r="F234" s="69"/>
      <c r="G234" s="70"/>
      <c r="H234" s="71"/>
      <c r="I234" s="66"/>
      <c r="J234" s="67"/>
      <c r="K234" s="67"/>
      <c r="L234" s="67"/>
      <c r="M234" s="67"/>
      <c r="N234" s="145" t="str">
        <f t="shared" si="27"/>
        <v/>
      </c>
      <c r="O234" s="64"/>
      <c r="P234" s="64"/>
      <c r="Q234" s="152" t="str">
        <f t="shared" si="28"/>
        <v/>
      </c>
      <c r="R234" s="65" t="str">
        <f t="shared" si="35"/>
        <v/>
      </c>
      <c r="S234" s="5" t="str">
        <f t="shared" si="29"/>
        <v/>
      </c>
      <c r="T234" s="5" t="str">
        <f t="shared" si="30"/>
        <v/>
      </c>
      <c r="U234" s="5" t="str">
        <f t="shared" si="31"/>
        <v/>
      </c>
      <c r="V234" s="5" t="str">
        <f t="shared" si="32"/>
        <v/>
      </c>
      <c r="W234" s="5" t="str">
        <f t="shared" si="33"/>
        <v/>
      </c>
      <c r="X234" s="5" t="str">
        <f t="shared" si="34"/>
        <v/>
      </c>
    </row>
    <row r="235" spans="1:24">
      <c r="A235" s="91"/>
      <c r="B235" s="92"/>
      <c r="C235" s="69"/>
      <c r="D235" s="69"/>
      <c r="E235" s="69"/>
      <c r="F235" s="69"/>
      <c r="G235" s="70"/>
      <c r="H235" s="71"/>
      <c r="I235" s="66"/>
      <c r="J235" s="67"/>
      <c r="K235" s="67"/>
      <c r="L235" s="67"/>
      <c r="M235" s="67"/>
      <c r="N235" s="145" t="str">
        <f t="shared" si="27"/>
        <v/>
      </c>
      <c r="O235" s="64"/>
      <c r="P235" s="64"/>
      <c r="Q235" s="152" t="str">
        <f t="shared" si="28"/>
        <v/>
      </c>
      <c r="R235" s="65" t="str">
        <f t="shared" si="35"/>
        <v/>
      </c>
      <c r="S235" s="5" t="str">
        <f t="shared" si="29"/>
        <v/>
      </c>
      <c r="T235" s="5" t="str">
        <f t="shared" si="30"/>
        <v/>
      </c>
      <c r="U235" s="5" t="str">
        <f t="shared" si="31"/>
        <v/>
      </c>
      <c r="V235" s="5" t="str">
        <f t="shared" si="32"/>
        <v/>
      </c>
      <c r="W235" s="5" t="str">
        <f t="shared" si="33"/>
        <v/>
      </c>
      <c r="X235" s="5" t="str">
        <f t="shared" si="34"/>
        <v/>
      </c>
    </row>
    <row r="236" spans="1:24">
      <c r="A236" s="91"/>
      <c r="B236" s="92"/>
      <c r="C236" s="69"/>
      <c r="D236" s="69"/>
      <c r="E236" s="69"/>
      <c r="F236" s="69"/>
      <c r="G236" s="70"/>
      <c r="H236" s="71"/>
      <c r="I236" s="66"/>
      <c r="J236" s="67"/>
      <c r="K236" s="67"/>
      <c r="L236" s="67"/>
      <c r="M236" s="67"/>
      <c r="N236" s="145" t="str">
        <f t="shared" si="27"/>
        <v/>
      </c>
      <c r="O236" s="64"/>
      <c r="P236" s="64"/>
      <c r="Q236" s="152" t="str">
        <f t="shared" si="28"/>
        <v/>
      </c>
      <c r="R236" s="65" t="str">
        <f t="shared" si="35"/>
        <v/>
      </c>
      <c r="S236" s="5" t="str">
        <f t="shared" si="29"/>
        <v/>
      </c>
      <c r="T236" s="5" t="str">
        <f t="shared" si="30"/>
        <v/>
      </c>
      <c r="U236" s="5" t="str">
        <f t="shared" si="31"/>
        <v/>
      </c>
      <c r="V236" s="5" t="str">
        <f t="shared" si="32"/>
        <v/>
      </c>
      <c r="W236" s="5" t="str">
        <f t="shared" si="33"/>
        <v/>
      </c>
      <c r="X236" s="5" t="str">
        <f t="shared" si="34"/>
        <v/>
      </c>
    </row>
    <row r="237" spans="1:24">
      <c r="A237" s="91"/>
      <c r="B237" s="92"/>
      <c r="C237" s="69"/>
      <c r="D237" s="69"/>
      <c r="E237" s="69"/>
      <c r="F237" s="69"/>
      <c r="G237" s="70"/>
      <c r="H237" s="71"/>
      <c r="I237" s="66"/>
      <c r="J237" s="67"/>
      <c r="K237" s="67"/>
      <c r="L237" s="67"/>
      <c r="M237" s="67"/>
      <c r="N237" s="145" t="str">
        <f t="shared" si="27"/>
        <v/>
      </c>
      <c r="O237" s="64"/>
      <c r="P237" s="64"/>
      <c r="Q237" s="152" t="str">
        <f t="shared" si="28"/>
        <v/>
      </c>
      <c r="R237" s="65" t="str">
        <f t="shared" si="35"/>
        <v/>
      </c>
      <c r="S237" s="5" t="str">
        <f t="shared" si="29"/>
        <v/>
      </c>
      <c r="T237" s="5" t="str">
        <f t="shared" si="30"/>
        <v/>
      </c>
      <c r="U237" s="5" t="str">
        <f t="shared" si="31"/>
        <v/>
      </c>
      <c r="V237" s="5" t="str">
        <f t="shared" si="32"/>
        <v/>
      </c>
      <c r="W237" s="5" t="str">
        <f t="shared" si="33"/>
        <v/>
      </c>
      <c r="X237" s="5" t="str">
        <f t="shared" si="34"/>
        <v/>
      </c>
    </row>
    <row r="238" spans="1:24">
      <c r="A238" s="91"/>
      <c r="B238" s="92"/>
      <c r="C238" s="69"/>
      <c r="D238" s="69"/>
      <c r="E238" s="69"/>
      <c r="F238" s="69"/>
      <c r="G238" s="70"/>
      <c r="H238" s="71"/>
      <c r="I238" s="66"/>
      <c r="J238" s="67"/>
      <c r="K238" s="67"/>
      <c r="L238" s="67"/>
      <c r="M238" s="67"/>
      <c r="N238" s="145" t="str">
        <f t="shared" si="27"/>
        <v/>
      </c>
      <c r="O238" s="64"/>
      <c r="P238" s="64"/>
      <c r="Q238" s="152" t="str">
        <f t="shared" si="28"/>
        <v/>
      </c>
      <c r="R238" s="65" t="str">
        <f t="shared" si="35"/>
        <v/>
      </c>
      <c r="S238" s="5" t="str">
        <f t="shared" si="29"/>
        <v/>
      </c>
      <c r="T238" s="5" t="str">
        <f t="shared" si="30"/>
        <v/>
      </c>
      <c r="U238" s="5" t="str">
        <f t="shared" si="31"/>
        <v/>
      </c>
      <c r="V238" s="5" t="str">
        <f t="shared" si="32"/>
        <v/>
      </c>
      <c r="W238" s="5" t="str">
        <f t="shared" si="33"/>
        <v/>
      </c>
      <c r="X238" s="5" t="str">
        <f t="shared" si="34"/>
        <v/>
      </c>
    </row>
    <row r="239" spans="1:24">
      <c r="A239" s="91"/>
      <c r="B239" s="92"/>
      <c r="C239" s="69"/>
      <c r="D239" s="69"/>
      <c r="E239" s="69"/>
      <c r="F239" s="69"/>
      <c r="G239" s="70"/>
      <c r="H239" s="71"/>
      <c r="I239" s="66"/>
      <c r="J239" s="67"/>
      <c r="K239" s="67"/>
      <c r="L239" s="67"/>
      <c r="M239" s="67"/>
      <c r="N239" s="145" t="str">
        <f t="shared" si="27"/>
        <v/>
      </c>
      <c r="O239" s="64"/>
      <c r="P239" s="64"/>
      <c r="Q239" s="152" t="str">
        <f t="shared" si="28"/>
        <v/>
      </c>
      <c r="R239" s="65" t="str">
        <f t="shared" si="35"/>
        <v/>
      </c>
      <c r="S239" s="5" t="str">
        <f t="shared" si="29"/>
        <v/>
      </c>
      <c r="T239" s="5" t="str">
        <f t="shared" si="30"/>
        <v/>
      </c>
      <c r="U239" s="5" t="str">
        <f t="shared" si="31"/>
        <v/>
      </c>
      <c r="V239" s="5" t="str">
        <f t="shared" si="32"/>
        <v/>
      </c>
      <c r="W239" s="5" t="str">
        <f t="shared" si="33"/>
        <v/>
      </c>
      <c r="X239" s="5" t="str">
        <f t="shared" si="34"/>
        <v/>
      </c>
    </row>
    <row r="240" spans="1:24">
      <c r="A240" s="91"/>
      <c r="B240" s="92"/>
      <c r="C240" s="69"/>
      <c r="D240" s="69"/>
      <c r="E240" s="69"/>
      <c r="F240" s="69"/>
      <c r="G240" s="70"/>
      <c r="H240" s="71"/>
      <c r="I240" s="66"/>
      <c r="J240" s="67"/>
      <c r="K240" s="67"/>
      <c r="L240" s="67"/>
      <c r="M240" s="67"/>
      <c r="N240" s="145" t="str">
        <f t="shared" si="27"/>
        <v/>
      </c>
      <c r="O240" s="64"/>
      <c r="P240" s="64"/>
      <c r="Q240" s="152" t="str">
        <f t="shared" si="28"/>
        <v/>
      </c>
      <c r="R240" s="65" t="str">
        <f t="shared" si="35"/>
        <v/>
      </c>
      <c r="S240" s="5" t="str">
        <f t="shared" si="29"/>
        <v/>
      </c>
      <c r="T240" s="5" t="str">
        <f t="shared" si="30"/>
        <v/>
      </c>
      <c r="U240" s="5" t="str">
        <f t="shared" si="31"/>
        <v/>
      </c>
      <c r="V240" s="5" t="str">
        <f t="shared" si="32"/>
        <v/>
      </c>
      <c r="W240" s="5" t="str">
        <f t="shared" si="33"/>
        <v/>
      </c>
      <c r="X240" s="5" t="str">
        <f t="shared" si="34"/>
        <v/>
      </c>
    </row>
    <row r="241" spans="1:24">
      <c r="A241" s="91"/>
      <c r="B241" s="92"/>
      <c r="C241" s="69"/>
      <c r="D241" s="69"/>
      <c r="E241" s="69"/>
      <c r="F241" s="69"/>
      <c r="G241" s="70"/>
      <c r="H241" s="71"/>
      <c r="I241" s="66"/>
      <c r="J241" s="67"/>
      <c r="K241" s="67"/>
      <c r="L241" s="67"/>
      <c r="M241" s="67"/>
      <c r="N241" s="145" t="str">
        <f t="shared" si="27"/>
        <v/>
      </c>
      <c r="O241" s="64"/>
      <c r="P241" s="64"/>
      <c r="Q241" s="152" t="str">
        <f t="shared" si="28"/>
        <v/>
      </c>
      <c r="R241" s="65" t="str">
        <f t="shared" si="35"/>
        <v/>
      </c>
      <c r="S241" s="5" t="str">
        <f t="shared" si="29"/>
        <v/>
      </c>
      <c r="T241" s="5" t="str">
        <f t="shared" si="30"/>
        <v/>
      </c>
      <c r="U241" s="5" t="str">
        <f t="shared" si="31"/>
        <v/>
      </c>
      <c r="V241" s="5" t="str">
        <f t="shared" si="32"/>
        <v/>
      </c>
      <c r="W241" s="5" t="str">
        <f t="shared" si="33"/>
        <v/>
      </c>
      <c r="X241" s="5" t="str">
        <f t="shared" si="34"/>
        <v/>
      </c>
    </row>
    <row r="242" spans="1:24">
      <c r="A242" s="91"/>
      <c r="B242" s="92"/>
      <c r="C242" s="69"/>
      <c r="D242" s="69"/>
      <c r="E242" s="69"/>
      <c r="F242" s="69"/>
      <c r="G242" s="70"/>
      <c r="H242" s="71"/>
      <c r="I242" s="66"/>
      <c r="J242" s="67"/>
      <c r="K242" s="67"/>
      <c r="L242" s="67"/>
      <c r="M242" s="67"/>
      <c r="N242" s="145" t="str">
        <f t="shared" si="27"/>
        <v/>
      </c>
      <c r="O242" s="64"/>
      <c r="P242" s="64"/>
      <c r="Q242" s="152" t="str">
        <f t="shared" si="28"/>
        <v/>
      </c>
      <c r="R242" s="65" t="str">
        <f t="shared" si="35"/>
        <v/>
      </c>
      <c r="S242" s="5" t="str">
        <f t="shared" si="29"/>
        <v/>
      </c>
      <c r="T242" s="5" t="str">
        <f t="shared" si="30"/>
        <v/>
      </c>
      <c r="U242" s="5" t="str">
        <f t="shared" si="31"/>
        <v/>
      </c>
      <c r="V242" s="5" t="str">
        <f t="shared" si="32"/>
        <v/>
      </c>
      <c r="W242" s="5" t="str">
        <f t="shared" si="33"/>
        <v/>
      </c>
      <c r="X242" s="5" t="str">
        <f t="shared" si="34"/>
        <v/>
      </c>
    </row>
    <row r="243" spans="1:24">
      <c r="A243" s="91"/>
      <c r="B243" s="92"/>
      <c r="C243" s="69"/>
      <c r="D243" s="69"/>
      <c r="E243" s="69"/>
      <c r="F243" s="69"/>
      <c r="G243" s="70"/>
      <c r="H243" s="71"/>
      <c r="I243" s="66"/>
      <c r="J243" s="67"/>
      <c r="K243" s="67"/>
      <c r="L243" s="67"/>
      <c r="M243" s="67"/>
      <c r="N243" s="145" t="str">
        <f t="shared" si="27"/>
        <v/>
      </c>
      <c r="O243" s="64"/>
      <c r="P243" s="64"/>
      <c r="Q243" s="152" t="str">
        <f t="shared" si="28"/>
        <v/>
      </c>
      <c r="R243" s="65" t="str">
        <f t="shared" si="35"/>
        <v/>
      </c>
      <c r="S243" s="5" t="str">
        <f t="shared" si="29"/>
        <v/>
      </c>
      <c r="T243" s="5" t="str">
        <f t="shared" si="30"/>
        <v/>
      </c>
      <c r="U243" s="5" t="str">
        <f t="shared" si="31"/>
        <v/>
      </c>
      <c r="V243" s="5" t="str">
        <f t="shared" si="32"/>
        <v/>
      </c>
      <c r="W243" s="5" t="str">
        <f t="shared" si="33"/>
        <v/>
      </c>
      <c r="X243" s="5" t="str">
        <f t="shared" si="34"/>
        <v/>
      </c>
    </row>
    <row r="244" spans="1:24">
      <c r="A244" s="91"/>
      <c r="B244" s="92"/>
      <c r="C244" s="69"/>
      <c r="D244" s="69"/>
      <c r="E244" s="69"/>
      <c r="F244" s="69"/>
      <c r="G244" s="70"/>
      <c r="H244" s="71"/>
      <c r="I244" s="66"/>
      <c r="J244" s="67"/>
      <c r="K244" s="67"/>
      <c r="L244" s="67"/>
      <c r="M244" s="67"/>
      <c r="N244" s="145" t="str">
        <f t="shared" si="27"/>
        <v/>
      </c>
      <c r="O244" s="64"/>
      <c r="P244" s="64"/>
      <c r="Q244" s="152" t="str">
        <f t="shared" si="28"/>
        <v/>
      </c>
      <c r="R244" s="65" t="str">
        <f t="shared" si="35"/>
        <v/>
      </c>
      <c r="S244" s="5" t="str">
        <f t="shared" si="29"/>
        <v/>
      </c>
      <c r="T244" s="5" t="str">
        <f t="shared" si="30"/>
        <v/>
      </c>
      <c r="U244" s="5" t="str">
        <f t="shared" si="31"/>
        <v/>
      </c>
      <c r="V244" s="5" t="str">
        <f t="shared" si="32"/>
        <v/>
      </c>
      <c r="W244" s="5" t="str">
        <f t="shared" si="33"/>
        <v/>
      </c>
      <c r="X244" s="5" t="str">
        <f t="shared" si="34"/>
        <v/>
      </c>
    </row>
    <row r="245" spans="1:24">
      <c r="A245" s="91"/>
      <c r="B245" s="92"/>
      <c r="C245" s="69"/>
      <c r="D245" s="69"/>
      <c r="E245" s="69"/>
      <c r="F245" s="69"/>
      <c r="G245" s="70"/>
      <c r="H245" s="71"/>
      <c r="I245" s="66"/>
      <c r="J245" s="67"/>
      <c r="K245" s="67"/>
      <c r="L245" s="67"/>
      <c r="M245" s="67"/>
      <c r="N245" s="145" t="str">
        <f t="shared" si="27"/>
        <v/>
      </c>
      <c r="O245" s="64"/>
      <c r="P245" s="64"/>
      <c r="Q245" s="152" t="str">
        <f t="shared" si="28"/>
        <v/>
      </c>
      <c r="R245" s="65" t="str">
        <f t="shared" si="35"/>
        <v/>
      </c>
      <c r="S245" s="5" t="str">
        <f t="shared" si="29"/>
        <v/>
      </c>
      <c r="T245" s="5" t="str">
        <f t="shared" si="30"/>
        <v/>
      </c>
      <c r="U245" s="5" t="str">
        <f t="shared" si="31"/>
        <v/>
      </c>
      <c r="V245" s="5" t="str">
        <f t="shared" si="32"/>
        <v/>
      </c>
      <c r="W245" s="5" t="str">
        <f t="shared" si="33"/>
        <v/>
      </c>
      <c r="X245" s="5" t="str">
        <f t="shared" si="34"/>
        <v/>
      </c>
    </row>
    <row r="246" spans="1:24">
      <c r="A246" s="91"/>
      <c r="B246" s="92"/>
      <c r="C246" s="69"/>
      <c r="D246" s="69"/>
      <c r="E246" s="69"/>
      <c r="F246" s="69"/>
      <c r="G246" s="70"/>
      <c r="H246" s="71"/>
      <c r="I246" s="66"/>
      <c r="J246" s="67"/>
      <c r="K246" s="67"/>
      <c r="L246" s="67"/>
      <c r="M246" s="67"/>
      <c r="N246" s="145" t="str">
        <f t="shared" si="27"/>
        <v/>
      </c>
      <c r="O246" s="64"/>
      <c r="P246" s="64"/>
      <c r="Q246" s="152" t="str">
        <f t="shared" si="28"/>
        <v/>
      </c>
      <c r="R246" s="65" t="str">
        <f t="shared" si="35"/>
        <v/>
      </c>
      <c r="S246" s="5" t="str">
        <f t="shared" si="29"/>
        <v/>
      </c>
      <c r="T246" s="5" t="str">
        <f t="shared" si="30"/>
        <v/>
      </c>
      <c r="U246" s="5" t="str">
        <f t="shared" si="31"/>
        <v/>
      </c>
      <c r="V246" s="5" t="str">
        <f t="shared" si="32"/>
        <v/>
      </c>
      <c r="W246" s="5" t="str">
        <f t="shared" si="33"/>
        <v/>
      </c>
      <c r="X246" s="5" t="str">
        <f t="shared" si="34"/>
        <v/>
      </c>
    </row>
    <row r="247" spans="1:24">
      <c r="A247" s="91"/>
      <c r="B247" s="92"/>
      <c r="C247" s="69"/>
      <c r="D247" s="69"/>
      <c r="E247" s="69"/>
      <c r="F247" s="69"/>
      <c r="G247" s="70"/>
      <c r="H247" s="71"/>
      <c r="I247" s="66"/>
      <c r="J247" s="67"/>
      <c r="K247" s="67"/>
      <c r="L247" s="67"/>
      <c r="M247" s="67"/>
      <c r="N247" s="145" t="str">
        <f t="shared" si="27"/>
        <v/>
      </c>
      <c r="O247" s="64"/>
      <c r="P247" s="64"/>
      <c r="Q247" s="152" t="str">
        <f t="shared" si="28"/>
        <v/>
      </c>
      <c r="R247" s="65" t="str">
        <f t="shared" si="35"/>
        <v/>
      </c>
      <c r="S247" s="5" t="str">
        <f t="shared" si="29"/>
        <v/>
      </c>
      <c r="T247" s="5" t="str">
        <f t="shared" si="30"/>
        <v/>
      </c>
      <c r="U247" s="5" t="str">
        <f t="shared" si="31"/>
        <v/>
      </c>
      <c r="V247" s="5" t="str">
        <f t="shared" si="32"/>
        <v/>
      </c>
      <c r="W247" s="5" t="str">
        <f t="shared" si="33"/>
        <v/>
      </c>
      <c r="X247" s="5" t="str">
        <f t="shared" si="34"/>
        <v/>
      </c>
    </row>
    <row r="248" spans="1:24">
      <c r="A248" s="91"/>
      <c r="B248" s="92"/>
      <c r="C248" s="69"/>
      <c r="D248" s="69"/>
      <c r="E248" s="69"/>
      <c r="F248" s="69"/>
      <c r="G248" s="70"/>
      <c r="H248" s="71"/>
      <c r="I248" s="66"/>
      <c r="J248" s="67"/>
      <c r="K248" s="67"/>
      <c r="L248" s="67"/>
      <c r="M248" s="67"/>
      <c r="N248" s="145" t="str">
        <f t="shared" si="27"/>
        <v/>
      </c>
      <c r="O248" s="64"/>
      <c r="P248" s="64"/>
      <c r="Q248" s="152" t="str">
        <f t="shared" si="28"/>
        <v/>
      </c>
      <c r="R248" s="65" t="str">
        <f t="shared" si="35"/>
        <v/>
      </c>
      <c r="S248" s="5" t="str">
        <f t="shared" si="29"/>
        <v/>
      </c>
      <c r="T248" s="5" t="str">
        <f t="shared" si="30"/>
        <v/>
      </c>
      <c r="U248" s="5" t="str">
        <f t="shared" si="31"/>
        <v/>
      </c>
      <c r="V248" s="5" t="str">
        <f t="shared" si="32"/>
        <v/>
      </c>
      <c r="W248" s="5" t="str">
        <f t="shared" si="33"/>
        <v/>
      </c>
      <c r="X248" s="5" t="str">
        <f t="shared" si="34"/>
        <v/>
      </c>
    </row>
    <row r="249" spans="1:24">
      <c r="A249" s="91"/>
      <c r="B249" s="92"/>
      <c r="C249" s="69"/>
      <c r="D249" s="69"/>
      <c r="E249" s="69"/>
      <c r="F249" s="69"/>
      <c r="G249" s="70"/>
      <c r="H249" s="71"/>
      <c r="I249" s="66"/>
      <c r="J249" s="67"/>
      <c r="K249" s="67"/>
      <c r="L249" s="67"/>
      <c r="M249" s="67"/>
      <c r="N249" s="145" t="str">
        <f t="shared" si="27"/>
        <v/>
      </c>
      <c r="O249" s="64"/>
      <c r="P249" s="64"/>
      <c r="Q249" s="152" t="str">
        <f t="shared" si="28"/>
        <v/>
      </c>
      <c r="R249" s="65" t="str">
        <f t="shared" si="35"/>
        <v/>
      </c>
      <c r="S249" s="5" t="str">
        <f t="shared" si="29"/>
        <v/>
      </c>
      <c r="T249" s="5" t="str">
        <f t="shared" si="30"/>
        <v/>
      </c>
      <c r="U249" s="5" t="str">
        <f t="shared" si="31"/>
        <v/>
      </c>
      <c r="V249" s="5" t="str">
        <f t="shared" si="32"/>
        <v/>
      </c>
      <c r="W249" s="5" t="str">
        <f t="shared" si="33"/>
        <v/>
      </c>
      <c r="X249" s="5" t="str">
        <f t="shared" si="34"/>
        <v/>
      </c>
    </row>
    <row r="250" spans="1:24">
      <c r="A250" s="91"/>
      <c r="B250" s="92"/>
      <c r="C250" s="69"/>
      <c r="D250" s="69"/>
      <c r="E250" s="69"/>
      <c r="F250" s="69"/>
      <c r="G250" s="70"/>
      <c r="H250" s="71"/>
      <c r="I250" s="66"/>
      <c r="J250" s="67"/>
      <c r="K250" s="67"/>
      <c r="L250" s="67"/>
      <c r="M250" s="67"/>
      <c r="N250" s="145" t="str">
        <f t="shared" si="27"/>
        <v/>
      </c>
      <c r="O250" s="64"/>
      <c r="P250" s="64"/>
      <c r="Q250" s="152" t="str">
        <f t="shared" si="28"/>
        <v/>
      </c>
      <c r="R250" s="65" t="str">
        <f t="shared" si="35"/>
        <v/>
      </c>
      <c r="S250" s="5" t="str">
        <f t="shared" si="29"/>
        <v/>
      </c>
      <c r="T250" s="5" t="str">
        <f t="shared" si="30"/>
        <v/>
      </c>
      <c r="U250" s="5" t="str">
        <f t="shared" si="31"/>
        <v/>
      </c>
      <c r="V250" s="5" t="str">
        <f t="shared" si="32"/>
        <v/>
      </c>
      <c r="W250" s="5" t="str">
        <f t="shared" si="33"/>
        <v/>
      </c>
      <c r="X250" s="5" t="str">
        <f t="shared" si="34"/>
        <v/>
      </c>
    </row>
    <row r="251" spans="1:24">
      <c r="A251" s="91"/>
      <c r="B251" s="92"/>
      <c r="C251" s="69"/>
      <c r="D251" s="69"/>
      <c r="E251" s="69"/>
      <c r="F251" s="69"/>
      <c r="G251" s="70"/>
      <c r="H251" s="71"/>
      <c r="I251" s="66"/>
      <c r="J251" s="67"/>
      <c r="K251" s="67"/>
      <c r="L251" s="67"/>
      <c r="M251" s="67"/>
      <c r="N251" s="145" t="str">
        <f t="shared" si="27"/>
        <v/>
      </c>
      <c r="O251" s="64"/>
      <c r="P251" s="64"/>
      <c r="Q251" s="152" t="str">
        <f t="shared" si="28"/>
        <v/>
      </c>
      <c r="R251" s="65" t="str">
        <f t="shared" si="35"/>
        <v/>
      </c>
      <c r="S251" s="5" t="str">
        <f t="shared" si="29"/>
        <v/>
      </c>
      <c r="T251" s="5" t="str">
        <f t="shared" si="30"/>
        <v/>
      </c>
      <c r="U251" s="5" t="str">
        <f t="shared" si="31"/>
        <v/>
      </c>
      <c r="V251" s="5" t="str">
        <f t="shared" si="32"/>
        <v/>
      </c>
      <c r="W251" s="5" t="str">
        <f t="shared" si="33"/>
        <v/>
      </c>
      <c r="X251" s="5" t="str">
        <f t="shared" si="34"/>
        <v/>
      </c>
    </row>
    <row r="252" spans="1:24">
      <c r="A252" s="91"/>
      <c r="B252" s="92"/>
      <c r="C252" s="69"/>
      <c r="D252" s="69"/>
      <c r="E252" s="69"/>
      <c r="F252" s="69"/>
      <c r="G252" s="70"/>
      <c r="H252" s="71"/>
      <c r="I252" s="66"/>
      <c r="J252" s="67"/>
      <c r="K252" s="67"/>
      <c r="L252" s="67"/>
      <c r="M252" s="67"/>
      <c r="N252" s="145" t="str">
        <f t="shared" si="27"/>
        <v/>
      </c>
      <c r="O252" s="64"/>
      <c r="P252" s="64"/>
      <c r="Q252" s="152" t="str">
        <f t="shared" si="28"/>
        <v/>
      </c>
      <c r="R252" s="65" t="str">
        <f t="shared" si="35"/>
        <v/>
      </c>
      <c r="S252" s="5" t="str">
        <f t="shared" si="29"/>
        <v/>
      </c>
      <c r="T252" s="5" t="str">
        <f t="shared" si="30"/>
        <v/>
      </c>
      <c r="U252" s="5" t="str">
        <f t="shared" si="31"/>
        <v/>
      </c>
      <c r="V252" s="5" t="str">
        <f t="shared" si="32"/>
        <v/>
      </c>
      <c r="W252" s="5" t="str">
        <f t="shared" si="33"/>
        <v/>
      </c>
      <c r="X252" s="5" t="str">
        <f t="shared" si="34"/>
        <v/>
      </c>
    </row>
    <row r="253" spans="1:24">
      <c r="A253" s="91"/>
      <c r="B253" s="92"/>
      <c r="C253" s="69"/>
      <c r="D253" s="69"/>
      <c r="E253" s="69"/>
      <c r="F253" s="69"/>
      <c r="G253" s="70"/>
      <c r="H253" s="71"/>
      <c r="I253" s="66"/>
      <c r="J253" s="67"/>
      <c r="K253" s="67"/>
      <c r="L253" s="67"/>
      <c r="M253" s="67"/>
      <c r="N253" s="145" t="str">
        <f t="shared" si="27"/>
        <v/>
      </c>
      <c r="O253" s="64"/>
      <c r="P253" s="64"/>
      <c r="Q253" s="152" t="str">
        <f t="shared" si="28"/>
        <v/>
      </c>
      <c r="R253" s="65" t="str">
        <f t="shared" si="35"/>
        <v/>
      </c>
      <c r="S253" s="5" t="str">
        <f t="shared" si="29"/>
        <v/>
      </c>
      <c r="T253" s="5" t="str">
        <f t="shared" si="30"/>
        <v/>
      </c>
      <c r="U253" s="5" t="str">
        <f t="shared" si="31"/>
        <v/>
      </c>
      <c r="V253" s="5" t="str">
        <f t="shared" si="32"/>
        <v/>
      </c>
      <c r="W253" s="5" t="str">
        <f t="shared" si="33"/>
        <v/>
      </c>
      <c r="X253" s="5" t="str">
        <f t="shared" si="34"/>
        <v/>
      </c>
    </row>
    <row r="254" spans="1:24">
      <c r="A254" s="91"/>
      <c r="B254" s="92"/>
      <c r="C254" s="69"/>
      <c r="D254" s="69"/>
      <c r="E254" s="69"/>
      <c r="F254" s="69"/>
      <c r="G254" s="70"/>
      <c r="H254" s="71"/>
      <c r="I254" s="66"/>
      <c r="J254" s="67"/>
      <c r="K254" s="67"/>
      <c r="L254" s="67"/>
      <c r="M254" s="67"/>
      <c r="N254" s="145" t="str">
        <f t="shared" si="27"/>
        <v/>
      </c>
      <c r="O254" s="64"/>
      <c r="P254" s="64"/>
      <c r="Q254" s="152" t="str">
        <f t="shared" si="28"/>
        <v/>
      </c>
      <c r="R254" s="65" t="str">
        <f t="shared" si="35"/>
        <v/>
      </c>
      <c r="S254" s="5" t="str">
        <f t="shared" si="29"/>
        <v/>
      </c>
      <c r="T254" s="5" t="str">
        <f t="shared" si="30"/>
        <v/>
      </c>
      <c r="U254" s="5" t="str">
        <f t="shared" si="31"/>
        <v/>
      </c>
      <c r="V254" s="5" t="str">
        <f t="shared" si="32"/>
        <v/>
      </c>
      <c r="W254" s="5" t="str">
        <f t="shared" si="33"/>
        <v/>
      </c>
      <c r="X254" s="5" t="str">
        <f t="shared" si="34"/>
        <v/>
      </c>
    </row>
    <row r="255" spans="1:24">
      <c r="A255" s="91"/>
      <c r="B255" s="92"/>
      <c r="C255" s="69"/>
      <c r="D255" s="69"/>
      <c r="E255" s="69"/>
      <c r="F255" s="69"/>
      <c r="G255" s="70"/>
      <c r="H255" s="71"/>
      <c r="I255" s="66"/>
      <c r="J255" s="67"/>
      <c r="K255" s="67"/>
      <c r="L255" s="67"/>
      <c r="M255" s="67"/>
      <c r="N255" s="145" t="str">
        <f t="shared" si="27"/>
        <v/>
      </c>
      <c r="O255" s="64"/>
      <c r="P255" s="64"/>
      <c r="Q255" s="152" t="str">
        <f t="shared" si="28"/>
        <v/>
      </c>
      <c r="R255" s="65" t="str">
        <f t="shared" si="35"/>
        <v/>
      </c>
      <c r="S255" s="5" t="str">
        <f t="shared" si="29"/>
        <v/>
      </c>
      <c r="T255" s="5" t="str">
        <f t="shared" si="30"/>
        <v/>
      </c>
      <c r="U255" s="5" t="str">
        <f t="shared" si="31"/>
        <v/>
      </c>
      <c r="V255" s="5" t="str">
        <f t="shared" si="32"/>
        <v/>
      </c>
      <c r="W255" s="5" t="str">
        <f t="shared" si="33"/>
        <v/>
      </c>
      <c r="X255" s="5" t="str">
        <f t="shared" si="34"/>
        <v/>
      </c>
    </row>
    <row r="256" spans="1:24">
      <c r="A256" s="91"/>
      <c r="B256" s="92"/>
      <c r="C256" s="69"/>
      <c r="D256" s="69"/>
      <c r="E256" s="69"/>
      <c r="F256" s="69"/>
      <c r="G256" s="70"/>
      <c r="H256" s="71"/>
      <c r="I256" s="66"/>
      <c r="J256" s="67"/>
      <c r="K256" s="67"/>
      <c r="L256" s="67"/>
      <c r="M256" s="67"/>
      <c r="N256" s="145" t="str">
        <f t="shared" si="27"/>
        <v/>
      </c>
      <c r="O256" s="64"/>
      <c r="P256" s="64"/>
      <c r="Q256" s="152" t="str">
        <f t="shared" si="28"/>
        <v/>
      </c>
      <c r="R256" s="65" t="str">
        <f t="shared" si="35"/>
        <v/>
      </c>
      <c r="S256" s="5" t="str">
        <f t="shared" si="29"/>
        <v/>
      </c>
      <c r="T256" s="5" t="str">
        <f t="shared" si="30"/>
        <v/>
      </c>
      <c r="U256" s="5" t="str">
        <f t="shared" si="31"/>
        <v/>
      </c>
      <c r="V256" s="5" t="str">
        <f t="shared" si="32"/>
        <v/>
      </c>
      <c r="W256" s="5" t="str">
        <f t="shared" si="33"/>
        <v/>
      </c>
      <c r="X256" s="5" t="str">
        <f t="shared" si="34"/>
        <v/>
      </c>
    </row>
    <row r="257" spans="1:24">
      <c r="A257" s="91"/>
      <c r="B257" s="92"/>
      <c r="C257" s="69"/>
      <c r="D257" s="69"/>
      <c r="E257" s="69"/>
      <c r="F257" s="69"/>
      <c r="G257" s="70"/>
      <c r="H257" s="71"/>
      <c r="I257" s="66"/>
      <c r="J257" s="67"/>
      <c r="K257" s="67"/>
      <c r="L257" s="67"/>
      <c r="M257" s="67"/>
      <c r="N257" s="145" t="str">
        <f t="shared" si="27"/>
        <v/>
      </c>
      <c r="O257" s="64"/>
      <c r="P257" s="64"/>
      <c r="Q257" s="152" t="str">
        <f t="shared" si="28"/>
        <v/>
      </c>
      <c r="R257" s="65" t="str">
        <f t="shared" si="35"/>
        <v/>
      </c>
      <c r="S257" s="5" t="str">
        <f t="shared" si="29"/>
        <v/>
      </c>
      <c r="T257" s="5" t="str">
        <f t="shared" si="30"/>
        <v/>
      </c>
      <c r="U257" s="5" t="str">
        <f t="shared" si="31"/>
        <v/>
      </c>
      <c r="V257" s="5" t="str">
        <f t="shared" si="32"/>
        <v/>
      </c>
      <c r="W257" s="5" t="str">
        <f t="shared" si="33"/>
        <v/>
      </c>
      <c r="X257" s="5" t="str">
        <f t="shared" si="34"/>
        <v/>
      </c>
    </row>
    <row r="258" spans="1:24">
      <c r="A258" s="91"/>
      <c r="B258" s="92"/>
      <c r="C258" s="69"/>
      <c r="D258" s="69"/>
      <c r="E258" s="69"/>
      <c r="F258" s="69"/>
      <c r="G258" s="70"/>
      <c r="H258" s="71"/>
      <c r="I258" s="66"/>
      <c r="J258" s="67"/>
      <c r="K258" s="67"/>
      <c r="L258" s="67"/>
      <c r="M258" s="67"/>
      <c r="N258" s="145" t="str">
        <f t="shared" si="27"/>
        <v/>
      </c>
      <c r="O258" s="64"/>
      <c r="P258" s="64"/>
      <c r="Q258" s="152" t="str">
        <f t="shared" si="28"/>
        <v/>
      </c>
      <c r="R258" s="65" t="str">
        <f t="shared" si="35"/>
        <v/>
      </c>
      <c r="S258" s="5" t="str">
        <f t="shared" si="29"/>
        <v/>
      </c>
      <c r="T258" s="5" t="str">
        <f t="shared" si="30"/>
        <v/>
      </c>
      <c r="U258" s="5" t="str">
        <f t="shared" si="31"/>
        <v/>
      </c>
      <c r="V258" s="5" t="str">
        <f t="shared" si="32"/>
        <v/>
      </c>
      <c r="W258" s="5" t="str">
        <f t="shared" si="33"/>
        <v/>
      </c>
      <c r="X258" s="5" t="str">
        <f t="shared" si="34"/>
        <v/>
      </c>
    </row>
    <row r="259" spans="1:24">
      <c r="A259" s="91"/>
      <c r="B259" s="92"/>
      <c r="C259" s="69"/>
      <c r="D259" s="69"/>
      <c r="E259" s="69"/>
      <c r="F259" s="69"/>
      <c r="G259" s="70"/>
      <c r="H259" s="71"/>
      <c r="I259" s="66"/>
      <c r="J259" s="67"/>
      <c r="K259" s="67"/>
      <c r="L259" s="67"/>
      <c r="M259" s="67"/>
      <c r="N259" s="145" t="str">
        <f t="shared" si="27"/>
        <v/>
      </c>
      <c r="O259" s="64"/>
      <c r="P259" s="64"/>
      <c r="Q259" s="152" t="str">
        <f t="shared" si="28"/>
        <v/>
      </c>
      <c r="R259" s="65" t="str">
        <f t="shared" si="35"/>
        <v/>
      </c>
      <c r="S259" s="5" t="str">
        <f t="shared" si="29"/>
        <v/>
      </c>
      <c r="T259" s="5" t="str">
        <f t="shared" si="30"/>
        <v/>
      </c>
      <c r="U259" s="5" t="str">
        <f t="shared" si="31"/>
        <v/>
      </c>
      <c r="V259" s="5" t="str">
        <f t="shared" si="32"/>
        <v/>
      </c>
      <c r="W259" s="5" t="str">
        <f t="shared" si="33"/>
        <v/>
      </c>
      <c r="X259" s="5" t="str">
        <f t="shared" si="34"/>
        <v/>
      </c>
    </row>
    <row r="260" spans="1:24">
      <c r="A260" s="91"/>
      <c r="B260" s="92"/>
      <c r="C260" s="69"/>
      <c r="D260" s="69"/>
      <c r="E260" s="69"/>
      <c r="F260" s="69"/>
      <c r="G260" s="70"/>
      <c r="H260" s="71"/>
      <c r="I260" s="66"/>
      <c r="J260" s="67"/>
      <c r="K260" s="67"/>
      <c r="L260" s="67"/>
      <c r="M260" s="67"/>
      <c r="N260" s="145" t="str">
        <f t="shared" si="27"/>
        <v/>
      </c>
      <c r="O260" s="64"/>
      <c r="P260" s="64"/>
      <c r="Q260" s="152" t="str">
        <f t="shared" si="28"/>
        <v/>
      </c>
      <c r="R260" s="65" t="str">
        <f t="shared" si="35"/>
        <v/>
      </c>
      <c r="S260" s="5" t="str">
        <f t="shared" si="29"/>
        <v/>
      </c>
      <c r="T260" s="5" t="str">
        <f t="shared" si="30"/>
        <v/>
      </c>
      <c r="U260" s="5" t="str">
        <f t="shared" si="31"/>
        <v/>
      </c>
      <c r="V260" s="5" t="str">
        <f t="shared" si="32"/>
        <v/>
      </c>
      <c r="W260" s="5" t="str">
        <f t="shared" si="33"/>
        <v/>
      </c>
      <c r="X260" s="5" t="str">
        <f t="shared" si="34"/>
        <v/>
      </c>
    </row>
    <row r="261" spans="1:24">
      <c r="A261" s="91"/>
      <c r="B261" s="92"/>
      <c r="C261" s="69"/>
      <c r="D261" s="69"/>
      <c r="E261" s="69"/>
      <c r="F261" s="69"/>
      <c r="G261" s="70"/>
      <c r="H261" s="71"/>
      <c r="I261" s="66"/>
      <c r="J261" s="67"/>
      <c r="K261" s="67"/>
      <c r="L261" s="67"/>
      <c r="M261" s="67"/>
      <c r="N261" s="145" t="str">
        <f t="shared" si="27"/>
        <v/>
      </c>
      <c r="O261" s="64"/>
      <c r="P261" s="64"/>
      <c r="Q261" s="152" t="str">
        <f t="shared" si="28"/>
        <v/>
      </c>
      <c r="R261" s="65" t="str">
        <f t="shared" si="35"/>
        <v/>
      </c>
      <c r="S261" s="5" t="str">
        <f t="shared" si="29"/>
        <v/>
      </c>
      <c r="T261" s="5" t="str">
        <f t="shared" si="30"/>
        <v/>
      </c>
      <c r="U261" s="5" t="str">
        <f t="shared" si="31"/>
        <v/>
      </c>
      <c r="V261" s="5" t="str">
        <f t="shared" si="32"/>
        <v/>
      </c>
      <c r="W261" s="5" t="str">
        <f t="shared" si="33"/>
        <v/>
      </c>
      <c r="X261" s="5" t="str">
        <f t="shared" si="34"/>
        <v/>
      </c>
    </row>
    <row r="262" spans="1:24">
      <c r="A262" s="91"/>
      <c r="B262" s="92"/>
      <c r="C262" s="69"/>
      <c r="D262" s="69"/>
      <c r="E262" s="69"/>
      <c r="F262" s="69"/>
      <c r="G262" s="70"/>
      <c r="H262" s="71"/>
      <c r="I262" s="66"/>
      <c r="J262" s="67"/>
      <c r="K262" s="67"/>
      <c r="L262" s="67"/>
      <c r="M262" s="67"/>
      <c r="N262" s="145" t="str">
        <f t="shared" si="27"/>
        <v/>
      </c>
      <c r="O262" s="64"/>
      <c r="P262" s="64"/>
      <c r="Q262" s="152" t="str">
        <f t="shared" si="28"/>
        <v/>
      </c>
      <c r="R262" s="65" t="str">
        <f t="shared" si="35"/>
        <v/>
      </c>
      <c r="S262" s="5" t="str">
        <f t="shared" si="29"/>
        <v/>
      </c>
      <c r="T262" s="5" t="str">
        <f t="shared" si="30"/>
        <v/>
      </c>
      <c r="U262" s="5" t="str">
        <f t="shared" si="31"/>
        <v/>
      </c>
      <c r="V262" s="5" t="str">
        <f t="shared" si="32"/>
        <v/>
      </c>
      <c r="W262" s="5" t="str">
        <f t="shared" si="33"/>
        <v/>
      </c>
      <c r="X262" s="5" t="str">
        <f t="shared" si="34"/>
        <v/>
      </c>
    </row>
    <row r="263" spans="1:24">
      <c r="A263" s="91"/>
      <c r="B263" s="92"/>
      <c r="C263" s="69"/>
      <c r="D263" s="69"/>
      <c r="E263" s="69"/>
      <c r="F263" s="69"/>
      <c r="G263" s="70"/>
      <c r="H263" s="71"/>
      <c r="I263" s="66"/>
      <c r="J263" s="67"/>
      <c r="K263" s="67"/>
      <c r="L263" s="67"/>
      <c r="M263" s="67"/>
      <c r="N263" s="145" t="str">
        <f t="shared" ref="N263:N326" si="36">IF($C263="","",IF($L263+$M263=0,0,$L263/($L263+$M263)))</f>
        <v/>
      </c>
      <c r="O263" s="64"/>
      <c r="P263" s="64"/>
      <c r="Q263" s="152" t="str">
        <f t="shared" ref="Q263:Q326" si="37">IF($C263="","",($O263-($P263/2)))</f>
        <v/>
      </c>
      <c r="R263" s="65" t="str">
        <f t="shared" si="35"/>
        <v/>
      </c>
      <c r="S263" s="5" t="str">
        <f t="shared" ref="S263:S326" si="38">IF($C263="","",I263*40.02)</f>
        <v/>
      </c>
      <c r="T263" s="5" t="str">
        <f t="shared" ref="T263:T326" si="39">IF($C263="","",J263*11.8)</f>
        <v/>
      </c>
      <c r="U263" s="5" t="str">
        <f t="shared" ref="U263:U326" si="40">IF($C263="","",K263*19.83)</f>
        <v/>
      </c>
      <c r="V263" s="5" t="str">
        <f t="shared" ref="V263:V326" si="41">IF($C263="","",L263*39.42)</f>
        <v/>
      </c>
      <c r="W263" s="5" t="str">
        <f t="shared" ref="W263:W326" si="42">IF($C263="","",N263*0.09)</f>
        <v/>
      </c>
      <c r="X263" s="5" t="str">
        <f t="shared" ref="X263:X326" si="43">IF($C263="","",Q263*4.79)</f>
        <v/>
      </c>
    </row>
    <row r="264" spans="1:24">
      <c r="A264" s="91"/>
      <c r="B264" s="92"/>
      <c r="C264" s="69"/>
      <c r="D264" s="69"/>
      <c r="E264" s="69"/>
      <c r="F264" s="69"/>
      <c r="G264" s="70"/>
      <c r="H264" s="71"/>
      <c r="I264" s="66"/>
      <c r="J264" s="67"/>
      <c r="K264" s="67"/>
      <c r="L264" s="67"/>
      <c r="M264" s="67"/>
      <c r="N264" s="145" t="str">
        <f t="shared" si="36"/>
        <v/>
      </c>
      <c r="O264" s="64"/>
      <c r="P264" s="64"/>
      <c r="Q264" s="152" t="str">
        <f t="shared" si="37"/>
        <v/>
      </c>
      <c r="R264" s="65" t="str">
        <f t="shared" ref="R264:R327" si="44">IF($C264="","",IF(TRIM($B264)="beginning",(((SUM($S264:$X264)-10051)/4349)*40)+360,IF(TRIM($B264)="middle",(((SUM($S264:$X264)-10051)/4349)*40)+400,IF(TRIM($B264)="end",(((SUM($S264:$X264)-10051)/4349)*40)+440,""))))</f>
        <v/>
      </c>
      <c r="S264" s="5" t="str">
        <f t="shared" si="38"/>
        <v/>
      </c>
      <c r="T264" s="5" t="str">
        <f t="shared" si="39"/>
        <v/>
      </c>
      <c r="U264" s="5" t="str">
        <f t="shared" si="40"/>
        <v/>
      </c>
      <c r="V264" s="5" t="str">
        <f t="shared" si="41"/>
        <v/>
      </c>
      <c r="W264" s="5" t="str">
        <f t="shared" si="42"/>
        <v/>
      </c>
      <c r="X264" s="5" t="str">
        <f t="shared" si="43"/>
        <v/>
      </c>
    </row>
    <row r="265" spans="1:24">
      <c r="A265" s="91"/>
      <c r="B265" s="92"/>
      <c r="C265" s="69"/>
      <c r="D265" s="69"/>
      <c r="E265" s="69"/>
      <c r="F265" s="69"/>
      <c r="G265" s="70"/>
      <c r="H265" s="71"/>
      <c r="I265" s="66"/>
      <c r="J265" s="67"/>
      <c r="K265" s="67"/>
      <c r="L265" s="67"/>
      <c r="M265" s="67"/>
      <c r="N265" s="145" t="str">
        <f t="shared" si="36"/>
        <v/>
      </c>
      <c r="O265" s="64"/>
      <c r="P265" s="64"/>
      <c r="Q265" s="152" t="str">
        <f t="shared" si="37"/>
        <v/>
      </c>
      <c r="R265" s="65" t="str">
        <f t="shared" si="44"/>
        <v/>
      </c>
      <c r="S265" s="5" t="str">
        <f t="shared" si="38"/>
        <v/>
      </c>
      <c r="T265" s="5" t="str">
        <f t="shared" si="39"/>
        <v/>
      </c>
      <c r="U265" s="5" t="str">
        <f t="shared" si="40"/>
        <v/>
      </c>
      <c r="V265" s="5" t="str">
        <f t="shared" si="41"/>
        <v/>
      </c>
      <c r="W265" s="5" t="str">
        <f t="shared" si="42"/>
        <v/>
      </c>
      <c r="X265" s="5" t="str">
        <f t="shared" si="43"/>
        <v/>
      </c>
    </row>
    <row r="266" spans="1:24">
      <c r="A266" s="91"/>
      <c r="B266" s="92"/>
      <c r="C266" s="69"/>
      <c r="D266" s="69"/>
      <c r="E266" s="69"/>
      <c r="F266" s="69"/>
      <c r="G266" s="70"/>
      <c r="H266" s="71"/>
      <c r="I266" s="66"/>
      <c r="J266" s="67"/>
      <c r="K266" s="67"/>
      <c r="L266" s="67"/>
      <c r="M266" s="67"/>
      <c r="N266" s="145" t="str">
        <f t="shared" si="36"/>
        <v/>
      </c>
      <c r="O266" s="64"/>
      <c r="P266" s="64"/>
      <c r="Q266" s="152" t="str">
        <f t="shared" si="37"/>
        <v/>
      </c>
      <c r="R266" s="65" t="str">
        <f t="shared" si="44"/>
        <v/>
      </c>
      <c r="S266" s="5" t="str">
        <f t="shared" si="38"/>
        <v/>
      </c>
      <c r="T266" s="5" t="str">
        <f t="shared" si="39"/>
        <v/>
      </c>
      <c r="U266" s="5" t="str">
        <f t="shared" si="40"/>
        <v/>
      </c>
      <c r="V266" s="5" t="str">
        <f t="shared" si="41"/>
        <v/>
      </c>
      <c r="W266" s="5" t="str">
        <f t="shared" si="42"/>
        <v/>
      </c>
      <c r="X266" s="5" t="str">
        <f t="shared" si="43"/>
        <v/>
      </c>
    </row>
    <row r="267" spans="1:24">
      <c r="A267" s="91"/>
      <c r="B267" s="92"/>
      <c r="C267" s="69"/>
      <c r="D267" s="69"/>
      <c r="E267" s="69"/>
      <c r="F267" s="69"/>
      <c r="G267" s="70"/>
      <c r="H267" s="71"/>
      <c r="I267" s="66"/>
      <c r="J267" s="67"/>
      <c r="K267" s="67"/>
      <c r="L267" s="67"/>
      <c r="M267" s="67"/>
      <c r="N267" s="145" t="str">
        <f t="shared" si="36"/>
        <v/>
      </c>
      <c r="O267" s="64"/>
      <c r="P267" s="64"/>
      <c r="Q267" s="152" t="str">
        <f t="shared" si="37"/>
        <v/>
      </c>
      <c r="R267" s="65" t="str">
        <f t="shared" si="44"/>
        <v/>
      </c>
      <c r="S267" s="5" t="str">
        <f t="shared" si="38"/>
        <v/>
      </c>
      <c r="T267" s="5" t="str">
        <f t="shared" si="39"/>
        <v/>
      </c>
      <c r="U267" s="5" t="str">
        <f t="shared" si="40"/>
        <v/>
      </c>
      <c r="V267" s="5" t="str">
        <f t="shared" si="41"/>
        <v/>
      </c>
      <c r="W267" s="5" t="str">
        <f t="shared" si="42"/>
        <v/>
      </c>
      <c r="X267" s="5" t="str">
        <f t="shared" si="43"/>
        <v/>
      </c>
    </row>
    <row r="268" spans="1:24">
      <c r="A268" s="91"/>
      <c r="B268" s="92"/>
      <c r="C268" s="69"/>
      <c r="D268" s="69"/>
      <c r="E268" s="69"/>
      <c r="F268" s="69"/>
      <c r="G268" s="70"/>
      <c r="H268" s="71"/>
      <c r="I268" s="66"/>
      <c r="J268" s="67"/>
      <c r="K268" s="67"/>
      <c r="L268" s="67"/>
      <c r="M268" s="67"/>
      <c r="N268" s="145" t="str">
        <f t="shared" si="36"/>
        <v/>
      </c>
      <c r="O268" s="64"/>
      <c r="P268" s="64"/>
      <c r="Q268" s="152" t="str">
        <f t="shared" si="37"/>
        <v/>
      </c>
      <c r="R268" s="65" t="str">
        <f t="shared" si="44"/>
        <v/>
      </c>
      <c r="S268" s="5" t="str">
        <f t="shared" si="38"/>
        <v/>
      </c>
      <c r="T268" s="5" t="str">
        <f t="shared" si="39"/>
        <v/>
      </c>
      <c r="U268" s="5" t="str">
        <f t="shared" si="40"/>
        <v/>
      </c>
      <c r="V268" s="5" t="str">
        <f t="shared" si="41"/>
        <v/>
      </c>
      <c r="W268" s="5" t="str">
        <f t="shared" si="42"/>
        <v/>
      </c>
      <c r="X268" s="5" t="str">
        <f t="shared" si="43"/>
        <v/>
      </c>
    </row>
    <row r="269" spans="1:24">
      <c r="A269" s="91"/>
      <c r="B269" s="92"/>
      <c r="C269" s="69"/>
      <c r="D269" s="69"/>
      <c r="E269" s="69"/>
      <c r="F269" s="69"/>
      <c r="G269" s="70"/>
      <c r="H269" s="71"/>
      <c r="I269" s="66"/>
      <c r="J269" s="67"/>
      <c r="K269" s="67"/>
      <c r="L269" s="67"/>
      <c r="M269" s="67"/>
      <c r="N269" s="145" t="str">
        <f t="shared" si="36"/>
        <v/>
      </c>
      <c r="O269" s="64"/>
      <c r="P269" s="64"/>
      <c r="Q269" s="152" t="str">
        <f t="shared" si="37"/>
        <v/>
      </c>
      <c r="R269" s="65" t="str">
        <f t="shared" si="44"/>
        <v/>
      </c>
      <c r="S269" s="5" t="str">
        <f t="shared" si="38"/>
        <v/>
      </c>
      <c r="T269" s="5" t="str">
        <f t="shared" si="39"/>
        <v/>
      </c>
      <c r="U269" s="5" t="str">
        <f t="shared" si="40"/>
        <v/>
      </c>
      <c r="V269" s="5" t="str">
        <f t="shared" si="41"/>
        <v/>
      </c>
      <c r="W269" s="5" t="str">
        <f t="shared" si="42"/>
        <v/>
      </c>
      <c r="X269" s="5" t="str">
        <f t="shared" si="43"/>
        <v/>
      </c>
    </row>
    <row r="270" spans="1:24">
      <c r="A270" s="91"/>
      <c r="B270" s="92"/>
      <c r="C270" s="69"/>
      <c r="D270" s="69"/>
      <c r="E270" s="69"/>
      <c r="F270" s="69"/>
      <c r="G270" s="70"/>
      <c r="H270" s="71"/>
      <c r="I270" s="66"/>
      <c r="J270" s="67"/>
      <c r="K270" s="67"/>
      <c r="L270" s="67"/>
      <c r="M270" s="67"/>
      <c r="N270" s="145" t="str">
        <f t="shared" si="36"/>
        <v/>
      </c>
      <c r="O270" s="64"/>
      <c r="P270" s="64"/>
      <c r="Q270" s="152" t="str">
        <f t="shared" si="37"/>
        <v/>
      </c>
      <c r="R270" s="65" t="str">
        <f t="shared" si="44"/>
        <v/>
      </c>
      <c r="S270" s="5" t="str">
        <f t="shared" si="38"/>
        <v/>
      </c>
      <c r="T270" s="5" t="str">
        <f t="shared" si="39"/>
        <v/>
      </c>
      <c r="U270" s="5" t="str">
        <f t="shared" si="40"/>
        <v/>
      </c>
      <c r="V270" s="5" t="str">
        <f t="shared" si="41"/>
        <v/>
      </c>
      <c r="W270" s="5" t="str">
        <f t="shared" si="42"/>
        <v/>
      </c>
      <c r="X270" s="5" t="str">
        <f t="shared" si="43"/>
        <v/>
      </c>
    </row>
    <row r="271" spans="1:24">
      <c r="A271" s="91"/>
      <c r="B271" s="92"/>
      <c r="C271" s="69"/>
      <c r="D271" s="69"/>
      <c r="E271" s="69"/>
      <c r="F271" s="69"/>
      <c r="G271" s="70"/>
      <c r="H271" s="71"/>
      <c r="I271" s="66"/>
      <c r="J271" s="67"/>
      <c r="K271" s="67"/>
      <c r="L271" s="67"/>
      <c r="M271" s="67"/>
      <c r="N271" s="145" t="str">
        <f t="shared" si="36"/>
        <v/>
      </c>
      <c r="O271" s="64"/>
      <c r="P271" s="64"/>
      <c r="Q271" s="152" t="str">
        <f t="shared" si="37"/>
        <v/>
      </c>
      <c r="R271" s="65" t="str">
        <f t="shared" si="44"/>
        <v/>
      </c>
      <c r="S271" s="5" t="str">
        <f t="shared" si="38"/>
        <v/>
      </c>
      <c r="T271" s="5" t="str">
        <f t="shared" si="39"/>
        <v/>
      </c>
      <c r="U271" s="5" t="str">
        <f t="shared" si="40"/>
        <v/>
      </c>
      <c r="V271" s="5" t="str">
        <f t="shared" si="41"/>
        <v/>
      </c>
      <c r="W271" s="5" t="str">
        <f t="shared" si="42"/>
        <v/>
      </c>
      <c r="X271" s="5" t="str">
        <f t="shared" si="43"/>
        <v/>
      </c>
    </row>
    <row r="272" spans="1:24">
      <c r="A272" s="91"/>
      <c r="B272" s="92"/>
      <c r="C272" s="69"/>
      <c r="D272" s="69"/>
      <c r="E272" s="69"/>
      <c r="F272" s="69"/>
      <c r="G272" s="70"/>
      <c r="H272" s="71"/>
      <c r="I272" s="66"/>
      <c r="J272" s="67"/>
      <c r="K272" s="67"/>
      <c r="L272" s="67"/>
      <c r="M272" s="67"/>
      <c r="N272" s="145" t="str">
        <f t="shared" si="36"/>
        <v/>
      </c>
      <c r="O272" s="64"/>
      <c r="P272" s="64"/>
      <c r="Q272" s="152" t="str">
        <f t="shared" si="37"/>
        <v/>
      </c>
      <c r="R272" s="65" t="str">
        <f t="shared" si="44"/>
        <v/>
      </c>
      <c r="S272" s="5" t="str">
        <f t="shared" si="38"/>
        <v/>
      </c>
      <c r="T272" s="5" t="str">
        <f t="shared" si="39"/>
        <v/>
      </c>
      <c r="U272" s="5" t="str">
        <f t="shared" si="40"/>
        <v/>
      </c>
      <c r="V272" s="5" t="str">
        <f t="shared" si="41"/>
        <v/>
      </c>
      <c r="W272" s="5" t="str">
        <f t="shared" si="42"/>
        <v/>
      </c>
      <c r="X272" s="5" t="str">
        <f t="shared" si="43"/>
        <v/>
      </c>
    </row>
    <row r="273" spans="1:24">
      <c r="A273" s="91"/>
      <c r="B273" s="92"/>
      <c r="C273" s="69"/>
      <c r="D273" s="69"/>
      <c r="E273" s="69"/>
      <c r="F273" s="69"/>
      <c r="G273" s="70"/>
      <c r="H273" s="71"/>
      <c r="I273" s="66"/>
      <c r="J273" s="67"/>
      <c r="K273" s="67"/>
      <c r="L273" s="67"/>
      <c r="M273" s="67"/>
      <c r="N273" s="145" t="str">
        <f t="shared" si="36"/>
        <v/>
      </c>
      <c r="O273" s="64"/>
      <c r="P273" s="64"/>
      <c r="Q273" s="152" t="str">
        <f t="shared" si="37"/>
        <v/>
      </c>
      <c r="R273" s="65" t="str">
        <f t="shared" si="44"/>
        <v/>
      </c>
      <c r="S273" s="5" t="str">
        <f t="shared" si="38"/>
        <v/>
      </c>
      <c r="T273" s="5" t="str">
        <f t="shared" si="39"/>
        <v/>
      </c>
      <c r="U273" s="5" t="str">
        <f t="shared" si="40"/>
        <v/>
      </c>
      <c r="V273" s="5" t="str">
        <f t="shared" si="41"/>
        <v/>
      </c>
      <c r="W273" s="5" t="str">
        <f t="shared" si="42"/>
        <v/>
      </c>
      <c r="X273" s="5" t="str">
        <f t="shared" si="43"/>
        <v/>
      </c>
    </row>
    <row r="274" spans="1:24">
      <c r="A274" s="91"/>
      <c r="B274" s="92"/>
      <c r="C274" s="69"/>
      <c r="D274" s="69"/>
      <c r="E274" s="69"/>
      <c r="F274" s="69"/>
      <c r="G274" s="70"/>
      <c r="H274" s="71"/>
      <c r="I274" s="66"/>
      <c r="J274" s="67"/>
      <c r="K274" s="67"/>
      <c r="L274" s="67"/>
      <c r="M274" s="67"/>
      <c r="N274" s="145" t="str">
        <f t="shared" si="36"/>
        <v/>
      </c>
      <c r="O274" s="64"/>
      <c r="P274" s="64"/>
      <c r="Q274" s="152" t="str">
        <f t="shared" si="37"/>
        <v/>
      </c>
      <c r="R274" s="65" t="str">
        <f t="shared" si="44"/>
        <v/>
      </c>
      <c r="S274" s="5" t="str">
        <f t="shared" si="38"/>
        <v/>
      </c>
      <c r="T274" s="5" t="str">
        <f t="shared" si="39"/>
        <v/>
      </c>
      <c r="U274" s="5" t="str">
        <f t="shared" si="40"/>
        <v/>
      </c>
      <c r="V274" s="5" t="str">
        <f t="shared" si="41"/>
        <v/>
      </c>
      <c r="W274" s="5" t="str">
        <f t="shared" si="42"/>
        <v/>
      </c>
      <c r="X274" s="5" t="str">
        <f t="shared" si="43"/>
        <v/>
      </c>
    </row>
    <row r="275" spans="1:24">
      <c r="A275" s="91"/>
      <c r="B275" s="92"/>
      <c r="C275" s="69"/>
      <c r="D275" s="69"/>
      <c r="E275" s="69"/>
      <c r="F275" s="69"/>
      <c r="G275" s="70"/>
      <c r="H275" s="71"/>
      <c r="I275" s="66"/>
      <c r="J275" s="67"/>
      <c r="K275" s="67"/>
      <c r="L275" s="67"/>
      <c r="M275" s="67"/>
      <c r="N275" s="145" t="str">
        <f t="shared" si="36"/>
        <v/>
      </c>
      <c r="O275" s="64"/>
      <c r="P275" s="64"/>
      <c r="Q275" s="152" t="str">
        <f t="shared" si="37"/>
        <v/>
      </c>
      <c r="R275" s="65" t="str">
        <f t="shared" si="44"/>
        <v/>
      </c>
      <c r="S275" s="5" t="str">
        <f t="shared" si="38"/>
        <v/>
      </c>
      <c r="T275" s="5" t="str">
        <f t="shared" si="39"/>
        <v/>
      </c>
      <c r="U275" s="5" t="str">
        <f t="shared" si="40"/>
        <v/>
      </c>
      <c r="V275" s="5" t="str">
        <f t="shared" si="41"/>
        <v/>
      </c>
      <c r="W275" s="5" t="str">
        <f t="shared" si="42"/>
        <v/>
      </c>
      <c r="X275" s="5" t="str">
        <f t="shared" si="43"/>
        <v/>
      </c>
    </row>
    <row r="276" spans="1:24">
      <c r="A276" s="91"/>
      <c r="B276" s="92"/>
      <c r="C276" s="69"/>
      <c r="D276" s="69"/>
      <c r="E276" s="69"/>
      <c r="F276" s="69"/>
      <c r="G276" s="70"/>
      <c r="H276" s="71"/>
      <c r="I276" s="66"/>
      <c r="J276" s="67"/>
      <c r="K276" s="67"/>
      <c r="L276" s="67"/>
      <c r="M276" s="67"/>
      <c r="N276" s="145" t="str">
        <f t="shared" si="36"/>
        <v/>
      </c>
      <c r="O276" s="64"/>
      <c r="P276" s="64"/>
      <c r="Q276" s="152" t="str">
        <f t="shared" si="37"/>
        <v/>
      </c>
      <c r="R276" s="65" t="str">
        <f t="shared" si="44"/>
        <v/>
      </c>
      <c r="S276" s="5" t="str">
        <f t="shared" si="38"/>
        <v/>
      </c>
      <c r="T276" s="5" t="str">
        <f t="shared" si="39"/>
        <v/>
      </c>
      <c r="U276" s="5" t="str">
        <f t="shared" si="40"/>
        <v/>
      </c>
      <c r="V276" s="5" t="str">
        <f t="shared" si="41"/>
        <v/>
      </c>
      <c r="W276" s="5" t="str">
        <f t="shared" si="42"/>
        <v/>
      </c>
      <c r="X276" s="5" t="str">
        <f t="shared" si="43"/>
        <v/>
      </c>
    </row>
    <row r="277" spans="1:24">
      <c r="A277" s="91"/>
      <c r="B277" s="92"/>
      <c r="C277" s="69"/>
      <c r="D277" s="69"/>
      <c r="E277" s="69"/>
      <c r="F277" s="69"/>
      <c r="G277" s="70"/>
      <c r="H277" s="71"/>
      <c r="I277" s="66"/>
      <c r="J277" s="67"/>
      <c r="K277" s="67"/>
      <c r="L277" s="67"/>
      <c r="M277" s="67"/>
      <c r="N277" s="145" t="str">
        <f t="shared" si="36"/>
        <v/>
      </c>
      <c r="O277" s="64"/>
      <c r="P277" s="64"/>
      <c r="Q277" s="152" t="str">
        <f t="shared" si="37"/>
        <v/>
      </c>
      <c r="R277" s="65" t="str">
        <f t="shared" si="44"/>
        <v/>
      </c>
      <c r="S277" s="5" t="str">
        <f t="shared" si="38"/>
        <v/>
      </c>
      <c r="T277" s="5" t="str">
        <f t="shared" si="39"/>
        <v/>
      </c>
      <c r="U277" s="5" t="str">
        <f t="shared" si="40"/>
        <v/>
      </c>
      <c r="V277" s="5" t="str">
        <f t="shared" si="41"/>
        <v/>
      </c>
      <c r="W277" s="5" t="str">
        <f t="shared" si="42"/>
        <v/>
      </c>
      <c r="X277" s="5" t="str">
        <f t="shared" si="43"/>
        <v/>
      </c>
    </row>
    <row r="278" spans="1:24">
      <c r="A278" s="91"/>
      <c r="B278" s="92"/>
      <c r="C278" s="69"/>
      <c r="D278" s="69"/>
      <c r="E278" s="69"/>
      <c r="F278" s="69"/>
      <c r="G278" s="70"/>
      <c r="H278" s="71"/>
      <c r="I278" s="66"/>
      <c r="J278" s="67"/>
      <c r="K278" s="67"/>
      <c r="L278" s="67"/>
      <c r="M278" s="67"/>
      <c r="N278" s="145" t="str">
        <f t="shared" si="36"/>
        <v/>
      </c>
      <c r="O278" s="64"/>
      <c r="P278" s="64"/>
      <c r="Q278" s="152" t="str">
        <f t="shared" si="37"/>
        <v/>
      </c>
      <c r="R278" s="65" t="str">
        <f t="shared" si="44"/>
        <v/>
      </c>
      <c r="S278" s="5" t="str">
        <f t="shared" si="38"/>
        <v/>
      </c>
      <c r="T278" s="5" t="str">
        <f t="shared" si="39"/>
        <v/>
      </c>
      <c r="U278" s="5" t="str">
        <f t="shared" si="40"/>
        <v/>
      </c>
      <c r="V278" s="5" t="str">
        <f t="shared" si="41"/>
        <v/>
      </c>
      <c r="W278" s="5" t="str">
        <f t="shared" si="42"/>
        <v/>
      </c>
      <c r="X278" s="5" t="str">
        <f t="shared" si="43"/>
        <v/>
      </c>
    </row>
    <row r="279" spans="1:24">
      <c r="A279" s="91"/>
      <c r="B279" s="92"/>
      <c r="C279" s="69"/>
      <c r="D279" s="69"/>
      <c r="E279" s="69"/>
      <c r="F279" s="69"/>
      <c r="G279" s="70"/>
      <c r="H279" s="71"/>
      <c r="I279" s="66"/>
      <c r="J279" s="67"/>
      <c r="K279" s="67"/>
      <c r="L279" s="67"/>
      <c r="M279" s="67"/>
      <c r="N279" s="145" t="str">
        <f t="shared" si="36"/>
        <v/>
      </c>
      <c r="O279" s="64"/>
      <c r="P279" s="64"/>
      <c r="Q279" s="152" t="str">
        <f t="shared" si="37"/>
        <v/>
      </c>
      <c r="R279" s="65" t="str">
        <f t="shared" si="44"/>
        <v/>
      </c>
      <c r="S279" s="5" t="str">
        <f t="shared" si="38"/>
        <v/>
      </c>
      <c r="T279" s="5" t="str">
        <f t="shared" si="39"/>
        <v/>
      </c>
      <c r="U279" s="5" t="str">
        <f t="shared" si="40"/>
        <v/>
      </c>
      <c r="V279" s="5" t="str">
        <f t="shared" si="41"/>
        <v/>
      </c>
      <c r="W279" s="5" t="str">
        <f t="shared" si="42"/>
        <v/>
      </c>
      <c r="X279" s="5" t="str">
        <f t="shared" si="43"/>
        <v/>
      </c>
    </row>
    <row r="280" spans="1:24">
      <c r="A280" s="91"/>
      <c r="B280" s="92"/>
      <c r="C280" s="69"/>
      <c r="D280" s="69"/>
      <c r="E280" s="69"/>
      <c r="F280" s="69"/>
      <c r="G280" s="70"/>
      <c r="H280" s="71"/>
      <c r="I280" s="66"/>
      <c r="J280" s="67"/>
      <c r="K280" s="67"/>
      <c r="L280" s="67"/>
      <c r="M280" s="67"/>
      <c r="N280" s="145" t="str">
        <f t="shared" si="36"/>
        <v/>
      </c>
      <c r="O280" s="64"/>
      <c r="P280" s="64"/>
      <c r="Q280" s="152" t="str">
        <f t="shared" si="37"/>
        <v/>
      </c>
      <c r="R280" s="65" t="str">
        <f t="shared" si="44"/>
        <v/>
      </c>
      <c r="S280" s="5" t="str">
        <f t="shared" si="38"/>
        <v/>
      </c>
      <c r="T280" s="5" t="str">
        <f t="shared" si="39"/>
        <v/>
      </c>
      <c r="U280" s="5" t="str">
        <f t="shared" si="40"/>
        <v/>
      </c>
      <c r="V280" s="5" t="str">
        <f t="shared" si="41"/>
        <v/>
      </c>
      <c r="W280" s="5" t="str">
        <f t="shared" si="42"/>
        <v/>
      </c>
      <c r="X280" s="5" t="str">
        <f t="shared" si="43"/>
        <v/>
      </c>
    </row>
    <row r="281" spans="1:24">
      <c r="A281" s="91"/>
      <c r="B281" s="92"/>
      <c r="C281" s="69"/>
      <c r="D281" s="69"/>
      <c r="E281" s="69"/>
      <c r="F281" s="69"/>
      <c r="G281" s="70"/>
      <c r="H281" s="71"/>
      <c r="I281" s="66"/>
      <c r="J281" s="67"/>
      <c r="K281" s="67"/>
      <c r="L281" s="67"/>
      <c r="M281" s="67"/>
      <c r="N281" s="145" t="str">
        <f t="shared" si="36"/>
        <v/>
      </c>
      <c r="O281" s="64"/>
      <c r="P281" s="64"/>
      <c r="Q281" s="152" t="str">
        <f t="shared" si="37"/>
        <v/>
      </c>
      <c r="R281" s="65" t="str">
        <f t="shared" si="44"/>
        <v/>
      </c>
      <c r="S281" s="5" t="str">
        <f t="shared" si="38"/>
        <v/>
      </c>
      <c r="T281" s="5" t="str">
        <f t="shared" si="39"/>
        <v/>
      </c>
      <c r="U281" s="5" t="str">
        <f t="shared" si="40"/>
        <v/>
      </c>
      <c r="V281" s="5" t="str">
        <f t="shared" si="41"/>
        <v/>
      </c>
      <c r="W281" s="5" t="str">
        <f t="shared" si="42"/>
        <v/>
      </c>
      <c r="X281" s="5" t="str">
        <f t="shared" si="43"/>
        <v/>
      </c>
    </row>
    <row r="282" spans="1:24">
      <c r="A282" s="91"/>
      <c r="B282" s="92"/>
      <c r="C282" s="69"/>
      <c r="D282" s="69"/>
      <c r="E282" s="69"/>
      <c r="F282" s="69"/>
      <c r="G282" s="70"/>
      <c r="H282" s="71"/>
      <c r="I282" s="66"/>
      <c r="J282" s="67"/>
      <c r="K282" s="67"/>
      <c r="L282" s="67"/>
      <c r="M282" s="67"/>
      <c r="N282" s="145" t="str">
        <f t="shared" si="36"/>
        <v/>
      </c>
      <c r="O282" s="64"/>
      <c r="P282" s="64"/>
      <c r="Q282" s="152" t="str">
        <f t="shared" si="37"/>
        <v/>
      </c>
      <c r="R282" s="65" t="str">
        <f t="shared" si="44"/>
        <v/>
      </c>
      <c r="S282" s="5" t="str">
        <f t="shared" si="38"/>
        <v/>
      </c>
      <c r="T282" s="5" t="str">
        <f t="shared" si="39"/>
        <v/>
      </c>
      <c r="U282" s="5" t="str">
        <f t="shared" si="40"/>
        <v/>
      </c>
      <c r="V282" s="5" t="str">
        <f t="shared" si="41"/>
        <v/>
      </c>
      <c r="W282" s="5" t="str">
        <f t="shared" si="42"/>
        <v/>
      </c>
      <c r="X282" s="5" t="str">
        <f t="shared" si="43"/>
        <v/>
      </c>
    </row>
    <row r="283" spans="1:24">
      <c r="A283" s="91"/>
      <c r="B283" s="92"/>
      <c r="C283" s="69"/>
      <c r="D283" s="69"/>
      <c r="E283" s="69"/>
      <c r="F283" s="69"/>
      <c r="G283" s="70"/>
      <c r="H283" s="71"/>
      <c r="I283" s="66"/>
      <c r="J283" s="67"/>
      <c r="K283" s="67"/>
      <c r="L283" s="67"/>
      <c r="M283" s="67"/>
      <c r="N283" s="145" t="str">
        <f t="shared" si="36"/>
        <v/>
      </c>
      <c r="O283" s="64"/>
      <c r="P283" s="64"/>
      <c r="Q283" s="152" t="str">
        <f t="shared" si="37"/>
        <v/>
      </c>
      <c r="R283" s="65" t="str">
        <f t="shared" si="44"/>
        <v/>
      </c>
      <c r="S283" s="5" t="str">
        <f t="shared" si="38"/>
        <v/>
      </c>
      <c r="T283" s="5" t="str">
        <f t="shared" si="39"/>
        <v/>
      </c>
      <c r="U283" s="5" t="str">
        <f t="shared" si="40"/>
        <v/>
      </c>
      <c r="V283" s="5" t="str">
        <f t="shared" si="41"/>
        <v/>
      </c>
      <c r="W283" s="5" t="str">
        <f t="shared" si="42"/>
        <v/>
      </c>
      <c r="X283" s="5" t="str">
        <f t="shared" si="43"/>
        <v/>
      </c>
    </row>
    <row r="284" spans="1:24">
      <c r="A284" s="91"/>
      <c r="B284" s="92"/>
      <c r="C284" s="69"/>
      <c r="D284" s="69"/>
      <c r="E284" s="69"/>
      <c r="F284" s="69"/>
      <c r="G284" s="70"/>
      <c r="H284" s="71"/>
      <c r="I284" s="66"/>
      <c r="J284" s="67"/>
      <c r="K284" s="67"/>
      <c r="L284" s="67"/>
      <c r="M284" s="67"/>
      <c r="N284" s="145" t="str">
        <f t="shared" si="36"/>
        <v/>
      </c>
      <c r="O284" s="64"/>
      <c r="P284" s="64"/>
      <c r="Q284" s="152" t="str">
        <f t="shared" si="37"/>
        <v/>
      </c>
      <c r="R284" s="65" t="str">
        <f t="shared" si="44"/>
        <v/>
      </c>
      <c r="S284" s="5" t="str">
        <f t="shared" si="38"/>
        <v/>
      </c>
      <c r="T284" s="5" t="str">
        <f t="shared" si="39"/>
        <v/>
      </c>
      <c r="U284" s="5" t="str">
        <f t="shared" si="40"/>
        <v/>
      </c>
      <c r="V284" s="5" t="str">
        <f t="shared" si="41"/>
        <v/>
      </c>
      <c r="W284" s="5" t="str">
        <f t="shared" si="42"/>
        <v/>
      </c>
      <c r="X284" s="5" t="str">
        <f t="shared" si="43"/>
        <v/>
      </c>
    </row>
    <row r="285" spans="1:24">
      <c r="A285" s="91"/>
      <c r="B285" s="92"/>
      <c r="C285" s="69"/>
      <c r="D285" s="69"/>
      <c r="E285" s="69"/>
      <c r="F285" s="69"/>
      <c r="G285" s="70"/>
      <c r="H285" s="71"/>
      <c r="I285" s="66"/>
      <c r="J285" s="67"/>
      <c r="K285" s="67"/>
      <c r="L285" s="67"/>
      <c r="M285" s="67"/>
      <c r="N285" s="145" t="str">
        <f t="shared" si="36"/>
        <v/>
      </c>
      <c r="O285" s="64"/>
      <c r="P285" s="64"/>
      <c r="Q285" s="152" t="str">
        <f t="shared" si="37"/>
        <v/>
      </c>
      <c r="R285" s="65" t="str">
        <f t="shared" si="44"/>
        <v/>
      </c>
      <c r="S285" s="5" t="str">
        <f t="shared" si="38"/>
        <v/>
      </c>
      <c r="T285" s="5" t="str">
        <f t="shared" si="39"/>
        <v/>
      </c>
      <c r="U285" s="5" t="str">
        <f t="shared" si="40"/>
        <v/>
      </c>
      <c r="V285" s="5" t="str">
        <f t="shared" si="41"/>
        <v/>
      </c>
      <c r="W285" s="5" t="str">
        <f t="shared" si="42"/>
        <v/>
      </c>
      <c r="X285" s="5" t="str">
        <f t="shared" si="43"/>
        <v/>
      </c>
    </row>
    <row r="286" spans="1:24">
      <c r="A286" s="91"/>
      <c r="B286" s="92"/>
      <c r="C286" s="69"/>
      <c r="D286" s="69"/>
      <c r="E286" s="69"/>
      <c r="F286" s="69"/>
      <c r="G286" s="70"/>
      <c r="H286" s="71"/>
      <c r="I286" s="66"/>
      <c r="J286" s="67"/>
      <c r="K286" s="67"/>
      <c r="L286" s="67"/>
      <c r="M286" s="67"/>
      <c r="N286" s="145" t="str">
        <f t="shared" si="36"/>
        <v/>
      </c>
      <c r="O286" s="64"/>
      <c r="P286" s="64"/>
      <c r="Q286" s="152" t="str">
        <f t="shared" si="37"/>
        <v/>
      </c>
      <c r="R286" s="65" t="str">
        <f t="shared" si="44"/>
        <v/>
      </c>
      <c r="S286" s="5" t="str">
        <f t="shared" si="38"/>
        <v/>
      </c>
      <c r="T286" s="5" t="str">
        <f t="shared" si="39"/>
        <v/>
      </c>
      <c r="U286" s="5" t="str">
        <f t="shared" si="40"/>
        <v/>
      </c>
      <c r="V286" s="5" t="str">
        <f t="shared" si="41"/>
        <v/>
      </c>
      <c r="W286" s="5" t="str">
        <f t="shared" si="42"/>
        <v/>
      </c>
      <c r="X286" s="5" t="str">
        <f t="shared" si="43"/>
        <v/>
      </c>
    </row>
    <row r="287" spans="1:24">
      <c r="A287" s="91"/>
      <c r="B287" s="92"/>
      <c r="C287" s="69"/>
      <c r="D287" s="69"/>
      <c r="E287" s="69"/>
      <c r="F287" s="69"/>
      <c r="G287" s="70"/>
      <c r="H287" s="71"/>
      <c r="I287" s="66"/>
      <c r="J287" s="67"/>
      <c r="K287" s="67"/>
      <c r="L287" s="67"/>
      <c r="M287" s="67"/>
      <c r="N287" s="145" t="str">
        <f t="shared" si="36"/>
        <v/>
      </c>
      <c r="O287" s="64"/>
      <c r="P287" s="64"/>
      <c r="Q287" s="152" t="str">
        <f t="shared" si="37"/>
        <v/>
      </c>
      <c r="R287" s="65" t="str">
        <f t="shared" si="44"/>
        <v/>
      </c>
      <c r="S287" s="5" t="str">
        <f t="shared" si="38"/>
        <v/>
      </c>
      <c r="T287" s="5" t="str">
        <f t="shared" si="39"/>
        <v/>
      </c>
      <c r="U287" s="5" t="str">
        <f t="shared" si="40"/>
        <v/>
      </c>
      <c r="V287" s="5" t="str">
        <f t="shared" si="41"/>
        <v/>
      </c>
      <c r="W287" s="5" t="str">
        <f t="shared" si="42"/>
        <v/>
      </c>
      <c r="X287" s="5" t="str">
        <f t="shared" si="43"/>
        <v/>
      </c>
    </row>
    <row r="288" spans="1:24">
      <c r="A288" s="91"/>
      <c r="B288" s="92"/>
      <c r="C288" s="69"/>
      <c r="D288" s="69"/>
      <c r="E288" s="69"/>
      <c r="F288" s="69"/>
      <c r="G288" s="70"/>
      <c r="H288" s="71"/>
      <c r="I288" s="66"/>
      <c r="J288" s="67"/>
      <c r="K288" s="67"/>
      <c r="L288" s="67"/>
      <c r="M288" s="67"/>
      <c r="N288" s="145" t="str">
        <f t="shared" si="36"/>
        <v/>
      </c>
      <c r="O288" s="64"/>
      <c r="P288" s="64"/>
      <c r="Q288" s="152" t="str">
        <f t="shared" si="37"/>
        <v/>
      </c>
      <c r="R288" s="65" t="str">
        <f t="shared" si="44"/>
        <v/>
      </c>
      <c r="S288" s="5" t="str">
        <f t="shared" si="38"/>
        <v/>
      </c>
      <c r="T288" s="5" t="str">
        <f t="shared" si="39"/>
        <v/>
      </c>
      <c r="U288" s="5" t="str">
        <f t="shared" si="40"/>
        <v/>
      </c>
      <c r="V288" s="5" t="str">
        <f t="shared" si="41"/>
        <v/>
      </c>
      <c r="W288" s="5" t="str">
        <f t="shared" si="42"/>
        <v/>
      </c>
      <c r="X288" s="5" t="str">
        <f t="shared" si="43"/>
        <v/>
      </c>
    </row>
    <row r="289" spans="1:24">
      <c r="A289" s="91"/>
      <c r="B289" s="92"/>
      <c r="C289" s="69"/>
      <c r="D289" s="69"/>
      <c r="E289" s="69"/>
      <c r="F289" s="69"/>
      <c r="G289" s="70"/>
      <c r="H289" s="71"/>
      <c r="I289" s="66"/>
      <c r="J289" s="67"/>
      <c r="K289" s="67"/>
      <c r="L289" s="67"/>
      <c r="M289" s="67"/>
      <c r="N289" s="145" t="str">
        <f t="shared" si="36"/>
        <v/>
      </c>
      <c r="O289" s="64"/>
      <c r="P289" s="64"/>
      <c r="Q289" s="152" t="str">
        <f t="shared" si="37"/>
        <v/>
      </c>
      <c r="R289" s="65" t="str">
        <f t="shared" si="44"/>
        <v/>
      </c>
      <c r="S289" s="5" t="str">
        <f t="shared" si="38"/>
        <v/>
      </c>
      <c r="T289" s="5" t="str">
        <f t="shared" si="39"/>
        <v/>
      </c>
      <c r="U289" s="5" t="str">
        <f t="shared" si="40"/>
        <v/>
      </c>
      <c r="V289" s="5" t="str">
        <f t="shared" si="41"/>
        <v/>
      </c>
      <c r="W289" s="5" t="str">
        <f t="shared" si="42"/>
        <v/>
      </c>
      <c r="X289" s="5" t="str">
        <f t="shared" si="43"/>
        <v/>
      </c>
    </row>
    <row r="290" spans="1:24">
      <c r="A290" s="91"/>
      <c r="B290" s="92"/>
      <c r="C290" s="69"/>
      <c r="D290" s="69"/>
      <c r="E290" s="69"/>
      <c r="F290" s="69"/>
      <c r="G290" s="70"/>
      <c r="H290" s="71"/>
      <c r="I290" s="66"/>
      <c r="J290" s="67"/>
      <c r="K290" s="67"/>
      <c r="L290" s="67"/>
      <c r="M290" s="67"/>
      <c r="N290" s="145" t="str">
        <f t="shared" si="36"/>
        <v/>
      </c>
      <c r="O290" s="64"/>
      <c r="P290" s="64"/>
      <c r="Q290" s="152" t="str">
        <f t="shared" si="37"/>
        <v/>
      </c>
      <c r="R290" s="65" t="str">
        <f t="shared" si="44"/>
        <v/>
      </c>
      <c r="S290" s="5" t="str">
        <f t="shared" si="38"/>
        <v/>
      </c>
      <c r="T290" s="5" t="str">
        <f t="shared" si="39"/>
        <v/>
      </c>
      <c r="U290" s="5" t="str">
        <f t="shared" si="40"/>
        <v/>
      </c>
      <c r="V290" s="5" t="str">
        <f t="shared" si="41"/>
        <v/>
      </c>
      <c r="W290" s="5" t="str">
        <f t="shared" si="42"/>
        <v/>
      </c>
      <c r="X290" s="5" t="str">
        <f t="shared" si="43"/>
        <v/>
      </c>
    </row>
    <row r="291" spans="1:24">
      <c r="A291" s="91"/>
      <c r="B291" s="92"/>
      <c r="C291" s="69"/>
      <c r="D291" s="69"/>
      <c r="E291" s="69"/>
      <c r="F291" s="69"/>
      <c r="G291" s="70"/>
      <c r="H291" s="71"/>
      <c r="I291" s="66"/>
      <c r="J291" s="67"/>
      <c r="K291" s="67"/>
      <c r="L291" s="67"/>
      <c r="M291" s="67"/>
      <c r="N291" s="145" t="str">
        <f t="shared" si="36"/>
        <v/>
      </c>
      <c r="O291" s="64"/>
      <c r="P291" s="64"/>
      <c r="Q291" s="152" t="str">
        <f t="shared" si="37"/>
        <v/>
      </c>
      <c r="R291" s="65" t="str">
        <f t="shared" si="44"/>
        <v/>
      </c>
      <c r="S291" s="5" t="str">
        <f t="shared" si="38"/>
        <v/>
      </c>
      <c r="T291" s="5" t="str">
        <f t="shared" si="39"/>
        <v/>
      </c>
      <c r="U291" s="5" t="str">
        <f t="shared" si="40"/>
        <v/>
      </c>
      <c r="V291" s="5" t="str">
        <f t="shared" si="41"/>
        <v/>
      </c>
      <c r="W291" s="5" t="str">
        <f t="shared" si="42"/>
        <v/>
      </c>
      <c r="X291" s="5" t="str">
        <f t="shared" si="43"/>
        <v/>
      </c>
    </row>
    <row r="292" spans="1:24">
      <c r="A292" s="91"/>
      <c r="B292" s="92"/>
      <c r="C292" s="69"/>
      <c r="D292" s="69"/>
      <c r="E292" s="69"/>
      <c r="F292" s="69"/>
      <c r="G292" s="70"/>
      <c r="H292" s="71"/>
      <c r="I292" s="66"/>
      <c r="J292" s="67"/>
      <c r="K292" s="67"/>
      <c r="L292" s="67"/>
      <c r="M292" s="67"/>
      <c r="N292" s="145" t="str">
        <f t="shared" si="36"/>
        <v/>
      </c>
      <c r="O292" s="64"/>
      <c r="P292" s="64"/>
      <c r="Q292" s="152" t="str">
        <f t="shared" si="37"/>
        <v/>
      </c>
      <c r="R292" s="65" t="str">
        <f t="shared" si="44"/>
        <v/>
      </c>
      <c r="S292" s="5" t="str">
        <f t="shared" si="38"/>
        <v/>
      </c>
      <c r="T292" s="5" t="str">
        <f t="shared" si="39"/>
        <v/>
      </c>
      <c r="U292" s="5" t="str">
        <f t="shared" si="40"/>
        <v/>
      </c>
      <c r="V292" s="5" t="str">
        <f t="shared" si="41"/>
        <v/>
      </c>
      <c r="W292" s="5" t="str">
        <f t="shared" si="42"/>
        <v/>
      </c>
      <c r="X292" s="5" t="str">
        <f t="shared" si="43"/>
        <v/>
      </c>
    </row>
    <row r="293" spans="1:24">
      <c r="A293" s="91"/>
      <c r="B293" s="92"/>
      <c r="C293" s="69"/>
      <c r="D293" s="69"/>
      <c r="E293" s="69"/>
      <c r="F293" s="69"/>
      <c r="G293" s="70"/>
      <c r="H293" s="71"/>
      <c r="I293" s="66"/>
      <c r="J293" s="67"/>
      <c r="K293" s="67"/>
      <c r="L293" s="67"/>
      <c r="M293" s="67"/>
      <c r="N293" s="145" t="str">
        <f t="shared" si="36"/>
        <v/>
      </c>
      <c r="O293" s="64"/>
      <c r="P293" s="64"/>
      <c r="Q293" s="152" t="str">
        <f t="shared" si="37"/>
        <v/>
      </c>
      <c r="R293" s="65" t="str">
        <f t="shared" si="44"/>
        <v/>
      </c>
      <c r="S293" s="5" t="str">
        <f t="shared" si="38"/>
        <v/>
      </c>
      <c r="T293" s="5" t="str">
        <f t="shared" si="39"/>
        <v/>
      </c>
      <c r="U293" s="5" t="str">
        <f t="shared" si="40"/>
        <v/>
      </c>
      <c r="V293" s="5" t="str">
        <f t="shared" si="41"/>
        <v/>
      </c>
      <c r="W293" s="5" t="str">
        <f t="shared" si="42"/>
        <v/>
      </c>
      <c r="X293" s="5" t="str">
        <f t="shared" si="43"/>
        <v/>
      </c>
    </row>
    <row r="294" spans="1:24">
      <c r="A294" s="91"/>
      <c r="B294" s="92"/>
      <c r="C294" s="69"/>
      <c r="D294" s="69"/>
      <c r="E294" s="69"/>
      <c r="F294" s="69"/>
      <c r="G294" s="70"/>
      <c r="H294" s="71"/>
      <c r="I294" s="66"/>
      <c r="J294" s="67"/>
      <c r="K294" s="67"/>
      <c r="L294" s="67"/>
      <c r="M294" s="67"/>
      <c r="N294" s="145" t="str">
        <f t="shared" si="36"/>
        <v/>
      </c>
      <c r="O294" s="64"/>
      <c r="P294" s="64"/>
      <c r="Q294" s="152" t="str">
        <f t="shared" si="37"/>
        <v/>
      </c>
      <c r="R294" s="65" t="str">
        <f t="shared" si="44"/>
        <v/>
      </c>
      <c r="S294" s="5" t="str">
        <f t="shared" si="38"/>
        <v/>
      </c>
      <c r="T294" s="5" t="str">
        <f t="shared" si="39"/>
        <v/>
      </c>
      <c r="U294" s="5" t="str">
        <f t="shared" si="40"/>
        <v/>
      </c>
      <c r="V294" s="5" t="str">
        <f t="shared" si="41"/>
        <v/>
      </c>
      <c r="W294" s="5" t="str">
        <f t="shared" si="42"/>
        <v/>
      </c>
      <c r="X294" s="5" t="str">
        <f t="shared" si="43"/>
        <v/>
      </c>
    </row>
    <row r="295" spans="1:24">
      <c r="A295" s="91"/>
      <c r="B295" s="92"/>
      <c r="C295" s="69"/>
      <c r="D295" s="69"/>
      <c r="E295" s="69"/>
      <c r="F295" s="69"/>
      <c r="G295" s="70"/>
      <c r="H295" s="71"/>
      <c r="I295" s="66"/>
      <c r="J295" s="67"/>
      <c r="K295" s="67"/>
      <c r="L295" s="67"/>
      <c r="M295" s="67"/>
      <c r="N295" s="145" t="str">
        <f t="shared" si="36"/>
        <v/>
      </c>
      <c r="O295" s="64"/>
      <c r="P295" s="64"/>
      <c r="Q295" s="152" t="str">
        <f t="shared" si="37"/>
        <v/>
      </c>
      <c r="R295" s="65" t="str">
        <f t="shared" si="44"/>
        <v/>
      </c>
      <c r="S295" s="5" t="str">
        <f t="shared" si="38"/>
        <v/>
      </c>
      <c r="T295" s="5" t="str">
        <f t="shared" si="39"/>
        <v/>
      </c>
      <c r="U295" s="5" t="str">
        <f t="shared" si="40"/>
        <v/>
      </c>
      <c r="V295" s="5" t="str">
        <f t="shared" si="41"/>
        <v/>
      </c>
      <c r="W295" s="5" t="str">
        <f t="shared" si="42"/>
        <v/>
      </c>
      <c r="X295" s="5" t="str">
        <f t="shared" si="43"/>
        <v/>
      </c>
    </row>
    <row r="296" spans="1:24">
      <c r="A296" s="91"/>
      <c r="B296" s="92"/>
      <c r="C296" s="69"/>
      <c r="D296" s="69"/>
      <c r="E296" s="69"/>
      <c r="F296" s="69"/>
      <c r="G296" s="70"/>
      <c r="H296" s="71"/>
      <c r="I296" s="66"/>
      <c r="J296" s="67"/>
      <c r="K296" s="67"/>
      <c r="L296" s="67"/>
      <c r="M296" s="67"/>
      <c r="N296" s="145" t="str">
        <f t="shared" si="36"/>
        <v/>
      </c>
      <c r="O296" s="64"/>
      <c r="P296" s="64"/>
      <c r="Q296" s="152" t="str">
        <f t="shared" si="37"/>
        <v/>
      </c>
      <c r="R296" s="65" t="str">
        <f t="shared" si="44"/>
        <v/>
      </c>
      <c r="S296" s="5" t="str">
        <f t="shared" si="38"/>
        <v/>
      </c>
      <c r="T296" s="5" t="str">
        <f t="shared" si="39"/>
        <v/>
      </c>
      <c r="U296" s="5" t="str">
        <f t="shared" si="40"/>
        <v/>
      </c>
      <c r="V296" s="5" t="str">
        <f t="shared" si="41"/>
        <v/>
      </c>
      <c r="W296" s="5" t="str">
        <f t="shared" si="42"/>
        <v/>
      </c>
      <c r="X296" s="5" t="str">
        <f t="shared" si="43"/>
        <v/>
      </c>
    </row>
    <row r="297" spans="1:24">
      <c r="A297" s="91"/>
      <c r="B297" s="92"/>
      <c r="C297" s="69"/>
      <c r="D297" s="69"/>
      <c r="E297" s="69"/>
      <c r="F297" s="69"/>
      <c r="G297" s="70"/>
      <c r="H297" s="71"/>
      <c r="I297" s="66"/>
      <c r="J297" s="67"/>
      <c r="K297" s="67"/>
      <c r="L297" s="67"/>
      <c r="M297" s="67"/>
      <c r="N297" s="145" t="str">
        <f t="shared" si="36"/>
        <v/>
      </c>
      <c r="O297" s="64"/>
      <c r="P297" s="64"/>
      <c r="Q297" s="152" t="str">
        <f t="shared" si="37"/>
        <v/>
      </c>
      <c r="R297" s="65" t="str">
        <f t="shared" si="44"/>
        <v/>
      </c>
      <c r="S297" s="5" t="str">
        <f t="shared" si="38"/>
        <v/>
      </c>
      <c r="T297" s="5" t="str">
        <f t="shared" si="39"/>
        <v/>
      </c>
      <c r="U297" s="5" t="str">
        <f t="shared" si="40"/>
        <v/>
      </c>
      <c r="V297" s="5" t="str">
        <f t="shared" si="41"/>
        <v/>
      </c>
      <c r="W297" s="5" t="str">
        <f t="shared" si="42"/>
        <v/>
      </c>
      <c r="X297" s="5" t="str">
        <f t="shared" si="43"/>
        <v/>
      </c>
    </row>
    <row r="298" spans="1:24">
      <c r="A298" s="91"/>
      <c r="B298" s="92"/>
      <c r="C298" s="69"/>
      <c r="D298" s="69"/>
      <c r="E298" s="69"/>
      <c r="F298" s="69"/>
      <c r="G298" s="70"/>
      <c r="H298" s="71"/>
      <c r="I298" s="66"/>
      <c r="J298" s="67"/>
      <c r="K298" s="67"/>
      <c r="L298" s="67"/>
      <c r="M298" s="67"/>
      <c r="N298" s="145" t="str">
        <f t="shared" si="36"/>
        <v/>
      </c>
      <c r="O298" s="64"/>
      <c r="P298" s="64"/>
      <c r="Q298" s="152" t="str">
        <f t="shared" si="37"/>
        <v/>
      </c>
      <c r="R298" s="65" t="str">
        <f t="shared" si="44"/>
        <v/>
      </c>
      <c r="S298" s="5" t="str">
        <f t="shared" si="38"/>
        <v/>
      </c>
      <c r="T298" s="5" t="str">
        <f t="shared" si="39"/>
        <v/>
      </c>
      <c r="U298" s="5" t="str">
        <f t="shared" si="40"/>
        <v/>
      </c>
      <c r="V298" s="5" t="str">
        <f t="shared" si="41"/>
        <v/>
      </c>
      <c r="W298" s="5" t="str">
        <f t="shared" si="42"/>
        <v/>
      </c>
      <c r="X298" s="5" t="str">
        <f t="shared" si="43"/>
        <v/>
      </c>
    </row>
    <row r="299" spans="1:24">
      <c r="A299" s="91"/>
      <c r="B299" s="92"/>
      <c r="C299" s="69"/>
      <c r="D299" s="69"/>
      <c r="E299" s="69"/>
      <c r="F299" s="69"/>
      <c r="G299" s="70"/>
      <c r="H299" s="71"/>
      <c r="I299" s="66"/>
      <c r="J299" s="67"/>
      <c r="K299" s="67"/>
      <c r="L299" s="67"/>
      <c r="M299" s="67"/>
      <c r="N299" s="145" t="str">
        <f t="shared" si="36"/>
        <v/>
      </c>
      <c r="O299" s="64"/>
      <c r="P299" s="64"/>
      <c r="Q299" s="152" t="str">
        <f t="shared" si="37"/>
        <v/>
      </c>
      <c r="R299" s="65" t="str">
        <f t="shared" si="44"/>
        <v/>
      </c>
      <c r="S299" s="5" t="str">
        <f t="shared" si="38"/>
        <v/>
      </c>
      <c r="T299" s="5" t="str">
        <f t="shared" si="39"/>
        <v/>
      </c>
      <c r="U299" s="5" t="str">
        <f t="shared" si="40"/>
        <v/>
      </c>
      <c r="V299" s="5" t="str">
        <f t="shared" si="41"/>
        <v/>
      </c>
      <c r="W299" s="5" t="str">
        <f t="shared" si="42"/>
        <v/>
      </c>
      <c r="X299" s="5" t="str">
        <f t="shared" si="43"/>
        <v/>
      </c>
    </row>
    <row r="300" spans="1:24">
      <c r="A300" s="91"/>
      <c r="B300" s="92"/>
      <c r="C300" s="69"/>
      <c r="D300" s="69"/>
      <c r="E300" s="69"/>
      <c r="F300" s="69"/>
      <c r="G300" s="70"/>
      <c r="H300" s="71"/>
      <c r="I300" s="66"/>
      <c r="J300" s="67"/>
      <c r="K300" s="67"/>
      <c r="L300" s="67"/>
      <c r="M300" s="67"/>
      <c r="N300" s="145" t="str">
        <f t="shared" si="36"/>
        <v/>
      </c>
      <c r="O300" s="64"/>
      <c r="P300" s="64"/>
      <c r="Q300" s="152" t="str">
        <f t="shared" si="37"/>
        <v/>
      </c>
      <c r="R300" s="65" t="str">
        <f t="shared" si="44"/>
        <v/>
      </c>
      <c r="S300" s="5" t="str">
        <f t="shared" si="38"/>
        <v/>
      </c>
      <c r="T300" s="5" t="str">
        <f t="shared" si="39"/>
        <v/>
      </c>
      <c r="U300" s="5" t="str">
        <f t="shared" si="40"/>
        <v/>
      </c>
      <c r="V300" s="5" t="str">
        <f t="shared" si="41"/>
        <v/>
      </c>
      <c r="W300" s="5" t="str">
        <f t="shared" si="42"/>
        <v/>
      </c>
      <c r="X300" s="5" t="str">
        <f t="shared" si="43"/>
        <v/>
      </c>
    </row>
    <row r="301" spans="1:24">
      <c r="A301" s="91"/>
      <c r="B301" s="92"/>
      <c r="C301" s="69"/>
      <c r="D301" s="69"/>
      <c r="E301" s="69"/>
      <c r="F301" s="69"/>
      <c r="G301" s="70"/>
      <c r="H301" s="71"/>
      <c r="I301" s="66"/>
      <c r="J301" s="67"/>
      <c r="K301" s="67"/>
      <c r="L301" s="67"/>
      <c r="M301" s="67"/>
      <c r="N301" s="145" t="str">
        <f t="shared" si="36"/>
        <v/>
      </c>
      <c r="O301" s="64"/>
      <c r="P301" s="64"/>
      <c r="Q301" s="152" t="str">
        <f t="shared" si="37"/>
        <v/>
      </c>
      <c r="R301" s="65" t="str">
        <f t="shared" si="44"/>
        <v/>
      </c>
      <c r="S301" s="5" t="str">
        <f t="shared" si="38"/>
        <v/>
      </c>
      <c r="T301" s="5" t="str">
        <f t="shared" si="39"/>
        <v/>
      </c>
      <c r="U301" s="5" t="str">
        <f t="shared" si="40"/>
        <v/>
      </c>
      <c r="V301" s="5" t="str">
        <f t="shared" si="41"/>
        <v/>
      </c>
      <c r="W301" s="5" t="str">
        <f t="shared" si="42"/>
        <v/>
      </c>
      <c r="X301" s="5" t="str">
        <f t="shared" si="43"/>
        <v/>
      </c>
    </row>
    <row r="302" spans="1:24">
      <c r="A302" s="91"/>
      <c r="B302" s="92"/>
      <c r="C302" s="69"/>
      <c r="D302" s="69"/>
      <c r="E302" s="69"/>
      <c r="F302" s="69"/>
      <c r="G302" s="70"/>
      <c r="H302" s="71"/>
      <c r="I302" s="66"/>
      <c r="J302" s="67"/>
      <c r="K302" s="67"/>
      <c r="L302" s="67"/>
      <c r="M302" s="67"/>
      <c r="N302" s="145" t="str">
        <f t="shared" si="36"/>
        <v/>
      </c>
      <c r="O302" s="64"/>
      <c r="P302" s="64"/>
      <c r="Q302" s="152" t="str">
        <f t="shared" si="37"/>
        <v/>
      </c>
      <c r="R302" s="65" t="str">
        <f t="shared" si="44"/>
        <v/>
      </c>
      <c r="S302" s="5" t="str">
        <f t="shared" si="38"/>
        <v/>
      </c>
      <c r="T302" s="5" t="str">
        <f t="shared" si="39"/>
        <v/>
      </c>
      <c r="U302" s="5" t="str">
        <f t="shared" si="40"/>
        <v/>
      </c>
      <c r="V302" s="5" t="str">
        <f t="shared" si="41"/>
        <v/>
      </c>
      <c r="W302" s="5" t="str">
        <f t="shared" si="42"/>
        <v/>
      </c>
      <c r="X302" s="5" t="str">
        <f t="shared" si="43"/>
        <v/>
      </c>
    </row>
    <row r="303" spans="1:24">
      <c r="A303" s="91"/>
      <c r="B303" s="92"/>
      <c r="C303" s="69"/>
      <c r="D303" s="69"/>
      <c r="E303" s="69"/>
      <c r="F303" s="69"/>
      <c r="G303" s="70"/>
      <c r="H303" s="71"/>
      <c r="I303" s="66"/>
      <c r="J303" s="67"/>
      <c r="K303" s="67"/>
      <c r="L303" s="67"/>
      <c r="M303" s="67"/>
      <c r="N303" s="145" t="str">
        <f t="shared" si="36"/>
        <v/>
      </c>
      <c r="O303" s="64"/>
      <c r="P303" s="64"/>
      <c r="Q303" s="152" t="str">
        <f t="shared" si="37"/>
        <v/>
      </c>
      <c r="R303" s="65" t="str">
        <f t="shared" si="44"/>
        <v/>
      </c>
      <c r="S303" s="5" t="str">
        <f t="shared" si="38"/>
        <v/>
      </c>
      <c r="T303" s="5" t="str">
        <f t="shared" si="39"/>
        <v/>
      </c>
      <c r="U303" s="5" t="str">
        <f t="shared" si="40"/>
        <v/>
      </c>
      <c r="V303" s="5" t="str">
        <f t="shared" si="41"/>
        <v/>
      </c>
      <c r="W303" s="5" t="str">
        <f t="shared" si="42"/>
        <v/>
      </c>
      <c r="X303" s="5" t="str">
        <f t="shared" si="43"/>
        <v/>
      </c>
    </row>
    <row r="304" spans="1:24">
      <c r="A304" s="91"/>
      <c r="B304" s="92"/>
      <c r="C304" s="69"/>
      <c r="D304" s="69"/>
      <c r="E304" s="69"/>
      <c r="F304" s="69"/>
      <c r="G304" s="70"/>
      <c r="H304" s="71"/>
      <c r="I304" s="66"/>
      <c r="J304" s="67"/>
      <c r="K304" s="67"/>
      <c r="L304" s="67"/>
      <c r="M304" s="67"/>
      <c r="N304" s="145" t="str">
        <f t="shared" si="36"/>
        <v/>
      </c>
      <c r="O304" s="64"/>
      <c r="P304" s="64"/>
      <c r="Q304" s="152" t="str">
        <f t="shared" si="37"/>
        <v/>
      </c>
      <c r="R304" s="65" t="str">
        <f t="shared" si="44"/>
        <v/>
      </c>
      <c r="S304" s="5" t="str">
        <f t="shared" si="38"/>
        <v/>
      </c>
      <c r="T304" s="5" t="str">
        <f t="shared" si="39"/>
        <v/>
      </c>
      <c r="U304" s="5" t="str">
        <f t="shared" si="40"/>
        <v/>
      </c>
      <c r="V304" s="5" t="str">
        <f t="shared" si="41"/>
        <v/>
      </c>
      <c r="W304" s="5" t="str">
        <f t="shared" si="42"/>
        <v/>
      </c>
      <c r="X304" s="5" t="str">
        <f t="shared" si="43"/>
        <v/>
      </c>
    </row>
    <row r="305" spans="1:24">
      <c r="A305" s="91"/>
      <c r="B305" s="92"/>
      <c r="C305" s="69"/>
      <c r="D305" s="69"/>
      <c r="E305" s="69"/>
      <c r="F305" s="69"/>
      <c r="G305" s="70"/>
      <c r="H305" s="71"/>
      <c r="I305" s="66"/>
      <c r="J305" s="67"/>
      <c r="K305" s="67"/>
      <c r="L305" s="67"/>
      <c r="M305" s="67"/>
      <c r="N305" s="145" t="str">
        <f t="shared" si="36"/>
        <v/>
      </c>
      <c r="O305" s="64"/>
      <c r="P305" s="64"/>
      <c r="Q305" s="152" t="str">
        <f t="shared" si="37"/>
        <v/>
      </c>
      <c r="R305" s="65" t="str">
        <f t="shared" si="44"/>
        <v/>
      </c>
      <c r="S305" s="5" t="str">
        <f t="shared" si="38"/>
        <v/>
      </c>
      <c r="T305" s="5" t="str">
        <f t="shared" si="39"/>
        <v/>
      </c>
      <c r="U305" s="5" t="str">
        <f t="shared" si="40"/>
        <v/>
      </c>
      <c r="V305" s="5" t="str">
        <f t="shared" si="41"/>
        <v/>
      </c>
      <c r="W305" s="5" t="str">
        <f t="shared" si="42"/>
        <v/>
      </c>
      <c r="X305" s="5" t="str">
        <f t="shared" si="43"/>
        <v/>
      </c>
    </row>
    <row r="306" spans="1:24">
      <c r="A306" s="91"/>
      <c r="B306" s="92"/>
      <c r="C306" s="69"/>
      <c r="D306" s="69"/>
      <c r="E306" s="69"/>
      <c r="F306" s="69"/>
      <c r="G306" s="70"/>
      <c r="H306" s="71"/>
      <c r="I306" s="66"/>
      <c r="J306" s="67"/>
      <c r="K306" s="67"/>
      <c r="L306" s="67"/>
      <c r="M306" s="67"/>
      <c r="N306" s="145" t="str">
        <f t="shared" si="36"/>
        <v/>
      </c>
      <c r="O306" s="64"/>
      <c r="P306" s="64"/>
      <c r="Q306" s="152" t="str">
        <f t="shared" si="37"/>
        <v/>
      </c>
      <c r="R306" s="65" t="str">
        <f t="shared" si="44"/>
        <v/>
      </c>
      <c r="S306" s="5" t="str">
        <f t="shared" si="38"/>
        <v/>
      </c>
      <c r="T306" s="5" t="str">
        <f t="shared" si="39"/>
        <v/>
      </c>
      <c r="U306" s="5" t="str">
        <f t="shared" si="40"/>
        <v/>
      </c>
      <c r="V306" s="5" t="str">
        <f t="shared" si="41"/>
        <v/>
      </c>
      <c r="W306" s="5" t="str">
        <f t="shared" si="42"/>
        <v/>
      </c>
      <c r="X306" s="5" t="str">
        <f t="shared" si="43"/>
        <v/>
      </c>
    </row>
    <row r="307" spans="1:24">
      <c r="A307" s="91"/>
      <c r="B307" s="92"/>
      <c r="C307" s="69"/>
      <c r="D307" s="69"/>
      <c r="E307" s="69"/>
      <c r="F307" s="69"/>
      <c r="G307" s="70"/>
      <c r="H307" s="71"/>
      <c r="I307" s="66"/>
      <c r="J307" s="67"/>
      <c r="K307" s="67"/>
      <c r="L307" s="67"/>
      <c r="M307" s="67"/>
      <c r="N307" s="145" t="str">
        <f t="shared" si="36"/>
        <v/>
      </c>
      <c r="O307" s="64"/>
      <c r="P307" s="64"/>
      <c r="Q307" s="152" t="str">
        <f t="shared" si="37"/>
        <v/>
      </c>
      <c r="R307" s="65" t="str">
        <f t="shared" si="44"/>
        <v/>
      </c>
      <c r="S307" s="5" t="str">
        <f t="shared" si="38"/>
        <v/>
      </c>
      <c r="T307" s="5" t="str">
        <f t="shared" si="39"/>
        <v/>
      </c>
      <c r="U307" s="5" t="str">
        <f t="shared" si="40"/>
        <v/>
      </c>
      <c r="V307" s="5" t="str">
        <f t="shared" si="41"/>
        <v/>
      </c>
      <c r="W307" s="5" t="str">
        <f t="shared" si="42"/>
        <v/>
      </c>
      <c r="X307" s="5" t="str">
        <f t="shared" si="43"/>
        <v/>
      </c>
    </row>
    <row r="308" spans="1:24">
      <c r="A308" s="91"/>
      <c r="B308" s="92"/>
      <c r="C308" s="69"/>
      <c r="D308" s="69"/>
      <c r="E308" s="69"/>
      <c r="F308" s="69"/>
      <c r="G308" s="70"/>
      <c r="H308" s="71"/>
      <c r="I308" s="66"/>
      <c r="J308" s="67"/>
      <c r="K308" s="67"/>
      <c r="L308" s="67"/>
      <c r="M308" s="67"/>
      <c r="N308" s="145" t="str">
        <f t="shared" si="36"/>
        <v/>
      </c>
      <c r="O308" s="64"/>
      <c r="P308" s="64"/>
      <c r="Q308" s="152" t="str">
        <f t="shared" si="37"/>
        <v/>
      </c>
      <c r="R308" s="65" t="str">
        <f t="shared" si="44"/>
        <v/>
      </c>
      <c r="S308" s="5" t="str">
        <f t="shared" si="38"/>
        <v/>
      </c>
      <c r="T308" s="5" t="str">
        <f t="shared" si="39"/>
        <v/>
      </c>
      <c r="U308" s="5" t="str">
        <f t="shared" si="40"/>
        <v/>
      </c>
      <c r="V308" s="5" t="str">
        <f t="shared" si="41"/>
        <v/>
      </c>
      <c r="W308" s="5" t="str">
        <f t="shared" si="42"/>
        <v/>
      </c>
      <c r="X308" s="5" t="str">
        <f t="shared" si="43"/>
        <v/>
      </c>
    </row>
    <row r="309" spans="1:24">
      <c r="A309" s="91"/>
      <c r="B309" s="92"/>
      <c r="C309" s="69"/>
      <c r="D309" s="69"/>
      <c r="E309" s="69"/>
      <c r="F309" s="69"/>
      <c r="G309" s="70"/>
      <c r="H309" s="71"/>
      <c r="I309" s="66"/>
      <c r="J309" s="67"/>
      <c r="K309" s="67"/>
      <c r="L309" s="67"/>
      <c r="M309" s="67"/>
      <c r="N309" s="145" t="str">
        <f t="shared" si="36"/>
        <v/>
      </c>
      <c r="O309" s="64"/>
      <c r="P309" s="64"/>
      <c r="Q309" s="152" t="str">
        <f t="shared" si="37"/>
        <v/>
      </c>
      <c r="R309" s="65" t="str">
        <f t="shared" si="44"/>
        <v/>
      </c>
      <c r="S309" s="5" t="str">
        <f t="shared" si="38"/>
        <v/>
      </c>
      <c r="T309" s="5" t="str">
        <f t="shared" si="39"/>
        <v/>
      </c>
      <c r="U309" s="5" t="str">
        <f t="shared" si="40"/>
        <v/>
      </c>
      <c r="V309" s="5" t="str">
        <f t="shared" si="41"/>
        <v/>
      </c>
      <c r="W309" s="5" t="str">
        <f t="shared" si="42"/>
        <v/>
      </c>
      <c r="X309" s="5" t="str">
        <f t="shared" si="43"/>
        <v/>
      </c>
    </row>
    <row r="310" spans="1:24">
      <c r="A310" s="91"/>
      <c r="B310" s="92"/>
      <c r="C310" s="69"/>
      <c r="D310" s="69"/>
      <c r="E310" s="69"/>
      <c r="F310" s="69"/>
      <c r="G310" s="70"/>
      <c r="H310" s="71"/>
      <c r="I310" s="66"/>
      <c r="J310" s="67"/>
      <c r="K310" s="67"/>
      <c r="L310" s="67"/>
      <c r="M310" s="67"/>
      <c r="N310" s="145" t="str">
        <f t="shared" si="36"/>
        <v/>
      </c>
      <c r="O310" s="64"/>
      <c r="P310" s="64"/>
      <c r="Q310" s="152" t="str">
        <f t="shared" si="37"/>
        <v/>
      </c>
      <c r="R310" s="65" t="str">
        <f t="shared" si="44"/>
        <v/>
      </c>
      <c r="S310" s="5" t="str">
        <f t="shared" si="38"/>
        <v/>
      </c>
      <c r="T310" s="5" t="str">
        <f t="shared" si="39"/>
        <v/>
      </c>
      <c r="U310" s="5" t="str">
        <f t="shared" si="40"/>
        <v/>
      </c>
      <c r="V310" s="5" t="str">
        <f t="shared" si="41"/>
        <v/>
      </c>
      <c r="W310" s="5" t="str">
        <f t="shared" si="42"/>
        <v/>
      </c>
      <c r="X310" s="5" t="str">
        <f t="shared" si="43"/>
        <v/>
      </c>
    </row>
    <row r="311" spans="1:24">
      <c r="A311" s="91"/>
      <c r="B311" s="92"/>
      <c r="C311" s="69"/>
      <c r="D311" s="69"/>
      <c r="E311" s="69"/>
      <c r="F311" s="69"/>
      <c r="G311" s="70"/>
      <c r="H311" s="71"/>
      <c r="I311" s="66"/>
      <c r="J311" s="67"/>
      <c r="K311" s="67"/>
      <c r="L311" s="67"/>
      <c r="M311" s="67"/>
      <c r="N311" s="145" t="str">
        <f t="shared" si="36"/>
        <v/>
      </c>
      <c r="O311" s="64"/>
      <c r="P311" s="64"/>
      <c r="Q311" s="152" t="str">
        <f t="shared" si="37"/>
        <v/>
      </c>
      <c r="R311" s="65" t="str">
        <f t="shared" si="44"/>
        <v/>
      </c>
      <c r="S311" s="5" t="str">
        <f t="shared" si="38"/>
        <v/>
      </c>
      <c r="T311" s="5" t="str">
        <f t="shared" si="39"/>
        <v/>
      </c>
      <c r="U311" s="5" t="str">
        <f t="shared" si="40"/>
        <v/>
      </c>
      <c r="V311" s="5" t="str">
        <f t="shared" si="41"/>
        <v/>
      </c>
      <c r="W311" s="5" t="str">
        <f t="shared" si="42"/>
        <v/>
      </c>
      <c r="X311" s="5" t="str">
        <f t="shared" si="43"/>
        <v/>
      </c>
    </row>
    <row r="312" spans="1:24">
      <c r="A312" s="91"/>
      <c r="B312" s="92"/>
      <c r="C312" s="69"/>
      <c r="D312" s="69"/>
      <c r="E312" s="69"/>
      <c r="F312" s="69"/>
      <c r="G312" s="70"/>
      <c r="H312" s="71"/>
      <c r="I312" s="66"/>
      <c r="J312" s="67"/>
      <c r="K312" s="67"/>
      <c r="L312" s="67"/>
      <c r="M312" s="67"/>
      <c r="N312" s="145" t="str">
        <f t="shared" si="36"/>
        <v/>
      </c>
      <c r="O312" s="64"/>
      <c r="P312" s="64"/>
      <c r="Q312" s="152" t="str">
        <f t="shared" si="37"/>
        <v/>
      </c>
      <c r="R312" s="65" t="str">
        <f t="shared" si="44"/>
        <v/>
      </c>
      <c r="S312" s="5" t="str">
        <f t="shared" si="38"/>
        <v/>
      </c>
      <c r="T312" s="5" t="str">
        <f t="shared" si="39"/>
        <v/>
      </c>
      <c r="U312" s="5" t="str">
        <f t="shared" si="40"/>
        <v/>
      </c>
      <c r="V312" s="5" t="str">
        <f t="shared" si="41"/>
        <v/>
      </c>
      <c r="W312" s="5" t="str">
        <f t="shared" si="42"/>
        <v/>
      </c>
      <c r="X312" s="5" t="str">
        <f t="shared" si="43"/>
        <v/>
      </c>
    </row>
    <row r="313" spans="1:24">
      <c r="A313" s="91"/>
      <c r="B313" s="92"/>
      <c r="C313" s="69"/>
      <c r="D313" s="69"/>
      <c r="E313" s="69"/>
      <c r="F313" s="69"/>
      <c r="G313" s="70"/>
      <c r="H313" s="71"/>
      <c r="I313" s="66"/>
      <c r="J313" s="67"/>
      <c r="K313" s="67"/>
      <c r="L313" s="67"/>
      <c r="M313" s="67"/>
      <c r="N313" s="145" t="str">
        <f t="shared" si="36"/>
        <v/>
      </c>
      <c r="O313" s="64"/>
      <c r="P313" s="64"/>
      <c r="Q313" s="152" t="str">
        <f t="shared" si="37"/>
        <v/>
      </c>
      <c r="R313" s="65" t="str">
        <f t="shared" si="44"/>
        <v/>
      </c>
      <c r="S313" s="5" t="str">
        <f t="shared" si="38"/>
        <v/>
      </c>
      <c r="T313" s="5" t="str">
        <f t="shared" si="39"/>
        <v/>
      </c>
      <c r="U313" s="5" t="str">
        <f t="shared" si="40"/>
        <v/>
      </c>
      <c r="V313" s="5" t="str">
        <f t="shared" si="41"/>
        <v/>
      </c>
      <c r="W313" s="5" t="str">
        <f t="shared" si="42"/>
        <v/>
      </c>
      <c r="X313" s="5" t="str">
        <f t="shared" si="43"/>
        <v/>
      </c>
    </row>
    <row r="314" spans="1:24">
      <c r="A314" s="91"/>
      <c r="B314" s="92"/>
      <c r="C314" s="69"/>
      <c r="D314" s="69"/>
      <c r="E314" s="69"/>
      <c r="F314" s="69"/>
      <c r="G314" s="70"/>
      <c r="H314" s="71"/>
      <c r="I314" s="66"/>
      <c r="J314" s="67"/>
      <c r="K314" s="67"/>
      <c r="L314" s="67"/>
      <c r="M314" s="67"/>
      <c r="N314" s="145" t="str">
        <f t="shared" si="36"/>
        <v/>
      </c>
      <c r="O314" s="64"/>
      <c r="P314" s="64"/>
      <c r="Q314" s="152" t="str">
        <f t="shared" si="37"/>
        <v/>
      </c>
      <c r="R314" s="65" t="str">
        <f t="shared" si="44"/>
        <v/>
      </c>
      <c r="S314" s="5" t="str">
        <f t="shared" si="38"/>
        <v/>
      </c>
      <c r="T314" s="5" t="str">
        <f t="shared" si="39"/>
        <v/>
      </c>
      <c r="U314" s="5" t="str">
        <f t="shared" si="40"/>
        <v/>
      </c>
      <c r="V314" s="5" t="str">
        <f t="shared" si="41"/>
        <v/>
      </c>
      <c r="W314" s="5" t="str">
        <f t="shared" si="42"/>
        <v/>
      </c>
      <c r="X314" s="5" t="str">
        <f t="shared" si="43"/>
        <v/>
      </c>
    </row>
    <row r="315" spans="1:24">
      <c r="A315" s="91"/>
      <c r="B315" s="92"/>
      <c r="C315" s="69"/>
      <c r="D315" s="69"/>
      <c r="E315" s="69"/>
      <c r="F315" s="69"/>
      <c r="G315" s="70"/>
      <c r="H315" s="71"/>
      <c r="I315" s="66"/>
      <c r="J315" s="67"/>
      <c r="K315" s="67"/>
      <c r="L315" s="67"/>
      <c r="M315" s="67"/>
      <c r="N315" s="145" t="str">
        <f t="shared" si="36"/>
        <v/>
      </c>
      <c r="O315" s="64"/>
      <c r="P315" s="64"/>
      <c r="Q315" s="152" t="str">
        <f t="shared" si="37"/>
        <v/>
      </c>
      <c r="R315" s="65" t="str">
        <f t="shared" si="44"/>
        <v/>
      </c>
      <c r="S315" s="5" t="str">
        <f t="shared" si="38"/>
        <v/>
      </c>
      <c r="T315" s="5" t="str">
        <f t="shared" si="39"/>
        <v/>
      </c>
      <c r="U315" s="5" t="str">
        <f t="shared" si="40"/>
        <v/>
      </c>
      <c r="V315" s="5" t="str">
        <f t="shared" si="41"/>
        <v/>
      </c>
      <c r="W315" s="5" t="str">
        <f t="shared" si="42"/>
        <v/>
      </c>
      <c r="X315" s="5" t="str">
        <f t="shared" si="43"/>
        <v/>
      </c>
    </row>
    <row r="316" spans="1:24">
      <c r="A316" s="91"/>
      <c r="B316" s="92"/>
      <c r="C316" s="69"/>
      <c r="D316" s="69"/>
      <c r="E316" s="69"/>
      <c r="F316" s="69"/>
      <c r="G316" s="70"/>
      <c r="H316" s="71"/>
      <c r="I316" s="66"/>
      <c r="J316" s="67"/>
      <c r="K316" s="67"/>
      <c r="L316" s="67"/>
      <c r="M316" s="67"/>
      <c r="N316" s="145" t="str">
        <f t="shared" si="36"/>
        <v/>
      </c>
      <c r="O316" s="64"/>
      <c r="P316" s="64"/>
      <c r="Q316" s="152" t="str">
        <f t="shared" si="37"/>
        <v/>
      </c>
      <c r="R316" s="65" t="str">
        <f t="shared" si="44"/>
        <v/>
      </c>
      <c r="S316" s="5" t="str">
        <f t="shared" si="38"/>
        <v/>
      </c>
      <c r="T316" s="5" t="str">
        <f t="shared" si="39"/>
        <v/>
      </c>
      <c r="U316" s="5" t="str">
        <f t="shared" si="40"/>
        <v/>
      </c>
      <c r="V316" s="5" t="str">
        <f t="shared" si="41"/>
        <v/>
      </c>
      <c r="W316" s="5" t="str">
        <f t="shared" si="42"/>
        <v/>
      </c>
      <c r="X316" s="5" t="str">
        <f t="shared" si="43"/>
        <v/>
      </c>
    </row>
    <row r="317" spans="1:24">
      <c r="A317" s="91"/>
      <c r="B317" s="92"/>
      <c r="C317" s="69"/>
      <c r="D317" s="69"/>
      <c r="E317" s="69"/>
      <c r="F317" s="69"/>
      <c r="G317" s="70"/>
      <c r="H317" s="71"/>
      <c r="I317" s="66"/>
      <c r="J317" s="67"/>
      <c r="K317" s="67"/>
      <c r="L317" s="67"/>
      <c r="M317" s="67"/>
      <c r="N317" s="145" t="str">
        <f t="shared" si="36"/>
        <v/>
      </c>
      <c r="O317" s="64"/>
      <c r="P317" s="64"/>
      <c r="Q317" s="152" t="str">
        <f t="shared" si="37"/>
        <v/>
      </c>
      <c r="R317" s="65" t="str">
        <f t="shared" si="44"/>
        <v/>
      </c>
      <c r="S317" s="5" t="str">
        <f t="shared" si="38"/>
        <v/>
      </c>
      <c r="T317" s="5" t="str">
        <f t="shared" si="39"/>
        <v/>
      </c>
      <c r="U317" s="5" t="str">
        <f t="shared" si="40"/>
        <v/>
      </c>
      <c r="V317" s="5" t="str">
        <f t="shared" si="41"/>
        <v/>
      </c>
      <c r="W317" s="5" t="str">
        <f t="shared" si="42"/>
        <v/>
      </c>
      <c r="X317" s="5" t="str">
        <f t="shared" si="43"/>
        <v/>
      </c>
    </row>
    <row r="318" spans="1:24">
      <c r="A318" s="91"/>
      <c r="B318" s="92"/>
      <c r="C318" s="69"/>
      <c r="D318" s="69"/>
      <c r="E318" s="69"/>
      <c r="F318" s="69"/>
      <c r="G318" s="70"/>
      <c r="H318" s="71"/>
      <c r="I318" s="66"/>
      <c r="J318" s="67"/>
      <c r="K318" s="67"/>
      <c r="L318" s="67"/>
      <c r="M318" s="67"/>
      <c r="N318" s="145" t="str">
        <f t="shared" si="36"/>
        <v/>
      </c>
      <c r="O318" s="64"/>
      <c r="P318" s="64"/>
      <c r="Q318" s="152" t="str">
        <f t="shared" si="37"/>
        <v/>
      </c>
      <c r="R318" s="65" t="str">
        <f t="shared" si="44"/>
        <v/>
      </c>
      <c r="S318" s="5" t="str">
        <f t="shared" si="38"/>
        <v/>
      </c>
      <c r="T318" s="5" t="str">
        <f t="shared" si="39"/>
        <v/>
      </c>
      <c r="U318" s="5" t="str">
        <f t="shared" si="40"/>
        <v/>
      </c>
      <c r="V318" s="5" t="str">
        <f t="shared" si="41"/>
        <v/>
      </c>
      <c r="W318" s="5" t="str">
        <f t="shared" si="42"/>
        <v/>
      </c>
      <c r="X318" s="5" t="str">
        <f t="shared" si="43"/>
        <v/>
      </c>
    </row>
    <row r="319" spans="1:24">
      <c r="A319" s="91"/>
      <c r="B319" s="92"/>
      <c r="C319" s="69"/>
      <c r="D319" s="69"/>
      <c r="E319" s="69"/>
      <c r="F319" s="69"/>
      <c r="G319" s="70"/>
      <c r="H319" s="71"/>
      <c r="I319" s="66"/>
      <c r="J319" s="67"/>
      <c r="K319" s="67"/>
      <c r="L319" s="67"/>
      <c r="M319" s="67"/>
      <c r="N319" s="145" t="str">
        <f t="shared" si="36"/>
        <v/>
      </c>
      <c r="O319" s="64"/>
      <c r="P319" s="64"/>
      <c r="Q319" s="152" t="str">
        <f t="shared" si="37"/>
        <v/>
      </c>
      <c r="R319" s="65" t="str">
        <f t="shared" si="44"/>
        <v/>
      </c>
      <c r="S319" s="5" t="str">
        <f t="shared" si="38"/>
        <v/>
      </c>
      <c r="T319" s="5" t="str">
        <f t="shared" si="39"/>
        <v/>
      </c>
      <c r="U319" s="5" t="str">
        <f t="shared" si="40"/>
        <v/>
      </c>
      <c r="V319" s="5" t="str">
        <f t="shared" si="41"/>
        <v/>
      </c>
      <c r="W319" s="5" t="str">
        <f t="shared" si="42"/>
        <v/>
      </c>
      <c r="X319" s="5" t="str">
        <f t="shared" si="43"/>
        <v/>
      </c>
    </row>
    <row r="320" spans="1:24">
      <c r="A320" s="91"/>
      <c r="B320" s="92"/>
      <c r="C320" s="69"/>
      <c r="D320" s="69"/>
      <c r="E320" s="69"/>
      <c r="F320" s="69"/>
      <c r="G320" s="70"/>
      <c r="H320" s="71"/>
      <c r="I320" s="66"/>
      <c r="J320" s="67"/>
      <c r="K320" s="67"/>
      <c r="L320" s="67"/>
      <c r="M320" s="67"/>
      <c r="N320" s="145" t="str">
        <f t="shared" si="36"/>
        <v/>
      </c>
      <c r="O320" s="64"/>
      <c r="P320" s="64"/>
      <c r="Q320" s="152" t="str">
        <f t="shared" si="37"/>
        <v/>
      </c>
      <c r="R320" s="65" t="str">
        <f t="shared" si="44"/>
        <v/>
      </c>
      <c r="S320" s="5" t="str">
        <f t="shared" si="38"/>
        <v/>
      </c>
      <c r="T320" s="5" t="str">
        <f t="shared" si="39"/>
        <v/>
      </c>
      <c r="U320" s="5" t="str">
        <f t="shared" si="40"/>
        <v/>
      </c>
      <c r="V320" s="5" t="str">
        <f t="shared" si="41"/>
        <v/>
      </c>
      <c r="W320" s="5" t="str">
        <f t="shared" si="42"/>
        <v/>
      </c>
      <c r="X320" s="5" t="str">
        <f t="shared" si="43"/>
        <v/>
      </c>
    </row>
    <row r="321" spans="1:24">
      <c r="A321" s="91"/>
      <c r="B321" s="92"/>
      <c r="C321" s="69"/>
      <c r="D321" s="69"/>
      <c r="E321" s="69"/>
      <c r="F321" s="69"/>
      <c r="G321" s="70"/>
      <c r="H321" s="71"/>
      <c r="I321" s="66"/>
      <c r="J321" s="67"/>
      <c r="K321" s="67"/>
      <c r="L321" s="67"/>
      <c r="M321" s="67"/>
      <c r="N321" s="145" t="str">
        <f t="shared" si="36"/>
        <v/>
      </c>
      <c r="O321" s="64"/>
      <c r="P321" s="64"/>
      <c r="Q321" s="152" t="str">
        <f t="shared" si="37"/>
        <v/>
      </c>
      <c r="R321" s="65" t="str">
        <f t="shared" si="44"/>
        <v/>
      </c>
      <c r="S321" s="5" t="str">
        <f t="shared" si="38"/>
        <v/>
      </c>
      <c r="T321" s="5" t="str">
        <f t="shared" si="39"/>
        <v/>
      </c>
      <c r="U321" s="5" t="str">
        <f t="shared" si="40"/>
        <v/>
      </c>
      <c r="V321" s="5" t="str">
        <f t="shared" si="41"/>
        <v/>
      </c>
      <c r="W321" s="5" t="str">
        <f t="shared" si="42"/>
        <v/>
      </c>
      <c r="X321" s="5" t="str">
        <f t="shared" si="43"/>
        <v/>
      </c>
    </row>
    <row r="322" spans="1:24">
      <c r="A322" s="91"/>
      <c r="B322" s="92"/>
      <c r="C322" s="69"/>
      <c r="D322" s="69"/>
      <c r="E322" s="69"/>
      <c r="F322" s="69"/>
      <c r="G322" s="70"/>
      <c r="H322" s="71"/>
      <c r="I322" s="66"/>
      <c r="J322" s="67"/>
      <c r="K322" s="67"/>
      <c r="L322" s="67"/>
      <c r="M322" s="67"/>
      <c r="N322" s="145" t="str">
        <f t="shared" si="36"/>
        <v/>
      </c>
      <c r="O322" s="64"/>
      <c r="P322" s="64"/>
      <c r="Q322" s="152" t="str">
        <f t="shared" si="37"/>
        <v/>
      </c>
      <c r="R322" s="65" t="str">
        <f t="shared" si="44"/>
        <v/>
      </c>
      <c r="S322" s="5" t="str">
        <f t="shared" si="38"/>
        <v/>
      </c>
      <c r="T322" s="5" t="str">
        <f t="shared" si="39"/>
        <v/>
      </c>
      <c r="U322" s="5" t="str">
        <f t="shared" si="40"/>
        <v/>
      </c>
      <c r="V322" s="5" t="str">
        <f t="shared" si="41"/>
        <v/>
      </c>
      <c r="W322" s="5" t="str">
        <f t="shared" si="42"/>
        <v/>
      </c>
      <c r="X322" s="5" t="str">
        <f t="shared" si="43"/>
        <v/>
      </c>
    </row>
    <row r="323" spans="1:24">
      <c r="A323" s="91"/>
      <c r="B323" s="92"/>
      <c r="C323" s="69"/>
      <c r="D323" s="69"/>
      <c r="E323" s="69"/>
      <c r="F323" s="69"/>
      <c r="G323" s="70"/>
      <c r="H323" s="71"/>
      <c r="I323" s="66"/>
      <c r="J323" s="67"/>
      <c r="K323" s="67"/>
      <c r="L323" s="67"/>
      <c r="M323" s="67"/>
      <c r="N323" s="145" t="str">
        <f t="shared" si="36"/>
        <v/>
      </c>
      <c r="O323" s="64"/>
      <c r="P323" s="64"/>
      <c r="Q323" s="152" t="str">
        <f t="shared" si="37"/>
        <v/>
      </c>
      <c r="R323" s="65" t="str">
        <f t="shared" si="44"/>
        <v/>
      </c>
      <c r="S323" s="5" t="str">
        <f t="shared" si="38"/>
        <v/>
      </c>
      <c r="T323" s="5" t="str">
        <f t="shared" si="39"/>
        <v/>
      </c>
      <c r="U323" s="5" t="str">
        <f t="shared" si="40"/>
        <v/>
      </c>
      <c r="V323" s="5" t="str">
        <f t="shared" si="41"/>
        <v/>
      </c>
      <c r="W323" s="5" t="str">
        <f t="shared" si="42"/>
        <v/>
      </c>
      <c r="X323" s="5" t="str">
        <f t="shared" si="43"/>
        <v/>
      </c>
    </row>
    <row r="324" spans="1:24">
      <c r="A324" s="91"/>
      <c r="B324" s="92"/>
      <c r="C324" s="69"/>
      <c r="D324" s="69"/>
      <c r="E324" s="69"/>
      <c r="F324" s="69"/>
      <c r="G324" s="70"/>
      <c r="H324" s="71"/>
      <c r="I324" s="66"/>
      <c r="J324" s="67"/>
      <c r="K324" s="67"/>
      <c r="L324" s="67"/>
      <c r="M324" s="67"/>
      <c r="N324" s="145" t="str">
        <f t="shared" si="36"/>
        <v/>
      </c>
      <c r="O324" s="64"/>
      <c r="P324" s="64"/>
      <c r="Q324" s="152" t="str">
        <f t="shared" si="37"/>
        <v/>
      </c>
      <c r="R324" s="65" t="str">
        <f t="shared" si="44"/>
        <v/>
      </c>
      <c r="S324" s="5" t="str">
        <f t="shared" si="38"/>
        <v/>
      </c>
      <c r="T324" s="5" t="str">
        <f t="shared" si="39"/>
        <v/>
      </c>
      <c r="U324" s="5" t="str">
        <f t="shared" si="40"/>
        <v/>
      </c>
      <c r="V324" s="5" t="str">
        <f t="shared" si="41"/>
        <v/>
      </c>
      <c r="W324" s="5" t="str">
        <f t="shared" si="42"/>
        <v/>
      </c>
      <c r="X324" s="5" t="str">
        <f t="shared" si="43"/>
        <v/>
      </c>
    </row>
    <row r="325" spans="1:24">
      <c r="A325" s="91"/>
      <c r="B325" s="92"/>
      <c r="C325" s="69"/>
      <c r="D325" s="69"/>
      <c r="E325" s="69"/>
      <c r="F325" s="69"/>
      <c r="G325" s="70"/>
      <c r="H325" s="71"/>
      <c r="I325" s="66"/>
      <c r="J325" s="67"/>
      <c r="K325" s="67"/>
      <c r="L325" s="67"/>
      <c r="M325" s="67"/>
      <c r="N325" s="145" t="str">
        <f t="shared" si="36"/>
        <v/>
      </c>
      <c r="O325" s="64"/>
      <c r="P325" s="64"/>
      <c r="Q325" s="152" t="str">
        <f t="shared" si="37"/>
        <v/>
      </c>
      <c r="R325" s="65" t="str">
        <f t="shared" si="44"/>
        <v/>
      </c>
      <c r="S325" s="5" t="str">
        <f t="shared" si="38"/>
        <v/>
      </c>
      <c r="T325" s="5" t="str">
        <f t="shared" si="39"/>
        <v/>
      </c>
      <c r="U325" s="5" t="str">
        <f t="shared" si="40"/>
        <v/>
      </c>
      <c r="V325" s="5" t="str">
        <f t="shared" si="41"/>
        <v/>
      </c>
      <c r="W325" s="5" t="str">
        <f t="shared" si="42"/>
        <v/>
      </c>
      <c r="X325" s="5" t="str">
        <f t="shared" si="43"/>
        <v/>
      </c>
    </row>
    <row r="326" spans="1:24">
      <c r="A326" s="91"/>
      <c r="B326" s="92"/>
      <c r="C326" s="69"/>
      <c r="D326" s="69"/>
      <c r="E326" s="69"/>
      <c r="F326" s="69"/>
      <c r="G326" s="70"/>
      <c r="H326" s="71"/>
      <c r="I326" s="66"/>
      <c r="J326" s="67"/>
      <c r="K326" s="67"/>
      <c r="L326" s="67"/>
      <c r="M326" s="67"/>
      <c r="N326" s="145" t="str">
        <f t="shared" si="36"/>
        <v/>
      </c>
      <c r="O326" s="64"/>
      <c r="P326" s="64"/>
      <c r="Q326" s="152" t="str">
        <f t="shared" si="37"/>
        <v/>
      </c>
      <c r="R326" s="65" t="str">
        <f t="shared" si="44"/>
        <v/>
      </c>
      <c r="S326" s="5" t="str">
        <f t="shared" si="38"/>
        <v/>
      </c>
      <c r="T326" s="5" t="str">
        <f t="shared" si="39"/>
        <v/>
      </c>
      <c r="U326" s="5" t="str">
        <f t="shared" si="40"/>
        <v/>
      </c>
      <c r="V326" s="5" t="str">
        <f t="shared" si="41"/>
        <v/>
      </c>
      <c r="W326" s="5" t="str">
        <f t="shared" si="42"/>
        <v/>
      </c>
      <c r="X326" s="5" t="str">
        <f t="shared" si="43"/>
        <v/>
      </c>
    </row>
    <row r="327" spans="1:24">
      <c r="A327" s="91"/>
      <c r="B327" s="92"/>
      <c r="C327" s="69"/>
      <c r="D327" s="69"/>
      <c r="E327" s="69"/>
      <c r="F327" s="69"/>
      <c r="G327" s="70"/>
      <c r="H327" s="71"/>
      <c r="I327" s="66"/>
      <c r="J327" s="67"/>
      <c r="K327" s="67"/>
      <c r="L327" s="67"/>
      <c r="M327" s="67"/>
      <c r="N327" s="145" t="str">
        <f t="shared" ref="N327:N390" si="45">IF($C327="","",IF($L327+$M327=0,0,$L327/($L327+$M327)))</f>
        <v/>
      </c>
      <c r="O327" s="64"/>
      <c r="P327" s="64"/>
      <c r="Q327" s="152" t="str">
        <f t="shared" ref="Q327:Q390" si="46">IF($C327="","",($O327-($P327/2)))</f>
        <v/>
      </c>
      <c r="R327" s="65" t="str">
        <f t="shared" si="44"/>
        <v/>
      </c>
      <c r="S327" s="5" t="str">
        <f t="shared" ref="S327:S390" si="47">IF($C327="","",I327*40.02)</f>
        <v/>
      </c>
      <c r="T327" s="5" t="str">
        <f t="shared" ref="T327:T390" si="48">IF($C327="","",J327*11.8)</f>
        <v/>
      </c>
      <c r="U327" s="5" t="str">
        <f t="shared" ref="U327:U390" si="49">IF($C327="","",K327*19.83)</f>
        <v/>
      </c>
      <c r="V327" s="5" t="str">
        <f t="shared" ref="V327:V390" si="50">IF($C327="","",L327*39.42)</f>
        <v/>
      </c>
      <c r="W327" s="5" t="str">
        <f t="shared" ref="W327:W390" si="51">IF($C327="","",N327*0.09)</f>
        <v/>
      </c>
      <c r="X327" s="5" t="str">
        <f t="shared" ref="X327:X390" si="52">IF($C327="","",Q327*4.79)</f>
        <v/>
      </c>
    </row>
    <row r="328" spans="1:24">
      <c r="A328" s="91"/>
      <c r="B328" s="92"/>
      <c r="C328" s="69"/>
      <c r="D328" s="69"/>
      <c r="E328" s="69"/>
      <c r="F328" s="69"/>
      <c r="G328" s="70"/>
      <c r="H328" s="71"/>
      <c r="I328" s="66"/>
      <c r="J328" s="67"/>
      <c r="K328" s="67"/>
      <c r="L328" s="67"/>
      <c r="M328" s="67"/>
      <c r="N328" s="145" t="str">
        <f t="shared" si="45"/>
        <v/>
      </c>
      <c r="O328" s="64"/>
      <c r="P328" s="64"/>
      <c r="Q328" s="152" t="str">
        <f t="shared" si="46"/>
        <v/>
      </c>
      <c r="R328" s="65" t="str">
        <f t="shared" ref="R328:R391" si="53">IF($C328="","",IF(TRIM($B328)="beginning",(((SUM($S328:$X328)-10051)/4349)*40)+360,IF(TRIM($B328)="middle",(((SUM($S328:$X328)-10051)/4349)*40)+400,IF(TRIM($B328)="end",(((SUM($S328:$X328)-10051)/4349)*40)+440,""))))</f>
        <v/>
      </c>
      <c r="S328" s="5" t="str">
        <f t="shared" si="47"/>
        <v/>
      </c>
      <c r="T328" s="5" t="str">
        <f t="shared" si="48"/>
        <v/>
      </c>
      <c r="U328" s="5" t="str">
        <f t="shared" si="49"/>
        <v/>
      </c>
      <c r="V328" s="5" t="str">
        <f t="shared" si="50"/>
        <v/>
      </c>
      <c r="W328" s="5" t="str">
        <f t="shared" si="51"/>
        <v/>
      </c>
      <c r="X328" s="5" t="str">
        <f t="shared" si="52"/>
        <v/>
      </c>
    </row>
    <row r="329" spans="1:24">
      <c r="A329" s="91"/>
      <c r="B329" s="92"/>
      <c r="C329" s="69"/>
      <c r="D329" s="69"/>
      <c r="E329" s="69"/>
      <c r="F329" s="69"/>
      <c r="G329" s="70"/>
      <c r="H329" s="71"/>
      <c r="I329" s="66"/>
      <c r="J329" s="67"/>
      <c r="K329" s="67"/>
      <c r="L329" s="67"/>
      <c r="M329" s="67"/>
      <c r="N329" s="145" t="str">
        <f t="shared" si="45"/>
        <v/>
      </c>
      <c r="O329" s="64"/>
      <c r="P329" s="64"/>
      <c r="Q329" s="152" t="str">
        <f t="shared" si="46"/>
        <v/>
      </c>
      <c r="R329" s="65" t="str">
        <f t="shared" si="53"/>
        <v/>
      </c>
      <c r="S329" s="5" t="str">
        <f t="shared" si="47"/>
        <v/>
      </c>
      <c r="T329" s="5" t="str">
        <f t="shared" si="48"/>
        <v/>
      </c>
      <c r="U329" s="5" t="str">
        <f t="shared" si="49"/>
        <v/>
      </c>
      <c r="V329" s="5" t="str">
        <f t="shared" si="50"/>
        <v/>
      </c>
      <c r="W329" s="5" t="str">
        <f t="shared" si="51"/>
        <v/>
      </c>
      <c r="X329" s="5" t="str">
        <f t="shared" si="52"/>
        <v/>
      </c>
    </row>
    <row r="330" spans="1:24">
      <c r="A330" s="91"/>
      <c r="B330" s="92"/>
      <c r="C330" s="69"/>
      <c r="D330" s="69"/>
      <c r="E330" s="69"/>
      <c r="F330" s="69"/>
      <c r="G330" s="70"/>
      <c r="H330" s="71"/>
      <c r="I330" s="66"/>
      <c r="J330" s="67"/>
      <c r="K330" s="67"/>
      <c r="L330" s="67"/>
      <c r="M330" s="67"/>
      <c r="N330" s="145" t="str">
        <f t="shared" si="45"/>
        <v/>
      </c>
      <c r="O330" s="64"/>
      <c r="P330" s="64"/>
      <c r="Q330" s="152" t="str">
        <f t="shared" si="46"/>
        <v/>
      </c>
      <c r="R330" s="65" t="str">
        <f t="shared" si="53"/>
        <v/>
      </c>
      <c r="S330" s="5" t="str">
        <f t="shared" si="47"/>
        <v/>
      </c>
      <c r="T330" s="5" t="str">
        <f t="shared" si="48"/>
        <v/>
      </c>
      <c r="U330" s="5" t="str">
        <f t="shared" si="49"/>
        <v/>
      </c>
      <c r="V330" s="5" t="str">
        <f t="shared" si="50"/>
        <v/>
      </c>
      <c r="W330" s="5" t="str">
        <f t="shared" si="51"/>
        <v/>
      </c>
      <c r="X330" s="5" t="str">
        <f t="shared" si="52"/>
        <v/>
      </c>
    </row>
    <row r="331" spans="1:24">
      <c r="A331" s="91"/>
      <c r="B331" s="92"/>
      <c r="C331" s="69"/>
      <c r="D331" s="69"/>
      <c r="E331" s="69"/>
      <c r="F331" s="69"/>
      <c r="G331" s="70"/>
      <c r="H331" s="71"/>
      <c r="I331" s="66"/>
      <c r="J331" s="67"/>
      <c r="K331" s="67"/>
      <c r="L331" s="67"/>
      <c r="M331" s="67"/>
      <c r="N331" s="145" t="str">
        <f t="shared" si="45"/>
        <v/>
      </c>
      <c r="O331" s="64"/>
      <c r="P331" s="64"/>
      <c r="Q331" s="152" t="str">
        <f t="shared" si="46"/>
        <v/>
      </c>
      <c r="R331" s="65" t="str">
        <f t="shared" si="53"/>
        <v/>
      </c>
      <c r="S331" s="5" t="str">
        <f t="shared" si="47"/>
        <v/>
      </c>
      <c r="T331" s="5" t="str">
        <f t="shared" si="48"/>
        <v/>
      </c>
      <c r="U331" s="5" t="str">
        <f t="shared" si="49"/>
        <v/>
      </c>
      <c r="V331" s="5" t="str">
        <f t="shared" si="50"/>
        <v/>
      </c>
      <c r="W331" s="5" t="str">
        <f t="shared" si="51"/>
        <v/>
      </c>
      <c r="X331" s="5" t="str">
        <f t="shared" si="52"/>
        <v/>
      </c>
    </row>
    <row r="332" spans="1:24">
      <c r="A332" s="91"/>
      <c r="B332" s="92"/>
      <c r="C332" s="69"/>
      <c r="D332" s="69"/>
      <c r="E332" s="69"/>
      <c r="F332" s="69"/>
      <c r="G332" s="70"/>
      <c r="H332" s="71"/>
      <c r="I332" s="66"/>
      <c r="J332" s="67"/>
      <c r="K332" s="67"/>
      <c r="L332" s="67"/>
      <c r="M332" s="67"/>
      <c r="N332" s="145" t="str">
        <f t="shared" si="45"/>
        <v/>
      </c>
      <c r="O332" s="64"/>
      <c r="P332" s="64"/>
      <c r="Q332" s="152" t="str">
        <f t="shared" si="46"/>
        <v/>
      </c>
      <c r="R332" s="65" t="str">
        <f t="shared" si="53"/>
        <v/>
      </c>
      <c r="S332" s="5" t="str">
        <f t="shared" si="47"/>
        <v/>
      </c>
      <c r="T332" s="5" t="str">
        <f t="shared" si="48"/>
        <v/>
      </c>
      <c r="U332" s="5" t="str">
        <f t="shared" si="49"/>
        <v/>
      </c>
      <c r="V332" s="5" t="str">
        <f t="shared" si="50"/>
        <v/>
      </c>
      <c r="W332" s="5" t="str">
        <f t="shared" si="51"/>
        <v/>
      </c>
      <c r="X332" s="5" t="str">
        <f t="shared" si="52"/>
        <v/>
      </c>
    </row>
    <row r="333" spans="1:24">
      <c r="A333" s="91"/>
      <c r="B333" s="92"/>
      <c r="C333" s="69"/>
      <c r="D333" s="69"/>
      <c r="E333" s="69"/>
      <c r="F333" s="69"/>
      <c r="G333" s="70"/>
      <c r="H333" s="71"/>
      <c r="I333" s="66"/>
      <c r="J333" s="67"/>
      <c r="K333" s="67"/>
      <c r="L333" s="67"/>
      <c r="M333" s="67"/>
      <c r="N333" s="145" t="str">
        <f t="shared" si="45"/>
        <v/>
      </c>
      <c r="O333" s="64"/>
      <c r="P333" s="64"/>
      <c r="Q333" s="152" t="str">
        <f t="shared" si="46"/>
        <v/>
      </c>
      <c r="R333" s="65" t="str">
        <f t="shared" si="53"/>
        <v/>
      </c>
      <c r="S333" s="5" t="str">
        <f t="shared" si="47"/>
        <v/>
      </c>
      <c r="T333" s="5" t="str">
        <f t="shared" si="48"/>
        <v/>
      </c>
      <c r="U333" s="5" t="str">
        <f t="shared" si="49"/>
        <v/>
      </c>
      <c r="V333" s="5" t="str">
        <f t="shared" si="50"/>
        <v/>
      </c>
      <c r="W333" s="5" t="str">
        <f t="shared" si="51"/>
        <v/>
      </c>
      <c r="X333" s="5" t="str">
        <f t="shared" si="52"/>
        <v/>
      </c>
    </row>
    <row r="334" spans="1:24">
      <c r="A334" s="91"/>
      <c r="B334" s="92"/>
      <c r="C334" s="69"/>
      <c r="D334" s="69"/>
      <c r="E334" s="69"/>
      <c r="F334" s="69"/>
      <c r="G334" s="70"/>
      <c r="H334" s="71"/>
      <c r="I334" s="66"/>
      <c r="J334" s="67"/>
      <c r="K334" s="67"/>
      <c r="L334" s="67"/>
      <c r="M334" s="67"/>
      <c r="N334" s="145" t="str">
        <f t="shared" si="45"/>
        <v/>
      </c>
      <c r="O334" s="64"/>
      <c r="P334" s="64"/>
      <c r="Q334" s="152" t="str">
        <f t="shared" si="46"/>
        <v/>
      </c>
      <c r="R334" s="65" t="str">
        <f t="shared" si="53"/>
        <v/>
      </c>
      <c r="S334" s="5" t="str">
        <f t="shared" si="47"/>
        <v/>
      </c>
      <c r="T334" s="5" t="str">
        <f t="shared" si="48"/>
        <v/>
      </c>
      <c r="U334" s="5" t="str">
        <f t="shared" si="49"/>
        <v/>
      </c>
      <c r="V334" s="5" t="str">
        <f t="shared" si="50"/>
        <v/>
      </c>
      <c r="W334" s="5" t="str">
        <f t="shared" si="51"/>
        <v/>
      </c>
      <c r="X334" s="5" t="str">
        <f t="shared" si="52"/>
        <v/>
      </c>
    </row>
    <row r="335" spans="1:24">
      <c r="A335" s="91"/>
      <c r="B335" s="92"/>
      <c r="C335" s="69"/>
      <c r="D335" s="69"/>
      <c r="E335" s="69"/>
      <c r="F335" s="69"/>
      <c r="G335" s="70"/>
      <c r="H335" s="71"/>
      <c r="I335" s="66"/>
      <c r="J335" s="67"/>
      <c r="K335" s="67"/>
      <c r="L335" s="67"/>
      <c r="M335" s="67"/>
      <c r="N335" s="145" t="str">
        <f t="shared" si="45"/>
        <v/>
      </c>
      <c r="O335" s="64"/>
      <c r="P335" s="64"/>
      <c r="Q335" s="152" t="str">
        <f t="shared" si="46"/>
        <v/>
      </c>
      <c r="R335" s="65" t="str">
        <f t="shared" si="53"/>
        <v/>
      </c>
      <c r="S335" s="5" t="str">
        <f t="shared" si="47"/>
        <v/>
      </c>
      <c r="T335" s="5" t="str">
        <f t="shared" si="48"/>
        <v/>
      </c>
      <c r="U335" s="5" t="str">
        <f t="shared" si="49"/>
        <v/>
      </c>
      <c r="V335" s="5" t="str">
        <f t="shared" si="50"/>
        <v/>
      </c>
      <c r="W335" s="5" t="str">
        <f t="shared" si="51"/>
        <v/>
      </c>
      <c r="X335" s="5" t="str">
        <f t="shared" si="52"/>
        <v/>
      </c>
    </row>
    <row r="336" spans="1:24">
      <c r="A336" s="91"/>
      <c r="B336" s="92"/>
      <c r="C336" s="69"/>
      <c r="D336" s="69"/>
      <c r="E336" s="69"/>
      <c r="F336" s="69"/>
      <c r="G336" s="70"/>
      <c r="H336" s="71"/>
      <c r="I336" s="66"/>
      <c r="J336" s="67"/>
      <c r="K336" s="67"/>
      <c r="L336" s="67"/>
      <c r="M336" s="67"/>
      <c r="N336" s="145" t="str">
        <f t="shared" si="45"/>
        <v/>
      </c>
      <c r="O336" s="64"/>
      <c r="P336" s="64"/>
      <c r="Q336" s="152" t="str">
        <f t="shared" si="46"/>
        <v/>
      </c>
      <c r="R336" s="65" t="str">
        <f t="shared" si="53"/>
        <v/>
      </c>
      <c r="S336" s="5" t="str">
        <f t="shared" si="47"/>
        <v/>
      </c>
      <c r="T336" s="5" t="str">
        <f t="shared" si="48"/>
        <v/>
      </c>
      <c r="U336" s="5" t="str">
        <f t="shared" si="49"/>
        <v/>
      </c>
      <c r="V336" s="5" t="str">
        <f t="shared" si="50"/>
        <v/>
      </c>
      <c r="W336" s="5" t="str">
        <f t="shared" si="51"/>
        <v/>
      </c>
      <c r="X336" s="5" t="str">
        <f t="shared" si="52"/>
        <v/>
      </c>
    </row>
    <row r="337" spans="1:24">
      <c r="A337" s="91"/>
      <c r="B337" s="92"/>
      <c r="C337" s="69"/>
      <c r="D337" s="69"/>
      <c r="E337" s="69"/>
      <c r="F337" s="69"/>
      <c r="G337" s="70"/>
      <c r="H337" s="71"/>
      <c r="I337" s="66"/>
      <c r="J337" s="67"/>
      <c r="K337" s="67"/>
      <c r="L337" s="67"/>
      <c r="M337" s="67"/>
      <c r="N337" s="145" t="str">
        <f t="shared" si="45"/>
        <v/>
      </c>
      <c r="O337" s="64"/>
      <c r="P337" s="64"/>
      <c r="Q337" s="152" t="str">
        <f t="shared" si="46"/>
        <v/>
      </c>
      <c r="R337" s="65" t="str">
        <f t="shared" si="53"/>
        <v/>
      </c>
      <c r="S337" s="5" t="str">
        <f t="shared" si="47"/>
        <v/>
      </c>
      <c r="T337" s="5" t="str">
        <f t="shared" si="48"/>
        <v/>
      </c>
      <c r="U337" s="5" t="str">
        <f t="shared" si="49"/>
        <v/>
      </c>
      <c r="V337" s="5" t="str">
        <f t="shared" si="50"/>
        <v/>
      </c>
      <c r="W337" s="5" t="str">
        <f t="shared" si="51"/>
        <v/>
      </c>
      <c r="X337" s="5" t="str">
        <f t="shared" si="52"/>
        <v/>
      </c>
    </row>
    <row r="338" spans="1:24">
      <c r="A338" s="91"/>
      <c r="B338" s="92"/>
      <c r="C338" s="69"/>
      <c r="D338" s="69"/>
      <c r="E338" s="69"/>
      <c r="F338" s="69"/>
      <c r="G338" s="70"/>
      <c r="H338" s="71"/>
      <c r="I338" s="66"/>
      <c r="J338" s="67"/>
      <c r="K338" s="67"/>
      <c r="L338" s="67"/>
      <c r="M338" s="67"/>
      <c r="N338" s="145" t="str">
        <f t="shared" si="45"/>
        <v/>
      </c>
      <c r="O338" s="64"/>
      <c r="P338" s="64"/>
      <c r="Q338" s="152" t="str">
        <f t="shared" si="46"/>
        <v/>
      </c>
      <c r="R338" s="65" t="str">
        <f t="shared" si="53"/>
        <v/>
      </c>
      <c r="S338" s="5" t="str">
        <f t="shared" si="47"/>
        <v/>
      </c>
      <c r="T338" s="5" t="str">
        <f t="shared" si="48"/>
        <v/>
      </c>
      <c r="U338" s="5" t="str">
        <f t="shared" si="49"/>
        <v/>
      </c>
      <c r="V338" s="5" t="str">
        <f t="shared" si="50"/>
        <v/>
      </c>
      <c r="W338" s="5" t="str">
        <f t="shared" si="51"/>
        <v/>
      </c>
      <c r="X338" s="5" t="str">
        <f t="shared" si="52"/>
        <v/>
      </c>
    </row>
    <row r="339" spans="1:24">
      <c r="A339" s="91"/>
      <c r="B339" s="92"/>
      <c r="C339" s="69"/>
      <c r="D339" s="69"/>
      <c r="E339" s="69"/>
      <c r="F339" s="69"/>
      <c r="G339" s="70"/>
      <c r="H339" s="71"/>
      <c r="I339" s="66"/>
      <c r="J339" s="67"/>
      <c r="K339" s="67"/>
      <c r="L339" s="67"/>
      <c r="M339" s="67"/>
      <c r="N339" s="145" t="str">
        <f t="shared" si="45"/>
        <v/>
      </c>
      <c r="O339" s="64"/>
      <c r="P339" s="64"/>
      <c r="Q339" s="152" t="str">
        <f t="shared" si="46"/>
        <v/>
      </c>
      <c r="R339" s="65" t="str">
        <f t="shared" si="53"/>
        <v/>
      </c>
      <c r="S339" s="5" t="str">
        <f t="shared" si="47"/>
        <v/>
      </c>
      <c r="T339" s="5" t="str">
        <f t="shared" si="48"/>
        <v/>
      </c>
      <c r="U339" s="5" t="str">
        <f t="shared" si="49"/>
        <v/>
      </c>
      <c r="V339" s="5" t="str">
        <f t="shared" si="50"/>
        <v/>
      </c>
      <c r="W339" s="5" t="str">
        <f t="shared" si="51"/>
        <v/>
      </c>
      <c r="X339" s="5" t="str">
        <f t="shared" si="52"/>
        <v/>
      </c>
    </row>
    <row r="340" spans="1:24">
      <c r="A340" s="91"/>
      <c r="B340" s="92"/>
      <c r="C340" s="69"/>
      <c r="D340" s="69"/>
      <c r="E340" s="69"/>
      <c r="F340" s="69"/>
      <c r="G340" s="70"/>
      <c r="H340" s="71"/>
      <c r="I340" s="66"/>
      <c r="J340" s="67"/>
      <c r="K340" s="67"/>
      <c r="L340" s="67"/>
      <c r="M340" s="67"/>
      <c r="N340" s="145" t="str">
        <f t="shared" si="45"/>
        <v/>
      </c>
      <c r="O340" s="64"/>
      <c r="P340" s="64"/>
      <c r="Q340" s="152" t="str">
        <f t="shared" si="46"/>
        <v/>
      </c>
      <c r="R340" s="65" t="str">
        <f t="shared" si="53"/>
        <v/>
      </c>
      <c r="S340" s="5" t="str">
        <f t="shared" si="47"/>
        <v/>
      </c>
      <c r="T340" s="5" t="str">
        <f t="shared" si="48"/>
        <v/>
      </c>
      <c r="U340" s="5" t="str">
        <f t="shared" si="49"/>
        <v/>
      </c>
      <c r="V340" s="5" t="str">
        <f t="shared" si="50"/>
        <v/>
      </c>
      <c r="W340" s="5" t="str">
        <f t="shared" si="51"/>
        <v/>
      </c>
      <c r="X340" s="5" t="str">
        <f t="shared" si="52"/>
        <v/>
      </c>
    </row>
    <row r="341" spans="1:24">
      <c r="A341" s="91"/>
      <c r="B341" s="92"/>
      <c r="C341" s="69"/>
      <c r="D341" s="69"/>
      <c r="E341" s="69"/>
      <c r="F341" s="69"/>
      <c r="G341" s="70"/>
      <c r="H341" s="71"/>
      <c r="I341" s="66"/>
      <c r="J341" s="67"/>
      <c r="K341" s="67"/>
      <c r="L341" s="67"/>
      <c r="M341" s="67"/>
      <c r="N341" s="145" t="str">
        <f t="shared" si="45"/>
        <v/>
      </c>
      <c r="O341" s="64"/>
      <c r="P341" s="64"/>
      <c r="Q341" s="152" t="str">
        <f t="shared" si="46"/>
        <v/>
      </c>
      <c r="R341" s="65" t="str">
        <f t="shared" si="53"/>
        <v/>
      </c>
      <c r="S341" s="5" t="str">
        <f t="shared" si="47"/>
        <v/>
      </c>
      <c r="T341" s="5" t="str">
        <f t="shared" si="48"/>
        <v/>
      </c>
      <c r="U341" s="5" t="str">
        <f t="shared" si="49"/>
        <v/>
      </c>
      <c r="V341" s="5" t="str">
        <f t="shared" si="50"/>
        <v/>
      </c>
      <c r="W341" s="5" t="str">
        <f t="shared" si="51"/>
        <v/>
      </c>
      <c r="X341" s="5" t="str">
        <f t="shared" si="52"/>
        <v/>
      </c>
    </row>
    <row r="342" spans="1:24">
      <c r="A342" s="91"/>
      <c r="B342" s="92"/>
      <c r="C342" s="69"/>
      <c r="D342" s="69"/>
      <c r="E342" s="69"/>
      <c r="F342" s="69"/>
      <c r="G342" s="70"/>
      <c r="H342" s="71"/>
      <c r="I342" s="66"/>
      <c r="J342" s="67"/>
      <c r="K342" s="67"/>
      <c r="L342" s="67"/>
      <c r="M342" s="67"/>
      <c r="N342" s="145" t="str">
        <f t="shared" si="45"/>
        <v/>
      </c>
      <c r="O342" s="64"/>
      <c r="P342" s="64"/>
      <c r="Q342" s="152" t="str">
        <f t="shared" si="46"/>
        <v/>
      </c>
      <c r="R342" s="65" t="str">
        <f t="shared" si="53"/>
        <v/>
      </c>
      <c r="S342" s="5" t="str">
        <f t="shared" si="47"/>
        <v/>
      </c>
      <c r="T342" s="5" t="str">
        <f t="shared" si="48"/>
        <v/>
      </c>
      <c r="U342" s="5" t="str">
        <f t="shared" si="49"/>
        <v/>
      </c>
      <c r="V342" s="5" t="str">
        <f t="shared" si="50"/>
        <v/>
      </c>
      <c r="W342" s="5" t="str">
        <f t="shared" si="51"/>
        <v/>
      </c>
      <c r="X342" s="5" t="str">
        <f t="shared" si="52"/>
        <v/>
      </c>
    </row>
    <row r="343" spans="1:24">
      <c r="A343" s="91"/>
      <c r="B343" s="92"/>
      <c r="C343" s="69"/>
      <c r="D343" s="69"/>
      <c r="E343" s="69"/>
      <c r="F343" s="69"/>
      <c r="G343" s="70"/>
      <c r="H343" s="71"/>
      <c r="I343" s="66"/>
      <c r="J343" s="67"/>
      <c r="K343" s="67"/>
      <c r="L343" s="67"/>
      <c r="M343" s="67"/>
      <c r="N343" s="145" t="str">
        <f t="shared" si="45"/>
        <v/>
      </c>
      <c r="O343" s="64"/>
      <c r="P343" s="64"/>
      <c r="Q343" s="152" t="str">
        <f t="shared" si="46"/>
        <v/>
      </c>
      <c r="R343" s="65" t="str">
        <f t="shared" si="53"/>
        <v/>
      </c>
      <c r="S343" s="5" t="str">
        <f t="shared" si="47"/>
        <v/>
      </c>
      <c r="T343" s="5" t="str">
        <f t="shared" si="48"/>
        <v/>
      </c>
      <c r="U343" s="5" t="str">
        <f t="shared" si="49"/>
        <v/>
      </c>
      <c r="V343" s="5" t="str">
        <f t="shared" si="50"/>
        <v/>
      </c>
      <c r="W343" s="5" t="str">
        <f t="shared" si="51"/>
        <v/>
      </c>
      <c r="X343" s="5" t="str">
        <f t="shared" si="52"/>
        <v/>
      </c>
    </row>
    <row r="344" spans="1:24">
      <c r="A344" s="91"/>
      <c r="B344" s="92"/>
      <c r="C344" s="69"/>
      <c r="D344" s="69"/>
      <c r="E344" s="69"/>
      <c r="F344" s="69"/>
      <c r="G344" s="70"/>
      <c r="H344" s="71"/>
      <c r="I344" s="66"/>
      <c r="J344" s="67"/>
      <c r="K344" s="67"/>
      <c r="L344" s="67"/>
      <c r="M344" s="67"/>
      <c r="N344" s="145" t="str">
        <f t="shared" si="45"/>
        <v/>
      </c>
      <c r="O344" s="64"/>
      <c r="P344" s="64"/>
      <c r="Q344" s="152" t="str">
        <f t="shared" si="46"/>
        <v/>
      </c>
      <c r="R344" s="65" t="str">
        <f t="shared" si="53"/>
        <v/>
      </c>
      <c r="S344" s="5" t="str">
        <f t="shared" si="47"/>
        <v/>
      </c>
      <c r="T344" s="5" t="str">
        <f t="shared" si="48"/>
        <v/>
      </c>
      <c r="U344" s="5" t="str">
        <f t="shared" si="49"/>
        <v/>
      </c>
      <c r="V344" s="5" t="str">
        <f t="shared" si="50"/>
        <v/>
      </c>
      <c r="W344" s="5" t="str">
        <f t="shared" si="51"/>
        <v/>
      </c>
      <c r="X344" s="5" t="str">
        <f t="shared" si="52"/>
        <v/>
      </c>
    </row>
    <row r="345" spans="1:24">
      <c r="A345" s="91"/>
      <c r="B345" s="92"/>
      <c r="C345" s="69"/>
      <c r="D345" s="69"/>
      <c r="E345" s="69"/>
      <c r="F345" s="69"/>
      <c r="G345" s="70"/>
      <c r="H345" s="71"/>
      <c r="I345" s="66"/>
      <c r="J345" s="67"/>
      <c r="K345" s="67"/>
      <c r="L345" s="67"/>
      <c r="M345" s="67"/>
      <c r="N345" s="145" t="str">
        <f t="shared" si="45"/>
        <v/>
      </c>
      <c r="O345" s="64"/>
      <c r="P345" s="64"/>
      <c r="Q345" s="152" t="str">
        <f t="shared" si="46"/>
        <v/>
      </c>
      <c r="R345" s="65" t="str">
        <f t="shared" si="53"/>
        <v/>
      </c>
      <c r="S345" s="5" t="str">
        <f t="shared" si="47"/>
        <v/>
      </c>
      <c r="T345" s="5" t="str">
        <f t="shared" si="48"/>
        <v/>
      </c>
      <c r="U345" s="5" t="str">
        <f t="shared" si="49"/>
        <v/>
      </c>
      <c r="V345" s="5" t="str">
        <f t="shared" si="50"/>
        <v/>
      </c>
      <c r="W345" s="5" t="str">
        <f t="shared" si="51"/>
        <v/>
      </c>
      <c r="X345" s="5" t="str">
        <f t="shared" si="52"/>
        <v/>
      </c>
    </row>
    <row r="346" spans="1:24">
      <c r="A346" s="91"/>
      <c r="B346" s="92"/>
      <c r="C346" s="69"/>
      <c r="D346" s="69"/>
      <c r="E346" s="69"/>
      <c r="F346" s="69"/>
      <c r="G346" s="70"/>
      <c r="H346" s="71"/>
      <c r="I346" s="66"/>
      <c r="J346" s="67"/>
      <c r="K346" s="67"/>
      <c r="L346" s="67"/>
      <c r="M346" s="67"/>
      <c r="N346" s="145" t="str">
        <f t="shared" si="45"/>
        <v/>
      </c>
      <c r="O346" s="64"/>
      <c r="P346" s="64"/>
      <c r="Q346" s="152" t="str">
        <f t="shared" si="46"/>
        <v/>
      </c>
      <c r="R346" s="65" t="str">
        <f t="shared" si="53"/>
        <v/>
      </c>
      <c r="S346" s="5" t="str">
        <f t="shared" si="47"/>
        <v/>
      </c>
      <c r="T346" s="5" t="str">
        <f t="shared" si="48"/>
        <v/>
      </c>
      <c r="U346" s="5" t="str">
        <f t="shared" si="49"/>
        <v/>
      </c>
      <c r="V346" s="5" t="str">
        <f t="shared" si="50"/>
        <v/>
      </c>
      <c r="W346" s="5" t="str">
        <f t="shared" si="51"/>
        <v/>
      </c>
      <c r="X346" s="5" t="str">
        <f t="shared" si="52"/>
        <v/>
      </c>
    </row>
    <row r="347" spans="1:24">
      <c r="A347" s="91"/>
      <c r="B347" s="92"/>
      <c r="C347" s="69"/>
      <c r="D347" s="69"/>
      <c r="E347" s="69"/>
      <c r="F347" s="69"/>
      <c r="G347" s="70"/>
      <c r="H347" s="71"/>
      <c r="I347" s="66"/>
      <c r="J347" s="67"/>
      <c r="K347" s="67"/>
      <c r="L347" s="67"/>
      <c r="M347" s="67"/>
      <c r="N347" s="145" t="str">
        <f t="shared" si="45"/>
        <v/>
      </c>
      <c r="O347" s="64"/>
      <c r="P347" s="64"/>
      <c r="Q347" s="152" t="str">
        <f t="shared" si="46"/>
        <v/>
      </c>
      <c r="R347" s="65" t="str">
        <f t="shared" si="53"/>
        <v/>
      </c>
      <c r="S347" s="5" t="str">
        <f t="shared" si="47"/>
        <v/>
      </c>
      <c r="T347" s="5" t="str">
        <f t="shared" si="48"/>
        <v/>
      </c>
      <c r="U347" s="5" t="str">
        <f t="shared" si="49"/>
        <v/>
      </c>
      <c r="V347" s="5" t="str">
        <f t="shared" si="50"/>
        <v/>
      </c>
      <c r="W347" s="5" t="str">
        <f t="shared" si="51"/>
        <v/>
      </c>
      <c r="X347" s="5" t="str">
        <f t="shared" si="52"/>
        <v/>
      </c>
    </row>
    <row r="348" spans="1:24">
      <c r="A348" s="91"/>
      <c r="B348" s="92"/>
      <c r="C348" s="69"/>
      <c r="D348" s="69"/>
      <c r="E348" s="69"/>
      <c r="F348" s="69"/>
      <c r="G348" s="70"/>
      <c r="H348" s="71"/>
      <c r="I348" s="66"/>
      <c r="J348" s="67"/>
      <c r="K348" s="67"/>
      <c r="L348" s="67"/>
      <c r="M348" s="67"/>
      <c r="N348" s="145" t="str">
        <f t="shared" si="45"/>
        <v/>
      </c>
      <c r="O348" s="64"/>
      <c r="P348" s="64"/>
      <c r="Q348" s="152" t="str">
        <f t="shared" si="46"/>
        <v/>
      </c>
      <c r="R348" s="65" t="str">
        <f t="shared" si="53"/>
        <v/>
      </c>
      <c r="S348" s="5" t="str">
        <f t="shared" si="47"/>
        <v/>
      </c>
      <c r="T348" s="5" t="str">
        <f t="shared" si="48"/>
        <v/>
      </c>
      <c r="U348" s="5" t="str">
        <f t="shared" si="49"/>
        <v/>
      </c>
      <c r="V348" s="5" t="str">
        <f t="shared" si="50"/>
        <v/>
      </c>
      <c r="W348" s="5" t="str">
        <f t="shared" si="51"/>
        <v/>
      </c>
      <c r="X348" s="5" t="str">
        <f t="shared" si="52"/>
        <v/>
      </c>
    </row>
    <row r="349" spans="1:24">
      <c r="A349" s="91"/>
      <c r="B349" s="92"/>
      <c r="C349" s="69"/>
      <c r="D349" s="69"/>
      <c r="E349" s="69"/>
      <c r="F349" s="69"/>
      <c r="G349" s="70"/>
      <c r="H349" s="71"/>
      <c r="I349" s="66"/>
      <c r="J349" s="67"/>
      <c r="K349" s="67"/>
      <c r="L349" s="67"/>
      <c r="M349" s="67"/>
      <c r="N349" s="145" t="str">
        <f t="shared" si="45"/>
        <v/>
      </c>
      <c r="O349" s="64"/>
      <c r="P349" s="64"/>
      <c r="Q349" s="152" t="str">
        <f t="shared" si="46"/>
        <v/>
      </c>
      <c r="R349" s="65" t="str">
        <f t="shared" si="53"/>
        <v/>
      </c>
      <c r="S349" s="5" t="str">
        <f t="shared" si="47"/>
        <v/>
      </c>
      <c r="T349" s="5" t="str">
        <f t="shared" si="48"/>
        <v/>
      </c>
      <c r="U349" s="5" t="str">
        <f t="shared" si="49"/>
        <v/>
      </c>
      <c r="V349" s="5" t="str">
        <f t="shared" si="50"/>
        <v/>
      </c>
      <c r="W349" s="5" t="str">
        <f t="shared" si="51"/>
        <v/>
      </c>
      <c r="X349" s="5" t="str">
        <f t="shared" si="52"/>
        <v/>
      </c>
    </row>
    <row r="350" spans="1:24">
      <c r="A350" s="91"/>
      <c r="B350" s="92"/>
      <c r="C350" s="69"/>
      <c r="D350" s="69"/>
      <c r="E350" s="69"/>
      <c r="F350" s="69"/>
      <c r="G350" s="70"/>
      <c r="H350" s="71"/>
      <c r="I350" s="66"/>
      <c r="J350" s="67"/>
      <c r="K350" s="67"/>
      <c r="L350" s="67"/>
      <c r="M350" s="67"/>
      <c r="N350" s="145" t="str">
        <f t="shared" si="45"/>
        <v/>
      </c>
      <c r="O350" s="64"/>
      <c r="P350" s="64"/>
      <c r="Q350" s="152" t="str">
        <f t="shared" si="46"/>
        <v/>
      </c>
      <c r="R350" s="65" t="str">
        <f t="shared" si="53"/>
        <v/>
      </c>
      <c r="S350" s="5" t="str">
        <f t="shared" si="47"/>
        <v/>
      </c>
      <c r="T350" s="5" t="str">
        <f t="shared" si="48"/>
        <v/>
      </c>
      <c r="U350" s="5" t="str">
        <f t="shared" si="49"/>
        <v/>
      </c>
      <c r="V350" s="5" t="str">
        <f t="shared" si="50"/>
        <v/>
      </c>
      <c r="W350" s="5" t="str">
        <f t="shared" si="51"/>
        <v/>
      </c>
      <c r="X350" s="5" t="str">
        <f t="shared" si="52"/>
        <v/>
      </c>
    </row>
    <row r="351" spans="1:24">
      <c r="A351" s="91"/>
      <c r="B351" s="92"/>
      <c r="C351" s="69"/>
      <c r="D351" s="69"/>
      <c r="E351" s="69"/>
      <c r="F351" s="69"/>
      <c r="G351" s="70"/>
      <c r="H351" s="71"/>
      <c r="I351" s="66"/>
      <c r="J351" s="67"/>
      <c r="K351" s="67"/>
      <c r="L351" s="67"/>
      <c r="M351" s="67"/>
      <c r="N351" s="145" t="str">
        <f t="shared" si="45"/>
        <v/>
      </c>
      <c r="O351" s="64"/>
      <c r="P351" s="64"/>
      <c r="Q351" s="152" t="str">
        <f t="shared" si="46"/>
        <v/>
      </c>
      <c r="R351" s="65" t="str">
        <f t="shared" si="53"/>
        <v/>
      </c>
      <c r="S351" s="5" t="str">
        <f t="shared" si="47"/>
        <v/>
      </c>
      <c r="T351" s="5" t="str">
        <f t="shared" si="48"/>
        <v/>
      </c>
      <c r="U351" s="5" t="str">
        <f t="shared" si="49"/>
        <v/>
      </c>
      <c r="V351" s="5" t="str">
        <f t="shared" si="50"/>
        <v/>
      </c>
      <c r="W351" s="5" t="str">
        <f t="shared" si="51"/>
        <v/>
      </c>
      <c r="X351" s="5" t="str">
        <f t="shared" si="52"/>
        <v/>
      </c>
    </row>
    <row r="352" spans="1:24">
      <c r="A352" s="91"/>
      <c r="B352" s="92"/>
      <c r="C352" s="69"/>
      <c r="D352" s="69"/>
      <c r="E352" s="69"/>
      <c r="F352" s="69"/>
      <c r="G352" s="70"/>
      <c r="H352" s="71"/>
      <c r="I352" s="66"/>
      <c r="J352" s="67"/>
      <c r="K352" s="67"/>
      <c r="L352" s="67"/>
      <c r="M352" s="67"/>
      <c r="N352" s="145" t="str">
        <f t="shared" si="45"/>
        <v/>
      </c>
      <c r="O352" s="64"/>
      <c r="P352" s="64"/>
      <c r="Q352" s="152" t="str">
        <f t="shared" si="46"/>
        <v/>
      </c>
      <c r="R352" s="65" t="str">
        <f t="shared" si="53"/>
        <v/>
      </c>
      <c r="S352" s="5" t="str">
        <f t="shared" si="47"/>
        <v/>
      </c>
      <c r="T352" s="5" t="str">
        <f t="shared" si="48"/>
        <v/>
      </c>
      <c r="U352" s="5" t="str">
        <f t="shared" si="49"/>
        <v/>
      </c>
      <c r="V352" s="5" t="str">
        <f t="shared" si="50"/>
        <v/>
      </c>
      <c r="W352" s="5" t="str">
        <f t="shared" si="51"/>
        <v/>
      </c>
      <c r="X352" s="5" t="str">
        <f t="shared" si="52"/>
        <v/>
      </c>
    </row>
    <row r="353" spans="1:24">
      <c r="A353" s="91"/>
      <c r="B353" s="92"/>
      <c r="C353" s="69"/>
      <c r="D353" s="69"/>
      <c r="E353" s="69"/>
      <c r="F353" s="69"/>
      <c r="G353" s="70"/>
      <c r="H353" s="71"/>
      <c r="I353" s="66"/>
      <c r="J353" s="67"/>
      <c r="K353" s="67"/>
      <c r="L353" s="67"/>
      <c r="M353" s="67"/>
      <c r="N353" s="145" t="str">
        <f t="shared" si="45"/>
        <v/>
      </c>
      <c r="O353" s="64"/>
      <c r="P353" s="64"/>
      <c r="Q353" s="152" t="str">
        <f t="shared" si="46"/>
        <v/>
      </c>
      <c r="R353" s="65" t="str">
        <f t="shared" si="53"/>
        <v/>
      </c>
      <c r="S353" s="5" t="str">
        <f t="shared" si="47"/>
        <v/>
      </c>
      <c r="T353" s="5" t="str">
        <f t="shared" si="48"/>
        <v/>
      </c>
      <c r="U353" s="5" t="str">
        <f t="shared" si="49"/>
        <v/>
      </c>
      <c r="V353" s="5" t="str">
        <f t="shared" si="50"/>
        <v/>
      </c>
      <c r="W353" s="5" t="str">
        <f t="shared" si="51"/>
        <v/>
      </c>
      <c r="X353" s="5" t="str">
        <f t="shared" si="52"/>
        <v/>
      </c>
    </row>
    <row r="354" spans="1:24">
      <c r="A354" s="91"/>
      <c r="B354" s="92"/>
      <c r="C354" s="69"/>
      <c r="D354" s="69"/>
      <c r="E354" s="69"/>
      <c r="F354" s="69"/>
      <c r="G354" s="70"/>
      <c r="H354" s="71"/>
      <c r="I354" s="66"/>
      <c r="J354" s="67"/>
      <c r="K354" s="67"/>
      <c r="L354" s="67"/>
      <c r="M354" s="67"/>
      <c r="N354" s="145" t="str">
        <f t="shared" si="45"/>
        <v/>
      </c>
      <c r="O354" s="64"/>
      <c r="P354" s="64"/>
      <c r="Q354" s="152" t="str">
        <f t="shared" si="46"/>
        <v/>
      </c>
      <c r="R354" s="65" t="str">
        <f t="shared" si="53"/>
        <v/>
      </c>
      <c r="S354" s="5" t="str">
        <f t="shared" si="47"/>
        <v/>
      </c>
      <c r="T354" s="5" t="str">
        <f t="shared" si="48"/>
        <v/>
      </c>
      <c r="U354" s="5" t="str">
        <f t="shared" si="49"/>
        <v/>
      </c>
      <c r="V354" s="5" t="str">
        <f t="shared" si="50"/>
        <v/>
      </c>
      <c r="W354" s="5" t="str">
        <f t="shared" si="51"/>
        <v/>
      </c>
      <c r="X354" s="5" t="str">
        <f t="shared" si="52"/>
        <v/>
      </c>
    </row>
    <row r="355" spans="1:24">
      <c r="A355" s="91"/>
      <c r="B355" s="92"/>
      <c r="C355" s="69"/>
      <c r="D355" s="69"/>
      <c r="E355" s="69"/>
      <c r="F355" s="69"/>
      <c r="G355" s="70"/>
      <c r="H355" s="71"/>
      <c r="I355" s="66"/>
      <c r="J355" s="67"/>
      <c r="K355" s="67"/>
      <c r="L355" s="67"/>
      <c r="M355" s="67"/>
      <c r="N355" s="145" t="str">
        <f t="shared" si="45"/>
        <v/>
      </c>
      <c r="O355" s="64"/>
      <c r="P355" s="64"/>
      <c r="Q355" s="152" t="str">
        <f t="shared" si="46"/>
        <v/>
      </c>
      <c r="R355" s="65" t="str">
        <f t="shared" si="53"/>
        <v/>
      </c>
      <c r="S355" s="5" t="str">
        <f t="shared" si="47"/>
        <v/>
      </c>
      <c r="T355" s="5" t="str">
        <f t="shared" si="48"/>
        <v/>
      </c>
      <c r="U355" s="5" t="str">
        <f t="shared" si="49"/>
        <v/>
      </c>
      <c r="V355" s="5" t="str">
        <f t="shared" si="50"/>
        <v/>
      </c>
      <c r="W355" s="5" t="str">
        <f t="shared" si="51"/>
        <v/>
      </c>
      <c r="X355" s="5" t="str">
        <f t="shared" si="52"/>
        <v/>
      </c>
    </row>
    <row r="356" spans="1:24">
      <c r="A356" s="91"/>
      <c r="B356" s="92"/>
      <c r="C356" s="69"/>
      <c r="D356" s="69"/>
      <c r="E356" s="69"/>
      <c r="F356" s="69"/>
      <c r="G356" s="70"/>
      <c r="H356" s="71"/>
      <c r="I356" s="66"/>
      <c r="J356" s="67"/>
      <c r="K356" s="67"/>
      <c r="L356" s="67"/>
      <c r="M356" s="67"/>
      <c r="N356" s="145" t="str">
        <f t="shared" si="45"/>
        <v/>
      </c>
      <c r="O356" s="64"/>
      <c r="P356" s="64"/>
      <c r="Q356" s="152" t="str">
        <f t="shared" si="46"/>
        <v/>
      </c>
      <c r="R356" s="65" t="str">
        <f t="shared" si="53"/>
        <v/>
      </c>
      <c r="S356" s="5" t="str">
        <f t="shared" si="47"/>
        <v/>
      </c>
      <c r="T356" s="5" t="str">
        <f t="shared" si="48"/>
        <v/>
      </c>
      <c r="U356" s="5" t="str">
        <f t="shared" si="49"/>
        <v/>
      </c>
      <c r="V356" s="5" t="str">
        <f t="shared" si="50"/>
        <v/>
      </c>
      <c r="W356" s="5" t="str">
        <f t="shared" si="51"/>
        <v/>
      </c>
      <c r="X356" s="5" t="str">
        <f t="shared" si="52"/>
        <v/>
      </c>
    </row>
    <row r="357" spans="1:24">
      <c r="A357" s="91"/>
      <c r="B357" s="92"/>
      <c r="C357" s="69"/>
      <c r="D357" s="69"/>
      <c r="E357" s="69"/>
      <c r="F357" s="69"/>
      <c r="G357" s="70"/>
      <c r="H357" s="71"/>
      <c r="I357" s="66"/>
      <c r="J357" s="67"/>
      <c r="K357" s="67"/>
      <c r="L357" s="67"/>
      <c r="M357" s="67"/>
      <c r="N357" s="145" t="str">
        <f t="shared" si="45"/>
        <v/>
      </c>
      <c r="O357" s="64"/>
      <c r="P357" s="64"/>
      <c r="Q357" s="152" t="str">
        <f t="shared" si="46"/>
        <v/>
      </c>
      <c r="R357" s="65" t="str">
        <f t="shared" si="53"/>
        <v/>
      </c>
      <c r="S357" s="5" t="str">
        <f t="shared" si="47"/>
        <v/>
      </c>
      <c r="T357" s="5" t="str">
        <f t="shared" si="48"/>
        <v/>
      </c>
      <c r="U357" s="5" t="str">
        <f t="shared" si="49"/>
        <v/>
      </c>
      <c r="V357" s="5" t="str">
        <f t="shared" si="50"/>
        <v/>
      </c>
      <c r="W357" s="5" t="str">
        <f t="shared" si="51"/>
        <v/>
      </c>
      <c r="X357" s="5" t="str">
        <f t="shared" si="52"/>
        <v/>
      </c>
    </row>
    <row r="358" spans="1:24">
      <c r="A358" s="91"/>
      <c r="B358" s="92"/>
      <c r="C358" s="69"/>
      <c r="D358" s="69"/>
      <c r="E358" s="69"/>
      <c r="F358" s="69"/>
      <c r="G358" s="70"/>
      <c r="H358" s="71"/>
      <c r="I358" s="66"/>
      <c r="J358" s="67"/>
      <c r="K358" s="67"/>
      <c r="L358" s="67"/>
      <c r="M358" s="67"/>
      <c r="N358" s="145" t="str">
        <f t="shared" si="45"/>
        <v/>
      </c>
      <c r="O358" s="64"/>
      <c r="P358" s="64"/>
      <c r="Q358" s="152" t="str">
        <f t="shared" si="46"/>
        <v/>
      </c>
      <c r="R358" s="65" t="str">
        <f t="shared" si="53"/>
        <v/>
      </c>
      <c r="S358" s="5" t="str">
        <f t="shared" si="47"/>
        <v/>
      </c>
      <c r="T358" s="5" t="str">
        <f t="shared" si="48"/>
        <v/>
      </c>
      <c r="U358" s="5" t="str">
        <f t="shared" si="49"/>
        <v/>
      </c>
      <c r="V358" s="5" t="str">
        <f t="shared" si="50"/>
        <v/>
      </c>
      <c r="W358" s="5" t="str">
        <f t="shared" si="51"/>
        <v/>
      </c>
      <c r="X358" s="5" t="str">
        <f t="shared" si="52"/>
        <v/>
      </c>
    </row>
    <row r="359" spans="1:24">
      <c r="A359" s="91"/>
      <c r="B359" s="92"/>
      <c r="C359" s="69"/>
      <c r="D359" s="69"/>
      <c r="E359" s="69"/>
      <c r="F359" s="69"/>
      <c r="G359" s="70"/>
      <c r="H359" s="71"/>
      <c r="I359" s="66"/>
      <c r="J359" s="67"/>
      <c r="K359" s="67"/>
      <c r="L359" s="67"/>
      <c r="M359" s="67"/>
      <c r="N359" s="145" t="str">
        <f t="shared" si="45"/>
        <v/>
      </c>
      <c r="O359" s="64"/>
      <c r="P359" s="64"/>
      <c r="Q359" s="152" t="str">
        <f t="shared" si="46"/>
        <v/>
      </c>
      <c r="R359" s="65" t="str">
        <f t="shared" si="53"/>
        <v/>
      </c>
      <c r="S359" s="5" t="str">
        <f t="shared" si="47"/>
        <v/>
      </c>
      <c r="T359" s="5" t="str">
        <f t="shared" si="48"/>
        <v/>
      </c>
      <c r="U359" s="5" t="str">
        <f t="shared" si="49"/>
        <v/>
      </c>
      <c r="V359" s="5" t="str">
        <f t="shared" si="50"/>
        <v/>
      </c>
      <c r="W359" s="5" t="str">
        <f t="shared" si="51"/>
        <v/>
      </c>
      <c r="X359" s="5" t="str">
        <f t="shared" si="52"/>
        <v/>
      </c>
    </row>
    <row r="360" spans="1:24">
      <c r="A360" s="91"/>
      <c r="B360" s="92"/>
      <c r="C360" s="69"/>
      <c r="D360" s="69"/>
      <c r="E360" s="69"/>
      <c r="F360" s="69"/>
      <c r="G360" s="70"/>
      <c r="H360" s="71"/>
      <c r="I360" s="66"/>
      <c r="J360" s="67"/>
      <c r="K360" s="67"/>
      <c r="L360" s="67"/>
      <c r="M360" s="67"/>
      <c r="N360" s="145" t="str">
        <f t="shared" si="45"/>
        <v/>
      </c>
      <c r="O360" s="64"/>
      <c r="P360" s="64"/>
      <c r="Q360" s="152" t="str">
        <f t="shared" si="46"/>
        <v/>
      </c>
      <c r="R360" s="65" t="str">
        <f t="shared" si="53"/>
        <v/>
      </c>
      <c r="S360" s="5" t="str">
        <f t="shared" si="47"/>
        <v/>
      </c>
      <c r="T360" s="5" t="str">
        <f t="shared" si="48"/>
        <v/>
      </c>
      <c r="U360" s="5" t="str">
        <f t="shared" si="49"/>
        <v/>
      </c>
      <c r="V360" s="5" t="str">
        <f t="shared" si="50"/>
        <v/>
      </c>
      <c r="W360" s="5" t="str">
        <f t="shared" si="51"/>
        <v/>
      </c>
      <c r="X360" s="5" t="str">
        <f t="shared" si="52"/>
        <v/>
      </c>
    </row>
    <row r="361" spans="1:24">
      <c r="A361" s="91"/>
      <c r="B361" s="92"/>
      <c r="C361" s="69"/>
      <c r="D361" s="69"/>
      <c r="E361" s="69"/>
      <c r="F361" s="69"/>
      <c r="G361" s="70"/>
      <c r="H361" s="71"/>
      <c r="I361" s="66"/>
      <c r="J361" s="67"/>
      <c r="K361" s="67"/>
      <c r="L361" s="67"/>
      <c r="M361" s="67"/>
      <c r="N361" s="145" t="str">
        <f t="shared" si="45"/>
        <v/>
      </c>
      <c r="O361" s="64"/>
      <c r="P361" s="64"/>
      <c r="Q361" s="152" t="str">
        <f t="shared" si="46"/>
        <v/>
      </c>
      <c r="R361" s="65" t="str">
        <f t="shared" si="53"/>
        <v/>
      </c>
      <c r="S361" s="5" t="str">
        <f t="shared" si="47"/>
        <v/>
      </c>
      <c r="T361" s="5" t="str">
        <f t="shared" si="48"/>
        <v/>
      </c>
      <c r="U361" s="5" t="str">
        <f t="shared" si="49"/>
        <v/>
      </c>
      <c r="V361" s="5" t="str">
        <f t="shared" si="50"/>
        <v/>
      </c>
      <c r="W361" s="5" t="str">
        <f t="shared" si="51"/>
        <v/>
      </c>
      <c r="X361" s="5" t="str">
        <f t="shared" si="52"/>
        <v/>
      </c>
    </row>
    <row r="362" spans="1:24">
      <c r="A362" s="91"/>
      <c r="B362" s="92"/>
      <c r="C362" s="69"/>
      <c r="D362" s="69"/>
      <c r="E362" s="69"/>
      <c r="F362" s="69"/>
      <c r="G362" s="70"/>
      <c r="H362" s="71"/>
      <c r="I362" s="66"/>
      <c r="J362" s="67"/>
      <c r="K362" s="67"/>
      <c r="L362" s="67"/>
      <c r="M362" s="67"/>
      <c r="N362" s="145" t="str">
        <f t="shared" si="45"/>
        <v/>
      </c>
      <c r="O362" s="64"/>
      <c r="P362" s="64"/>
      <c r="Q362" s="152" t="str">
        <f t="shared" si="46"/>
        <v/>
      </c>
      <c r="R362" s="65" t="str">
        <f t="shared" si="53"/>
        <v/>
      </c>
      <c r="S362" s="5" t="str">
        <f t="shared" si="47"/>
        <v/>
      </c>
      <c r="T362" s="5" t="str">
        <f t="shared" si="48"/>
        <v/>
      </c>
      <c r="U362" s="5" t="str">
        <f t="shared" si="49"/>
        <v/>
      </c>
      <c r="V362" s="5" t="str">
        <f t="shared" si="50"/>
        <v/>
      </c>
      <c r="W362" s="5" t="str">
        <f t="shared" si="51"/>
        <v/>
      </c>
      <c r="X362" s="5" t="str">
        <f t="shared" si="52"/>
        <v/>
      </c>
    </row>
    <row r="363" spans="1:24">
      <c r="A363" s="91"/>
      <c r="B363" s="92"/>
      <c r="C363" s="69"/>
      <c r="D363" s="69"/>
      <c r="E363" s="69"/>
      <c r="F363" s="69"/>
      <c r="G363" s="70"/>
      <c r="H363" s="71"/>
      <c r="I363" s="66"/>
      <c r="J363" s="67"/>
      <c r="K363" s="67"/>
      <c r="L363" s="67"/>
      <c r="M363" s="67"/>
      <c r="N363" s="145" t="str">
        <f t="shared" si="45"/>
        <v/>
      </c>
      <c r="O363" s="64"/>
      <c r="P363" s="64"/>
      <c r="Q363" s="152" t="str">
        <f t="shared" si="46"/>
        <v/>
      </c>
      <c r="R363" s="65" t="str">
        <f t="shared" si="53"/>
        <v/>
      </c>
      <c r="S363" s="5" t="str">
        <f t="shared" si="47"/>
        <v/>
      </c>
      <c r="T363" s="5" t="str">
        <f t="shared" si="48"/>
        <v/>
      </c>
      <c r="U363" s="5" t="str">
        <f t="shared" si="49"/>
        <v/>
      </c>
      <c r="V363" s="5" t="str">
        <f t="shared" si="50"/>
        <v/>
      </c>
      <c r="W363" s="5" t="str">
        <f t="shared" si="51"/>
        <v/>
      </c>
      <c r="X363" s="5" t="str">
        <f t="shared" si="52"/>
        <v/>
      </c>
    </row>
    <row r="364" spans="1:24">
      <c r="A364" s="91"/>
      <c r="B364" s="92"/>
      <c r="C364" s="69"/>
      <c r="D364" s="69"/>
      <c r="E364" s="69"/>
      <c r="F364" s="69"/>
      <c r="G364" s="70"/>
      <c r="H364" s="71"/>
      <c r="I364" s="66"/>
      <c r="J364" s="67"/>
      <c r="K364" s="67"/>
      <c r="L364" s="67"/>
      <c r="M364" s="67"/>
      <c r="N364" s="145" t="str">
        <f t="shared" si="45"/>
        <v/>
      </c>
      <c r="O364" s="64"/>
      <c r="P364" s="64"/>
      <c r="Q364" s="152" t="str">
        <f t="shared" si="46"/>
        <v/>
      </c>
      <c r="R364" s="65" t="str">
        <f t="shared" si="53"/>
        <v/>
      </c>
      <c r="S364" s="5" t="str">
        <f t="shared" si="47"/>
        <v/>
      </c>
      <c r="T364" s="5" t="str">
        <f t="shared" si="48"/>
        <v/>
      </c>
      <c r="U364" s="5" t="str">
        <f t="shared" si="49"/>
        <v/>
      </c>
      <c r="V364" s="5" t="str">
        <f t="shared" si="50"/>
        <v/>
      </c>
      <c r="W364" s="5" t="str">
        <f t="shared" si="51"/>
        <v/>
      </c>
      <c r="X364" s="5" t="str">
        <f t="shared" si="52"/>
        <v/>
      </c>
    </row>
    <row r="365" spans="1:24">
      <c r="A365" s="91"/>
      <c r="B365" s="92"/>
      <c r="C365" s="69"/>
      <c r="D365" s="69"/>
      <c r="E365" s="69"/>
      <c r="F365" s="69"/>
      <c r="G365" s="70"/>
      <c r="H365" s="71"/>
      <c r="I365" s="66"/>
      <c r="J365" s="67"/>
      <c r="K365" s="67"/>
      <c r="L365" s="67"/>
      <c r="M365" s="67"/>
      <c r="N365" s="145" t="str">
        <f t="shared" si="45"/>
        <v/>
      </c>
      <c r="O365" s="64"/>
      <c r="P365" s="64"/>
      <c r="Q365" s="152" t="str">
        <f t="shared" si="46"/>
        <v/>
      </c>
      <c r="R365" s="65" t="str">
        <f t="shared" si="53"/>
        <v/>
      </c>
      <c r="S365" s="5" t="str">
        <f t="shared" si="47"/>
        <v/>
      </c>
      <c r="T365" s="5" t="str">
        <f t="shared" si="48"/>
        <v/>
      </c>
      <c r="U365" s="5" t="str">
        <f t="shared" si="49"/>
        <v/>
      </c>
      <c r="V365" s="5" t="str">
        <f t="shared" si="50"/>
        <v/>
      </c>
      <c r="W365" s="5" t="str">
        <f t="shared" si="51"/>
        <v/>
      </c>
      <c r="X365" s="5" t="str">
        <f t="shared" si="52"/>
        <v/>
      </c>
    </row>
    <row r="366" spans="1:24">
      <c r="A366" s="91"/>
      <c r="B366" s="92"/>
      <c r="C366" s="69"/>
      <c r="D366" s="69"/>
      <c r="E366" s="69"/>
      <c r="F366" s="69"/>
      <c r="G366" s="70"/>
      <c r="H366" s="71"/>
      <c r="I366" s="66"/>
      <c r="J366" s="67"/>
      <c r="K366" s="67"/>
      <c r="L366" s="67"/>
      <c r="M366" s="67"/>
      <c r="N366" s="145" t="str">
        <f t="shared" si="45"/>
        <v/>
      </c>
      <c r="O366" s="64"/>
      <c r="P366" s="64"/>
      <c r="Q366" s="152" t="str">
        <f t="shared" si="46"/>
        <v/>
      </c>
      <c r="R366" s="65" t="str">
        <f t="shared" si="53"/>
        <v/>
      </c>
      <c r="S366" s="5" t="str">
        <f t="shared" si="47"/>
        <v/>
      </c>
      <c r="T366" s="5" t="str">
        <f t="shared" si="48"/>
        <v/>
      </c>
      <c r="U366" s="5" t="str">
        <f t="shared" si="49"/>
        <v/>
      </c>
      <c r="V366" s="5" t="str">
        <f t="shared" si="50"/>
        <v/>
      </c>
      <c r="W366" s="5" t="str">
        <f t="shared" si="51"/>
        <v/>
      </c>
      <c r="X366" s="5" t="str">
        <f t="shared" si="52"/>
        <v/>
      </c>
    </row>
    <row r="367" spans="1:24">
      <c r="A367" s="91"/>
      <c r="B367" s="92"/>
      <c r="C367" s="69"/>
      <c r="D367" s="69"/>
      <c r="E367" s="69"/>
      <c r="F367" s="69"/>
      <c r="G367" s="70"/>
      <c r="H367" s="71"/>
      <c r="I367" s="66"/>
      <c r="J367" s="67"/>
      <c r="K367" s="67"/>
      <c r="L367" s="67"/>
      <c r="M367" s="67"/>
      <c r="N367" s="145" t="str">
        <f t="shared" si="45"/>
        <v/>
      </c>
      <c r="O367" s="64"/>
      <c r="P367" s="64"/>
      <c r="Q367" s="152" t="str">
        <f t="shared" si="46"/>
        <v/>
      </c>
      <c r="R367" s="65" t="str">
        <f t="shared" si="53"/>
        <v/>
      </c>
      <c r="S367" s="5" t="str">
        <f t="shared" si="47"/>
        <v/>
      </c>
      <c r="T367" s="5" t="str">
        <f t="shared" si="48"/>
        <v/>
      </c>
      <c r="U367" s="5" t="str">
        <f t="shared" si="49"/>
        <v/>
      </c>
      <c r="V367" s="5" t="str">
        <f t="shared" si="50"/>
        <v/>
      </c>
      <c r="W367" s="5" t="str">
        <f t="shared" si="51"/>
        <v/>
      </c>
      <c r="X367" s="5" t="str">
        <f t="shared" si="52"/>
        <v/>
      </c>
    </row>
    <row r="368" spans="1:24">
      <c r="A368" s="91"/>
      <c r="B368" s="92"/>
      <c r="C368" s="69"/>
      <c r="D368" s="69"/>
      <c r="E368" s="69"/>
      <c r="F368" s="69"/>
      <c r="G368" s="70"/>
      <c r="H368" s="71"/>
      <c r="I368" s="66"/>
      <c r="J368" s="67"/>
      <c r="K368" s="67"/>
      <c r="L368" s="67"/>
      <c r="M368" s="67"/>
      <c r="N368" s="145" t="str">
        <f t="shared" si="45"/>
        <v/>
      </c>
      <c r="O368" s="64"/>
      <c r="P368" s="64"/>
      <c r="Q368" s="152" t="str">
        <f t="shared" si="46"/>
        <v/>
      </c>
      <c r="R368" s="65" t="str">
        <f t="shared" si="53"/>
        <v/>
      </c>
      <c r="S368" s="5" t="str">
        <f t="shared" si="47"/>
        <v/>
      </c>
      <c r="T368" s="5" t="str">
        <f t="shared" si="48"/>
        <v/>
      </c>
      <c r="U368" s="5" t="str">
        <f t="shared" si="49"/>
        <v/>
      </c>
      <c r="V368" s="5" t="str">
        <f t="shared" si="50"/>
        <v/>
      </c>
      <c r="W368" s="5" t="str">
        <f t="shared" si="51"/>
        <v/>
      </c>
      <c r="X368" s="5" t="str">
        <f t="shared" si="52"/>
        <v/>
      </c>
    </row>
    <row r="369" spans="1:24">
      <c r="A369" s="91"/>
      <c r="B369" s="92"/>
      <c r="C369" s="69"/>
      <c r="D369" s="69"/>
      <c r="E369" s="69"/>
      <c r="F369" s="69"/>
      <c r="G369" s="70"/>
      <c r="H369" s="71"/>
      <c r="I369" s="66"/>
      <c r="J369" s="67"/>
      <c r="K369" s="67"/>
      <c r="L369" s="67"/>
      <c r="M369" s="67"/>
      <c r="N369" s="145" t="str">
        <f t="shared" si="45"/>
        <v/>
      </c>
      <c r="O369" s="64"/>
      <c r="P369" s="64"/>
      <c r="Q369" s="152" t="str">
        <f t="shared" si="46"/>
        <v/>
      </c>
      <c r="R369" s="65" t="str">
        <f t="shared" si="53"/>
        <v/>
      </c>
      <c r="S369" s="5" t="str">
        <f t="shared" si="47"/>
        <v/>
      </c>
      <c r="T369" s="5" t="str">
        <f t="shared" si="48"/>
        <v/>
      </c>
      <c r="U369" s="5" t="str">
        <f t="shared" si="49"/>
        <v/>
      </c>
      <c r="V369" s="5" t="str">
        <f t="shared" si="50"/>
        <v/>
      </c>
      <c r="W369" s="5" t="str">
        <f t="shared" si="51"/>
        <v/>
      </c>
      <c r="X369" s="5" t="str">
        <f t="shared" si="52"/>
        <v/>
      </c>
    </row>
    <row r="370" spans="1:24">
      <c r="A370" s="91"/>
      <c r="B370" s="92"/>
      <c r="C370" s="69"/>
      <c r="D370" s="69"/>
      <c r="E370" s="69"/>
      <c r="F370" s="69"/>
      <c r="G370" s="70"/>
      <c r="H370" s="71"/>
      <c r="I370" s="66"/>
      <c r="J370" s="67"/>
      <c r="K370" s="67"/>
      <c r="L370" s="67"/>
      <c r="M370" s="67"/>
      <c r="N370" s="145" t="str">
        <f t="shared" si="45"/>
        <v/>
      </c>
      <c r="O370" s="64"/>
      <c r="P370" s="64"/>
      <c r="Q370" s="152" t="str">
        <f t="shared" si="46"/>
        <v/>
      </c>
      <c r="R370" s="65" t="str">
        <f t="shared" si="53"/>
        <v/>
      </c>
      <c r="S370" s="5" t="str">
        <f t="shared" si="47"/>
        <v/>
      </c>
      <c r="T370" s="5" t="str">
        <f t="shared" si="48"/>
        <v/>
      </c>
      <c r="U370" s="5" t="str">
        <f t="shared" si="49"/>
        <v/>
      </c>
      <c r="V370" s="5" t="str">
        <f t="shared" si="50"/>
        <v/>
      </c>
      <c r="W370" s="5" t="str">
        <f t="shared" si="51"/>
        <v/>
      </c>
      <c r="X370" s="5" t="str">
        <f t="shared" si="52"/>
        <v/>
      </c>
    </row>
    <row r="371" spans="1:24">
      <c r="A371" s="91"/>
      <c r="B371" s="92"/>
      <c r="C371" s="69"/>
      <c r="D371" s="69"/>
      <c r="E371" s="69"/>
      <c r="F371" s="69"/>
      <c r="G371" s="70"/>
      <c r="H371" s="71"/>
      <c r="I371" s="66"/>
      <c r="J371" s="67"/>
      <c r="K371" s="67"/>
      <c r="L371" s="67"/>
      <c r="M371" s="67"/>
      <c r="N371" s="145" t="str">
        <f t="shared" si="45"/>
        <v/>
      </c>
      <c r="O371" s="64"/>
      <c r="P371" s="64"/>
      <c r="Q371" s="152" t="str">
        <f t="shared" si="46"/>
        <v/>
      </c>
      <c r="R371" s="65" t="str">
        <f t="shared" si="53"/>
        <v/>
      </c>
      <c r="S371" s="5" t="str">
        <f t="shared" si="47"/>
        <v/>
      </c>
      <c r="T371" s="5" t="str">
        <f t="shared" si="48"/>
        <v/>
      </c>
      <c r="U371" s="5" t="str">
        <f t="shared" si="49"/>
        <v/>
      </c>
      <c r="V371" s="5" t="str">
        <f t="shared" si="50"/>
        <v/>
      </c>
      <c r="W371" s="5" t="str">
        <f t="shared" si="51"/>
        <v/>
      </c>
      <c r="X371" s="5" t="str">
        <f t="shared" si="52"/>
        <v/>
      </c>
    </row>
    <row r="372" spans="1:24">
      <c r="A372" s="91"/>
      <c r="B372" s="92"/>
      <c r="C372" s="69"/>
      <c r="D372" s="69"/>
      <c r="E372" s="69"/>
      <c r="F372" s="69"/>
      <c r="G372" s="70"/>
      <c r="H372" s="71"/>
      <c r="I372" s="66"/>
      <c r="J372" s="67"/>
      <c r="K372" s="67"/>
      <c r="L372" s="67"/>
      <c r="M372" s="67"/>
      <c r="N372" s="145" t="str">
        <f t="shared" si="45"/>
        <v/>
      </c>
      <c r="O372" s="64"/>
      <c r="P372" s="64"/>
      <c r="Q372" s="152" t="str">
        <f t="shared" si="46"/>
        <v/>
      </c>
      <c r="R372" s="65" t="str">
        <f t="shared" si="53"/>
        <v/>
      </c>
      <c r="S372" s="5" t="str">
        <f t="shared" si="47"/>
        <v/>
      </c>
      <c r="T372" s="5" t="str">
        <f t="shared" si="48"/>
        <v/>
      </c>
      <c r="U372" s="5" t="str">
        <f t="shared" si="49"/>
        <v/>
      </c>
      <c r="V372" s="5" t="str">
        <f t="shared" si="50"/>
        <v/>
      </c>
      <c r="W372" s="5" t="str">
        <f t="shared" si="51"/>
        <v/>
      </c>
      <c r="X372" s="5" t="str">
        <f t="shared" si="52"/>
        <v/>
      </c>
    </row>
    <row r="373" spans="1:24">
      <c r="A373" s="91"/>
      <c r="B373" s="92"/>
      <c r="C373" s="69"/>
      <c r="D373" s="69"/>
      <c r="E373" s="69"/>
      <c r="F373" s="69"/>
      <c r="G373" s="70"/>
      <c r="H373" s="71"/>
      <c r="I373" s="66"/>
      <c r="J373" s="67"/>
      <c r="K373" s="67"/>
      <c r="L373" s="67"/>
      <c r="M373" s="67"/>
      <c r="N373" s="145" t="str">
        <f t="shared" si="45"/>
        <v/>
      </c>
      <c r="O373" s="64"/>
      <c r="P373" s="64"/>
      <c r="Q373" s="152" t="str">
        <f t="shared" si="46"/>
        <v/>
      </c>
      <c r="R373" s="65" t="str">
        <f t="shared" si="53"/>
        <v/>
      </c>
      <c r="S373" s="5" t="str">
        <f t="shared" si="47"/>
        <v/>
      </c>
      <c r="T373" s="5" t="str">
        <f t="shared" si="48"/>
        <v/>
      </c>
      <c r="U373" s="5" t="str">
        <f t="shared" si="49"/>
        <v/>
      </c>
      <c r="V373" s="5" t="str">
        <f t="shared" si="50"/>
        <v/>
      </c>
      <c r="W373" s="5" t="str">
        <f t="shared" si="51"/>
        <v/>
      </c>
      <c r="X373" s="5" t="str">
        <f t="shared" si="52"/>
        <v/>
      </c>
    </row>
    <row r="374" spans="1:24">
      <c r="A374" s="91"/>
      <c r="B374" s="92"/>
      <c r="C374" s="69"/>
      <c r="D374" s="69"/>
      <c r="E374" s="69"/>
      <c r="F374" s="69"/>
      <c r="G374" s="70"/>
      <c r="H374" s="71"/>
      <c r="I374" s="66"/>
      <c r="J374" s="67"/>
      <c r="K374" s="67"/>
      <c r="L374" s="67"/>
      <c r="M374" s="67"/>
      <c r="N374" s="145" t="str">
        <f t="shared" si="45"/>
        <v/>
      </c>
      <c r="O374" s="64"/>
      <c r="P374" s="64"/>
      <c r="Q374" s="152" t="str">
        <f t="shared" si="46"/>
        <v/>
      </c>
      <c r="R374" s="65" t="str">
        <f t="shared" si="53"/>
        <v/>
      </c>
      <c r="S374" s="5" t="str">
        <f t="shared" si="47"/>
        <v/>
      </c>
      <c r="T374" s="5" t="str">
        <f t="shared" si="48"/>
        <v/>
      </c>
      <c r="U374" s="5" t="str">
        <f t="shared" si="49"/>
        <v/>
      </c>
      <c r="V374" s="5" t="str">
        <f t="shared" si="50"/>
        <v/>
      </c>
      <c r="W374" s="5" t="str">
        <f t="shared" si="51"/>
        <v/>
      </c>
      <c r="X374" s="5" t="str">
        <f t="shared" si="52"/>
        <v/>
      </c>
    </row>
    <row r="375" spans="1:24">
      <c r="A375" s="91"/>
      <c r="B375" s="92"/>
      <c r="C375" s="69"/>
      <c r="D375" s="69"/>
      <c r="E375" s="69"/>
      <c r="F375" s="69"/>
      <c r="G375" s="70"/>
      <c r="H375" s="71"/>
      <c r="I375" s="66"/>
      <c r="J375" s="67"/>
      <c r="K375" s="67"/>
      <c r="L375" s="67"/>
      <c r="M375" s="67"/>
      <c r="N375" s="145" t="str">
        <f t="shared" si="45"/>
        <v/>
      </c>
      <c r="O375" s="64"/>
      <c r="P375" s="64"/>
      <c r="Q375" s="152" t="str">
        <f t="shared" si="46"/>
        <v/>
      </c>
      <c r="R375" s="65" t="str">
        <f t="shared" si="53"/>
        <v/>
      </c>
      <c r="S375" s="5" t="str">
        <f t="shared" si="47"/>
        <v/>
      </c>
      <c r="T375" s="5" t="str">
        <f t="shared" si="48"/>
        <v/>
      </c>
      <c r="U375" s="5" t="str">
        <f t="shared" si="49"/>
        <v/>
      </c>
      <c r="V375" s="5" t="str">
        <f t="shared" si="50"/>
        <v/>
      </c>
      <c r="W375" s="5" t="str">
        <f t="shared" si="51"/>
        <v/>
      </c>
      <c r="X375" s="5" t="str">
        <f t="shared" si="52"/>
        <v/>
      </c>
    </row>
    <row r="376" spans="1:24">
      <c r="A376" s="91"/>
      <c r="B376" s="92"/>
      <c r="C376" s="69"/>
      <c r="D376" s="69"/>
      <c r="E376" s="69"/>
      <c r="F376" s="69"/>
      <c r="G376" s="70"/>
      <c r="H376" s="71"/>
      <c r="I376" s="66"/>
      <c r="J376" s="67"/>
      <c r="K376" s="67"/>
      <c r="L376" s="67"/>
      <c r="M376" s="67"/>
      <c r="N376" s="145" t="str">
        <f t="shared" si="45"/>
        <v/>
      </c>
      <c r="O376" s="64"/>
      <c r="P376" s="64"/>
      <c r="Q376" s="152" t="str">
        <f t="shared" si="46"/>
        <v/>
      </c>
      <c r="R376" s="65" t="str">
        <f t="shared" si="53"/>
        <v/>
      </c>
      <c r="S376" s="5" t="str">
        <f t="shared" si="47"/>
        <v/>
      </c>
      <c r="T376" s="5" t="str">
        <f t="shared" si="48"/>
        <v/>
      </c>
      <c r="U376" s="5" t="str">
        <f t="shared" si="49"/>
        <v/>
      </c>
      <c r="V376" s="5" t="str">
        <f t="shared" si="50"/>
        <v/>
      </c>
      <c r="W376" s="5" t="str">
        <f t="shared" si="51"/>
        <v/>
      </c>
      <c r="X376" s="5" t="str">
        <f t="shared" si="52"/>
        <v/>
      </c>
    </row>
    <row r="377" spans="1:24">
      <c r="A377" s="91"/>
      <c r="B377" s="92"/>
      <c r="C377" s="69"/>
      <c r="D377" s="69"/>
      <c r="E377" s="69"/>
      <c r="F377" s="69"/>
      <c r="G377" s="70"/>
      <c r="H377" s="71"/>
      <c r="I377" s="66"/>
      <c r="J377" s="67"/>
      <c r="K377" s="67"/>
      <c r="L377" s="67"/>
      <c r="M377" s="67"/>
      <c r="N377" s="145" t="str">
        <f t="shared" si="45"/>
        <v/>
      </c>
      <c r="O377" s="64"/>
      <c r="P377" s="64"/>
      <c r="Q377" s="152" t="str">
        <f t="shared" si="46"/>
        <v/>
      </c>
      <c r="R377" s="65" t="str">
        <f t="shared" si="53"/>
        <v/>
      </c>
      <c r="S377" s="5" t="str">
        <f t="shared" si="47"/>
        <v/>
      </c>
      <c r="T377" s="5" t="str">
        <f t="shared" si="48"/>
        <v/>
      </c>
      <c r="U377" s="5" t="str">
        <f t="shared" si="49"/>
        <v/>
      </c>
      <c r="V377" s="5" t="str">
        <f t="shared" si="50"/>
        <v/>
      </c>
      <c r="W377" s="5" t="str">
        <f t="shared" si="51"/>
        <v/>
      </c>
      <c r="X377" s="5" t="str">
        <f t="shared" si="52"/>
        <v/>
      </c>
    </row>
    <row r="378" spans="1:24">
      <c r="A378" s="91"/>
      <c r="B378" s="92"/>
      <c r="C378" s="69"/>
      <c r="D378" s="69"/>
      <c r="E378" s="69"/>
      <c r="F378" s="69"/>
      <c r="G378" s="70"/>
      <c r="H378" s="71"/>
      <c r="I378" s="66"/>
      <c r="J378" s="67"/>
      <c r="K378" s="67"/>
      <c r="L378" s="67"/>
      <c r="M378" s="67"/>
      <c r="N378" s="145" t="str">
        <f t="shared" si="45"/>
        <v/>
      </c>
      <c r="O378" s="64"/>
      <c r="P378" s="64"/>
      <c r="Q378" s="152" t="str">
        <f t="shared" si="46"/>
        <v/>
      </c>
      <c r="R378" s="65" t="str">
        <f t="shared" si="53"/>
        <v/>
      </c>
      <c r="S378" s="5" t="str">
        <f t="shared" si="47"/>
        <v/>
      </c>
      <c r="T378" s="5" t="str">
        <f t="shared" si="48"/>
        <v/>
      </c>
      <c r="U378" s="5" t="str">
        <f t="shared" si="49"/>
        <v/>
      </c>
      <c r="V378" s="5" t="str">
        <f t="shared" si="50"/>
        <v/>
      </c>
      <c r="W378" s="5" t="str">
        <f t="shared" si="51"/>
        <v/>
      </c>
      <c r="X378" s="5" t="str">
        <f t="shared" si="52"/>
        <v/>
      </c>
    </row>
    <row r="379" spans="1:24">
      <c r="A379" s="91"/>
      <c r="B379" s="92"/>
      <c r="C379" s="69"/>
      <c r="D379" s="69"/>
      <c r="E379" s="69"/>
      <c r="F379" s="69"/>
      <c r="G379" s="70"/>
      <c r="H379" s="71"/>
      <c r="I379" s="66"/>
      <c r="J379" s="67"/>
      <c r="K379" s="67"/>
      <c r="L379" s="67"/>
      <c r="M379" s="67"/>
      <c r="N379" s="145" t="str">
        <f t="shared" si="45"/>
        <v/>
      </c>
      <c r="O379" s="64"/>
      <c r="P379" s="64"/>
      <c r="Q379" s="152" t="str">
        <f t="shared" si="46"/>
        <v/>
      </c>
      <c r="R379" s="65" t="str">
        <f t="shared" si="53"/>
        <v/>
      </c>
      <c r="S379" s="5" t="str">
        <f t="shared" si="47"/>
        <v/>
      </c>
      <c r="T379" s="5" t="str">
        <f t="shared" si="48"/>
        <v/>
      </c>
      <c r="U379" s="5" t="str">
        <f t="shared" si="49"/>
        <v/>
      </c>
      <c r="V379" s="5" t="str">
        <f t="shared" si="50"/>
        <v/>
      </c>
      <c r="W379" s="5" t="str">
        <f t="shared" si="51"/>
        <v/>
      </c>
      <c r="X379" s="5" t="str">
        <f t="shared" si="52"/>
        <v/>
      </c>
    </row>
    <row r="380" spans="1:24">
      <c r="A380" s="91"/>
      <c r="B380" s="92"/>
      <c r="C380" s="69"/>
      <c r="D380" s="69"/>
      <c r="E380" s="69"/>
      <c r="F380" s="69"/>
      <c r="G380" s="70"/>
      <c r="H380" s="71"/>
      <c r="I380" s="66"/>
      <c r="J380" s="67"/>
      <c r="K380" s="67"/>
      <c r="L380" s="67"/>
      <c r="M380" s="67"/>
      <c r="N380" s="145" t="str">
        <f t="shared" si="45"/>
        <v/>
      </c>
      <c r="O380" s="64"/>
      <c r="P380" s="64"/>
      <c r="Q380" s="152" t="str">
        <f t="shared" si="46"/>
        <v/>
      </c>
      <c r="R380" s="65" t="str">
        <f t="shared" si="53"/>
        <v/>
      </c>
      <c r="S380" s="5" t="str">
        <f t="shared" si="47"/>
        <v/>
      </c>
      <c r="T380" s="5" t="str">
        <f t="shared" si="48"/>
        <v/>
      </c>
      <c r="U380" s="5" t="str">
        <f t="shared" si="49"/>
        <v/>
      </c>
      <c r="V380" s="5" t="str">
        <f t="shared" si="50"/>
        <v/>
      </c>
      <c r="W380" s="5" t="str">
        <f t="shared" si="51"/>
        <v/>
      </c>
      <c r="X380" s="5" t="str">
        <f t="shared" si="52"/>
        <v/>
      </c>
    </row>
    <row r="381" spans="1:24">
      <c r="A381" s="91"/>
      <c r="B381" s="92"/>
      <c r="C381" s="69"/>
      <c r="D381" s="69"/>
      <c r="E381" s="69"/>
      <c r="F381" s="69"/>
      <c r="G381" s="70"/>
      <c r="H381" s="71"/>
      <c r="I381" s="66"/>
      <c r="J381" s="67"/>
      <c r="K381" s="67"/>
      <c r="L381" s="67"/>
      <c r="M381" s="67"/>
      <c r="N381" s="145" t="str">
        <f t="shared" si="45"/>
        <v/>
      </c>
      <c r="O381" s="64"/>
      <c r="P381" s="64"/>
      <c r="Q381" s="152" t="str">
        <f t="shared" si="46"/>
        <v/>
      </c>
      <c r="R381" s="65" t="str">
        <f t="shared" si="53"/>
        <v/>
      </c>
      <c r="S381" s="5" t="str">
        <f t="shared" si="47"/>
        <v/>
      </c>
      <c r="T381" s="5" t="str">
        <f t="shared" si="48"/>
        <v/>
      </c>
      <c r="U381" s="5" t="str">
        <f t="shared" si="49"/>
        <v/>
      </c>
      <c r="V381" s="5" t="str">
        <f t="shared" si="50"/>
        <v/>
      </c>
      <c r="W381" s="5" t="str">
        <f t="shared" si="51"/>
        <v/>
      </c>
      <c r="X381" s="5" t="str">
        <f t="shared" si="52"/>
        <v/>
      </c>
    </row>
    <row r="382" spans="1:24">
      <c r="A382" s="91"/>
      <c r="B382" s="92"/>
      <c r="C382" s="69"/>
      <c r="D382" s="69"/>
      <c r="E382" s="69"/>
      <c r="F382" s="69"/>
      <c r="G382" s="70"/>
      <c r="H382" s="71"/>
      <c r="I382" s="66"/>
      <c r="J382" s="67"/>
      <c r="K382" s="67"/>
      <c r="L382" s="67"/>
      <c r="M382" s="67"/>
      <c r="N382" s="145" t="str">
        <f t="shared" si="45"/>
        <v/>
      </c>
      <c r="O382" s="64"/>
      <c r="P382" s="64"/>
      <c r="Q382" s="152" t="str">
        <f t="shared" si="46"/>
        <v/>
      </c>
      <c r="R382" s="65" t="str">
        <f t="shared" si="53"/>
        <v/>
      </c>
      <c r="S382" s="5" t="str">
        <f t="shared" si="47"/>
        <v/>
      </c>
      <c r="T382" s="5" t="str">
        <f t="shared" si="48"/>
        <v/>
      </c>
      <c r="U382" s="5" t="str">
        <f t="shared" si="49"/>
        <v/>
      </c>
      <c r="V382" s="5" t="str">
        <f t="shared" si="50"/>
        <v/>
      </c>
      <c r="W382" s="5" t="str">
        <f t="shared" si="51"/>
        <v/>
      </c>
      <c r="X382" s="5" t="str">
        <f t="shared" si="52"/>
        <v/>
      </c>
    </row>
    <row r="383" spans="1:24">
      <c r="A383" s="91"/>
      <c r="B383" s="92"/>
      <c r="C383" s="69"/>
      <c r="D383" s="69"/>
      <c r="E383" s="69"/>
      <c r="F383" s="69"/>
      <c r="G383" s="70"/>
      <c r="H383" s="71"/>
      <c r="I383" s="66"/>
      <c r="J383" s="67"/>
      <c r="K383" s="67"/>
      <c r="L383" s="67"/>
      <c r="M383" s="67"/>
      <c r="N383" s="145" t="str">
        <f t="shared" si="45"/>
        <v/>
      </c>
      <c r="O383" s="64"/>
      <c r="P383" s="64"/>
      <c r="Q383" s="152" t="str">
        <f t="shared" si="46"/>
        <v/>
      </c>
      <c r="R383" s="65" t="str">
        <f t="shared" si="53"/>
        <v/>
      </c>
      <c r="S383" s="5" t="str">
        <f t="shared" si="47"/>
        <v/>
      </c>
      <c r="T383" s="5" t="str">
        <f t="shared" si="48"/>
        <v/>
      </c>
      <c r="U383" s="5" t="str">
        <f t="shared" si="49"/>
        <v/>
      </c>
      <c r="V383" s="5" t="str">
        <f t="shared" si="50"/>
        <v/>
      </c>
      <c r="W383" s="5" t="str">
        <f t="shared" si="51"/>
        <v/>
      </c>
      <c r="X383" s="5" t="str">
        <f t="shared" si="52"/>
        <v/>
      </c>
    </row>
    <row r="384" spans="1:24">
      <c r="A384" s="91"/>
      <c r="B384" s="92"/>
      <c r="C384" s="69"/>
      <c r="D384" s="69"/>
      <c r="E384" s="69"/>
      <c r="F384" s="69"/>
      <c r="G384" s="70"/>
      <c r="H384" s="71"/>
      <c r="I384" s="66"/>
      <c r="J384" s="67"/>
      <c r="K384" s="67"/>
      <c r="L384" s="67"/>
      <c r="M384" s="67"/>
      <c r="N384" s="145" t="str">
        <f t="shared" si="45"/>
        <v/>
      </c>
      <c r="O384" s="64"/>
      <c r="P384" s="64"/>
      <c r="Q384" s="152" t="str">
        <f t="shared" si="46"/>
        <v/>
      </c>
      <c r="R384" s="65" t="str">
        <f t="shared" si="53"/>
        <v/>
      </c>
      <c r="S384" s="5" t="str">
        <f t="shared" si="47"/>
        <v/>
      </c>
      <c r="T384" s="5" t="str">
        <f t="shared" si="48"/>
        <v/>
      </c>
      <c r="U384" s="5" t="str">
        <f t="shared" si="49"/>
        <v/>
      </c>
      <c r="V384" s="5" t="str">
        <f t="shared" si="50"/>
        <v/>
      </c>
      <c r="W384" s="5" t="str">
        <f t="shared" si="51"/>
        <v/>
      </c>
      <c r="X384" s="5" t="str">
        <f t="shared" si="52"/>
        <v/>
      </c>
    </row>
    <row r="385" spans="1:24">
      <c r="A385" s="91"/>
      <c r="B385" s="92"/>
      <c r="C385" s="69"/>
      <c r="D385" s="69"/>
      <c r="E385" s="69"/>
      <c r="F385" s="69"/>
      <c r="G385" s="70"/>
      <c r="H385" s="71"/>
      <c r="I385" s="66"/>
      <c r="J385" s="67"/>
      <c r="K385" s="67"/>
      <c r="L385" s="67"/>
      <c r="M385" s="67"/>
      <c r="N385" s="145" t="str">
        <f t="shared" si="45"/>
        <v/>
      </c>
      <c r="O385" s="64"/>
      <c r="P385" s="64"/>
      <c r="Q385" s="152" t="str">
        <f t="shared" si="46"/>
        <v/>
      </c>
      <c r="R385" s="65" t="str">
        <f t="shared" si="53"/>
        <v/>
      </c>
      <c r="S385" s="5" t="str">
        <f t="shared" si="47"/>
        <v/>
      </c>
      <c r="T385" s="5" t="str">
        <f t="shared" si="48"/>
        <v/>
      </c>
      <c r="U385" s="5" t="str">
        <f t="shared" si="49"/>
        <v/>
      </c>
      <c r="V385" s="5" t="str">
        <f t="shared" si="50"/>
        <v/>
      </c>
      <c r="W385" s="5" t="str">
        <f t="shared" si="51"/>
        <v/>
      </c>
      <c r="X385" s="5" t="str">
        <f t="shared" si="52"/>
        <v/>
      </c>
    </row>
    <row r="386" spans="1:24">
      <c r="A386" s="91"/>
      <c r="B386" s="92"/>
      <c r="C386" s="69"/>
      <c r="D386" s="69"/>
      <c r="E386" s="69"/>
      <c r="F386" s="69"/>
      <c r="G386" s="70"/>
      <c r="H386" s="71"/>
      <c r="I386" s="66"/>
      <c r="J386" s="67"/>
      <c r="K386" s="67"/>
      <c r="L386" s="67"/>
      <c r="M386" s="67"/>
      <c r="N386" s="145" t="str">
        <f t="shared" si="45"/>
        <v/>
      </c>
      <c r="O386" s="64"/>
      <c r="P386" s="64"/>
      <c r="Q386" s="152" t="str">
        <f t="shared" si="46"/>
        <v/>
      </c>
      <c r="R386" s="65" t="str">
        <f t="shared" si="53"/>
        <v/>
      </c>
      <c r="S386" s="5" t="str">
        <f t="shared" si="47"/>
        <v/>
      </c>
      <c r="T386" s="5" t="str">
        <f t="shared" si="48"/>
        <v/>
      </c>
      <c r="U386" s="5" t="str">
        <f t="shared" si="49"/>
        <v/>
      </c>
      <c r="V386" s="5" t="str">
        <f t="shared" si="50"/>
        <v/>
      </c>
      <c r="W386" s="5" t="str">
        <f t="shared" si="51"/>
        <v/>
      </c>
      <c r="X386" s="5" t="str">
        <f t="shared" si="52"/>
        <v/>
      </c>
    </row>
    <row r="387" spans="1:24">
      <c r="A387" s="91"/>
      <c r="B387" s="92"/>
      <c r="C387" s="69"/>
      <c r="D387" s="69"/>
      <c r="E387" s="69"/>
      <c r="F387" s="69"/>
      <c r="G387" s="70"/>
      <c r="H387" s="71"/>
      <c r="I387" s="66"/>
      <c r="J387" s="67"/>
      <c r="K387" s="67"/>
      <c r="L387" s="67"/>
      <c r="M387" s="67"/>
      <c r="N387" s="145" t="str">
        <f t="shared" si="45"/>
        <v/>
      </c>
      <c r="O387" s="64"/>
      <c r="P387" s="64"/>
      <c r="Q387" s="152" t="str">
        <f t="shared" si="46"/>
        <v/>
      </c>
      <c r="R387" s="65" t="str">
        <f t="shared" si="53"/>
        <v/>
      </c>
      <c r="S387" s="5" t="str">
        <f t="shared" si="47"/>
        <v/>
      </c>
      <c r="T387" s="5" t="str">
        <f t="shared" si="48"/>
        <v/>
      </c>
      <c r="U387" s="5" t="str">
        <f t="shared" si="49"/>
        <v/>
      </c>
      <c r="V387" s="5" t="str">
        <f t="shared" si="50"/>
        <v/>
      </c>
      <c r="W387" s="5" t="str">
        <f t="shared" si="51"/>
        <v/>
      </c>
      <c r="X387" s="5" t="str">
        <f t="shared" si="52"/>
        <v/>
      </c>
    </row>
    <row r="388" spans="1:24">
      <c r="A388" s="91"/>
      <c r="B388" s="92"/>
      <c r="C388" s="69"/>
      <c r="D388" s="69"/>
      <c r="E388" s="69"/>
      <c r="F388" s="69"/>
      <c r="G388" s="70"/>
      <c r="H388" s="71"/>
      <c r="I388" s="66"/>
      <c r="J388" s="67"/>
      <c r="K388" s="67"/>
      <c r="L388" s="67"/>
      <c r="M388" s="67"/>
      <c r="N388" s="145" t="str">
        <f t="shared" si="45"/>
        <v/>
      </c>
      <c r="O388" s="64"/>
      <c r="P388" s="64"/>
      <c r="Q388" s="152" t="str">
        <f t="shared" si="46"/>
        <v/>
      </c>
      <c r="R388" s="65" t="str">
        <f t="shared" si="53"/>
        <v/>
      </c>
      <c r="S388" s="5" t="str">
        <f t="shared" si="47"/>
        <v/>
      </c>
      <c r="T388" s="5" t="str">
        <f t="shared" si="48"/>
        <v/>
      </c>
      <c r="U388" s="5" t="str">
        <f t="shared" si="49"/>
        <v/>
      </c>
      <c r="V388" s="5" t="str">
        <f t="shared" si="50"/>
        <v/>
      </c>
      <c r="W388" s="5" t="str">
        <f t="shared" si="51"/>
        <v/>
      </c>
      <c r="X388" s="5" t="str">
        <f t="shared" si="52"/>
        <v/>
      </c>
    </row>
    <row r="389" spans="1:24">
      <c r="A389" s="91"/>
      <c r="B389" s="92"/>
      <c r="C389" s="69"/>
      <c r="D389" s="69"/>
      <c r="E389" s="69"/>
      <c r="F389" s="69"/>
      <c r="G389" s="70"/>
      <c r="H389" s="71"/>
      <c r="I389" s="66"/>
      <c r="J389" s="67"/>
      <c r="K389" s="67"/>
      <c r="L389" s="67"/>
      <c r="M389" s="67"/>
      <c r="N389" s="145" t="str">
        <f t="shared" si="45"/>
        <v/>
      </c>
      <c r="O389" s="64"/>
      <c r="P389" s="64"/>
      <c r="Q389" s="152" t="str">
        <f t="shared" si="46"/>
        <v/>
      </c>
      <c r="R389" s="65" t="str">
        <f t="shared" si="53"/>
        <v/>
      </c>
      <c r="S389" s="5" t="str">
        <f t="shared" si="47"/>
        <v/>
      </c>
      <c r="T389" s="5" t="str">
        <f t="shared" si="48"/>
        <v/>
      </c>
      <c r="U389" s="5" t="str">
        <f t="shared" si="49"/>
        <v/>
      </c>
      <c r="V389" s="5" t="str">
        <f t="shared" si="50"/>
        <v/>
      </c>
      <c r="W389" s="5" t="str">
        <f t="shared" si="51"/>
        <v/>
      </c>
      <c r="X389" s="5" t="str">
        <f t="shared" si="52"/>
        <v/>
      </c>
    </row>
    <row r="390" spans="1:24">
      <c r="A390" s="91"/>
      <c r="B390" s="92"/>
      <c r="C390" s="69"/>
      <c r="D390" s="69"/>
      <c r="E390" s="69"/>
      <c r="F390" s="69"/>
      <c r="G390" s="70"/>
      <c r="H390" s="71"/>
      <c r="I390" s="66"/>
      <c r="J390" s="67"/>
      <c r="K390" s="67"/>
      <c r="L390" s="67"/>
      <c r="M390" s="67"/>
      <c r="N390" s="145" t="str">
        <f t="shared" si="45"/>
        <v/>
      </c>
      <c r="O390" s="64"/>
      <c r="P390" s="64"/>
      <c r="Q390" s="152" t="str">
        <f t="shared" si="46"/>
        <v/>
      </c>
      <c r="R390" s="65" t="str">
        <f t="shared" si="53"/>
        <v/>
      </c>
      <c r="S390" s="5" t="str">
        <f t="shared" si="47"/>
        <v/>
      </c>
      <c r="T390" s="5" t="str">
        <f t="shared" si="48"/>
        <v/>
      </c>
      <c r="U390" s="5" t="str">
        <f t="shared" si="49"/>
        <v/>
      </c>
      <c r="V390" s="5" t="str">
        <f t="shared" si="50"/>
        <v/>
      </c>
      <c r="W390" s="5" t="str">
        <f t="shared" si="51"/>
        <v/>
      </c>
      <c r="X390" s="5" t="str">
        <f t="shared" si="52"/>
        <v/>
      </c>
    </row>
    <row r="391" spans="1:24">
      <c r="A391" s="91"/>
      <c r="B391" s="92"/>
      <c r="C391" s="69"/>
      <c r="D391" s="69"/>
      <c r="E391" s="69"/>
      <c r="F391" s="69"/>
      <c r="G391" s="70"/>
      <c r="H391" s="71"/>
      <c r="I391" s="66"/>
      <c r="J391" s="67"/>
      <c r="K391" s="67"/>
      <c r="L391" s="67"/>
      <c r="M391" s="67"/>
      <c r="N391" s="145" t="str">
        <f t="shared" ref="N391:N429" si="54">IF($C391="","",IF($L391+$M391=0,0,$L391/($L391+$M391)))</f>
        <v/>
      </c>
      <c r="O391" s="64"/>
      <c r="P391" s="64"/>
      <c r="Q391" s="152" t="str">
        <f t="shared" ref="Q391:Q430" si="55">IF($C391="","",($O391-($P391/2)))</f>
        <v/>
      </c>
      <c r="R391" s="65" t="str">
        <f t="shared" si="53"/>
        <v/>
      </c>
      <c r="S391" s="5" t="str">
        <f t="shared" ref="S391:S429" si="56">IF($C391="","",I391*40.02)</f>
        <v/>
      </c>
      <c r="T391" s="5" t="str">
        <f t="shared" ref="T391:T429" si="57">IF($C391="","",J391*11.8)</f>
        <v/>
      </c>
      <c r="U391" s="5" t="str">
        <f t="shared" ref="U391:U429" si="58">IF($C391="","",K391*19.83)</f>
        <v/>
      </c>
      <c r="V391" s="5" t="str">
        <f t="shared" ref="V391:V429" si="59">IF($C391="","",L391*39.42)</f>
        <v/>
      </c>
      <c r="W391" s="5" t="str">
        <f t="shared" ref="W391:W429" si="60">IF($C391="","",N391*0.09)</f>
        <v/>
      </c>
      <c r="X391" s="5" t="str">
        <f t="shared" ref="X391:X429" si="61">IF($C391="","",Q391*4.79)</f>
        <v/>
      </c>
    </row>
    <row r="392" spans="1:24">
      <c r="A392" s="91"/>
      <c r="B392" s="92"/>
      <c r="C392" s="69"/>
      <c r="D392" s="69"/>
      <c r="E392" s="69"/>
      <c r="F392" s="69"/>
      <c r="G392" s="70"/>
      <c r="H392" s="71"/>
      <c r="I392" s="66"/>
      <c r="J392" s="67"/>
      <c r="K392" s="67"/>
      <c r="L392" s="67"/>
      <c r="M392" s="67"/>
      <c r="N392" s="145" t="str">
        <f t="shared" si="54"/>
        <v/>
      </c>
      <c r="O392" s="64"/>
      <c r="P392" s="64"/>
      <c r="Q392" s="152" t="str">
        <f t="shared" si="55"/>
        <v/>
      </c>
      <c r="R392" s="65" t="str">
        <f t="shared" ref="R392:R429" si="62">IF($C392="","",IF(TRIM($B392)="beginning",(((SUM($S392:$X392)-10051)/4349)*40)+360,IF(TRIM($B392)="middle",(((SUM($S392:$X392)-10051)/4349)*40)+400,IF(TRIM($B392)="end",(((SUM($S392:$X392)-10051)/4349)*40)+440,""))))</f>
        <v/>
      </c>
      <c r="S392" s="5" t="str">
        <f t="shared" si="56"/>
        <v/>
      </c>
      <c r="T392" s="5" t="str">
        <f t="shared" si="57"/>
        <v/>
      </c>
      <c r="U392" s="5" t="str">
        <f t="shared" si="58"/>
        <v/>
      </c>
      <c r="V392" s="5" t="str">
        <f t="shared" si="59"/>
        <v/>
      </c>
      <c r="W392" s="5" t="str">
        <f t="shared" si="60"/>
        <v/>
      </c>
      <c r="X392" s="5" t="str">
        <f t="shared" si="61"/>
        <v/>
      </c>
    </row>
    <row r="393" spans="1:24">
      <c r="A393" s="91"/>
      <c r="B393" s="92"/>
      <c r="C393" s="69"/>
      <c r="D393" s="69"/>
      <c r="E393" s="69"/>
      <c r="F393" s="69"/>
      <c r="G393" s="70"/>
      <c r="H393" s="71"/>
      <c r="I393" s="66"/>
      <c r="J393" s="67"/>
      <c r="K393" s="67"/>
      <c r="L393" s="67"/>
      <c r="M393" s="67"/>
      <c r="N393" s="145" t="str">
        <f t="shared" si="54"/>
        <v/>
      </c>
      <c r="O393" s="64"/>
      <c r="P393" s="64"/>
      <c r="Q393" s="152" t="str">
        <f t="shared" si="55"/>
        <v/>
      </c>
      <c r="R393" s="65" t="str">
        <f t="shared" si="62"/>
        <v/>
      </c>
      <c r="S393" s="5" t="str">
        <f t="shared" si="56"/>
        <v/>
      </c>
      <c r="T393" s="5" t="str">
        <f t="shared" si="57"/>
        <v/>
      </c>
      <c r="U393" s="5" t="str">
        <f t="shared" si="58"/>
        <v/>
      </c>
      <c r="V393" s="5" t="str">
        <f t="shared" si="59"/>
        <v/>
      </c>
      <c r="W393" s="5" t="str">
        <f t="shared" si="60"/>
        <v/>
      </c>
      <c r="X393" s="5" t="str">
        <f t="shared" si="61"/>
        <v/>
      </c>
    </row>
    <row r="394" spans="1:24">
      <c r="A394" s="91"/>
      <c r="B394" s="92"/>
      <c r="C394" s="69"/>
      <c r="D394" s="69"/>
      <c r="E394" s="69"/>
      <c r="F394" s="69"/>
      <c r="G394" s="70"/>
      <c r="H394" s="71"/>
      <c r="I394" s="66"/>
      <c r="J394" s="67"/>
      <c r="K394" s="67"/>
      <c r="L394" s="67"/>
      <c r="M394" s="67"/>
      <c r="N394" s="145" t="str">
        <f t="shared" si="54"/>
        <v/>
      </c>
      <c r="O394" s="64"/>
      <c r="P394" s="64"/>
      <c r="Q394" s="152" t="str">
        <f t="shared" si="55"/>
        <v/>
      </c>
      <c r="R394" s="65" t="str">
        <f t="shared" si="62"/>
        <v/>
      </c>
      <c r="S394" s="5" t="str">
        <f t="shared" si="56"/>
        <v/>
      </c>
      <c r="T394" s="5" t="str">
        <f t="shared" si="57"/>
        <v/>
      </c>
      <c r="U394" s="5" t="str">
        <f t="shared" si="58"/>
        <v/>
      </c>
      <c r="V394" s="5" t="str">
        <f t="shared" si="59"/>
        <v/>
      </c>
      <c r="W394" s="5" t="str">
        <f t="shared" si="60"/>
        <v/>
      </c>
      <c r="X394" s="5" t="str">
        <f t="shared" si="61"/>
        <v/>
      </c>
    </row>
    <row r="395" spans="1:24">
      <c r="A395" s="91"/>
      <c r="B395" s="92"/>
      <c r="C395" s="69"/>
      <c r="D395" s="69"/>
      <c r="E395" s="69"/>
      <c r="F395" s="69"/>
      <c r="G395" s="70"/>
      <c r="H395" s="71"/>
      <c r="I395" s="66"/>
      <c r="J395" s="67"/>
      <c r="K395" s="67"/>
      <c r="L395" s="67"/>
      <c r="M395" s="67"/>
      <c r="N395" s="145" t="str">
        <f t="shared" si="54"/>
        <v/>
      </c>
      <c r="O395" s="64"/>
      <c r="P395" s="64"/>
      <c r="Q395" s="152" t="str">
        <f t="shared" si="55"/>
        <v/>
      </c>
      <c r="R395" s="65" t="str">
        <f t="shared" si="62"/>
        <v/>
      </c>
      <c r="S395" s="5" t="str">
        <f t="shared" si="56"/>
        <v/>
      </c>
      <c r="T395" s="5" t="str">
        <f t="shared" si="57"/>
        <v/>
      </c>
      <c r="U395" s="5" t="str">
        <f t="shared" si="58"/>
        <v/>
      </c>
      <c r="V395" s="5" t="str">
        <f t="shared" si="59"/>
        <v/>
      </c>
      <c r="W395" s="5" t="str">
        <f t="shared" si="60"/>
        <v/>
      </c>
      <c r="X395" s="5" t="str">
        <f t="shared" si="61"/>
        <v/>
      </c>
    </row>
    <row r="396" spans="1:24">
      <c r="A396" s="91"/>
      <c r="B396" s="92"/>
      <c r="C396" s="69"/>
      <c r="D396" s="69"/>
      <c r="E396" s="69"/>
      <c r="F396" s="69"/>
      <c r="G396" s="70"/>
      <c r="H396" s="71"/>
      <c r="I396" s="66"/>
      <c r="J396" s="67"/>
      <c r="K396" s="67"/>
      <c r="L396" s="67"/>
      <c r="M396" s="67"/>
      <c r="N396" s="145" t="str">
        <f t="shared" si="54"/>
        <v/>
      </c>
      <c r="O396" s="64"/>
      <c r="P396" s="64"/>
      <c r="Q396" s="152" t="str">
        <f t="shared" si="55"/>
        <v/>
      </c>
      <c r="R396" s="65" t="str">
        <f t="shared" si="62"/>
        <v/>
      </c>
      <c r="S396" s="5" t="str">
        <f t="shared" si="56"/>
        <v/>
      </c>
      <c r="T396" s="5" t="str">
        <f t="shared" si="57"/>
        <v/>
      </c>
      <c r="U396" s="5" t="str">
        <f t="shared" si="58"/>
        <v/>
      </c>
      <c r="V396" s="5" t="str">
        <f t="shared" si="59"/>
        <v/>
      </c>
      <c r="W396" s="5" t="str">
        <f t="shared" si="60"/>
        <v/>
      </c>
      <c r="X396" s="5" t="str">
        <f t="shared" si="61"/>
        <v/>
      </c>
    </row>
    <row r="397" spans="1:24">
      <c r="A397" s="91"/>
      <c r="B397" s="92"/>
      <c r="C397" s="69"/>
      <c r="D397" s="69"/>
      <c r="E397" s="69"/>
      <c r="F397" s="69"/>
      <c r="G397" s="70"/>
      <c r="H397" s="71"/>
      <c r="I397" s="66"/>
      <c r="J397" s="67"/>
      <c r="K397" s="67"/>
      <c r="L397" s="67"/>
      <c r="M397" s="67"/>
      <c r="N397" s="145" t="str">
        <f t="shared" si="54"/>
        <v/>
      </c>
      <c r="O397" s="64"/>
      <c r="P397" s="64"/>
      <c r="Q397" s="152" t="str">
        <f t="shared" si="55"/>
        <v/>
      </c>
      <c r="R397" s="65" t="str">
        <f t="shared" si="62"/>
        <v/>
      </c>
      <c r="S397" s="5" t="str">
        <f t="shared" si="56"/>
        <v/>
      </c>
      <c r="T397" s="5" t="str">
        <f t="shared" si="57"/>
        <v/>
      </c>
      <c r="U397" s="5" t="str">
        <f t="shared" si="58"/>
        <v/>
      </c>
      <c r="V397" s="5" t="str">
        <f t="shared" si="59"/>
        <v/>
      </c>
      <c r="W397" s="5" t="str">
        <f t="shared" si="60"/>
        <v/>
      </c>
      <c r="X397" s="5" t="str">
        <f t="shared" si="61"/>
        <v/>
      </c>
    </row>
    <row r="398" spans="1:24">
      <c r="A398" s="91"/>
      <c r="B398" s="92"/>
      <c r="C398" s="69"/>
      <c r="D398" s="69"/>
      <c r="E398" s="69"/>
      <c r="F398" s="69"/>
      <c r="G398" s="70"/>
      <c r="H398" s="71"/>
      <c r="I398" s="66"/>
      <c r="J398" s="67"/>
      <c r="K398" s="67"/>
      <c r="L398" s="67"/>
      <c r="M398" s="67"/>
      <c r="N398" s="145" t="str">
        <f t="shared" si="54"/>
        <v/>
      </c>
      <c r="O398" s="64"/>
      <c r="P398" s="64"/>
      <c r="Q398" s="152" t="str">
        <f t="shared" si="55"/>
        <v/>
      </c>
      <c r="R398" s="65" t="str">
        <f t="shared" si="62"/>
        <v/>
      </c>
      <c r="S398" s="5" t="str">
        <f t="shared" si="56"/>
        <v/>
      </c>
      <c r="T398" s="5" t="str">
        <f t="shared" si="57"/>
        <v/>
      </c>
      <c r="U398" s="5" t="str">
        <f t="shared" si="58"/>
        <v/>
      </c>
      <c r="V398" s="5" t="str">
        <f t="shared" si="59"/>
        <v/>
      </c>
      <c r="W398" s="5" t="str">
        <f t="shared" si="60"/>
        <v/>
      </c>
      <c r="X398" s="5" t="str">
        <f t="shared" si="61"/>
        <v/>
      </c>
    </row>
    <row r="399" spans="1:24">
      <c r="A399" s="91"/>
      <c r="B399" s="92"/>
      <c r="C399" s="69"/>
      <c r="D399" s="69"/>
      <c r="E399" s="69"/>
      <c r="F399" s="69"/>
      <c r="G399" s="70"/>
      <c r="H399" s="71"/>
      <c r="I399" s="66"/>
      <c r="J399" s="67"/>
      <c r="K399" s="67"/>
      <c r="L399" s="67"/>
      <c r="M399" s="67"/>
      <c r="N399" s="145" t="str">
        <f t="shared" si="54"/>
        <v/>
      </c>
      <c r="O399" s="64"/>
      <c r="P399" s="64"/>
      <c r="Q399" s="152" t="str">
        <f t="shared" si="55"/>
        <v/>
      </c>
      <c r="R399" s="65" t="str">
        <f t="shared" si="62"/>
        <v/>
      </c>
      <c r="S399" s="5" t="str">
        <f t="shared" si="56"/>
        <v/>
      </c>
      <c r="T399" s="5" t="str">
        <f t="shared" si="57"/>
        <v/>
      </c>
      <c r="U399" s="5" t="str">
        <f t="shared" si="58"/>
        <v/>
      </c>
      <c r="V399" s="5" t="str">
        <f t="shared" si="59"/>
        <v/>
      </c>
      <c r="W399" s="5" t="str">
        <f t="shared" si="60"/>
        <v/>
      </c>
      <c r="X399" s="5" t="str">
        <f t="shared" si="61"/>
        <v/>
      </c>
    </row>
    <row r="400" spans="1:24">
      <c r="A400" s="91"/>
      <c r="B400" s="92"/>
      <c r="C400" s="69"/>
      <c r="D400" s="69"/>
      <c r="E400" s="69"/>
      <c r="F400" s="69"/>
      <c r="G400" s="70"/>
      <c r="H400" s="71"/>
      <c r="I400" s="66"/>
      <c r="J400" s="67"/>
      <c r="K400" s="67"/>
      <c r="L400" s="67"/>
      <c r="M400" s="67"/>
      <c r="N400" s="145" t="str">
        <f t="shared" si="54"/>
        <v/>
      </c>
      <c r="O400" s="64"/>
      <c r="P400" s="64"/>
      <c r="Q400" s="152" t="str">
        <f t="shared" si="55"/>
        <v/>
      </c>
      <c r="R400" s="65" t="str">
        <f t="shared" si="62"/>
        <v/>
      </c>
      <c r="S400" s="5" t="str">
        <f t="shared" si="56"/>
        <v/>
      </c>
      <c r="T400" s="5" t="str">
        <f t="shared" si="57"/>
        <v/>
      </c>
      <c r="U400" s="5" t="str">
        <f t="shared" si="58"/>
        <v/>
      </c>
      <c r="V400" s="5" t="str">
        <f t="shared" si="59"/>
        <v/>
      </c>
      <c r="W400" s="5" t="str">
        <f t="shared" si="60"/>
        <v/>
      </c>
      <c r="X400" s="5" t="str">
        <f t="shared" si="61"/>
        <v/>
      </c>
    </row>
    <row r="401" spans="1:24">
      <c r="A401" s="91"/>
      <c r="B401" s="92"/>
      <c r="C401" s="69"/>
      <c r="D401" s="69"/>
      <c r="E401" s="69"/>
      <c r="F401" s="69"/>
      <c r="G401" s="70"/>
      <c r="H401" s="71"/>
      <c r="I401" s="66"/>
      <c r="J401" s="67"/>
      <c r="K401" s="67"/>
      <c r="L401" s="67"/>
      <c r="M401" s="67"/>
      <c r="N401" s="145" t="str">
        <f t="shared" si="54"/>
        <v/>
      </c>
      <c r="O401" s="64"/>
      <c r="P401" s="64"/>
      <c r="Q401" s="152" t="str">
        <f t="shared" si="55"/>
        <v/>
      </c>
      <c r="R401" s="65" t="str">
        <f t="shared" si="62"/>
        <v/>
      </c>
      <c r="S401" s="5" t="str">
        <f t="shared" si="56"/>
        <v/>
      </c>
      <c r="T401" s="5" t="str">
        <f t="shared" si="57"/>
        <v/>
      </c>
      <c r="U401" s="5" t="str">
        <f t="shared" si="58"/>
        <v/>
      </c>
      <c r="V401" s="5" t="str">
        <f t="shared" si="59"/>
        <v/>
      </c>
      <c r="W401" s="5" t="str">
        <f t="shared" si="60"/>
        <v/>
      </c>
      <c r="X401" s="5" t="str">
        <f t="shared" si="61"/>
        <v/>
      </c>
    </row>
    <row r="402" spans="1:24">
      <c r="A402" s="91"/>
      <c r="B402" s="92"/>
      <c r="C402" s="69"/>
      <c r="D402" s="69"/>
      <c r="E402" s="69"/>
      <c r="F402" s="69"/>
      <c r="G402" s="70"/>
      <c r="H402" s="71"/>
      <c r="I402" s="66"/>
      <c r="J402" s="67"/>
      <c r="K402" s="67"/>
      <c r="L402" s="67"/>
      <c r="M402" s="67"/>
      <c r="N402" s="145" t="str">
        <f t="shared" si="54"/>
        <v/>
      </c>
      <c r="O402" s="64"/>
      <c r="P402" s="64"/>
      <c r="Q402" s="152" t="str">
        <f t="shared" si="55"/>
        <v/>
      </c>
      <c r="R402" s="65" t="str">
        <f t="shared" si="62"/>
        <v/>
      </c>
      <c r="S402" s="5" t="str">
        <f t="shared" si="56"/>
        <v/>
      </c>
      <c r="T402" s="5" t="str">
        <f t="shared" si="57"/>
        <v/>
      </c>
      <c r="U402" s="5" t="str">
        <f t="shared" si="58"/>
        <v/>
      </c>
      <c r="V402" s="5" t="str">
        <f t="shared" si="59"/>
        <v/>
      </c>
      <c r="W402" s="5" t="str">
        <f t="shared" si="60"/>
        <v/>
      </c>
      <c r="X402" s="5" t="str">
        <f t="shared" si="61"/>
        <v/>
      </c>
    </row>
    <row r="403" spans="1:24">
      <c r="A403" s="91"/>
      <c r="B403" s="92"/>
      <c r="C403" s="69"/>
      <c r="D403" s="69"/>
      <c r="E403" s="69"/>
      <c r="F403" s="69"/>
      <c r="G403" s="70"/>
      <c r="H403" s="71"/>
      <c r="I403" s="66"/>
      <c r="J403" s="67"/>
      <c r="K403" s="67"/>
      <c r="L403" s="67"/>
      <c r="M403" s="67"/>
      <c r="N403" s="145" t="str">
        <f t="shared" si="54"/>
        <v/>
      </c>
      <c r="O403" s="64"/>
      <c r="P403" s="64"/>
      <c r="Q403" s="152" t="str">
        <f t="shared" si="55"/>
        <v/>
      </c>
      <c r="R403" s="65" t="str">
        <f t="shared" si="62"/>
        <v/>
      </c>
      <c r="S403" s="5" t="str">
        <f t="shared" si="56"/>
        <v/>
      </c>
      <c r="T403" s="5" t="str">
        <f t="shared" si="57"/>
        <v/>
      </c>
      <c r="U403" s="5" t="str">
        <f t="shared" si="58"/>
        <v/>
      </c>
      <c r="V403" s="5" t="str">
        <f t="shared" si="59"/>
        <v/>
      </c>
      <c r="W403" s="5" t="str">
        <f t="shared" si="60"/>
        <v/>
      </c>
      <c r="X403" s="5" t="str">
        <f t="shared" si="61"/>
        <v/>
      </c>
    </row>
    <row r="404" spans="1:24">
      <c r="A404" s="91"/>
      <c r="B404" s="92"/>
      <c r="C404" s="69"/>
      <c r="D404" s="69"/>
      <c r="E404" s="69"/>
      <c r="F404" s="69"/>
      <c r="G404" s="70"/>
      <c r="H404" s="71"/>
      <c r="I404" s="66"/>
      <c r="J404" s="67"/>
      <c r="K404" s="67"/>
      <c r="L404" s="67"/>
      <c r="M404" s="67"/>
      <c r="N404" s="145" t="str">
        <f t="shared" si="54"/>
        <v/>
      </c>
      <c r="O404" s="64"/>
      <c r="P404" s="64"/>
      <c r="Q404" s="152" t="str">
        <f t="shared" si="55"/>
        <v/>
      </c>
      <c r="R404" s="65" t="str">
        <f t="shared" si="62"/>
        <v/>
      </c>
      <c r="S404" s="5" t="str">
        <f t="shared" si="56"/>
        <v/>
      </c>
      <c r="T404" s="5" t="str">
        <f t="shared" si="57"/>
        <v/>
      </c>
      <c r="U404" s="5" t="str">
        <f t="shared" si="58"/>
        <v/>
      </c>
      <c r="V404" s="5" t="str">
        <f t="shared" si="59"/>
        <v/>
      </c>
      <c r="W404" s="5" t="str">
        <f t="shared" si="60"/>
        <v/>
      </c>
      <c r="X404" s="5" t="str">
        <f t="shared" si="61"/>
        <v/>
      </c>
    </row>
    <row r="405" spans="1:24">
      <c r="A405" s="91"/>
      <c r="B405" s="92"/>
      <c r="C405" s="69"/>
      <c r="D405" s="69"/>
      <c r="E405" s="69"/>
      <c r="F405" s="69"/>
      <c r="G405" s="70"/>
      <c r="H405" s="71"/>
      <c r="I405" s="66"/>
      <c r="J405" s="67"/>
      <c r="K405" s="67"/>
      <c r="L405" s="67"/>
      <c r="M405" s="67"/>
      <c r="N405" s="145" t="str">
        <f t="shared" si="54"/>
        <v/>
      </c>
      <c r="O405" s="64"/>
      <c r="P405" s="64"/>
      <c r="Q405" s="152" t="str">
        <f t="shared" si="55"/>
        <v/>
      </c>
      <c r="R405" s="65" t="str">
        <f t="shared" si="62"/>
        <v/>
      </c>
      <c r="S405" s="5" t="str">
        <f t="shared" si="56"/>
        <v/>
      </c>
      <c r="T405" s="5" t="str">
        <f t="shared" si="57"/>
        <v/>
      </c>
      <c r="U405" s="5" t="str">
        <f t="shared" si="58"/>
        <v/>
      </c>
      <c r="V405" s="5" t="str">
        <f t="shared" si="59"/>
        <v/>
      </c>
      <c r="W405" s="5" t="str">
        <f t="shared" si="60"/>
        <v/>
      </c>
      <c r="X405" s="5" t="str">
        <f t="shared" si="61"/>
        <v/>
      </c>
    </row>
    <row r="406" spans="1:24">
      <c r="A406" s="91"/>
      <c r="B406" s="92"/>
      <c r="C406" s="69"/>
      <c r="D406" s="69"/>
      <c r="E406" s="69"/>
      <c r="F406" s="69"/>
      <c r="G406" s="70"/>
      <c r="H406" s="71"/>
      <c r="I406" s="66"/>
      <c r="J406" s="67"/>
      <c r="K406" s="67"/>
      <c r="L406" s="67"/>
      <c r="M406" s="67"/>
      <c r="N406" s="145" t="str">
        <f t="shared" si="54"/>
        <v/>
      </c>
      <c r="O406" s="64"/>
      <c r="P406" s="64"/>
      <c r="Q406" s="152" t="str">
        <f t="shared" si="55"/>
        <v/>
      </c>
      <c r="R406" s="65" t="str">
        <f t="shared" si="62"/>
        <v/>
      </c>
      <c r="S406" s="5" t="str">
        <f t="shared" si="56"/>
        <v/>
      </c>
      <c r="T406" s="5" t="str">
        <f t="shared" si="57"/>
        <v/>
      </c>
      <c r="U406" s="5" t="str">
        <f t="shared" si="58"/>
        <v/>
      </c>
      <c r="V406" s="5" t="str">
        <f t="shared" si="59"/>
        <v/>
      </c>
      <c r="W406" s="5" t="str">
        <f t="shared" si="60"/>
        <v/>
      </c>
      <c r="X406" s="5" t="str">
        <f t="shared" si="61"/>
        <v/>
      </c>
    </row>
    <row r="407" spans="1:24">
      <c r="A407" s="91"/>
      <c r="B407" s="92"/>
      <c r="C407" s="69"/>
      <c r="D407" s="69"/>
      <c r="E407" s="69"/>
      <c r="F407" s="69"/>
      <c r="G407" s="70"/>
      <c r="H407" s="71"/>
      <c r="I407" s="66"/>
      <c r="J407" s="67"/>
      <c r="K407" s="67"/>
      <c r="L407" s="67"/>
      <c r="M407" s="67"/>
      <c r="N407" s="145" t="str">
        <f t="shared" si="54"/>
        <v/>
      </c>
      <c r="O407" s="64"/>
      <c r="P407" s="64"/>
      <c r="Q407" s="152" t="str">
        <f t="shared" si="55"/>
        <v/>
      </c>
      <c r="R407" s="65" t="str">
        <f t="shared" si="62"/>
        <v/>
      </c>
      <c r="S407" s="5" t="str">
        <f t="shared" si="56"/>
        <v/>
      </c>
      <c r="T407" s="5" t="str">
        <f t="shared" si="57"/>
        <v/>
      </c>
      <c r="U407" s="5" t="str">
        <f t="shared" si="58"/>
        <v/>
      </c>
      <c r="V407" s="5" t="str">
        <f t="shared" si="59"/>
        <v/>
      </c>
      <c r="W407" s="5" t="str">
        <f t="shared" si="60"/>
        <v/>
      </c>
      <c r="X407" s="5" t="str">
        <f t="shared" si="61"/>
        <v/>
      </c>
    </row>
    <row r="408" spans="1:24">
      <c r="A408" s="91"/>
      <c r="B408" s="92"/>
      <c r="C408" s="69"/>
      <c r="D408" s="69"/>
      <c r="E408" s="69"/>
      <c r="F408" s="69"/>
      <c r="G408" s="70"/>
      <c r="H408" s="71"/>
      <c r="I408" s="66"/>
      <c r="J408" s="67"/>
      <c r="K408" s="67"/>
      <c r="L408" s="67"/>
      <c r="M408" s="67"/>
      <c r="N408" s="145" t="str">
        <f t="shared" si="54"/>
        <v/>
      </c>
      <c r="O408" s="64"/>
      <c r="P408" s="64"/>
      <c r="Q408" s="152" t="str">
        <f t="shared" si="55"/>
        <v/>
      </c>
      <c r="R408" s="65" t="str">
        <f t="shared" si="62"/>
        <v/>
      </c>
      <c r="S408" s="5" t="str">
        <f t="shared" si="56"/>
        <v/>
      </c>
      <c r="T408" s="5" t="str">
        <f t="shared" si="57"/>
        <v/>
      </c>
      <c r="U408" s="5" t="str">
        <f t="shared" si="58"/>
        <v/>
      </c>
      <c r="V408" s="5" t="str">
        <f t="shared" si="59"/>
        <v/>
      </c>
      <c r="W408" s="5" t="str">
        <f t="shared" si="60"/>
        <v/>
      </c>
      <c r="X408" s="5" t="str">
        <f t="shared" si="61"/>
        <v/>
      </c>
    </row>
    <row r="409" spans="1:24">
      <c r="A409" s="91"/>
      <c r="B409" s="92"/>
      <c r="C409" s="69"/>
      <c r="D409" s="69"/>
      <c r="E409" s="69"/>
      <c r="F409" s="69"/>
      <c r="G409" s="70"/>
      <c r="H409" s="71"/>
      <c r="I409" s="66"/>
      <c r="J409" s="67"/>
      <c r="K409" s="67"/>
      <c r="L409" s="67"/>
      <c r="M409" s="67"/>
      <c r="N409" s="145" t="str">
        <f t="shared" si="54"/>
        <v/>
      </c>
      <c r="O409" s="64"/>
      <c r="P409" s="64"/>
      <c r="Q409" s="152" t="str">
        <f t="shared" si="55"/>
        <v/>
      </c>
      <c r="R409" s="65" t="str">
        <f t="shared" si="62"/>
        <v/>
      </c>
      <c r="S409" s="5" t="str">
        <f t="shared" si="56"/>
        <v/>
      </c>
      <c r="T409" s="5" t="str">
        <f t="shared" si="57"/>
        <v/>
      </c>
      <c r="U409" s="5" t="str">
        <f t="shared" si="58"/>
        <v/>
      </c>
      <c r="V409" s="5" t="str">
        <f t="shared" si="59"/>
        <v/>
      </c>
      <c r="W409" s="5" t="str">
        <f t="shared" si="60"/>
        <v/>
      </c>
      <c r="X409" s="5" t="str">
        <f t="shared" si="61"/>
        <v/>
      </c>
    </row>
    <row r="410" spans="1:24">
      <c r="A410" s="91"/>
      <c r="B410" s="92"/>
      <c r="C410" s="69"/>
      <c r="D410" s="69"/>
      <c r="E410" s="69"/>
      <c r="F410" s="69"/>
      <c r="G410" s="70"/>
      <c r="H410" s="71"/>
      <c r="I410" s="66"/>
      <c r="J410" s="67"/>
      <c r="K410" s="67"/>
      <c r="L410" s="67"/>
      <c r="M410" s="67"/>
      <c r="N410" s="145" t="str">
        <f t="shared" si="54"/>
        <v/>
      </c>
      <c r="O410" s="64"/>
      <c r="P410" s="64"/>
      <c r="Q410" s="152" t="str">
        <f t="shared" si="55"/>
        <v/>
      </c>
      <c r="R410" s="65" t="str">
        <f t="shared" si="62"/>
        <v/>
      </c>
      <c r="S410" s="5" t="str">
        <f t="shared" si="56"/>
        <v/>
      </c>
      <c r="T410" s="5" t="str">
        <f t="shared" si="57"/>
        <v/>
      </c>
      <c r="U410" s="5" t="str">
        <f t="shared" si="58"/>
        <v/>
      </c>
      <c r="V410" s="5" t="str">
        <f t="shared" si="59"/>
        <v/>
      </c>
      <c r="W410" s="5" t="str">
        <f t="shared" si="60"/>
        <v/>
      </c>
      <c r="X410" s="5" t="str">
        <f t="shared" si="61"/>
        <v/>
      </c>
    </row>
    <row r="411" spans="1:24">
      <c r="A411" s="91"/>
      <c r="B411" s="92"/>
      <c r="C411" s="69"/>
      <c r="D411" s="69"/>
      <c r="E411" s="69"/>
      <c r="F411" s="69"/>
      <c r="G411" s="70"/>
      <c r="H411" s="71"/>
      <c r="I411" s="66"/>
      <c r="J411" s="67"/>
      <c r="K411" s="67"/>
      <c r="L411" s="67"/>
      <c r="M411" s="67"/>
      <c r="N411" s="145" t="str">
        <f t="shared" si="54"/>
        <v/>
      </c>
      <c r="O411" s="64"/>
      <c r="P411" s="64"/>
      <c r="Q411" s="152" t="str">
        <f t="shared" si="55"/>
        <v/>
      </c>
      <c r="R411" s="65" t="str">
        <f t="shared" si="62"/>
        <v/>
      </c>
      <c r="S411" s="5" t="str">
        <f t="shared" si="56"/>
        <v/>
      </c>
      <c r="T411" s="5" t="str">
        <f t="shared" si="57"/>
        <v/>
      </c>
      <c r="U411" s="5" t="str">
        <f t="shared" si="58"/>
        <v/>
      </c>
      <c r="V411" s="5" t="str">
        <f t="shared" si="59"/>
        <v/>
      </c>
      <c r="W411" s="5" t="str">
        <f t="shared" si="60"/>
        <v/>
      </c>
      <c r="X411" s="5" t="str">
        <f t="shared" si="61"/>
        <v/>
      </c>
    </row>
    <row r="412" spans="1:24">
      <c r="A412" s="91"/>
      <c r="B412" s="92"/>
      <c r="C412" s="69"/>
      <c r="D412" s="69"/>
      <c r="E412" s="69"/>
      <c r="F412" s="69"/>
      <c r="G412" s="70"/>
      <c r="H412" s="71"/>
      <c r="I412" s="66"/>
      <c r="J412" s="67"/>
      <c r="K412" s="67"/>
      <c r="L412" s="67"/>
      <c r="M412" s="67"/>
      <c r="N412" s="145" t="str">
        <f t="shared" si="54"/>
        <v/>
      </c>
      <c r="O412" s="64"/>
      <c r="P412" s="64"/>
      <c r="Q412" s="152" t="str">
        <f t="shared" si="55"/>
        <v/>
      </c>
      <c r="R412" s="65" t="str">
        <f t="shared" si="62"/>
        <v/>
      </c>
      <c r="S412" s="5" t="str">
        <f t="shared" si="56"/>
        <v/>
      </c>
      <c r="T412" s="5" t="str">
        <f t="shared" si="57"/>
        <v/>
      </c>
      <c r="U412" s="5" t="str">
        <f t="shared" si="58"/>
        <v/>
      </c>
      <c r="V412" s="5" t="str">
        <f t="shared" si="59"/>
        <v/>
      </c>
      <c r="W412" s="5" t="str">
        <f t="shared" si="60"/>
        <v/>
      </c>
      <c r="X412" s="5" t="str">
        <f t="shared" si="61"/>
        <v/>
      </c>
    </row>
    <row r="413" spans="1:24">
      <c r="A413" s="91"/>
      <c r="B413" s="92"/>
      <c r="C413" s="69"/>
      <c r="D413" s="69"/>
      <c r="E413" s="69"/>
      <c r="F413" s="69"/>
      <c r="G413" s="70"/>
      <c r="H413" s="71"/>
      <c r="I413" s="66"/>
      <c r="J413" s="67"/>
      <c r="K413" s="67"/>
      <c r="L413" s="67"/>
      <c r="M413" s="67"/>
      <c r="N413" s="145" t="str">
        <f t="shared" si="54"/>
        <v/>
      </c>
      <c r="O413" s="64"/>
      <c r="P413" s="64"/>
      <c r="Q413" s="152" t="str">
        <f t="shared" si="55"/>
        <v/>
      </c>
      <c r="R413" s="65" t="str">
        <f t="shared" si="62"/>
        <v/>
      </c>
      <c r="S413" s="5" t="str">
        <f t="shared" si="56"/>
        <v/>
      </c>
      <c r="T413" s="5" t="str">
        <f t="shared" si="57"/>
        <v/>
      </c>
      <c r="U413" s="5" t="str">
        <f t="shared" si="58"/>
        <v/>
      </c>
      <c r="V413" s="5" t="str">
        <f t="shared" si="59"/>
        <v/>
      </c>
      <c r="W413" s="5" t="str">
        <f t="shared" si="60"/>
        <v/>
      </c>
      <c r="X413" s="5" t="str">
        <f t="shared" si="61"/>
        <v/>
      </c>
    </row>
    <row r="414" spans="1:24">
      <c r="A414" s="91"/>
      <c r="B414" s="92"/>
      <c r="C414" s="69"/>
      <c r="D414" s="69"/>
      <c r="E414" s="69"/>
      <c r="F414" s="69"/>
      <c r="G414" s="70"/>
      <c r="H414" s="71"/>
      <c r="I414" s="66"/>
      <c r="J414" s="67"/>
      <c r="K414" s="67"/>
      <c r="L414" s="67"/>
      <c r="M414" s="67"/>
      <c r="N414" s="145" t="str">
        <f t="shared" si="54"/>
        <v/>
      </c>
      <c r="O414" s="64"/>
      <c r="P414" s="64"/>
      <c r="Q414" s="152" t="str">
        <f t="shared" si="55"/>
        <v/>
      </c>
      <c r="R414" s="65" t="str">
        <f t="shared" si="62"/>
        <v/>
      </c>
      <c r="S414" s="5" t="str">
        <f t="shared" si="56"/>
        <v/>
      </c>
      <c r="T414" s="5" t="str">
        <f t="shared" si="57"/>
        <v/>
      </c>
      <c r="U414" s="5" t="str">
        <f t="shared" si="58"/>
        <v/>
      </c>
      <c r="V414" s="5" t="str">
        <f t="shared" si="59"/>
        <v/>
      </c>
      <c r="W414" s="5" t="str">
        <f t="shared" si="60"/>
        <v/>
      </c>
      <c r="X414" s="5" t="str">
        <f t="shared" si="61"/>
        <v/>
      </c>
    </row>
    <row r="415" spans="1:24">
      <c r="A415" s="91"/>
      <c r="B415" s="92"/>
      <c r="C415" s="69"/>
      <c r="D415" s="69"/>
      <c r="E415" s="69"/>
      <c r="F415" s="69"/>
      <c r="G415" s="70"/>
      <c r="H415" s="71"/>
      <c r="I415" s="66"/>
      <c r="J415" s="67"/>
      <c r="K415" s="67"/>
      <c r="L415" s="67"/>
      <c r="M415" s="67"/>
      <c r="N415" s="145" t="str">
        <f t="shared" si="54"/>
        <v/>
      </c>
      <c r="O415" s="64"/>
      <c r="P415" s="64"/>
      <c r="Q415" s="152" t="str">
        <f t="shared" si="55"/>
        <v/>
      </c>
      <c r="R415" s="65" t="str">
        <f t="shared" si="62"/>
        <v/>
      </c>
      <c r="S415" s="5" t="str">
        <f t="shared" si="56"/>
        <v/>
      </c>
      <c r="T415" s="5" t="str">
        <f t="shared" si="57"/>
        <v/>
      </c>
      <c r="U415" s="5" t="str">
        <f t="shared" si="58"/>
        <v/>
      </c>
      <c r="V415" s="5" t="str">
        <f t="shared" si="59"/>
        <v/>
      </c>
      <c r="W415" s="5" t="str">
        <f t="shared" si="60"/>
        <v/>
      </c>
      <c r="X415" s="5" t="str">
        <f t="shared" si="61"/>
        <v/>
      </c>
    </row>
    <row r="416" spans="1:24">
      <c r="A416" s="91"/>
      <c r="B416" s="92"/>
      <c r="C416" s="69"/>
      <c r="D416" s="69"/>
      <c r="E416" s="69"/>
      <c r="F416" s="69"/>
      <c r="G416" s="70"/>
      <c r="H416" s="71"/>
      <c r="I416" s="66"/>
      <c r="J416" s="67"/>
      <c r="K416" s="67"/>
      <c r="L416" s="67"/>
      <c r="M416" s="67"/>
      <c r="N416" s="145" t="str">
        <f t="shared" si="54"/>
        <v/>
      </c>
      <c r="O416" s="64"/>
      <c r="P416" s="64"/>
      <c r="Q416" s="152" t="str">
        <f t="shared" si="55"/>
        <v/>
      </c>
      <c r="R416" s="65" t="str">
        <f t="shared" si="62"/>
        <v/>
      </c>
      <c r="S416" s="5" t="str">
        <f t="shared" si="56"/>
        <v/>
      </c>
      <c r="T416" s="5" t="str">
        <f t="shared" si="57"/>
        <v/>
      </c>
      <c r="U416" s="5" t="str">
        <f t="shared" si="58"/>
        <v/>
      </c>
      <c r="V416" s="5" t="str">
        <f t="shared" si="59"/>
        <v/>
      </c>
      <c r="W416" s="5" t="str">
        <f t="shared" si="60"/>
        <v/>
      </c>
      <c r="X416" s="5" t="str">
        <f t="shared" si="61"/>
        <v/>
      </c>
    </row>
    <row r="417" spans="1:24">
      <c r="A417" s="91"/>
      <c r="B417" s="92"/>
      <c r="C417" s="69"/>
      <c r="D417" s="69"/>
      <c r="E417" s="69"/>
      <c r="F417" s="69"/>
      <c r="G417" s="70"/>
      <c r="H417" s="71"/>
      <c r="I417" s="66"/>
      <c r="J417" s="67"/>
      <c r="K417" s="67"/>
      <c r="L417" s="67"/>
      <c r="M417" s="67"/>
      <c r="N417" s="145" t="str">
        <f t="shared" si="54"/>
        <v/>
      </c>
      <c r="O417" s="64"/>
      <c r="P417" s="64"/>
      <c r="Q417" s="152" t="str">
        <f t="shared" si="55"/>
        <v/>
      </c>
      <c r="R417" s="65" t="str">
        <f t="shared" si="62"/>
        <v/>
      </c>
      <c r="S417" s="5" t="str">
        <f t="shared" si="56"/>
        <v/>
      </c>
      <c r="T417" s="5" t="str">
        <f t="shared" si="57"/>
        <v/>
      </c>
      <c r="U417" s="5" t="str">
        <f t="shared" si="58"/>
        <v/>
      </c>
      <c r="V417" s="5" t="str">
        <f t="shared" si="59"/>
        <v/>
      </c>
      <c r="W417" s="5" t="str">
        <f t="shared" si="60"/>
        <v/>
      </c>
      <c r="X417" s="5" t="str">
        <f t="shared" si="61"/>
        <v/>
      </c>
    </row>
    <row r="418" spans="1:24">
      <c r="A418" s="91"/>
      <c r="B418" s="92"/>
      <c r="C418" s="69"/>
      <c r="D418" s="69"/>
      <c r="E418" s="69"/>
      <c r="F418" s="69"/>
      <c r="G418" s="70"/>
      <c r="H418" s="71"/>
      <c r="I418" s="66"/>
      <c r="J418" s="67"/>
      <c r="K418" s="67"/>
      <c r="L418" s="67"/>
      <c r="M418" s="67"/>
      <c r="N418" s="145" t="str">
        <f t="shared" si="54"/>
        <v/>
      </c>
      <c r="O418" s="64"/>
      <c r="P418" s="64"/>
      <c r="Q418" s="152" t="str">
        <f t="shared" si="55"/>
        <v/>
      </c>
      <c r="R418" s="65" t="str">
        <f t="shared" si="62"/>
        <v/>
      </c>
      <c r="S418" s="5" t="str">
        <f t="shared" si="56"/>
        <v/>
      </c>
      <c r="T418" s="5" t="str">
        <f t="shared" si="57"/>
        <v/>
      </c>
      <c r="U418" s="5" t="str">
        <f t="shared" si="58"/>
        <v/>
      </c>
      <c r="V418" s="5" t="str">
        <f t="shared" si="59"/>
        <v/>
      </c>
      <c r="W418" s="5" t="str">
        <f t="shared" si="60"/>
        <v/>
      </c>
      <c r="X418" s="5" t="str">
        <f t="shared" si="61"/>
        <v/>
      </c>
    </row>
    <row r="419" spans="1:24">
      <c r="A419" s="91"/>
      <c r="B419" s="92"/>
      <c r="C419" s="69"/>
      <c r="D419" s="69"/>
      <c r="E419" s="69"/>
      <c r="F419" s="69"/>
      <c r="G419" s="70"/>
      <c r="H419" s="71"/>
      <c r="I419" s="66"/>
      <c r="J419" s="67"/>
      <c r="K419" s="67"/>
      <c r="L419" s="67"/>
      <c r="M419" s="67"/>
      <c r="N419" s="145" t="str">
        <f t="shared" si="54"/>
        <v/>
      </c>
      <c r="O419" s="64"/>
      <c r="P419" s="64"/>
      <c r="Q419" s="152" t="str">
        <f t="shared" si="55"/>
        <v/>
      </c>
      <c r="R419" s="65" t="str">
        <f t="shared" si="62"/>
        <v/>
      </c>
      <c r="S419" s="5" t="str">
        <f t="shared" si="56"/>
        <v/>
      </c>
      <c r="T419" s="5" t="str">
        <f t="shared" si="57"/>
        <v/>
      </c>
      <c r="U419" s="5" t="str">
        <f t="shared" si="58"/>
        <v/>
      </c>
      <c r="V419" s="5" t="str">
        <f t="shared" si="59"/>
        <v/>
      </c>
      <c r="W419" s="5" t="str">
        <f t="shared" si="60"/>
        <v/>
      </c>
      <c r="X419" s="5" t="str">
        <f t="shared" si="61"/>
        <v/>
      </c>
    </row>
    <row r="420" spans="1:24">
      <c r="A420" s="91"/>
      <c r="B420" s="92"/>
      <c r="C420" s="69"/>
      <c r="D420" s="69"/>
      <c r="E420" s="69"/>
      <c r="F420" s="69"/>
      <c r="G420" s="70"/>
      <c r="H420" s="71"/>
      <c r="I420" s="66"/>
      <c r="J420" s="67"/>
      <c r="K420" s="67"/>
      <c r="L420" s="67"/>
      <c r="M420" s="67"/>
      <c r="N420" s="145" t="str">
        <f t="shared" si="54"/>
        <v/>
      </c>
      <c r="O420" s="64"/>
      <c r="P420" s="64"/>
      <c r="Q420" s="152" t="str">
        <f t="shared" si="55"/>
        <v/>
      </c>
      <c r="R420" s="65" t="str">
        <f t="shared" si="62"/>
        <v/>
      </c>
      <c r="S420" s="5" t="str">
        <f t="shared" si="56"/>
        <v/>
      </c>
      <c r="T420" s="5" t="str">
        <f t="shared" si="57"/>
        <v/>
      </c>
      <c r="U420" s="5" t="str">
        <f t="shared" si="58"/>
        <v/>
      </c>
      <c r="V420" s="5" t="str">
        <f t="shared" si="59"/>
        <v/>
      </c>
      <c r="W420" s="5" t="str">
        <f t="shared" si="60"/>
        <v/>
      </c>
      <c r="X420" s="5" t="str">
        <f t="shared" si="61"/>
        <v/>
      </c>
    </row>
    <row r="421" spans="1:24">
      <c r="A421" s="91"/>
      <c r="B421" s="92"/>
      <c r="C421" s="69"/>
      <c r="D421" s="69"/>
      <c r="E421" s="69"/>
      <c r="F421" s="69"/>
      <c r="G421" s="70"/>
      <c r="H421" s="71"/>
      <c r="I421" s="66"/>
      <c r="J421" s="67"/>
      <c r="K421" s="67"/>
      <c r="L421" s="67"/>
      <c r="M421" s="67"/>
      <c r="N421" s="145" t="str">
        <f t="shared" si="54"/>
        <v/>
      </c>
      <c r="O421" s="64"/>
      <c r="P421" s="64"/>
      <c r="Q421" s="152" t="str">
        <f t="shared" si="55"/>
        <v/>
      </c>
      <c r="R421" s="65" t="str">
        <f t="shared" si="62"/>
        <v/>
      </c>
      <c r="S421" s="5" t="str">
        <f t="shared" si="56"/>
        <v/>
      </c>
      <c r="T421" s="5" t="str">
        <f t="shared" si="57"/>
        <v/>
      </c>
      <c r="U421" s="5" t="str">
        <f t="shared" si="58"/>
        <v/>
      </c>
      <c r="V421" s="5" t="str">
        <f t="shared" si="59"/>
        <v/>
      </c>
      <c r="W421" s="5" t="str">
        <f t="shared" si="60"/>
        <v/>
      </c>
      <c r="X421" s="5" t="str">
        <f t="shared" si="61"/>
        <v/>
      </c>
    </row>
    <row r="422" spans="1:24">
      <c r="A422" s="91"/>
      <c r="B422" s="92"/>
      <c r="C422" s="69"/>
      <c r="D422" s="69"/>
      <c r="E422" s="69"/>
      <c r="F422" s="69"/>
      <c r="G422" s="70"/>
      <c r="H422" s="71"/>
      <c r="I422" s="66"/>
      <c r="J422" s="67"/>
      <c r="K422" s="67"/>
      <c r="L422" s="67"/>
      <c r="M422" s="67"/>
      <c r="N422" s="145" t="str">
        <f t="shared" si="54"/>
        <v/>
      </c>
      <c r="O422" s="64"/>
      <c r="P422" s="64"/>
      <c r="Q422" s="152" t="str">
        <f t="shared" si="55"/>
        <v/>
      </c>
      <c r="R422" s="65" t="str">
        <f t="shared" si="62"/>
        <v/>
      </c>
      <c r="S422" s="5" t="str">
        <f t="shared" si="56"/>
        <v/>
      </c>
      <c r="T422" s="5" t="str">
        <f t="shared" si="57"/>
        <v/>
      </c>
      <c r="U422" s="5" t="str">
        <f t="shared" si="58"/>
        <v/>
      </c>
      <c r="V422" s="5" t="str">
        <f t="shared" si="59"/>
        <v/>
      </c>
      <c r="W422" s="5" t="str">
        <f t="shared" si="60"/>
        <v/>
      </c>
      <c r="X422" s="5" t="str">
        <f t="shared" si="61"/>
        <v/>
      </c>
    </row>
    <row r="423" spans="1:24">
      <c r="A423" s="91"/>
      <c r="B423" s="92"/>
      <c r="C423" s="69"/>
      <c r="D423" s="69"/>
      <c r="E423" s="69"/>
      <c r="F423" s="69"/>
      <c r="G423" s="70"/>
      <c r="H423" s="71"/>
      <c r="I423" s="66"/>
      <c r="J423" s="67"/>
      <c r="K423" s="67"/>
      <c r="L423" s="67"/>
      <c r="M423" s="67"/>
      <c r="N423" s="145" t="str">
        <f t="shared" si="54"/>
        <v/>
      </c>
      <c r="O423" s="64"/>
      <c r="P423" s="64"/>
      <c r="Q423" s="152" t="str">
        <f t="shared" si="55"/>
        <v/>
      </c>
      <c r="R423" s="65" t="str">
        <f t="shared" si="62"/>
        <v/>
      </c>
      <c r="S423" s="5" t="str">
        <f t="shared" si="56"/>
        <v/>
      </c>
      <c r="T423" s="5" t="str">
        <f t="shared" si="57"/>
        <v/>
      </c>
      <c r="U423" s="5" t="str">
        <f t="shared" si="58"/>
        <v/>
      </c>
      <c r="V423" s="5" t="str">
        <f t="shared" si="59"/>
        <v/>
      </c>
      <c r="W423" s="5" t="str">
        <f t="shared" si="60"/>
        <v/>
      </c>
      <c r="X423" s="5" t="str">
        <f t="shared" si="61"/>
        <v/>
      </c>
    </row>
    <row r="424" spans="1:24">
      <c r="A424" s="91"/>
      <c r="B424" s="92"/>
      <c r="C424" s="69"/>
      <c r="D424" s="69"/>
      <c r="E424" s="69"/>
      <c r="F424" s="69"/>
      <c r="G424" s="70"/>
      <c r="H424" s="71"/>
      <c r="I424" s="66"/>
      <c r="J424" s="67"/>
      <c r="K424" s="67"/>
      <c r="L424" s="67"/>
      <c r="M424" s="67"/>
      <c r="N424" s="145" t="str">
        <f t="shared" si="54"/>
        <v/>
      </c>
      <c r="O424" s="64"/>
      <c r="P424" s="64"/>
      <c r="Q424" s="152" t="str">
        <f t="shared" si="55"/>
        <v/>
      </c>
      <c r="R424" s="65" t="str">
        <f t="shared" si="62"/>
        <v/>
      </c>
      <c r="S424" s="5" t="str">
        <f t="shared" si="56"/>
        <v/>
      </c>
      <c r="T424" s="5" t="str">
        <f t="shared" si="57"/>
        <v/>
      </c>
      <c r="U424" s="5" t="str">
        <f t="shared" si="58"/>
        <v/>
      </c>
      <c r="V424" s="5" t="str">
        <f t="shared" si="59"/>
        <v/>
      </c>
      <c r="W424" s="5" t="str">
        <f t="shared" si="60"/>
        <v/>
      </c>
      <c r="X424" s="5" t="str">
        <f t="shared" si="61"/>
        <v/>
      </c>
    </row>
    <row r="425" spans="1:24">
      <c r="A425" s="91"/>
      <c r="B425" s="92"/>
      <c r="C425" s="69"/>
      <c r="D425" s="69"/>
      <c r="E425" s="69"/>
      <c r="F425" s="69"/>
      <c r="G425" s="70"/>
      <c r="H425" s="71"/>
      <c r="I425" s="66"/>
      <c r="J425" s="67"/>
      <c r="K425" s="67"/>
      <c r="L425" s="67"/>
      <c r="M425" s="67"/>
      <c r="N425" s="145" t="str">
        <f t="shared" si="54"/>
        <v/>
      </c>
      <c r="O425" s="64"/>
      <c r="P425" s="64"/>
      <c r="Q425" s="152" t="str">
        <f t="shared" si="55"/>
        <v/>
      </c>
      <c r="R425" s="65" t="str">
        <f t="shared" si="62"/>
        <v/>
      </c>
      <c r="S425" s="5" t="str">
        <f t="shared" si="56"/>
        <v/>
      </c>
      <c r="T425" s="5" t="str">
        <f t="shared" si="57"/>
        <v/>
      </c>
      <c r="U425" s="5" t="str">
        <f t="shared" si="58"/>
        <v/>
      </c>
      <c r="V425" s="5" t="str">
        <f t="shared" si="59"/>
        <v/>
      </c>
      <c r="W425" s="5" t="str">
        <f t="shared" si="60"/>
        <v/>
      </c>
      <c r="X425" s="5" t="str">
        <f t="shared" si="61"/>
        <v/>
      </c>
    </row>
    <row r="426" spans="1:24">
      <c r="A426" s="91"/>
      <c r="B426" s="92"/>
      <c r="C426" s="69"/>
      <c r="D426" s="69"/>
      <c r="E426" s="69"/>
      <c r="F426" s="69"/>
      <c r="G426" s="70"/>
      <c r="H426" s="71"/>
      <c r="I426" s="66"/>
      <c r="J426" s="67"/>
      <c r="K426" s="67"/>
      <c r="L426" s="67"/>
      <c r="M426" s="67"/>
      <c r="N426" s="145" t="str">
        <f t="shared" si="54"/>
        <v/>
      </c>
      <c r="O426" s="64"/>
      <c r="P426" s="64"/>
      <c r="Q426" s="152" t="str">
        <f t="shared" si="55"/>
        <v/>
      </c>
      <c r="R426" s="65" t="str">
        <f t="shared" si="62"/>
        <v/>
      </c>
      <c r="S426" s="5" t="str">
        <f t="shared" si="56"/>
        <v/>
      </c>
      <c r="T426" s="5" t="str">
        <f t="shared" si="57"/>
        <v/>
      </c>
      <c r="U426" s="5" t="str">
        <f t="shared" si="58"/>
        <v/>
      </c>
      <c r="V426" s="5" t="str">
        <f t="shared" si="59"/>
        <v/>
      </c>
      <c r="W426" s="5" t="str">
        <f t="shared" si="60"/>
        <v/>
      </c>
      <c r="X426" s="5" t="str">
        <f t="shared" si="61"/>
        <v/>
      </c>
    </row>
    <row r="427" spans="1:24">
      <c r="A427" s="91"/>
      <c r="B427" s="92"/>
      <c r="C427" s="69"/>
      <c r="D427" s="69"/>
      <c r="E427" s="69"/>
      <c r="F427" s="69"/>
      <c r="G427" s="70"/>
      <c r="H427" s="71"/>
      <c r="I427" s="66"/>
      <c r="J427" s="67"/>
      <c r="K427" s="67"/>
      <c r="L427" s="67"/>
      <c r="M427" s="67"/>
      <c r="N427" s="145" t="str">
        <f t="shared" si="54"/>
        <v/>
      </c>
      <c r="O427" s="64"/>
      <c r="P427" s="64"/>
      <c r="Q427" s="152" t="str">
        <f t="shared" si="55"/>
        <v/>
      </c>
      <c r="R427" s="65" t="str">
        <f t="shared" si="62"/>
        <v/>
      </c>
      <c r="S427" s="5" t="str">
        <f t="shared" si="56"/>
        <v/>
      </c>
      <c r="T427" s="5" t="str">
        <f t="shared" si="57"/>
        <v/>
      </c>
      <c r="U427" s="5" t="str">
        <f t="shared" si="58"/>
        <v/>
      </c>
      <c r="V427" s="5" t="str">
        <f t="shared" si="59"/>
        <v/>
      </c>
      <c r="W427" s="5" t="str">
        <f t="shared" si="60"/>
        <v/>
      </c>
      <c r="X427" s="5" t="str">
        <f t="shared" si="61"/>
        <v/>
      </c>
    </row>
    <row r="428" spans="1:24">
      <c r="A428" s="91"/>
      <c r="B428" s="92"/>
      <c r="C428" s="69"/>
      <c r="D428" s="69"/>
      <c r="E428" s="69"/>
      <c r="F428" s="69"/>
      <c r="G428" s="70"/>
      <c r="H428" s="71"/>
      <c r="I428" s="66"/>
      <c r="J428" s="67"/>
      <c r="K428" s="67"/>
      <c r="L428" s="67"/>
      <c r="M428" s="67"/>
      <c r="N428" s="145" t="str">
        <f t="shared" si="54"/>
        <v/>
      </c>
      <c r="O428" s="64"/>
      <c r="P428" s="64"/>
      <c r="Q428" s="152" t="str">
        <f t="shared" si="55"/>
        <v/>
      </c>
      <c r="R428" s="65" t="str">
        <f t="shared" si="62"/>
        <v/>
      </c>
      <c r="S428" s="5" t="str">
        <f t="shared" si="56"/>
        <v/>
      </c>
      <c r="T428" s="5" t="str">
        <f t="shared" si="57"/>
        <v/>
      </c>
      <c r="U428" s="5" t="str">
        <f t="shared" si="58"/>
        <v/>
      </c>
      <c r="V428" s="5" t="str">
        <f t="shared" si="59"/>
        <v/>
      </c>
      <c r="W428" s="5" t="str">
        <f t="shared" si="60"/>
        <v/>
      </c>
      <c r="X428" s="5" t="str">
        <f t="shared" si="61"/>
        <v/>
      </c>
    </row>
    <row r="429" spans="1:24">
      <c r="A429" s="91"/>
      <c r="B429" s="92"/>
      <c r="C429" s="69"/>
      <c r="D429" s="69"/>
      <c r="E429" s="69"/>
      <c r="F429" s="69"/>
      <c r="G429" s="70"/>
      <c r="H429" s="71"/>
      <c r="I429" s="66"/>
      <c r="J429" s="67"/>
      <c r="K429" s="67"/>
      <c r="L429" s="67"/>
      <c r="M429" s="67"/>
      <c r="N429" s="145" t="str">
        <f t="shared" si="54"/>
        <v/>
      </c>
      <c r="O429" s="64"/>
      <c r="P429" s="64"/>
      <c r="Q429" s="152" t="str">
        <f t="shared" si="55"/>
        <v/>
      </c>
      <c r="R429" s="65" t="str">
        <f t="shared" si="62"/>
        <v/>
      </c>
      <c r="S429" s="5" t="str">
        <f t="shared" si="56"/>
        <v/>
      </c>
      <c r="T429" s="5" t="str">
        <f t="shared" si="57"/>
        <v/>
      </c>
      <c r="U429" s="5" t="str">
        <f t="shared" si="58"/>
        <v/>
      </c>
      <c r="V429" s="5" t="str">
        <f t="shared" si="59"/>
        <v/>
      </c>
      <c r="W429" s="5" t="str">
        <f t="shared" si="60"/>
        <v/>
      </c>
      <c r="X429" s="5" t="str">
        <f t="shared" si="61"/>
        <v/>
      </c>
    </row>
    <row r="430" spans="1:24" ht="15.75" thickBot="1">
      <c r="A430" s="93"/>
      <c r="B430" s="94"/>
      <c r="C430" s="72"/>
      <c r="D430" s="72"/>
      <c r="E430" s="72"/>
      <c r="F430" s="72"/>
      <c r="G430" s="73"/>
      <c r="H430" s="74"/>
      <c r="I430" s="75"/>
      <c r="J430" s="76"/>
      <c r="K430" s="76"/>
      <c r="L430" s="76"/>
      <c r="M430" s="76"/>
      <c r="N430" s="146" t="str">
        <f t="shared" ref="N430" si="63">IF($C430="","",SUM(L430+M430=0,0,L430/(L430+M430)))</f>
        <v/>
      </c>
      <c r="O430" s="153"/>
      <c r="P430" s="153"/>
      <c r="Q430" s="152" t="str">
        <f t="shared" si="55"/>
        <v/>
      </c>
      <c r="R430" s="147" t="str">
        <f t="shared" ref="R430" si="64">IF($C430="","",IF($B430="beginning",(((SUM($P430:$R430)-10051)/4349)*40)+360,IF($B430="middle",(((SUM($P430:$R430)-10051)/4349)*40)+400,IF($B430="end",(((SUM($P430:$R430)-10051)/4349)*40)+440,""))))</f>
        <v/>
      </c>
    </row>
    <row r="431" spans="1:24">
      <c r="A431" s="95"/>
      <c r="G431" s="77"/>
    </row>
    <row r="432" spans="1:24">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t8VFQk1tg/zA9YwUDF1ejpbcU1ev4ry/DICTEKppRRkQoLTpDJ6iywC7IXhvJ9W2vDslrqAHTif13G+a1IyhNg==" saltValue="ge7uOIDI64fSuqo8W0T4ew==" spinCount="100000" sheet="1" objects="1" scenarios="1" formatCells="0" formatColumns="0" formatRows="0" deleteRows="0" sort="0" autoFilter="0"/>
  <mergeCells count="7">
    <mergeCell ref="L4:N4"/>
    <mergeCell ref="O4:Q4"/>
    <mergeCell ref="S4:X4"/>
    <mergeCell ref="A1:H1"/>
    <mergeCell ref="L3:N3"/>
    <mergeCell ref="O3:Q3"/>
    <mergeCell ref="I4:J4"/>
  </mergeCells>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60DA-6EC9-7F4A-A891-A102D4A803F8}">
  <dimension ref="A1:R439"/>
  <sheetViews>
    <sheetView workbookViewId="0">
      <selection activeCell="C6" sqref="C6:E16"/>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8" width="3.42578125" style="5" hidden="1" customWidth="1"/>
    <col min="19" max="16384" width="10" style="5"/>
  </cols>
  <sheetData>
    <row r="1" spans="1:18" ht="30" customHeight="1" thickBot="1">
      <c r="A1" s="213" t="s">
        <v>17</v>
      </c>
      <c r="B1" s="214"/>
      <c r="C1" s="214"/>
      <c r="D1" s="214"/>
      <c r="E1" s="214"/>
      <c r="F1" s="214"/>
      <c r="G1" s="214"/>
      <c r="H1" s="215"/>
    </row>
    <row r="2" spans="1:18" ht="12" customHeight="1" thickBot="1">
      <c r="D2" s="79"/>
    </row>
    <row r="3" spans="1:18" s="175" customFormat="1" ht="15.75" thickBot="1">
      <c r="A3" s="170" t="s">
        <v>5</v>
      </c>
      <c r="B3" s="171" t="s">
        <v>5</v>
      </c>
      <c r="C3" s="171" t="s">
        <v>5</v>
      </c>
      <c r="D3" s="171" t="s">
        <v>5</v>
      </c>
      <c r="E3" s="171" t="s">
        <v>5</v>
      </c>
      <c r="F3" s="172" t="s">
        <v>4</v>
      </c>
      <c r="G3" s="172" t="s">
        <v>4</v>
      </c>
      <c r="H3" s="173" t="s">
        <v>4</v>
      </c>
      <c r="I3" s="224" t="s">
        <v>5</v>
      </c>
      <c r="J3" s="222"/>
      <c r="K3" s="223"/>
      <c r="L3" s="221" t="s">
        <v>5</v>
      </c>
      <c r="M3" s="222"/>
      <c r="N3" s="223"/>
      <c r="O3" s="176" t="s">
        <v>5</v>
      </c>
    </row>
    <row r="4" spans="1:18" s="6" customFormat="1" ht="15.75" thickBot="1">
      <c r="A4" s="80"/>
      <c r="B4" s="81"/>
      <c r="C4" s="82"/>
      <c r="D4" s="81"/>
      <c r="E4" s="82"/>
      <c r="F4" s="83"/>
      <c r="G4" s="84"/>
      <c r="H4" s="83"/>
      <c r="I4" s="225" t="s">
        <v>36</v>
      </c>
      <c r="J4" s="226"/>
      <c r="K4" s="227"/>
      <c r="L4" s="228" t="s">
        <v>22</v>
      </c>
      <c r="M4" s="229"/>
      <c r="N4" s="229"/>
      <c r="O4" s="159"/>
      <c r="P4" s="212" t="s">
        <v>28</v>
      </c>
      <c r="Q4" s="212"/>
      <c r="R4" s="212"/>
    </row>
    <row r="5" spans="1:18" ht="60.75" thickBot="1">
      <c r="A5" s="50" t="s">
        <v>7</v>
      </c>
      <c r="B5" s="50" t="s">
        <v>19</v>
      </c>
      <c r="C5" s="51" t="s">
        <v>0</v>
      </c>
      <c r="D5" s="52" t="s">
        <v>6</v>
      </c>
      <c r="E5" s="53" t="s">
        <v>1</v>
      </c>
      <c r="F5" s="54" t="s">
        <v>2</v>
      </c>
      <c r="G5" s="55" t="s">
        <v>8</v>
      </c>
      <c r="H5" s="56" t="s">
        <v>3</v>
      </c>
      <c r="I5" s="155" t="s">
        <v>32</v>
      </c>
      <c r="J5" s="156" t="s">
        <v>21</v>
      </c>
      <c r="K5" s="58" t="s">
        <v>33</v>
      </c>
      <c r="L5" s="58" t="s">
        <v>23</v>
      </c>
      <c r="M5" s="156" t="s">
        <v>24</v>
      </c>
      <c r="N5" s="48" t="s">
        <v>25</v>
      </c>
      <c r="O5" s="60" t="s">
        <v>11</v>
      </c>
      <c r="P5" s="18" t="s">
        <v>26</v>
      </c>
      <c r="Q5" s="18" t="s">
        <v>27</v>
      </c>
      <c r="R5" s="18" t="s">
        <v>16</v>
      </c>
    </row>
    <row r="6" spans="1:18">
      <c r="A6" s="86"/>
      <c r="B6" s="86"/>
      <c r="C6" s="189"/>
      <c r="D6" s="189"/>
      <c r="E6" s="189"/>
      <c r="F6" s="142"/>
      <c r="G6" s="143"/>
      <c r="H6" s="61"/>
      <c r="I6" s="157"/>
      <c r="J6" s="144"/>
      <c r="K6" s="145" t="str">
        <f>IF($C6="","",IF($I6+$J6=0,0,$I6/($I6+$J6)))</f>
        <v/>
      </c>
      <c r="L6" s="144"/>
      <c r="M6" s="144"/>
      <c r="N6" s="152" t="str">
        <f>IF($C6="","",($L6-($M6/2)))</f>
        <v/>
      </c>
      <c r="O6" s="158" t="str">
        <f>IF(C6="","",IF(TRIM($B6)="beginning",(((SUM($P6:$R6)-4563)/1771)*40)+360,IF(TRIM($B6)="middle",(((SUM($P6:$R6)-4563)/1771)*40)+400,IF(TRIM($B6)="end",(((SUM($P6:$R6)-4563)/1771)*40)+440,""))))</f>
        <v/>
      </c>
      <c r="P6" s="5" t="str">
        <f>IF($C6="","",I6*36.42)</f>
        <v/>
      </c>
      <c r="Q6" s="5" t="str">
        <f>IF($C6="","",K6*0.06)</f>
        <v/>
      </c>
      <c r="R6" s="5" t="str">
        <f>IF($C6="","",N6*6.29)</f>
        <v/>
      </c>
    </row>
    <row r="7" spans="1:18">
      <c r="A7" s="86"/>
      <c r="B7" s="86"/>
      <c r="C7" s="189"/>
      <c r="D7" s="189"/>
      <c r="E7" s="189"/>
      <c r="F7" s="69"/>
      <c r="G7" s="70"/>
      <c r="H7" s="71"/>
      <c r="I7" s="66"/>
      <c r="J7" s="67"/>
      <c r="K7" s="145" t="str">
        <f t="shared" ref="K7:K70" si="0">IF($C7="","",IF($I7+$J7=0,0,$I7/($I7+$J7)))</f>
        <v/>
      </c>
      <c r="L7" s="64"/>
      <c r="M7" s="64"/>
      <c r="N7" s="152" t="str">
        <f t="shared" ref="N7:N70" si="1">IF($C7="","",($L7-($M7/2)))</f>
        <v/>
      </c>
      <c r="O7" s="158" t="str">
        <f t="shared" ref="O7:O70" si="2">IF(C7="","",IF(TRIM($B7)="beginning",(((SUM($P7:$R7)-4563)/1771)*40)+360,IF(TRIM($B7)="middle",(((SUM($P7:$R7)-4563)/1771)*40)+400,IF(TRIM($B7)="end",(((SUM($P7:$R7)-4563)/1771)*40)+440,""))))</f>
        <v/>
      </c>
      <c r="P7" s="5" t="str">
        <f t="shared" ref="P7:P70" si="3">IF($C7="","",I7*36.42)</f>
        <v/>
      </c>
      <c r="Q7" s="5" t="str">
        <f t="shared" ref="Q7:Q70" si="4">IF($C7="","",K7*0.06)</f>
        <v/>
      </c>
      <c r="R7" s="5" t="str">
        <f t="shared" ref="R7:R70" si="5">IF($C7="","",N7*6.29)</f>
        <v/>
      </c>
    </row>
    <row r="8" spans="1:18">
      <c r="A8" s="86"/>
      <c r="B8" s="86"/>
      <c r="C8" s="189"/>
      <c r="D8" s="189"/>
      <c r="E8" s="189"/>
      <c r="F8" s="69"/>
      <c r="G8" s="70"/>
      <c r="H8" s="71"/>
      <c r="I8" s="66"/>
      <c r="J8" s="67"/>
      <c r="K8" s="145" t="str">
        <f t="shared" si="0"/>
        <v/>
      </c>
      <c r="L8" s="64"/>
      <c r="M8" s="64"/>
      <c r="N8" s="152" t="str">
        <f t="shared" si="1"/>
        <v/>
      </c>
      <c r="O8" s="158" t="str">
        <f t="shared" si="2"/>
        <v/>
      </c>
      <c r="P8" s="5" t="str">
        <f t="shared" si="3"/>
        <v/>
      </c>
      <c r="Q8" s="5" t="str">
        <f t="shared" si="4"/>
        <v/>
      </c>
      <c r="R8" s="5" t="str">
        <f t="shared" si="5"/>
        <v/>
      </c>
    </row>
    <row r="9" spans="1:18">
      <c r="A9" s="86"/>
      <c r="B9" s="86"/>
      <c r="C9" s="189"/>
      <c r="D9" s="189"/>
      <c r="E9" s="189"/>
      <c r="F9" s="69"/>
      <c r="G9" s="70"/>
      <c r="H9" s="71"/>
      <c r="I9" s="66"/>
      <c r="J9" s="67"/>
      <c r="K9" s="145" t="str">
        <f t="shared" si="0"/>
        <v/>
      </c>
      <c r="L9" s="64"/>
      <c r="M9" s="64"/>
      <c r="N9" s="152" t="str">
        <f t="shared" si="1"/>
        <v/>
      </c>
      <c r="O9" s="158" t="str">
        <f t="shared" si="2"/>
        <v/>
      </c>
      <c r="P9" s="5" t="str">
        <f t="shared" si="3"/>
        <v/>
      </c>
      <c r="Q9" s="5" t="str">
        <f t="shared" si="4"/>
        <v/>
      </c>
      <c r="R9" s="5" t="str">
        <f t="shared" si="5"/>
        <v/>
      </c>
    </row>
    <row r="10" spans="1:18">
      <c r="A10" s="86"/>
      <c r="B10" s="86"/>
      <c r="C10" s="189"/>
      <c r="D10" s="189"/>
      <c r="E10" s="189"/>
      <c r="F10" s="69"/>
      <c r="G10" s="70"/>
      <c r="H10" s="71"/>
      <c r="I10" s="66"/>
      <c r="J10" s="67"/>
      <c r="K10" s="145" t="str">
        <f t="shared" si="0"/>
        <v/>
      </c>
      <c r="L10" s="64"/>
      <c r="M10" s="64"/>
      <c r="N10" s="152" t="str">
        <f t="shared" si="1"/>
        <v/>
      </c>
      <c r="O10" s="158" t="str">
        <f t="shared" si="2"/>
        <v/>
      </c>
      <c r="P10" s="5" t="str">
        <f t="shared" si="3"/>
        <v/>
      </c>
      <c r="Q10" s="5" t="str">
        <f t="shared" si="4"/>
        <v/>
      </c>
      <c r="R10" s="5" t="str">
        <f t="shared" si="5"/>
        <v/>
      </c>
    </row>
    <row r="11" spans="1:18">
      <c r="A11" s="86"/>
      <c r="B11" s="86"/>
      <c r="C11" s="189"/>
      <c r="D11" s="189"/>
      <c r="E11" s="189"/>
      <c r="F11" s="69"/>
      <c r="G11" s="70"/>
      <c r="H11" s="71"/>
      <c r="I11" s="66"/>
      <c r="J11" s="67"/>
      <c r="K11" s="145" t="str">
        <f t="shared" si="0"/>
        <v/>
      </c>
      <c r="L11" s="64"/>
      <c r="M11" s="64"/>
      <c r="N11" s="152" t="str">
        <f t="shared" si="1"/>
        <v/>
      </c>
      <c r="O11" s="158" t="str">
        <f t="shared" si="2"/>
        <v/>
      </c>
      <c r="P11" s="5" t="str">
        <f t="shared" si="3"/>
        <v/>
      </c>
      <c r="Q11" s="5" t="str">
        <f t="shared" si="4"/>
        <v/>
      </c>
      <c r="R11" s="5" t="str">
        <f t="shared" si="5"/>
        <v/>
      </c>
    </row>
    <row r="12" spans="1:18">
      <c r="A12" s="87"/>
      <c r="B12" s="87"/>
      <c r="C12" s="189"/>
      <c r="D12" s="189"/>
      <c r="E12" s="189"/>
      <c r="F12" s="69"/>
      <c r="G12" s="70"/>
      <c r="H12" s="71"/>
      <c r="I12" s="66"/>
      <c r="J12" s="67"/>
      <c r="K12" s="145" t="str">
        <f t="shared" si="0"/>
        <v/>
      </c>
      <c r="L12" s="64"/>
      <c r="M12" s="64"/>
      <c r="N12" s="152" t="str">
        <f t="shared" si="1"/>
        <v/>
      </c>
      <c r="O12" s="158" t="str">
        <f t="shared" si="2"/>
        <v/>
      </c>
      <c r="P12" s="5" t="str">
        <f t="shared" si="3"/>
        <v/>
      </c>
      <c r="Q12" s="5" t="str">
        <f t="shared" si="4"/>
        <v/>
      </c>
      <c r="R12" s="5" t="str">
        <f t="shared" si="5"/>
        <v/>
      </c>
    </row>
    <row r="13" spans="1:18">
      <c r="A13" s="87"/>
      <c r="B13" s="87"/>
      <c r="C13" s="189"/>
      <c r="D13" s="189"/>
      <c r="E13" s="189"/>
      <c r="F13" s="69"/>
      <c r="G13" s="70"/>
      <c r="H13" s="71"/>
      <c r="I13" s="66"/>
      <c r="J13" s="67"/>
      <c r="K13" s="145" t="str">
        <f t="shared" si="0"/>
        <v/>
      </c>
      <c r="L13" s="64"/>
      <c r="M13" s="64"/>
      <c r="N13" s="152" t="str">
        <f t="shared" si="1"/>
        <v/>
      </c>
      <c r="O13" s="158" t="str">
        <f t="shared" si="2"/>
        <v/>
      </c>
      <c r="P13" s="5" t="str">
        <f t="shared" si="3"/>
        <v/>
      </c>
      <c r="Q13" s="5" t="str">
        <f t="shared" si="4"/>
        <v/>
      </c>
      <c r="R13" s="5" t="str">
        <f t="shared" si="5"/>
        <v/>
      </c>
    </row>
    <row r="14" spans="1:18">
      <c r="A14" s="87"/>
      <c r="B14" s="87"/>
      <c r="C14" s="189"/>
      <c r="D14" s="189"/>
      <c r="E14" s="189"/>
      <c r="F14" s="69"/>
      <c r="G14" s="70"/>
      <c r="H14" s="71"/>
      <c r="I14" s="66"/>
      <c r="J14" s="67"/>
      <c r="K14" s="145" t="str">
        <f t="shared" si="0"/>
        <v/>
      </c>
      <c r="L14" s="64"/>
      <c r="M14" s="64"/>
      <c r="N14" s="152" t="str">
        <f t="shared" si="1"/>
        <v/>
      </c>
      <c r="O14" s="158" t="str">
        <f t="shared" si="2"/>
        <v/>
      </c>
      <c r="P14" s="5" t="str">
        <f t="shared" si="3"/>
        <v/>
      </c>
      <c r="Q14" s="5" t="str">
        <f t="shared" si="4"/>
        <v/>
      </c>
      <c r="R14" s="5" t="str">
        <f t="shared" si="5"/>
        <v/>
      </c>
    </row>
    <row r="15" spans="1:18">
      <c r="A15" s="87"/>
      <c r="B15" s="87"/>
      <c r="C15" s="189"/>
      <c r="D15" s="189"/>
      <c r="E15" s="189"/>
      <c r="F15" s="69"/>
      <c r="G15" s="70"/>
      <c r="H15" s="71"/>
      <c r="I15" s="66"/>
      <c r="J15" s="67"/>
      <c r="K15" s="145" t="str">
        <f t="shared" si="0"/>
        <v/>
      </c>
      <c r="L15" s="64"/>
      <c r="M15" s="64"/>
      <c r="N15" s="152" t="str">
        <f t="shared" si="1"/>
        <v/>
      </c>
      <c r="O15" s="158" t="str">
        <f t="shared" si="2"/>
        <v/>
      </c>
      <c r="P15" s="5" t="str">
        <f t="shared" si="3"/>
        <v/>
      </c>
      <c r="Q15" s="5" t="str">
        <f t="shared" si="4"/>
        <v/>
      </c>
      <c r="R15" s="5" t="str">
        <f t="shared" si="5"/>
        <v/>
      </c>
    </row>
    <row r="16" spans="1:18">
      <c r="A16" s="87"/>
      <c r="B16" s="87"/>
      <c r="C16" s="189"/>
      <c r="D16" s="189"/>
      <c r="E16" s="189"/>
      <c r="F16" s="69"/>
      <c r="G16" s="70"/>
      <c r="H16" s="71"/>
      <c r="I16" s="66"/>
      <c r="J16" s="67"/>
      <c r="K16" s="145" t="str">
        <f t="shared" si="0"/>
        <v/>
      </c>
      <c r="L16" s="64"/>
      <c r="M16" s="64"/>
      <c r="N16" s="152" t="str">
        <f t="shared" si="1"/>
        <v/>
      </c>
      <c r="O16" s="158" t="str">
        <f t="shared" si="2"/>
        <v/>
      </c>
      <c r="P16" s="5" t="str">
        <f t="shared" si="3"/>
        <v/>
      </c>
      <c r="Q16" s="5" t="str">
        <f t="shared" si="4"/>
        <v/>
      </c>
      <c r="R16" s="5" t="str">
        <f t="shared" si="5"/>
        <v/>
      </c>
    </row>
    <row r="17" spans="1:18">
      <c r="A17" s="87"/>
      <c r="B17" s="87"/>
      <c r="C17" s="88"/>
      <c r="D17" s="89"/>
      <c r="E17" s="90"/>
      <c r="F17" s="69"/>
      <c r="G17" s="70"/>
      <c r="H17" s="71"/>
      <c r="I17" s="66"/>
      <c r="J17" s="67"/>
      <c r="K17" s="145" t="str">
        <f t="shared" si="0"/>
        <v/>
      </c>
      <c r="L17" s="64"/>
      <c r="M17" s="64"/>
      <c r="N17" s="152" t="str">
        <f t="shared" si="1"/>
        <v/>
      </c>
      <c r="O17" s="158" t="str">
        <f t="shared" si="2"/>
        <v/>
      </c>
      <c r="P17" s="5" t="str">
        <f t="shared" si="3"/>
        <v/>
      </c>
      <c r="Q17" s="5" t="str">
        <f t="shared" si="4"/>
        <v/>
      </c>
      <c r="R17" s="5" t="str">
        <f t="shared" si="5"/>
        <v/>
      </c>
    </row>
    <row r="18" spans="1:18">
      <c r="A18" s="87"/>
      <c r="B18" s="87"/>
      <c r="C18" s="88"/>
      <c r="D18" s="89"/>
      <c r="E18" s="90"/>
      <c r="F18" s="69"/>
      <c r="G18" s="70"/>
      <c r="H18" s="71"/>
      <c r="I18" s="66"/>
      <c r="J18" s="67"/>
      <c r="K18" s="145" t="str">
        <f t="shared" si="0"/>
        <v/>
      </c>
      <c r="L18" s="64"/>
      <c r="M18" s="64"/>
      <c r="N18" s="152" t="str">
        <f t="shared" si="1"/>
        <v/>
      </c>
      <c r="O18" s="158" t="str">
        <f t="shared" si="2"/>
        <v/>
      </c>
      <c r="P18" s="5" t="str">
        <f t="shared" si="3"/>
        <v/>
      </c>
      <c r="Q18" s="5" t="str">
        <f t="shared" si="4"/>
        <v/>
      </c>
      <c r="R18" s="5" t="str">
        <f t="shared" si="5"/>
        <v/>
      </c>
    </row>
    <row r="19" spans="1:18">
      <c r="A19" s="87"/>
      <c r="B19" s="87"/>
      <c r="C19" s="88"/>
      <c r="D19" s="89"/>
      <c r="E19" s="90"/>
      <c r="F19" s="69"/>
      <c r="G19" s="70"/>
      <c r="H19" s="71"/>
      <c r="I19" s="66"/>
      <c r="J19" s="67"/>
      <c r="K19" s="145" t="str">
        <f t="shared" si="0"/>
        <v/>
      </c>
      <c r="L19" s="64"/>
      <c r="M19" s="64"/>
      <c r="N19" s="152" t="str">
        <f t="shared" si="1"/>
        <v/>
      </c>
      <c r="O19" s="158" t="str">
        <f t="shared" si="2"/>
        <v/>
      </c>
      <c r="P19" s="5" t="str">
        <f t="shared" si="3"/>
        <v/>
      </c>
      <c r="Q19" s="5" t="str">
        <f t="shared" si="4"/>
        <v/>
      </c>
      <c r="R19" s="5" t="str">
        <f t="shared" si="5"/>
        <v/>
      </c>
    </row>
    <row r="20" spans="1:18">
      <c r="A20" s="87"/>
      <c r="B20" s="87"/>
      <c r="C20" s="88"/>
      <c r="D20" s="89"/>
      <c r="E20" s="90"/>
      <c r="F20" s="69"/>
      <c r="G20" s="70"/>
      <c r="H20" s="71"/>
      <c r="I20" s="66"/>
      <c r="J20" s="67"/>
      <c r="K20" s="145" t="str">
        <f t="shared" si="0"/>
        <v/>
      </c>
      <c r="L20" s="64"/>
      <c r="M20" s="64"/>
      <c r="N20" s="152" t="str">
        <f t="shared" si="1"/>
        <v/>
      </c>
      <c r="O20" s="158" t="str">
        <f t="shared" si="2"/>
        <v/>
      </c>
      <c r="P20" s="5" t="str">
        <f t="shared" si="3"/>
        <v/>
      </c>
      <c r="Q20" s="5" t="str">
        <f t="shared" si="4"/>
        <v/>
      </c>
      <c r="R20" s="5" t="str">
        <f t="shared" si="5"/>
        <v/>
      </c>
    </row>
    <row r="21" spans="1:18">
      <c r="A21" s="87"/>
      <c r="B21" s="87"/>
      <c r="C21" s="88"/>
      <c r="D21" s="89"/>
      <c r="E21" s="90"/>
      <c r="F21" s="69"/>
      <c r="G21" s="70"/>
      <c r="H21" s="71"/>
      <c r="I21" s="66"/>
      <c r="J21" s="67"/>
      <c r="K21" s="145" t="str">
        <f t="shared" si="0"/>
        <v/>
      </c>
      <c r="L21" s="64"/>
      <c r="M21" s="64"/>
      <c r="N21" s="152" t="str">
        <f t="shared" si="1"/>
        <v/>
      </c>
      <c r="O21" s="158" t="str">
        <f t="shared" si="2"/>
        <v/>
      </c>
      <c r="P21" s="5" t="str">
        <f t="shared" si="3"/>
        <v/>
      </c>
      <c r="Q21" s="5" t="str">
        <f t="shared" si="4"/>
        <v/>
      </c>
      <c r="R21" s="5" t="str">
        <f t="shared" si="5"/>
        <v/>
      </c>
    </row>
    <row r="22" spans="1:18">
      <c r="A22" s="87"/>
      <c r="B22" s="87"/>
      <c r="C22" s="88"/>
      <c r="D22" s="89"/>
      <c r="E22" s="90"/>
      <c r="F22" s="69"/>
      <c r="G22" s="70"/>
      <c r="H22" s="71"/>
      <c r="I22" s="66"/>
      <c r="J22" s="67"/>
      <c r="K22" s="145" t="str">
        <f t="shared" si="0"/>
        <v/>
      </c>
      <c r="L22" s="64"/>
      <c r="M22" s="64"/>
      <c r="N22" s="152" t="str">
        <f t="shared" si="1"/>
        <v/>
      </c>
      <c r="O22" s="158" t="str">
        <f t="shared" si="2"/>
        <v/>
      </c>
      <c r="P22" s="5" t="str">
        <f t="shared" si="3"/>
        <v/>
      </c>
      <c r="Q22" s="5" t="str">
        <f t="shared" si="4"/>
        <v/>
      </c>
      <c r="R22" s="5" t="str">
        <f t="shared" si="5"/>
        <v/>
      </c>
    </row>
    <row r="23" spans="1:18">
      <c r="A23" s="87"/>
      <c r="B23" s="87"/>
      <c r="C23" s="88"/>
      <c r="D23" s="89"/>
      <c r="E23" s="90"/>
      <c r="F23" s="69"/>
      <c r="G23" s="70"/>
      <c r="H23" s="71"/>
      <c r="I23" s="66"/>
      <c r="J23" s="67"/>
      <c r="K23" s="145" t="str">
        <f t="shared" si="0"/>
        <v/>
      </c>
      <c r="L23" s="64"/>
      <c r="M23" s="64"/>
      <c r="N23" s="152" t="str">
        <f t="shared" si="1"/>
        <v/>
      </c>
      <c r="O23" s="158" t="str">
        <f t="shared" si="2"/>
        <v/>
      </c>
      <c r="P23" s="5" t="str">
        <f t="shared" si="3"/>
        <v/>
      </c>
      <c r="Q23" s="5" t="str">
        <f t="shared" si="4"/>
        <v/>
      </c>
      <c r="R23" s="5" t="str">
        <f t="shared" si="5"/>
        <v/>
      </c>
    </row>
    <row r="24" spans="1:18">
      <c r="A24" s="87"/>
      <c r="B24" s="87"/>
      <c r="C24" s="88"/>
      <c r="D24" s="89"/>
      <c r="E24" s="90"/>
      <c r="F24" s="69"/>
      <c r="G24" s="70"/>
      <c r="H24" s="71"/>
      <c r="I24" s="66"/>
      <c r="J24" s="67"/>
      <c r="K24" s="145" t="str">
        <f t="shared" si="0"/>
        <v/>
      </c>
      <c r="L24" s="64"/>
      <c r="M24" s="64"/>
      <c r="N24" s="152" t="str">
        <f>IF($C24="","",($L24-($M24/2)))</f>
        <v/>
      </c>
      <c r="O24" s="158" t="str">
        <f t="shared" si="2"/>
        <v/>
      </c>
      <c r="P24" s="5" t="str">
        <f t="shared" si="3"/>
        <v/>
      </c>
      <c r="Q24" s="5" t="str">
        <f t="shared" si="4"/>
        <v/>
      </c>
      <c r="R24" s="5" t="str">
        <f t="shared" si="5"/>
        <v/>
      </c>
    </row>
    <row r="25" spans="1:18">
      <c r="A25" s="87"/>
      <c r="B25" s="87"/>
      <c r="C25" s="88"/>
      <c r="D25" s="89"/>
      <c r="E25" s="90"/>
      <c r="F25" s="69"/>
      <c r="G25" s="70"/>
      <c r="H25" s="71"/>
      <c r="I25" s="66"/>
      <c r="J25" s="67"/>
      <c r="K25" s="145" t="str">
        <f t="shared" si="0"/>
        <v/>
      </c>
      <c r="L25" s="64"/>
      <c r="M25" s="64"/>
      <c r="N25" s="152" t="str">
        <f t="shared" si="1"/>
        <v/>
      </c>
      <c r="O25" s="158" t="str">
        <f t="shared" si="2"/>
        <v/>
      </c>
      <c r="P25" s="5" t="str">
        <f t="shared" si="3"/>
        <v/>
      </c>
      <c r="Q25" s="5" t="str">
        <f t="shared" si="4"/>
        <v/>
      </c>
      <c r="R25" s="5" t="str">
        <f t="shared" si="5"/>
        <v/>
      </c>
    </row>
    <row r="26" spans="1:18">
      <c r="A26" s="87"/>
      <c r="B26" s="87"/>
      <c r="C26" s="88"/>
      <c r="D26" s="89"/>
      <c r="E26" s="90"/>
      <c r="F26" s="69"/>
      <c r="G26" s="70"/>
      <c r="H26" s="71"/>
      <c r="I26" s="66"/>
      <c r="J26" s="67"/>
      <c r="K26" s="145" t="str">
        <f t="shared" si="0"/>
        <v/>
      </c>
      <c r="L26" s="64"/>
      <c r="M26" s="64"/>
      <c r="N26" s="152" t="str">
        <f t="shared" si="1"/>
        <v/>
      </c>
      <c r="O26" s="158" t="str">
        <f t="shared" si="2"/>
        <v/>
      </c>
      <c r="P26" s="5" t="str">
        <f t="shared" si="3"/>
        <v/>
      </c>
      <c r="Q26" s="5" t="str">
        <f t="shared" si="4"/>
        <v/>
      </c>
      <c r="R26" s="5" t="str">
        <f t="shared" si="5"/>
        <v/>
      </c>
    </row>
    <row r="27" spans="1:18">
      <c r="A27" s="87"/>
      <c r="B27" s="87"/>
      <c r="C27" s="88"/>
      <c r="D27" s="89"/>
      <c r="E27" s="90"/>
      <c r="F27" s="69"/>
      <c r="G27" s="70"/>
      <c r="H27" s="71"/>
      <c r="I27" s="66"/>
      <c r="J27" s="67"/>
      <c r="K27" s="145" t="str">
        <f t="shared" si="0"/>
        <v/>
      </c>
      <c r="L27" s="64"/>
      <c r="M27" s="64"/>
      <c r="N27" s="152" t="str">
        <f t="shared" si="1"/>
        <v/>
      </c>
      <c r="O27" s="158" t="str">
        <f t="shared" si="2"/>
        <v/>
      </c>
      <c r="P27" s="5" t="str">
        <f t="shared" si="3"/>
        <v/>
      </c>
      <c r="Q27" s="5" t="str">
        <f t="shared" si="4"/>
        <v/>
      </c>
      <c r="R27" s="5" t="str">
        <f t="shared" si="5"/>
        <v/>
      </c>
    </row>
    <row r="28" spans="1:18">
      <c r="A28" s="87"/>
      <c r="B28" s="87"/>
      <c r="C28" s="88"/>
      <c r="D28" s="89"/>
      <c r="E28" s="90"/>
      <c r="F28" s="69"/>
      <c r="G28" s="70"/>
      <c r="H28" s="71"/>
      <c r="I28" s="66"/>
      <c r="J28" s="67"/>
      <c r="K28" s="145" t="str">
        <f t="shared" si="0"/>
        <v/>
      </c>
      <c r="L28" s="64"/>
      <c r="M28" s="64"/>
      <c r="N28" s="152" t="str">
        <f t="shared" si="1"/>
        <v/>
      </c>
      <c r="O28" s="158" t="str">
        <f t="shared" si="2"/>
        <v/>
      </c>
      <c r="P28" s="5" t="str">
        <f t="shared" si="3"/>
        <v/>
      </c>
      <c r="Q28" s="5" t="str">
        <f t="shared" si="4"/>
        <v/>
      </c>
      <c r="R28" s="5" t="str">
        <f t="shared" si="5"/>
        <v/>
      </c>
    </row>
    <row r="29" spans="1:18">
      <c r="A29" s="87"/>
      <c r="B29" s="87"/>
      <c r="C29" s="88"/>
      <c r="D29" s="89"/>
      <c r="E29" s="90"/>
      <c r="F29" s="69"/>
      <c r="G29" s="70"/>
      <c r="H29" s="71"/>
      <c r="I29" s="66"/>
      <c r="J29" s="67"/>
      <c r="K29" s="145" t="str">
        <f t="shared" si="0"/>
        <v/>
      </c>
      <c r="L29" s="64"/>
      <c r="M29" s="64"/>
      <c r="N29" s="152" t="str">
        <f t="shared" si="1"/>
        <v/>
      </c>
      <c r="O29" s="158" t="str">
        <f t="shared" si="2"/>
        <v/>
      </c>
      <c r="P29" s="5" t="str">
        <f t="shared" si="3"/>
        <v/>
      </c>
      <c r="Q29" s="5" t="str">
        <f t="shared" si="4"/>
        <v/>
      </c>
      <c r="R29" s="5" t="str">
        <f t="shared" si="5"/>
        <v/>
      </c>
    </row>
    <row r="30" spans="1:18">
      <c r="A30" s="87"/>
      <c r="B30" s="87"/>
      <c r="C30" s="88"/>
      <c r="D30" s="89"/>
      <c r="E30" s="90"/>
      <c r="F30" s="69"/>
      <c r="G30" s="70"/>
      <c r="H30" s="71"/>
      <c r="I30" s="66"/>
      <c r="J30" s="67"/>
      <c r="K30" s="145" t="str">
        <f t="shared" si="0"/>
        <v/>
      </c>
      <c r="L30" s="64"/>
      <c r="M30" s="64"/>
      <c r="N30" s="152" t="str">
        <f t="shared" si="1"/>
        <v/>
      </c>
      <c r="O30" s="158" t="str">
        <f t="shared" si="2"/>
        <v/>
      </c>
      <c r="P30" s="5" t="str">
        <f t="shared" si="3"/>
        <v/>
      </c>
      <c r="Q30" s="5" t="str">
        <f t="shared" si="4"/>
        <v/>
      </c>
      <c r="R30" s="5" t="str">
        <f t="shared" si="5"/>
        <v/>
      </c>
    </row>
    <row r="31" spans="1:18">
      <c r="A31" s="87"/>
      <c r="B31" s="87"/>
      <c r="C31" s="88"/>
      <c r="D31" s="89"/>
      <c r="E31" s="90"/>
      <c r="F31" s="69"/>
      <c r="G31" s="70"/>
      <c r="H31" s="71"/>
      <c r="I31" s="66"/>
      <c r="J31" s="67"/>
      <c r="K31" s="145" t="str">
        <f t="shared" si="0"/>
        <v/>
      </c>
      <c r="L31" s="64"/>
      <c r="M31" s="64"/>
      <c r="N31" s="152" t="str">
        <f t="shared" si="1"/>
        <v/>
      </c>
      <c r="O31" s="158" t="str">
        <f t="shared" si="2"/>
        <v/>
      </c>
      <c r="P31" s="5" t="str">
        <f t="shared" si="3"/>
        <v/>
      </c>
      <c r="Q31" s="5" t="str">
        <f t="shared" si="4"/>
        <v/>
      </c>
      <c r="R31" s="5" t="str">
        <f t="shared" si="5"/>
        <v/>
      </c>
    </row>
    <row r="32" spans="1:18">
      <c r="A32" s="87"/>
      <c r="B32" s="87"/>
      <c r="C32" s="88"/>
      <c r="D32" s="89"/>
      <c r="E32" s="90"/>
      <c r="F32" s="69"/>
      <c r="G32" s="70"/>
      <c r="H32" s="71"/>
      <c r="I32" s="66"/>
      <c r="J32" s="67"/>
      <c r="K32" s="145" t="str">
        <f t="shared" si="0"/>
        <v/>
      </c>
      <c r="L32" s="64"/>
      <c r="M32" s="64"/>
      <c r="N32" s="152" t="str">
        <f t="shared" si="1"/>
        <v/>
      </c>
      <c r="O32" s="158" t="str">
        <f t="shared" si="2"/>
        <v/>
      </c>
      <c r="P32" s="5" t="str">
        <f t="shared" si="3"/>
        <v/>
      </c>
      <c r="Q32" s="5" t="str">
        <f t="shared" si="4"/>
        <v/>
      </c>
      <c r="R32" s="5" t="str">
        <f t="shared" si="5"/>
        <v/>
      </c>
    </row>
    <row r="33" spans="1:18">
      <c r="A33" s="87"/>
      <c r="B33" s="87"/>
      <c r="C33" s="88"/>
      <c r="D33" s="89"/>
      <c r="E33" s="90"/>
      <c r="F33" s="69"/>
      <c r="G33" s="70"/>
      <c r="H33" s="71"/>
      <c r="I33" s="66"/>
      <c r="J33" s="67"/>
      <c r="K33" s="145" t="str">
        <f t="shared" si="0"/>
        <v/>
      </c>
      <c r="L33" s="64"/>
      <c r="M33" s="64"/>
      <c r="N33" s="152" t="str">
        <f t="shared" si="1"/>
        <v/>
      </c>
      <c r="O33" s="158" t="str">
        <f t="shared" si="2"/>
        <v/>
      </c>
      <c r="P33" s="5" t="str">
        <f t="shared" si="3"/>
        <v/>
      </c>
      <c r="Q33" s="5" t="str">
        <f t="shared" si="4"/>
        <v/>
      </c>
      <c r="R33" s="5" t="str">
        <f t="shared" si="5"/>
        <v/>
      </c>
    </row>
    <row r="34" spans="1:18">
      <c r="A34" s="87"/>
      <c r="B34" s="87"/>
      <c r="C34" s="88"/>
      <c r="D34" s="89"/>
      <c r="E34" s="90"/>
      <c r="F34" s="69"/>
      <c r="G34" s="70"/>
      <c r="H34" s="71"/>
      <c r="I34" s="66"/>
      <c r="J34" s="67"/>
      <c r="K34" s="145" t="str">
        <f t="shared" si="0"/>
        <v/>
      </c>
      <c r="L34" s="64"/>
      <c r="M34" s="64"/>
      <c r="N34" s="152" t="str">
        <f t="shared" si="1"/>
        <v/>
      </c>
      <c r="O34" s="158" t="str">
        <f t="shared" si="2"/>
        <v/>
      </c>
      <c r="P34" s="5" t="str">
        <f t="shared" si="3"/>
        <v/>
      </c>
      <c r="Q34" s="5" t="str">
        <f t="shared" si="4"/>
        <v/>
      </c>
      <c r="R34" s="5" t="str">
        <f t="shared" si="5"/>
        <v/>
      </c>
    </row>
    <row r="35" spans="1:18">
      <c r="A35" s="87"/>
      <c r="B35" s="87"/>
      <c r="C35" s="88"/>
      <c r="D35" s="89"/>
      <c r="E35" s="90"/>
      <c r="F35" s="69"/>
      <c r="G35" s="70"/>
      <c r="H35" s="71"/>
      <c r="I35" s="66"/>
      <c r="J35" s="67"/>
      <c r="K35" s="145" t="str">
        <f t="shared" si="0"/>
        <v/>
      </c>
      <c r="L35" s="64"/>
      <c r="M35" s="64"/>
      <c r="N35" s="152" t="str">
        <f t="shared" si="1"/>
        <v/>
      </c>
      <c r="O35" s="158" t="str">
        <f t="shared" si="2"/>
        <v/>
      </c>
      <c r="P35" s="5" t="str">
        <f t="shared" si="3"/>
        <v/>
      </c>
      <c r="Q35" s="5" t="str">
        <f t="shared" si="4"/>
        <v/>
      </c>
      <c r="R35" s="5" t="str">
        <f t="shared" si="5"/>
        <v/>
      </c>
    </row>
    <row r="36" spans="1:18">
      <c r="A36" s="87"/>
      <c r="B36" s="87"/>
      <c r="C36" s="88"/>
      <c r="D36" s="89"/>
      <c r="E36" s="90"/>
      <c r="F36" s="69"/>
      <c r="G36" s="70"/>
      <c r="H36" s="71"/>
      <c r="I36" s="66"/>
      <c r="J36" s="67"/>
      <c r="K36" s="145" t="str">
        <f t="shared" si="0"/>
        <v/>
      </c>
      <c r="L36" s="64"/>
      <c r="M36" s="64"/>
      <c r="N36" s="152" t="str">
        <f t="shared" si="1"/>
        <v/>
      </c>
      <c r="O36" s="158" t="str">
        <f t="shared" si="2"/>
        <v/>
      </c>
      <c r="P36" s="5" t="str">
        <f t="shared" si="3"/>
        <v/>
      </c>
      <c r="Q36" s="5" t="str">
        <f t="shared" si="4"/>
        <v/>
      </c>
      <c r="R36" s="5" t="str">
        <f t="shared" si="5"/>
        <v/>
      </c>
    </row>
    <row r="37" spans="1:18">
      <c r="A37" s="87"/>
      <c r="B37" s="87"/>
      <c r="C37" s="88"/>
      <c r="D37" s="89"/>
      <c r="E37" s="90"/>
      <c r="F37" s="69"/>
      <c r="G37" s="70"/>
      <c r="H37" s="71"/>
      <c r="I37" s="66"/>
      <c r="J37" s="67"/>
      <c r="K37" s="145" t="str">
        <f t="shared" si="0"/>
        <v/>
      </c>
      <c r="L37" s="64"/>
      <c r="M37" s="64"/>
      <c r="N37" s="152" t="str">
        <f t="shared" si="1"/>
        <v/>
      </c>
      <c r="O37" s="158" t="str">
        <f t="shared" si="2"/>
        <v/>
      </c>
      <c r="P37" s="5" t="str">
        <f t="shared" si="3"/>
        <v/>
      </c>
      <c r="Q37" s="5" t="str">
        <f t="shared" si="4"/>
        <v/>
      </c>
      <c r="R37" s="5" t="str">
        <f t="shared" si="5"/>
        <v/>
      </c>
    </row>
    <row r="38" spans="1:18">
      <c r="A38" s="87"/>
      <c r="B38" s="87"/>
      <c r="C38" s="88"/>
      <c r="D38" s="89"/>
      <c r="E38" s="90"/>
      <c r="F38" s="69"/>
      <c r="G38" s="70"/>
      <c r="H38" s="71"/>
      <c r="I38" s="66"/>
      <c r="J38" s="67"/>
      <c r="K38" s="145" t="str">
        <f t="shared" si="0"/>
        <v/>
      </c>
      <c r="L38" s="64"/>
      <c r="M38" s="64"/>
      <c r="N38" s="152" t="str">
        <f t="shared" si="1"/>
        <v/>
      </c>
      <c r="O38" s="158" t="str">
        <f t="shared" si="2"/>
        <v/>
      </c>
      <c r="P38" s="5" t="str">
        <f t="shared" si="3"/>
        <v/>
      </c>
      <c r="Q38" s="5" t="str">
        <f t="shared" si="4"/>
        <v/>
      </c>
      <c r="R38" s="5" t="str">
        <f t="shared" si="5"/>
        <v/>
      </c>
    </row>
    <row r="39" spans="1:18">
      <c r="A39" s="87"/>
      <c r="B39" s="87"/>
      <c r="C39" s="88"/>
      <c r="D39" s="89"/>
      <c r="E39" s="90"/>
      <c r="F39" s="69"/>
      <c r="G39" s="70"/>
      <c r="H39" s="71"/>
      <c r="I39" s="66"/>
      <c r="J39" s="67"/>
      <c r="K39" s="145" t="str">
        <f t="shared" si="0"/>
        <v/>
      </c>
      <c r="L39" s="64"/>
      <c r="M39" s="64"/>
      <c r="N39" s="152" t="str">
        <f t="shared" si="1"/>
        <v/>
      </c>
      <c r="O39" s="158" t="str">
        <f t="shared" si="2"/>
        <v/>
      </c>
      <c r="P39" s="5" t="str">
        <f t="shared" si="3"/>
        <v/>
      </c>
      <c r="Q39" s="5" t="str">
        <f t="shared" si="4"/>
        <v/>
      </c>
      <c r="R39" s="5" t="str">
        <f t="shared" si="5"/>
        <v/>
      </c>
    </row>
    <row r="40" spans="1:18">
      <c r="A40" s="87"/>
      <c r="B40" s="87"/>
      <c r="C40" s="88"/>
      <c r="D40" s="89"/>
      <c r="E40" s="90"/>
      <c r="F40" s="69"/>
      <c r="G40" s="70"/>
      <c r="H40" s="71"/>
      <c r="I40" s="66"/>
      <c r="J40" s="67"/>
      <c r="K40" s="145" t="str">
        <f t="shared" si="0"/>
        <v/>
      </c>
      <c r="L40" s="64"/>
      <c r="M40" s="64"/>
      <c r="N40" s="152" t="str">
        <f t="shared" si="1"/>
        <v/>
      </c>
      <c r="O40" s="158" t="str">
        <f t="shared" si="2"/>
        <v/>
      </c>
      <c r="P40" s="5" t="str">
        <f t="shared" si="3"/>
        <v/>
      </c>
      <c r="Q40" s="5" t="str">
        <f t="shared" si="4"/>
        <v/>
      </c>
      <c r="R40" s="5" t="str">
        <f t="shared" si="5"/>
        <v/>
      </c>
    </row>
    <row r="41" spans="1:18">
      <c r="A41" s="87"/>
      <c r="B41" s="87"/>
      <c r="C41" s="88"/>
      <c r="D41" s="89"/>
      <c r="E41" s="90"/>
      <c r="F41" s="69"/>
      <c r="G41" s="70"/>
      <c r="H41" s="71"/>
      <c r="I41" s="66"/>
      <c r="J41" s="67"/>
      <c r="K41" s="145" t="str">
        <f t="shared" si="0"/>
        <v/>
      </c>
      <c r="L41" s="64"/>
      <c r="M41" s="64"/>
      <c r="N41" s="152" t="str">
        <f>IF($C41="","",($L41-($M41/2)))</f>
        <v/>
      </c>
      <c r="O41" s="158" t="str">
        <f t="shared" si="2"/>
        <v/>
      </c>
      <c r="P41" s="5" t="str">
        <f t="shared" si="3"/>
        <v/>
      </c>
      <c r="Q41" s="5" t="str">
        <f t="shared" si="4"/>
        <v/>
      </c>
      <c r="R41" s="5" t="str">
        <f t="shared" si="5"/>
        <v/>
      </c>
    </row>
    <row r="42" spans="1:18">
      <c r="A42" s="87"/>
      <c r="B42" s="87"/>
      <c r="C42" s="88"/>
      <c r="D42" s="89"/>
      <c r="E42" s="90"/>
      <c r="F42" s="69"/>
      <c r="G42" s="70"/>
      <c r="H42" s="71"/>
      <c r="I42" s="66"/>
      <c r="J42" s="67"/>
      <c r="K42" s="145" t="str">
        <f t="shared" si="0"/>
        <v/>
      </c>
      <c r="L42" s="64"/>
      <c r="M42" s="64"/>
      <c r="N42" s="152" t="str">
        <f t="shared" si="1"/>
        <v/>
      </c>
      <c r="O42" s="158" t="str">
        <f t="shared" si="2"/>
        <v/>
      </c>
      <c r="P42" s="5" t="str">
        <f t="shared" si="3"/>
        <v/>
      </c>
      <c r="Q42" s="5" t="str">
        <f t="shared" si="4"/>
        <v/>
      </c>
      <c r="R42" s="5" t="str">
        <f t="shared" si="5"/>
        <v/>
      </c>
    </row>
    <row r="43" spans="1:18">
      <c r="A43" s="87"/>
      <c r="B43" s="87"/>
      <c r="C43" s="88"/>
      <c r="D43" s="89"/>
      <c r="E43" s="90"/>
      <c r="F43" s="69"/>
      <c r="G43" s="70"/>
      <c r="H43" s="71"/>
      <c r="I43" s="66"/>
      <c r="J43" s="67"/>
      <c r="K43" s="145" t="str">
        <f t="shared" si="0"/>
        <v/>
      </c>
      <c r="L43" s="64"/>
      <c r="M43" s="64"/>
      <c r="N43" s="152" t="str">
        <f t="shared" si="1"/>
        <v/>
      </c>
      <c r="O43" s="158" t="str">
        <f t="shared" si="2"/>
        <v/>
      </c>
      <c r="P43" s="5" t="str">
        <f t="shared" si="3"/>
        <v/>
      </c>
      <c r="Q43" s="5" t="str">
        <f t="shared" si="4"/>
        <v/>
      </c>
      <c r="R43" s="5" t="str">
        <f t="shared" si="5"/>
        <v/>
      </c>
    </row>
    <row r="44" spans="1:18">
      <c r="A44" s="87"/>
      <c r="B44" s="87"/>
      <c r="C44" s="88"/>
      <c r="D44" s="89"/>
      <c r="E44" s="90"/>
      <c r="F44" s="69"/>
      <c r="G44" s="70"/>
      <c r="H44" s="71"/>
      <c r="I44" s="66"/>
      <c r="J44" s="67"/>
      <c r="K44" s="145" t="str">
        <f t="shared" si="0"/>
        <v/>
      </c>
      <c r="L44" s="64"/>
      <c r="M44" s="64"/>
      <c r="N44" s="152" t="str">
        <f t="shared" si="1"/>
        <v/>
      </c>
      <c r="O44" s="158" t="str">
        <f t="shared" si="2"/>
        <v/>
      </c>
      <c r="P44" s="5" t="str">
        <f t="shared" si="3"/>
        <v/>
      </c>
      <c r="Q44" s="5" t="str">
        <f t="shared" si="4"/>
        <v/>
      </c>
      <c r="R44" s="5" t="str">
        <f t="shared" si="5"/>
        <v/>
      </c>
    </row>
    <row r="45" spans="1:18">
      <c r="A45" s="87"/>
      <c r="B45" s="87"/>
      <c r="C45" s="88"/>
      <c r="D45" s="89"/>
      <c r="E45" s="90"/>
      <c r="F45" s="69"/>
      <c r="G45" s="70"/>
      <c r="H45" s="71"/>
      <c r="I45" s="66"/>
      <c r="J45" s="67"/>
      <c r="K45" s="145" t="str">
        <f t="shared" si="0"/>
        <v/>
      </c>
      <c r="L45" s="64"/>
      <c r="M45" s="64"/>
      <c r="N45" s="152" t="str">
        <f t="shared" si="1"/>
        <v/>
      </c>
      <c r="O45" s="158" t="str">
        <f t="shared" si="2"/>
        <v/>
      </c>
      <c r="P45" s="5" t="str">
        <f t="shared" si="3"/>
        <v/>
      </c>
      <c r="Q45" s="5" t="str">
        <f t="shared" si="4"/>
        <v/>
      </c>
      <c r="R45" s="5" t="str">
        <f t="shared" si="5"/>
        <v/>
      </c>
    </row>
    <row r="46" spans="1:18">
      <c r="A46" s="87"/>
      <c r="B46" s="87"/>
      <c r="C46" s="88"/>
      <c r="D46" s="89"/>
      <c r="E46" s="90"/>
      <c r="F46" s="69"/>
      <c r="G46" s="70"/>
      <c r="H46" s="71"/>
      <c r="I46" s="66"/>
      <c r="J46" s="67"/>
      <c r="K46" s="145" t="str">
        <f t="shared" si="0"/>
        <v/>
      </c>
      <c r="L46" s="64"/>
      <c r="M46" s="64"/>
      <c r="N46" s="152" t="str">
        <f t="shared" si="1"/>
        <v/>
      </c>
      <c r="O46" s="158" t="str">
        <f t="shared" si="2"/>
        <v/>
      </c>
      <c r="P46" s="5" t="str">
        <f t="shared" si="3"/>
        <v/>
      </c>
      <c r="Q46" s="5" t="str">
        <f t="shared" si="4"/>
        <v/>
      </c>
      <c r="R46" s="5" t="str">
        <f t="shared" si="5"/>
        <v/>
      </c>
    </row>
    <row r="47" spans="1:18">
      <c r="A47" s="87"/>
      <c r="B47" s="87"/>
      <c r="C47" s="88"/>
      <c r="D47" s="89"/>
      <c r="E47" s="90"/>
      <c r="F47" s="69"/>
      <c r="G47" s="70"/>
      <c r="H47" s="71"/>
      <c r="I47" s="66"/>
      <c r="J47" s="67"/>
      <c r="K47" s="145" t="str">
        <f t="shared" si="0"/>
        <v/>
      </c>
      <c r="L47" s="64"/>
      <c r="M47" s="64"/>
      <c r="N47" s="152" t="str">
        <f t="shared" si="1"/>
        <v/>
      </c>
      <c r="O47" s="158" t="str">
        <f t="shared" si="2"/>
        <v/>
      </c>
      <c r="P47" s="5" t="str">
        <f t="shared" si="3"/>
        <v/>
      </c>
      <c r="Q47" s="5" t="str">
        <f t="shared" si="4"/>
        <v/>
      </c>
      <c r="R47" s="5" t="str">
        <f t="shared" si="5"/>
        <v/>
      </c>
    </row>
    <row r="48" spans="1:18">
      <c r="A48" s="87"/>
      <c r="B48" s="87"/>
      <c r="C48" s="88"/>
      <c r="D48" s="89"/>
      <c r="E48" s="90"/>
      <c r="F48" s="69"/>
      <c r="G48" s="70"/>
      <c r="H48" s="71"/>
      <c r="I48" s="66"/>
      <c r="J48" s="67"/>
      <c r="K48" s="145" t="str">
        <f t="shared" si="0"/>
        <v/>
      </c>
      <c r="L48" s="64"/>
      <c r="M48" s="64"/>
      <c r="N48" s="152" t="str">
        <f t="shared" si="1"/>
        <v/>
      </c>
      <c r="O48" s="158" t="str">
        <f t="shared" si="2"/>
        <v/>
      </c>
      <c r="P48" s="5" t="str">
        <f t="shared" si="3"/>
        <v/>
      </c>
      <c r="Q48" s="5" t="str">
        <f t="shared" si="4"/>
        <v/>
      </c>
      <c r="R48" s="5" t="str">
        <f t="shared" si="5"/>
        <v/>
      </c>
    </row>
    <row r="49" spans="1:18">
      <c r="A49" s="87"/>
      <c r="B49" s="87"/>
      <c r="C49" s="88"/>
      <c r="D49" s="89"/>
      <c r="E49" s="90"/>
      <c r="F49" s="69"/>
      <c r="G49" s="70"/>
      <c r="H49" s="71"/>
      <c r="I49" s="66"/>
      <c r="J49" s="67"/>
      <c r="K49" s="145" t="str">
        <f t="shared" si="0"/>
        <v/>
      </c>
      <c r="L49" s="64"/>
      <c r="M49" s="64"/>
      <c r="N49" s="152" t="str">
        <f t="shared" si="1"/>
        <v/>
      </c>
      <c r="O49" s="158" t="str">
        <f t="shared" si="2"/>
        <v/>
      </c>
      <c r="P49" s="5" t="str">
        <f t="shared" si="3"/>
        <v/>
      </c>
      <c r="Q49" s="5" t="str">
        <f t="shared" si="4"/>
        <v/>
      </c>
      <c r="R49" s="5" t="str">
        <f t="shared" si="5"/>
        <v/>
      </c>
    </row>
    <row r="50" spans="1:18">
      <c r="A50" s="87"/>
      <c r="B50" s="87"/>
      <c r="C50" s="88"/>
      <c r="D50" s="89"/>
      <c r="E50" s="90"/>
      <c r="F50" s="69"/>
      <c r="G50" s="70"/>
      <c r="H50" s="71"/>
      <c r="I50" s="66"/>
      <c r="J50" s="67"/>
      <c r="K50" s="145" t="str">
        <f t="shared" si="0"/>
        <v/>
      </c>
      <c r="L50" s="64"/>
      <c r="M50" s="64"/>
      <c r="N50" s="152" t="str">
        <f t="shared" si="1"/>
        <v/>
      </c>
      <c r="O50" s="158" t="str">
        <f t="shared" si="2"/>
        <v/>
      </c>
      <c r="P50" s="5" t="str">
        <f t="shared" si="3"/>
        <v/>
      </c>
      <c r="Q50" s="5" t="str">
        <f t="shared" si="4"/>
        <v/>
      </c>
      <c r="R50" s="5" t="str">
        <f t="shared" si="5"/>
        <v/>
      </c>
    </row>
    <row r="51" spans="1:18">
      <c r="A51" s="87"/>
      <c r="B51" s="87"/>
      <c r="C51" s="88"/>
      <c r="D51" s="89"/>
      <c r="E51" s="90"/>
      <c r="F51" s="69"/>
      <c r="G51" s="70"/>
      <c r="H51" s="71"/>
      <c r="I51" s="66"/>
      <c r="J51" s="67"/>
      <c r="K51" s="145" t="str">
        <f t="shared" si="0"/>
        <v/>
      </c>
      <c r="L51" s="64"/>
      <c r="M51" s="64"/>
      <c r="N51" s="152" t="str">
        <f t="shared" si="1"/>
        <v/>
      </c>
      <c r="O51" s="158" t="str">
        <f t="shared" si="2"/>
        <v/>
      </c>
      <c r="P51" s="5" t="str">
        <f t="shared" si="3"/>
        <v/>
      </c>
      <c r="Q51" s="5" t="str">
        <f t="shared" si="4"/>
        <v/>
      </c>
      <c r="R51" s="5" t="str">
        <f t="shared" si="5"/>
        <v/>
      </c>
    </row>
    <row r="52" spans="1:18">
      <c r="A52" s="87"/>
      <c r="B52" s="87"/>
      <c r="C52" s="88"/>
      <c r="D52" s="89"/>
      <c r="E52" s="90"/>
      <c r="F52" s="69"/>
      <c r="G52" s="70"/>
      <c r="H52" s="71"/>
      <c r="I52" s="66"/>
      <c r="J52" s="67"/>
      <c r="K52" s="145" t="str">
        <f t="shared" si="0"/>
        <v/>
      </c>
      <c r="L52" s="64"/>
      <c r="M52" s="64"/>
      <c r="N52" s="152" t="str">
        <f t="shared" si="1"/>
        <v/>
      </c>
      <c r="O52" s="158" t="str">
        <f t="shared" si="2"/>
        <v/>
      </c>
      <c r="P52" s="5" t="str">
        <f t="shared" si="3"/>
        <v/>
      </c>
      <c r="Q52" s="5" t="str">
        <f t="shared" si="4"/>
        <v/>
      </c>
      <c r="R52" s="5" t="str">
        <f t="shared" si="5"/>
        <v/>
      </c>
    </row>
    <row r="53" spans="1:18">
      <c r="A53" s="87"/>
      <c r="B53" s="87"/>
      <c r="C53" s="88"/>
      <c r="D53" s="89"/>
      <c r="E53" s="90"/>
      <c r="F53" s="69"/>
      <c r="G53" s="70"/>
      <c r="H53" s="71"/>
      <c r="I53" s="66"/>
      <c r="J53" s="67"/>
      <c r="K53" s="145" t="str">
        <f t="shared" si="0"/>
        <v/>
      </c>
      <c r="L53" s="64"/>
      <c r="M53" s="64"/>
      <c r="N53" s="152" t="str">
        <f t="shared" si="1"/>
        <v/>
      </c>
      <c r="O53" s="158" t="str">
        <f t="shared" si="2"/>
        <v/>
      </c>
      <c r="P53" s="5" t="str">
        <f t="shared" si="3"/>
        <v/>
      </c>
      <c r="Q53" s="5" t="str">
        <f t="shared" si="4"/>
        <v/>
      </c>
      <c r="R53" s="5" t="str">
        <f t="shared" si="5"/>
        <v/>
      </c>
    </row>
    <row r="54" spans="1:18">
      <c r="A54" s="87"/>
      <c r="B54" s="87"/>
      <c r="C54" s="88"/>
      <c r="D54" s="89"/>
      <c r="E54" s="90"/>
      <c r="F54" s="69"/>
      <c r="G54" s="70"/>
      <c r="H54" s="71"/>
      <c r="I54" s="66"/>
      <c r="J54" s="67"/>
      <c r="K54" s="145" t="str">
        <f t="shared" si="0"/>
        <v/>
      </c>
      <c r="L54" s="64"/>
      <c r="M54" s="64"/>
      <c r="N54" s="152" t="str">
        <f t="shared" si="1"/>
        <v/>
      </c>
      <c r="O54" s="158" t="str">
        <f t="shared" si="2"/>
        <v/>
      </c>
      <c r="P54" s="5" t="str">
        <f t="shared" si="3"/>
        <v/>
      </c>
      <c r="Q54" s="5" t="str">
        <f t="shared" si="4"/>
        <v/>
      </c>
      <c r="R54" s="5" t="str">
        <f t="shared" si="5"/>
        <v/>
      </c>
    </row>
    <row r="55" spans="1:18">
      <c r="A55" s="87"/>
      <c r="B55" s="87"/>
      <c r="C55" s="88"/>
      <c r="D55" s="89"/>
      <c r="E55" s="90"/>
      <c r="F55" s="69"/>
      <c r="G55" s="70"/>
      <c r="H55" s="71"/>
      <c r="I55" s="66"/>
      <c r="J55" s="67"/>
      <c r="K55" s="145" t="str">
        <f t="shared" si="0"/>
        <v/>
      </c>
      <c r="L55" s="64"/>
      <c r="M55" s="64"/>
      <c r="N55" s="152" t="str">
        <f t="shared" si="1"/>
        <v/>
      </c>
      <c r="O55" s="158" t="str">
        <f t="shared" si="2"/>
        <v/>
      </c>
      <c r="P55" s="5" t="str">
        <f t="shared" si="3"/>
        <v/>
      </c>
      <c r="Q55" s="5" t="str">
        <f t="shared" si="4"/>
        <v/>
      </c>
      <c r="R55" s="5" t="str">
        <f t="shared" si="5"/>
        <v/>
      </c>
    </row>
    <row r="56" spans="1:18">
      <c r="A56" s="87"/>
      <c r="B56" s="87"/>
      <c r="C56" s="88"/>
      <c r="D56" s="89"/>
      <c r="E56" s="90"/>
      <c r="F56" s="69"/>
      <c r="G56" s="70"/>
      <c r="H56" s="71"/>
      <c r="I56" s="66"/>
      <c r="J56" s="67"/>
      <c r="K56" s="145" t="str">
        <f t="shared" si="0"/>
        <v/>
      </c>
      <c r="L56" s="64"/>
      <c r="M56" s="64"/>
      <c r="N56" s="152" t="str">
        <f t="shared" si="1"/>
        <v/>
      </c>
      <c r="O56" s="158" t="str">
        <f t="shared" si="2"/>
        <v/>
      </c>
      <c r="P56" s="5" t="str">
        <f t="shared" si="3"/>
        <v/>
      </c>
      <c r="Q56" s="5" t="str">
        <f t="shared" si="4"/>
        <v/>
      </c>
      <c r="R56" s="5" t="str">
        <f t="shared" si="5"/>
        <v/>
      </c>
    </row>
    <row r="57" spans="1:18">
      <c r="A57" s="87"/>
      <c r="B57" s="87"/>
      <c r="C57" s="88"/>
      <c r="D57" s="89"/>
      <c r="E57" s="90"/>
      <c r="F57" s="69"/>
      <c r="G57" s="70"/>
      <c r="H57" s="71"/>
      <c r="I57" s="66"/>
      <c r="J57" s="67"/>
      <c r="K57" s="145" t="str">
        <f t="shared" si="0"/>
        <v/>
      </c>
      <c r="L57" s="64"/>
      <c r="M57" s="64"/>
      <c r="N57" s="152" t="str">
        <f t="shared" si="1"/>
        <v/>
      </c>
      <c r="O57" s="158" t="str">
        <f t="shared" si="2"/>
        <v/>
      </c>
      <c r="P57" s="5" t="str">
        <f t="shared" si="3"/>
        <v/>
      </c>
      <c r="Q57" s="5" t="str">
        <f t="shared" si="4"/>
        <v/>
      </c>
      <c r="R57" s="5" t="str">
        <f t="shared" si="5"/>
        <v/>
      </c>
    </row>
    <row r="58" spans="1:18">
      <c r="A58" s="87"/>
      <c r="B58" s="87"/>
      <c r="C58" s="88"/>
      <c r="D58" s="89"/>
      <c r="E58" s="90"/>
      <c r="F58" s="69"/>
      <c r="G58" s="70"/>
      <c r="H58" s="71"/>
      <c r="I58" s="66"/>
      <c r="J58" s="67"/>
      <c r="K58" s="145" t="str">
        <f t="shared" si="0"/>
        <v/>
      </c>
      <c r="L58" s="64"/>
      <c r="M58" s="64"/>
      <c r="N58" s="152" t="str">
        <f t="shared" si="1"/>
        <v/>
      </c>
      <c r="O58" s="158" t="str">
        <f t="shared" si="2"/>
        <v/>
      </c>
      <c r="P58" s="5" t="str">
        <f t="shared" si="3"/>
        <v/>
      </c>
      <c r="Q58" s="5" t="str">
        <f t="shared" si="4"/>
        <v/>
      </c>
      <c r="R58" s="5" t="str">
        <f t="shared" si="5"/>
        <v/>
      </c>
    </row>
    <row r="59" spans="1:18">
      <c r="A59" s="87"/>
      <c r="B59" s="87"/>
      <c r="C59" s="88"/>
      <c r="D59" s="89"/>
      <c r="E59" s="90"/>
      <c r="F59" s="69"/>
      <c r="G59" s="70"/>
      <c r="H59" s="71"/>
      <c r="I59" s="66"/>
      <c r="J59" s="67"/>
      <c r="K59" s="145" t="str">
        <f t="shared" si="0"/>
        <v/>
      </c>
      <c r="L59" s="64"/>
      <c r="M59" s="64"/>
      <c r="N59" s="152" t="str">
        <f t="shared" si="1"/>
        <v/>
      </c>
      <c r="O59" s="158" t="str">
        <f t="shared" si="2"/>
        <v/>
      </c>
      <c r="P59" s="5" t="str">
        <f t="shared" si="3"/>
        <v/>
      </c>
      <c r="Q59" s="5" t="str">
        <f t="shared" si="4"/>
        <v/>
      </c>
      <c r="R59" s="5" t="str">
        <f t="shared" si="5"/>
        <v/>
      </c>
    </row>
    <row r="60" spans="1:18">
      <c r="A60" s="87"/>
      <c r="B60" s="87"/>
      <c r="C60" s="88"/>
      <c r="D60" s="89"/>
      <c r="E60" s="90"/>
      <c r="F60" s="69"/>
      <c r="G60" s="70"/>
      <c r="H60" s="71"/>
      <c r="I60" s="66"/>
      <c r="J60" s="67"/>
      <c r="K60" s="145" t="str">
        <f t="shared" si="0"/>
        <v/>
      </c>
      <c r="L60" s="64"/>
      <c r="M60" s="64"/>
      <c r="N60" s="152" t="str">
        <f t="shared" si="1"/>
        <v/>
      </c>
      <c r="O60" s="158" t="str">
        <f t="shared" si="2"/>
        <v/>
      </c>
      <c r="P60" s="5" t="str">
        <f t="shared" si="3"/>
        <v/>
      </c>
      <c r="Q60" s="5" t="str">
        <f t="shared" si="4"/>
        <v/>
      </c>
      <c r="R60" s="5" t="str">
        <f t="shared" si="5"/>
        <v/>
      </c>
    </row>
    <row r="61" spans="1:18">
      <c r="A61" s="87"/>
      <c r="B61" s="87"/>
      <c r="C61" s="88"/>
      <c r="D61" s="89"/>
      <c r="E61" s="90"/>
      <c r="F61" s="69"/>
      <c r="G61" s="70"/>
      <c r="H61" s="71"/>
      <c r="I61" s="66"/>
      <c r="J61" s="67"/>
      <c r="K61" s="145" t="str">
        <f t="shared" si="0"/>
        <v/>
      </c>
      <c r="L61" s="64"/>
      <c r="M61" s="64"/>
      <c r="N61" s="152" t="str">
        <f t="shared" si="1"/>
        <v/>
      </c>
      <c r="O61" s="158" t="str">
        <f t="shared" si="2"/>
        <v/>
      </c>
      <c r="P61" s="5" t="str">
        <f t="shared" si="3"/>
        <v/>
      </c>
      <c r="Q61" s="5" t="str">
        <f t="shared" si="4"/>
        <v/>
      </c>
      <c r="R61" s="5" t="str">
        <f t="shared" si="5"/>
        <v/>
      </c>
    </row>
    <row r="62" spans="1:18">
      <c r="A62" s="87"/>
      <c r="B62" s="87"/>
      <c r="C62" s="88"/>
      <c r="D62" s="89"/>
      <c r="E62" s="90"/>
      <c r="F62" s="69"/>
      <c r="G62" s="70"/>
      <c r="H62" s="71"/>
      <c r="I62" s="66"/>
      <c r="J62" s="67"/>
      <c r="K62" s="145" t="str">
        <f t="shared" si="0"/>
        <v/>
      </c>
      <c r="L62" s="64"/>
      <c r="M62" s="64"/>
      <c r="N62" s="152" t="str">
        <f t="shared" si="1"/>
        <v/>
      </c>
      <c r="O62" s="158" t="str">
        <f t="shared" si="2"/>
        <v/>
      </c>
      <c r="P62" s="5" t="str">
        <f t="shared" si="3"/>
        <v/>
      </c>
      <c r="Q62" s="5" t="str">
        <f t="shared" si="4"/>
        <v/>
      </c>
      <c r="R62" s="5" t="str">
        <f t="shared" si="5"/>
        <v/>
      </c>
    </row>
    <row r="63" spans="1:18">
      <c r="A63" s="87"/>
      <c r="B63" s="87"/>
      <c r="C63" s="88"/>
      <c r="D63" s="89"/>
      <c r="E63" s="90"/>
      <c r="F63" s="69"/>
      <c r="G63" s="70"/>
      <c r="H63" s="71"/>
      <c r="I63" s="66"/>
      <c r="J63" s="67"/>
      <c r="K63" s="145" t="str">
        <f t="shared" si="0"/>
        <v/>
      </c>
      <c r="L63" s="64"/>
      <c r="M63" s="64"/>
      <c r="N63" s="152" t="str">
        <f t="shared" si="1"/>
        <v/>
      </c>
      <c r="O63" s="158" t="str">
        <f t="shared" si="2"/>
        <v/>
      </c>
      <c r="P63" s="5" t="str">
        <f t="shared" si="3"/>
        <v/>
      </c>
      <c r="Q63" s="5" t="str">
        <f t="shared" si="4"/>
        <v/>
      </c>
      <c r="R63" s="5" t="str">
        <f t="shared" si="5"/>
        <v/>
      </c>
    </row>
    <row r="64" spans="1:18">
      <c r="A64" s="87"/>
      <c r="B64" s="87"/>
      <c r="C64" s="88"/>
      <c r="D64" s="89"/>
      <c r="E64" s="90"/>
      <c r="F64" s="69"/>
      <c r="G64" s="70"/>
      <c r="H64" s="71"/>
      <c r="I64" s="66"/>
      <c r="J64" s="67"/>
      <c r="K64" s="145" t="str">
        <f t="shared" si="0"/>
        <v/>
      </c>
      <c r="L64" s="64"/>
      <c r="M64" s="64"/>
      <c r="N64" s="152" t="str">
        <f t="shared" si="1"/>
        <v/>
      </c>
      <c r="O64" s="158" t="str">
        <f t="shared" si="2"/>
        <v/>
      </c>
      <c r="P64" s="5" t="str">
        <f t="shared" si="3"/>
        <v/>
      </c>
      <c r="Q64" s="5" t="str">
        <f t="shared" si="4"/>
        <v/>
      </c>
      <c r="R64" s="5" t="str">
        <f t="shared" si="5"/>
        <v/>
      </c>
    </row>
    <row r="65" spans="1:18">
      <c r="A65" s="87"/>
      <c r="B65" s="87"/>
      <c r="C65" s="88"/>
      <c r="D65" s="89"/>
      <c r="E65" s="90"/>
      <c r="F65" s="69"/>
      <c r="G65" s="70"/>
      <c r="H65" s="71"/>
      <c r="I65" s="66"/>
      <c r="J65" s="67"/>
      <c r="K65" s="145" t="str">
        <f t="shared" si="0"/>
        <v/>
      </c>
      <c r="L65" s="64"/>
      <c r="M65" s="64"/>
      <c r="N65" s="152" t="str">
        <f t="shared" si="1"/>
        <v/>
      </c>
      <c r="O65" s="158" t="str">
        <f t="shared" si="2"/>
        <v/>
      </c>
      <c r="P65" s="5" t="str">
        <f t="shared" si="3"/>
        <v/>
      </c>
      <c r="Q65" s="5" t="str">
        <f t="shared" si="4"/>
        <v/>
      </c>
      <c r="R65" s="5" t="str">
        <f t="shared" si="5"/>
        <v/>
      </c>
    </row>
    <row r="66" spans="1:18">
      <c r="A66" s="87"/>
      <c r="B66" s="87"/>
      <c r="C66" s="88"/>
      <c r="D66" s="89"/>
      <c r="E66" s="90"/>
      <c r="F66" s="69"/>
      <c r="G66" s="70"/>
      <c r="H66" s="71"/>
      <c r="I66" s="66"/>
      <c r="J66" s="67"/>
      <c r="K66" s="145" t="str">
        <f t="shared" si="0"/>
        <v/>
      </c>
      <c r="L66" s="64"/>
      <c r="M66" s="64"/>
      <c r="N66" s="152" t="str">
        <f t="shared" si="1"/>
        <v/>
      </c>
      <c r="O66" s="158" t="str">
        <f t="shared" si="2"/>
        <v/>
      </c>
      <c r="P66" s="5" t="str">
        <f t="shared" si="3"/>
        <v/>
      </c>
      <c r="Q66" s="5" t="str">
        <f t="shared" si="4"/>
        <v/>
      </c>
      <c r="R66" s="5" t="str">
        <f t="shared" si="5"/>
        <v/>
      </c>
    </row>
    <row r="67" spans="1:18">
      <c r="A67" s="87"/>
      <c r="B67" s="87"/>
      <c r="C67" s="88"/>
      <c r="D67" s="89"/>
      <c r="E67" s="90"/>
      <c r="F67" s="69"/>
      <c r="G67" s="70"/>
      <c r="H67" s="71"/>
      <c r="I67" s="66"/>
      <c r="J67" s="67"/>
      <c r="K67" s="145" t="str">
        <f t="shared" si="0"/>
        <v/>
      </c>
      <c r="L67" s="64"/>
      <c r="M67" s="64"/>
      <c r="N67" s="152" t="str">
        <f t="shared" si="1"/>
        <v/>
      </c>
      <c r="O67" s="158" t="str">
        <f t="shared" si="2"/>
        <v/>
      </c>
      <c r="P67" s="5" t="str">
        <f t="shared" si="3"/>
        <v/>
      </c>
      <c r="Q67" s="5" t="str">
        <f t="shared" si="4"/>
        <v/>
      </c>
      <c r="R67" s="5" t="str">
        <f t="shared" si="5"/>
        <v/>
      </c>
    </row>
    <row r="68" spans="1:18">
      <c r="A68" s="87"/>
      <c r="B68" s="87"/>
      <c r="C68" s="88"/>
      <c r="D68" s="89"/>
      <c r="E68" s="90"/>
      <c r="F68" s="69"/>
      <c r="G68" s="70"/>
      <c r="H68" s="71"/>
      <c r="I68" s="66"/>
      <c r="J68" s="67"/>
      <c r="K68" s="145" t="str">
        <f t="shared" si="0"/>
        <v/>
      </c>
      <c r="L68" s="64"/>
      <c r="M68" s="64"/>
      <c r="N68" s="152" t="str">
        <f t="shared" si="1"/>
        <v/>
      </c>
      <c r="O68" s="158" t="str">
        <f t="shared" si="2"/>
        <v/>
      </c>
      <c r="P68" s="5" t="str">
        <f t="shared" si="3"/>
        <v/>
      </c>
      <c r="Q68" s="5" t="str">
        <f t="shared" si="4"/>
        <v/>
      </c>
      <c r="R68" s="5" t="str">
        <f t="shared" si="5"/>
        <v/>
      </c>
    </row>
    <row r="69" spans="1:18">
      <c r="A69" s="87"/>
      <c r="B69" s="87"/>
      <c r="C69" s="88"/>
      <c r="D69" s="89"/>
      <c r="E69" s="90"/>
      <c r="F69" s="69"/>
      <c r="G69" s="70"/>
      <c r="H69" s="71"/>
      <c r="I69" s="66"/>
      <c r="J69" s="67"/>
      <c r="K69" s="145" t="str">
        <f t="shared" si="0"/>
        <v/>
      </c>
      <c r="L69" s="64"/>
      <c r="M69" s="64"/>
      <c r="N69" s="152" t="str">
        <f t="shared" si="1"/>
        <v/>
      </c>
      <c r="O69" s="158" t="str">
        <f t="shared" si="2"/>
        <v/>
      </c>
      <c r="P69" s="5" t="str">
        <f t="shared" si="3"/>
        <v/>
      </c>
      <c r="Q69" s="5" t="str">
        <f t="shared" si="4"/>
        <v/>
      </c>
      <c r="R69" s="5" t="str">
        <f t="shared" si="5"/>
        <v/>
      </c>
    </row>
    <row r="70" spans="1:18">
      <c r="A70" s="87"/>
      <c r="B70" s="87"/>
      <c r="C70" s="88"/>
      <c r="D70" s="89"/>
      <c r="E70" s="90"/>
      <c r="F70" s="69"/>
      <c r="G70" s="70"/>
      <c r="H70" s="71"/>
      <c r="I70" s="66"/>
      <c r="J70" s="67"/>
      <c r="K70" s="145" t="str">
        <f t="shared" si="0"/>
        <v/>
      </c>
      <c r="L70" s="64"/>
      <c r="M70" s="64"/>
      <c r="N70" s="152" t="str">
        <f t="shared" si="1"/>
        <v/>
      </c>
      <c r="O70" s="158" t="str">
        <f t="shared" si="2"/>
        <v/>
      </c>
      <c r="P70" s="5" t="str">
        <f t="shared" si="3"/>
        <v/>
      </c>
      <c r="Q70" s="5" t="str">
        <f t="shared" si="4"/>
        <v/>
      </c>
      <c r="R70" s="5" t="str">
        <f t="shared" si="5"/>
        <v/>
      </c>
    </row>
    <row r="71" spans="1:18">
      <c r="A71" s="87"/>
      <c r="B71" s="87"/>
      <c r="C71" s="88"/>
      <c r="D71" s="89"/>
      <c r="E71" s="90"/>
      <c r="F71" s="69"/>
      <c r="G71" s="70"/>
      <c r="H71" s="71"/>
      <c r="I71" s="66"/>
      <c r="J71" s="67"/>
      <c r="K71" s="145" t="str">
        <f t="shared" ref="K71:K134" si="6">IF($C71="","",IF($I71+$J71=0,0,$I71/($I71+$J71)))</f>
        <v/>
      </c>
      <c r="L71" s="64"/>
      <c r="M71" s="64"/>
      <c r="N71" s="152" t="str">
        <f t="shared" ref="N71:N134" si="7">IF($C71="","",($L71-($M71/2)))</f>
        <v/>
      </c>
      <c r="O71" s="158" t="str">
        <f t="shared" ref="O71:O134" si="8">IF(C71="","",IF(TRIM($B71)="beginning",(((SUM($P71:$R71)-4563)/1771)*40)+360,IF(TRIM($B71)="middle",(((SUM($P71:$R71)-4563)/1771)*40)+400,IF(TRIM($B71)="end",(((SUM($P71:$R71)-4563)/1771)*40)+440,""))))</f>
        <v/>
      </c>
      <c r="P71" s="5" t="str">
        <f t="shared" ref="P71:P134" si="9">IF($C71="","",I71*36.42)</f>
        <v/>
      </c>
      <c r="Q71" s="5" t="str">
        <f t="shared" ref="Q71:Q134" si="10">IF($C71="","",K71*0.06)</f>
        <v/>
      </c>
      <c r="R71" s="5" t="str">
        <f t="shared" ref="R71:R134" si="11">IF($C71="","",N71*6.29)</f>
        <v/>
      </c>
    </row>
    <row r="72" spans="1:18">
      <c r="A72" s="87"/>
      <c r="B72" s="87"/>
      <c r="C72" s="88"/>
      <c r="D72" s="89"/>
      <c r="E72" s="90"/>
      <c r="F72" s="69"/>
      <c r="G72" s="70"/>
      <c r="H72" s="71"/>
      <c r="I72" s="66"/>
      <c r="J72" s="67"/>
      <c r="K72" s="145" t="str">
        <f t="shared" si="6"/>
        <v/>
      </c>
      <c r="L72" s="64"/>
      <c r="M72" s="64"/>
      <c r="N72" s="152" t="str">
        <f t="shared" si="7"/>
        <v/>
      </c>
      <c r="O72" s="158"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2" t="str">
        <f t="shared" si="7"/>
        <v/>
      </c>
      <c r="O73" s="158"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2" t="str">
        <f t="shared" si="7"/>
        <v/>
      </c>
      <c r="O74" s="158"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2" t="str">
        <f t="shared" si="7"/>
        <v/>
      </c>
      <c r="O75" s="158"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2" t="str">
        <f t="shared" si="7"/>
        <v/>
      </c>
      <c r="O76" s="158"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2" t="str">
        <f t="shared" si="7"/>
        <v/>
      </c>
      <c r="O77" s="158"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2" t="str">
        <f t="shared" si="7"/>
        <v/>
      </c>
      <c r="O78" s="158"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2" t="str">
        <f t="shared" si="7"/>
        <v/>
      </c>
      <c r="O79" s="158"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2" t="str">
        <f t="shared" si="7"/>
        <v/>
      </c>
      <c r="O80" s="158"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2" t="str">
        <f t="shared" si="7"/>
        <v/>
      </c>
      <c r="O81" s="158"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2" t="str">
        <f t="shared" si="7"/>
        <v/>
      </c>
      <c r="O82" s="158"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2" t="str">
        <f t="shared" si="7"/>
        <v/>
      </c>
      <c r="O83" s="158"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2" t="str">
        <f t="shared" si="7"/>
        <v/>
      </c>
      <c r="O84" s="158"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2" t="str">
        <f t="shared" si="7"/>
        <v/>
      </c>
      <c r="O85" s="158"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2" t="str">
        <f t="shared" si="7"/>
        <v/>
      </c>
      <c r="O86" s="158"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2" t="str">
        <f t="shared" si="7"/>
        <v/>
      </c>
      <c r="O87" s="158"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2" t="str">
        <f t="shared" si="7"/>
        <v/>
      </c>
      <c r="O88" s="158"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2" t="str">
        <f t="shared" si="7"/>
        <v/>
      </c>
      <c r="O89" s="158"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2" t="str">
        <f t="shared" si="7"/>
        <v/>
      </c>
      <c r="O90" s="158"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2" t="str">
        <f t="shared" si="7"/>
        <v/>
      </c>
      <c r="O91" s="158"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2" t="str">
        <f t="shared" si="7"/>
        <v/>
      </c>
      <c r="O92" s="158"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2" t="str">
        <f t="shared" si="7"/>
        <v/>
      </c>
      <c r="O93" s="158"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2" t="str">
        <f t="shared" si="7"/>
        <v/>
      </c>
      <c r="O94" s="158"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2" t="str">
        <f t="shared" si="7"/>
        <v/>
      </c>
      <c r="O95" s="158"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2" t="str">
        <f t="shared" si="7"/>
        <v/>
      </c>
      <c r="O96" s="158"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2" t="str">
        <f t="shared" si="7"/>
        <v/>
      </c>
      <c r="O97" s="158"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2" t="str">
        <f t="shared" si="7"/>
        <v/>
      </c>
      <c r="O98" s="158"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2" t="str">
        <f t="shared" si="7"/>
        <v/>
      </c>
      <c r="O99" s="158"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2" t="str">
        <f t="shared" si="7"/>
        <v/>
      </c>
      <c r="O100" s="158"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2" t="str">
        <f t="shared" si="7"/>
        <v/>
      </c>
      <c r="O101" s="158"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2" t="str">
        <f t="shared" si="7"/>
        <v/>
      </c>
      <c r="O102" s="158"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2" t="str">
        <f t="shared" si="7"/>
        <v/>
      </c>
      <c r="O103" s="158"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2" t="str">
        <f t="shared" si="7"/>
        <v/>
      </c>
      <c r="O104" s="158"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2" t="str">
        <f t="shared" si="7"/>
        <v/>
      </c>
      <c r="O105" s="158"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2" t="str">
        <f t="shared" si="7"/>
        <v/>
      </c>
      <c r="O106" s="158"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2" t="str">
        <f t="shared" si="7"/>
        <v/>
      </c>
      <c r="O107" s="158"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2" t="str">
        <f t="shared" si="7"/>
        <v/>
      </c>
      <c r="O108" s="158"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2" t="str">
        <f t="shared" si="7"/>
        <v/>
      </c>
      <c r="O109" s="158"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2" t="str">
        <f t="shared" si="7"/>
        <v/>
      </c>
      <c r="O110" s="158"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2" t="str">
        <f t="shared" si="7"/>
        <v/>
      </c>
      <c r="O111" s="158"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2" t="str">
        <f t="shared" si="7"/>
        <v/>
      </c>
      <c r="O112" s="158"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2" t="str">
        <f t="shared" si="7"/>
        <v/>
      </c>
      <c r="O113" s="158"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2" t="str">
        <f t="shared" si="7"/>
        <v/>
      </c>
      <c r="O114" s="158"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2" t="str">
        <f t="shared" si="7"/>
        <v/>
      </c>
      <c r="O115" s="158"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2" t="str">
        <f t="shared" si="7"/>
        <v/>
      </c>
      <c r="O116" s="158"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2" t="str">
        <f t="shared" si="7"/>
        <v/>
      </c>
      <c r="O117" s="158"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2" t="str">
        <f t="shared" si="7"/>
        <v/>
      </c>
      <c r="O118" s="158"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2" t="str">
        <f t="shared" si="7"/>
        <v/>
      </c>
      <c r="O119" s="158"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2" t="str">
        <f t="shared" si="7"/>
        <v/>
      </c>
      <c r="O120" s="158"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2" t="str">
        <f t="shared" si="7"/>
        <v/>
      </c>
      <c r="O121" s="158"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2" t="str">
        <f t="shared" si="7"/>
        <v/>
      </c>
      <c r="O122" s="158"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2" t="str">
        <f t="shared" si="7"/>
        <v/>
      </c>
      <c r="O123" s="158"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2" t="str">
        <f t="shared" si="7"/>
        <v/>
      </c>
      <c r="O124" s="158"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2" t="str">
        <f t="shared" si="7"/>
        <v/>
      </c>
      <c r="O125" s="158"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2" t="str">
        <f t="shared" si="7"/>
        <v/>
      </c>
      <c r="O126" s="158"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2" t="str">
        <f t="shared" si="7"/>
        <v/>
      </c>
      <c r="O127" s="158"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2" t="str">
        <f t="shared" si="7"/>
        <v/>
      </c>
      <c r="O128" s="158"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2" t="str">
        <f t="shared" si="7"/>
        <v/>
      </c>
      <c r="O129" s="158"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2" t="str">
        <f t="shared" si="7"/>
        <v/>
      </c>
      <c r="O130" s="158"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2" t="str">
        <f t="shared" si="7"/>
        <v/>
      </c>
      <c r="O131" s="158"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2" t="str">
        <f t="shared" si="7"/>
        <v/>
      </c>
      <c r="O132" s="158"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2" t="str">
        <f t="shared" si="7"/>
        <v/>
      </c>
      <c r="O133" s="158"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2" t="str">
        <f t="shared" si="7"/>
        <v/>
      </c>
      <c r="O134" s="158"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2" t="str">
        <f t="shared" ref="N135:N198" si="13">IF($C135="","",($L135-($M135/2)))</f>
        <v/>
      </c>
      <c r="O135" s="158" t="str">
        <f t="shared" ref="O135:O198" si="14">IF(C135="","",IF(TRIM($B135)="beginning",(((SUM($P135:$R135)-4563)/1771)*40)+360,IF(TRIM($B135)="middle",(((SUM($P135:$R135)-4563)/1771)*40)+400,IF(TRIM($B135)="end",(((SUM($P135:$R135)-4563)/1771)*40)+440,""))))</f>
        <v/>
      </c>
      <c r="P135" s="5" t="str">
        <f t="shared" ref="P135:P198" si="15">IF($C135="","",I135*36.42)</f>
        <v/>
      </c>
      <c r="Q135" s="5" t="str">
        <f t="shared" ref="Q135:Q198" si="16">IF($C135="","",K135*0.06)</f>
        <v/>
      </c>
      <c r="R135" s="5" t="str">
        <f t="shared" ref="R135:R198" si="17">IF($C135="","",N135*6.29)</f>
        <v/>
      </c>
    </row>
    <row r="136" spans="1:18">
      <c r="A136" s="91"/>
      <c r="B136" s="92"/>
      <c r="C136" s="69"/>
      <c r="D136" s="69"/>
      <c r="E136" s="69"/>
      <c r="F136" s="69"/>
      <c r="G136" s="70"/>
      <c r="H136" s="71"/>
      <c r="I136" s="66"/>
      <c r="J136" s="67"/>
      <c r="K136" s="145" t="str">
        <f t="shared" si="12"/>
        <v/>
      </c>
      <c r="L136" s="64"/>
      <c r="M136" s="64"/>
      <c r="N136" s="152" t="str">
        <f t="shared" si="13"/>
        <v/>
      </c>
      <c r="O136" s="158"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2" t="str">
        <f t="shared" si="13"/>
        <v/>
      </c>
      <c r="O137" s="158"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2" t="str">
        <f t="shared" si="13"/>
        <v/>
      </c>
      <c r="O138" s="158"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2" t="str">
        <f t="shared" si="13"/>
        <v/>
      </c>
      <c r="O139" s="158"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2" t="str">
        <f t="shared" si="13"/>
        <v/>
      </c>
      <c r="O140" s="158"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2" t="str">
        <f t="shared" si="13"/>
        <v/>
      </c>
      <c r="O141" s="158"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2" t="str">
        <f t="shared" si="13"/>
        <v/>
      </c>
      <c r="O142" s="158"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2" t="str">
        <f t="shared" si="13"/>
        <v/>
      </c>
      <c r="O143" s="158"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2" t="str">
        <f t="shared" si="13"/>
        <v/>
      </c>
      <c r="O144" s="158"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2" t="str">
        <f t="shared" si="13"/>
        <v/>
      </c>
      <c r="O145" s="158"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2" t="str">
        <f t="shared" si="13"/>
        <v/>
      </c>
      <c r="O146" s="158"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2" t="str">
        <f t="shared" si="13"/>
        <v/>
      </c>
      <c r="O147" s="158"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2" t="str">
        <f t="shared" si="13"/>
        <v/>
      </c>
      <c r="O148" s="158"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2" t="str">
        <f t="shared" si="13"/>
        <v/>
      </c>
      <c r="O149" s="158"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2" t="str">
        <f t="shared" si="13"/>
        <v/>
      </c>
      <c r="O150" s="158"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2" t="str">
        <f t="shared" si="13"/>
        <v/>
      </c>
      <c r="O151" s="158"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2" t="str">
        <f t="shared" si="13"/>
        <v/>
      </c>
      <c r="O152" s="158"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2" t="str">
        <f t="shared" si="13"/>
        <v/>
      </c>
      <c r="O153" s="158"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2" t="str">
        <f t="shared" si="13"/>
        <v/>
      </c>
      <c r="O154" s="158"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2" t="str">
        <f t="shared" si="13"/>
        <v/>
      </c>
      <c r="O155" s="158"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2" t="str">
        <f t="shared" si="13"/>
        <v/>
      </c>
      <c r="O156" s="158"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2" t="str">
        <f t="shared" si="13"/>
        <v/>
      </c>
      <c r="O157" s="158"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2" t="str">
        <f t="shared" si="13"/>
        <v/>
      </c>
      <c r="O158" s="158"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2" t="str">
        <f t="shared" si="13"/>
        <v/>
      </c>
      <c r="O159" s="158"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2" t="str">
        <f t="shared" si="13"/>
        <v/>
      </c>
      <c r="O160" s="158"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2" t="str">
        <f t="shared" si="13"/>
        <v/>
      </c>
      <c r="O161" s="158"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2" t="str">
        <f t="shared" si="13"/>
        <v/>
      </c>
      <c r="O162" s="158"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2" t="str">
        <f t="shared" si="13"/>
        <v/>
      </c>
      <c r="O163" s="158"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2" t="str">
        <f t="shared" si="13"/>
        <v/>
      </c>
      <c r="O164" s="158"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2" t="str">
        <f t="shared" si="13"/>
        <v/>
      </c>
      <c r="O165" s="158"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2" t="str">
        <f t="shared" si="13"/>
        <v/>
      </c>
      <c r="O166" s="158"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2" t="str">
        <f t="shared" si="13"/>
        <v/>
      </c>
      <c r="O167" s="158"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2" t="str">
        <f t="shared" si="13"/>
        <v/>
      </c>
      <c r="O168" s="158"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2" t="str">
        <f t="shared" si="13"/>
        <v/>
      </c>
      <c r="O169" s="158"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2" t="str">
        <f t="shared" si="13"/>
        <v/>
      </c>
      <c r="O170" s="158"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2" t="str">
        <f t="shared" si="13"/>
        <v/>
      </c>
      <c r="O171" s="158"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2" t="str">
        <f t="shared" si="13"/>
        <v/>
      </c>
      <c r="O172" s="158"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2" t="str">
        <f t="shared" si="13"/>
        <v/>
      </c>
      <c r="O173" s="158"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2" t="str">
        <f t="shared" si="13"/>
        <v/>
      </c>
      <c r="O174" s="158"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2" t="str">
        <f t="shared" si="13"/>
        <v/>
      </c>
      <c r="O175" s="158"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2" t="str">
        <f t="shared" si="13"/>
        <v/>
      </c>
      <c r="O176" s="158"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2" t="str">
        <f t="shared" si="13"/>
        <v/>
      </c>
      <c r="O177" s="158"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2" t="str">
        <f t="shared" si="13"/>
        <v/>
      </c>
      <c r="O178" s="158"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2" t="str">
        <f t="shared" si="13"/>
        <v/>
      </c>
      <c r="O179" s="158"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2" t="str">
        <f t="shared" si="13"/>
        <v/>
      </c>
      <c r="O180" s="158"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2" t="str">
        <f t="shared" si="13"/>
        <v/>
      </c>
      <c r="O181" s="158"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2" t="str">
        <f t="shared" si="13"/>
        <v/>
      </c>
      <c r="O182" s="158"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2" t="str">
        <f t="shared" si="13"/>
        <v/>
      </c>
      <c r="O183" s="158"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2" t="str">
        <f t="shared" si="13"/>
        <v/>
      </c>
      <c r="O184" s="158"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2" t="str">
        <f t="shared" si="13"/>
        <v/>
      </c>
      <c r="O185" s="158"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2" t="str">
        <f t="shared" si="13"/>
        <v/>
      </c>
      <c r="O186" s="158"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2" t="str">
        <f t="shared" si="13"/>
        <v/>
      </c>
      <c r="O187" s="158"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2" t="str">
        <f t="shared" si="13"/>
        <v/>
      </c>
      <c r="O188" s="158"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2" t="str">
        <f t="shared" si="13"/>
        <v/>
      </c>
      <c r="O189" s="158"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2" t="str">
        <f t="shared" si="13"/>
        <v/>
      </c>
      <c r="O190" s="158"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2" t="str">
        <f t="shared" si="13"/>
        <v/>
      </c>
      <c r="O191" s="158"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2" t="str">
        <f t="shared" si="13"/>
        <v/>
      </c>
      <c r="O192" s="158"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2" t="str">
        <f t="shared" si="13"/>
        <v/>
      </c>
      <c r="O193" s="158"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2" t="str">
        <f t="shared" si="13"/>
        <v/>
      </c>
      <c r="O194" s="158"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2" t="str">
        <f t="shared" si="13"/>
        <v/>
      </c>
      <c r="O195" s="158"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2" t="str">
        <f t="shared" si="13"/>
        <v/>
      </c>
      <c r="O196" s="158"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2" t="str">
        <f t="shared" si="13"/>
        <v/>
      </c>
      <c r="O197" s="158"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2" t="str">
        <f t="shared" si="13"/>
        <v/>
      </c>
      <c r="O198" s="158"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2" t="str">
        <f t="shared" ref="N199:N262" si="19">IF($C199="","",($L199-($M199/2)))</f>
        <v/>
      </c>
      <c r="O199" s="158" t="str">
        <f t="shared" ref="O199:O262" si="20">IF(C199="","",IF(TRIM($B199)="beginning",(((SUM($P199:$R199)-4563)/1771)*40)+360,IF(TRIM($B199)="middle",(((SUM($P199:$R199)-4563)/1771)*40)+400,IF(TRIM($B199)="end",(((SUM($P199:$R199)-4563)/1771)*40)+440,""))))</f>
        <v/>
      </c>
      <c r="P199" s="5" t="str">
        <f t="shared" ref="P199:P262" si="21">IF($C199="","",I199*36.42)</f>
        <v/>
      </c>
      <c r="Q199" s="5" t="str">
        <f t="shared" ref="Q199:Q262" si="22">IF($C199="","",K199*0.06)</f>
        <v/>
      </c>
      <c r="R199" s="5" t="str">
        <f t="shared" ref="R199:R262" si="23">IF($C199="","",N199*6.29)</f>
        <v/>
      </c>
    </row>
    <row r="200" spans="1:18">
      <c r="A200" s="91"/>
      <c r="B200" s="92"/>
      <c r="C200" s="69"/>
      <c r="D200" s="69"/>
      <c r="E200" s="69"/>
      <c r="F200" s="69"/>
      <c r="G200" s="70"/>
      <c r="H200" s="71"/>
      <c r="I200" s="66"/>
      <c r="J200" s="67"/>
      <c r="K200" s="145" t="str">
        <f t="shared" si="18"/>
        <v/>
      </c>
      <c r="L200" s="64"/>
      <c r="M200" s="64"/>
      <c r="N200" s="152" t="str">
        <f t="shared" si="19"/>
        <v/>
      </c>
      <c r="O200" s="158"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2" t="str">
        <f t="shared" si="19"/>
        <v/>
      </c>
      <c r="O201" s="158"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2" t="str">
        <f t="shared" si="19"/>
        <v/>
      </c>
      <c r="O202" s="158"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2" t="str">
        <f t="shared" si="19"/>
        <v/>
      </c>
      <c r="O203" s="158"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2" t="str">
        <f t="shared" si="19"/>
        <v/>
      </c>
      <c r="O204" s="158"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2" t="str">
        <f t="shared" si="19"/>
        <v/>
      </c>
      <c r="O205" s="158"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2" t="str">
        <f t="shared" si="19"/>
        <v/>
      </c>
      <c r="O206" s="158"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2" t="str">
        <f t="shared" si="19"/>
        <v/>
      </c>
      <c r="O207" s="158"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2" t="str">
        <f t="shared" si="19"/>
        <v/>
      </c>
      <c r="O208" s="158"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2" t="str">
        <f t="shared" si="19"/>
        <v/>
      </c>
      <c r="O209" s="158"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2" t="str">
        <f t="shared" si="19"/>
        <v/>
      </c>
      <c r="O210" s="158"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2" t="str">
        <f t="shared" si="19"/>
        <v/>
      </c>
      <c r="O211" s="158"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2" t="str">
        <f t="shared" si="19"/>
        <v/>
      </c>
      <c r="O212" s="158"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2" t="str">
        <f t="shared" si="19"/>
        <v/>
      </c>
      <c r="O213" s="158"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2" t="str">
        <f t="shared" si="19"/>
        <v/>
      </c>
      <c r="O214" s="158"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2" t="str">
        <f t="shared" si="19"/>
        <v/>
      </c>
      <c r="O215" s="158"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2" t="str">
        <f t="shared" si="19"/>
        <v/>
      </c>
      <c r="O216" s="158"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2" t="str">
        <f t="shared" si="19"/>
        <v/>
      </c>
      <c r="O217" s="158"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2" t="str">
        <f t="shared" si="19"/>
        <v/>
      </c>
      <c r="O218" s="158"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2" t="str">
        <f t="shared" si="19"/>
        <v/>
      </c>
      <c r="O219" s="158"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2" t="str">
        <f t="shared" si="19"/>
        <v/>
      </c>
      <c r="O220" s="158"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2" t="str">
        <f t="shared" si="19"/>
        <v/>
      </c>
      <c r="O221" s="158"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2" t="str">
        <f t="shared" si="19"/>
        <v/>
      </c>
      <c r="O222" s="158"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2" t="str">
        <f t="shared" si="19"/>
        <v/>
      </c>
      <c r="O223" s="158"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2" t="str">
        <f t="shared" si="19"/>
        <v/>
      </c>
      <c r="O224" s="158"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2" t="str">
        <f t="shared" si="19"/>
        <v/>
      </c>
      <c r="O225" s="158"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2" t="str">
        <f t="shared" si="19"/>
        <v/>
      </c>
      <c r="O226" s="158"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2" t="str">
        <f t="shared" si="19"/>
        <v/>
      </c>
      <c r="O227" s="158"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2" t="str">
        <f t="shared" si="19"/>
        <v/>
      </c>
      <c r="O228" s="158"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2" t="str">
        <f t="shared" si="19"/>
        <v/>
      </c>
      <c r="O229" s="158"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2" t="str">
        <f t="shared" si="19"/>
        <v/>
      </c>
      <c r="O230" s="158"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2" t="str">
        <f t="shared" si="19"/>
        <v/>
      </c>
      <c r="O231" s="158"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2" t="str">
        <f t="shared" si="19"/>
        <v/>
      </c>
      <c r="O232" s="158"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2" t="str">
        <f t="shared" si="19"/>
        <v/>
      </c>
      <c r="O233" s="158"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2" t="str">
        <f t="shared" si="19"/>
        <v/>
      </c>
      <c r="O234" s="158"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2" t="str">
        <f t="shared" si="19"/>
        <v/>
      </c>
      <c r="O235" s="158"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2" t="str">
        <f t="shared" si="19"/>
        <v/>
      </c>
      <c r="O236" s="158"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2" t="str">
        <f t="shared" si="19"/>
        <v/>
      </c>
      <c r="O237" s="158"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2" t="str">
        <f t="shared" si="19"/>
        <v/>
      </c>
      <c r="O238" s="158"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2" t="str">
        <f t="shared" si="19"/>
        <v/>
      </c>
      <c r="O239" s="158"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2" t="str">
        <f t="shared" si="19"/>
        <v/>
      </c>
      <c r="O240" s="158"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2" t="str">
        <f t="shared" si="19"/>
        <v/>
      </c>
      <c r="O241" s="158"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2" t="str">
        <f t="shared" si="19"/>
        <v/>
      </c>
      <c r="O242" s="158"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2" t="str">
        <f t="shared" si="19"/>
        <v/>
      </c>
      <c r="O243" s="158"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2" t="str">
        <f t="shared" si="19"/>
        <v/>
      </c>
      <c r="O244" s="158"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2" t="str">
        <f t="shared" si="19"/>
        <v/>
      </c>
      <c r="O245" s="158"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2" t="str">
        <f t="shared" si="19"/>
        <v/>
      </c>
      <c r="O246" s="158"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2" t="str">
        <f t="shared" si="19"/>
        <v/>
      </c>
      <c r="O247" s="158"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2" t="str">
        <f t="shared" si="19"/>
        <v/>
      </c>
      <c r="O248" s="158"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2" t="str">
        <f t="shared" si="19"/>
        <v/>
      </c>
      <c r="O249" s="158"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2" t="str">
        <f t="shared" si="19"/>
        <v/>
      </c>
      <c r="O250" s="158"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2" t="str">
        <f t="shared" si="19"/>
        <v/>
      </c>
      <c r="O251" s="158"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2" t="str">
        <f t="shared" si="19"/>
        <v/>
      </c>
      <c r="O252" s="158"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2" t="str">
        <f t="shared" si="19"/>
        <v/>
      </c>
      <c r="O253" s="158"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2" t="str">
        <f t="shared" si="19"/>
        <v/>
      </c>
      <c r="O254" s="158"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2" t="str">
        <f t="shared" si="19"/>
        <v/>
      </c>
      <c r="O255" s="158"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2" t="str">
        <f t="shared" si="19"/>
        <v/>
      </c>
      <c r="O256" s="158"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2" t="str">
        <f t="shared" si="19"/>
        <v/>
      </c>
      <c r="O257" s="158"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2" t="str">
        <f t="shared" si="19"/>
        <v/>
      </c>
      <c r="O258" s="158"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2" t="str">
        <f t="shared" si="19"/>
        <v/>
      </c>
      <c r="O259" s="158"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2" t="str">
        <f t="shared" si="19"/>
        <v/>
      </c>
      <c r="O260" s="158"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2" t="str">
        <f t="shared" si="19"/>
        <v/>
      </c>
      <c r="O261" s="158"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2" t="str">
        <f t="shared" si="19"/>
        <v/>
      </c>
      <c r="O262" s="158"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2" t="str">
        <f t="shared" ref="N263:N326" si="25">IF($C263="","",($L263-($M263/2)))</f>
        <v/>
      </c>
      <c r="O263" s="158" t="str">
        <f t="shared" ref="O263:O326" si="26">IF(C263="","",IF(TRIM($B263)="beginning",(((SUM($P263:$R263)-4563)/1771)*40)+360,IF(TRIM($B263)="middle",(((SUM($P263:$R263)-4563)/1771)*40)+400,IF(TRIM($B263)="end",(((SUM($P263:$R263)-4563)/1771)*40)+440,""))))</f>
        <v/>
      </c>
      <c r="P263" s="5" t="str">
        <f t="shared" ref="P263:P326" si="27">IF($C263="","",I263*36.42)</f>
        <v/>
      </c>
      <c r="Q263" s="5" t="str">
        <f t="shared" ref="Q263:Q326" si="28">IF($C263="","",K263*0.06)</f>
        <v/>
      </c>
      <c r="R263" s="5" t="str">
        <f t="shared" ref="R263:R326" si="29">IF($C263="","",N263*6.29)</f>
        <v/>
      </c>
    </row>
    <row r="264" spans="1:18">
      <c r="A264" s="91"/>
      <c r="B264" s="92"/>
      <c r="C264" s="69"/>
      <c r="D264" s="69"/>
      <c r="E264" s="69"/>
      <c r="F264" s="69"/>
      <c r="G264" s="70"/>
      <c r="H264" s="71"/>
      <c r="I264" s="66"/>
      <c r="J264" s="67"/>
      <c r="K264" s="145" t="str">
        <f t="shared" si="24"/>
        <v/>
      </c>
      <c r="L264" s="64"/>
      <c r="M264" s="64"/>
      <c r="N264" s="152" t="str">
        <f t="shared" si="25"/>
        <v/>
      </c>
      <c r="O264" s="158"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2" t="str">
        <f t="shared" si="25"/>
        <v/>
      </c>
      <c r="O265" s="158"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2" t="str">
        <f t="shared" si="25"/>
        <v/>
      </c>
      <c r="O266" s="158"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2" t="str">
        <f t="shared" si="25"/>
        <v/>
      </c>
      <c r="O267" s="158"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2" t="str">
        <f t="shared" si="25"/>
        <v/>
      </c>
      <c r="O268" s="158"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2" t="str">
        <f t="shared" si="25"/>
        <v/>
      </c>
      <c r="O269" s="158"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2" t="str">
        <f t="shared" si="25"/>
        <v/>
      </c>
      <c r="O270" s="158"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2" t="str">
        <f t="shared" si="25"/>
        <v/>
      </c>
      <c r="O271" s="158"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2" t="str">
        <f t="shared" si="25"/>
        <v/>
      </c>
      <c r="O272" s="158"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2" t="str">
        <f t="shared" si="25"/>
        <v/>
      </c>
      <c r="O273" s="158"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2" t="str">
        <f t="shared" si="25"/>
        <v/>
      </c>
      <c r="O274" s="158"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2" t="str">
        <f t="shared" si="25"/>
        <v/>
      </c>
      <c r="O275" s="158"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2" t="str">
        <f t="shared" si="25"/>
        <v/>
      </c>
      <c r="O276" s="158"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2" t="str">
        <f t="shared" si="25"/>
        <v/>
      </c>
      <c r="O277" s="158"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2" t="str">
        <f t="shared" si="25"/>
        <v/>
      </c>
      <c r="O278" s="158"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2" t="str">
        <f t="shared" si="25"/>
        <v/>
      </c>
      <c r="O279" s="158"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2" t="str">
        <f t="shared" si="25"/>
        <v/>
      </c>
      <c r="O280" s="158"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2" t="str">
        <f t="shared" si="25"/>
        <v/>
      </c>
      <c r="O281" s="158"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2" t="str">
        <f t="shared" si="25"/>
        <v/>
      </c>
      <c r="O282" s="158"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2" t="str">
        <f t="shared" si="25"/>
        <v/>
      </c>
      <c r="O283" s="158"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2" t="str">
        <f t="shared" si="25"/>
        <v/>
      </c>
      <c r="O284" s="158"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2" t="str">
        <f t="shared" si="25"/>
        <v/>
      </c>
      <c r="O285" s="158"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2" t="str">
        <f t="shared" si="25"/>
        <v/>
      </c>
      <c r="O286" s="158"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2" t="str">
        <f t="shared" si="25"/>
        <v/>
      </c>
      <c r="O287" s="158"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2" t="str">
        <f t="shared" si="25"/>
        <v/>
      </c>
      <c r="O288" s="158"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2" t="str">
        <f t="shared" si="25"/>
        <v/>
      </c>
      <c r="O289" s="158"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2" t="str">
        <f t="shared" si="25"/>
        <v/>
      </c>
      <c r="O290" s="158"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2" t="str">
        <f t="shared" si="25"/>
        <v/>
      </c>
      <c r="O291" s="158"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2" t="str">
        <f t="shared" si="25"/>
        <v/>
      </c>
      <c r="O292" s="158"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2" t="str">
        <f t="shared" si="25"/>
        <v/>
      </c>
      <c r="O293" s="158"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2" t="str">
        <f t="shared" si="25"/>
        <v/>
      </c>
      <c r="O294" s="158"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2" t="str">
        <f t="shared" si="25"/>
        <v/>
      </c>
      <c r="O295" s="158"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2" t="str">
        <f t="shared" si="25"/>
        <v/>
      </c>
      <c r="O296" s="158"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2" t="str">
        <f t="shared" si="25"/>
        <v/>
      </c>
      <c r="O297" s="158"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2" t="str">
        <f t="shared" si="25"/>
        <v/>
      </c>
      <c r="O298" s="158"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2" t="str">
        <f t="shared" si="25"/>
        <v/>
      </c>
      <c r="O299" s="158"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2" t="str">
        <f t="shared" si="25"/>
        <v/>
      </c>
      <c r="O300" s="158"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2" t="str">
        <f t="shared" si="25"/>
        <v/>
      </c>
      <c r="O301" s="158"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2" t="str">
        <f t="shared" si="25"/>
        <v/>
      </c>
      <c r="O302" s="158"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2" t="str">
        <f t="shared" si="25"/>
        <v/>
      </c>
      <c r="O303" s="158"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2" t="str">
        <f t="shared" si="25"/>
        <v/>
      </c>
      <c r="O304" s="158"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2" t="str">
        <f t="shared" si="25"/>
        <v/>
      </c>
      <c r="O305" s="158"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2" t="str">
        <f t="shared" si="25"/>
        <v/>
      </c>
      <c r="O306" s="158"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2" t="str">
        <f t="shared" si="25"/>
        <v/>
      </c>
      <c r="O307" s="158"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2" t="str">
        <f t="shared" si="25"/>
        <v/>
      </c>
      <c r="O308" s="158"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2" t="str">
        <f t="shared" si="25"/>
        <v/>
      </c>
      <c r="O309" s="158"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2" t="str">
        <f t="shared" si="25"/>
        <v/>
      </c>
      <c r="O310" s="158"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2" t="str">
        <f t="shared" si="25"/>
        <v/>
      </c>
      <c r="O311" s="158"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2" t="str">
        <f t="shared" si="25"/>
        <v/>
      </c>
      <c r="O312" s="158"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2" t="str">
        <f t="shared" si="25"/>
        <v/>
      </c>
      <c r="O313" s="158"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2" t="str">
        <f t="shared" si="25"/>
        <v/>
      </c>
      <c r="O314" s="158"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2" t="str">
        <f t="shared" si="25"/>
        <v/>
      </c>
      <c r="O315" s="158"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2" t="str">
        <f t="shared" si="25"/>
        <v/>
      </c>
      <c r="O316" s="158"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2" t="str">
        <f t="shared" si="25"/>
        <v/>
      </c>
      <c r="O317" s="158"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2" t="str">
        <f t="shared" si="25"/>
        <v/>
      </c>
      <c r="O318" s="158"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2" t="str">
        <f t="shared" si="25"/>
        <v/>
      </c>
      <c r="O319" s="158"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2" t="str">
        <f t="shared" si="25"/>
        <v/>
      </c>
      <c r="O320" s="158"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2" t="str">
        <f t="shared" si="25"/>
        <v/>
      </c>
      <c r="O321" s="158"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2" t="str">
        <f t="shared" si="25"/>
        <v/>
      </c>
      <c r="O322" s="158"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2" t="str">
        <f t="shared" si="25"/>
        <v/>
      </c>
      <c r="O323" s="158"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2" t="str">
        <f t="shared" si="25"/>
        <v/>
      </c>
      <c r="O324" s="158"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2" t="str">
        <f t="shared" si="25"/>
        <v/>
      </c>
      <c r="O325" s="158"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2" t="str">
        <f t="shared" si="25"/>
        <v/>
      </c>
      <c r="O326" s="158"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2" t="str">
        <f t="shared" ref="N327:N390" si="31">IF($C327="","",($L327-($M327/2)))</f>
        <v/>
      </c>
      <c r="O327" s="158" t="str">
        <f t="shared" ref="O327:O390" si="32">IF(C327="","",IF(TRIM($B327)="beginning",(((SUM($P327:$R327)-4563)/1771)*40)+360,IF(TRIM($B327)="middle",(((SUM($P327:$R327)-4563)/1771)*40)+400,IF(TRIM($B327)="end",(((SUM($P327:$R327)-4563)/1771)*40)+440,""))))</f>
        <v/>
      </c>
      <c r="P327" s="5" t="str">
        <f t="shared" ref="P327:P390" si="33">IF($C327="","",I327*36.42)</f>
        <v/>
      </c>
      <c r="Q327" s="5" t="str">
        <f t="shared" ref="Q327:Q390" si="34">IF($C327="","",K327*0.06)</f>
        <v/>
      </c>
      <c r="R327" s="5" t="str">
        <f t="shared" ref="R327:R390" si="35">IF($C327="","",N327*6.29)</f>
        <v/>
      </c>
    </row>
    <row r="328" spans="1:18">
      <c r="A328" s="91"/>
      <c r="B328" s="92"/>
      <c r="C328" s="69"/>
      <c r="D328" s="69"/>
      <c r="E328" s="69"/>
      <c r="F328" s="69"/>
      <c r="G328" s="70"/>
      <c r="H328" s="71"/>
      <c r="I328" s="66"/>
      <c r="J328" s="67"/>
      <c r="K328" s="145" t="str">
        <f t="shared" si="30"/>
        <v/>
      </c>
      <c r="L328" s="64"/>
      <c r="M328" s="64"/>
      <c r="N328" s="152" t="str">
        <f t="shared" si="31"/>
        <v/>
      </c>
      <c r="O328" s="158"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2" t="str">
        <f t="shared" si="31"/>
        <v/>
      </c>
      <c r="O329" s="158"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2" t="str">
        <f t="shared" si="31"/>
        <v/>
      </c>
      <c r="O330" s="158"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2" t="str">
        <f t="shared" si="31"/>
        <v/>
      </c>
      <c r="O331" s="158"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2" t="str">
        <f t="shared" si="31"/>
        <v/>
      </c>
      <c r="O332" s="158"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2" t="str">
        <f t="shared" si="31"/>
        <v/>
      </c>
      <c r="O333" s="158"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2" t="str">
        <f t="shared" si="31"/>
        <v/>
      </c>
      <c r="O334" s="158"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2" t="str">
        <f t="shared" si="31"/>
        <v/>
      </c>
      <c r="O335" s="158"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2" t="str">
        <f t="shared" si="31"/>
        <v/>
      </c>
      <c r="O336" s="158"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2" t="str">
        <f t="shared" si="31"/>
        <v/>
      </c>
      <c r="O337" s="158"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2" t="str">
        <f t="shared" si="31"/>
        <v/>
      </c>
      <c r="O338" s="158"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2" t="str">
        <f t="shared" si="31"/>
        <v/>
      </c>
      <c r="O339" s="158"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2" t="str">
        <f t="shared" si="31"/>
        <v/>
      </c>
      <c r="O340" s="158"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2" t="str">
        <f t="shared" si="31"/>
        <v/>
      </c>
      <c r="O341" s="158"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2" t="str">
        <f t="shared" si="31"/>
        <v/>
      </c>
      <c r="O342" s="158"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2" t="str">
        <f t="shared" si="31"/>
        <v/>
      </c>
      <c r="O343" s="158"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2" t="str">
        <f t="shared" si="31"/>
        <v/>
      </c>
      <c r="O344" s="158"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2" t="str">
        <f t="shared" si="31"/>
        <v/>
      </c>
      <c r="O345" s="158"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2" t="str">
        <f t="shared" si="31"/>
        <v/>
      </c>
      <c r="O346" s="158"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2" t="str">
        <f t="shared" si="31"/>
        <v/>
      </c>
      <c r="O347" s="158"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2" t="str">
        <f t="shared" si="31"/>
        <v/>
      </c>
      <c r="O348" s="158"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2" t="str">
        <f t="shared" si="31"/>
        <v/>
      </c>
      <c r="O349" s="158"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2" t="str">
        <f t="shared" si="31"/>
        <v/>
      </c>
      <c r="O350" s="158"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2" t="str">
        <f t="shared" si="31"/>
        <v/>
      </c>
      <c r="O351" s="158"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2" t="str">
        <f t="shared" si="31"/>
        <v/>
      </c>
      <c r="O352" s="158"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2" t="str">
        <f t="shared" si="31"/>
        <v/>
      </c>
      <c r="O353" s="158"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2" t="str">
        <f t="shared" si="31"/>
        <v/>
      </c>
      <c r="O354" s="158"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2" t="str">
        <f t="shared" si="31"/>
        <v/>
      </c>
      <c r="O355" s="158"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2" t="str">
        <f t="shared" si="31"/>
        <v/>
      </c>
      <c r="O356" s="158"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2" t="str">
        <f t="shared" si="31"/>
        <v/>
      </c>
      <c r="O357" s="158"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2" t="str">
        <f t="shared" si="31"/>
        <v/>
      </c>
      <c r="O358" s="158"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2" t="str">
        <f t="shared" si="31"/>
        <v/>
      </c>
      <c r="O359" s="158"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2" t="str">
        <f t="shared" si="31"/>
        <v/>
      </c>
      <c r="O360" s="158"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2" t="str">
        <f t="shared" si="31"/>
        <v/>
      </c>
      <c r="O361" s="158"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2" t="str">
        <f t="shared" si="31"/>
        <v/>
      </c>
      <c r="O362" s="158"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2" t="str">
        <f t="shared" si="31"/>
        <v/>
      </c>
      <c r="O363" s="158"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2" t="str">
        <f t="shared" si="31"/>
        <v/>
      </c>
      <c r="O364" s="158"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2" t="str">
        <f t="shared" si="31"/>
        <v/>
      </c>
      <c r="O365" s="158"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2" t="str">
        <f t="shared" si="31"/>
        <v/>
      </c>
      <c r="O366" s="158"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2" t="str">
        <f t="shared" si="31"/>
        <v/>
      </c>
      <c r="O367" s="158"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2" t="str">
        <f t="shared" si="31"/>
        <v/>
      </c>
      <c r="O368" s="158"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2" t="str">
        <f t="shared" si="31"/>
        <v/>
      </c>
      <c r="O369" s="158"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2" t="str">
        <f t="shared" si="31"/>
        <v/>
      </c>
      <c r="O370" s="158"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2" t="str">
        <f t="shared" si="31"/>
        <v/>
      </c>
      <c r="O371" s="158"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2" t="str">
        <f t="shared" si="31"/>
        <v/>
      </c>
      <c r="O372" s="158"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2" t="str">
        <f t="shared" si="31"/>
        <v/>
      </c>
      <c r="O373" s="158"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2" t="str">
        <f t="shared" si="31"/>
        <v/>
      </c>
      <c r="O374" s="158"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2" t="str">
        <f t="shared" si="31"/>
        <v/>
      </c>
      <c r="O375" s="158"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2" t="str">
        <f t="shared" si="31"/>
        <v/>
      </c>
      <c r="O376" s="158"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2" t="str">
        <f t="shared" si="31"/>
        <v/>
      </c>
      <c r="O377" s="158"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2" t="str">
        <f t="shared" si="31"/>
        <v/>
      </c>
      <c r="O378" s="158"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2" t="str">
        <f t="shared" si="31"/>
        <v/>
      </c>
      <c r="O379" s="158"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2" t="str">
        <f t="shared" si="31"/>
        <v/>
      </c>
      <c r="O380" s="158"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2" t="str">
        <f t="shared" si="31"/>
        <v/>
      </c>
      <c r="O381" s="158"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2" t="str">
        <f t="shared" si="31"/>
        <v/>
      </c>
      <c r="O382" s="158"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2" t="str">
        <f t="shared" si="31"/>
        <v/>
      </c>
      <c r="O383" s="158"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2" t="str">
        <f t="shared" si="31"/>
        <v/>
      </c>
      <c r="O384" s="158"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2" t="str">
        <f t="shared" si="31"/>
        <v/>
      </c>
      <c r="O385" s="158"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2" t="str">
        <f t="shared" si="31"/>
        <v/>
      </c>
      <c r="O386" s="158"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2" t="str">
        <f t="shared" si="31"/>
        <v/>
      </c>
      <c r="O387" s="158"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2" t="str">
        <f t="shared" si="31"/>
        <v/>
      </c>
      <c r="O388" s="158"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2" t="str">
        <f t="shared" si="31"/>
        <v/>
      </c>
      <c r="O389" s="158"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2" t="str">
        <f t="shared" si="31"/>
        <v/>
      </c>
      <c r="O390" s="158"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2" t="str">
        <f t="shared" ref="N391:N430" si="37">IF($C391="","",($L391-($M391/2)))</f>
        <v/>
      </c>
      <c r="O391" s="158" t="str">
        <f t="shared" ref="O391:O430" si="38">IF(C391="","",IF(TRIM($B391)="beginning",(((SUM($P391:$R391)-4563)/1771)*40)+360,IF(TRIM($B391)="middle",(((SUM($P391:$R391)-4563)/1771)*40)+400,IF(TRIM($B391)="end",(((SUM($P391:$R391)-4563)/1771)*40)+440,""))))</f>
        <v/>
      </c>
      <c r="P391" s="5" t="str">
        <f t="shared" ref="P391:P430" si="39">IF($C391="","",I391*36.42)</f>
        <v/>
      </c>
      <c r="Q391" s="5" t="str">
        <f t="shared" ref="Q391:Q430" si="40">IF($C391="","",K391*0.06)</f>
        <v/>
      </c>
      <c r="R391" s="5" t="str">
        <f t="shared" ref="R391:R430" si="41">IF($C391="","",N391*6.29)</f>
        <v/>
      </c>
    </row>
    <row r="392" spans="1:18">
      <c r="A392" s="91"/>
      <c r="B392" s="92"/>
      <c r="C392" s="69"/>
      <c r="D392" s="69"/>
      <c r="E392" s="69"/>
      <c r="F392" s="69"/>
      <c r="G392" s="70"/>
      <c r="H392" s="71"/>
      <c r="I392" s="66"/>
      <c r="J392" s="67"/>
      <c r="K392" s="145" t="str">
        <f t="shared" si="36"/>
        <v/>
      </c>
      <c r="L392" s="64"/>
      <c r="M392" s="64"/>
      <c r="N392" s="152" t="str">
        <f t="shared" si="37"/>
        <v/>
      </c>
      <c r="O392" s="158"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2" t="str">
        <f t="shared" si="37"/>
        <v/>
      </c>
      <c r="O393" s="158"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2" t="str">
        <f t="shared" si="37"/>
        <v/>
      </c>
      <c r="O394" s="158"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2" t="str">
        <f t="shared" si="37"/>
        <v/>
      </c>
      <c r="O395" s="158"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2" t="str">
        <f t="shared" si="37"/>
        <v/>
      </c>
      <c r="O396" s="158"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2" t="str">
        <f t="shared" si="37"/>
        <v/>
      </c>
      <c r="O397" s="158"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2" t="str">
        <f t="shared" si="37"/>
        <v/>
      </c>
      <c r="O398" s="158"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2" t="str">
        <f t="shared" si="37"/>
        <v/>
      </c>
      <c r="O399" s="158"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2" t="str">
        <f t="shared" si="37"/>
        <v/>
      </c>
      <c r="O400" s="158"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2" t="str">
        <f t="shared" si="37"/>
        <v/>
      </c>
      <c r="O401" s="158"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2" t="str">
        <f t="shared" si="37"/>
        <v/>
      </c>
      <c r="O402" s="158"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2" t="str">
        <f t="shared" si="37"/>
        <v/>
      </c>
      <c r="O403" s="158"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2" t="str">
        <f t="shared" si="37"/>
        <v/>
      </c>
      <c r="O404" s="158"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2" t="str">
        <f t="shared" si="37"/>
        <v/>
      </c>
      <c r="O405" s="158"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2" t="str">
        <f t="shared" si="37"/>
        <v/>
      </c>
      <c r="O406" s="158"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2" t="str">
        <f t="shared" si="37"/>
        <v/>
      </c>
      <c r="O407" s="158"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2" t="str">
        <f t="shared" si="37"/>
        <v/>
      </c>
      <c r="O408" s="158"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2" t="str">
        <f t="shared" si="37"/>
        <v/>
      </c>
      <c r="O409" s="158"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2" t="str">
        <f t="shared" si="37"/>
        <v/>
      </c>
      <c r="O410" s="158"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2" t="str">
        <f t="shared" si="37"/>
        <v/>
      </c>
      <c r="O411" s="158"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2" t="str">
        <f t="shared" si="37"/>
        <v/>
      </c>
      <c r="O412" s="158"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2" t="str">
        <f t="shared" si="37"/>
        <v/>
      </c>
      <c r="O413" s="158"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2" t="str">
        <f t="shared" si="37"/>
        <v/>
      </c>
      <c r="O414" s="158"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2" t="str">
        <f t="shared" si="37"/>
        <v/>
      </c>
      <c r="O415" s="158"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2" t="str">
        <f t="shared" si="37"/>
        <v/>
      </c>
      <c r="O416" s="158"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2" t="str">
        <f t="shared" si="37"/>
        <v/>
      </c>
      <c r="O417" s="158"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2" t="str">
        <f t="shared" si="37"/>
        <v/>
      </c>
      <c r="O418" s="158"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2" t="str">
        <f t="shared" si="37"/>
        <v/>
      </c>
      <c r="O419" s="158"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2" t="str">
        <f t="shared" si="37"/>
        <v/>
      </c>
      <c r="O420" s="158"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2" t="str">
        <f t="shared" si="37"/>
        <v/>
      </c>
      <c r="O421" s="158"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2" t="str">
        <f t="shared" si="37"/>
        <v/>
      </c>
      <c r="O422" s="158"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2" t="str">
        <f t="shared" si="37"/>
        <v/>
      </c>
      <c r="O423" s="158"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2" t="str">
        <f t="shared" si="37"/>
        <v/>
      </c>
      <c r="O424" s="158"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2" t="str">
        <f t="shared" si="37"/>
        <v/>
      </c>
      <c r="O425" s="158"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2" t="str">
        <f t="shared" si="37"/>
        <v/>
      </c>
      <c r="O426" s="158"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2" t="str">
        <f t="shared" si="37"/>
        <v/>
      </c>
      <c r="O427" s="158"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2" t="str">
        <f t="shared" si="37"/>
        <v/>
      </c>
      <c r="O428" s="158"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2" t="str">
        <f t="shared" si="37"/>
        <v/>
      </c>
      <c r="O429" s="158"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5" t="str">
        <f t="shared" si="36"/>
        <v/>
      </c>
      <c r="L430" s="153"/>
      <c r="M430" s="153"/>
      <c r="N430" s="154" t="str">
        <f t="shared" si="37"/>
        <v/>
      </c>
      <c r="O430" s="158"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rRXMKaKfL3T4zInNcahOaP0nYJ9RlAkbREJ2ndG5ELZCjgTJjuDzoERaQbQ/bROKMJV4hQMRd/A6jh7hOTnZIg==" saltValue="Q9RC1j8E/WrQR4PCwbFR4g=="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24DE-44F1-BB44-9F87-049F3E4F260F}">
  <dimension ref="A1:R439"/>
  <sheetViews>
    <sheetView workbookViewId="0">
      <selection activeCell="A6" sqref="A6:H16"/>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8" width="3.42578125" style="5" hidden="1" customWidth="1"/>
    <col min="19" max="16384" width="10" style="5"/>
  </cols>
  <sheetData>
    <row r="1" spans="1:18" ht="29.25" thickBot="1">
      <c r="A1" s="230" t="s">
        <v>17</v>
      </c>
      <c r="B1" s="231"/>
      <c r="C1" s="231"/>
      <c r="D1" s="231"/>
      <c r="E1" s="231"/>
      <c r="F1" s="231"/>
      <c r="G1" s="231"/>
      <c r="H1" s="232"/>
    </row>
    <row r="2" spans="1:18" ht="12" customHeight="1" thickBot="1">
      <c r="A2" s="4"/>
      <c r="B2" s="4"/>
      <c r="C2" s="4"/>
      <c r="D2" s="4"/>
      <c r="E2" s="4"/>
      <c r="F2" s="4"/>
      <c r="G2" s="4"/>
      <c r="H2" s="4"/>
    </row>
    <row r="3" spans="1:18" s="175" customFormat="1" ht="15.75" thickBot="1">
      <c r="A3" s="170" t="s">
        <v>5</v>
      </c>
      <c r="B3" s="171" t="s">
        <v>5</v>
      </c>
      <c r="C3" s="171" t="s">
        <v>5</v>
      </c>
      <c r="D3" s="171" t="s">
        <v>5</v>
      </c>
      <c r="E3" s="171" t="s">
        <v>5</v>
      </c>
      <c r="F3" s="172" t="s">
        <v>4</v>
      </c>
      <c r="G3" s="172" t="s">
        <v>4</v>
      </c>
      <c r="H3" s="173" t="s">
        <v>4</v>
      </c>
      <c r="I3" s="224" t="s">
        <v>5</v>
      </c>
      <c r="J3" s="222"/>
      <c r="K3" s="223"/>
      <c r="L3" s="221" t="s">
        <v>5</v>
      </c>
      <c r="M3" s="222"/>
      <c r="N3" s="223"/>
      <c r="O3" s="176" t="s">
        <v>5</v>
      </c>
    </row>
    <row r="4" spans="1:18" ht="15.75" thickBot="1">
      <c r="A4" s="80"/>
      <c r="B4" s="81"/>
      <c r="C4" s="82"/>
      <c r="D4" s="81"/>
      <c r="E4" s="82"/>
      <c r="F4" s="83"/>
      <c r="G4" s="84"/>
      <c r="H4" s="83"/>
      <c r="I4" s="225" t="s">
        <v>36</v>
      </c>
      <c r="J4" s="226"/>
      <c r="K4" s="227"/>
      <c r="L4" s="228" t="s">
        <v>22</v>
      </c>
      <c r="M4" s="229"/>
      <c r="N4" s="229"/>
      <c r="O4" s="160"/>
      <c r="P4" s="212" t="s">
        <v>28</v>
      </c>
      <c r="Q4" s="212"/>
      <c r="R4" s="212"/>
    </row>
    <row r="5" spans="1:18" ht="60.75" thickBot="1">
      <c r="A5" s="50" t="s">
        <v>7</v>
      </c>
      <c r="B5" s="50" t="s">
        <v>19</v>
      </c>
      <c r="C5" s="51" t="s">
        <v>0</v>
      </c>
      <c r="D5" s="52" t="s">
        <v>6</v>
      </c>
      <c r="E5" s="53" t="s">
        <v>1</v>
      </c>
      <c r="F5" s="54" t="s">
        <v>2</v>
      </c>
      <c r="G5" s="55" t="s">
        <v>8</v>
      </c>
      <c r="H5" s="56" t="s">
        <v>3</v>
      </c>
      <c r="I5" s="155" t="s">
        <v>32</v>
      </c>
      <c r="J5" s="156" t="s">
        <v>21</v>
      </c>
      <c r="K5" s="58" t="s">
        <v>33</v>
      </c>
      <c r="L5" s="58" t="s">
        <v>23</v>
      </c>
      <c r="M5" s="156" t="s">
        <v>24</v>
      </c>
      <c r="N5" s="48" t="s">
        <v>25</v>
      </c>
      <c r="O5" s="60" t="s">
        <v>11</v>
      </c>
      <c r="P5" s="18" t="s">
        <v>26</v>
      </c>
      <c r="Q5" s="18" t="s">
        <v>27</v>
      </c>
      <c r="R5" s="18" t="s">
        <v>16</v>
      </c>
    </row>
    <row r="6" spans="1:18">
      <c r="A6" s="86">
        <v>45780</v>
      </c>
      <c r="B6" s="86" t="s">
        <v>87</v>
      </c>
      <c r="C6" s="189" t="s">
        <v>63</v>
      </c>
      <c r="D6" s="189" t="s">
        <v>64</v>
      </c>
      <c r="E6" s="189" t="s">
        <v>52</v>
      </c>
      <c r="F6" s="161" t="s">
        <v>88</v>
      </c>
      <c r="G6" s="161">
        <v>40959</v>
      </c>
      <c r="H6" s="162" t="s">
        <v>85</v>
      </c>
      <c r="I6" s="157"/>
      <c r="J6" s="144"/>
      <c r="K6" s="145">
        <f>IF($C6="","",IF($I6+$J6=0,0,$I6/($I6+$J6)))</f>
        <v>0</v>
      </c>
      <c r="L6" s="144"/>
      <c r="M6" s="144"/>
      <c r="N6" s="152">
        <f>IF($C6="","",($L6-($M6/2)))</f>
        <v>0</v>
      </c>
      <c r="O6" s="65">
        <f>IF(C6="","",IF(TRIM($B6)="beginning",(((SUM($P6:$R6)-4085)/1299)*40)+360,IF(TRIM($B6)="middle",(((SUM($P6:$R6)-4085)/1299)*40)+400,IF(TRIM($B6)="end",(((SUM($P6:$R6)-4085)/1299)*40)+440,""))))</f>
        <v>234.21093148575829</v>
      </c>
      <c r="P6" s="5">
        <f>IF($C6="","",I6*31.12)</f>
        <v>0</v>
      </c>
      <c r="Q6" s="5">
        <f>IF($C6="","",K6*0.03)</f>
        <v>0</v>
      </c>
      <c r="R6" s="5">
        <f>IF($C6="","",N6*4.58)</f>
        <v>0</v>
      </c>
    </row>
    <row r="7" spans="1:18">
      <c r="A7" s="86">
        <v>45780</v>
      </c>
      <c r="B7" s="86" t="s">
        <v>87</v>
      </c>
      <c r="C7" s="189" t="s">
        <v>65</v>
      </c>
      <c r="D7" s="189" t="s">
        <v>66</v>
      </c>
      <c r="E7" s="189" t="s">
        <v>53</v>
      </c>
      <c r="F7" s="163" t="s">
        <v>89</v>
      </c>
      <c r="G7" s="163">
        <v>40960</v>
      </c>
      <c r="H7" s="164" t="s">
        <v>85</v>
      </c>
      <c r="I7" s="66"/>
      <c r="J7" s="67"/>
      <c r="K7" s="145">
        <f t="shared" ref="K7:K70" si="0">IF($C7="","",IF($I7+$J7=0,0,$I7/($I7+$J7)))</f>
        <v>0</v>
      </c>
      <c r="L7" s="64"/>
      <c r="M7" s="64"/>
      <c r="N7" s="152">
        <f>IF($C7="","",($L7-($M7/2)))</f>
        <v>0</v>
      </c>
      <c r="O7" s="65">
        <f t="shared" ref="O7:O70" si="1">IF(C7="","",IF(TRIM($B7)="beginning",(((SUM($P7:$R7)-4085)/1299)*40)+360,IF(TRIM($B7)="middle",(((SUM($P7:$R7)-4085)/1299)*40)+400,IF(TRIM($B7)="end",(((SUM($P7:$R7)-4085)/1299)*40)+440,""))))</f>
        <v>234.21093148575829</v>
      </c>
      <c r="P7" s="5">
        <f t="shared" ref="P7:P70" si="2">IF($C7="","",I7*31.12)</f>
        <v>0</v>
      </c>
      <c r="Q7" s="5">
        <f t="shared" ref="Q7:Q70" si="3">IF($C7="","",K7*0.03)</f>
        <v>0</v>
      </c>
      <c r="R7" s="5">
        <f t="shared" ref="R7:R70" si="4">IF($C7="","",N7*4.58)</f>
        <v>0</v>
      </c>
    </row>
    <row r="8" spans="1:18">
      <c r="A8" s="86">
        <v>45780</v>
      </c>
      <c r="B8" s="86" t="s">
        <v>87</v>
      </c>
      <c r="C8" s="189" t="s">
        <v>67</v>
      </c>
      <c r="D8" s="189" t="s">
        <v>68</v>
      </c>
      <c r="E8" s="189" t="s">
        <v>54</v>
      </c>
      <c r="F8" s="163" t="s">
        <v>88</v>
      </c>
      <c r="G8" s="163">
        <v>40961</v>
      </c>
      <c r="H8" s="164" t="s">
        <v>85</v>
      </c>
      <c r="I8" s="66"/>
      <c r="J8" s="67"/>
      <c r="K8" s="145">
        <f t="shared" si="0"/>
        <v>0</v>
      </c>
      <c r="L8" s="64"/>
      <c r="M8" s="64"/>
      <c r="N8" s="152">
        <f t="shared" ref="N8:N70" si="5">IF($C8="","",($L8-($M8/2)))</f>
        <v>0</v>
      </c>
      <c r="O8" s="65">
        <f t="shared" si="1"/>
        <v>234.21093148575829</v>
      </c>
      <c r="P8" s="5">
        <f t="shared" si="2"/>
        <v>0</v>
      </c>
      <c r="Q8" s="5">
        <f t="shared" si="3"/>
        <v>0</v>
      </c>
      <c r="R8" s="5">
        <f t="shared" si="4"/>
        <v>0</v>
      </c>
    </row>
    <row r="9" spans="1:18">
      <c r="A9" s="86">
        <v>45780</v>
      </c>
      <c r="B9" s="86" t="s">
        <v>87</v>
      </c>
      <c r="C9" s="189" t="s">
        <v>69</v>
      </c>
      <c r="D9" s="189" t="s">
        <v>70</v>
      </c>
      <c r="E9" s="189" t="s">
        <v>55</v>
      </c>
      <c r="F9" s="163" t="s">
        <v>88</v>
      </c>
      <c r="G9" s="163">
        <v>40962</v>
      </c>
      <c r="H9" s="164" t="s">
        <v>85</v>
      </c>
      <c r="I9" s="66"/>
      <c r="J9" s="67"/>
      <c r="K9" s="145">
        <f t="shared" si="0"/>
        <v>0</v>
      </c>
      <c r="L9" s="64"/>
      <c r="M9" s="64"/>
      <c r="N9" s="152">
        <f t="shared" si="5"/>
        <v>0</v>
      </c>
      <c r="O9" s="65">
        <f t="shared" si="1"/>
        <v>234.21093148575829</v>
      </c>
      <c r="P9" s="5">
        <f t="shared" si="2"/>
        <v>0</v>
      </c>
      <c r="Q9" s="5">
        <f t="shared" si="3"/>
        <v>0</v>
      </c>
      <c r="R9" s="5">
        <f t="shared" si="4"/>
        <v>0</v>
      </c>
    </row>
    <row r="10" spans="1:18">
      <c r="A10" s="86">
        <v>45780</v>
      </c>
      <c r="B10" s="86" t="s">
        <v>87</v>
      </c>
      <c r="C10" s="189" t="s">
        <v>71</v>
      </c>
      <c r="D10" s="189" t="s">
        <v>72</v>
      </c>
      <c r="E10" s="189" t="s">
        <v>56</v>
      </c>
      <c r="F10" s="163" t="s">
        <v>89</v>
      </c>
      <c r="G10" s="163">
        <v>40970</v>
      </c>
      <c r="H10" s="164" t="s">
        <v>86</v>
      </c>
      <c r="I10" s="66"/>
      <c r="J10" s="67"/>
      <c r="K10" s="145">
        <f t="shared" si="0"/>
        <v>0</v>
      </c>
      <c r="L10" s="64"/>
      <c r="M10" s="64"/>
      <c r="N10" s="152">
        <f t="shared" si="5"/>
        <v>0</v>
      </c>
      <c r="O10" s="65">
        <f t="shared" si="1"/>
        <v>234.21093148575829</v>
      </c>
      <c r="P10" s="5">
        <f t="shared" si="2"/>
        <v>0</v>
      </c>
      <c r="Q10" s="5">
        <f t="shared" si="3"/>
        <v>0</v>
      </c>
      <c r="R10" s="5">
        <f t="shared" si="4"/>
        <v>0</v>
      </c>
    </row>
    <row r="11" spans="1:18">
      <c r="A11" s="86">
        <v>45780</v>
      </c>
      <c r="B11" s="86" t="s">
        <v>87</v>
      </c>
      <c r="C11" s="189" t="s">
        <v>73</v>
      </c>
      <c r="D11" s="189" t="s">
        <v>74</v>
      </c>
      <c r="E11" s="189" t="s">
        <v>57</v>
      </c>
      <c r="F11" s="163" t="s">
        <v>89</v>
      </c>
      <c r="G11" s="163">
        <v>40963</v>
      </c>
      <c r="H11" s="164" t="s">
        <v>85</v>
      </c>
      <c r="I11" s="66"/>
      <c r="J11" s="67"/>
      <c r="K11" s="145">
        <f t="shared" si="0"/>
        <v>0</v>
      </c>
      <c r="L11" s="64"/>
      <c r="M11" s="64"/>
      <c r="N11" s="152">
        <f t="shared" si="5"/>
        <v>0</v>
      </c>
      <c r="O11" s="65">
        <f t="shared" si="1"/>
        <v>234.21093148575829</v>
      </c>
      <c r="P11" s="5">
        <f t="shared" si="2"/>
        <v>0</v>
      </c>
      <c r="Q11" s="5">
        <f t="shared" si="3"/>
        <v>0</v>
      </c>
      <c r="R11" s="5">
        <f t="shared" si="4"/>
        <v>0</v>
      </c>
    </row>
    <row r="12" spans="1:18">
      <c r="A12" s="87">
        <v>45780</v>
      </c>
      <c r="B12" s="87" t="s">
        <v>87</v>
      </c>
      <c r="C12" s="189" t="s">
        <v>75</v>
      </c>
      <c r="D12" s="189" t="s">
        <v>76</v>
      </c>
      <c r="E12" s="189" t="s">
        <v>58</v>
      </c>
      <c r="F12" s="163" t="s">
        <v>88</v>
      </c>
      <c r="G12" s="163">
        <v>40964</v>
      </c>
      <c r="H12" s="164" t="s">
        <v>86</v>
      </c>
      <c r="I12" s="66"/>
      <c r="J12" s="67"/>
      <c r="K12" s="145">
        <f t="shared" si="0"/>
        <v>0</v>
      </c>
      <c r="L12" s="64"/>
      <c r="M12" s="64"/>
      <c r="N12" s="152">
        <f t="shared" si="5"/>
        <v>0</v>
      </c>
      <c r="O12" s="65">
        <f t="shared" si="1"/>
        <v>234.21093148575829</v>
      </c>
      <c r="P12" s="5">
        <f t="shared" si="2"/>
        <v>0</v>
      </c>
      <c r="Q12" s="5">
        <f t="shared" si="3"/>
        <v>0</v>
      </c>
      <c r="R12" s="5">
        <f t="shared" si="4"/>
        <v>0</v>
      </c>
    </row>
    <row r="13" spans="1:18">
      <c r="A13" s="87">
        <v>45780</v>
      </c>
      <c r="B13" s="87" t="s">
        <v>87</v>
      </c>
      <c r="C13" s="189" t="s">
        <v>77</v>
      </c>
      <c r="D13" s="189" t="s">
        <v>78</v>
      </c>
      <c r="E13" s="189" t="s">
        <v>59</v>
      </c>
      <c r="F13" s="69" t="s">
        <v>89</v>
      </c>
      <c r="G13" s="70">
        <v>40965</v>
      </c>
      <c r="H13" s="71" t="s">
        <v>86</v>
      </c>
      <c r="I13" s="66"/>
      <c r="J13" s="67"/>
      <c r="K13" s="145">
        <f t="shared" si="0"/>
        <v>0</v>
      </c>
      <c r="L13" s="64"/>
      <c r="M13" s="64"/>
      <c r="N13" s="152">
        <f t="shared" si="5"/>
        <v>0</v>
      </c>
      <c r="O13" s="65">
        <f t="shared" si="1"/>
        <v>234.21093148575829</v>
      </c>
      <c r="P13" s="5">
        <f t="shared" si="2"/>
        <v>0</v>
      </c>
      <c r="Q13" s="5">
        <f t="shared" si="3"/>
        <v>0</v>
      </c>
      <c r="R13" s="5">
        <f t="shared" si="4"/>
        <v>0</v>
      </c>
    </row>
    <row r="14" spans="1:18">
      <c r="A14" s="87">
        <v>45780</v>
      </c>
      <c r="B14" s="87" t="s">
        <v>87</v>
      </c>
      <c r="C14" s="189" t="s">
        <v>79</v>
      </c>
      <c r="D14" s="189" t="s">
        <v>80</v>
      </c>
      <c r="E14" s="189" t="s">
        <v>60</v>
      </c>
      <c r="F14" s="69" t="s">
        <v>88</v>
      </c>
      <c r="G14" s="70">
        <v>40966</v>
      </c>
      <c r="H14" s="71" t="s">
        <v>86</v>
      </c>
      <c r="I14" s="66"/>
      <c r="J14" s="67"/>
      <c r="K14" s="145">
        <f t="shared" si="0"/>
        <v>0</v>
      </c>
      <c r="L14" s="64"/>
      <c r="M14" s="64"/>
      <c r="N14" s="152">
        <f t="shared" si="5"/>
        <v>0</v>
      </c>
      <c r="O14" s="65">
        <f t="shared" si="1"/>
        <v>234.21093148575829</v>
      </c>
      <c r="P14" s="5">
        <f t="shared" si="2"/>
        <v>0</v>
      </c>
      <c r="Q14" s="5">
        <f t="shared" si="3"/>
        <v>0</v>
      </c>
      <c r="R14" s="5">
        <f t="shared" si="4"/>
        <v>0</v>
      </c>
    </row>
    <row r="15" spans="1:18">
      <c r="A15" s="87">
        <v>45780</v>
      </c>
      <c r="B15" s="87" t="s">
        <v>87</v>
      </c>
      <c r="C15" s="189" t="s">
        <v>81</v>
      </c>
      <c r="D15" s="189" t="s">
        <v>82</v>
      </c>
      <c r="E15" s="189" t="s">
        <v>61</v>
      </c>
      <c r="F15" s="69" t="s">
        <v>88</v>
      </c>
      <c r="G15" s="70">
        <v>40967</v>
      </c>
      <c r="H15" s="71" t="s">
        <v>86</v>
      </c>
      <c r="I15" s="66"/>
      <c r="J15" s="67"/>
      <c r="K15" s="145">
        <f t="shared" si="0"/>
        <v>0</v>
      </c>
      <c r="L15" s="64"/>
      <c r="M15" s="64"/>
      <c r="N15" s="152">
        <f t="shared" si="5"/>
        <v>0</v>
      </c>
      <c r="O15" s="65">
        <f t="shared" si="1"/>
        <v>234.21093148575829</v>
      </c>
      <c r="P15" s="5">
        <f t="shared" si="2"/>
        <v>0</v>
      </c>
      <c r="Q15" s="5">
        <f t="shared" si="3"/>
        <v>0</v>
      </c>
      <c r="R15" s="5">
        <f t="shared" si="4"/>
        <v>0</v>
      </c>
    </row>
    <row r="16" spans="1:18">
      <c r="A16" s="87">
        <v>45780</v>
      </c>
      <c r="B16" s="87" t="s">
        <v>87</v>
      </c>
      <c r="C16" s="189" t="s">
        <v>83</v>
      </c>
      <c r="D16" s="189" t="s">
        <v>84</v>
      </c>
      <c r="E16" s="189" t="s">
        <v>62</v>
      </c>
      <c r="F16" s="69" t="s">
        <v>88</v>
      </c>
      <c r="G16" s="70">
        <v>40968</v>
      </c>
      <c r="H16" s="71" t="s">
        <v>86</v>
      </c>
      <c r="I16" s="66"/>
      <c r="J16" s="67"/>
      <c r="K16" s="145">
        <f t="shared" si="0"/>
        <v>0</v>
      </c>
      <c r="L16" s="64"/>
      <c r="M16" s="64"/>
      <c r="N16" s="152">
        <f t="shared" si="5"/>
        <v>0</v>
      </c>
      <c r="O16" s="65">
        <f t="shared" si="1"/>
        <v>234.21093148575829</v>
      </c>
      <c r="P16" s="5">
        <f t="shared" si="2"/>
        <v>0</v>
      </c>
      <c r="Q16" s="5">
        <f t="shared" si="3"/>
        <v>0</v>
      </c>
      <c r="R16" s="5">
        <f t="shared" si="4"/>
        <v>0</v>
      </c>
    </row>
    <row r="17" spans="1:18">
      <c r="A17" s="87"/>
      <c r="B17" s="87"/>
      <c r="C17" s="88"/>
      <c r="D17" s="89"/>
      <c r="E17" s="90"/>
      <c r="F17" s="69"/>
      <c r="G17" s="70"/>
      <c r="H17" s="71"/>
      <c r="I17" s="66"/>
      <c r="J17" s="67"/>
      <c r="K17" s="145" t="str">
        <f t="shared" si="0"/>
        <v/>
      </c>
      <c r="L17" s="64"/>
      <c r="M17" s="64"/>
      <c r="N17" s="152" t="str">
        <f t="shared" si="5"/>
        <v/>
      </c>
      <c r="O17" s="65" t="str">
        <f t="shared" si="1"/>
        <v/>
      </c>
      <c r="P17" s="5" t="str">
        <f t="shared" si="2"/>
        <v/>
      </c>
      <c r="Q17" s="5" t="str">
        <f t="shared" si="3"/>
        <v/>
      </c>
      <c r="R17" s="5" t="str">
        <f t="shared" si="4"/>
        <v/>
      </c>
    </row>
    <row r="18" spans="1:18">
      <c r="A18" s="87"/>
      <c r="B18" s="87"/>
      <c r="C18" s="88"/>
      <c r="D18" s="89"/>
      <c r="E18" s="90"/>
      <c r="F18" s="69"/>
      <c r="G18" s="70"/>
      <c r="H18" s="71"/>
      <c r="I18" s="66"/>
      <c r="J18" s="67"/>
      <c r="K18" s="145" t="str">
        <f t="shared" si="0"/>
        <v/>
      </c>
      <c r="L18" s="64"/>
      <c r="M18" s="64"/>
      <c r="N18" s="152" t="str">
        <f t="shared" si="5"/>
        <v/>
      </c>
      <c r="O18" s="65" t="str">
        <f t="shared" si="1"/>
        <v/>
      </c>
      <c r="P18" s="5" t="str">
        <f t="shared" si="2"/>
        <v/>
      </c>
      <c r="Q18" s="5" t="str">
        <f t="shared" si="3"/>
        <v/>
      </c>
      <c r="R18" s="5" t="str">
        <f t="shared" si="4"/>
        <v/>
      </c>
    </row>
    <row r="19" spans="1:18">
      <c r="A19" s="87"/>
      <c r="B19" s="87"/>
      <c r="C19" s="88"/>
      <c r="D19" s="89"/>
      <c r="E19" s="90"/>
      <c r="F19" s="69"/>
      <c r="G19" s="70"/>
      <c r="H19" s="71"/>
      <c r="I19" s="66"/>
      <c r="J19" s="67"/>
      <c r="K19" s="145" t="str">
        <f t="shared" si="0"/>
        <v/>
      </c>
      <c r="L19" s="64"/>
      <c r="M19" s="64"/>
      <c r="N19" s="152" t="str">
        <f t="shared" si="5"/>
        <v/>
      </c>
      <c r="O19" s="65" t="str">
        <f t="shared" si="1"/>
        <v/>
      </c>
      <c r="P19" s="5" t="str">
        <f t="shared" si="2"/>
        <v/>
      </c>
      <c r="Q19" s="5" t="str">
        <f t="shared" si="3"/>
        <v/>
      </c>
      <c r="R19" s="5" t="str">
        <f t="shared" si="4"/>
        <v/>
      </c>
    </row>
    <row r="20" spans="1:18">
      <c r="A20" s="87"/>
      <c r="B20" s="87"/>
      <c r="C20" s="88"/>
      <c r="D20" s="89"/>
      <c r="E20" s="90"/>
      <c r="F20" s="69"/>
      <c r="G20" s="70"/>
      <c r="H20" s="71"/>
      <c r="I20" s="66"/>
      <c r="J20" s="67"/>
      <c r="K20" s="145" t="str">
        <f t="shared" si="0"/>
        <v/>
      </c>
      <c r="L20" s="64"/>
      <c r="M20" s="64"/>
      <c r="N20" s="152" t="str">
        <f t="shared" si="5"/>
        <v/>
      </c>
      <c r="O20" s="65" t="str">
        <f t="shared" si="1"/>
        <v/>
      </c>
      <c r="P20" s="5" t="str">
        <f t="shared" si="2"/>
        <v/>
      </c>
      <c r="Q20" s="5" t="str">
        <f t="shared" si="3"/>
        <v/>
      </c>
      <c r="R20" s="5" t="str">
        <f t="shared" si="4"/>
        <v/>
      </c>
    </row>
    <row r="21" spans="1:18">
      <c r="A21" s="87"/>
      <c r="B21" s="87"/>
      <c r="C21" s="88"/>
      <c r="D21" s="89"/>
      <c r="E21" s="90"/>
      <c r="F21" s="69"/>
      <c r="G21" s="70"/>
      <c r="H21" s="71"/>
      <c r="I21" s="66"/>
      <c r="J21" s="67"/>
      <c r="K21" s="145" t="str">
        <f t="shared" si="0"/>
        <v/>
      </c>
      <c r="L21" s="64"/>
      <c r="M21" s="64"/>
      <c r="N21" s="152" t="str">
        <f t="shared" si="5"/>
        <v/>
      </c>
      <c r="O21" s="65" t="str">
        <f t="shared" si="1"/>
        <v/>
      </c>
      <c r="P21" s="5" t="str">
        <f t="shared" si="2"/>
        <v/>
      </c>
      <c r="Q21" s="5" t="str">
        <f t="shared" si="3"/>
        <v/>
      </c>
      <c r="R21" s="5" t="str">
        <f t="shared" si="4"/>
        <v/>
      </c>
    </row>
    <row r="22" spans="1:18">
      <c r="A22" s="87"/>
      <c r="B22" s="87"/>
      <c r="C22" s="88"/>
      <c r="D22" s="89"/>
      <c r="E22" s="90"/>
      <c r="F22" s="69"/>
      <c r="G22" s="70"/>
      <c r="H22" s="71"/>
      <c r="I22" s="66"/>
      <c r="J22" s="67"/>
      <c r="K22" s="145" t="str">
        <f t="shared" si="0"/>
        <v/>
      </c>
      <c r="L22" s="64"/>
      <c r="M22" s="64"/>
      <c r="N22" s="152" t="str">
        <f t="shared" si="5"/>
        <v/>
      </c>
      <c r="O22" s="65" t="str">
        <f t="shared" si="1"/>
        <v/>
      </c>
      <c r="P22" s="5" t="str">
        <f t="shared" si="2"/>
        <v/>
      </c>
      <c r="Q22" s="5" t="str">
        <f t="shared" si="3"/>
        <v/>
      </c>
      <c r="R22" s="5" t="str">
        <f t="shared" si="4"/>
        <v/>
      </c>
    </row>
    <row r="23" spans="1:18">
      <c r="A23" s="87"/>
      <c r="B23" s="87"/>
      <c r="C23" s="88"/>
      <c r="D23" s="89"/>
      <c r="E23" s="90"/>
      <c r="F23" s="69"/>
      <c r="G23" s="70"/>
      <c r="H23" s="71"/>
      <c r="I23" s="66"/>
      <c r="J23" s="67"/>
      <c r="K23" s="145" t="str">
        <f t="shared" si="0"/>
        <v/>
      </c>
      <c r="L23" s="64"/>
      <c r="M23" s="64"/>
      <c r="N23" s="152" t="str">
        <f t="shared" si="5"/>
        <v/>
      </c>
      <c r="O23" s="65" t="str">
        <f t="shared" si="1"/>
        <v/>
      </c>
      <c r="P23" s="5" t="str">
        <f t="shared" si="2"/>
        <v/>
      </c>
      <c r="Q23" s="5" t="str">
        <f t="shared" si="3"/>
        <v/>
      </c>
      <c r="R23" s="5" t="str">
        <f t="shared" si="4"/>
        <v/>
      </c>
    </row>
    <row r="24" spans="1:18">
      <c r="A24" s="87"/>
      <c r="B24" s="87"/>
      <c r="C24" s="88"/>
      <c r="D24" s="89"/>
      <c r="E24" s="90"/>
      <c r="F24" s="69"/>
      <c r="G24" s="70"/>
      <c r="H24" s="71"/>
      <c r="I24" s="66"/>
      <c r="J24" s="67"/>
      <c r="K24" s="145" t="str">
        <f t="shared" si="0"/>
        <v/>
      </c>
      <c r="L24" s="64"/>
      <c r="M24" s="64"/>
      <c r="N24" s="152" t="str">
        <f t="shared" si="5"/>
        <v/>
      </c>
      <c r="O24" s="65" t="str">
        <f t="shared" si="1"/>
        <v/>
      </c>
      <c r="P24" s="5" t="str">
        <f t="shared" si="2"/>
        <v/>
      </c>
      <c r="Q24" s="5" t="str">
        <f t="shared" si="3"/>
        <v/>
      </c>
      <c r="R24" s="5" t="str">
        <f t="shared" si="4"/>
        <v/>
      </c>
    </row>
    <row r="25" spans="1:18">
      <c r="A25" s="87"/>
      <c r="B25" s="87"/>
      <c r="C25" s="88"/>
      <c r="D25" s="89"/>
      <c r="E25" s="90"/>
      <c r="F25" s="69"/>
      <c r="G25" s="70"/>
      <c r="H25" s="71"/>
      <c r="I25" s="66"/>
      <c r="J25" s="67"/>
      <c r="K25" s="145" t="str">
        <f t="shared" si="0"/>
        <v/>
      </c>
      <c r="L25" s="64"/>
      <c r="M25" s="64"/>
      <c r="N25" s="152" t="str">
        <f t="shared" si="5"/>
        <v/>
      </c>
      <c r="O25" s="65" t="str">
        <f t="shared" si="1"/>
        <v/>
      </c>
      <c r="P25" s="5" t="str">
        <f t="shared" si="2"/>
        <v/>
      </c>
      <c r="Q25" s="5" t="str">
        <f t="shared" si="3"/>
        <v/>
      </c>
      <c r="R25" s="5" t="str">
        <f t="shared" si="4"/>
        <v/>
      </c>
    </row>
    <row r="26" spans="1:18">
      <c r="A26" s="87"/>
      <c r="B26" s="87"/>
      <c r="C26" s="88"/>
      <c r="D26" s="89"/>
      <c r="E26" s="90"/>
      <c r="F26" s="69"/>
      <c r="G26" s="70"/>
      <c r="H26" s="71"/>
      <c r="I26" s="66"/>
      <c r="J26" s="67"/>
      <c r="K26" s="145" t="str">
        <f t="shared" si="0"/>
        <v/>
      </c>
      <c r="L26" s="64"/>
      <c r="M26" s="64"/>
      <c r="N26" s="152" t="str">
        <f>IF($C26="","",($L26-($M26/2)))</f>
        <v/>
      </c>
      <c r="O26" s="65" t="str">
        <f t="shared" si="1"/>
        <v/>
      </c>
      <c r="P26" s="5" t="str">
        <f t="shared" si="2"/>
        <v/>
      </c>
      <c r="Q26" s="5" t="str">
        <f t="shared" si="3"/>
        <v/>
      </c>
      <c r="R26" s="5" t="str">
        <f t="shared" si="4"/>
        <v/>
      </c>
    </row>
    <row r="27" spans="1:18">
      <c r="A27" s="87"/>
      <c r="B27" s="87"/>
      <c r="C27" s="88"/>
      <c r="D27" s="89"/>
      <c r="E27" s="90"/>
      <c r="F27" s="69"/>
      <c r="G27" s="70"/>
      <c r="H27" s="71"/>
      <c r="I27" s="66"/>
      <c r="J27" s="67"/>
      <c r="K27" s="145" t="str">
        <f t="shared" si="0"/>
        <v/>
      </c>
      <c r="L27" s="64"/>
      <c r="M27" s="64"/>
      <c r="N27" s="152" t="str">
        <f>IF($C27="","",($L27-($M27/2)))</f>
        <v/>
      </c>
      <c r="O27" s="65" t="str">
        <f t="shared" si="1"/>
        <v/>
      </c>
      <c r="P27" s="5" t="str">
        <f t="shared" si="2"/>
        <v/>
      </c>
      <c r="Q27" s="5" t="str">
        <f t="shared" si="3"/>
        <v/>
      </c>
      <c r="R27" s="5" t="str">
        <f t="shared" si="4"/>
        <v/>
      </c>
    </row>
    <row r="28" spans="1:18">
      <c r="A28" s="87"/>
      <c r="B28" s="87"/>
      <c r="C28" s="88"/>
      <c r="D28" s="89"/>
      <c r="E28" s="90"/>
      <c r="F28" s="69"/>
      <c r="G28" s="70"/>
      <c r="H28" s="71"/>
      <c r="I28" s="66"/>
      <c r="J28" s="67"/>
      <c r="K28" s="145" t="str">
        <f t="shared" si="0"/>
        <v/>
      </c>
      <c r="L28" s="64"/>
      <c r="M28" s="64"/>
      <c r="N28" s="152" t="str">
        <f t="shared" si="5"/>
        <v/>
      </c>
      <c r="O28" s="65" t="str">
        <f t="shared" si="1"/>
        <v/>
      </c>
      <c r="P28" s="5" t="str">
        <f t="shared" si="2"/>
        <v/>
      </c>
      <c r="Q28" s="5" t="str">
        <f t="shared" si="3"/>
        <v/>
      </c>
      <c r="R28" s="5" t="str">
        <f t="shared" si="4"/>
        <v/>
      </c>
    </row>
    <row r="29" spans="1:18">
      <c r="A29" s="87"/>
      <c r="B29" s="87"/>
      <c r="C29" s="88"/>
      <c r="D29" s="89"/>
      <c r="E29" s="90"/>
      <c r="F29" s="69"/>
      <c r="G29" s="70"/>
      <c r="H29" s="71"/>
      <c r="I29" s="66"/>
      <c r="J29" s="67"/>
      <c r="K29" s="145" t="str">
        <f t="shared" si="0"/>
        <v/>
      </c>
      <c r="L29" s="64"/>
      <c r="M29" s="64"/>
      <c r="N29" s="152" t="str">
        <f t="shared" si="5"/>
        <v/>
      </c>
      <c r="O29" s="65" t="str">
        <f t="shared" si="1"/>
        <v/>
      </c>
      <c r="P29" s="5" t="str">
        <f t="shared" si="2"/>
        <v/>
      </c>
      <c r="Q29" s="5" t="str">
        <f t="shared" si="3"/>
        <v/>
      </c>
      <c r="R29" s="5" t="str">
        <f t="shared" si="4"/>
        <v/>
      </c>
    </row>
    <row r="30" spans="1:18">
      <c r="A30" s="87"/>
      <c r="B30" s="87"/>
      <c r="C30" s="88"/>
      <c r="D30" s="89"/>
      <c r="E30" s="90"/>
      <c r="F30" s="69"/>
      <c r="G30" s="70"/>
      <c r="H30" s="71"/>
      <c r="I30" s="66"/>
      <c r="J30" s="67"/>
      <c r="K30" s="145" t="str">
        <f t="shared" si="0"/>
        <v/>
      </c>
      <c r="L30" s="64"/>
      <c r="M30" s="64"/>
      <c r="N30" s="152" t="str">
        <f t="shared" si="5"/>
        <v/>
      </c>
      <c r="O30" s="65" t="str">
        <f t="shared" si="1"/>
        <v/>
      </c>
      <c r="P30" s="5" t="str">
        <f t="shared" si="2"/>
        <v/>
      </c>
      <c r="Q30" s="5" t="str">
        <f t="shared" si="3"/>
        <v/>
      </c>
      <c r="R30" s="5" t="str">
        <f t="shared" si="4"/>
        <v/>
      </c>
    </row>
    <row r="31" spans="1:18">
      <c r="A31" s="87"/>
      <c r="B31" s="87"/>
      <c r="C31" s="88"/>
      <c r="D31" s="89"/>
      <c r="E31" s="90"/>
      <c r="F31" s="69"/>
      <c r="G31" s="70"/>
      <c r="H31" s="71"/>
      <c r="I31" s="66"/>
      <c r="J31" s="67"/>
      <c r="K31" s="145" t="str">
        <f t="shared" si="0"/>
        <v/>
      </c>
      <c r="L31" s="64"/>
      <c r="M31" s="64"/>
      <c r="N31" s="152" t="str">
        <f t="shared" si="5"/>
        <v/>
      </c>
      <c r="O31" s="65" t="str">
        <f t="shared" si="1"/>
        <v/>
      </c>
      <c r="P31" s="5" t="str">
        <f t="shared" si="2"/>
        <v/>
      </c>
      <c r="Q31" s="5" t="str">
        <f t="shared" si="3"/>
        <v/>
      </c>
      <c r="R31" s="5" t="str">
        <f t="shared" si="4"/>
        <v/>
      </c>
    </row>
    <row r="32" spans="1:18">
      <c r="A32" s="87"/>
      <c r="B32" s="87"/>
      <c r="C32" s="88"/>
      <c r="D32" s="89"/>
      <c r="E32" s="90"/>
      <c r="F32" s="69"/>
      <c r="G32" s="70"/>
      <c r="H32" s="71"/>
      <c r="I32" s="66"/>
      <c r="J32" s="67"/>
      <c r="K32" s="145" t="str">
        <f t="shared" si="0"/>
        <v/>
      </c>
      <c r="L32" s="64"/>
      <c r="M32" s="64"/>
      <c r="N32" s="152" t="str">
        <f t="shared" si="5"/>
        <v/>
      </c>
      <c r="O32" s="65" t="str">
        <f t="shared" si="1"/>
        <v/>
      </c>
      <c r="P32" s="5" t="str">
        <f t="shared" si="2"/>
        <v/>
      </c>
      <c r="Q32" s="5" t="str">
        <f t="shared" si="3"/>
        <v/>
      </c>
      <c r="R32" s="5" t="str">
        <f t="shared" si="4"/>
        <v/>
      </c>
    </row>
    <row r="33" spans="1:18">
      <c r="A33" s="87"/>
      <c r="B33" s="87"/>
      <c r="C33" s="88"/>
      <c r="D33" s="89"/>
      <c r="E33" s="90"/>
      <c r="F33" s="69"/>
      <c r="G33" s="70"/>
      <c r="H33" s="71"/>
      <c r="I33" s="66"/>
      <c r="J33" s="67"/>
      <c r="K33" s="145" t="str">
        <f t="shared" si="0"/>
        <v/>
      </c>
      <c r="L33" s="64"/>
      <c r="M33" s="64"/>
      <c r="N33" s="152" t="str">
        <f t="shared" si="5"/>
        <v/>
      </c>
      <c r="O33" s="65" t="str">
        <f t="shared" si="1"/>
        <v/>
      </c>
      <c r="P33" s="5" t="str">
        <f t="shared" si="2"/>
        <v/>
      </c>
      <c r="Q33" s="5" t="str">
        <f t="shared" si="3"/>
        <v/>
      </c>
      <c r="R33" s="5" t="str">
        <f t="shared" si="4"/>
        <v/>
      </c>
    </row>
    <row r="34" spans="1:18">
      <c r="A34" s="87"/>
      <c r="B34" s="87"/>
      <c r="C34" s="88"/>
      <c r="D34" s="89"/>
      <c r="E34" s="90"/>
      <c r="F34" s="69"/>
      <c r="G34" s="70"/>
      <c r="H34" s="71"/>
      <c r="I34" s="66"/>
      <c r="J34" s="67"/>
      <c r="K34" s="145" t="str">
        <f t="shared" si="0"/>
        <v/>
      </c>
      <c r="L34" s="64"/>
      <c r="M34" s="64"/>
      <c r="N34" s="152" t="str">
        <f t="shared" si="5"/>
        <v/>
      </c>
      <c r="O34" s="65" t="str">
        <f t="shared" si="1"/>
        <v/>
      </c>
      <c r="P34" s="5" t="str">
        <f t="shared" si="2"/>
        <v/>
      </c>
      <c r="Q34" s="5" t="str">
        <f t="shared" si="3"/>
        <v/>
      </c>
      <c r="R34" s="5" t="str">
        <f t="shared" si="4"/>
        <v/>
      </c>
    </row>
    <row r="35" spans="1:18">
      <c r="A35" s="87"/>
      <c r="B35" s="87"/>
      <c r="C35" s="88"/>
      <c r="D35" s="89"/>
      <c r="E35" s="90"/>
      <c r="F35" s="69"/>
      <c r="G35" s="70"/>
      <c r="H35" s="71"/>
      <c r="I35" s="66"/>
      <c r="J35" s="67"/>
      <c r="K35" s="145" t="str">
        <f t="shared" si="0"/>
        <v/>
      </c>
      <c r="L35" s="64"/>
      <c r="M35" s="64"/>
      <c r="N35" s="152" t="str">
        <f t="shared" si="5"/>
        <v/>
      </c>
      <c r="O35" s="65" t="str">
        <f t="shared" si="1"/>
        <v/>
      </c>
      <c r="P35" s="5" t="str">
        <f t="shared" si="2"/>
        <v/>
      </c>
      <c r="Q35" s="5" t="str">
        <f t="shared" si="3"/>
        <v/>
      </c>
      <c r="R35" s="5" t="str">
        <f t="shared" si="4"/>
        <v/>
      </c>
    </row>
    <row r="36" spans="1:18">
      <c r="A36" s="87"/>
      <c r="B36" s="87"/>
      <c r="C36" s="88"/>
      <c r="D36" s="89"/>
      <c r="E36" s="90"/>
      <c r="F36" s="69"/>
      <c r="G36" s="70"/>
      <c r="H36" s="71"/>
      <c r="I36" s="66"/>
      <c r="J36" s="67"/>
      <c r="K36" s="145" t="str">
        <f t="shared" si="0"/>
        <v/>
      </c>
      <c r="L36" s="64"/>
      <c r="M36" s="64"/>
      <c r="N36" s="152" t="str">
        <f t="shared" si="5"/>
        <v/>
      </c>
      <c r="O36" s="65" t="str">
        <f t="shared" si="1"/>
        <v/>
      </c>
      <c r="P36" s="5" t="str">
        <f t="shared" si="2"/>
        <v/>
      </c>
      <c r="Q36" s="5" t="str">
        <f t="shared" si="3"/>
        <v/>
      </c>
      <c r="R36" s="5" t="str">
        <f t="shared" si="4"/>
        <v/>
      </c>
    </row>
    <row r="37" spans="1:18">
      <c r="A37" s="87"/>
      <c r="B37" s="87"/>
      <c r="C37" s="88"/>
      <c r="D37" s="89"/>
      <c r="E37" s="90"/>
      <c r="F37" s="69"/>
      <c r="G37" s="70"/>
      <c r="H37" s="71"/>
      <c r="I37" s="66"/>
      <c r="J37" s="67"/>
      <c r="K37" s="145" t="str">
        <f t="shared" si="0"/>
        <v/>
      </c>
      <c r="L37" s="64"/>
      <c r="M37" s="64"/>
      <c r="N37" s="152" t="str">
        <f t="shared" si="5"/>
        <v/>
      </c>
      <c r="O37" s="65" t="str">
        <f t="shared" si="1"/>
        <v/>
      </c>
      <c r="P37" s="5" t="str">
        <f t="shared" si="2"/>
        <v/>
      </c>
      <c r="Q37" s="5" t="str">
        <f t="shared" si="3"/>
        <v/>
      </c>
      <c r="R37" s="5" t="str">
        <f t="shared" si="4"/>
        <v/>
      </c>
    </row>
    <row r="38" spans="1:18">
      <c r="A38" s="87"/>
      <c r="B38" s="87"/>
      <c r="C38" s="88"/>
      <c r="D38" s="89"/>
      <c r="E38" s="90"/>
      <c r="F38" s="69"/>
      <c r="G38" s="70"/>
      <c r="H38" s="71"/>
      <c r="I38" s="66"/>
      <c r="J38" s="67"/>
      <c r="K38" s="145" t="str">
        <f t="shared" si="0"/>
        <v/>
      </c>
      <c r="L38" s="64"/>
      <c r="M38" s="64"/>
      <c r="N38" s="152" t="str">
        <f t="shared" si="5"/>
        <v/>
      </c>
      <c r="O38" s="65" t="str">
        <f t="shared" si="1"/>
        <v/>
      </c>
      <c r="P38" s="5" t="str">
        <f t="shared" si="2"/>
        <v/>
      </c>
      <c r="Q38" s="5" t="str">
        <f t="shared" si="3"/>
        <v/>
      </c>
      <c r="R38" s="5" t="str">
        <f t="shared" si="4"/>
        <v/>
      </c>
    </row>
    <row r="39" spans="1:18">
      <c r="A39" s="87"/>
      <c r="B39" s="87"/>
      <c r="C39" s="88"/>
      <c r="D39" s="89"/>
      <c r="E39" s="90"/>
      <c r="F39" s="69"/>
      <c r="G39" s="70"/>
      <c r="H39" s="71"/>
      <c r="I39" s="66"/>
      <c r="J39" s="67"/>
      <c r="K39" s="145" t="str">
        <f t="shared" si="0"/>
        <v/>
      </c>
      <c r="L39" s="64"/>
      <c r="M39" s="64"/>
      <c r="N39" s="152" t="str">
        <f t="shared" si="5"/>
        <v/>
      </c>
      <c r="O39" s="65" t="str">
        <f t="shared" si="1"/>
        <v/>
      </c>
      <c r="P39" s="5" t="str">
        <f t="shared" si="2"/>
        <v/>
      </c>
      <c r="Q39" s="5" t="str">
        <f t="shared" si="3"/>
        <v/>
      </c>
      <c r="R39" s="5" t="str">
        <f t="shared" si="4"/>
        <v/>
      </c>
    </row>
    <row r="40" spans="1:18">
      <c r="A40" s="87"/>
      <c r="B40" s="87"/>
      <c r="C40" s="88"/>
      <c r="D40" s="89"/>
      <c r="E40" s="90"/>
      <c r="F40" s="69"/>
      <c r="G40" s="70"/>
      <c r="H40" s="71"/>
      <c r="I40" s="66"/>
      <c r="J40" s="67"/>
      <c r="K40" s="145" t="str">
        <f t="shared" si="0"/>
        <v/>
      </c>
      <c r="L40" s="64"/>
      <c r="M40" s="64"/>
      <c r="N40" s="152" t="str">
        <f t="shared" si="5"/>
        <v/>
      </c>
      <c r="O40" s="65" t="str">
        <f t="shared" si="1"/>
        <v/>
      </c>
      <c r="P40" s="5" t="str">
        <f t="shared" si="2"/>
        <v/>
      </c>
      <c r="Q40" s="5" t="str">
        <f t="shared" si="3"/>
        <v/>
      </c>
      <c r="R40" s="5" t="str">
        <f t="shared" si="4"/>
        <v/>
      </c>
    </row>
    <row r="41" spans="1:18">
      <c r="A41" s="87"/>
      <c r="B41" s="87"/>
      <c r="C41" s="88"/>
      <c r="D41" s="89"/>
      <c r="E41" s="90"/>
      <c r="F41" s="69"/>
      <c r="G41" s="70"/>
      <c r="H41" s="71"/>
      <c r="I41" s="66"/>
      <c r="J41" s="67"/>
      <c r="K41" s="145" t="str">
        <f t="shared" si="0"/>
        <v/>
      </c>
      <c r="L41" s="64"/>
      <c r="M41" s="64"/>
      <c r="N41" s="152" t="str">
        <f t="shared" si="5"/>
        <v/>
      </c>
      <c r="O41" s="65" t="str">
        <f t="shared" si="1"/>
        <v/>
      </c>
      <c r="P41" s="5" t="str">
        <f t="shared" si="2"/>
        <v/>
      </c>
      <c r="Q41" s="5" t="str">
        <f t="shared" si="3"/>
        <v/>
      </c>
      <c r="R41" s="5" t="str">
        <f t="shared" si="4"/>
        <v/>
      </c>
    </row>
    <row r="42" spans="1:18">
      <c r="A42" s="87"/>
      <c r="B42" s="87"/>
      <c r="C42" s="88"/>
      <c r="D42" s="89"/>
      <c r="E42" s="90"/>
      <c r="F42" s="69"/>
      <c r="G42" s="70"/>
      <c r="H42" s="71"/>
      <c r="I42" s="66"/>
      <c r="J42" s="67"/>
      <c r="K42" s="145" t="str">
        <f t="shared" si="0"/>
        <v/>
      </c>
      <c r="L42" s="64"/>
      <c r="M42" s="64"/>
      <c r="N42" s="152" t="str">
        <f t="shared" si="5"/>
        <v/>
      </c>
      <c r="O42" s="65" t="str">
        <f t="shared" si="1"/>
        <v/>
      </c>
      <c r="P42" s="5" t="str">
        <f t="shared" si="2"/>
        <v/>
      </c>
      <c r="Q42" s="5" t="str">
        <f t="shared" si="3"/>
        <v/>
      </c>
      <c r="R42" s="5" t="str">
        <f t="shared" si="4"/>
        <v/>
      </c>
    </row>
    <row r="43" spans="1:18">
      <c r="A43" s="87"/>
      <c r="B43" s="87"/>
      <c r="C43" s="88"/>
      <c r="D43" s="89"/>
      <c r="E43" s="90"/>
      <c r="F43" s="69"/>
      <c r="G43" s="70"/>
      <c r="H43" s="71"/>
      <c r="I43" s="66"/>
      <c r="J43" s="67"/>
      <c r="K43" s="145" t="str">
        <f t="shared" si="0"/>
        <v/>
      </c>
      <c r="L43" s="64"/>
      <c r="M43" s="64"/>
      <c r="N43" s="152" t="str">
        <f>IF($C43="","",($L43-($M43/2)))</f>
        <v/>
      </c>
      <c r="O43" s="65" t="str">
        <f t="shared" si="1"/>
        <v/>
      </c>
      <c r="P43" s="5" t="str">
        <f t="shared" si="2"/>
        <v/>
      </c>
      <c r="Q43" s="5" t="str">
        <f t="shared" si="3"/>
        <v/>
      </c>
      <c r="R43" s="5" t="str">
        <f t="shared" si="4"/>
        <v/>
      </c>
    </row>
    <row r="44" spans="1:18">
      <c r="A44" s="87"/>
      <c r="B44" s="87"/>
      <c r="C44" s="88"/>
      <c r="D44" s="89"/>
      <c r="E44" s="90"/>
      <c r="F44" s="69"/>
      <c r="G44" s="70"/>
      <c r="H44" s="71"/>
      <c r="I44" s="66"/>
      <c r="J44" s="67"/>
      <c r="K44" s="145" t="str">
        <f t="shared" si="0"/>
        <v/>
      </c>
      <c r="L44" s="64"/>
      <c r="M44" s="64"/>
      <c r="N44" s="152" t="str">
        <f>IF($C44="","",($L44-($M44/2)))</f>
        <v/>
      </c>
      <c r="O44" s="65" t="str">
        <f t="shared" si="1"/>
        <v/>
      </c>
      <c r="P44" s="5" t="str">
        <f t="shared" si="2"/>
        <v/>
      </c>
      <c r="Q44" s="5" t="str">
        <f t="shared" si="3"/>
        <v/>
      </c>
      <c r="R44" s="5" t="str">
        <f t="shared" si="4"/>
        <v/>
      </c>
    </row>
    <row r="45" spans="1:18">
      <c r="A45" s="87"/>
      <c r="B45" s="87"/>
      <c r="C45" s="88"/>
      <c r="D45" s="89"/>
      <c r="E45" s="90"/>
      <c r="F45" s="69"/>
      <c r="G45" s="70"/>
      <c r="H45" s="71"/>
      <c r="I45" s="66"/>
      <c r="J45" s="67"/>
      <c r="K45" s="145" t="str">
        <f t="shared" si="0"/>
        <v/>
      </c>
      <c r="L45" s="64"/>
      <c r="M45" s="64"/>
      <c r="N45" s="152" t="str">
        <f t="shared" si="5"/>
        <v/>
      </c>
      <c r="O45" s="65" t="str">
        <f t="shared" si="1"/>
        <v/>
      </c>
      <c r="P45" s="5" t="str">
        <f t="shared" si="2"/>
        <v/>
      </c>
      <c r="Q45" s="5" t="str">
        <f t="shared" si="3"/>
        <v/>
      </c>
      <c r="R45" s="5" t="str">
        <f t="shared" si="4"/>
        <v/>
      </c>
    </row>
    <row r="46" spans="1:18">
      <c r="A46" s="87"/>
      <c r="B46" s="87"/>
      <c r="C46" s="88"/>
      <c r="D46" s="89"/>
      <c r="E46" s="90"/>
      <c r="F46" s="69"/>
      <c r="G46" s="70"/>
      <c r="H46" s="71"/>
      <c r="I46" s="66"/>
      <c r="J46" s="67"/>
      <c r="K46" s="145" t="str">
        <f t="shared" si="0"/>
        <v/>
      </c>
      <c r="L46" s="64"/>
      <c r="M46" s="64"/>
      <c r="N46" s="152" t="str">
        <f t="shared" si="5"/>
        <v/>
      </c>
      <c r="O46" s="65" t="str">
        <f t="shared" si="1"/>
        <v/>
      </c>
      <c r="P46" s="5" t="str">
        <f t="shared" si="2"/>
        <v/>
      </c>
      <c r="Q46" s="5" t="str">
        <f t="shared" si="3"/>
        <v/>
      </c>
      <c r="R46" s="5" t="str">
        <f t="shared" si="4"/>
        <v/>
      </c>
    </row>
    <row r="47" spans="1:18">
      <c r="A47" s="87"/>
      <c r="B47" s="87"/>
      <c r="C47" s="88"/>
      <c r="D47" s="89"/>
      <c r="E47" s="90"/>
      <c r="F47" s="69"/>
      <c r="G47" s="70"/>
      <c r="H47" s="71"/>
      <c r="I47" s="66"/>
      <c r="J47" s="67"/>
      <c r="K47" s="145" t="str">
        <f t="shared" si="0"/>
        <v/>
      </c>
      <c r="L47" s="64"/>
      <c r="M47" s="64"/>
      <c r="N47" s="152" t="str">
        <f t="shared" si="5"/>
        <v/>
      </c>
      <c r="O47" s="65" t="str">
        <f t="shared" si="1"/>
        <v/>
      </c>
      <c r="P47" s="5" t="str">
        <f t="shared" si="2"/>
        <v/>
      </c>
      <c r="Q47" s="5" t="str">
        <f t="shared" si="3"/>
        <v/>
      </c>
      <c r="R47" s="5" t="str">
        <f t="shared" si="4"/>
        <v/>
      </c>
    </row>
    <row r="48" spans="1:18">
      <c r="A48" s="87"/>
      <c r="B48" s="87"/>
      <c r="C48" s="88"/>
      <c r="D48" s="89"/>
      <c r="E48" s="90"/>
      <c r="F48" s="69"/>
      <c r="G48" s="70"/>
      <c r="H48" s="71"/>
      <c r="I48" s="66"/>
      <c r="J48" s="67"/>
      <c r="K48" s="145" t="str">
        <f t="shared" si="0"/>
        <v/>
      </c>
      <c r="L48" s="64"/>
      <c r="M48" s="64"/>
      <c r="N48" s="152" t="str">
        <f t="shared" si="5"/>
        <v/>
      </c>
      <c r="O48" s="65" t="str">
        <f t="shared" si="1"/>
        <v/>
      </c>
      <c r="P48" s="5" t="str">
        <f t="shared" si="2"/>
        <v/>
      </c>
      <c r="Q48" s="5" t="str">
        <f t="shared" si="3"/>
        <v/>
      </c>
      <c r="R48" s="5" t="str">
        <f t="shared" si="4"/>
        <v/>
      </c>
    </row>
    <row r="49" spans="1:18">
      <c r="A49" s="87"/>
      <c r="B49" s="87"/>
      <c r="C49" s="88"/>
      <c r="D49" s="89"/>
      <c r="E49" s="90"/>
      <c r="F49" s="69"/>
      <c r="G49" s="70"/>
      <c r="H49" s="71"/>
      <c r="I49" s="66"/>
      <c r="J49" s="67"/>
      <c r="K49" s="145" t="str">
        <f t="shared" si="0"/>
        <v/>
      </c>
      <c r="L49" s="64"/>
      <c r="M49" s="64"/>
      <c r="N49" s="152" t="str">
        <f t="shared" si="5"/>
        <v/>
      </c>
      <c r="O49" s="65" t="str">
        <f t="shared" si="1"/>
        <v/>
      </c>
      <c r="P49" s="5" t="str">
        <f t="shared" si="2"/>
        <v/>
      </c>
      <c r="Q49" s="5" t="str">
        <f t="shared" si="3"/>
        <v/>
      </c>
      <c r="R49" s="5" t="str">
        <f t="shared" si="4"/>
        <v/>
      </c>
    </row>
    <row r="50" spans="1:18">
      <c r="A50" s="87"/>
      <c r="B50" s="87"/>
      <c r="C50" s="88"/>
      <c r="D50" s="89"/>
      <c r="E50" s="90"/>
      <c r="F50" s="69"/>
      <c r="G50" s="70"/>
      <c r="H50" s="71"/>
      <c r="I50" s="66"/>
      <c r="J50" s="67"/>
      <c r="K50" s="145" t="str">
        <f t="shared" si="0"/>
        <v/>
      </c>
      <c r="L50" s="64"/>
      <c r="M50" s="64"/>
      <c r="N50" s="152" t="str">
        <f t="shared" si="5"/>
        <v/>
      </c>
      <c r="O50" s="65" t="str">
        <f t="shared" si="1"/>
        <v/>
      </c>
      <c r="P50" s="5" t="str">
        <f t="shared" si="2"/>
        <v/>
      </c>
      <c r="Q50" s="5" t="str">
        <f t="shared" si="3"/>
        <v/>
      </c>
      <c r="R50" s="5" t="str">
        <f t="shared" si="4"/>
        <v/>
      </c>
    </row>
    <row r="51" spans="1:18">
      <c r="A51" s="87"/>
      <c r="B51" s="87"/>
      <c r="C51" s="88"/>
      <c r="D51" s="89"/>
      <c r="E51" s="90"/>
      <c r="F51" s="69"/>
      <c r="G51" s="70"/>
      <c r="H51" s="71"/>
      <c r="I51" s="66"/>
      <c r="J51" s="67"/>
      <c r="K51" s="145" t="str">
        <f t="shared" si="0"/>
        <v/>
      </c>
      <c r="L51" s="64"/>
      <c r="M51" s="64"/>
      <c r="N51" s="152" t="str">
        <f t="shared" si="5"/>
        <v/>
      </c>
      <c r="O51" s="65" t="str">
        <f t="shared" si="1"/>
        <v/>
      </c>
      <c r="P51" s="5" t="str">
        <f t="shared" si="2"/>
        <v/>
      </c>
      <c r="Q51" s="5" t="str">
        <f t="shared" si="3"/>
        <v/>
      </c>
      <c r="R51" s="5" t="str">
        <f t="shared" si="4"/>
        <v/>
      </c>
    </row>
    <row r="52" spans="1:18">
      <c r="A52" s="87"/>
      <c r="B52" s="87"/>
      <c r="C52" s="88"/>
      <c r="D52" s="89"/>
      <c r="E52" s="90"/>
      <c r="F52" s="69"/>
      <c r="G52" s="70"/>
      <c r="H52" s="71"/>
      <c r="I52" s="66"/>
      <c r="J52" s="67"/>
      <c r="K52" s="145" t="str">
        <f t="shared" si="0"/>
        <v/>
      </c>
      <c r="L52" s="64"/>
      <c r="M52" s="64"/>
      <c r="N52" s="152" t="str">
        <f t="shared" si="5"/>
        <v/>
      </c>
      <c r="O52" s="65" t="str">
        <f t="shared" si="1"/>
        <v/>
      </c>
      <c r="P52" s="5" t="str">
        <f t="shared" si="2"/>
        <v/>
      </c>
      <c r="Q52" s="5" t="str">
        <f t="shared" si="3"/>
        <v/>
      </c>
      <c r="R52" s="5" t="str">
        <f t="shared" si="4"/>
        <v/>
      </c>
    </row>
    <row r="53" spans="1:18">
      <c r="A53" s="87"/>
      <c r="B53" s="87"/>
      <c r="C53" s="88"/>
      <c r="D53" s="89"/>
      <c r="E53" s="90"/>
      <c r="F53" s="69"/>
      <c r="G53" s="70"/>
      <c r="H53" s="71"/>
      <c r="I53" s="66"/>
      <c r="J53" s="67"/>
      <c r="K53" s="145" t="str">
        <f t="shared" si="0"/>
        <v/>
      </c>
      <c r="L53" s="64"/>
      <c r="M53" s="64"/>
      <c r="N53" s="152" t="str">
        <f t="shared" si="5"/>
        <v/>
      </c>
      <c r="O53" s="65" t="str">
        <f t="shared" si="1"/>
        <v/>
      </c>
      <c r="P53" s="5" t="str">
        <f t="shared" si="2"/>
        <v/>
      </c>
      <c r="Q53" s="5" t="str">
        <f t="shared" si="3"/>
        <v/>
      </c>
      <c r="R53" s="5" t="str">
        <f t="shared" si="4"/>
        <v/>
      </c>
    </row>
    <row r="54" spans="1:18">
      <c r="A54" s="87"/>
      <c r="B54" s="87"/>
      <c r="C54" s="88"/>
      <c r="D54" s="89"/>
      <c r="E54" s="90"/>
      <c r="F54" s="69"/>
      <c r="G54" s="70"/>
      <c r="H54" s="71"/>
      <c r="I54" s="66"/>
      <c r="J54" s="67"/>
      <c r="K54" s="145" t="str">
        <f t="shared" si="0"/>
        <v/>
      </c>
      <c r="L54" s="64"/>
      <c r="M54" s="64"/>
      <c r="N54" s="152" t="str">
        <f t="shared" si="5"/>
        <v/>
      </c>
      <c r="O54" s="65" t="str">
        <f t="shared" si="1"/>
        <v/>
      </c>
      <c r="P54" s="5" t="str">
        <f t="shared" si="2"/>
        <v/>
      </c>
      <c r="Q54" s="5" t="str">
        <f t="shared" si="3"/>
        <v/>
      </c>
      <c r="R54" s="5" t="str">
        <f t="shared" si="4"/>
        <v/>
      </c>
    </row>
    <row r="55" spans="1:18">
      <c r="A55" s="87"/>
      <c r="B55" s="87"/>
      <c r="C55" s="88"/>
      <c r="D55" s="89"/>
      <c r="E55" s="90"/>
      <c r="F55" s="69"/>
      <c r="G55" s="70"/>
      <c r="H55" s="71"/>
      <c r="I55" s="66"/>
      <c r="J55" s="67"/>
      <c r="K55" s="145" t="str">
        <f t="shared" si="0"/>
        <v/>
      </c>
      <c r="L55" s="64"/>
      <c r="M55" s="64"/>
      <c r="N55" s="152" t="str">
        <f t="shared" si="5"/>
        <v/>
      </c>
      <c r="O55" s="65" t="str">
        <f t="shared" si="1"/>
        <v/>
      </c>
      <c r="P55" s="5" t="str">
        <f t="shared" si="2"/>
        <v/>
      </c>
      <c r="Q55" s="5" t="str">
        <f t="shared" si="3"/>
        <v/>
      </c>
      <c r="R55" s="5" t="str">
        <f t="shared" si="4"/>
        <v/>
      </c>
    </row>
    <row r="56" spans="1:18">
      <c r="A56" s="87"/>
      <c r="B56" s="87"/>
      <c r="C56" s="88"/>
      <c r="D56" s="89"/>
      <c r="E56" s="90"/>
      <c r="F56" s="69"/>
      <c r="G56" s="70"/>
      <c r="H56" s="71"/>
      <c r="I56" s="66"/>
      <c r="J56" s="67"/>
      <c r="K56" s="145" t="str">
        <f t="shared" si="0"/>
        <v/>
      </c>
      <c r="L56" s="64"/>
      <c r="M56" s="64"/>
      <c r="N56" s="152" t="str">
        <f t="shared" si="5"/>
        <v/>
      </c>
      <c r="O56" s="65" t="str">
        <f t="shared" si="1"/>
        <v/>
      </c>
      <c r="P56" s="5" t="str">
        <f t="shared" si="2"/>
        <v/>
      </c>
      <c r="Q56" s="5" t="str">
        <f t="shared" si="3"/>
        <v/>
      </c>
      <c r="R56" s="5" t="str">
        <f t="shared" si="4"/>
        <v/>
      </c>
    </row>
    <row r="57" spans="1:18">
      <c r="A57" s="87"/>
      <c r="B57" s="87"/>
      <c r="C57" s="88"/>
      <c r="D57" s="89"/>
      <c r="E57" s="90"/>
      <c r="F57" s="69"/>
      <c r="G57" s="70"/>
      <c r="H57" s="71"/>
      <c r="I57" s="66"/>
      <c r="J57" s="67"/>
      <c r="K57" s="145" t="str">
        <f t="shared" si="0"/>
        <v/>
      </c>
      <c r="L57" s="64"/>
      <c r="M57" s="64"/>
      <c r="N57" s="152" t="str">
        <f t="shared" si="5"/>
        <v/>
      </c>
      <c r="O57" s="65" t="str">
        <f t="shared" si="1"/>
        <v/>
      </c>
      <c r="P57" s="5" t="str">
        <f t="shared" si="2"/>
        <v/>
      </c>
      <c r="Q57" s="5" t="str">
        <f t="shared" si="3"/>
        <v/>
      </c>
      <c r="R57" s="5" t="str">
        <f t="shared" si="4"/>
        <v/>
      </c>
    </row>
    <row r="58" spans="1:18">
      <c r="A58" s="87"/>
      <c r="B58" s="87"/>
      <c r="C58" s="88"/>
      <c r="D58" s="89"/>
      <c r="E58" s="90"/>
      <c r="F58" s="69"/>
      <c r="G58" s="70"/>
      <c r="H58" s="71"/>
      <c r="I58" s="66"/>
      <c r="J58" s="67"/>
      <c r="K58" s="145" t="str">
        <f t="shared" si="0"/>
        <v/>
      </c>
      <c r="L58" s="64"/>
      <c r="M58" s="64"/>
      <c r="N58" s="152" t="str">
        <f t="shared" si="5"/>
        <v/>
      </c>
      <c r="O58" s="65" t="str">
        <f t="shared" si="1"/>
        <v/>
      </c>
      <c r="P58" s="5" t="str">
        <f t="shared" si="2"/>
        <v/>
      </c>
      <c r="Q58" s="5" t="str">
        <f t="shared" si="3"/>
        <v/>
      </c>
      <c r="R58" s="5" t="str">
        <f t="shared" si="4"/>
        <v/>
      </c>
    </row>
    <row r="59" spans="1:18">
      <c r="A59" s="87"/>
      <c r="B59" s="87"/>
      <c r="C59" s="88"/>
      <c r="D59" s="89"/>
      <c r="E59" s="90"/>
      <c r="F59" s="69"/>
      <c r="G59" s="70"/>
      <c r="H59" s="71"/>
      <c r="I59" s="66"/>
      <c r="J59" s="67"/>
      <c r="K59" s="145" t="str">
        <f t="shared" si="0"/>
        <v/>
      </c>
      <c r="L59" s="64"/>
      <c r="M59" s="64"/>
      <c r="N59" s="152" t="str">
        <f t="shared" si="5"/>
        <v/>
      </c>
      <c r="O59" s="65" t="str">
        <f t="shared" si="1"/>
        <v/>
      </c>
      <c r="P59" s="5" t="str">
        <f t="shared" si="2"/>
        <v/>
      </c>
      <c r="Q59" s="5" t="str">
        <f t="shared" si="3"/>
        <v/>
      </c>
      <c r="R59" s="5" t="str">
        <f t="shared" si="4"/>
        <v/>
      </c>
    </row>
    <row r="60" spans="1:18">
      <c r="A60" s="87"/>
      <c r="B60" s="87"/>
      <c r="C60" s="88"/>
      <c r="D60" s="89"/>
      <c r="E60" s="90"/>
      <c r="F60" s="69"/>
      <c r="G60" s="70"/>
      <c r="H60" s="71"/>
      <c r="I60" s="66"/>
      <c r="J60" s="67"/>
      <c r="K60" s="145" t="str">
        <f t="shared" si="0"/>
        <v/>
      </c>
      <c r="L60" s="64"/>
      <c r="M60" s="64"/>
      <c r="N60" s="152" t="str">
        <f t="shared" si="5"/>
        <v/>
      </c>
      <c r="O60" s="65" t="str">
        <f t="shared" si="1"/>
        <v/>
      </c>
      <c r="P60" s="5" t="str">
        <f t="shared" si="2"/>
        <v/>
      </c>
      <c r="Q60" s="5" t="str">
        <f t="shared" si="3"/>
        <v/>
      </c>
      <c r="R60" s="5" t="str">
        <f t="shared" si="4"/>
        <v/>
      </c>
    </row>
    <row r="61" spans="1:18">
      <c r="A61" s="87"/>
      <c r="B61" s="87"/>
      <c r="C61" s="88"/>
      <c r="D61" s="89"/>
      <c r="E61" s="90"/>
      <c r="F61" s="69"/>
      <c r="G61" s="70"/>
      <c r="H61" s="71"/>
      <c r="I61" s="66"/>
      <c r="J61" s="67"/>
      <c r="K61" s="145" t="str">
        <f t="shared" si="0"/>
        <v/>
      </c>
      <c r="L61" s="64"/>
      <c r="M61" s="64"/>
      <c r="N61" s="152" t="str">
        <f t="shared" si="5"/>
        <v/>
      </c>
      <c r="O61" s="65" t="str">
        <f t="shared" si="1"/>
        <v/>
      </c>
      <c r="P61" s="5" t="str">
        <f t="shared" si="2"/>
        <v/>
      </c>
      <c r="Q61" s="5" t="str">
        <f t="shared" si="3"/>
        <v/>
      </c>
      <c r="R61" s="5" t="str">
        <f t="shared" si="4"/>
        <v/>
      </c>
    </row>
    <row r="62" spans="1:18">
      <c r="A62" s="87"/>
      <c r="B62" s="87"/>
      <c r="C62" s="88"/>
      <c r="D62" s="89"/>
      <c r="E62" s="90"/>
      <c r="F62" s="69"/>
      <c r="G62" s="70"/>
      <c r="H62" s="71"/>
      <c r="I62" s="66"/>
      <c r="J62" s="67"/>
      <c r="K62" s="145" t="str">
        <f t="shared" si="0"/>
        <v/>
      </c>
      <c r="L62" s="64"/>
      <c r="M62" s="64"/>
      <c r="N62" s="152" t="str">
        <f t="shared" si="5"/>
        <v/>
      </c>
      <c r="O62" s="65" t="str">
        <f t="shared" si="1"/>
        <v/>
      </c>
      <c r="P62" s="5" t="str">
        <f t="shared" si="2"/>
        <v/>
      </c>
      <c r="Q62" s="5" t="str">
        <f t="shared" si="3"/>
        <v/>
      </c>
      <c r="R62" s="5" t="str">
        <f t="shared" si="4"/>
        <v/>
      </c>
    </row>
    <row r="63" spans="1:18">
      <c r="A63" s="87"/>
      <c r="B63" s="87"/>
      <c r="C63" s="88"/>
      <c r="D63" s="89"/>
      <c r="E63" s="90"/>
      <c r="F63" s="69"/>
      <c r="G63" s="70"/>
      <c r="H63" s="71"/>
      <c r="I63" s="66"/>
      <c r="J63" s="67"/>
      <c r="K63" s="145" t="str">
        <f t="shared" si="0"/>
        <v/>
      </c>
      <c r="L63" s="64"/>
      <c r="M63" s="64"/>
      <c r="N63" s="152" t="str">
        <f t="shared" si="5"/>
        <v/>
      </c>
      <c r="O63" s="65" t="str">
        <f t="shared" si="1"/>
        <v/>
      </c>
      <c r="P63" s="5" t="str">
        <f t="shared" si="2"/>
        <v/>
      </c>
      <c r="Q63" s="5" t="str">
        <f t="shared" si="3"/>
        <v/>
      </c>
      <c r="R63" s="5" t="str">
        <f t="shared" si="4"/>
        <v/>
      </c>
    </row>
    <row r="64" spans="1:18">
      <c r="A64" s="87"/>
      <c r="B64" s="87"/>
      <c r="C64" s="88"/>
      <c r="D64" s="89"/>
      <c r="E64" s="90"/>
      <c r="F64" s="69"/>
      <c r="G64" s="70"/>
      <c r="H64" s="71"/>
      <c r="I64" s="66"/>
      <c r="J64" s="67"/>
      <c r="K64" s="145" t="str">
        <f t="shared" si="0"/>
        <v/>
      </c>
      <c r="L64" s="64"/>
      <c r="M64" s="64"/>
      <c r="N64" s="152" t="str">
        <f t="shared" si="5"/>
        <v/>
      </c>
      <c r="O64" s="65" t="str">
        <f t="shared" si="1"/>
        <v/>
      </c>
      <c r="P64" s="5" t="str">
        <f t="shared" si="2"/>
        <v/>
      </c>
      <c r="Q64" s="5" t="str">
        <f t="shared" si="3"/>
        <v/>
      </c>
      <c r="R64" s="5" t="str">
        <f t="shared" si="4"/>
        <v/>
      </c>
    </row>
    <row r="65" spans="1:18">
      <c r="A65" s="87"/>
      <c r="B65" s="87"/>
      <c r="C65" s="88"/>
      <c r="D65" s="89"/>
      <c r="E65" s="90"/>
      <c r="F65" s="69"/>
      <c r="G65" s="70"/>
      <c r="H65" s="71"/>
      <c r="I65" s="66"/>
      <c r="J65" s="67"/>
      <c r="K65" s="145" t="str">
        <f t="shared" si="0"/>
        <v/>
      </c>
      <c r="L65" s="64"/>
      <c r="M65" s="64"/>
      <c r="N65" s="152" t="str">
        <f t="shared" si="5"/>
        <v/>
      </c>
      <c r="O65" s="65" t="str">
        <f t="shared" si="1"/>
        <v/>
      </c>
      <c r="P65" s="5" t="str">
        <f t="shared" si="2"/>
        <v/>
      </c>
      <c r="Q65" s="5" t="str">
        <f t="shared" si="3"/>
        <v/>
      </c>
      <c r="R65" s="5" t="str">
        <f t="shared" si="4"/>
        <v/>
      </c>
    </row>
    <row r="66" spans="1:18">
      <c r="A66" s="87"/>
      <c r="B66" s="87"/>
      <c r="C66" s="88"/>
      <c r="D66" s="89"/>
      <c r="E66" s="90"/>
      <c r="F66" s="69"/>
      <c r="G66" s="70"/>
      <c r="H66" s="71"/>
      <c r="I66" s="66"/>
      <c r="J66" s="67"/>
      <c r="K66" s="145" t="str">
        <f t="shared" si="0"/>
        <v/>
      </c>
      <c r="L66" s="64"/>
      <c r="M66" s="64"/>
      <c r="N66" s="152" t="str">
        <f t="shared" si="5"/>
        <v/>
      </c>
      <c r="O66" s="65" t="str">
        <f t="shared" si="1"/>
        <v/>
      </c>
      <c r="P66" s="5" t="str">
        <f t="shared" si="2"/>
        <v/>
      </c>
      <c r="Q66" s="5" t="str">
        <f t="shared" si="3"/>
        <v/>
      </c>
      <c r="R66" s="5" t="str">
        <f t="shared" si="4"/>
        <v/>
      </c>
    </row>
    <row r="67" spans="1:18">
      <c r="A67" s="87"/>
      <c r="B67" s="87"/>
      <c r="C67" s="88"/>
      <c r="D67" s="89"/>
      <c r="E67" s="90"/>
      <c r="F67" s="69"/>
      <c r="G67" s="70"/>
      <c r="H67" s="71"/>
      <c r="I67" s="66"/>
      <c r="J67" s="67"/>
      <c r="K67" s="145" t="str">
        <f t="shared" si="0"/>
        <v/>
      </c>
      <c r="L67" s="64"/>
      <c r="M67" s="64"/>
      <c r="N67" s="152" t="str">
        <f t="shared" si="5"/>
        <v/>
      </c>
      <c r="O67" s="65" t="str">
        <f t="shared" si="1"/>
        <v/>
      </c>
      <c r="P67" s="5" t="str">
        <f t="shared" si="2"/>
        <v/>
      </c>
      <c r="Q67" s="5" t="str">
        <f t="shared" si="3"/>
        <v/>
      </c>
      <c r="R67" s="5" t="str">
        <f t="shared" si="4"/>
        <v/>
      </c>
    </row>
    <row r="68" spans="1:18">
      <c r="A68" s="87"/>
      <c r="B68" s="87"/>
      <c r="C68" s="88"/>
      <c r="D68" s="89"/>
      <c r="E68" s="90"/>
      <c r="F68" s="69"/>
      <c r="G68" s="70"/>
      <c r="H68" s="71"/>
      <c r="I68" s="66"/>
      <c r="J68" s="67"/>
      <c r="K68" s="145" t="str">
        <f t="shared" si="0"/>
        <v/>
      </c>
      <c r="L68" s="64"/>
      <c r="M68" s="64"/>
      <c r="N68" s="152" t="str">
        <f t="shared" si="5"/>
        <v/>
      </c>
      <c r="O68" s="65" t="str">
        <f t="shared" si="1"/>
        <v/>
      </c>
      <c r="P68" s="5" t="str">
        <f t="shared" si="2"/>
        <v/>
      </c>
      <c r="Q68" s="5" t="str">
        <f t="shared" si="3"/>
        <v/>
      </c>
      <c r="R68" s="5" t="str">
        <f t="shared" si="4"/>
        <v/>
      </c>
    </row>
    <row r="69" spans="1:18">
      <c r="A69" s="87"/>
      <c r="B69" s="87"/>
      <c r="C69" s="88"/>
      <c r="D69" s="89"/>
      <c r="E69" s="90"/>
      <c r="F69" s="69"/>
      <c r="G69" s="70"/>
      <c r="H69" s="71"/>
      <c r="I69" s="66"/>
      <c r="J69" s="67"/>
      <c r="K69" s="145" t="str">
        <f t="shared" si="0"/>
        <v/>
      </c>
      <c r="L69" s="64"/>
      <c r="M69" s="64"/>
      <c r="N69" s="152" t="str">
        <f t="shared" si="5"/>
        <v/>
      </c>
      <c r="O69" s="65" t="str">
        <f t="shared" si="1"/>
        <v/>
      </c>
      <c r="P69" s="5" t="str">
        <f t="shared" si="2"/>
        <v/>
      </c>
      <c r="Q69" s="5" t="str">
        <f t="shared" si="3"/>
        <v/>
      </c>
      <c r="R69" s="5" t="str">
        <f t="shared" si="4"/>
        <v/>
      </c>
    </row>
    <row r="70" spans="1:18">
      <c r="A70" s="87"/>
      <c r="B70" s="87"/>
      <c r="C70" s="88"/>
      <c r="D70" s="89"/>
      <c r="E70" s="90"/>
      <c r="F70" s="69"/>
      <c r="G70" s="70"/>
      <c r="H70" s="71"/>
      <c r="I70" s="66"/>
      <c r="J70" s="67"/>
      <c r="K70" s="145" t="str">
        <f t="shared" si="0"/>
        <v/>
      </c>
      <c r="L70" s="64"/>
      <c r="M70" s="64"/>
      <c r="N70" s="152" t="str">
        <f t="shared" si="5"/>
        <v/>
      </c>
      <c r="O70" s="65" t="str">
        <f t="shared" si="1"/>
        <v/>
      </c>
      <c r="P70" s="5" t="str">
        <f t="shared" si="2"/>
        <v/>
      </c>
      <c r="Q70" s="5" t="str">
        <f t="shared" si="3"/>
        <v/>
      </c>
      <c r="R70" s="5" t="str">
        <f t="shared" si="4"/>
        <v/>
      </c>
    </row>
    <row r="71" spans="1:18">
      <c r="A71" s="87"/>
      <c r="B71" s="87"/>
      <c r="C71" s="88"/>
      <c r="D71" s="89"/>
      <c r="E71" s="90"/>
      <c r="F71" s="69"/>
      <c r="G71" s="70"/>
      <c r="H71" s="71"/>
      <c r="I71" s="66"/>
      <c r="J71" s="67"/>
      <c r="K71" s="145" t="str">
        <f t="shared" ref="K71:K134" si="6">IF($C71="","",IF($I71+$J71=0,0,$I71/($I71+$J71)))</f>
        <v/>
      </c>
      <c r="L71" s="64"/>
      <c r="M71" s="64"/>
      <c r="N71" s="152" t="str">
        <f t="shared" ref="N71:N134" si="7">IF($C71="","",($L71-($M71/2)))</f>
        <v/>
      </c>
      <c r="O71" s="65" t="str">
        <f t="shared" ref="O71:O134" si="8">IF(C71="","",IF(TRIM($B71)="beginning",(((SUM($P71:$R71)-4085)/1299)*40)+360,IF(TRIM($B71)="middle",(((SUM($P71:$R71)-4085)/1299)*40)+400,IF(TRIM($B71)="end",(((SUM($P71:$R71)-4085)/1299)*40)+440,""))))</f>
        <v/>
      </c>
      <c r="P71" s="5" t="str">
        <f t="shared" ref="P71:P134" si="9">IF($C71="","",I71*31.12)</f>
        <v/>
      </c>
      <c r="Q71" s="5" t="str">
        <f t="shared" ref="Q71:Q134" si="10">IF($C71="","",K71*0.03)</f>
        <v/>
      </c>
      <c r="R71" s="5" t="str">
        <f t="shared" ref="R71:R134" si="11">IF($C71="","",N71*4.58)</f>
        <v/>
      </c>
    </row>
    <row r="72" spans="1:18">
      <c r="A72" s="87"/>
      <c r="B72" s="87"/>
      <c r="C72" s="88"/>
      <c r="D72" s="89"/>
      <c r="E72" s="90"/>
      <c r="F72" s="69"/>
      <c r="G72" s="70"/>
      <c r="H72" s="71"/>
      <c r="I72" s="66"/>
      <c r="J72" s="67"/>
      <c r="K72" s="145" t="str">
        <f t="shared" si="6"/>
        <v/>
      </c>
      <c r="L72" s="64"/>
      <c r="M72" s="64"/>
      <c r="N72" s="152" t="str">
        <f t="shared" si="7"/>
        <v/>
      </c>
      <c r="O72" s="65"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2" t="str">
        <f t="shared" si="7"/>
        <v/>
      </c>
      <c r="O73" s="65"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2" t="str">
        <f t="shared" si="7"/>
        <v/>
      </c>
      <c r="O74" s="65"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2" t="str">
        <f t="shared" si="7"/>
        <v/>
      </c>
      <c r="O75" s="65"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2" t="str">
        <f t="shared" si="7"/>
        <v/>
      </c>
      <c r="O76" s="65"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2" t="str">
        <f t="shared" si="7"/>
        <v/>
      </c>
      <c r="O77" s="65"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2" t="str">
        <f t="shared" si="7"/>
        <v/>
      </c>
      <c r="O78" s="65"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2" t="str">
        <f t="shared" si="7"/>
        <v/>
      </c>
      <c r="O79" s="65"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2" t="str">
        <f t="shared" si="7"/>
        <v/>
      </c>
      <c r="O80" s="65"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2" t="str">
        <f t="shared" si="7"/>
        <v/>
      </c>
      <c r="O81" s="65"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2" t="str">
        <f t="shared" si="7"/>
        <v/>
      </c>
      <c r="O82" s="65"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2" t="str">
        <f t="shared" si="7"/>
        <v/>
      </c>
      <c r="O83" s="65"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2" t="str">
        <f t="shared" si="7"/>
        <v/>
      </c>
      <c r="O84" s="65"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2" t="str">
        <f t="shared" si="7"/>
        <v/>
      </c>
      <c r="O85" s="65"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2" t="str">
        <f t="shared" si="7"/>
        <v/>
      </c>
      <c r="O86" s="65"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2" t="str">
        <f t="shared" si="7"/>
        <v/>
      </c>
      <c r="O87" s="65"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2" t="str">
        <f t="shared" si="7"/>
        <v/>
      </c>
      <c r="O88" s="65"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2" t="str">
        <f t="shared" si="7"/>
        <v/>
      </c>
      <c r="O89" s="65"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2" t="str">
        <f t="shared" si="7"/>
        <v/>
      </c>
      <c r="O90" s="65"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2" t="str">
        <f t="shared" si="7"/>
        <v/>
      </c>
      <c r="O91" s="65"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2" t="str">
        <f t="shared" si="7"/>
        <v/>
      </c>
      <c r="O92" s="65"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2" t="str">
        <f t="shared" si="7"/>
        <v/>
      </c>
      <c r="O93" s="65"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2" t="str">
        <f t="shared" si="7"/>
        <v/>
      </c>
      <c r="O94" s="65"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2" t="str">
        <f t="shared" si="7"/>
        <v/>
      </c>
      <c r="O95" s="65"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2" t="str">
        <f t="shared" si="7"/>
        <v/>
      </c>
      <c r="O96" s="65"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2" t="str">
        <f t="shared" si="7"/>
        <v/>
      </c>
      <c r="O97" s="65"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2" t="str">
        <f t="shared" si="7"/>
        <v/>
      </c>
      <c r="O98" s="65"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2" t="str">
        <f t="shared" si="7"/>
        <v/>
      </c>
      <c r="O99" s="65"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2" t="str">
        <f t="shared" si="7"/>
        <v/>
      </c>
      <c r="O100" s="65"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2" t="str">
        <f t="shared" si="7"/>
        <v/>
      </c>
      <c r="O101" s="65"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2" t="str">
        <f t="shared" si="7"/>
        <v/>
      </c>
      <c r="O102" s="65"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2" t="str">
        <f t="shared" si="7"/>
        <v/>
      </c>
      <c r="O103" s="65"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2" t="str">
        <f t="shared" si="7"/>
        <v/>
      </c>
      <c r="O104" s="65"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2" t="str">
        <f t="shared" si="7"/>
        <v/>
      </c>
      <c r="O105" s="65"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2" t="str">
        <f t="shared" si="7"/>
        <v/>
      </c>
      <c r="O106" s="65"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2" t="str">
        <f t="shared" si="7"/>
        <v/>
      </c>
      <c r="O107" s="65"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2" t="str">
        <f t="shared" si="7"/>
        <v/>
      </c>
      <c r="O108" s="65"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2" t="str">
        <f t="shared" si="7"/>
        <v/>
      </c>
      <c r="O109" s="65"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2" t="str">
        <f t="shared" si="7"/>
        <v/>
      </c>
      <c r="O110" s="65"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2" t="str">
        <f t="shared" si="7"/>
        <v/>
      </c>
      <c r="O111" s="65"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2" t="str">
        <f t="shared" si="7"/>
        <v/>
      </c>
      <c r="O112" s="65"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2" t="str">
        <f t="shared" si="7"/>
        <v/>
      </c>
      <c r="O113" s="65"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2" t="str">
        <f t="shared" si="7"/>
        <v/>
      </c>
      <c r="O114" s="65"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2" t="str">
        <f t="shared" si="7"/>
        <v/>
      </c>
      <c r="O115" s="65"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2" t="str">
        <f t="shared" si="7"/>
        <v/>
      </c>
      <c r="O116" s="65"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2" t="str">
        <f t="shared" si="7"/>
        <v/>
      </c>
      <c r="O117" s="65"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2" t="str">
        <f t="shared" si="7"/>
        <v/>
      </c>
      <c r="O118" s="65"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2" t="str">
        <f t="shared" si="7"/>
        <v/>
      </c>
      <c r="O119" s="65"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2" t="str">
        <f t="shared" si="7"/>
        <v/>
      </c>
      <c r="O120" s="65"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2" t="str">
        <f t="shared" si="7"/>
        <v/>
      </c>
      <c r="O121" s="65"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2" t="str">
        <f t="shared" si="7"/>
        <v/>
      </c>
      <c r="O122" s="65"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2" t="str">
        <f t="shared" si="7"/>
        <v/>
      </c>
      <c r="O123" s="65"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2" t="str">
        <f t="shared" si="7"/>
        <v/>
      </c>
      <c r="O124" s="65"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2" t="str">
        <f t="shared" si="7"/>
        <v/>
      </c>
      <c r="O125" s="65"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2" t="str">
        <f t="shared" si="7"/>
        <v/>
      </c>
      <c r="O126" s="65"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2" t="str">
        <f t="shared" si="7"/>
        <v/>
      </c>
      <c r="O127" s="65"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2" t="str">
        <f t="shared" si="7"/>
        <v/>
      </c>
      <c r="O128" s="65"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2" t="str">
        <f t="shared" si="7"/>
        <v/>
      </c>
      <c r="O129" s="65"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2" t="str">
        <f t="shared" si="7"/>
        <v/>
      </c>
      <c r="O130" s="65"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2" t="str">
        <f t="shared" si="7"/>
        <v/>
      </c>
      <c r="O131" s="65"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2" t="str">
        <f t="shared" si="7"/>
        <v/>
      </c>
      <c r="O132" s="65"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2" t="str">
        <f t="shared" si="7"/>
        <v/>
      </c>
      <c r="O133" s="65"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2" t="str">
        <f t="shared" si="7"/>
        <v/>
      </c>
      <c r="O134" s="65"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2" t="str">
        <f t="shared" ref="N135:N198" si="13">IF($C135="","",($L135-($M135/2)))</f>
        <v/>
      </c>
      <c r="O135" s="65" t="str">
        <f t="shared" ref="O135:O198" si="14">IF(C135="","",IF(TRIM($B135)="beginning",(((SUM($P135:$R135)-4085)/1299)*40)+360,IF(TRIM($B135)="middle",(((SUM($P135:$R135)-4085)/1299)*40)+400,IF(TRIM($B135)="end",(((SUM($P135:$R135)-4085)/1299)*40)+440,""))))</f>
        <v/>
      </c>
      <c r="P135" s="5" t="str">
        <f t="shared" ref="P135:P198" si="15">IF($C135="","",I135*31.12)</f>
        <v/>
      </c>
      <c r="Q135" s="5" t="str">
        <f t="shared" ref="Q135:Q198" si="16">IF($C135="","",K135*0.03)</f>
        <v/>
      </c>
      <c r="R135" s="5" t="str">
        <f t="shared" ref="R135:R198" si="17">IF($C135="","",N135*4.58)</f>
        <v/>
      </c>
    </row>
    <row r="136" spans="1:18">
      <c r="A136" s="91"/>
      <c r="B136" s="92"/>
      <c r="C136" s="69"/>
      <c r="D136" s="69"/>
      <c r="E136" s="69"/>
      <c r="F136" s="69"/>
      <c r="G136" s="70"/>
      <c r="H136" s="71"/>
      <c r="I136" s="66"/>
      <c r="J136" s="67"/>
      <c r="K136" s="145" t="str">
        <f t="shared" si="12"/>
        <v/>
      </c>
      <c r="L136" s="64"/>
      <c r="M136" s="64"/>
      <c r="N136" s="152" t="str">
        <f t="shared" si="13"/>
        <v/>
      </c>
      <c r="O136" s="65"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2" t="str">
        <f t="shared" si="13"/>
        <v/>
      </c>
      <c r="O137" s="65"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2" t="str">
        <f t="shared" si="13"/>
        <v/>
      </c>
      <c r="O138" s="65"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2" t="str">
        <f t="shared" si="13"/>
        <v/>
      </c>
      <c r="O139" s="65"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2" t="str">
        <f t="shared" si="13"/>
        <v/>
      </c>
      <c r="O140" s="65"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2" t="str">
        <f t="shared" si="13"/>
        <v/>
      </c>
      <c r="O141" s="65"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2" t="str">
        <f t="shared" si="13"/>
        <v/>
      </c>
      <c r="O142" s="65"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2" t="str">
        <f t="shared" si="13"/>
        <v/>
      </c>
      <c r="O143" s="65"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2" t="str">
        <f t="shared" si="13"/>
        <v/>
      </c>
      <c r="O144" s="65"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2" t="str">
        <f t="shared" si="13"/>
        <v/>
      </c>
      <c r="O145" s="65"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2" t="str">
        <f t="shared" si="13"/>
        <v/>
      </c>
      <c r="O146" s="65"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2" t="str">
        <f t="shared" si="13"/>
        <v/>
      </c>
      <c r="O147" s="65"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2" t="str">
        <f t="shared" si="13"/>
        <v/>
      </c>
      <c r="O148" s="65"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2" t="str">
        <f t="shared" si="13"/>
        <v/>
      </c>
      <c r="O149" s="65"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2" t="str">
        <f t="shared" si="13"/>
        <v/>
      </c>
      <c r="O150" s="65"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2" t="str">
        <f t="shared" si="13"/>
        <v/>
      </c>
      <c r="O151" s="65"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2" t="str">
        <f t="shared" si="13"/>
        <v/>
      </c>
      <c r="O152" s="65"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2" t="str">
        <f t="shared" si="13"/>
        <v/>
      </c>
      <c r="O153" s="65"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2" t="str">
        <f t="shared" si="13"/>
        <v/>
      </c>
      <c r="O154" s="65"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2" t="str">
        <f t="shared" si="13"/>
        <v/>
      </c>
      <c r="O155" s="65"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2" t="str">
        <f t="shared" si="13"/>
        <v/>
      </c>
      <c r="O156" s="65"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2" t="str">
        <f t="shared" si="13"/>
        <v/>
      </c>
      <c r="O157" s="65"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2" t="str">
        <f t="shared" si="13"/>
        <v/>
      </c>
      <c r="O158" s="65"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2" t="str">
        <f t="shared" si="13"/>
        <v/>
      </c>
      <c r="O159" s="65"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2" t="str">
        <f t="shared" si="13"/>
        <v/>
      </c>
      <c r="O160" s="65"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2" t="str">
        <f t="shared" si="13"/>
        <v/>
      </c>
      <c r="O161" s="65"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2" t="str">
        <f t="shared" si="13"/>
        <v/>
      </c>
      <c r="O162" s="65"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2" t="str">
        <f t="shared" si="13"/>
        <v/>
      </c>
      <c r="O163" s="65"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2" t="str">
        <f t="shared" si="13"/>
        <v/>
      </c>
      <c r="O164" s="65"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2" t="str">
        <f t="shared" si="13"/>
        <v/>
      </c>
      <c r="O165" s="65"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2" t="str">
        <f t="shared" si="13"/>
        <v/>
      </c>
      <c r="O166" s="65"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2" t="str">
        <f t="shared" si="13"/>
        <v/>
      </c>
      <c r="O167" s="65"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2" t="str">
        <f t="shared" si="13"/>
        <v/>
      </c>
      <c r="O168" s="65"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2" t="str">
        <f t="shared" si="13"/>
        <v/>
      </c>
      <c r="O169" s="65"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2" t="str">
        <f t="shared" si="13"/>
        <v/>
      </c>
      <c r="O170" s="65"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2" t="str">
        <f t="shared" si="13"/>
        <v/>
      </c>
      <c r="O171" s="65"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2" t="str">
        <f t="shared" si="13"/>
        <v/>
      </c>
      <c r="O172" s="65"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2" t="str">
        <f t="shared" si="13"/>
        <v/>
      </c>
      <c r="O173" s="65"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2" t="str">
        <f t="shared" si="13"/>
        <v/>
      </c>
      <c r="O174" s="65"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2" t="str">
        <f t="shared" si="13"/>
        <v/>
      </c>
      <c r="O175" s="65"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2" t="str">
        <f t="shared" si="13"/>
        <v/>
      </c>
      <c r="O176" s="65"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2" t="str">
        <f t="shared" si="13"/>
        <v/>
      </c>
      <c r="O177" s="65"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2" t="str">
        <f t="shared" si="13"/>
        <v/>
      </c>
      <c r="O178" s="65"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2" t="str">
        <f t="shared" si="13"/>
        <v/>
      </c>
      <c r="O179" s="65"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2" t="str">
        <f t="shared" si="13"/>
        <v/>
      </c>
      <c r="O180" s="65"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2" t="str">
        <f t="shared" si="13"/>
        <v/>
      </c>
      <c r="O181" s="65"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2" t="str">
        <f t="shared" si="13"/>
        <v/>
      </c>
      <c r="O182" s="65"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2" t="str">
        <f t="shared" si="13"/>
        <v/>
      </c>
      <c r="O183" s="65"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2" t="str">
        <f t="shared" si="13"/>
        <v/>
      </c>
      <c r="O184" s="65"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2" t="str">
        <f t="shared" si="13"/>
        <v/>
      </c>
      <c r="O185" s="65"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2" t="str">
        <f t="shared" si="13"/>
        <v/>
      </c>
      <c r="O186" s="65"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2" t="str">
        <f t="shared" si="13"/>
        <v/>
      </c>
      <c r="O187" s="65"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2" t="str">
        <f t="shared" si="13"/>
        <v/>
      </c>
      <c r="O188" s="65"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2" t="str">
        <f t="shared" si="13"/>
        <v/>
      </c>
      <c r="O189" s="65"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2" t="str">
        <f t="shared" si="13"/>
        <v/>
      </c>
      <c r="O190" s="65"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2" t="str">
        <f t="shared" si="13"/>
        <v/>
      </c>
      <c r="O191" s="65"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2" t="str">
        <f t="shared" si="13"/>
        <v/>
      </c>
      <c r="O192" s="65"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2" t="str">
        <f t="shared" si="13"/>
        <v/>
      </c>
      <c r="O193" s="65"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2" t="str">
        <f t="shared" si="13"/>
        <v/>
      </c>
      <c r="O194" s="65"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2" t="str">
        <f t="shared" si="13"/>
        <v/>
      </c>
      <c r="O195" s="65"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2" t="str">
        <f t="shared" si="13"/>
        <v/>
      </c>
      <c r="O196" s="65"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2" t="str">
        <f t="shared" si="13"/>
        <v/>
      </c>
      <c r="O197" s="65"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2" t="str">
        <f t="shared" si="13"/>
        <v/>
      </c>
      <c r="O198" s="65"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2" t="str">
        <f t="shared" ref="N199:N262" si="19">IF($C199="","",($L199-($M199/2)))</f>
        <v/>
      </c>
      <c r="O199" s="65" t="str">
        <f t="shared" ref="O199:O262" si="20">IF(C199="","",IF(TRIM($B199)="beginning",(((SUM($P199:$R199)-4085)/1299)*40)+360,IF(TRIM($B199)="middle",(((SUM($P199:$R199)-4085)/1299)*40)+400,IF(TRIM($B199)="end",(((SUM($P199:$R199)-4085)/1299)*40)+440,""))))</f>
        <v/>
      </c>
      <c r="P199" s="5" t="str">
        <f t="shared" ref="P199:P262" si="21">IF($C199="","",I199*31.12)</f>
        <v/>
      </c>
      <c r="Q199" s="5" t="str">
        <f t="shared" ref="Q199:Q262" si="22">IF($C199="","",K199*0.03)</f>
        <v/>
      </c>
      <c r="R199" s="5" t="str">
        <f t="shared" ref="R199:R262" si="23">IF($C199="","",N199*4.58)</f>
        <v/>
      </c>
    </row>
    <row r="200" spans="1:18">
      <c r="A200" s="91"/>
      <c r="B200" s="92"/>
      <c r="C200" s="69"/>
      <c r="D200" s="69"/>
      <c r="E200" s="69"/>
      <c r="F200" s="69"/>
      <c r="G200" s="70"/>
      <c r="H200" s="71"/>
      <c r="I200" s="66"/>
      <c r="J200" s="67"/>
      <c r="K200" s="145" t="str">
        <f t="shared" si="18"/>
        <v/>
      </c>
      <c r="L200" s="64"/>
      <c r="M200" s="64"/>
      <c r="N200" s="152" t="str">
        <f t="shared" si="19"/>
        <v/>
      </c>
      <c r="O200" s="65"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2" t="str">
        <f t="shared" si="19"/>
        <v/>
      </c>
      <c r="O201" s="65"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2" t="str">
        <f t="shared" si="19"/>
        <v/>
      </c>
      <c r="O202" s="65"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2" t="str">
        <f t="shared" si="19"/>
        <v/>
      </c>
      <c r="O203" s="65"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2" t="str">
        <f t="shared" si="19"/>
        <v/>
      </c>
      <c r="O204" s="65"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2" t="str">
        <f t="shared" si="19"/>
        <v/>
      </c>
      <c r="O205" s="65"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2" t="str">
        <f t="shared" si="19"/>
        <v/>
      </c>
      <c r="O206" s="65"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2" t="str">
        <f t="shared" si="19"/>
        <v/>
      </c>
      <c r="O207" s="65"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2" t="str">
        <f t="shared" si="19"/>
        <v/>
      </c>
      <c r="O208" s="65"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2" t="str">
        <f t="shared" si="19"/>
        <v/>
      </c>
      <c r="O209" s="65"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2" t="str">
        <f t="shared" si="19"/>
        <v/>
      </c>
      <c r="O210" s="65"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2" t="str">
        <f t="shared" si="19"/>
        <v/>
      </c>
      <c r="O211" s="65"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2" t="str">
        <f t="shared" si="19"/>
        <v/>
      </c>
      <c r="O212" s="65"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2" t="str">
        <f t="shared" si="19"/>
        <v/>
      </c>
      <c r="O213" s="65"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2" t="str">
        <f t="shared" si="19"/>
        <v/>
      </c>
      <c r="O214" s="65"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2" t="str">
        <f t="shared" si="19"/>
        <v/>
      </c>
      <c r="O215" s="65"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2" t="str">
        <f t="shared" si="19"/>
        <v/>
      </c>
      <c r="O216" s="65"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2" t="str">
        <f t="shared" si="19"/>
        <v/>
      </c>
      <c r="O217" s="65"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2" t="str">
        <f t="shared" si="19"/>
        <v/>
      </c>
      <c r="O218" s="65"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2" t="str">
        <f t="shared" si="19"/>
        <v/>
      </c>
      <c r="O219" s="65"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2" t="str">
        <f t="shared" si="19"/>
        <v/>
      </c>
      <c r="O220" s="65"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2" t="str">
        <f t="shared" si="19"/>
        <v/>
      </c>
      <c r="O221" s="65"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2" t="str">
        <f t="shared" si="19"/>
        <v/>
      </c>
      <c r="O222" s="65"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2" t="str">
        <f t="shared" si="19"/>
        <v/>
      </c>
      <c r="O223" s="65"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2" t="str">
        <f t="shared" si="19"/>
        <v/>
      </c>
      <c r="O224" s="65"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2" t="str">
        <f t="shared" si="19"/>
        <v/>
      </c>
      <c r="O225" s="65"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2" t="str">
        <f t="shared" si="19"/>
        <v/>
      </c>
      <c r="O226" s="65"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2" t="str">
        <f t="shared" si="19"/>
        <v/>
      </c>
      <c r="O227" s="65"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2" t="str">
        <f t="shared" si="19"/>
        <v/>
      </c>
      <c r="O228" s="65"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2" t="str">
        <f t="shared" si="19"/>
        <v/>
      </c>
      <c r="O229" s="65"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2" t="str">
        <f t="shared" si="19"/>
        <v/>
      </c>
      <c r="O230" s="65"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2" t="str">
        <f t="shared" si="19"/>
        <v/>
      </c>
      <c r="O231" s="65"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2" t="str">
        <f t="shared" si="19"/>
        <v/>
      </c>
      <c r="O232" s="65"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2" t="str">
        <f t="shared" si="19"/>
        <v/>
      </c>
      <c r="O233" s="65"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2" t="str">
        <f t="shared" si="19"/>
        <v/>
      </c>
      <c r="O234" s="65"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2" t="str">
        <f t="shared" si="19"/>
        <v/>
      </c>
      <c r="O235" s="65"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2" t="str">
        <f t="shared" si="19"/>
        <v/>
      </c>
      <c r="O236" s="65"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2" t="str">
        <f t="shared" si="19"/>
        <v/>
      </c>
      <c r="O237" s="65"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2" t="str">
        <f t="shared" si="19"/>
        <v/>
      </c>
      <c r="O238" s="65"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2" t="str">
        <f t="shared" si="19"/>
        <v/>
      </c>
      <c r="O239" s="65"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2" t="str">
        <f t="shared" si="19"/>
        <v/>
      </c>
      <c r="O240" s="65"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2" t="str">
        <f t="shared" si="19"/>
        <v/>
      </c>
      <c r="O241" s="65"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2" t="str">
        <f t="shared" si="19"/>
        <v/>
      </c>
      <c r="O242" s="65"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2" t="str">
        <f t="shared" si="19"/>
        <v/>
      </c>
      <c r="O243" s="65"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2" t="str">
        <f t="shared" si="19"/>
        <v/>
      </c>
      <c r="O244" s="65"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2" t="str">
        <f t="shared" si="19"/>
        <v/>
      </c>
      <c r="O245" s="65"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2" t="str">
        <f t="shared" si="19"/>
        <v/>
      </c>
      <c r="O246" s="65"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2" t="str">
        <f t="shared" si="19"/>
        <v/>
      </c>
      <c r="O247" s="65"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2" t="str">
        <f t="shared" si="19"/>
        <v/>
      </c>
      <c r="O248" s="65"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2" t="str">
        <f t="shared" si="19"/>
        <v/>
      </c>
      <c r="O249" s="65"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2" t="str">
        <f t="shared" si="19"/>
        <v/>
      </c>
      <c r="O250" s="65"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2" t="str">
        <f t="shared" si="19"/>
        <v/>
      </c>
      <c r="O251" s="65"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2" t="str">
        <f t="shared" si="19"/>
        <v/>
      </c>
      <c r="O252" s="65"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2" t="str">
        <f t="shared" si="19"/>
        <v/>
      </c>
      <c r="O253" s="65"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2" t="str">
        <f t="shared" si="19"/>
        <v/>
      </c>
      <c r="O254" s="65"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2" t="str">
        <f t="shared" si="19"/>
        <v/>
      </c>
      <c r="O255" s="65"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2" t="str">
        <f t="shared" si="19"/>
        <v/>
      </c>
      <c r="O256" s="65"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2" t="str">
        <f t="shared" si="19"/>
        <v/>
      </c>
      <c r="O257" s="65"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2" t="str">
        <f t="shared" si="19"/>
        <v/>
      </c>
      <c r="O258" s="65"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2" t="str">
        <f t="shared" si="19"/>
        <v/>
      </c>
      <c r="O259" s="65"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2" t="str">
        <f t="shared" si="19"/>
        <v/>
      </c>
      <c r="O260" s="65"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2" t="str">
        <f t="shared" si="19"/>
        <v/>
      </c>
      <c r="O261" s="65"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2" t="str">
        <f t="shared" si="19"/>
        <v/>
      </c>
      <c r="O262" s="65"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2" t="str">
        <f t="shared" ref="N263:N326" si="25">IF($C263="","",($L263-($M263/2)))</f>
        <v/>
      </c>
      <c r="O263" s="65" t="str">
        <f t="shared" ref="O263:O326" si="26">IF(C263="","",IF(TRIM($B263)="beginning",(((SUM($P263:$R263)-4085)/1299)*40)+360,IF(TRIM($B263)="middle",(((SUM($P263:$R263)-4085)/1299)*40)+400,IF(TRIM($B263)="end",(((SUM($P263:$R263)-4085)/1299)*40)+440,""))))</f>
        <v/>
      </c>
      <c r="P263" s="5" t="str">
        <f t="shared" ref="P263:P326" si="27">IF($C263="","",I263*31.12)</f>
        <v/>
      </c>
      <c r="Q263" s="5" t="str">
        <f t="shared" ref="Q263:Q326" si="28">IF($C263="","",K263*0.03)</f>
        <v/>
      </c>
      <c r="R263" s="5" t="str">
        <f t="shared" ref="R263:R326" si="29">IF($C263="","",N263*4.58)</f>
        <v/>
      </c>
    </row>
    <row r="264" spans="1:18">
      <c r="A264" s="91"/>
      <c r="B264" s="92"/>
      <c r="C264" s="69"/>
      <c r="D264" s="69"/>
      <c r="E264" s="69"/>
      <c r="F264" s="69"/>
      <c r="G264" s="70"/>
      <c r="H264" s="71"/>
      <c r="I264" s="66"/>
      <c r="J264" s="67"/>
      <c r="K264" s="145" t="str">
        <f t="shared" si="24"/>
        <v/>
      </c>
      <c r="L264" s="64"/>
      <c r="M264" s="64"/>
      <c r="N264" s="152" t="str">
        <f t="shared" si="25"/>
        <v/>
      </c>
      <c r="O264" s="65"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2" t="str">
        <f t="shared" si="25"/>
        <v/>
      </c>
      <c r="O265" s="65"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2" t="str">
        <f t="shared" si="25"/>
        <v/>
      </c>
      <c r="O266" s="65"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2" t="str">
        <f t="shared" si="25"/>
        <v/>
      </c>
      <c r="O267" s="65"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2" t="str">
        <f t="shared" si="25"/>
        <v/>
      </c>
      <c r="O268" s="65"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2" t="str">
        <f t="shared" si="25"/>
        <v/>
      </c>
      <c r="O269" s="65"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2" t="str">
        <f t="shared" si="25"/>
        <v/>
      </c>
      <c r="O270" s="65"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2" t="str">
        <f t="shared" si="25"/>
        <v/>
      </c>
      <c r="O271" s="65"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2" t="str">
        <f t="shared" si="25"/>
        <v/>
      </c>
      <c r="O272" s="65"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2" t="str">
        <f t="shared" si="25"/>
        <v/>
      </c>
      <c r="O273" s="65"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2" t="str">
        <f t="shared" si="25"/>
        <v/>
      </c>
      <c r="O274" s="65"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2" t="str">
        <f t="shared" si="25"/>
        <v/>
      </c>
      <c r="O275" s="65"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2" t="str">
        <f t="shared" si="25"/>
        <v/>
      </c>
      <c r="O276" s="65"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2" t="str">
        <f t="shared" si="25"/>
        <v/>
      </c>
      <c r="O277" s="65"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2" t="str">
        <f t="shared" si="25"/>
        <v/>
      </c>
      <c r="O278" s="65"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2" t="str">
        <f t="shared" si="25"/>
        <v/>
      </c>
      <c r="O279" s="65"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2" t="str">
        <f t="shared" si="25"/>
        <v/>
      </c>
      <c r="O280" s="65"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2" t="str">
        <f t="shared" si="25"/>
        <v/>
      </c>
      <c r="O281" s="65"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2" t="str">
        <f t="shared" si="25"/>
        <v/>
      </c>
      <c r="O282" s="65"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2" t="str">
        <f t="shared" si="25"/>
        <v/>
      </c>
      <c r="O283" s="65"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2" t="str">
        <f t="shared" si="25"/>
        <v/>
      </c>
      <c r="O284" s="65"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2" t="str">
        <f t="shared" si="25"/>
        <v/>
      </c>
      <c r="O285" s="65"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2" t="str">
        <f t="shared" si="25"/>
        <v/>
      </c>
      <c r="O286" s="65"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2" t="str">
        <f t="shared" si="25"/>
        <v/>
      </c>
      <c r="O287" s="65"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2" t="str">
        <f t="shared" si="25"/>
        <v/>
      </c>
      <c r="O288" s="65"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2" t="str">
        <f t="shared" si="25"/>
        <v/>
      </c>
      <c r="O289" s="65"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2" t="str">
        <f t="shared" si="25"/>
        <v/>
      </c>
      <c r="O290" s="65"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2" t="str">
        <f t="shared" si="25"/>
        <v/>
      </c>
      <c r="O291" s="65"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2" t="str">
        <f t="shared" si="25"/>
        <v/>
      </c>
      <c r="O292" s="65"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2" t="str">
        <f t="shared" si="25"/>
        <v/>
      </c>
      <c r="O293" s="65"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2" t="str">
        <f t="shared" si="25"/>
        <v/>
      </c>
      <c r="O294" s="65"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2" t="str">
        <f t="shared" si="25"/>
        <v/>
      </c>
      <c r="O295" s="65"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2" t="str">
        <f t="shared" si="25"/>
        <v/>
      </c>
      <c r="O296" s="65"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2" t="str">
        <f t="shared" si="25"/>
        <v/>
      </c>
      <c r="O297" s="65"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2" t="str">
        <f t="shared" si="25"/>
        <v/>
      </c>
      <c r="O298" s="65"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2" t="str">
        <f t="shared" si="25"/>
        <v/>
      </c>
      <c r="O299" s="65"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2" t="str">
        <f t="shared" si="25"/>
        <v/>
      </c>
      <c r="O300" s="65"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2" t="str">
        <f t="shared" si="25"/>
        <v/>
      </c>
      <c r="O301" s="65"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2" t="str">
        <f t="shared" si="25"/>
        <v/>
      </c>
      <c r="O302" s="65"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2" t="str">
        <f t="shared" si="25"/>
        <v/>
      </c>
      <c r="O303" s="65"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2" t="str">
        <f t="shared" si="25"/>
        <v/>
      </c>
      <c r="O304" s="65"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2" t="str">
        <f t="shared" si="25"/>
        <v/>
      </c>
      <c r="O305" s="65"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2" t="str">
        <f t="shared" si="25"/>
        <v/>
      </c>
      <c r="O306" s="65"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2" t="str">
        <f t="shared" si="25"/>
        <v/>
      </c>
      <c r="O307" s="65"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2" t="str">
        <f t="shared" si="25"/>
        <v/>
      </c>
      <c r="O308" s="65"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2" t="str">
        <f t="shared" si="25"/>
        <v/>
      </c>
      <c r="O309" s="65"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2" t="str">
        <f t="shared" si="25"/>
        <v/>
      </c>
      <c r="O310" s="65"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2" t="str">
        <f t="shared" si="25"/>
        <v/>
      </c>
      <c r="O311" s="65"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2" t="str">
        <f t="shared" si="25"/>
        <v/>
      </c>
      <c r="O312" s="65"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2" t="str">
        <f t="shared" si="25"/>
        <v/>
      </c>
      <c r="O313" s="65"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2" t="str">
        <f t="shared" si="25"/>
        <v/>
      </c>
      <c r="O314" s="65"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2" t="str">
        <f t="shared" si="25"/>
        <v/>
      </c>
      <c r="O315" s="65"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2" t="str">
        <f t="shared" si="25"/>
        <v/>
      </c>
      <c r="O316" s="65"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2" t="str">
        <f t="shared" si="25"/>
        <v/>
      </c>
      <c r="O317" s="65"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2" t="str">
        <f t="shared" si="25"/>
        <v/>
      </c>
      <c r="O318" s="65"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2" t="str">
        <f t="shared" si="25"/>
        <v/>
      </c>
      <c r="O319" s="65"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2" t="str">
        <f t="shared" si="25"/>
        <v/>
      </c>
      <c r="O320" s="65"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2" t="str">
        <f t="shared" si="25"/>
        <v/>
      </c>
      <c r="O321" s="65"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2" t="str">
        <f t="shared" si="25"/>
        <v/>
      </c>
      <c r="O322" s="65"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2" t="str">
        <f t="shared" si="25"/>
        <v/>
      </c>
      <c r="O323" s="65"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2" t="str">
        <f t="shared" si="25"/>
        <v/>
      </c>
      <c r="O324" s="65"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2" t="str">
        <f t="shared" si="25"/>
        <v/>
      </c>
      <c r="O325" s="65"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2" t="str">
        <f t="shared" si="25"/>
        <v/>
      </c>
      <c r="O326" s="65"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2" t="str">
        <f t="shared" ref="N327:N390" si="31">IF($C327="","",($L327-($M327/2)))</f>
        <v/>
      </c>
      <c r="O327" s="65" t="str">
        <f t="shared" ref="O327:O390" si="32">IF(C327="","",IF(TRIM($B327)="beginning",(((SUM($P327:$R327)-4085)/1299)*40)+360,IF(TRIM($B327)="middle",(((SUM($P327:$R327)-4085)/1299)*40)+400,IF(TRIM($B327)="end",(((SUM($P327:$R327)-4085)/1299)*40)+440,""))))</f>
        <v/>
      </c>
      <c r="P327" s="5" t="str">
        <f t="shared" ref="P327:P390" si="33">IF($C327="","",I327*31.12)</f>
        <v/>
      </c>
      <c r="Q327" s="5" t="str">
        <f t="shared" ref="Q327:Q390" si="34">IF($C327="","",K327*0.03)</f>
        <v/>
      </c>
      <c r="R327" s="5" t="str">
        <f t="shared" ref="R327:R390" si="35">IF($C327="","",N327*4.58)</f>
        <v/>
      </c>
    </row>
    <row r="328" spans="1:18">
      <c r="A328" s="91"/>
      <c r="B328" s="92"/>
      <c r="C328" s="69"/>
      <c r="D328" s="69"/>
      <c r="E328" s="69"/>
      <c r="F328" s="69"/>
      <c r="G328" s="70"/>
      <c r="H328" s="71"/>
      <c r="I328" s="66"/>
      <c r="J328" s="67"/>
      <c r="K328" s="145" t="str">
        <f t="shared" si="30"/>
        <v/>
      </c>
      <c r="L328" s="64"/>
      <c r="M328" s="64"/>
      <c r="N328" s="152" t="str">
        <f t="shared" si="31"/>
        <v/>
      </c>
      <c r="O328" s="65"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2" t="str">
        <f t="shared" si="31"/>
        <v/>
      </c>
      <c r="O329" s="65"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2" t="str">
        <f t="shared" si="31"/>
        <v/>
      </c>
      <c r="O330" s="65"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2" t="str">
        <f t="shared" si="31"/>
        <v/>
      </c>
      <c r="O331" s="65"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2" t="str">
        <f t="shared" si="31"/>
        <v/>
      </c>
      <c r="O332" s="65"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2" t="str">
        <f t="shared" si="31"/>
        <v/>
      </c>
      <c r="O333" s="65"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2" t="str">
        <f t="shared" si="31"/>
        <v/>
      </c>
      <c r="O334" s="65"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2" t="str">
        <f t="shared" si="31"/>
        <v/>
      </c>
      <c r="O335" s="65"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2" t="str">
        <f t="shared" si="31"/>
        <v/>
      </c>
      <c r="O336" s="65"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2" t="str">
        <f t="shared" si="31"/>
        <v/>
      </c>
      <c r="O337" s="65"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2" t="str">
        <f t="shared" si="31"/>
        <v/>
      </c>
      <c r="O338" s="65"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2" t="str">
        <f t="shared" si="31"/>
        <v/>
      </c>
      <c r="O339" s="65"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2" t="str">
        <f t="shared" si="31"/>
        <v/>
      </c>
      <c r="O340" s="65"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2" t="str">
        <f t="shared" si="31"/>
        <v/>
      </c>
      <c r="O341" s="65"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2" t="str">
        <f t="shared" si="31"/>
        <v/>
      </c>
      <c r="O342" s="65"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2" t="str">
        <f t="shared" si="31"/>
        <v/>
      </c>
      <c r="O343" s="65"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2" t="str">
        <f t="shared" si="31"/>
        <v/>
      </c>
      <c r="O344" s="65"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2" t="str">
        <f t="shared" si="31"/>
        <v/>
      </c>
      <c r="O345" s="65"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2" t="str">
        <f t="shared" si="31"/>
        <v/>
      </c>
      <c r="O346" s="65"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2" t="str">
        <f t="shared" si="31"/>
        <v/>
      </c>
      <c r="O347" s="65"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2" t="str">
        <f t="shared" si="31"/>
        <v/>
      </c>
      <c r="O348" s="65"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2" t="str">
        <f t="shared" si="31"/>
        <v/>
      </c>
      <c r="O349" s="65"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2" t="str">
        <f t="shared" si="31"/>
        <v/>
      </c>
      <c r="O350" s="65"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2" t="str">
        <f t="shared" si="31"/>
        <v/>
      </c>
      <c r="O351" s="65"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2" t="str">
        <f t="shared" si="31"/>
        <v/>
      </c>
      <c r="O352" s="65"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2" t="str">
        <f t="shared" si="31"/>
        <v/>
      </c>
      <c r="O353" s="65"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2" t="str">
        <f t="shared" si="31"/>
        <v/>
      </c>
      <c r="O354" s="65"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2" t="str">
        <f t="shared" si="31"/>
        <v/>
      </c>
      <c r="O355" s="65"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2" t="str">
        <f t="shared" si="31"/>
        <v/>
      </c>
      <c r="O356" s="65"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2" t="str">
        <f t="shared" si="31"/>
        <v/>
      </c>
      <c r="O357" s="65"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2" t="str">
        <f t="shared" si="31"/>
        <v/>
      </c>
      <c r="O358" s="65"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2" t="str">
        <f t="shared" si="31"/>
        <v/>
      </c>
      <c r="O359" s="65"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2" t="str">
        <f t="shared" si="31"/>
        <v/>
      </c>
      <c r="O360" s="65"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2" t="str">
        <f t="shared" si="31"/>
        <v/>
      </c>
      <c r="O361" s="65"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2" t="str">
        <f t="shared" si="31"/>
        <v/>
      </c>
      <c r="O362" s="65"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2" t="str">
        <f t="shared" si="31"/>
        <v/>
      </c>
      <c r="O363" s="65"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2" t="str">
        <f t="shared" si="31"/>
        <v/>
      </c>
      <c r="O364" s="65"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2" t="str">
        <f t="shared" si="31"/>
        <v/>
      </c>
      <c r="O365" s="65"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2" t="str">
        <f t="shared" si="31"/>
        <v/>
      </c>
      <c r="O366" s="65"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2" t="str">
        <f t="shared" si="31"/>
        <v/>
      </c>
      <c r="O367" s="65"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2" t="str">
        <f t="shared" si="31"/>
        <v/>
      </c>
      <c r="O368" s="65"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2" t="str">
        <f t="shared" si="31"/>
        <v/>
      </c>
      <c r="O369" s="65"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2" t="str">
        <f t="shared" si="31"/>
        <v/>
      </c>
      <c r="O370" s="65"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2" t="str">
        <f t="shared" si="31"/>
        <v/>
      </c>
      <c r="O371" s="65"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2" t="str">
        <f t="shared" si="31"/>
        <v/>
      </c>
      <c r="O372" s="65"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2" t="str">
        <f t="shared" si="31"/>
        <v/>
      </c>
      <c r="O373" s="65"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2" t="str">
        <f t="shared" si="31"/>
        <v/>
      </c>
      <c r="O374" s="65"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2" t="str">
        <f t="shared" si="31"/>
        <v/>
      </c>
      <c r="O375" s="65"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2" t="str">
        <f t="shared" si="31"/>
        <v/>
      </c>
      <c r="O376" s="65"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2" t="str">
        <f t="shared" si="31"/>
        <v/>
      </c>
      <c r="O377" s="65"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2" t="str">
        <f t="shared" si="31"/>
        <v/>
      </c>
      <c r="O378" s="65"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2" t="str">
        <f t="shared" si="31"/>
        <v/>
      </c>
      <c r="O379" s="65"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2" t="str">
        <f t="shared" si="31"/>
        <v/>
      </c>
      <c r="O380" s="65"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2" t="str">
        <f t="shared" si="31"/>
        <v/>
      </c>
      <c r="O381" s="65"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2" t="str">
        <f t="shared" si="31"/>
        <v/>
      </c>
      <c r="O382" s="65"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2" t="str">
        <f t="shared" si="31"/>
        <v/>
      </c>
      <c r="O383" s="65"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2" t="str">
        <f t="shared" si="31"/>
        <v/>
      </c>
      <c r="O384" s="65"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2" t="str">
        <f t="shared" si="31"/>
        <v/>
      </c>
      <c r="O385" s="65"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2" t="str">
        <f t="shared" si="31"/>
        <v/>
      </c>
      <c r="O386" s="65"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2" t="str">
        <f t="shared" si="31"/>
        <v/>
      </c>
      <c r="O387" s="65"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2" t="str">
        <f t="shared" si="31"/>
        <v/>
      </c>
      <c r="O388" s="65"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2" t="str">
        <f t="shared" si="31"/>
        <v/>
      </c>
      <c r="O389" s="65"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2" t="str">
        <f t="shared" si="31"/>
        <v/>
      </c>
      <c r="O390" s="65"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2" t="str">
        <f t="shared" ref="N391:N430" si="37">IF($C391="","",($L391-($M391/2)))</f>
        <v/>
      </c>
      <c r="O391" s="65" t="str">
        <f t="shared" ref="O391:O430" si="38">IF(C391="","",IF(TRIM($B391)="beginning",(((SUM($P391:$R391)-4085)/1299)*40)+360,IF(TRIM($B391)="middle",(((SUM($P391:$R391)-4085)/1299)*40)+400,IF(TRIM($B391)="end",(((SUM($P391:$R391)-4085)/1299)*40)+440,""))))</f>
        <v/>
      </c>
      <c r="P391" s="5" t="str">
        <f t="shared" ref="P391:P430" si="39">IF($C391="","",I391*31.12)</f>
        <v/>
      </c>
      <c r="Q391" s="5" t="str">
        <f t="shared" ref="Q391:Q430" si="40">IF($C391="","",K391*0.03)</f>
        <v/>
      </c>
      <c r="R391" s="5" t="str">
        <f t="shared" ref="R391:R430" si="41">IF($C391="","",N391*4.58)</f>
        <v/>
      </c>
    </row>
    <row r="392" spans="1:18">
      <c r="A392" s="91"/>
      <c r="B392" s="92"/>
      <c r="C392" s="69"/>
      <c r="D392" s="69"/>
      <c r="E392" s="69"/>
      <c r="F392" s="69"/>
      <c r="G392" s="70"/>
      <c r="H392" s="71"/>
      <c r="I392" s="66"/>
      <c r="J392" s="67"/>
      <c r="K392" s="145" t="str">
        <f t="shared" si="36"/>
        <v/>
      </c>
      <c r="L392" s="64"/>
      <c r="M392" s="64"/>
      <c r="N392" s="152" t="str">
        <f t="shared" si="37"/>
        <v/>
      </c>
      <c r="O392" s="65"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2" t="str">
        <f t="shared" si="37"/>
        <v/>
      </c>
      <c r="O393" s="65"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2" t="str">
        <f t="shared" si="37"/>
        <v/>
      </c>
      <c r="O394" s="65"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2" t="str">
        <f t="shared" si="37"/>
        <v/>
      </c>
      <c r="O395" s="65"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2" t="str">
        <f t="shared" si="37"/>
        <v/>
      </c>
      <c r="O396" s="65"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2" t="str">
        <f t="shared" si="37"/>
        <v/>
      </c>
      <c r="O397" s="65"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2" t="str">
        <f t="shared" si="37"/>
        <v/>
      </c>
      <c r="O398" s="65"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2" t="str">
        <f t="shared" si="37"/>
        <v/>
      </c>
      <c r="O399" s="65"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2" t="str">
        <f t="shared" si="37"/>
        <v/>
      </c>
      <c r="O400" s="65"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2" t="str">
        <f t="shared" si="37"/>
        <v/>
      </c>
      <c r="O401" s="65"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2" t="str">
        <f t="shared" si="37"/>
        <v/>
      </c>
      <c r="O402" s="65"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2" t="str">
        <f t="shared" si="37"/>
        <v/>
      </c>
      <c r="O403" s="65"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2" t="str">
        <f t="shared" si="37"/>
        <v/>
      </c>
      <c r="O404" s="65"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2" t="str">
        <f t="shared" si="37"/>
        <v/>
      </c>
      <c r="O405" s="65"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2" t="str">
        <f t="shared" si="37"/>
        <v/>
      </c>
      <c r="O406" s="65"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2" t="str">
        <f t="shared" si="37"/>
        <v/>
      </c>
      <c r="O407" s="65"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2" t="str">
        <f t="shared" si="37"/>
        <v/>
      </c>
      <c r="O408" s="65"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2" t="str">
        <f t="shared" si="37"/>
        <v/>
      </c>
      <c r="O409" s="65"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2" t="str">
        <f t="shared" si="37"/>
        <v/>
      </c>
      <c r="O410" s="65"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2" t="str">
        <f t="shared" si="37"/>
        <v/>
      </c>
      <c r="O411" s="65"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2" t="str">
        <f t="shared" si="37"/>
        <v/>
      </c>
      <c r="O412" s="65"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2" t="str">
        <f t="shared" si="37"/>
        <v/>
      </c>
      <c r="O413" s="65"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2" t="str">
        <f t="shared" si="37"/>
        <v/>
      </c>
      <c r="O414" s="65"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2" t="str">
        <f t="shared" si="37"/>
        <v/>
      </c>
      <c r="O415" s="65"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2" t="str">
        <f t="shared" si="37"/>
        <v/>
      </c>
      <c r="O416" s="65"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2" t="str">
        <f t="shared" si="37"/>
        <v/>
      </c>
      <c r="O417" s="65"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2" t="str">
        <f t="shared" si="37"/>
        <v/>
      </c>
      <c r="O418" s="65"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2" t="str">
        <f t="shared" si="37"/>
        <v/>
      </c>
      <c r="O419" s="65"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2" t="str">
        <f t="shared" si="37"/>
        <v/>
      </c>
      <c r="O420" s="65"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2" t="str">
        <f t="shared" si="37"/>
        <v/>
      </c>
      <c r="O421" s="65"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2" t="str">
        <f t="shared" si="37"/>
        <v/>
      </c>
      <c r="O422" s="65"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2" t="str">
        <f t="shared" si="37"/>
        <v/>
      </c>
      <c r="O423" s="65"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2" t="str">
        <f t="shared" si="37"/>
        <v/>
      </c>
      <c r="O424" s="65"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2" t="str">
        <f t="shared" si="37"/>
        <v/>
      </c>
      <c r="O425" s="65"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2" t="str">
        <f t="shared" si="37"/>
        <v/>
      </c>
      <c r="O426" s="65"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2" t="str">
        <f t="shared" si="37"/>
        <v/>
      </c>
      <c r="O427" s="65"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2" t="str">
        <f t="shared" si="37"/>
        <v/>
      </c>
      <c r="O428" s="65"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2" t="str">
        <f t="shared" si="37"/>
        <v/>
      </c>
      <c r="O429" s="65"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5" t="str">
        <f t="shared" si="36"/>
        <v/>
      </c>
      <c r="L430" s="153"/>
      <c r="M430" s="153"/>
      <c r="N430" s="154" t="str">
        <f t="shared" si="37"/>
        <v/>
      </c>
      <c r="O430" s="65"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XzYFv/nXvE5lVD9Qo7ZHYiLzKpL24WdabNTOZv/RfjXHyaHFtJl30hL+pAJLuPftfCWjKMFTbJmja9fLvTfd3g==" saltValue="bzZO2FSftOWI2vfESFRzaA=="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053E-9304-F548-BF73-8F45B05A7F91}">
  <dimension ref="A1:R439"/>
  <sheetViews>
    <sheetView workbookViewId="0">
      <selection activeCell="A6" sqref="A6:H16"/>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8" width="3.42578125" style="5" hidden="1" customWidth="1"/>
    <col min="19" max="16384" width="10" style="5"/>
  </cols>
  <sheetData>
    <row r="1" spans="1:18" ht="30" customHeight="1" thickBot="1">
      <c r="A1" s="213" t="s">
        <v>17</v>
      </c>
      <c r="B1" s="214"/>
      <c r="C1" s="214"/>
      <c r="D1" s="214"/>
      <c r="E1" s="214"/>
      <c r="F1" s="214"/>
      <c r="G1" s="214"/>
      <c r="H1" s="215"/>
    </row>
    <row r="2" spans="1:18" ht="12" customHeight="1" thickBot="1">
      <c r="D2" s="79"/>
    </row>
    <row r="3" spans="1:18" s="175" customFormat="1" ht="15.75" thickBot="1">
      <c r="A3" s="170" t="s">
        <v>5</v>
      </c>
      <c r="B3" s="171" t="s">
        <v>5</v>
      </c>
      <c r="C3" s="171" t="s">
        <v>5</v>
      </c>
      <c r="D3" s="171" t="s">
        <v>5</v>
      </c>
      <c r="E3" s="171" t="s">
        <v>5</v>
      </c>
      <c r="F3" s="172" t="s">
        <v>4</v>
      </c>
      <c r="G3" s="172" t="s">
        <v>4</v>
      </c>
      <c r="H3" s="173" t="s">
        <v>4</v>
      </c>
      <c r="I3" s="224" t="s">
        <v>5</v>
      </c>
      <c r="J3" s="222"/>
      <c r="K3" s="223"/>
      <c r="L3" s="221" t="s">
        <v>5</v>
      </c>
      <c r="M3" s="222"/>
      <c r="N3" s="223"/>
      <c r="O3" s="176" t="s">
        <v>5</v>
      </c>
    </row>
    <row r="4" spans="1:18" s="6" customFormat="1" ht="15.75" thickBot="1">
      <c r="A4" s="80"/>
      <c r="B4" s="81"/>
      <c r="C4" s="82"/>
      <c r="D4" s="81"/>
      <c r="E4" s="82"/>
      <c r="F4" s="83"/>
      <c r="G4" s="84"/>
      <c r="H4" s="83"/>
      <c r="I4" s="225" t="s">
        <v>36</v>
      </c>
      <c r="J4" s="226"/>
      <c r="K4" s="227"/>
      <c r="L4" s="228" t="s">
        <v>22</v>
      </c>
      <c r="M4" s="229"/>
      <c r="N4" s="229"/>
      <c r="O4" s="159"/>
      <c r="P4" s="212" t="s">
        <v>28</v>
      </c>
      <c r="Q4" s="212"/>
      <c r="R4" s="212"/>
    </row>
    <row r="5" spans="1:18" ht="60.75" thickBot="1">
      <c r="A5" s="50" t="s">
        <v>7</v>
      </c>
      <c r="B5" s="50" t="s">
        <v>19</v>
      </c>
      <c r="C5" s="51" t="s">
        <v>0</v>
      </c>
      <c r="D5" s="52" t="s">
        <v>6</v>
      </c>
      <c r="E5" s="53" t="s">
        <v>1</v>
      </c>
      <c r="F5" s="54" t="s">
        <v>2</v>
      </c>
      <c r="G5" s="55" t="s">
        <v>8</v>
      </c>
      <c r="H5" s="56" t="s">
        <v>3</v>
      </c>
      <c r="I5" s="155" t="s">
        <v>32</v>
      </c>
      <c r="J5" s="156" t="s">
        <v>21</v>
      </c>
      <c r="K5" s="58" t="s">
        <v>33</v>
      </c>
      <c r="L5" s="58" t="s">
        <v>23</v>
      </c>
      <c r="M5" s="156" t="s">
        <v>24</v>
      </c>
      <c r="N5" s="48" t="s">
        <v>25</v>
      </c>
      <c r="O5" s="60" t="s">
        <v>11</v>
      </c>
      <c r="P5" s="18" t="s">
        <v>26</v>
      </c>
      <c r="Q5" s="18" t="s">
        <v>27</v>
      </c>
      <c r="R5" s="18" t="s">
        <v>16</v>
      </c>
    </row>
    <row r="6" spans="1:18">
      <c r="A6" s="86">
        <v>45780</v>
      </c>
      <c r="B6" s="86" t="s">
        <v>87</v>
      </c>
      <c r="C6" s="189" t="s">
        <v>63</v>
      </c>
      <c r="D6" s="189" t="s">
        <v>64</v>
      </c>
      <c r="E6" s="189" t="s">
        <v>52</v>
      </c>
      <c r="F6" s="161" t="s">
        <v>88</v>
      </c>
      <c r="G6" s="161">
        <v>40959</v>
      </c>
      <c r="H6" s="162" t="s">
        <v>85</v>
      </c>
      <c r="I6" s="157"/>
      <c r="J6" s="144"/>
      <c r="K6" s="145">
        <f>IF($C6="","",IF($I6+$J6=0,0,$I6/($I6+$J6)))</f>
        <v>0</v>
      </c>
      <c r="L6" s="144"/>
      <c r="M6" s="144"/>
      <c r="N6" s="152">
        <f>IF($C6="","",($L6-($M6/2)))</f>
        <v>0</v>
      </c>
      <c r="O6" s="158">
        <f>IF(C6="","",IF(TRIM($B6)="beginning",(((SUM($P6:$R6)-6087)/1685)*40)+360,IF(TRIM($B6)="middle",(((SUM($P6:$R6)-6087)/1685)*40)+400,IF(TRIM($B6)="end",(((SUM($P6:$R6)-6087)/1685)*40)+440,""))))</f>
        <v>215.50148367952522</v>
      </c>
      <c r="P6" s="5">
        <f>IF($C6="","",I6*40.71)</f>
        <v>0</v>
      </c>
      <c r="Q6" s="5">
        <f>IF($C6="","",K6*0.05)</f>
        <v>0</v>
      </c>
      <c r="R6" s="5">
        <f>IF($C6="","",N6*5.03)</f>
        <v>0</v>
      </c>
    </row>
    <row r="7" spans="1:18">
      <c r="A7" s="86">
        <v>45780</v>
      </c>
      <c r="B7" s="86" t="s">
        <v>87</v>
      </c>
      <c r="C7" s="189" t="s">
        <v>65</v>
      </c>
      <c r="D7" s="189" t="s">
        <v>66</v>
      </c>
      <c r="E7" s="189" t="s">
        <v>53</v>
      </c>
      <c r="F7" s="163" t="s">
        <v>89</v>
      </c>
      <c r="G7" s="163">
        <v>40960</v>
      </c>
      <c r="H7" s="164" t="s">
        <v>85</v>
      </c>
      <c r="I7" s="66"/>
      <c r="J7" s="67"/>
      <c r="K7" s="145">
        <f t="shared" ref="K7:K70" si="0">IF($C7="","",IF($I7+$J7=0,0,$I7/($I7+$J7)))</f>
        <v>0</v>
      </c>
      <c r="L7" s="64"/>
      <c r="M7" s="64"/>
      <c r="N7" s="152">
        <f t="shared" ref="N7:N70" si="1">IF($C7="","",($L7-($M7/2)))</f>
        <v>0</v>
      </c>
      <c r="O7" s="158">
        <f t="shared" ref="O7:O70" si="2">IF(C7="","",IF(TRIM($B7)="beginning",(((SUM($P7:$R7)-6087)/1685)*40)+360,IF(TRIM($B7)="middle",(((SUM($P7:$R7)-6087)/1685)*40)+400,IF(TRIM($B7)="end",(((SUM($P7:$R7)-6087)/1685)*40)+440,""))))</f>
        <v>215.50148367952522</v>
      </c>
      <c r="P7" s="5">
        <f t="shared" ref="P7:P70" si="3">IF($C7="","",I7*40.71)</f>
        <v>0</v>
      </c>
      <c r="Q7" s="5">
        <f t="shared" ref="Q7:Q70" si="4">IF($C7="","",K7*0.05)</f>
        <v>0</v>
      </c>
      <c r="R7" s="5">
        <f t="shared" ref="R7:R70" si="5">IF($C7="","",N7*5.03)</f>
        <v>0</v>
      </c>
    </row>
    <row r="8" spans="1:18">
      <c r="A8" s="86">
        <v>45780</v>
      </c>
      <c r="B8" s="86" t="s">
        <v>87</v>
      </c>
      <c r="C8" s="189" t="s">
        <v>67</v>
      </c>
      <c r="D8" s="189" t="s">
        <v>68</v>
      </c>
      <c r="E8" s="189" t="s">
        <v>54</v>
      </c>
      <c r="F8" s="163" t="s">
        <v>88</v>
      </c>
      <c r="G8" s="163">
        <v>40961</v>
      </c>
      <c r="H8" s="164" t="s">
        <v>85</v>
      </c>
      <c r="I8" s="66"/>
      <c r="J8" s="67"/>
      <c r="K8" s="145">
        <f t="shared" si="0"/>
        <v>0</v>
      </c>
      <c r="L8" s="64"/>
      <c r="M8" s="64"/>
      <c r="N8" s="152">
        <f t="shared" si="1"/>
        <v>0</v>
      </c>
      <c r="O8" s="158">
        <f t="shared" si="2"/>
        <v>215.50148367952522</v>
      </c>
      <c r="P8" s="5">
        <f t="shared" si="3"/>
        <v>0</v>
      </c>
      <c r="Q8" s="5">
        <f t="shared" si="4"/>
        <v>0</v>
      </c>
      <c r="R8" s="5">
        <f t="shared" si="5"/>
        <v>0</v>
      </c>
    </row>
    <row r="9" spans="1:18">
      <c r="A9" s="86">
        <v>45780</v>
      </c>
      <c r="B9" s="86" t="s">
        <v>87</v>
      </c>
      <c r="C9" s="189" t="s">
        <v>69</v>
      </c>
      <c r="D9" s="189" t="s">
        <v>70</v>
      </c>
      <c r="E9" s="189" t="s">
        <v>55</v>
      </c>
      <c r="F9" s="163" t="s">
        <v>88</v>
      </c>
      <c r="G9" s="163">
        <v>40962</v>
      </c>
      <c r="H9" s="164" t="s">
        <v>85</v>
      </c>
      <c r="I9" s="66"/>
      <c r="J9" s="67"/>
      <c r="K9" s="145">
        <f t="shared" si="0"/>
        <v>0</v>
      </c>
      <c r="L9" s="64"/>
      <c r="M9" s="64"/>
      <c r="N9" s="152">
        <f t="shared" si="1"/>
        <v>0</v>
      </c>
      <c r="O9" s="158">
        <f t="shared" si="2"/>
        <v>215.50148367952522</v>
      </c>
      <c r="P9" s="5">
        <f t="shared" si="3"/>
        <v>0</v>
      </c>
      <c r="Q9" s="5">
        <f t="shared" si="4"/>
        <v>0</v>
      </c>
      <c r="R9" s="5">
        <f t="shared" si="5"/>
        <v>0</v>
      </c>
    </row>
    <row r="10" spans="1:18">
      <c r="A10" s="86">
        <v>45780</v>
      </c>
      <c r="B10" s="86" t="s">
        <v>87</v>
      </c>
      <c r="C10" s="189" t="s">
        <v>71</v>
      </c>
      <c r="D10" s="189" t="s">
        <v>72</v>
      </c>
      <c r="E10" s="189" t="s">
        <v>56</v>
      </c>
      <c r="F10" s="163" t="s">
        <v>89</v>
      </c>
      <c r="G10" s="163">
        <v>40970</v>
      </c>
      <c r="H10" s="164" t="s">
        <v>86</v>
      </c>
      <c r="I10" s="66"/>
      <c r="J10" s="67"/>
      <c r="K10" s="145">
        <f t="shared" si="0"/>
        <v>0</v>
      </c>
      <c r="L10" s="64"/>
      <c r="M10" s="64"/>
      <c r="N10" s="152">
        <f t="shared" si="1"/>
        <v>0</v>
      </c>
      <c r="O10" s="158">
        <f t="shared" si="2"/>
        <v>215.50148367952522</v>
      </c>
      <c r="P10" s="5">
        <f t="shared" si="3"/>
        <v>0</v>
      </c>
      <c r="Q10" s="5">
        <f t="shared" si="4"/>
        <v>0</v>
      </c>
      <c r="R10" s="5">
        <f t="shared" si="5"/>
        <v>0</v>
      </c>
    </row>
    <row r="11" spans="1:18">
      <c r="A11" s="86">
        <v>45780</v>
      </c>
      <c r="B11" s="86" t="s">
        <v>87</v>
      </c>
      <c r="C11" s="189" t="s">
        <v>73</v>
      </c>
      <c r="D11" s="189" t="s">
        <v>74</v>
      </c>
      <c r="E11" s="189" t="s">
        <v>57</v>
      </c>
      <c r="F11" s="163" t="s">
        <v>89</v>
      </c>
      <c r="G11" s="163">
        <v>40963</v>
      </c>
      <c r="H11" s="164" t="s">
        <v>85</v>
      </c>
      <c r="I11" s="66"/>
      <c r="J11" s="67"/>
      <c r="K11" s="145">
        <f t="shared" si="0"/>
        <v>0</v>
      </c>
      <c r="L11" s="64"/>
      <c r="M11" s="64"/>
      <c r="N11" s="152">
        <f t="shared" si="1"/>
        <v>0</v>
      </c>
      <c r="O11" s="158">
        <f t="shared" si="2"/>
        <v>215.50148367952522</v>
      </c>
      <c r="P11" s="5">
        <f t="shared" si="3"/>
        <v>0</v>
      </c>
      <c r="Q11" s="5">
        <f t="shared" si="4"/>
        <v>0</v>
      </c>
      <c r="R11" s="5">
        <f t="shared" si="5"/>
        <v>0</v>
      </c>
    </row>
    <row r="12" spans="1:18">
      <c r="A12" s="87">
        <v>45780</v>
      </c>
      <c r="B12" s="87" t="s">
        <v>87</v>
      </c>
      <c r="C12" s="189" t="s">
        <v>75</v>
      </c>
      <c r="D12" s="189" t="s">
        <v>76</v>
      </c>
      <c r="E12" s="189" t="s">
        <v>58</v>
      </c>
      <c r="F12" s="163" t="s">
        <v>88</v>
      </c>
      <c r="G12" s="163">
        <v>40964</v>
      </c>
      <c r="H12" s="164" t="s">
        <v>86</v>
      </c>
      <c r="I12" s="66"/>
      <c r="J12" s="67"/>
      <c r="K12" s="145">
        <f t="shared" si="0"/>
        <v>0</v>
      </c>
      <c r="L12" s="64"/>
      <c r="M12" s="64"/>
      <c r="N12" s="152">
        <f t="shared" si="1"/>
        <v>0</v>
      </c>
      <c r="O12" s="158">
        <f t="shared" si="2"/>
        <v>215.50148367952522</v>
      </c>
      <c r="P12" s="5">
        <f t="shared" si="3"/>
        <v>0</v>
      </c>
      <c r="Q12" s="5">
        <f t="shared" si="4"/>
        <v>0</v>
      </c>
      <c r="R12" s="5">
        <f t="shared" si="5"/>
        <v>0</v>
      </c>
    </row>
    <row r="13" spans="1:18">
      <c r="A13" s="87">
        <v>45780</v>
      </c>
      <c r="B13" s="87" t="s">
        <v>87</v>
      </c>
      <c r="C13" s="189" t="s">
        <v>77</v>
      </c>
      <c r="D13" s="189" t="s">
        <v>78</v>
      </c>
      <c r="E13" s="189" t="s">
        <v>59</v>
      </c>
      <c r="F13" s="69" t="s">
        <v>89</v>
      </c>
      <c r="G13" s="70">
        <v>40965</v>
      </c>
      <c r="H13" s="71" t="s">
        <v>86</v>
      </c>
      <c r="I13" s="66"/>
      <c r="J13" s="67"/>
      <c r="K13" s="145">
        <f t="shared" si="0"/>
        <v>0</v>
      </c>
      <c r="L13" s="64"/>
      <c r="M13" s="64"/>
      <c r="N13" s="152">
        <f t="shared" si="1"/>
        <v>0</v>
      </c>
      <c r="O13" s="158">
        <f t="shared" si="2"/>
        <v>215.50148367952522</v>
      </c>
      <c r="P13" s="5">
        <f t="shared" si="3"/>
        <v>0</v>
      </c>
      <c r="Q13" s="5">
        <f t="shared" si="4"/>
        <v>0</v>
      </c>
      <c r="R13" s="5">
        <f t="shared" si="5"/>
        <v>0</v>
      </c>
    </row>
    <row r="14" spans="1:18">
      <c r="A14" s="87">
        <v>45780</v>
      </c>
      <c r="B14" s="87" t="s">
        <v>87</v>
      </c>
      <c r="C14" s="189" t="s">
        <v>79</v>
      </c>
      <c r="D14" s="189" t="s">
        <v>80</v>
      </c>
      <c r="E14" s="189" t="s">
        <v>60</v>
      </c>
      <c r="F14" s="69" t="s">
        <v>88</v>
      </c>
      <c r="G14" s="70">
        <v>40966</v>
      </c>
      <c r="H14" s="71" t="s">
        <v>86</v>
      </c>
      <c r="I14" s="66"/>
      <c r="J14" s="67"/>
      <c r="K14" s="145">
        <f t="shared" si="0"/>
        <v>0</v>
      </c>
      <c r="L14" s="64"/>
      <c r="M14" s="64"/>
      <c r="N14" s="152">
        <f t="shared" si="1"/>
        <v>0</v>
      </c>
      <c r="O14" s="158">
        <f t="shared" si="2"/>
        <v>215.50148367952522</v>
      </c>
      <c r="P14" s="5">
        <f t="shared" si="3"/>
        <v>0</v>
      </c>
      <c r="Q14" s="5">
        <f t="shared" si="4"/>
        <v>0</v>
      </c>
      <c r="R14" s="5">
        <f t="shared" si="5"/>
        <v>0</v>
      </c>
    </row>
    <row r="15" spans="1:18">
      <c r="A15" s="87">
        <v>45780</v>
      </c>
      <c r="B15" s="87" t="s">
        <v>87</v>
      </c>
      <c r="C15" s="189" t="s">
        <v>81</v>
      </c>
      <c r="D15" s="189" t="s">
        <v>82</v>
      </c>
      <c r="E15" s="189" t="s">
        <v>61</v>
      </c>
      <c r="F15" s="69" t="s">
        <v>88</v>
      </c>
      <c r="G15" s="70">
        <v>40967</v>
      </c>
      <c r="H15" s="71" t="s">
        <v>86</v>
      </c>
      <c r="I15" s="66"/>
      <c r="J15" s="67"/>
      <c r="K15" s="145">
        <f t="shared" si="0"/>
        <v>0</v>
      </c>
      <c r="L15" s="64"/>
      <c r="M15" s="64"/>
      <c r="N15" s="152">
        <f t="shared" si="1"/>
        <v>0</v>
      </c>
      <c r="O15" s="158">
        <f t="shared" si="2"/>
        <v>215.50148367952522</v>
      </c>
      <c r="P15" s="5">
        <f t="shared" si="3"/>
        <v>0</v>
      </c>
      <c r="Q15" s="5">
        <f t="shared" si="4"/>
        <v>0</v>
      </c>
      <c r="R15" s="5">
        <f t="shared" si="5"/>
        <v>0</v>
      </c>
    </row>
    <row r="16" spans="1:18">
      <c r="A16" s="87">
        <v>45780</v>
      </c>
      <c r="B16" s="87" t="s">
        <v>87</v>
      </c>
      <c r="C16" s="189" t="s">
        <v>83</v>
      </c>
      <c r="D16" s="189" t="s">
        <v>84</v>
      </c>
      <c r="E16" s="189" t="s">
        <v>62</v>
      </c>
      <c r="F16" s="69" t="s">
        <v>88</v>
      </c>
      <c r="G16" s="70">
        <v>40968</v>
      </c>
      <c r="H16" s="71" t="s">
        <v>86</v>
      </c>
      <c r="I16" s="66"/>
      <c r="J16" s="67"/>
      <c r="K16" s="145">
        <f t="shared" si="0"/>
        <v>0</v>
      </c>
      <c r="L16" s="64"/>
      <c r="M16" s="64"/>
      <c r="N16" s="152">
        <f t="shared" si="1"/>
        <v>0</v>
      </c>
      <c r="O16" s="158">
        <f t="shared" si="2"/>
        <v>215.50148367952522</v>
      </c>
      <c r="P16" s="5">
        <f t="shared" si="3"/>
        <v>0</v>
      </c>
      <c r="Q16" s="5">
        <f t="shared" si="4"/>
        <v>0</v>
      </c>
      <c r="R16" s="5">
        <f t="shared" si="5"/>
        <v>0</v>
      </c>
    </row>
    <row r="17" spans="1:18">
      <c r="A17" s="87"/>
      <c r="B17" s="87"/>
      <c r="C17" s="88"/>
      <c r="D17" s="89"/>
      <c r="E17" s="90"/>
      <c r="F17" s="69"/>
      <c r="G17" s="70"/>
      <c r="H17" s="71"/>
      <c r="I17" s="66"/>
      <c r="J17" s="67"/>
      <c r="K17" s="145" t="str">
        <f t="shared" si="0"/>
        <v/>
      </c>
      <c r="L17" s="64"/>
      <c r="M17" s="64"/>
      <c r="N17" s="152" t="str">
        <f t="shared" si="1"/>
        <v/>
      </c>
      <c r="O17" s="158" t="str">
        <f t="shared" si="2"/>
        <v/>
      </c>
      <c r="P17" s="5" t="str">
        <f t="shared" si="3"/>
        <v/>
      </c>
      <c r="Q17" s="5" t="str">
        <f t="shared" si="4"/>
        <v/>
      </c>
      <c r="R17" s="5" t="str">
        <f t="shared" si="5"/>
        <v/>
      </c>
    </row>
    <row r="18" spans="1:18">
      <c r="A18" s="87"/>
      <c r="B18" s="87"/>
      <c r="C18" s="88"/>
      <c r="D18" s="89"/>
      <c r="E18" s="90"/>
      <c r="F18" s="69"/>
      <c r="G18" s="70"/>
      <c r="H18" s="71"/>
      <c r="I18" s="66"/>
      <c r="J18" s="67"/>
      <c r="K18" s="145" t="str">
        <f t="shared" si="0"/>
        <v/>
      </c>
      <c r="L18" s="64"/>
      <c r="M18" s="64"/>
      <c r="N18" s="152" t="str">
        <f t="shared" si="1"/>
        <v/>
      </c>
      <c r="O18" s="158" t="str">
        <f t="shared" si="2"/>
        <v/>
      </c>
      <c r="P18" s="5" t="str">
        <f t="shared" si="3"/>
        <v/>
      </c>
      <c r="Q18" s="5" t="str">
        <f t="shared" si="4"/>
        <v/>
      </c>
      <c r="R18" s="5" t="str">
        <f t="shared" si="5"/>
        <v/>
      </c>
    </row>
    <row r="19" spans="1:18">
      <c r="A19" s="87"/>
      <c r="B19" s="87"/>
      <c r="C19" s="88"/>
      <c r="D19" s="89"/>
      <c r="E19" s="90"/>
      <c r="F19" s="69"/>
      <c r="G19" s="70"/>
      <c r="H19" s="71"/>
      <c r="I19" s="66"/>
      <c r="J19" s="67"/>
      <c r="K19" s="145" t="str">
        <f t="shared" si="0"/>
        <v/>
      </c>
      <c r="L19" s="64"/>
      <c r="M19" s="64"/>
      <c r="N19" s="152" t="str">
        <f t="shared" si="1"/>
        <v/>
      </c>
      <c r="O19" s="158" t="str">
        <f t="shared" si="2"/>
        <v/>
      </c>
      <c r="P19" s="5" t="str">
        <f t="shared" si="3"/>
        <v/>
      </c>
      <c r="Q19" s="5" t="str">
        <f t="shared" si="4"/>
        <v/>
      </c>
      <c r="R19" s="5" t="str">
        <f t="shared" si="5"/>
        <v/>
      </c>
    </row>
    <row r="20" spans="1:18">
      <c r="A20" s="87"/>
      <c r="B20" s="87"/>
      <c r="C20" s="88"/>
      <c r="D20" s="89"/>
      <c r="E20" s="90"/>
      <c r="F20" s="69"/>
      <c r="G20" s="70"/>
      <c r="H20" s="71"/>
      <c r="I20" s="66"/>
      <c r="J20" s="67"/>
      <c r="K20" s="145" t="str">
        <f t="shared" si="0"/>
        <v/>
      </c>
      <c r="L20" s="64"/>
      <c r="M20" s="64"/>
      <c r="N20" s="152" t="str">
        <f>IF($C20="","",($L20-($M20/2)))</f>
        <v/>
      </c>
      <c r="O20" s="158" t="str">
        <f t="shared" si="2"/>
        <v/>
      </c>
      <c r="P20" s="5" t="str">
        <f t="shared" si="3"/>
        <v/>
      </c>
      <c r="Q20" s="5" t="str">
        <f t="shared" si="4"/>
        <v/>
      </c>
      <c r="R20" s="5" t="str">
        <f t="shared" si="5"/>
        <v/>
      </c>
    </row>
    <row r="21" spans="1:18">
      <c r="A21" s="87"/>
      <c r="B21" s="87"/>
      <c r="C21" s="88"/>
      <c r="D21" s="89"/>
      <c r="E21" s="90"/>
      <c r="F21" s="69"/>
      <c r="G21" s="70"/>
      <c r="H21" s="71"/>
      <c r="I21" s="66"/>
      <c r="J21" s="67"/>
      <c r="K21" s="145" t="str">
        <f t="shared" si="0"/>
        <v/>
      </c>
      <c r="L21" s="64"/>
      <c r="M21" s="64"/>
      <c r="N21" s="152" t="str">
        <f t="shared" si="1"/>
        <v/>
      </c>
      <c r="O21" s="158" t="str">
        <f t="shared" si="2"/>
        <v/>
      </c>
      <c r="P21" s="5" t="str">
        <f t="shared" si="3"/>
        <v/>
      </c>
      <c r="Q21" s="5" t="str">
        <f t="shared" si="4"/>
        <v/>
      </c>
      <c r="R21" s="5" t="str">
        <f t="shared" si="5"/>
        <v/>
      </c>
    </row>
    <row r="22" spans="1:18">
      <c r="A22" s="87"/>
      <c r="B22" s="87"/>
      <c r="C22" s="88"/>
      <c r="D22" s="89"/>
      <c r="E22" s="90"/>
      <c r="F22" s="69"/>
      <c r="G22" s="70"/>
      <c r="H22" s="71"/>
      <c r="I22" s="66"/>
      <c r="J22" s="67"/>
      <c r="K22" s="145" t="str">
        <f t="shared" si="0"/>
        <v/>
      </c>
      <c r="L22" s="64"/>
      <c r="M22" s="64"/>
      <c r="N22" s="152" t="str">
        <f t="shared" si="1"/>
        <v/>
      </c>
      <c r="O22" s="158" t="str">
        <f t="shared" si="2"/>
        <v/>
      </c>
      <c r="P22" s="5" t="str">
        <f t="shared" si="3"/>
        <v/>
      </c>
      <c r="Q22" s="5" t="str">
        <f t="shared" si="4"/>
        <v/>
      </c>
      <c r="R22" s="5" t="str">
        <f t="shared" si="5"/>
        <v/>
      </c>
    </row>
    <row r="23" spans="1:18">
      <c r="A23" s="87"/>
      <c r="B23" s="87"/>
      <c r="C23" s="88"/>
      <c r="D23" s="89"/>
      <c r="E23" s="90"/>
      <c r="F23" s="69"/>
      <c r="G23" s="70"/>
      <c r="H23" s="71"/>
      <c r="I23" s="66"/>
      <c r="J23" s="67"/>
      <c r="K23" s="145" t="str">
        <f t="shared" si="0"/>
        <v/>
      </c>
      <c r="L23" s="64"/>
      <c r="M23" s="64"/>
      <c r="N23" s="152" t="str">
        <f t="shared" si="1"/>
        <v/>
      </c>
      <c r="O23" s="158" t="str">
        <f t="shared" si="2"/>
        <v/>
      </c>
      <c r="P23" s="5" t="str">
        <f t="shared" si="3"/>
        <v/>
      </c>
      <c r="Q23" s="5" t="str">
        <f t="shared" si="4"/>
        <v/>
      </c>
      <c r="R23" s="5" t="str">
        <f t="shared" si="5"/>
        <v/>
      </c>
    </row>
    <row r="24" spans="1:18">
      <c r="A24" s="87"/>
      <c r="B24" s="87"/>
      <c r="C24" s="88"/>
      <c r="D24" s="89"/>
      <c r="E24" s="90"/>
      <c r="F24" s="69"/>
      <c r="G24" s="70"/>
      <c r="H24" s="71"/>
      <c r="I24" s="66"/>
      <c r="J24" s="67"/>
      <c r="K24" s="145" t="str">
        <f t="shared" si="0"/>
        <v/>
      </c>
      <c r="L24" s="64"/>
      <c r="M24" s="64"/>
      <c r="N24" s="152" t="str">
        <f>IF($C24="","",($L24-($M24/2)))</f>
        <v/>
      </c>
      <c r="O24" s="158" t="str">
        <f t="shared" si="2"/>
        <v/>
      </c>
      <c r="P24" s="5" t="str">
        <f t="shared" si="3"/>
        <v/>
      </c>
      <c r="Q24" s="5" t="str">
        <f t="shared" si="4"/>
        <v/>
      </c>
      <c r="R24" s="5" t="str">
        <f t="shared" si="5"/>
        <v/>
      </c>
    </row>
    <row r="25" spans="1:18">
      <c r="A25" s="87"/>
      <c r="B25" s="87"/>
      <c r="C25" s="88"/>
      <c r="D25" s="89"/>
      <c r="E25" s="90"/>
      <c r="F25" s="69"/>
      <c r="G25" s="70"/>
      <c r="H25" s="71"/>
      <c r="I25" s="66"/>
      <c r="J25" s="67"/>
      <c r="K25" s="145" t="str">
        <f t="shared" si="0"/>
        <v/>
      </c>
      <c r="L25" s="64"/>
      <c r="M25" s="64"/>
      <c r="N25" s="152" t="str">
        <f t="shared" si="1"/>
        <v/>
      </c>
      <c r="O25" s="158" t="str">
        <f t="shared" si="2"/>
        <v/>
      </c>
      <c r="P25" s="5" t="str">
        <f t="shared" si="3"/>
        <v/>
      </c>
      <c r="Q25" s="5" t="str">
        <f t="shared" si="4"/>
        <v/>
      </c>
      <c r="R25" s="5" t="str">
        <f t="shared" si="5"/>
        <v/>
      </c>
    </row>
    <row r="26" spans="1:18">
      <c r="A26" s="87"/>
      <c r="B26" s="87"/>
      <c r="C26" s="88"/>
      <c r="D26" s="89"/>
      <c r="E26" s="90"/>
      <c r="F26" s="69"/>
      <c r="G26" s="70"/>
      <c r="H26" s="71"/>
      <c r="I26" s="66"/>
      <c r="J26" s="67"/>
      <c r="K26" s="145" t="str">
        <f t="shared" si="0"/>
        <v/>
      </c>
      <c r="L26" s="64"/>
      <c r="M26" s="64"/>
      <c r="N26" s="152" t="str">
        <f t="shared" si="1"/>
        <v/>
      </c>
      <c r="O26" s="158" t="str">
        <f t="shared" si="2"/>
        <v/>
      </c>
      <c r="P26" s="5" t="str">
        <f t="shared" si="3"/>
        <v/>
      </c>
      <c r="Q26" s="5" t="str">
        <f t="shared" si="4"/>
        <v/>
      </c>
      <c r="R26" s="5" t="str">
        <f t="shared" si="5"/>
        <v/>
      </c>
    </row>
    <row r="27" spans="1:18">
      <c r="A27" s="87"/>
      <c r="B27" s="87"/>
      <c r="C27" s="88"/>
      <c r="D27" s="89"/>
      <c r="E27" s="90"/>
      <c r="F27" s="69"/>
      <c r="G27" s="70"/>
      <c r="H27" s="71"/>
      <c r="I27" s="66"/>
      <c r="J27" s="67"/>
      <c r="K27" s="145" t="str">
        <f t="shared" si="0"/>
        <v/>
      </c>
      <c r="L27" s="64"/>
      <c r="M27" s="64"/>
      <c r="N27" s="152" t="str">
        <f t="shared" si="1"/>
        <v/>
      </c>
      <c r="O27" s="158" t="str">
        <f t="shared" si="2"/>
        <v/>
      </c>
      <c r="P27" s="5" t="str">
        <f t="shared" si="3"/>
        <v/>
      </c>
      <c r="Q27" s="5" t="str">
        <f t="shared" si="4"/>
        <v/>
      </c>
      <c r="R27" s="5" t="str">
        <f t="shared" si="5"/>
        <v/>
      </c>
    </row>
    <row r="28" spans="1:18">
      <c r="A28" s="87"/>
      <c r="B28" s="87"/>
      <c r="C28" s="88"/>
      <c r="D28" s="89"/>
      <c r="E28" s="90"/>
      <c r="F28" s="69"/>
      <c r="G28" s="70"/>
      <c r="H28" s="71"/>
      <c r="I28" s="66"/>
      <c r="J28" s="67"/>
      <c r="K28" s="145" t="str">
        <f t="shared" si="0"/>
        <v/>
      </c>
      <c r="L28" s="64"/>
      <c r="M28" s="64"/>
      <c r="N28" s="152" t="str">
        <f t="shared" si="1"/>
        <v/>
      </c>
      <c r="O28" s="158" t="str">
        <f t="shared" si="2"/>
        <v/>
      </c>
      <c r="P28" s="5" t="str">
        <f t="shared" si="3"/>
        <v/>
      </c>
      <c r="Q28" s="5" t="str">
        <f t="shared" si="4"/>
        <v/>
      </c>
      <c r="R28" s="5" t="str">
        <f t="shared" si="5"/>
        <v/>
      </c>
    </row>
    <row r="29" spans="1:18">
      <c r="A29" s="87"/>
      <c r="B29" s="87"/>
      <c r="C29" s="88"/>
      <c r="D29" s="89"/>
      <c r="E29" s="90"/>
      <c r="F29" s="69"/>
      <c r="G29" s="70"/>
      <c r="H29" s="71"/>
      <c r="I29" s="66"/>
      <c r="J29" s="67"/>
      <c r="K29" s="145" t="str">
        <f t="shared" si="0"/>
        <v/>
      </c>
      <c r="L29" s="64"/>
      <c r="M29" s="64"/>
      <c r="N29" s="152" t="str">
        <f t="shared" si="1"/>
        <v/>
      </c>
      <c r="O29" s="158" t="str">
        <f t="shared" si="2"/>
        <v/>
      </c>
      <c r="P29" s="5" t="str">
        <f t="shared" si="3"/>
        <v/>
      </c>
      <c r="Q29" s="5" t="str">
        <f t="shared" si="4"/>
        <v/>
      </c>
      <c r="R29" s="5" t="str">
        <f t="shared" si="5"/>
        <v/>
      </c>
    </row>
    <row r="30" spans="1:18">
      <c r="A30" s="87"/>
      <c r="B30" s="87"/>
      <c r="C30" s="88"/>
      <c r="D30" s="89"/>
      <c r="E30" s="90"/>
      <c r="F30" s="69"/>
      <c r="G30" s="70"/>
      <c r="H30" s="71"/>
      <c r="I30" s="66"/>
      <c r="J30" s="67"/>
      <c r="K30" s="145" t="str">
        <f t="shared" si="0"/>
        <v/>
      </c>
      <c r="L30" s="64"/>
      <c r="M30" s="64"/>
      <c r="N30" s="152" t="str">
        <f t="shared" si="1"/>
        <v/>
      </c>
      <c r="O30" s="158" t="str">
        <f t="shared" si="2"/>
        <v/>
      </c>
      <c r="P30" s="5" t="str">
        <f t="shared" si="3"/>
        <v/>
      </c>
      <c r="Q30" s="5" t="str">
        <f t="shared" si="4"/>
        <v/>
      </c>
      <c r="R30" s="5" t="str">
        <f t="shared" si="5"/>
        <v/>
      </c>
    </row>
    <row r="31" spans="1:18">
      <c r="A31" s="87"/>
      <c r="B31" s="87"/>
      <c r="C31" s="88"/>
      <c r="D31" s="89"/>
      <c r="E31" s="90"/>
      <c r="F31" s="69"/>
      <c r="G31" s="70"/>
      <c r="H31" s="71"/>
      <c r="I31" s="66"/>
      <c r="J31" s="67"/>
      <c r="K31" s="145" t="str">
        <f t="shared" si="0"/>
        <v/>
      </c>
      <c r="L31" s="64"/>
      <c r="M31" s="64"/>
      <c r="N31" s="152" t="str">
        <f t="shared" si="1"/>
        <v/>
      </c>
      <c r="O31" s="158" t="str">
        <f t="shared" si="2"/>
        <v/>
      </c>
      <c r="P31" s="5" t="str">
        <f t="shared" si="3"/>
        <v/>
      </c>
      <c r="Q31" s="5" t="str">
        <f t="shared" si="4"/>
        <v/>
      </c>
      <c r="R31" s="5" t="str">
        <f t="shared" si="5"/>
        <v/>
      </c>
    </row>
    <row r="32" spans="1:18">
      <c r="A32" s="87"/>
      <c r="B32" s="87"/>
      <c r="C32" s="88"/>
      <c r="D32" s="89"/>
      <c r="E32" s="90"/>
      <c r="F32" s="69"/>
      <c r="G32" s="70"/>
      <c r="H32" s="71"/>
      <c r="I32" s="66"/>
      <c r="J32" s="67"/>
      <c r="K32" s="145" t="str">
        <f t="shared" si="0"/>
        <v/>
      </c>
      <c r="L32" s="64"/>
      <c r="M32" s="64"/>
      <c r="N32" s="152" t="str">
        <f t="shared" si="1"/>
        <v/>
      </c>
      <c r="O32" s="158" t="str">
        <f t="shared" si="2"/>
        <v/>
      </c>
      <c r="P32" s="5" t="str">
        <f t="shared" si="3"/>
        <v/>
      </c>
      <c r="Q32" s="5" t="str">
        <f t="shared" si="4"/>
        <v/>
      </c>
      <c r="R32" s="5" t="str">
        <f t="shared" si="5"/>
        <v/>
      </c>
    </row>
    <row r="33" spans="1:18">
      <c r="A33" s="87"/>
      <c r="B33" s="87"/>
      <c r="C33" s="88"/>
      <c r="D33" s="89"/>
      <c r="E33" s="90"/>
      <c r="F33" s="69"/>
      <c r="G33" s="70"/>
      <c r="H33" s="71"/>
      <c r="I33" s="66"/>
      <c r="J33" s="67"/>
      <c r="K33" s="145" t="str">
        <f t="shared" si="0"/>
        <v/>
      </c>
      <c r="L33" s="64"/>
      <c r="M33" s="64"/>
      <c r="N33" s="152" t="str">
        <f t="shared" si="1"/>
        <v/>
      </c>
      <c r="O33" s="158" t="str">
        <f t="shared" si="2"/>
        <v/>
      </c>
      <c r="P33" s="5" t="str">
        <f t="shared" si="3"/>
        <v/>
      </c>
      <c r="Q33" s="5" t="str">
        <f t="shared" si="4"/>
        <v/>
      </c>
      <c r="R33" s="5" t="str">
        <f t="shared" si="5"/>
        <v/>
      </c>
    </row>
    <row r="34" spans="1:18">
      <c r="A34" s="87"/>
      <c r="B34" s="87"/>
      <c r="C34" s="88"/>
      <c r="D34" s="89"/>
      <c r="E34" s="90"/>
      <c r="F34" s="69"/>
      <c r="G34" s="70"/>
      <c r="H34" s="71"/>
      <c r="I34" s="66"/>
      <c r="J34" s="67"/>
      <c r="K34" s="145" t="str">
        <f t="shared" si="0"/>
        <v/>
      </c>
      <c r="L34" s="64"/>
      <c r="M34" s="64"/>
      <c r="N34" s="152" t="str">
        <f t="shared" si="1"/>
        <v/>
      </c>
      <c r="O34" s="158" t="str">
        <f t="shared" si="2"/>
        <v/>
      </c>
      <c r="P34" s="5" t="str">
        <f t="shared" si="3"/>
        <v/>
      </c>
      <c r="Q34" s="5" t="str">
        <f t="shared" si="4"/>
        <v/>
      </c>
      <c r="R34" s="5" t="str">
        <f t="shared" si="5"/>
        <v/>
      </c>
    </row>
    <row r="35" spans="1:18">
      <c r="A35" s="87"/>
      <c r="B35" s="87"/>
      <c r="C35" s="88"/>
      <c r="D35" s="89"/>
      <c r="E35" s="90"/>
      <c r="F35" s="69"/>
      <c r="G35" s="70"/>
      <c r="H35" s="71"/>
      <c r="I35" s="66"/>
      <c r="J35" s="67"/>
      <c r="K35" s="145" t="str">
        <f t="shared" si="0"/>
        <v/>
      </c>
      <c r="L35" s="64"/>
      <c r="M35" s="64"/>
      <c r="N35" s="152" t="str">
        <f t="shared" si="1"/>
        <v/>
      </c>
      <c r="O35" s="158" t="str">
        <f t="shared" si="2"/>
        <v/>
      </c>
      <c r="P35" s="5" t="str">
        <f t="shared" si="3"/>
        <v/>
      </c>
      <c r="Q35" s="5" t="str">
        <f t="shared" si="4"/>
        <v/>
      </c>
      <c r="R35" s="5" t="str">
        <f t="shared" si="5"/>
        <v/>
      </c>
    </row>
    <row r="36" spans="1:18">
      <c r="A36" s="87"/>
      <c r="B36" s="87"/>
      <c r="C36" s="88"/>
      <c r="D36" s="89"/>
      <c r="E36" s="90"/>
      <c r="F36" s="69"/>
      <c r="G36" s="70"/>
      <c r="H36" s="71"/>
      <c r="I36" s="66"/>
      <c r="J36" s="67"/>
      <c r="K36" s="145" t="str">
        <f t="shared" si="0"/>
        <v/>
      </c>
      <c r="L36" s="64"/>
      <c r="M36" s="64"/>
      <c r="N36" s="152" t="str">
        <f t="shared" si="1"/>
        <v/>
      </c>
      <c r="O36" s="158" t="str">
        <f t="shared" si="2"/>
        <v/>
      </c>
      <c r="P36" s="5" t="str">
        <f t="shared" si="3"/>
        <v/>
      </c>
      <c r="Q36" s="5" t="str">
        <f t="shared" si="4"/>
        <v/>
      </c>
      <c r="R36" s="5" t="str">
        <f t="shared" si="5"/>
        <v/>
      </c>
    </row>
    <row r="37" spans="1:18">
      <c r="A37" s="87"/>
      <c r="B37" s="87"/>
      <c r="C37" s="88"/>
      <c r="D37" s="89"/>
      <c r="E37" s="90"/>
      <c r="F37" s="69"/>
      <c r="G37" s="70"/>
      <c r="H37" s="71"/>
      <c r="I37" s="66"/>
      <c r="J37" s="67"/>
      <c r="K37" s="145" t="str">
        <f t="shared" si="0"/>
        <v/>
      </c>
      <c r="L37" s="64"/>
      <c r="M37" s="64"/>
      <c r="N37" s="152" t="str">
        <f>IF($C37="","",($L37-($M37/2)))</f>
        <v/>
      </c>
      <c r="O37" s="158" t="str">
        <f t="shared" si="2"/>
        <v/>
      </c>
      <c r="P37" s="5" t="str">
        <f t="shared" si="3"/>
        <v/>
      </c>
      <c r="Q37" s="5" t="str">
        <f t="shared" si="4"/>
        <v/>
      </c>
      <c r="R37" s="5" t="str">
        <f t="shared" si="5"/>
        <v/>
      </c>
    </row>
    <row r="38" spans="1:18">
      <c r="A38" s="87"/>
      <c r="B38" s="87"/>
      <c r="C38" s="88"/>
      <c r="D38" s="89"/>
      <c r="E38" s="90"/>
      <c r="F38" s="69"/>
      <c r="G38" s="70"/>
      <c r="H38" s="71"/>
      <c r="I38" s="66"/>
      <c r="J38" s="67"/>
      <c r="K38" s="145" t="str">
        <f t="shared" si="0"/>
        <v/>
      </c>
      <c r="L38" s="64"/>
      <c r="M38" s="64"/>
      <c r="N38" s="152" t="str">
        <f t="shared" si="1"/>
        <v/>
      </c>
      <c r="O38" s="158" t="str">
        <f t="shared" si="2"/>
        <v/>
      </c>
      <c r="P38" s="5" t="str">
        <f t="shared" si="3"/>
        <v/>
      </c>
      <c r="Q38" s="5" t="str">
        <f t="shared" si="4"/>
        <v/>
      </c>
      <c r="R38" s="5" t="str">
        <f t="shared" si="5"/>
        <v/>
      </c>
    </row>
    <row r="39" spans="1:18">
      <c r="A39" s="87"/>
      <c r="B39" s="87"/>
      <c r="C39" s="88"/>
      <c r="D39" s="89"/>
      <c r="E39" s="90"/>
      <c r="F39" s="69"/>
      <c r="G39" s="70"/>
      <c r="H39" s="71"/>
      <c r="I39" s="66"/>
      <c r="J39" s="67"/>
      <c r="K39" s="145" t="str">
        <f t="shared" si="0"/>
        <v/>
      </c>
      <c r="L39" s="64"/>
      <c r="M39" s="64"/>
      <c r="N39" s="152" t="str">
        <f t="shared" si="1"/>
        <v/>
      </c>
      <c r="O39" s="158" t="str">
        <f t="shared" si="2"/>
        <v/>
      </c>
      <c r="P39" s="5" t="str">
        <f t="shared" si="3"/>
        <v/>
      </c>
      <c r="Q39" s="5" t="str">
        <f t="shared" si="4"/>
        <v/>
      </c>
      <c r="R39" s="5" t="str">
        <f t="shared" si="5"/>
        <v/>
      </c>
    </row>
    <row r="40" spans="1:18">
      <c r="A40" s="87"/>
      <c r="B40" s="87"/>
      <c r="C40" s="88"/>
      <c r="D40" s="89"/>
      <c r="E40" s="90"/>
      <c r="F40" s="69"/>
      <c r="G40" s="70"/>
      <c r="H40" s="71"/>
      <c r="I40" s="66"/>
      <c r="J40" s="67"/>
      <c r="K40" s="145" t="str">
        <f t="shared" si="0"/>
        <v/>
      </c>
      <c r="L40" s="64"/>
      <c r="M40" s="64"/>
      <c r="N40" s="152" t="str">
        <f t="shared" si="1"/>
        <v/>
      </c>
      <c r="O40" s="158" t="str">
        <f t="shared" si="2"/>
        <v/>
      </c>
      <c r="P40" s="5" t="str">
        <f t="shared" si="3"/>
        <v/>
      </c>
      <c r="Q40" s="5" t="str">
        <f t="shared" si="4"/>
        <v/>
      </c>
      <c r="R40" s="5" t="str">
        <f t="shared" si="5"/>
        <v/>
      </c>
    </row>
    <row r="41" spans="1:18">
      <c r="A41" s="87"/>
      <c r="B41" s="87"/>
      <c r="C41" s="88"/>
      <c r="D41" s="89"/>
      <c r="E41" s="90"/>
      <c r="F41" s="69"/>
      <c r="G41" s="70"/>
      <c r="H41" s="71"/>
      <c r="I41" s="66"/>
      <c r="J41" s="67"/>
      <c r="K41" s="145" t="str">
        <f t="shared" si="0"/>
        <v/>
      </c>
      <c r="L41" s="64"/>
      <c r="M41" s="64"/>
      <c r="N41" s="152" t="str">
        <f t="shared" si="1"/>
        <v/>
      </c>
      <c r="O41" s="158" t="str">
        <f t="shared" si="2"/>
        <v/>
      </c>
      <c r="P41" s="5" t="str">
        <f t="shared" si="3"/>
        <v/>
      </c>
      <c r="Q41" s="5" t="str">
        <f t="shared" si="4"/>
        <v/>
      </c>
      <c r="R41" s="5" t="str">
        <f t="shared" si="5"/>
        <v/>
      </c>
    </row>
    <row r="42" spans="1:18">
      <c r="A42" s="87"/>
      <c r="B42" s="87"/>
      <c r="C42" s="88"/>
      <c r="D42" s="89"/>
      <c r="E42" s="90"/>
      <c r="F42" s="69"/>
      <c r="G42" s="70"/>
      <c r="H42" s="71"/>
      <c r="I42" s="66"/>
      <c r="J42" s="67"/>
      <c r="K42" s="145" t="str">
        <f t="shared" si="0"/>
        <v/>
      </c>
      <c r="L42" s="64"/>
      <c r="M42" s="64"/>
      <c r="N42" s="152" t="str">
        <f t="shared" si="1"/>
        <v/>
      </c>
      <c r="O42" s="158" t="str">
        <f t="shared" si="2"/>
        <v/>
      </c>
      <c r="P42" s="5" t="str">
        <f t="shared" si="3"/>
        <v/>
      </c>
      <c r="Q42" s="5" t="str">
        <f t="shared" si="4"/>
        <v/>
      </c>
      <c r="R42" s="5" t="str">
        <f t="shared" si="5"/>
        <v/>
      </c>
    </row>
    <row r="43" spans="1:18">
      <c r="A43" s="87"/>
      <c r="B43" s="87"/>
      <c r="C43" s="88"/>
      <c r="D43" s="89"/>
      <c r="E43" s="90"/>
      <c r="F43" s="69"/>
      <c r="G43" s="70"/>
      <c r="H43" s="71"/>
      <c r="I43" s="66"/>
      <c r="J43" s="67"/>
      <c r="K43" s="145" t="str">
        <f t="shared" si="0"/>
        <v/>
      </c>
      <c r="L43" s="64"/>
      <c r="M43" s="64"/>
      <c r="N43" s="152" t="str">
        <f t="shared" si="1"/>
        <v/>
      </c>
      <c r="O43" s="158" t="str">
        <f t="shared" si="2"/>
        <v/>
      </c>
      <c r="P43" s="5" t="str">
        <f t="shared" si="3"/>
        <v/>
      </c>
      <c r="Q43" s="5" t="str">
        <f t="shared" si="4"/>
        <v/>
      </c>
      <c r="R43" s="5" t="str">
        <f t="shared" si="5"/>
        <v/>
      </c>
    </row>
    <row r="44" spans="1:18">
      <c r="A44" s="87"/>
      <c r="B44" s="87"/>
      <c r="C44" s="88"/>
      <c r="D44" s="89"/>
      <c r="E44" s="90"/>
      <c r="F44" s="69"/>
      <c r="G44" s="70"/>
      <c r="H44" s="71"/>
      <c r="I44" s="66"/>
      <c r="J44" s="67"/>
      <c r="K44" s="145" t="str">
        <f t="shared" si="0"/>
        <v/>
      </c>
      <c r="L44" s="64"/>
      <c r="M44" s="64"/>
      <c r="N44" s="152" t="str">
        <f t="shared" si="1"/>
        <v/>
      </c>
      <c r="O44" s="158" t="str">
        <f t="shared" si="2"/>
        <v/>
      </c>
      <c r="P44" s="5" t="str">
        <f t="shared" si="3"/>
        <v/>
      </c>
      <c r="Q44" s="5" t="str">
        <f t="shared" si="4"/>
        <v/>
      </c>
      <c r="R44" s="5" t="str">
        <f t="shared" si="5"/>
        <v/>
      </c>
    </row>
    <row r="45" spans="1:18">
      <c r="A45" s="87"/>
      <c r="B45" s="87"/>
      <c r="C45" s="88"/>
      <c r="D45" s="89"/>
      <c r="E45" s="90"/>
      <c r="F45" s="69"/>
      <c r="G45" s="70"/>
      <c r="H45" s="71"/>
      <c r="I45" s="66"/>
      <c r="J45" s="67"/>
      <c r="K45" s="145" t="str">
        <f t="shared" si="0"/>
        <v/>
      </c>
      <c r="L45" s="64"/>
      <c r="M45" s="64"/>
      <c r="N45" s="152" t="str">
        <f t="shared" si="1"/>
        <v/>
      </c>
      <c r="O45" s="158" t="str">
        <f t="shared" si="2"/>
        <v/>
      </c>
      <c r="P45" s="5" t="str">
        <f t="shared" si="3"/>
        <v/>
      </c>
      <c r="Q45" s="5" t="str">
        <f t="shared" si="4"/>
        <v/>
      </c>
      <c r="R45" s="5" t="str">
        <f t="shared" si="5"/>
        <v/>
      </c>
    </row>
    <row r="46" spans="1:18">
      <c r="A46" s="87"/>
      <c r="B46" s="87"/>
      <c r="C46" s="88"/>
      <c r="D46" s="89"/>
      <c r="E46" s="90"/>
      <c r="F46" s="69"/>
      <c r="G46" s="70"/>
      <c r="H46" s="71"/>
      <c r="I46" s="66"/>
      <c r="J46" s="67"/>
      <c r="K46" s="145" t="str">
        <f t="shared" si="0"/>
        <v/>
      </c>
      <c r="L46" s="64"/>
      <c r="M46" s="64"/>
      <c r="N46" s="152" t="str">
        <f t="shared" si="1"/>
        <v/>
      </c>
      <c r="O46" s="158" t="str">
        <f t="shared" si="2"/>
        <v/>
      </c>
      <c r="P46" s="5" t="str">
        <f t="shared" si="3"/>
        <v/>
      </c>
      <c r="Q46" s="5" t="str">
        <f t="shared" si="4"/>
        <v/>
      </c>
      <c r="R46" s="5" t="str">
        <f t="shared" si="5"/>
        <v/>
      </c>
    </row>
    <row r="47" spans="1:18">
      <c r="A47" s="87"/>
      <c r="B47" s="87"/>
      <c r="C47" s="88"/>
      <c r="D47" s="89"/>
      <c r="E47" s="90"/>
      <c r="F47" s="69"/>
      <c r="G47" s="70"/>
      <c r="H47" s="71"/>
      <c r="I47" s="66"/>
      <c r="J47" s="67"/>
      <c r="K47" s="145" t="str">
        <f t="shared" si="0"/>
        <v/>
      </c>
      <c r="L47" s="64"/>
      <c r="M47" s="64"/>
      <c r="N47" s="152" t="str">
        <f t="shared" si="1"/>
        <v/>
      </c>
      <c r="O47" s="158" t="str">
        <f t="shared" si="2"/>
        <v/>
      </c>
      <c r="P47" s="5" t="str">
        <f t="shared" si="3"/>
        <v/>
      </c>
      <c r="Q47" s="5" t="str">
        <f t="shared" si="4"/>
        <v/>
      </c>
      <c r="R47" s="5" t="str">
        <f t="shared" si="5"/>
        <v/>
      </c>
    </row>
    <row r="48" spans="1:18">
      <c r="A48" s="87"/>
      <c r="B48" s="87"/>
      <c r="C48" s="88"/>
      <c r="D48" s="89"/>
      <c r="E48" s="90"/>
      <c r="F48" s="69"/>
      <c r="G48" s="70"/>
      <c r="H48" s="71"/>
      <c r="I48" s="66"/>
      <c r="J48" s="67"/>
      <c r="K48" s="145" t="str">
        <f t="shared" si="0"/>
        <v/>
      </c>
      <c r="L48" s="64"/>
      <c r="M48" s="64"/>
      <c r="N48" s="152" t="str">
        <f t="shared" si="1"/>
        <v/>
      </c>
      <c r="O48" s="158" t="str">
        <f t="shared" si="2"/>
        <v/>
      </c>
      <c r="P48" s="5" t="str">
        <f t="shared" si="3"/>
        <v/>
      </c>
      <c r="Q48" s="5" t="str">
        <f t="shared" si="4"/>
        <v/>
      </c>
      <c r="R48" s="5" t="str">
        <f t="shared" si="5"/>
        <v/>
      </c>
    </row>
    <row r="49" spans="1:18">
      <c r="A49" s="87"/>
      <c r="B49" s="87"/>
      <c r="C49" s="88"/>
      <c r="D49" s="89"/>
      <c r="E49" s="90"/>
      <c r="F49" s="69"/>
      <c r="G49" s="70"/>
      <c r="H49" s="71"/>
      <c r="I49" s="66"/>
      <c r="J49" s="67"/>
      <c r="K49" s="145" t="str">
        <f t="shared" si="0"/>
        <v/>
      </c>
      <c r="L49" s="64"/>
      <c r="M49" s="64"/>
      <c r="N49" s="152" t="str">
        <f t="shared" si="1"/>
        <v/>
      </c>
      <c r="O49" s="158" t="str">
        <f t="shared" si="2"/>
        <v/>
      </c>
      <c r="P49" s="5" t="str">
        <f t="shared" si="3"/>
        <v/>
      </c>
      <c r="Q49" s="5" t="str">
        <f t="shared" si="4"/>
        <v/>
      </c>
      <c r="R49" s="5" t="str">
        <f t="shared" si="5"/>
        <v/>
      </c>
    </row>
    <row r="50" spans="1:18">
      <c r="A50" s="87"/>
      <c r="B50" s="87"/>
      <c r="C50" s="88"/>
      <c r="D50" s="89"/>
      <c r="E50" s="90"/>
      <c r="F50" s="69"/>
      <c r="G50" s="70"/>
      <c r="H50" s="71"/>
      <c r="I50" s="66"/>
      <c r="J50" s="67"/>
      <c r="K50" s="145" t="str">
        <f t="shared" si="0"/>
        <v/>
      </c>
      <c r="L50" s="64"/>
      <c r="M50" s="64"/>
      <c r="N50" s="152" t="str">
        <f t="shared" si="1"/>
        <v/>
      </c>
      <c r="O50" s="158" t="str">
        <f t="shared" si="2"/>
        <v/>
      </c>
      <c r="P50" s="5" t="str">
        <f t="shared" si="3"/>
        <v/>
      </c>
      <c r="Q50" s="5" t="str">
        <f t="shared" si="4"/>
        <v/>
      </c>
      <c r="R50" s="5" t="str">
        <f t="shared" si="5"/>
        <v/>
      </c>
    </row>
    <row r="51" spans="1:18">
      <c r="A51" s="87"/>
      <c r="B51" s="87"/>
      <c r="C51" s="88"/>
      <c r="D51" s="89"/>
      <c r="E51" s="90"/>
      <c r="F51" s="69"/>
      <c r="G51" s="70"/>
      <c r="H51" s="71"/>
      <c r="I51" s="66"/>
      <c r="J51" s="67"/>
      <c r="K51" s="145" t="str">
        <f t="shared" si="0"/>
        <v/>
      </c>
      <c r="L51" s="64"/>
      <c r="M51" s="64"/>
      <c r="N51" s="152" t="str">
        <f t="shared" si="1"/>
        <v/>
      </c>
      <c r="O51" s="158" t="str">
        <f t="shared" si="2"/>
        <v/>
      </c>
      <c r="P51" s="5" t="str">
        <f t="shared" si="3"/>
        <v/>
      </c>
      <c r="Q51" s="5" t="str">
        <f t="shared" si="4"/>
        <v/>
      </c>
      <c r="R51" s="5" t="str">
        <f t="shared" si="5"/>
        <v/>
      </c>
    </row>
    <row r="52" spans="1:18">
      <c r="A52" s="87"/>
      <c r="B52" s="87"/>
      <c r="C52" s="88"/>
      <c r="D52" s="89"/>
      <c r="E52" s="90"/>
      <c r="F52" s="69"/>
      <c r="G52" s="70"/>
      <c r="H52" s="71"/>
      <c r="I52" s="66"/>
      <c r="J52" s="67"/>
      <c r="K52" s="145" t="str">
        <f t="shared" si="0"/>
        <v/>
      </c>
      <c r="L52" s="64"/>
      <c r="M52" s="64"/>
      <c r="N52" s="152" t="str">
        <f t="shared" si="1"/>
        <v/>
      </c>
      <c r="O52" s="158" t="str">
        <f t="shared" si="2"/>
        <v/>
      </c>
      <c r="P52" s="5" t="str">
        <f t="shared" si="3"/>
        <v/>
      </c>
      <c r="Q52" s="5" t="str">
        <f t="shared" si="4"/>
        <v/>
      </c>
      <c r="R52" s="5" t="str">
        <f t="shared" si="5"/>
        <v/>
      </c>
    </row>
    <row r="53" spans="1:18">
      <c r="A53" s="87"/>
      <c r="B53" s="87"/>
      <c r="C53" s="88"/>
      <c r="D53" s="89"/>
      <c r="E53" s="90"/>
      <c r="F53" s="69"/>
      <c r="G53" s="70"/>
      <c r="H53" s="71"/>
      <c r="I53" s="66"/>
      <c r="J53" s="67"/>
      <c r="K53" s="145" t="str">
        <f t="shared" si="0"/>
        <v/>
      </c>
      <c r="L53" s="64"/>
      <c r="M53" s="64"/>
      <c r="N53" s="152" t="str">
        <f t="shared" si="1"/>
        <v/>
      </c>
      <c r="O53" s="158" t="str">
        <f t="shared" si="2"/>
        <v/>
      </c>
      <c r="P53" s="5" t="str">
        <f t="shared" si="3"/>
        <v/>
      </c>
      <c r="Q53" s="5" t="str">
        <f t="shared" si="4"/>
        <v/>
      </c>
      <c r="R53" s="5" t="str">
        <f t="shared" si="5"/>
        <v/>
      </c>
    </row>
    <row r="54" spans="1:18">
      <c r="A54" s="87"/>
      <c r="B54" s="87"/>
      <c r="C54" s="88"/>
      <c r="D54" s="89"/>
      <c r="E54" s="90"/>
      <c r="F54" s="69"/>
      <c r="G54" s="70"/>
      <c r="H54" s="71"/>
      <c r="I54" s="66"/>
      <c r="J54" s="67"/>
      <c r="K54" s="145" t="str">
        <f t="shared" si="0"/>
        <v/>
      </c>
      <c r="L54" s="64"/>
      <c r="M54" s="64"/>
      <c r="N54" s="152" t="str">
        <f t="shared" si="1"/>
        <v/>
      </c>
      <c r="O54" s="158" t="str">
        <f t="shared" si="2"/>
        <v/>
      </c>
      <c r="P54" s="5" t="str">
        <f t="shared" si="3"/>
        <v/>
      </c>
      <c r="Q54" s="5" t="str">
        <f t="shared" si="4"/>
        <v/>
      </c>
      <c r="R54" s="5" t="str">
        <f t="shared" si="5"/>
        <v/>
      </c>
    </row>
    <row r="55" spans="1:18">
      <c r="A55" s="87"/>
      <c r="B55" s="87"/>
      <c r="C55" s="88"/>
      <c r="D55" s="89"/>
      <c r="E55" s="90"/>
      <c r="F55" s="69"/>
      <c r="G55" s="70"/>
      <c r="H55" s="71"/>
      <c r="I55" s="66"/>
      <c r="J55" s="67"/>
      <c r="K55" s="145" t="str">
        <f t="shared" si="0"/>
        <v/>
      </c>
      <c r="L55" s="64"/>
      <c r="M55" s="64"/>
      <c r="N55" s="152" t="str">
        <f t="shared" si="1"/>
        <v/>
      </c>
      <c r="O55" s="158" t="str">
        <f t="shared" si="2"/>
        <v/>
      </c>
      <c r="P55" s="5" t="str">
        <f t="shared" si="3"/>
        <v/>
      </c>
      <c r="Q55" s="5" t="str">
        <f t="shared" si="4"/>
        <v/>
      </c>
      <c r="R55" s="5" t="str">
        <f t="shared" si="5"/>
        <v/>
      </c>
    </row>
    <row r="56" spans="1:18">
      <c r="A56" s="87"/>
      <c r="B56" s="87"/>
      <c r="C56" s="88"/>
      <c r="D56" s="89"/>
      <c r="E56" s="90"/>
      <c r="F56" s="69"/>
      <c r="G56" s="70"/>
      <c r="H56" s="71"/>
      <c r="I56" s="66"/>
      <c r="J56" s="67"/>
      <c r="K56" s="145" t="str">
        <f t="shared" si="0"/>
        <v/>
      </c>
      <c r="L56" s="64"/>
      <c r="M56" s="64"/>
      <c r="N56" s="152" t="str">
        <f t="shared" si="1"/>
        <v/>
      </c>
      <c r="O56" s="158" t="str">
        <f t="shared" si="2"/>
        <v/>
      </c>
      <c r="P56" s="5" t="str">
        <f t="shared" si="3"/>
        <v/>
      </c>
      <c r="Q56" s="5" t="str">
        <f t="shared" si="4"/>
        <v/>
      </c>
      <c r="R56" s="5" t="str">
        <f t="shared" si="5"/>
        <v/>
      </c>
    </row>
    <row r="57" spans="1:18">
      <c r="A57" s="87"/>
      <c r="B57" s="87"/>
      <c r="C57" s="88"/>
      <c r="D57" s="89"/>
      <c r="E57" s="90"/>
      <c r="F57" s="69"/>
      <c r="G57" s="70"/>
      <c r="H57" s="71"/>
      <c r="I57" s="66"/>
      <c r="J57" s="67"/>
      <c r="K57" s="145" t="str">
        <f t="shared" si="0"/>
        <v/>
      </c>
      <c r="L57" s="64"/>
      <c r="M57" s="64"/>
      <c r="N57" s="152" t="str">
        <f t="shared" si="1"/>
        <v/>
      </c>
      <c r="O57" s="158" t="str">
        <f t="shared" si="2"/>
        <v/>
      </c>
      <c r="P57" s="5" t="str">
        <f t="shared" si="3"/>
        <v/>
      </c>
      <c r="Q57" s="5" t="str">
        <f t="shared" si="4"/>
        <v/>
      </c>
      <c r="R57" s="5" t="str">
        <f t="shared" si="5"/>
        <v/>
      </c>
    </row>
    <row r="58" spans="1:18">
      <c r="A58" s="87"/>
      <c r="B58" s="87"/>
      <c r="C58" s="88"/>
      <c r="D58" s="89"/>
      <c r="E58" s="90"/>
      <c r="F58" s="69"/>
      <c r="G58" s="70"/>
      <c r="H58" s="71"/>
      <c r="I58" s="66"/>
      <c r="J58" s="67"/>
      <c r="K58" s="145" t="str">
        <f t="shared" si="0"/>
        <v/>
      </c>
      <c r="L58" s="64"/>
      <c r="M58" s="64"/>
      <c r="N58" s="152" t="str">
        <f t="shared" si="1"/>
        <v/>
      </c>
      <c r="O58" s="158" t="str">
        <f t="shared" si="2"/>
        <v/>
      </c>
      <c r="P58" s="5" t="str">
        <f t="shared" si="3"/>
        <v/>
      </c>
      <c r="Q58" s="5" t="str">
        <f t="shared" si="4"/>
        <v/>
      </c>
      <c r="R58" s="5" t="str">
        <f t="shared" si="5"/>
        <v/>
      </c>
    </row>
    <row r="59" spans="1:18">
      <c r="A59" s="87"/>
      <c r="B59" s="87"/>
      <c r="C59" s="88"/>
      <c r="D59" s="89"/>
      <c r="E59" s="90"/>
      <c r="F59" s="69"/>
      <c r="G59" s="70"/>
      <c r="H59" s="71"/>
      <c r="I59" s="66"/>
      <c r="J59" s="67"/>
      <c r="K59" s="145" t="str">
        <f t="shared" si="0"/>
        <v/>
      </c>
      <c r="L59" s="64"/>
      <c r="M59" s="64"/>
      <c r="N59" s="152" t="str">
        <f t="shared" si="1"/>
        <v/>
      </c>
      <c r="O59" s="158" t="str">
        <f t="shared" si="2"/>
        <v/>
      </c>
      <c r="P59" s="5" t="str">
        <f t="shared" si="3"/>
        <v/>
      </c>
      <c r="Q59" s="5" t="str">
        <f t="shared" si="4"/>
        <v/>
      </c>
      <c r="R59" s="5" t="str">
        <f t="shared" si="5"/>
        <v/>
      </c>
    </row>
    <row r="60" spans="1:18">
      <c r="A60" s="87"/>
      <c r="B60" s="87"/>
      <c r="C60" s="88"/>
      <c r="D60" s="89"/>
      <c r="E60" s="90"/>
      <c r="F60" s="69"/>
      <c r="G60" s="70"/>
      <c r="H60" s="71"/>
      <c r="I60" s="66"/>
      <c r="J60" s="67"/>
      <c r="K60" s="145" t="str">
        <f t="shared" si="0"/>
        <v/>
      </c>
      <c r="L60" s="64"/>
      <c r="M60" s="64"/>
      <c r="N60" s="152" t="str">
        <f t="shared" si="1"/>
        <v/>
      </c>
      <c r="O60" s="158" t="str">
        <f t="shared" si="2"/>
        <v/>
      </c>
      <c r="P60" s="5" t="str">
        <f t="shared" si="3"/>
        <v/>
      </c>
      <c r="Q60" s="5" t="str">
        <f t="shared" si="4"/>
        <v/>
      </c>
      <c r="R60" s="5" t="str">
        <f t="shared" si="5"/>
        <v/>
      </c>
    </row>
    <row r="61" spans="1:18">
      <c r="A61" s="87"/>
      <c r="B61" s="87"/>
      <c r="C61" s="88"/>
      <c r="D61" s="89"/>
      <c r="E61" s="90"/>
      <c r="F61" s="69"/>
      <c r="G61" s="70"/>
      <c r="H61" s="71"/>
      <c r="I61" s="66"/>
      <c r="J61" s="67"/>
      <c r="K61" s="145" t="str">
        <f t="shared" si="0"/>
        <v/>
      </c>
      <c r="L61" s="64"/>
      <c r="M61" s="64"/>
      <c r="N61" s="152" t="str">
        <f t="shared" si="1"/>
        <v/>
      </c>
      <c r="O61" s="158" t="str">
        <f t="shared" si="2"/>
        <v/>
      </c>
      <c r="P61" s="5" t="str">
        <f t="shared" si="3"/>
        <v/>
      </c>
      <c r="Q61" s="5" t="str">
        <f t="shared" si="4"/>
        <v/>
      </c>
      <c r="R61" s="5" t="str">
        <f t="shared" si="5"/>
        <v/>
      </c>
    </row>
    <row r="62" spans="1:18">
      <c r="A62" s="87"/>
      <c r="B62" s="87"/>
      <c r="C62" s="88"/>
      <c r="D62" s="89"/>
      <c r="E62" s="90"/>
      <c r="F62" s="69"/>
      <c r="G62" s="70"/>
      <c r="H62" s="71"/>
      <c r="I62" s="66"/>
      <c r="J62" s="67"/>
      <c r="K62" s="145" t="str">
        <f t="shared" si="0"/>
        <v/>
      </c>
      <c r="L62" s="64"/>
      <c r="M62" s="64"/>
      <c r="N62" s="152" t="str">
        <f t="shared" si="1"/>
        <v/>
      </c>
      <c r="O62" s="158" t="str">
        <f t="shared" si="2"/>
        <v/>
      </c>
      <c r="P62" s="5" t="str">
        <f t="shared" si="3"/>
        <v/>
      </c>
      <c r="Q62" s="5" t="str">
        <f t="shared" si="4"/>
        <v/>
      </c>
      <c r="R62" s="5" t="str">
        <f t="shared" si="5"/>
        <v/>
      </c>
    </row>
    <row r="63" spans="1:18">
      <c r="A63" s="87"/>
      <c r="B63" s="87"/>
      <c r="C63" s="88"/>
      <c r="D63" s="89"/>
      <c r="E63" s="90"/>
      <c r="F63" s="69"/>
      <c r="G63" s="70"/>
      <c r="H63" s="71"/>
      <c r="I63" s="66"/>
      <c r="J63" s="67"/>
      <c r="K63" s="145" t="str">
        <f t="shared" si="0"/>
        <v/>
      </c>
      <c r="L63" s="64"/>
      <c r="M63" s="64"/>
      <c r="N63" s="152" t="str">
        <f t="shared" si="1"/>
        <v/>
      </c>
      <c r="O63" s="158" t="str">
        <f t="shared" si="2"/>
        <v/>
      </c>
      <c r="P63" s="5" t="str">
        <f t="shared" si="3"/>
        <v/>
      </c>
      <c r="Q63" s="5" t="str">
        <f t="shared" si="4"/>
        <v/>
      </c>
      <c r="R63" s="5" t="str">
        <f t="shared" si="5"/>
        <v/>
      </c>
    </row>
    <row r="64" spans="1:18">
      <c r="A64" s="87"/>
      <c r="B64" s="87"/>
      <c r="C64" s="88"/>
      <c r="D64" s="89"/>
      <c r="E64" s="90"/>
      <c r="F64" s="69"/>
      <c r="G64" s="70"/>
      <c r="H64" s="71"/>
      <c r="I64" s="66"/>
      <c r="J64" s="67"/>
      <c r="K64" s="145" t="str">
        <f t="shared" si="0"/>
        <v/>
      </c>
      <c r="L64" s="64"/>
      <c r="M64" s="64"/>
      <c r="N64" s="152" t="str">
        <f t="shared" si="1"/>
        <v/>
      </c>
      <c r="O64" s="158" t="str">
        <f t="shared" si="2"/>
        <v/>
      </c>
      <c r="P64" s="5" t="str">
        <f t="shared" si="3"/>
        <v/>
      </c>
      <c r="Q64" s="5" t="str">
        <f t="shared" si="4"/>
        <v/>
      </c>
      <c r="R64" s="5" t="str">
        <f t="shared" si="5"/>
        <v/>
      </c>
    </row>
    <row r="65" spans="1:18">
      <c r="A65" s="87"/>
      <c r="B65" s="87"/>
      <c r="C65" s="88"/>
      <c r="D65" s="89"/>
      <c r="E65" s="90"/>
      <c r="F65" s="69"/>
      <c r="G65" s="70"/>
      <c r="H65" s="71"/>
      <c r="I65" s="66"/>
      <c r="J65" s="67"/>
      <c r="K65" s="145" t="str">
        <f t="shared" si="0"/>
        <v/>
      </c>
      <c r="L65" s="64"/>
      <c r="M65" s="64"/>
      <c r="N65" s="152" t="str">
        <f t="shared" si="1"/>
        <v/>
      </c>
      <c r="O65" s="158" t="str">
        <f t="shared" si="2"/>
        <v/>
      </c>
      <c r="P65" s="5" t="str">
        <f t="shared" si="3"/>
        <v/>
      </c>
      <c r="Q65" s="5" t="str">
        <f t="shared" si="4"/>
        <v/>
      </c>
      <c r="R65" s="5" t="str">
        <f t="shared" si="5"/>
        <v/>
      </c>
    </row>
    <row r="66" spans="1:18">
      <c r="A66" s="87"/>
      <c r="B66" s="87"/>
      <c r="C66" s="88"/>
      <c r="D66" s="89"/>
      <c r="E66" s="90"/>
      <c r="F66" s="69"/>
      <c r="G66" s="70"/>
      <c r="H66" s="71"/>
      <c r="I66" s="66"/>
      <c r="J66" s="67"/>
      <c r="K66" s="145" t="str">
        <f t="shared" si="0"/>
        <v/>
      </c>
      <c r="L66" s="64"/>
      <c r="M66" s="64"/>
      <c r="N66" s="152" t="str">
        <f t="shared" si="1"/>
        <v/>
      </c>
      <c r="O66" s="158" t="str">
        <f t="shared" si="2"/>
        <v/>
      </c>
      <c r="P66" s="5" t="str">
        <f t="shared" si="3"/>
        <v/>
      </c>
      <c r="Q66" s="5" t="str">
        <f t="shared" si="4"/>
        <v/>
      </c>
      <c r="R66" s="5" t="str">
        <f t="shared" si="5"/>
        <v/>
      </c>
    </row>
    <row r="67" spans="1:18">
      <c r="A67" s="87"/>
      <c r="B67" s="87"/>
      <c r="C67" s="88"/>
      <c r="D67" s="89"/>
      <c r="E67" s="90"/>
      <c r="F67" s="69"/>
      <c r="G67" s="70"/>
      <c r="H67" s="71"/>
      <c r="I67" s="66"/>
      <c r="J67" s="67"/>
      <c r="K67" s="145" t="str">
        <f t="shared" si="0"/>
        <v/>
      </c>
      <c r="L67" s="64"/>
      <c r="M67" s="64"/>
      <c r="N67" s="152" t="str">
        <f t="shared" si="1"/>
        <v/>
      </c>
      <c r="O67" s="158" t="str">
        <f t="shared" si="2"/>
        <v/>
      </c>
      <c r="P67" s="5" t="str">
        <f t="shared" si="3"/>
        <v/>
      </c>
      <c r="Q67" s="5" t="str">
        <f t="shared" si="4"/>
        <v/>
      </c>
      <c r="R67" s="5" t="str">
        <f t="shared" si="5"/>
        <v/>
      </c>
    </row>
    <row r="68" spans="1:18">
      <c r="A68" s="87"/>
      <c r="B68" s="87"/>
      <c r="C68" s="88"/>
      <c r="D68" s="89"/>
      <c r="E68" s="90"/>
      <c r="F68" s="69"/>
      <c r="G68" s="70"/>
      <c r="H68" s="71"/>
      <c r="I68" s="66"/>
      <c r="J68" s="67"/>
      <c r="K68" s="145" t="str">
        <f t="shared" si="0"/>
        <v/>
      </c>
      <c r="L68" s="64"/>
      <c r="M68" s="64"/>
      <c r="N68" s="152" t="str">
        <f t="shared" si="1"/>
        <v/>
      </c>
      <c r="O68" s="158" t="str">
        <f t="shared" si="2"/>
        <v/>
      </c>
      <c r="P68" s="5" t="str">
        <f t="shared" si="3"/>
        <v/>
      </c>
      <c r="Q68" s="5" t="str">
        <f t="shared" si="4"/>
        <v/>
      </c>
      <c r="R68" s="5" t="str">
        <f t="shared" si="5"/>
        <v/>
      </c>
    </row>
    <row r="69" spans="1:18">
      <c r="A69" s="87"/>
      <c r="B69" s="87"/>
      <c r="C69" s="88"/>
      <c r="D69" s="89"/>
      <c r="E69" s="90"/>
      <c r="F69" s="69"/>
      <c r="G69" s="70"/>
      <c r="H69" s="71"/>
      <c r="I69" s="66"/>
      <c r="J69" s="67"/>
      <c r="K69" s="145" t="str">
        <f t="shared" si="0"/>
        <v/>
      </c>
      <c r="L69" s="64"/>
      <c r="M69" s="64"/>
      <c r="N69" s="152" t="str">
        <f t="shared" si="1"/>
        <v/>
      </c>
      <c r="O69" s="158" t="str">
        <f t="shared" si="2"/>
        <v/>
      </c>
      <c r="P69" s="5" t="str">
        <f t="shared" si="3"/>
        <v/>
      </c>
      <c r="Q69" s="5" t="str">
        <f t="shared" si="4"/>
        <v/>
      </c>
      <c r="R69" s="5" t="str">
        <f t="shared" si="5"/>
        <v/>
      </c>
    </row>
    <row r="70" spans="1:18">
      <c r="A70" s="87"/>
      <c r="B70" s="87"/>
      <c r="C70" s="88"/>
      <c r="D70" s="89"/>
      <c r="E70" s="90"/>
      <c r="F70" s="69"/>
      <c r="G70" s="70"/>
      <c r="H70" s="71"/>
      <c r="I70" s="66"/>
      <c r="J70" s="67"/>
      <c r="K70" s="145" t="str">
        <f t="shared" si="0"/>
        <v/>
      </c>
      <c r="L70" s="64"/>
      <c r="M70" s="64"/>
      <c r="N70" s="152" t="str">
        <f t="shared" si="1"/>
        <v/>
      </c>
      <c r="O70" s="158" t="str">
        <f t="shared" si="2"/>
        <v/>
      </c>
      <c r="P70" s="5" t="str">
        <f t="shared" si="3"/>
        <v/>
      </c>
      <c r="Q70" s="5" t="str">
        <f t="shared" si="4"/>
        <v/>
      </c>
      <c r="R70" s="5" t="str">
        <f t="shared" si="5"/>
        <v/>
      </c>
    </row>
    <row r="71" spans="1:18">
      <c r="A71" s="87"/>
      <c r="B71" s="87"/>
      <c r="C71" s="88"/>
      <c r="D71" s="89"/>
      <c r="E71" s="90"/>
      <c r="F71" s="69"/>
      <c r="G71" s="70"/>
      <c r="H71" s="71"/>
      <c r="I71" s="66"/>
      <c r="J71" s="67"/>
      <c r="K71" s="145" t="str">
        <f t="shared" ref="K71:K134" si="6">IF($C71="","",IF($I71+$J71=0,0,$I71/($I71+$J71)))</f>
        <v/>
      </c>
      <c r="L71" s="64"/>
      <c r="M71" s="64"/>
      <c r="N71" s="152" t="str">
        <f t="shared" ref="N71:N134" si="7">IF($C71="","",($L71-($M71/2)))</f>
        <v/>
      </c>
      <c r="O71" s="158" t="str">
        <f t="shared" ref="O71:O134" si="8">IF(C71="","",IF(TRIM($B71)="beginning",(((SUM($P71:$R71)-6087)/1685)*40)+360,IF(TRIM($B71)="middle",(((SUM($P71:$R71)-6087)/1685)*40)+400,IF(TRIM($B71)="end",(((SUM($P71:$R71)-6087)/1685)*40)+440,""))))</f>
        <v/>
      </c>
      <c r="P71" s="5" t="str">
        <f t="shared" ref="P71:P134" si="9">IF($C71="","",I71*40.71)</f>
        <v/>
      </c>
      <c r="Q71" s="5" t="str">
        <f t="shared" ref="Q71:Q134" si="10">IF($C71="","",K71*0.05)</f>
        <v/>
      </c>
      <c r="R71" s="5" t="str">
        <f t="shared" ref="R71:R134" si="11">IF($C71="","",N71*5.03)</f>
        <v/>
      </c>
    </row>
    <row r="72" spans="1:18">
      <c r="A72" s="87"/>
      <c r="B72" s="87"/>
      <c r="C72" s="88"/>
      <c r="D72" s="89"/>
      <c r="E72" s="90"/>
      <c r="F72" s="69"/>
      <c r="G72" s="70"/>
      <c r="H72" s="71"/>
      <c r="I72" s="66"/>
      <c r="J72" s="67"/>
      <c r="K72" s="145" t="str">
        <f t="shared" si="6"/>
        <v/>
      </c>
      <c r="L72" s="64"/>
      <c r="M72" s="64"/>
      <c r="N72" s="152" t="str">
        <f t="shared" si="7"/>
        <v/>
      </c>
      <c r="O72" s="158"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2" t="str">
        <f t="shared" si="7"/>
        <v/>
      </c>
      <c r="O73" s="158"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2" t="str">
        <f t="shared" si="7"/>
        <v/>
      </c>
      <c r="O74" s="158"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2" t="str">
        <f t="shared" si="7"/>
        <v/>
      </c>
      <c r="O75" s="158"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2" t="str">
        <f t="shared" si="7"/>
        <v/>
      </c>
      <c r="O76" s="158"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2" t="str">
        <f t="shared" si="7"/>
        <v/>
      </c>
      <c r="O77" s="158"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2" t="str">
        <f t="shared" si="7"/>
        <v/>
      </c>
      <c r="O78" s="158"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2" t="str">
        <f t="shared" si="7"/>
        <v/>
      </c>
      <c r="O79" s="158"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2" t="str">
        <f t="shared" si="7"/>
        <v/>
      </c>
      <c r="O80" s="158"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2" t="str">
        <f t="shared" si="7"/>
        <v/>
      </c>
      <c r="O81" s="158"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2" t="str">
        <f t="shared" si="7"/>
        <v/>
      </c>
      <c r="O82" s="158"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2" t="str">
        <f t="shared" si="7"/>
        <v/>
      </c>
      <c r="O83" s="158"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2" t="str">
        <f t="shared" si="7"/>
        <v/>
      </c>
      <c r="O84" s="158"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2" t="str">
        <f t="shared" si="7"/>
        <v/>
      </c>
      <c r="O85" s="158"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2" t="str">
        <f t="shared" si="7"/>
        <v/>
      </c>
      <c r="O86" s="158"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2" t="str">
        <f>IF($C87="","",($L87-($M87/2)))</f>
        <v/>
      </c>
      <c r="O87" s="158"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2" t="str">
        <f t="shared" si="7"/>
        <v/>
      </c>
      <c r="O88" s="158"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2" t="str">
        <f t="shared" si="7"/>
        <v/>
      </c>
      <c r="O89" s="158"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2" t="str">
        <f t="shared" si="7"/>
        <v/>
      </c>
      <c r="O90" s="158"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2" t="str">
        <f t="shared" si="7"/>
        <v/>
      </c>
      <c r="O91" s="158"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2" t="str">
        <f t="shared" si="7"/>
        <v/>
      </c>
      <c r="O92" s="158"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2" t="str">
        <f t="shared" si="7"/>
        <v/>
      </c>
      <c r="O93" s="158"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2" t="str">
        <f t="shared" si="7"/>
        <v/>
      </c>
      <c r="O94" s="158"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2" t="str">
        <f t="shared" si="7"/>
        <v/>
      </c>
      <c r="O95" s="158"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2" t="str">
        <f t="shared" si="7"/>
        <v/>
      </c>
      <c r="O96" s="158"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2" t="str">
        <f t="shared" si="7"/>
        <v/>
      </c>
      <c r="O97" s="158"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2" t="str">
        <f t="shared" si="7"/>
        <v/>
      </c>
      <c r="O98" s="158"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2" t="str">
        <f t="shared" si="7"/>
        <v/>
      </c>
      <c r="O99" s="158"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2" t="str">
        <f t="shared" si="7"/>
        <v/>
      </c>
      <c r="O100" s="158"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2" t="str">
        <f t="shared" si="7"/>
        <v/>
      </c>
      <c r="O101" s="158"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2" t="str">
        <f t="shared" si="7"/>
        <v/>
      </c>
      <c r="O102" s="158"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2" t="str">
        <f t="shared" si="7"/>
        <v/>
      </c>
      <c r="O103" s="158"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2" t="str">
        <f t="shared" si="7"/>
        <v/>
      </c>
      <c r="O104" s="158"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2" t="str">
        <f t="shared" si="7"/>
        <v/>
      </c>
      <c r="O105" s="158"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2" t="str">
        <f t="shared" si="7"/>
        <v/>
      </c>
      <c r="O106" s="158"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2" t="str">
        <f t="shared" si="7"/>
        <v/>
      </c>
      <c r="O107" s="158"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2" t="str">
        <f t="shared" si="7"/>
        <v/>
      </c>
      <c r="O108" s="158"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2" t="str">
        <f t="shared" si="7"/>
        <v/>
      </c>
      <c r="O109" s="158"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2" t="str">
        <f t="shared" si="7"/>
        <v/>
      </c>
      <c r="O110" s="158"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2" t="str">
        <f t="shared" si="7"/>
        <v/>
      </c>
      <c r="O111" s="158"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2" t="str">
        <f t="shared" si="7"/>
        <v/>
      </c>
      <c r="O112" s="158"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2" t="str">
        <f t="shared" si="7"/>
        <v/>
      </c>
      <c r="O113" s="158"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2" t="str">
        <f t="shared" si="7"/>
        <v/>
      </c>
      <c r="O114" s="158"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2" t="str">
        <f t="shared" si="7"/>
        <v/>
      </c>
      <c r="O115" s="158"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2" t="str">
        <f t="shared" si="7"/>
        <v/>
      </c>
      <c r="O116" s="158"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2" t="str">
        <f t="shared" si="7"/>
        <v/>
      </c>
      <c r="O117" s="158"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2" t="str">
        <f t="shared" si="7"/>
        <v/>
      </c>
      <c r="O118" s="158"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2" t="str">
        <f t="shared" si="7"/>
        <v/>
      </c>
      <c r="O119" s="158"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2" t="str">
        <f t="shared" si="7"/>
        <v/>
      </c>
      <c r="O120" s="158"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2" t="str">
        <f t="shared" si="7"/>
        <v/>
      </c>
      <c r="O121" s="158"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2" t="str">
        <f t="shared" si="7"/>
        <v/>
      </c>
      <c r="O122" s="158"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2" t="str">
        <f t="shared" si="7"/>
        <v/>
      </c>
      <c r="O123" s="158"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2" t="str">
        <f t="shared" si="7"/>
        <v/>
      </c>
      <c r="O124" s="158"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2" t="str">
        <f t="shared" si="7"/>
        <v/>
      </c>
      <c r="O125" s="158"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2" t="str">
        <f t="shared" si="7"/>
        <v/>
      </c>
      <c r="O126" s="158"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2" t="str">
        <f t="shared" si="7"/>
        <v/>
      </c>
      <c r="O127" s="158"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2" t="str">
        <f t="shared" si="7"/>
        <v/>
      </c>
      <c r="O128" s="158"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2" t="str">
        <f t="shared" si="7"/>
        <v/>
      </c>
      <c r="O129" s="158"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2" t="str">
        <f t="shared" si="7"/>
        <v/>
      </c>
      <c r="O130" s="158"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2" t="str">
        <f t="shared" si="7"/>
        <v/>
      </c>
      <c r="O131" s="158"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2" t="str">
        <f t="shared" si="7"/>
        <v/>
      </c>
      <c r="O132" s="158"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2" t="str">
        <f t="shared" si="7"/>
        <v/>
      </c>
      <c r="O133" s="158"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2" t="str">
        <f t="shared" si="7"/>
        <v/>
      </c>
      <c r="O134" s="158"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2" t="str">
        <f t="shared" ref="N135:N198" si="13">IF($C135="","",($L135-($M135/2)))</f>
        <v/>
      </c>
      <c r="O135" s="158" t="str">
        <f t="shared" ref="O135:O198" si="14">IF(C135="","",IF(TRIM($B135)="beginning",(((SUM($P135:$R135)-6087)/1685)*40)+360,IF(TRIM($B135)="middle",(((SUM($P135:$R135)-6087)/1685)*40)+400,IF(TRIM($B135)="end",(((SUM($P135:$R135)-6087)/1685)*40)+440,""))))</f>
        <v/>
      </c>
      <c r="P135" s="5" t="str">
        <f t="shared" ref="P135:P198" si="15">IF($C135="","",I135*40.71)</f>
        <v/>
      </c>
      <c r="Q135" s="5" t="str">
        <f t="shared" ref="Q135:Q198" si="16">IF($C135="","",K135*0.05)</f>
        <v/>
      </c>
      <c r="R135" s="5" t="str">
        <f t="shared" ref="R135:R198" si="17">IF($C135="","",N135*5.03)</f>
        <v/>
      </c>
    </row>
    <row r="136" spans="1:18">
      <c r="A136" s="91"/>
      <c r="B136" s="92"/>
      <c r="C136" s="69"/>
      <c r="D136" s="69"/>
      <c r="E136" s="69"/>
      <c r="F136" s="69"/>
      <c r="G136" s="70"/>
      <c r="H136" s="71"/>
      <c r="I136" s="66"/>
      <c r="J136" s="67"/>
      <c r="K136" s="145" t="str">
        <f t="shared" si="12"/>
        <v/>
      </c>
      <c r="L136" s="64"/>
      <c r="M136" s="64"/>
      <c r="N136" s="152" t="str">
        <f t="shared" si="13"/>
        <v/>
      </c>
      <c r="O136" s="158"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2" t="str">
        <f t="shared" si="13"/>
        <v/>
      </c>
      <c r="O137" s="158"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2" t="str">
        <f t="shared" si="13"/>
        <v/>
      </c>
      <c r="O138" s="158"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2" t="str">
        <f t="shared" si="13"/>
        <v/>
      </c>
      <c r="O139" s="158"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2" t="str">
        <f t="shared" si="13"/>
        <v/>
      </c>
      <c r="O140" s="158"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2" t="str">
        <f t="shared" si="13"/>
        <v/>
      </c>
      <c r="O141" s="158"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2" t="str">
        <f t="shared" si="13"/>
        <v/>
      </c>
      <c r="O142" s="158"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2" t="str">
        <f t="shared" si="13"/>
        <v/>
      </c>
      <c r="O143" s="158"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2" t="str">
        <f t="shared" si="13"/>
        <v/>
      </c>
      <c r="O144" s="158"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2" t="str">
        <f t="shared" si="13"/>
        <v/>
      </c>
      <c r="O145" s="158"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2" t="str">
        <f t="shared" si="13"/>
        <v/>
      </c>
      <c r="O146" s="158"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2" t="str">
        <f t="shared" si="13"/>
        <v/>
      </c>
      <c r="O147" s="158"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2" t="str">
        <f t="shared" si="13"/>
        <v/>
      </c>
      <c r="O148" s="158"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2" t="str">
        <f t="shared" si="13"/>
        <v/>
      </c>
      <c r="O149" s="158"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2" t="str">
        <f t="shared" si="13"/>
        <v/>
      </c>
      <c r="O150" s="158"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2" t="str">
        <f t="shared" si="13"/>
        <v/>
      </c>
      <c r="O151" s="158"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2" t="str">
        <f t="shared" si="13"/>
        <v/>
      </c>
      <c r="O152" s="158"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2" t="str">
        <f t="shared" si="13"/>
        <v/>
      </c>
      <c r="O153" s="158"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2" t="str">
        <f t="shared" si="13"/>
        <v/>
      </c>
      <c r="O154" s="158"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2" t="str">
        <f t="shared" si="13"/>
        <v/>
      </c>
      <c r="O155" s="158"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2" t="str">
        <f t="shared" si="13"/>
        <v/>
      </c>
      <c r="O156" s="158"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2" t="str">
        <f t="shared" si="13"/>
        <v/>
      </c>
      <c r="O157" s="158"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2" t="str">
        <f t="shared" si="13"/>
        <v/>
      </c>
      <c r="O158" s="158"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2" t="str">
        <f t="shared" si="13"/>
        <v/>
      </c>
      <c r="O159" s="158"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2" t="str">
        <f t="shared" si="13"/>
        <v/>
      </c>
      <c r="O160" s="158"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2" t="str">
        <f t="shared" si="13"/>
        <v/>
      </c>
      <c r="O161" s="158"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2" t="str">
        <f t="shared" si="13"/>
        <v/>
      </c>
      <c r="O162" s="158"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2" t="str">
        <f t="shared" si="13"/>
        <v/>
      </c>
      <c r="O163" s="158"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2" t="str">
        <f t="shared" si="13"/>
        <v/>
      </c>
      <c r="O164" s="158"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2" t="str">
        <f t="shared" si="13"/>
        <v/>
      </c>
      <c r="O165" s="158"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2" t="str">
        <f t="shared" si="13"/>
        <v/>
      </c>
      <c r="O166" s="158"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2" t="str">
        <f t="shared" si="13"/>
        <v/>
      </c>
      <c r="O167" s="158"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2" t="str">
        <f t="shared" si="13"/>
        <v/>
      </c>
      <c r="O168" s="158"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2" t="str">
        <f t="shared" si="13"/>
        <v/>
      </c>
      <c r="O169" s="158"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2" t="str">
        <f t="shared" si="13"/>
        <v/>
      </c>
      <c r="O170" s="158"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2" t="str">
        <f t="shared" si="13"/>
        <v/>
      </c>
      <c r="O171" s="158"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2" t="str">
        <f t="shared" si="13"/>
        <v/>
      </c>
      <c r="O172" s="158"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2" t="str">
        <f t="shared" si="13"/>
        <v/>
      </c>
      <c r="O173" s="158"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2" t="str">
        <f t="shared" si="13"/>
        <v/>
      </c>
      <c r="O174" s="158"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2" t="str">
        <f t="shared" si="13"/>
        <v/>
      </c>
      <c r="O175" s="158"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2" t="str">
        <f t="shared" si="13"/>
        <v/>
      </c>
      <c r="O176" s="158"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2" t="str">
        <f t="shared" si="13"/>
        <v/>
      </c>
      <c r="O177" s="158"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2" t="str">
        <f t="shared" si="13"/>
        <v/>
      </c>
      <c r="O178" s="158"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2" t="str">
        <f t="shared" si="13"/>
        <v/>
      </c>
      <c r="O179" s="158"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2" t="str">
        <f t="shared" si="13"/>
        <v/>
      </c>
      <c r="O180" s="158"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2" t="str">
        <f t="shared" si="13"/>
        <v/>
      </c>
      <c r="O181" s="158"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2" t="str">
        <f t="shared" si="13"/>
        <v/>
      </c>
      <c r="O182" s="158"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2" t="str">
        <f t="shared" si="13"/>
        <v/>
      </c>
      <c r="O183" s="158"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2" t="str">
        <f t="shared" si="13"/>
        <v/>
      </c>
      <c r="O184" s="158"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2" t="str">
        <f t="shared" si="13"/>
        <v/>
      </c>
      <c r="O185" s="158"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2" t="str">
        <f t="shared" si="13"/>
        <v/>
      </c>
      <c r="O186" s="158"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2" t="str">
        <f t="shared" si="13"/>
        <v/>
      </c>
      <c r="O187" s="158"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2" t="str">
        <f t="shared" si="13"/>
        <v/>
      </c>
      <c r="O188" s="158"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2" t="str">
        <f t="shared" si="13"/>
        <v/>
      </c>
      <c r="O189" s="158"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2" t="str">
        <f t="shared" si="13"/>
        <v/>
      </c>
      <c r="O190" s="158"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2" t="str">
        <f t="shared" si="13"/>
        <v/>
      </c>
      <c r="O191" s="158"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2" t="str">
        <f t="shared" si="13"/>
        <v/>
      </c>
      <c r="O192" s="158"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2" t="str">
        <f t="shared" si="13"/>
        <v/>
      </c>
      <c r="O193" s="158"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2" t="str">
        <f t="shared" si="13"/>
        <v/>
      </c>
      <c r="O194" s="158"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2" t="str">
        <f t="shared" si="13"/>
        <v/>
      </c>
      <c r="O195" s="158"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2" t="str">
        <f t="shared" si="13"/>
        <v/>
      </c>
      <c r="O196" s="158"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2" t="str">
        <f t="shared" si="13"/>
        <v/>
      </c>
      <c r="O197" s="158"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2" t="str">
        <f t="shared" si="13"/>
        <v/>
      </c>
      <c r="O198" s="158"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2" t="str">
        <f t="shared" ref="N199:N262" si="19">IF($C199="","",($L199-($M199/2)))</f>
        <v/>
      </c>
      <c r="O199" s="158" t="str">
        <f t="shared" ref="O199:O262" si="20">IF(C199="","",IF(TRIM($B199)="beginning",(((SUM($P199:$R199)-6087)/1685)*40)+360,IF(TRIM($B199)="middle",(((SUM($P199:$R199)-6087)/1685)*40)+400,IF(TRIM($B199)="end",(((SUM($P199:$R199)-6087)/1685)*40)+440,""))))</f>
        <v/>
      </c>
      <c r="P199" s="5" t="str">
        <f t="shared" ref="P199:P262" si="21">IF($C199="","",I199*40.71)</f>
        <v/>
      </c>
      <c r="Q199" s="5" t="str">
        <f t="shared" ref="Q199:Q262" si="22">IF($C199="","",K199*0.05)</f>
        <v/>
      </c>
      <c r="R199" s="5" t="str">
        <f t="shared" ref="R199:R262" si="23">IF($C199="","",N199*5.03)</f>
        <v/>
      </c>
    </row>
    <row r="200" spans="1:18">
      <c r="A200" s="91"/>
      <c r="B200" s="92"/>
      <c r="C200" s="69"/>
      <c r="D200" s="69"/>
      <c r="E200" s="69"/>
      <c r="F200" s="69"/>
      <c r="G200" s="70"/>
      <c r="H200" s="71"/>
      <c r="I200" s="66"/>
      <c r="J200" s="67"/>
      <c r="K200" s="145" t="str">
        <f t="shared" si="18"/>
        <v/>
      </c>
      <c r="L200" s="64"/>
      <c r="M200" s="64"/>
      <c r="N200" s="152" t="str">
        <f t="shared" si="19"/>
        <v/>
      </c>
      <c r="O200" s="158"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2" t="str">
        <f t="shared" si="19"/>
        <v/>
      </c>
      <c r="O201" s="158"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2" t="str">
        <f t="shared" si="19"/>
        <v/>
      </c>
      <c r="O202" s="158"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2" t="str">
        <f t="shared" si="19"/>
        <v/>
      </c>
      <c r="O203" s="158"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2" t="str">
        <f t="shared" si="19"/>
        <v/>
      </c>
      <c r="O204" s="158"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2" t="str">
        <f t="shared" si="19"/>
        <v/>
      </c>
      <c r="O205" s="158"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2" t="str">
        <f t="shared" si="19"/>
        <v/>
      </c>
      <c r="O206" s="158"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2" t="str">
        <f t="shared" si="19"/>
        <v/>
      </c>
      <c r="O207" s="158"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2" t="str">
        <f t="shared" si="19"/>
        <v/>
      </c>
      <c r="O208" s="158"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2" t="str">
        <f t="shared" si="19"/>
        <v/>
      </c>
      <c r="O209" s="158"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2" t="str">
        <f t="shared" si="19"/>
        <v/>
      </c>
      <c r="O210" s="158"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2" t="str">
        <f t="shared" si="19"/>
        <v/>
      </c>
      <c r="O211" s="158"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2" t="str">
        <f t="shared" si="19"/>
        <v/>
      </c>
      <c r="O212" s="158"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2" t="str">
        <f t="shared" si="19"/>
        <v/>
      </c>
      <c r="O213" s="158"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2" t="str">
        <f t="shared" si="19"/>
        <v/>
      </c>
      <c r="O214" s="158"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2" t="str">
        <f t="shared" si="19"/>
        <v/>
      </c>
      <c r="O215" s="158"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2" t="str">
        <f t="shared" si="19"/>
        <v/>
      </c>
      <c r="O216" s="158"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2" t="str">
        <f t="shared" si="19"/>
        <v/>
      </c>
      <c r="O217" s="158"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2" t="str">
        <f t="shared" si="19"/>
        <v/>
      </c>
      <c r="O218" s="158"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2" t="str">
        <f t="shared" si="19"/>
        <v/>
      </c>
      <c r="O219" s="158"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2" t="str">
        <f t="shared" si="19"/>
        <v/>
      </c>
      <c r="O220" s="158"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2" t="str">
        <f t="shared" si="19"/>
        <v/>
      </c>
      <c r="O221" s="158"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2" t="str">
        <f t="shared" si="19"/>
        <v/>
      </c>
      <c r="O222" s="158"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2" t="str">
        <f t="shared" si="19"/>
        <v/>
      </c>
      <c r="O223" s="158"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2" t="str">
        <f t="shared" si="19"/>
        <v/>
      </c>
      <c r="O224" s="158"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2" t="str">
        <f t="shared" si="19"/>
        <v/>
      </c>
      <c r="O225" s="158"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2" t="str">
        <f t="shared" si="19"/>
        <v/>
      </c>
      <c r="O226" s="158"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2" t="str">
        <f t="shared" si="19"/>
        <v/>
      </c>
      <c r="O227" s="158"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2" t="str">
        <f t="shared" si="19"/>
        <v/>
      </c>
      <c r="O228" s="158"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2" t="str">
        <f t="shared" si="19"/>
        <v/>
      </c>
      <c r="O229" s="158"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2" t="str">
        <f t="shared" si="19"/>
        <v/>
      </c>
      <c r="O230" s="158"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2" t="str">
        <f t="shared" si="19"/>
        <v/>
      </c>
      <c r="O231" s="158"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2" t="str">
        <f t="shared" si="19"/>
        <v/>
      </c>
      <c r="O232" s="158"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2" t="str">
        <f t="shared" si="19"/>
        <v/>
      </c>
      <c r="O233" s="158"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2" t="str">
        <f t="shared" si="19"/>
        <v/>
      </c>
      <c r="O234" s="158"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2" t="str">
        <f t="shared" si="19"/>
        <v/>
      </c>
      <c r="O235" s="158"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2" t="str">
        <f t="shared" si="19"/>
        <v/>
      </c>
      <c r="O236" s="158"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2" t="str">
        <f t="shared" si="19"/>
        <v/>
      </c>
      <c r="O237" s="158"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2" t="str">
        <f t="shared" si="19"/>
        <v/>
      </c>
      <c r="O238" s="158"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2" t="str">
        <f t="shared" si="19"/>
        <v/>
      </c>
      <c r="O239" s="158"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2" t="str">
        <f t="shared" si="19"/>
        <v/>
      </c>
      <c r="O240" s="158"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2" t="str">
        <f t="shared" si="19"/>
        <v/>
      </c>
      <c r="O241" s="158"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2" t="str">
        <f t="shared" si="19"/>
        <v/>
      </c>
      <c r="O242" s="158"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2" t="str">
        <f t="shared" si="19"/>
        <v/>
      </c>
      <c r="O243" s="158"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2" t="str">
        <f t="shared" si="19"/>
        <v/>
      </c>
      <c r="O244" s="158"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2" t="str">
        <f t="shared" si="19"/>
        <v/>
      </c>
      <c r="O245" s="158"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2" t="str">
        <f t="shared" si="19"/>
        <v/>
      </c>
      <c r="O246" s="158"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2" t="str">
        <f t="shared" si="19"/>
        <v/>
      </c>
      <c r="O247" s="158"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2" t="str">
        <f t="shared" si="19"/>
        <v/>
      </c>
      <c r="O248" s="158"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2" t="str">
        <f t="shared" si="19"/>
        <v/>
      </c>
      <c r="O249" s="158"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2" t="str">
        <f t="shared" si="19"/>
        <v/>
      </c>
      <c r="O250" s="158"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2" t="str">
        <f t="shared" si="19"/>
        <v/>
      </c>
      <c r="O251" s="158"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2" t="str">
        <f t="shared" si="19"/>
        <v/>
      </c>
      <c r="O252" s="158"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2" t="str">
        <f t="shared" si="19"/>
        <v/>
      </c>
      <c r="O253" s="158"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2" t="str">
        <f t="shared" si="19"/>
        <v/>
      </c>
      <c r="O254" s="158"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2" t="str">
        <f t="shared" si="19"/>
        <v/>
      </c>
      <c r="O255" s="158"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2" t="str">
        <f t="shared" si="19"/>
        <v/>
      </c>
      <c r="O256" s="158"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2" t="str">
        <f t="shared" si="19"/>
        <v/>
      </c>
      <c r="O257" s="158"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2" t="str">
        <f t="shared" si="19"/>
        <v/>
      </c>
      <c r="O258" s="158"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2" t="str">
        <f t="shared" si="19"/>
        <v/>
      </c>
      <c r="O259" s="158"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2" t="str">
        <f t="shared" si="19"/>
        <v/>
      </c>
      <c r="O260" s="158"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2" t="str">
        <f t="shared" si="19"/>
        <v/>
      </c>
      <c r="O261" s="158"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2" t="str">
        <f t="shared" si="19"/>
        <v/>
      </c>
      <c r="O262" s="158"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2" t="str">
        <f t="shared" ref="N263:N326" si="25">IF($C263="","",($L263-($M263/2)))</f>
        <v/>
      </c>
      <c r="O263" s="158" t="str">
        <f t="shared" ref="O263:O326" si="26">IF(C263="","",IF(TRIM($B263)="beginning",(((SUM($P263:$R263)-6087)/1685)*40)+360,IF(TRIM($B263)="middle",(((SUM($P263:$R263)-6087)/1685)*40)+400,IF(TRIM($B263)="end",(((SUM($P263:$R263)-6087)/1685)*40)+440,""))))</f>
        <v/>
      </c>
      <c r="P263" s="5" t="str">
        <f t="shared" ref="P263:P326" si="27">IF($C263="","",I263*40.71)</f>
        <v/>
      </c>
      <c r="Q263" s="5" t="str">
        <f t="shared" ref="Q263:Q326" si="28">IF($C263="","",K263*0.05)</f>
        <v/>
      </c>
      <c r="R263" s="5" t="str">
        <f t="shared" ref="R263:R326" si="29">IF($C263="","",N263*5.03)</f>
        <v/>
      </c>
    </row>
    <row r="264" spans="1:18">
      <c r="A264" s="91"/>
      <c r="B264" s="92"/>
      <c r="C264" s="69"/>
      <c r="D264" s="69"/>
      <c r="E264" s="69"/>
      <c r="F264" s="69"/>
      <c r="G264" s="70"/>
      <c r="H264" s="71"/>
      <c r="I264" s="66"/>
      <c r="J264" s="67"/>
      <c r="K264" s="145" t="str">
        <f t="shared" si="24"/>
        <v/>
      </c>
      <c r="L264" s="64"/>
      <c r="M264" s="64"/>
      <c r="N264" s="152" t="str">
        <f t="shared" si="25"/>
        <v/>
      </c>
      <c r="O264" s="158"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2" t="str">
        <f t="shared" si="25"/>
        <v/>
      </c>
      <c r="O265" s="158"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2" t="str">
        <f t="shared" si="25"/>
        <v/>
      </c>
      <c r="O266" s="158"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2" t="str">
        <f t="shared" si="25"/>
        <v/>
      </c>
      <c r="O267" s="158"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2" t="str">
        <f t="shared" si="25"/>
        <v/>
      </c>
      <c r="O268" s="158"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2" t="str">
        <f t="shared" si="25"/>
        <v/>
      </c>
      <c r="O269" s="158"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2" t="str">
        <f t="shared" si="25"/>
        <v/>
      </c>
      <c r="O270" s="158"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2" t="str">
        <f t="shared" si="25"/>
        <v/>
      </c>
      <c r="O271" s="158"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2" t="str">
        <f t="shared" si="25"/>
        <v/>
      </c>
      <c r="O272" s="158"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2" t="str">
        <f t="shared" si="25"/>
        <v/>
      </c>
      <c r="O273" s="158"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2" t="str">
        <f t="shared" si="25"/>
        <v/>
      </c>
      <c r="O274" s="158"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2" t="str">
        <f t="shared" si="25"/>
        <v/>
      </c>
      <c r="O275" s="158"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2" t="str">
        <f t="shared" si="25"/>
        <v/>
      </c>
      <c r="O276" s="158"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2" t="str">
        <f t="shared" si="25"/>
        <v/>
      </c>
      <c r="O277" s="158"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2" t="str">
        <f t="shared" si="25"/>
        <v/>
      </c>
      <c r="O278" s="158"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2" t="str">
        <f t="shared" si="25"/>
        <v/>
      </c>
      <c r="O279" s="158"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2" t="str">
        <f t="shared" si="25"/>
        <v/>
      </c>
      <c r="O280" s="158"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2" t="str">
        <f t="shared" si="25"/>
        <v/>
      </c>
      <c r="O281" s="158"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2" t="str">
        <f t="shared" si="25"/>
        <v/>
      </c>
      <c r="O282" s="158"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2" t="str">
        <f t="shared" si="25"/>
        <v/>
      </c>
      <c r="O283" s="158"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2" t="str">
        <f t="shared" si="25"/>
        <v/>
      </c>
      <c r="O284" s="158"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2" t="str">
        <f t="shared" si="25"/>
        <v/>
      </c>
      <c r="O285" s="158"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2" t="str">
        <f t="shared" si="25"/>
        <v/>
      </c>
      <c r="O286" s="158"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2" t="str">
        <f t="shared" si="25"/>
        <v/>
      </c>
      <c r="O287" s="158"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2" t="str">
        <f t="shared" si="25"/>
        <v/>
      </c>
      <c r="O288" s="158"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2" t="str">
        <f t="shared" si="25"/>
        <v/>
      </c>
      <c r="O289" s="158"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2" t="str">
        <f t="shared" si="25"/>
        <v/>
      </c>
      <c r="O290" s="158"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2" t="str">
        <f t="shared" si="25"/>
        <v/>
      </c>
      <c r="O291" s="158"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2" t="str">
        <f t="shared" si="25"/>
        <v/>
      </c>
      <c r="O292" s="158"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2" t="str">
        <f t="shared" si="25"/>
        <v/>
      </c>
      <c r="O293" s="158"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2" t="str">
        <f t="shared" si="25"/>
        <v/>
      </c>
      <c r="O294" s="158"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2" t="str">
        <f t="shared" si="25"/>
        <v/>
      </c>
      <c r="O295" s="158"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2" t="str">
        <f t="shared" si="25"/>
        <v/>
      </c>
      <c r="O296" s="158"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2" t="str">
        <f t="shared" si="25"/>
        <v/>
      </c>
      <c r="O297" s="158"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2" t="str">
        <f t="shared" si="25"/>
        <v/>
      </c>
      <c r="O298" s="158"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2" t="str">
        <f t="shared" si="25"/>
        <v/>
      </c>
      <c r="O299" s="158"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2" t="str">
        <f t="shared" si="25"/>
        <v/>
      </c>
      <c r="O300" s="158"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2" t="str">
        <f t="shared" si="25"/>
        <v/>
      </c>
      <c r="O301" s="158"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2" t="str">
        <f t="shared" si="25"/>
        <v/>
      </c>
      <c r="O302" s="158"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2" t="str">
        <f t="shared" si="25"/>
        <v/>
      </c>
      <c r="O303" s="158"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2" t="str">
        <f t="shared" si="25"/>
        <v/>
      </c>
      <c r="O304" s="158"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2" t="str">
        <f t="shared" si="25"/>
        <v/>
      </c>
      <c r="O305" s="158"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2" t="str">
        <f t="shared" si="25"/>
        <v/>
      </c>
      <c r="O306" s="158"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2" t="str">
        <f t="shared" si="25"/>
        <v/>
      </c>
      <c r="O307" s="158"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2" t="str">
        <f t="shared" si="25"/>
        <v/>
      </c>
      <c r="O308" s="158"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2" t="str">
        <f t="shared" si="25"/>
        <v/>
      </c>
      <c r="O309" s="158"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2" t="str">
        <f t="shared" si="25"/>
        <v/>
      </c>
      <c r="O310" s="158"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2" t="str">
        <f t="shared" si="25"/>
        <v/>
      </c>
      <c r="O311" s="158"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2" t="str">
        <f t="shared" si="25"/>
        <v/>
      </c>
      <c r="O312" s="158"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2" t="str">
        <f t="shared" si="25"/>
        <v/>
      </c>
      <c r="O313" s="158"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2" t="str">
        <f t="shared" si="25"/>
        <v/>
      </c>
      <c r="O314" s="158"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2" t="str">
        <f t="shared" si="25"/>
        <v/>
      </c>
      <c r="O315" s="158"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2" t="str">
        <f t="shared" si="25"/>
        <v/>
      </c>
      <c r="O316" s="158"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2" t="str">
        <f t="shared" si="25"/>
        <v/>
      </c>
      <c r="O317" s="158"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2" t="str">
        <f t="shared" si="25"/>
        <v/>
      </c>
      <c r="O318" s="158"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2" t="str">
        <f t="shared" si="25"/>
        <v/>
      </c>
      <c r="O319" s="158"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2" t="str">
        <f t="shared" si="25"/>
        <v/>
      </c>
      <c r="O320" s="158"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2" t="str">
        <f t="shared" si="25"/>
        <v/>
      </c>
      <c r="O321" s="158"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2" t="str">
        <f t="shared" si="25"/>
        <v/>
      </c>
      <c r="O322" s="158"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2" t="str">
        <f t="shared" si="25"/>
        <v/>
      </c>
      <c r="O323" s="158"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2" t="str">
        <f t="shared" si="25"/>
        <v/>
      </c>
      <c r="O324" s="158"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2" t="str">
        <f t="shared" si="25"/>
        <v/>
      </c>
      <c r="O325" s="158"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2" t="str">
        <f t="shared" si="25"/>
        <v/>
      </c>
      <c r="O326" s="158"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2" t="str">
        <f t="shared" ref="N327:N390" si="31">IF($C327="","",($L327-($M327/2)))</f>
        <v/>
      </c>
      <c r="O327" s="158" t="str">
        <f t="shared" ref="O327:O390" si="32">IF(C327="","",IF(TRIM($B327)="beginning",(((SUM($P327:$R327)-6087)/1685)*40)+360,IF(TRIM($B327)="middle",(((SUM($P327:$R327)-6087)/1685)*40)+400,IF(TRIM($B327)="end",(((SUM($P327:$R327)-6087)/1685)*40)+440,""))))</f>
        <v/>
      </c>
      <c r="P327" s="5" t="str">
        <f t="shared" ref="P327:P390" si="33">IF($C327="","",I327*40.71)</f>
        <v/>
      </c>
      <c r="Q327" s="5" t="str">
        <f t="shared" ref="Q327:Q390" si="34">IF($C327="","",K327*0.05)</f>
        <v/>
      </c>
      <c r="R327" s="5" t="str">
        <f t="shared" ref="R327:R390" si="35">IF($C327="","",N327*5.03)</f>
        <v/>
      </c>
    </row>
    <row r="328" spans="1:18">
      <c r="A328" s="91"/>
      <c r="B328" s="92"/>
      <c r="C328" s="69"/>
      <c r="D328" s="69"/>
      <c r="E328" s="69"/>
      <c r="F328" s="69"/>
      <c r="G328" s="70"/>
      <c r="H328" s="71"/>
      <c r="I328" s="66"/>
      <c r="J328" s="67"/>
      <c r="K328" s="145" t="str">
        <f t="shared" si="30"/>
        <v/>
      </c>
      <c r="L328" s="64"/>
      <c r="M328" s="64"/>
      <c r="N328" s="152" t="str">
        <f t="shared" si="31"/>
        <v/>
      </c>
      <c r="O328" s="158"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2" t="str">
        <f t="shared" si="31"/>
        <v/>
      </c>
      <c r="O329" s="158"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2" t="str">
        <f t="shared" si="31"/>
        <v/>
      </c>
      <c r="O330" s="158"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2" t="str">
        <f t="shared" si="31"/>
        <v/>
      </c>
      <c r="O331" s="158"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2" t="str">
        <f t="shared" si="31"/>
        <v/>
      </c>
      <c r="O332" s="158"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2" t="str">
        <f t="shared" si="31"/>
        <v/>
      </c>
      <c r="O333" s="158"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2" t="str">
        <f t="shared" si="31"/>
        <v/>
      </c>
      <c r="O334" s="158"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2" t="str">
        <f t="shared" si="31"/>
        <v/>
      </c>
      <c r="O335" s="158"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2" t="str">
        <f t="shared" si="31"/>
        <v/>
      </c>
      <c r="O336" s="158"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2" t="str">
        <f t="shared" si="31"/>
        <v/>
      </c>
      <c r="O337" s="158"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2" t="str">
        <f t="shared" si="31"/>
        <v/>
      </c>
      <c r="O338" s="158"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2" t="str">
        <f t="shared" si="31"/>
        <v/>
      </c>
      <c r="O339" s="158"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2" t="str">
        <f t="shared" si="31"/>
        <v/>
      </c>
      <c r="O340" s="158"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2" t="str">
        <f t="shared" si="31"/>
        <v/>
      </c>
      <c r="O341" s="158"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2" t="str">
        <f t="shared" si="31"/>
        <v/>
      </c>
      <c r="O342" s="158"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2" t="str">
        <f t="shared" si="31"/>
        <v/>
      </c>
      <c r="O343" s="158"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2" t="str">
        <f t="shared" si="31"/>
        <v/>
      </c>
      <c r="O344" s="158"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2" t="str">
        <f t="shared" si="31"/>
        <v/>
      </c>
      <c r="O345" s="158"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2" t="str">
        <f t="shared" si="31"/>
        <v/>
      </c>
      <c r="O346" s="158"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2" t="str">
        <f t="shared" si="31"/>
        <v/>
      </c>
      <c r="O347" s="158"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2" t="str">
        <f t="shared" si="31"/>
        <v/>
      </c>
      <c r="O348" s="158"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2" t="str">
        <f t="shared" si="31"/>
        <v/>
      </c>
      <c r="O349" s="158"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2" t="str">
        <f t="shared" si="31"/>
        <v/>
      </c>
      <c r="O350" s="158"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2" t="str">
        <f t="shared" si="31"/>
        <v/>
      </c>
      <c r="O351" s="158"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2" t="str">
        <f t="shared" si="31"/>
        <v/>
      </c>
      <c r="O352" s="158"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2" t="str">
        <f t="shared" si="31"/>
        <v/>
      </c>
      <c r="O353" s="158"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2" t="str">
        <f t="shared" si="31"/>
        <v/>
      </c>
      <c r="O354" s="158"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2" t="str">
        <f t="shared" si="31"/>
        <v/>
      </c>
      <c r="O355" s="158"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2" t="str">
        <f t="shared" si="31"/>
        <v/>
      </c>
      <c r="O356" s="158"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2" t="str">
        <f t="shared" si="31"/>
        <v/>
      </c>
      <c r="O357" s="158"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2" t="str">
        <f t="shared" si="31"/>
        <v/>
      </c>
      <c r="O358" s="158"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2" t="str">
        <f t="shared" si="31"/>
        <v/>
      </c>
      <c r="O359" s="158"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2" t="str">
        <f t="shared" si="31"/>
        <v/>
      </c>
      <c r="O360" s="158"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2" t="str">
        <f t="shared" si="31"/>
        <v/>
      </c>
      <c r="O361" s="158"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2" t="str">
        <f t="shared" si="31"/>
        <v/>
      </c>
      <c r="O362" s="158"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2" t="str">
        <f t="shared" si="31"/>
        <v/>
      </c>
      <c r="O363" s="158"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2" t="str">
        <f t="shared" si="31"/>
        <v/>
      </c>
      <c r="O364" s="158"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2" t="str">
        <f t="shared" si="31"/>
        <v/>
      </c>
      <c r="O365" s="158"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2" t="str">
        <f t="shared" si="31"/>
        <v/>
      </c>
      <c r="O366" s="158"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2" t="str">
        <f t="shared" si="31"/>
        <v/>
      </c>
      <c r="O367" s="158"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2" t="str">
        <f t="shared" si="31"/>
        <v/>
      </c>
      <c r="O368" s="158"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2" t="str">
        <f t="shared" si="31"/>
        <v/>
      </c>
      <c r="O369" s="158"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2" t="str">
        <f t="shared" si="31"/>
        <v/>
      </c>
      <c r="O370" s="158"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2" t="str">
        <f t="shared" si="31"/>
        <v/>
      </c>
      <c r="O371" s="158"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2" t="str">
        <f t="shared" si="31"/>
        <v/>
      </c>
      <c r="O372" s="158"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2" t="str">
        <f t="shared" si="31"/>
        <v/>
      </c>
      <c r="O373" s="158"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2" t="str">
        <f t="shared" si="31"/>
        <v/>
      </c>
      <c r="O374" s="158"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2" t="str">
        <f t="shared" si="31"/>
        <v/>
      </c>
      <c r="O375" s="158"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2" t="str">
        <f t="shared" si="31"/>
        <v/>
      </c>
      <c r="O376" s="158"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2" t="str">
        <f t="shared" si="31"/>
        <v/>
      </c>
      <c r="O377" s="158"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2" t="str">
        <f t="shared" si="31"/>
        <v/>
      </c>
      <c r="O378" s="158"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2" t="str">
        <f t="shared" si="31"/>
        <v/>
      </c>
      <c r="O379" s="158"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2" t="str">
        <f t="shared" si="31"/>
        <v/>
      </c>
      <c r="O380" s="158"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2" t="str">
        <f t="shared" si="31"/>
        <v/>
      </c>
      <c r="O381" s="158"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2" t="str">
        <f t="shared" si="31"/>
        <v/>
      </c>
      <c r="O382" s="158"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2" t="str">
        <f t="shared" si="31"/>
        <v/>
      </c>
      <c r="O383" s="158"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2" t="str">
        <f t="shared" si="31"/>
        <v/>
      </c>
      <c r="O384" s="158"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2" t="str">
        <f t="shared" si="31"/>
        <v/>
      </c>
      <c r="O385" s="158"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2" t="str">
        <f t="shared" si="31"/>
        <v/>
      </c>
      <c r="O386" s="158"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2" t="str">
        <f t="shared" si="31"/>
        <v/>
      </c>
      <c r="O387" s="158"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2" t="str">
        <f t="shared" si="31"/>
        <v/>
      </c>
      <c r="O388" s="158"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2" t="str">
        <f t="shared" si="31"/>
        <v/>
      </c>
      <c r="O389" s="158"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2" t="str">
        <f t="shared" si="31"/>
        <v/>
      </c>
      <c r="O390" s="158"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2" t="str">
        <f t="shared" ref="N391:N430" si="37">IF($C391="","",($L391-($M391/2)))</f>
        <v/>
      </c>
      <c r="O391" s="158" t="str">
        <f t="shared" ref="O391:O430" si="38">IF(C391="","",IF(TRIM($B391)="beginning",(((SUM($P391:$R391)-6087)/1685)*40)+360,IF(TRIM($B391)="middle",(((SUM($P391:$R391)-6087)/1685)*40)+400,IF(TRIM($B391)="end",(((SUM($P391:$R391)-6087)/1685)*40)+440,""))))</f>
        <v/>
      </c>
      <c r="P391" s="5" t="str">
        <f t="shared" ref="P391:P430" si="39">IF($C391="","",I391*40.71)</f>
        <v/>
      </c>
      <c r="Q391" s="5" t="str">
        <f t="shared" ref="Q391:Q430" si="40">IF($C391="","",K391*0.05)</f>
        <v/>
      </c>
      <c r="R391" s="5" t="str">
        <f t="shared" ref="R391:R430" si="41">IF($C391="","",N391*5.03)</f>
        <v/>
      </c>
    </row>
    <row r="392" spans="1:18">
      <c r="A392" s="91"/>
      <c r="B392" s="92"/>
      <c r="C392" s="69"/>
      <c r="D392" s="69"/>
      <c r="E392" s="69"/>
      <c r="F392" s="69"/>
      <c r="G392" s="70"/>
      <c r="H392" s="71"/>
      <c r="I392" s="66"/>
      <c r="J392" s="67"/>
      <c r="K392" s="145" t="str">
        <f t="shared" si="36"/>
        <v/>
      </c>
      <c r="L392" s="64"/>
      <c r="M392" s="64"/>
      <c r="N392" s="152" t="str">
        <f t="shared" si="37"/>
        <v/>
      </c>
      <c r="O392" s="158"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2" t="str">
        <f t="shared" si="37"/>
        <v/>
      </c>
      <c r="O393" s="158"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2" t="str">
        <f t="shared" si="37"/>
        <v/>
      </c>
      <c r="O394" s="158"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2" t="str">
        <f t="shared" si="37"/>
        <v/>
      </c>
      <c r="O395" s="158"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2" t="str">
        <f t="shared" si="37"/>
        <v/>
      </c>
      <c r="O396" s="158"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2" t="str">
        <f t="shared" si="37"/>
        <v/>
      </c>
      <c r="O397" s="158"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2" t="str">
        <f t="shared" si="37"/>
        <v/>
      </c>
      <c r="O398" s="158"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2" t="str">
        <f t="shared" si="37"/>
        <v/>
      </c>
      <c r="O399" s="158"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2" t="str">
        <f t="shared" si="37"/>
        <v/>
      </c>
      <c r="O400" s="158"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2" t="str">
        <f t="shared" si="37"/>
        <v/>
      </c>
      <c r="O401" s="158"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2" t="str">
        <f t="shared" si="37"/>
        <v/>
      </c>
      <c r="O402" s="158"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2" t="str">
        <f t="shared" si="37"/>
        <v/>
      </c>
      <c r="O403" s="158"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2" t="str">
        <f t="shared" si="37"/>
        <v/>
      </c>
      <c r="O404" s="158"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2" t="str">
        <f t="shared" si="37"/>
        <v/>
      </c>
      <c r="O405" s="158"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2" t="str">
        <f t="shared" si="37"/>
        <v/>
      </c>
      <c r="O406" s="158"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2" t="str">
        <f t="shared" si="37"/>
        <v/>
      </c>
      <c r="O407" s="158"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2" t="str">
        <f t="shared" si="37"/>
        <v/>
      </c>
      <c r="O408" s="158"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2" t="str">
        <f t="shared" si="37"/>
        <v/>
      </c>
      <c r="O409" s="158"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2" t="str">
        <f t="shared" si="37"/>
        <v/>
      </c>
      <c r="O410" s="158"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2" t="str">
        <f t="shared" si="37"/>
        <v/>
      </c>
      <c r="O411" s="158"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2" t="str">
        <f t="shared" si="37"/>
        <v/>
      </c>
      <c r="O412" s="158"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2" t="str">
        <f t="shared" si="37"/>
        <v/>
      </c>
      <c r="O413" s="158"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2" t="str">
        <f t="shared" si="37"/>
        <v/>
      </c>
      <c r="O414" s="158"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2" t="str">
        <f t="shared" si="37"/>
        <v/>
      </c>
      <c r="O415" s="158"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2" t="str">
        <f t="shared" si="37"/>
        <v/>
      </c>
      <c r="O416" s="158"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2" t="str">
        <f t="shared" si="37"/>
        <v/>
      </c>
      <c r="O417" s="158"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2" t="str">
        <f t="shared" si="37"/>
        <v/>
      </c>
      <c r="O418" s="158"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2" t="str">
        <f t="shared" si="37"/>
        <v/>
      </c>
      <c r="O419" s="158"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2" t="str">
        <f t="shared" si="37"/>
        <v/>
      </c>
      <c r="O420" s="158"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2" t="str">
        <f t="shared" si="37"/>
        <v/>
      </c>
      <c r="O421" s="158"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2" t="str">
        <f t="shared" si="37"/>
        <v/>
      </c>
      <c r="O422" s="158"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2" t="str">
        <f t="shared" si="37"/>
        <v/>
      </c>
      <c r="O423" s="158"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2" t="str">
        <f t="shared" si="37"/>
        <v/>
      </c>
      <c r="O424" s="158"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2" t="str">
        <f t="shared" si="37"/>
        <v/>
      </c>
      <c r="O425" s="158"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2" t="str">
        <f t="shared" si="37"/>
        <v/>
      </c>
      <c r="O426" s="158"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2" t="str">
        <f t="shared" si="37"/>
        <v/>
      </c>
      <c r="O427" s="158"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2" t="str">
        <f t="shared" si="37"/>
        <v/>
      </c>
      <c r="O428" s="158"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2" t="str">
        <f t="shared" si="37"/>
        <v/>
      </c>
      <c r="O429" s="158"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5" t="str">
        <f t="shared" si="36"/>
        <v/>
      </c>
      <c r="L430" s="153"/>
      <c r="M430" s="153"/>
      <c r="N430" s="154" t="str">
        <f t="shared" si="37"/>
        <v/>
      </c>
      <c r="O430" s="158"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z7hva/UeHobH4ec5eLYJAFCQB0k/21dYJCvIiglw/TK69kWczVpSBrako1CbITY56D/JAwvAMTztPZffa49Bhw==" saltValue="2kYmELKlGFgLr2I75jEmcg=="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D3B3-6B83-9A4C-8B77-DD0DE858DD7B}">
  <dimension ref="A1:R439"/>
  <sheetViews>
    <sheetView tabSelected="1" workbookViewId="0">
      <selection activeCell="D13" sqref="D1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7" width="3.42578125" style="5" hidden="1" customWidth="1"/>
    <col min="18" max="18" width="4" style="5" hidden="1" customWidth="1"/>
    <col min="19" max="16384" width="10" style="5"/>
  </cols>
  <sheetData>
    <row r="1" spans="1:18" ht="30" customHeight="1" thickBot="1">
      <c r="A1" s="213" t="s">
        <v>17</v>
      </c>
      <c r="B1" s="214"/>
      <c r="C1" s="214"/>
      <c r="D1" s="214"/>
      <c r="E1" s="214"/>
      <c r="F1" s="214"/>
      <c r="G1" s="214"/>
      <c r="H1" s="215"/>
    </row>
    <row r="2" spans="1:18" ht="12" customHeight="1" thickBot="1">
      <c r="D2" s="79"/>
    </row>
    <row r="3" spans="1:18" s="175" customFormat="1" ht="15.75" thickBot="1">
      <c r="A3" s="170" t="s">
        <v>5</v>
      </c>
      <c r="B3" s="171" t="s">
        <v>5</v>
      </c>
      <c r="C3" s="171" t="s">
        <v>5</v>
      </c>
      <c r="D3" s="171" t="s">
        <v>5</v>
      </c>
      <c r="E3" s="171" t="s">
        <v>5</v>
      </c>
      <c r="F3" s="172" t="s">
        <v>4</v>
      </c>
      <c r="G3" s="172" t="s">
        <v>4</v>
      </c>
      <c r="H3" s="173" t="s">
        <v>4</v>
      </c>
      <c r="I3" s="224" t="s">
        <v>5</v>
      </c>
      <c r="J3" s="222"/>
      <c r="K3" s="223"/>
      <c r="L3" s="221" t="s">
        <v>5</v>
      </c>
      <c r="M3" s="222"/>
      <c r="N3" s="223"/>
      <c r="O3" s="176" t="s">
        <v>5</v>
      </c>
    </row>
    <row r="4" spans="1:18" s="6" customFormat="1" ht="15.75" thickBot="1">
      <c r="A4" s="80"/>
      <c r="B4" s="81"/>
      <c r="C4" s="82"/>
      <c r="D4" s="81"/>
      <c r="E4" s="82"/>
      <c r="F4" s="83"/>
      <c r="G4" s="84"/>
      <c r="H4" s="83"/>
      <c r="I4" s="225" t="s">
        <v>36</v>
      </c>
      <c r="J4" s="226"/>
      <c r="K4" s="227"/>
      <c r="L4" s="228" t="s">
        <v>22</v>
      </c>
      <c r="M4" s="229"/>
      <c r="N4" s="229"/>
      <c r="O4" s="159"/>
      <c r="P4" s="212" t="s">
        <v>28</v>
      </c>
      <c r="Q4" s="212"/>
      <c r="R4" s="212"/>
    </row>
    <row r="5" spans="1:18" ht="60.75" thickBot="1">
      <c r="A5" s="50" t="s">
        <v>7</v>
      </c>
      <c r="B5" s="50" t="s">
        <v>19</v>
      </c>
      <c r="C5" s="51" t="s">
        <v>0</v>
      </c>
      <c r="D5" s="52" t="s">
        <v>6</v>
      </c>
      <c r="E5" s="53" t="s">
        <v>1</v>
      </c>
      <c r="F5" s="54" t="s">
        <v>2</v>
      </c>
      <c r="G5" s="55" t="s">
        <v>8</v>
      </c>
      <c r="H5" s="56" t="s">
        <v>3</v>
      </c>
      <c r="I5" s="155" t="s">
        <v>32</v>
      </c>
      <c r="J5" s="156" t="s">
        <v>21</v>
      </c>
      <c r="K5" s="58" t="s">
        <v>33</v>
      </c>
      <c r="L5" s="58" t="s">
        <v>23</v>
      </c>
      <c r="M5" s="156" t="s">
        <v>24</v>
      </c>
      <c r="N5" s="48" t="s">
        <v>25</v>
      </c>
      <c r="O5" s="60" t="s">
        <v>11</v>
      </c>
      <c r="P5" s="18" t="s">
        <v>26</v>
      </c>
      <c r="Q5" s="18" t="s">
        <v>27</v>
      </c>
      <c r="R5" s="18" t="s">
        <v>16</v>
      </c>
    </row>
    <row r="6" spans="1:18">
      <c r="A6" s="86"/>
      <c r="B6" s="86"/>
      <c r="C6" s="189"/>
      <c r="D6" s="189"/>
      <c r="E6" s="189"/>
      <c r="F6" s="142"/>
      <c r="G6" s="143"/>
      <c r="H6" s="61"/>
      <c r="I6" s="157"/>
      <c r="J6" s="144"/>
      <c r="K6" s="145" t="str">
        <f>IF($C6="","",IF($I6+$J6=0,0,$I6/($I6+$J6)))</f>
        <v/>
      </c>
      <c r="L6" s="144"/>
      <c r="M6" s="144"/>
      <c r="N6" s="152" t="str">
        <f>IF($C6="","",($L6-($M6/2)))</f>
        <v/>
      </c>
      <c r="O6" s="65" t="str">
        <f>IF($C6="","",IF(TRIM($B6)="beginning",(((SUM($P6:$R6)-6444)/1960)*40)+360,IF(TRIM($B6)="middle",(((SUM($P6:$R6)-6444)/1960)*40)+400,IF(TRIM($B6)="end",(((SUM($P6:$R6)-6444)/1960)*40)+440,""))))</f>
        <v/>
      </c>
      <c r="P6" s="5" t="str">
        <f>IF($C6="","",I6*40.55)</f>
        <v/>
      </c>
      <c r="Q6" s="5" t="str">
        <f>IF($C6="","",K6*0.06)</f>
        <v/>
      </c>
      <c r="R6" s="5" t="str">
        <f>IF($C6="","",N6*7.34)</f>
        <v/>
      </c>
    </row>
    <row r="7" spans="1:18">
      <c r="A7" s="87"/>
      <c r="B7" s="87"/>
      <c r="C7" s="189"/>
      <c r="D7" s="189"/>
      <c r="E7" s="189"/>
      <c r="F7" s="69"/>
      <c r="G7" s="70"/>
      <c r="H7" s="71"/>
      <c r="I7" s="66"/>
      <c r="J7" s="67"/>
      <c r="K7" s="145" t="str">
        <f t="shared" ref="K7:K70" si="0">IF($C7="","",IF($I7+$J7=0,0,$I7/($I7+$J7)))</f>
        <v/>
      </c>
      <c r="L7" s="64"/>
      <c r="M7" s="64"/>
      <c r="N7" s="152" t="str">
        <f>IF($C7="","",($L7-($M7/2)))</f>
        <v/>
      </c>
      <c r="O7" s="65" t="str">
        <f t="shared" ref="O7:O70" si="1">IF($C7="","",IF(TRIM($B7)="beginning",(((SUM($P7:$R7)-6444)/1960)*40)+360,IF(TRIM($B7)="middle",(((SUM($P7:$R7)-6444)/1960)*40)+400,IF(TRIM($B7)="end",(((SUM($P7:$R7)-6444)/1960)*40)+440,""))))</f>
        <v/>
      </c>
      <c r="P7" s="5" t="str">
        <f t="shared" ref="P7:P70" si="2">IF($C7="","",I7*40.55)</f>
        <v/>
      </c>
      <c r="Q7" s="5" t="str">
        <f t="shared" ref="Q7:Q70" si="3">IF($C7="","",K7*0.06)</f>
        <v/>
      </c>
      <c r="R7" s="5" t="str">
        <f t="shared" ref="R7:R70" si="4">IF($C7="","",N7*7.34)</f>
        <v/>
      </c>
    </row>
    <row r="8" spans="1:18">
      <c r="A8" s="87"/>
      <c r="B8" s="87"/>
      <c r="C8" s="189"/>
      <c r="D8" s="189"/>
      <c r="E8" s="189"/>
      <c r="F8" s="69"/>
      <c r="G8" s="70"/>
      <c r="H8" s="71"/>
      <c r="I8" s="66"/>
      <c r="J8" s="67"/>
      <c r="K8" s="145" t="str">
        <f t="shared" si="0"/>
        <v/>
      </c>
      <c r="L8" s="64"/>
      <c r="M8" s="64"/>
      <c r="N8" s="152" t="str">
        <f t="shared" ref="N8:N70" si="5">IF($C8="","",($L8-($M8/2)))</f>
        <v/>
      </c>
      <c r="O8" s="65" t="str">
        <f t="shared" si="1"/>
        <v/>
      </c>
      <c r="P8" s="5" t="str">
        <f t="shared" si="2"/>
        <v/>
      </c>
      <c r="Q8" s="5" t="str">
        <f t="shared" si="3"/>
        <v/>
      </c>
      <c r="R8" s="5" t="str">
        <f t="shared" si="4"/>
        <v/>
      </c>
    </row>
    <row r="9" spans="1:18">
      <c r="A9" s="87"/>
      <c r="B9" s="87"/>
      <c r="C9" s="189"/>
      <c r="D9" s="189"/>
      <c r="E9" s="189"/>
      <c r="F9" s="69"/>
      <c r="G9" s="70"/>
      <c r="H9" s="71"/>
      <c r="I9" s="66"/>
      <c r="J9" s="67"/>
      <c r="K9" s="145" t="str">
        <f t="shared" si="0"/>
        <v/>
      </c>
      <c r="L9" s="64"/>
      <c r="M9" s="64"/>
      <c r="N9" s="152" t="str">
        <f t="shared" si="5"/>
        <v/>
      </c>
      <c r="O9" s="65" t="str">
        <f t="shared" si="1"/>
        <v/>
      </c>
      <c r="P9" s="5" t="str">
        <f t="shared" si="2"/>
        <v/>
      </c>
      <c r="Q9" s="5" t="str">
        <f t="shared" si="3"/>
        <v/>
      </c>
      <c r="R9" s="5" t="str">
        <f t="shared" si="4"/>
        <v/>
      </c>
    </row>
    <row r="10" spans="1:18">
      <c r="A10" s="87"/>
      <c r="B10" s="87"/>
      <c r="C10" s="189"/>
      <c r="D10" s="189"/>
      <c r="E10" s="189"/>
      <c r="F10" s="69"/>
      <c r="G10" s="70"/>
      <c r="H10" s="71"/>
      <c r="I10" s="66"/>
      <c r="J10" s="67"/>
      <c r="K10" s="145" t="str">
        <f t="shared" si="0"/>
        <v/>
      </c>
      <c r="L10" s="64"/>
      <c r="M10" s="64"/>
      <c r="N10" s="152" t="str">
        <f t="shared" si="5"/>
        <v/>
      </c>
      <c r="O10" s="65" t="str">
        <f t="shared" si="1"/>
        <v/>
      </c>
      <c r="P10" s="5" t="str">
        <f t="shared" si="2"/>
        <v/>
      </c>
      <c r="Q10" s="5" t="str">
        <f t="shared" si="3"/>
        <v/>
      </c>
      <c r="R10" s="5" t="str">
        <f t="shared" si="4"/>
        <v/>
      </c>
    </row>
    <row r="11" spans="1:18">
      <c r="A11" s="87"/>
      <c r="B11" s="87"/>
      <c r="C11" s="189"/>
      <c r="D11" s="189"/>
      <c r="E11" s="189"/>
      <c r="F11" s="69"/>
      <c r="G11" s="70"/>
      <c r="H11" s="71"/>
      <c r="I11" s="66"/>
      <c r="J11" s="67"/>
      <c r="K11" s="145" t="str">
        <f t="shared" si="0"/>
        <v/>
      </c>
      <c r="L11" s="64"/>
      <c r="M11" s="64"/>
      <c r="N11" s="152" t="str">
        <f>IF($C11="","",($L11-($M11/2)))</f>
        <v/>
      </c>
      <c r="O11" s="65" t="str">
        <f t="shared" si="1"/>
        <v/>
      </c>
      <c r="P11" s="5" t="str">
        <f t="shared" si="2"/>
        <v/>
      </c>
      <c r="Q11" s="5" t="str">
        <f t="shared" si="3"/>
        <v/>
      </c>
      <c r="R11" s="5" t="str">
        <f t="shared" si="4"/>
        <v/>
      </c>
    </row>
    <row r="12" spans="1:18">
      <c r="A12" s="87"/>
      <c r="B12" s="87"/>
      <c r="C12" s="189"/>
      <c r="D12" s="189"/>
      <c r="E12" s="189"/>
      <c r="F12" s="69"/>
      <c r="G12" s="70"/>
      <c r="H12" s="71"/>
      <c r="I12" s="66"/>
      <c r="J12" s="67"/>
      <c r="K12" s="145" t="str">
        <f t="shared" si="0"/>
        <v/>
      </c>
      <c r="L12" s="64"/>
      <c r="M12" s="64"/>
      <c r="N12" s="152" t="str">
        <f t="shared" si="5"/>
        <v/>
      </c>
      <c r="O12" s="65" t="str">
        <f t="shared" si="1"/>
        <v/>
      </c>
      <c r="P12" s="5" t="str">
        <f t="shared" si="2"/>
        <v/>
      </c>
      <c r="Q12" s="5" t="str">
        <f t="shared" si="3"/>
        <v/>
      </c>
      <c r="R12" s="5" t="str">
        <f t="shared" si="4"/>
        <v/>
      </c>
    </row>
    <row r="13" spans="1:18">
      <c r="A13" s="87"/>
      <c r="B13" s="87"/>
      <c r="C13" s="189"/>
      <c r="D13" s="189"/>
      <c r="E13" s="189"/>
      <c r="F13" s="69"/>
      <c r="G13" s="70"/>
      <c r="H13" s="71"/>
      <c r="I13" s="66"/>
      <c r="J13" s="67"/>
      <c r="K13" s="145" t="str">
        <f t="shared" si="0"/>
        <v/>
      </c>
      <c r="L13" s="64"/>
      <c r="M13" s="64"/>
      <c r="N13" s="152" t="str">
        <f t="shared" si="5"/>
        <v/>
      </c>
      <c r="O13" s="65" t="str">
        <f t="shared" si="1"/>
        <v/>
      </c>
      <c r="P13" s="5" t="str">
        <f t="shared" si="2"/>
        <v/>
      </c>
      <c r="Q13" s="5" t="str">
        <f t="shared" si="3"/>
        <v/>
      </c>
      <c r="R13" s="5" t="str">
        <f t="shared" si="4"/>
        <v/>
      </c>
    </row>
    <row r="14" spans="1:18">
      <c r="A14" s="87"/>
      <c r="B14" s="87"/>
      <c r="C14" s="189"/>
      <c r="D14" s="189"/>
      <c r="E14" s="189"/>
      <c r="F14" s="69"/>
      <c r="G14" s="70"/>
      <c r="H14" s="71"/>
      <c r="I14" s="66"/>
      <c r="J14" s="67"/>
      <c r="K14" s="145" t="str">
        <f t="shared" si="0"/>
        <v/>
      </c>
      <c r="L14" s="64"/>
      <c r="M14" s="64"/>
      <c r="N14" s="152" t="str">
        <f t="shared" si="5"/>
        <v/>
      </c>
      <c r="O14" s="65" t="str">
        <f t="shared" si="1"/>
        <v/>
      </c>
      <c r="P14" s="5" t="str">
        <f t="shared" si="2"/>
        <v/>
      </c>
      <c r="Q14" s="5" t="str">
        <f t="shared" si="3"/>
        <v/>
      </c>
      <c r="R14" s="5" t="str">
        <f t="shared" si="4"/>
        <v/>
      </c>
    </row>
    <row r="15" spans="1:18">
      <c r="A15" s="87"/>
      <c r="B15" s="87"/>
      <c r="C15" s="189"/>
      <c r="D15" s="189"/>
      <c r="E15" s="189"/>
      <c r="F15" s="69"/>
      <c r="G15" s="70"/>
      <c r="H15" s="71"/>
      <c r="I15" s="66"/>
      <c r="J15" s="67"/>
      <c r="K15" s="145" t="str">
        <f t="shared" si="0"/>
        <v/>
      </c>
      <c r="L15" s="64"/>
      <c r="M15" s="64"/>
      <c r="N15" s="152" t="str">
        <f t="shared" si="5"/>
        <v/>
      </c>
      <c r="O15" s="65" t="str">
        <f t="shared" si="1"/>
        <v/>
      </c>
      <c r="P15" s="5" t="str">
        <f t="shared" si="2"/>
        <v/>
      </c>
      <c r="Q15" s="5" t="str">
        <f t="shared" si="3"/>
        <v/>
      </c>
      <c r="R15" s="5" t="str">
        <f t="shared" si="4"/>
        <v/>
      </c>
    </row>
    <row r="16" spans="1:18">
      <c r="A16" s="87"/>
      <c r="B16" s="87"/>
      <c r="C16" s="189"/>
      <c r="D16" s="189"/>
      <c r="E16" s="189"/>
      <c r="F16" s="69"/>
      <c r="G16" s="70"/>
      <c r="H16" s="71"/>
      <c r="I16" s="66"/>
      <c r="J16" s="67"/>
      <c r="K16" s="145" t="str">
        <f t="shared" si="0"/>
        <v/>
      </c>
      <c r="L16" s="64"/>
      <c r="M16" s="64"/>
      <c r="N16" s="152" t="str">
        <f t="shared" si="5"/>
        <v/>
      </c>
      <c r="O16" s="65" t="str">
        <f t="shared" si="1"/>
        <v/>
      </c>
      <c r="P16" s="5" t="str">
        <f t="shared" si="2"/>
        <v/>
      </c>
      <c r="Q16" s="5" t="str">
        <f t="shared" si="3"/>
        <v/>
      </c>
      <c r="R16" s="5" t="str">
        <f t="shared" si="4"/>
        <v/>
      </c>
    </row>
    <row r="17" spans="1:18">
      <c r="A17" s="87"/>
      <c r="B17" s="87"/>
      <c r="C17" s="88"/>
      <c r="D17" s="89"/>
      <c r="E17" s="90"/>
      <c r="F17" s="69"/>
      <c r="G17" s="70"/>
      <c r="H17" s="71"/>
      <c r="I17" s="66"/>
      <c r="J17" s="67"/>
      <c r="K17" s="145" t="str">
        <f t="shared" si="0"/>
        <v/>
      </c>
      <c r="L17" s="64"/>
      <c r="M17" s="64"/>
      <c r="N17" s="152" t="str">
        <f t="shared" si="5"/>
        <v/>
      </c>
      <c r="O17" s="65" t="str">
        <f t="shared" si="1"/>
        <v/>
      </c>
      <c r="P17" s="5" t="str">
        <f t="shared" si="2"/>
        <v/>
      </c>
      <c r="Q17" s="5" t="str">
        <f t="shared" si="3"/>
        <v/>
      </c>
      <c r="R17" s="5" t="str">
        <f t="shared" si="4"/>
        <v/>
      </c>
    </row>
    <row r="18" spans="1:18">
      <c r="A18" s="87"/>
      <c r="B18" s="87"/>
      <c r="C18" s="88"/>
      <c r="D18" s="89"/>
      <c r="E18" s="90"/>
      <c r="F18" s="69"/>
      <c r="G18" s="70"/>
      <c r="H18" s="71"/>
      <c r="I18" s="66"/>
      <c r="J18" s="67"/>
      <c r="K18" s="145" t="str">
        <f t="shared" si="0"/>
        <v/>
      </c>
      <c r="L18" s="64"/>
      <c r="M18" s="64"/>
      <c r="N18" s="152" t="str">
        <f t="shared" si="5"/>
        <v/>
      </c>
      <c r="O18" s="65" t="str">
        <f t="shared" si="1"/>
        <v/>
      </c>
      <c r="P18" s="5" t="str">
        <f t="shared" si="2"/>
        <v/>
      </c>
      <c r="Q18" s="5" t="str">
        <f t="shared" si="3"/>
        <v/>
      </c>
      <c r="R18" s="5" t="str">
        <f t="shared" si="4"/>
        <v/>
      </c>
    </row>
    <row r="19" spans="1:18">
      <c r="A19" s="87"/>
      <c r="B19" s="87"/>
      <c r="C19" s="88"/>
      <c r="D19" s="89"/>
      <c r="E19" s="90"/>
      <c r="F19" s="69"/>
      <c r="G19" s="70"/>
      <c r="H19" s="71"/>
      <c r="I19" s="66"/>
      <c r="J19" s="67"/>
      <c r="K19" s="145" t="str">
        <f t="shared" si="0"/>
        <v/>
      </c>
      <c r="L19" s="64"/>
      <c r="M19" s="64"/>
      <c r="N19" s="152" t="str">
        <f t="shared" si="5"/>
        <v/>
      </c>
      <c r="O19" s="65" t="str">
        <f t="shared" si="1"/>
        <v/>
      </c>
      <c r="P19" s="5" t="str">
        <f t="shared" si="2"/>
        <v/>
      </c>
      <c r="Q19" s="5" t="str">
        <f t="shared" si="3"/>
        <v/>
      </c>
      <c r="R19" s="5" t="str">
        <f t="shared" si="4"/>
        <v/>
      </c>
    </row>
    <row r="20" spans="1:18">
      <c r="A20" s="87"/>
      <c r="B20" s="87"/>
      <c r="C20" s="88"/>
      <c r="D20" s="89"/>
      <c r="E20" s="90"/>
      <c r="F20" s="69"/>
      <c r="G20" s="70"/>
      <c r="H20" s="71"/>
      <c r="I20" s="66"/>
      <c r="J20" s="67"/>
      <c r="K20" s="145" t="str">
        <f t="shared" si="0"/>
        <v/>
      </c>
      <c r="L20" s="64"/>
      <c r="M20" s="64"/>
      <c r="N20" s="152" t="str">
        <f t="shared" si="5"/>
        <v/>
      </c>
      <c r="O20" s="65" t="str">
        <f t="shared" si="1"/>
        <v/>
      </c>
      <c r="P20" s="5" t="str">
        <f t="shared" si="2"/>
        <v/>
      </c>
      <c r="Q20" s="5" t="str">
        <f t="shared" si="3"/>
        <v/>
      </c>
      <c r="R20" s="5" t="str">
        <f t="shared" si="4"/>
        <v/>
      </c>
    </row>
    <row r="21" spans="1:18">
      <c r="A21" s="87"/>
      <c r="B21" s="87"/>
      <c r="C21" s="88"/>
      <c r="D21" s="89"/>
      <c r="E21" s="90"/>
      <c r="F21" s="69"/>
      <c r="G21" s="70"/>
      <c r="H21" s="71"/>
      <c r="I21" s="66"/>
      <c r="J21" s="67"/>
      <c r="K21" s="145" t="str">
        <f t="shared" si="0"/>
        <v/>
      </c>
      <c r="L21" s="64"/>
      <c r="M21" s="64"/>
      <c r="N21" s="152" t="str">
        <f t="shared" si="5"/>
        <v/>
      </c>
      <c r="O21" s="65" t="str">
        <f t="shared" si="1"/>
        <v/>
      </c>
      <c r="P21" s="5" t="str">
        <f t="shared" si="2"/>
        <v/>
      </c>
      <c r="Q21" s="5" t="str">
        <f t="shared" si="3"/>
        <v/>
      </c>
      <c r="R21" s="5" t="str">
        <f t="shared" si="4"/>
        <v/>
      </c>
    </row>
    <row r="22" spans="1:18">
      <c r="A22" s="87"/>
      <c r="B22" s="87"/>
      <c r="C22" s="88"/>
      <c r="D22" s="89"/>
      <c r="E22" s="90"/>
      <c r="F22" s="69"/>
      <c r="G22" s="70"/>
      <c r="H22" s="71"/>
      <c r="I22" s="66"/>
      <c r="J22" s="67"/>
      <c r="K22" s="145" t="str">
        <f t="shared" si="0"/>
        <v/>
      </c>
      <c r="L22" s="64"/>
      <c r="M22" s="64"/>
      <c r="N22" s="152" t="str">
        <f>IF($C22="","",($L22-($M22/2)))</f>
        <v/>
      </c>
      <c r="O22" s="65" t="str">
        <f t="shared" si="1"/>
        <v/>
      </c>
      <c r="P22" s="5" t="str">
        <f t="shared" si="2"/>
        <v/>
      </c>
      <c r="Q22" s="5" t="str">
        <f t="shared" si="3"/>
        <v/>
      </c>
      <c r="R22" s="5" t="str">
        <f t="shared" si="4"/>
        <v/>
      </c>
    </row>
    <row r="23" spans="1:18">
      <c r="A23" s="87"/>
      <c r="B23" s="87"/>
      <c r="C23" s="88"/>
      <c r="D23" s="89"/>
      <c r="E23" s="90"/>
      <c r="F23" s="69"/>
      <c r="G23" s="70"/>
      <c r="H23" s="71"/>
      <c r="I23" s="66"/>
      <c r="J23" s="67"/>
      <c r="K23" s="145" t="str">
        <f t="shared" si="0"/>
        <v/>
      </c>
      <c r="L23" s="64"/>
      <c r="M23" s="64"/>
      <c r="N23" s="152" t="str">
        <f t="shared" si="5"/>
        <v/>
      </c>
      <c r="O23" s="65" t="str">
        <f t="shared" si="1"/>
        <v/>
      </c>
      <c r="P23" s="5" t="str">
        <f t="shared" si="2"/>
        <v/>
      </c>
      <c r="Q23" s="5" t="str">
        <f t="shared" si="3"/>
        <v/>
      </c>
      <c r="R23" s="5" t="str">
        <f t="shared" si="4"/>
        <v/>
      </c>
    </row>
    <row r="24" spans="1:18">
      <c r="A24" s="87"/>
      <c r="B24" s="87"/>
      <c r="C24" s="88"/>
      <c r="D24" s="89"/>
      <c r="E24" s="90"/>
      <c r="F24" s="69"/>
      <c r="G24" s="70"/>
      <c r="H24" s="71"/>
      <c r="I24" s="66"/>
      <c r="J24" s="67"/>
      <c r="K24" s="145" t="str">
        <f t="shared" si="0"/>
        <v/>
      </c>
      <c r="L24" s="64"/>
      <c r="M24" s="64"/>
      <c r="N24" s="152" t="str">
        <f t="shared" si="5"/>
        <v/>
      </c>
      <c r="O24" s="65" t="str">
        <f t="shared" si="1"/>
        <v/>
      </c>
      <c r="P24" s="5" t="str">
        <f t="shared" si="2"/>
        <v/>
      </c>
      <c r="Q24" s="5" t="str">
        <f t="shared" si="3"/>
        <v/>
      </c>
      <c r="R24" s="5" t="str">
        <f t="shared" si="4"/>
        <v/>
      </c>
    </row>
    <row r="25" spans="1:18">
      <c r="A25" s="87"/>
      <c r="B25" s="87"/>
      <c r="C25" s="88"/>
      <c r="D25" s="89"/>
      <c r="E25" s="90"/>
      <c r="F25" s="69"/>
      <c r="G25" s="70"/>
      <c r="H25" s="71"/>
      <c r="I25" s="66"/>
      <c r="J25" s="67"/>
      <c r="K25" s="145" t="str">
        <f>IF($C25="","",IF($I25+$J25=0,0,$I25/($I25+$J25)))</f>
        <v/>
      </c>
      <c r="L25" s="64"/>
      <c r="M25" s="64"/>
      <c r="N25" s="152" t="str">
        <f t="shared" si="5"/>
        <v/>
      </c>
      <c r="O25" s="65" t="str">
        <f t="shared" si="1"/>
        <v/>
      </c>
      <c r="P25" s="5" t="str">
        <f t="shared" si="2"/>
        <v/>
      </c>
      <c r="Q25" s="5" t="str">
        <f t="shared" si="3"/>
        <v/>
      </c>
      <c r="R25" s="5" t="str">
        <f t="shared" si="4"/>
        <v/>
      </c>
    </row>
    <row r="26" spans="1:18">
      <c r="A26" s="87"/>
      <c r="B26" s="87"/>
      <c r="C26" s="88"/>
      <c r="D26" s="89"/>
      <c r="E26" s="90"/>
      <c r="F26" s="69"/>
      <c r="G26" s="70"/>
      <c r="H26" s="71"/>
      <c r="I26" s="66"/>
      <c r="J26" s="67"/>
      <c r="K26" s="145" t="str">
        <f t="shared" si="0"/>
        <v/>
      </c>
      <c r="L26" s="64"/>
      <c r="M26" s="64"/>
      <c r="N26" s="152" t="str">
        <f t="shared" si="5"/>
        <v/>
      </c>
      <c r="O26" s="65" t="str">
        <f t="shared" si="1"/>
        <v/>
      </c>
      <c r="P26" s="5" t="str">
        <f t="shared" si="2"/>
        <v/>
      </c>
      <c r="Q26" s="5" t="str">
        <f t="shared" si="3"/>
        <v/>
      </c>
      <c r="R26" s="5" t="str">
        <f t="shared" si="4"/>
        <v/>
      </c>
    </row>
    <row r="27" spans="1:18">
      <c r="A27" s="87"/>
      <c r="B27" s="87"/>
      <c r="C27" s="88"/>
      <c r="D27" s="89"/>
      <c r="E27" s="90"/>
      <c r="F27" s="69"/>
      <c r="G27" s="70"/>
      <c r="H27" s="71"/>
      <c r="I27" s="66"/>
      <c r="J27" s="67"/>
      <c r="K27" s="145" t="str">
        <f t="shared" si="0"/>
        <v/>
      </c>
      <c r="L27" s="64"/>
      <c r="M27" s="64"/>
      <c r="N27" s="152" t="str">
        <f t="shared" si="5"/>
        <v/>
      </c>
      <c r="O27" s="65" t="str">
        <f t="shared" si="1"/>
        <v/>
      </c>
      <c r="P27" s="5" t="str">
        <f t="shared" si="2"/>
        <v/>
      </c>
      <c r="Q27" s="5" t="str">
        <f t="shared" si="3"/>
        <v/>
      </c>
      <c r="R27" s="5" t="str">
        <f t="shared" si="4"/>
        <v/>
      </c>
    </row>
    <row r="28" spans="1:18">
      <c r="A28" s="87"/>
      <c r="B28" s="87"/>
      <c r="C28" s="88"/>
      <c r="D28" s="89"/>
      <c r="E28" s="90"/>
      <c r="F28" s="69"/>
      <c r="G28" s="70"/>
      <c r="H28" s="71"/>
      <c r="I28" s="66"/>
      <c r="J28" s="67"/>
      <c r="K28" s="145" t="str">
        <f t="shared" si="0"/>
        <v/>
      </c>
      <c r="L28" s="64"/>
      <c r="M28" s="64"/>
      <c r="N28" s="152" t="str">
        <f t="shared" si="5"/>
        <v/>
      </c>
      <c r="O28" s="65" t="str">
        <f t="shared" si="1"/>
        <v/>
      </c>
      <c r="P28" s="5" t="str">
        <f t="shared" si="2"/>
        <v/>
      </c>
      <c r="Q28" s="5" t="str">
        <f t="shared" si="3"/>
        <v/>
      </c>
      <c r="R28" s="5" t="str">
        <f t="shared" si="4"/>
        <v/>
      </c>
    </row>
    <row r="29" spans="1:18">
      <c r="A29" s="87"/>
      <c r="B29" s="87"/>
      <c r="C29" s="88"/>
      <c r="D29" s="89"/>
      <c r="E29" s="90"/>
      <c r="F29" s="69"/>
      <c r="G29" s="70"/>
      <c r="H29" s="71"/>
      <c r="I29" s="66"/>
      <c r="J29" s="67"/>
      <c r="K29" s="145" t="str">
        <f t="shared" si="0"/>
        <v/>
      </c>
      <c r="L29" s="64"/>
      <c r="M29" s="64"/>
      <c r="N29" s="152" t="str">
        <f t="shared" si="5"/>
        <v/>
      </c>
      <c r="O29" s="65" t="str">
        <f t="shared" si="1"/>
        <v/>
      </c>
      <c r="P29" s="5" t="str">
        <f t="shared" si="2"/>
        <v/>
      </c>
      <c r="Q29" s="5" t="str">
        <f t="shared" si="3"/>
        <v/>
      </c>
      <c r="R29" s="5" t="str">
        <f t="shared" si="4"/>
        <v/>
      </c>
    </row>
    <row r="30" spans="1:18">
      <c r="A30" s="87"/>
      <c r="B30" s="87"/>
      <c r="C30" s="88"/>
      <c r="D30" s="89"/>
      <c r="E30" s="90"/>
      <c r="F30" s="69"/>
      <c r="G30" s="70"/>
      <c r="H30" s="71"/>
      <c r="I30" s="66"/>
      <c r="J30" s="67"/>
      <c r="K30" s="145" t="str">
        <f t="shared" si="0"/>
        <v/>
      </c>
      <c r="L30" s="64"/>
      <c r="M30" s="64"/>
      <c r="N30" s="152" t="str">
        <f t="shared" si="5"/>
        <v/>
      </c>
      <c r="O30" s="65" t="str">
        <f t="shared" si="1"/>
        <v/>
      </c>
      <c r="P30" s="5" t="str">
        <f t="shared" si="2"/>
        <v/>
      </c>
      <c r="Q30" s="5" t="str">
        <f t="shared" si="3"/>
        <v/>
      </c>
      <c r="R30" s="5" t="str">
        <f t="shared" si="4"/>
        <v/>
      </c>
    </row>
    <row r="31" spans="1:18">
      <c r="A31" s="87"/>
      <c r="B31" s="87"/>
      <c r="C31" s="88"/>
      <c r="D31" s="89"/>
      <c r="E31" s="90"/>
      <c r="F31" s="69"/>
      <c r="G31" s="70"/>
      <c r="H31" s="71"/>
      <c r="I31" s="66"/>
      <c r="J31" s="67"/>
      <c r="K31" s="145" t="str">
        <f t="shared" si="0"/>
        <v/>
      </c>
      <c r="L31" s="64"/>
      <c r="M31" s="64"/>
      <c r="N31" s="152" t="str">
        <f t="shared" si="5"/>
        <v/>
      </c>
      <c r="O31" s="65" t="str">
        <f t="shared" si="1"/>
        <v/>
      </c>
      <c r="P31" s="5" t="str">
        <f t="shared" si="2"/>
        <v/>
      </c>
      <c r="Q31" s="5" t="str">
        <f t="shared" si="3"/>
        <v/>
      </c>
      <c r="R31" s="5" t="str">
        <f t="shared" si="4"/>
        <v/>
      </c>
    </row>
    <row r="32" spans="1:18">
      <c r="A32" s="87"/>
      <c r="B32" s="87"/>
      <c r="C32" s="88"/>
      <c r="D32" s="89"/>
      <c r="E32" s="90"/>
      <c r="F32" s="69"/>
      <c r="G32" s="70"/>
      <c r="H32" s="71"/>
      <c r="I32" s="66"/>
      <c r="J32" s="67"/>
      <c r="K32" s="145" t="str">
        <f t="shared" si="0"/>
        <v/>
      </c>
      <c r="L32" s="64"/>
      <c r="M32" s="64"/>
      <c r="N32" s="152" t="str">
        <f t="shared" si="5"/>
        <v/>
      </c>
      <c r="O32" s="65" t="str">
        <f t="shared" si="1"/>
        <v/>
      </c>
      <c r="P32" s="5" t="str">
        <f t="shared" si="2"/>
        <v/>
      </c>
      <c r="Q32" s="5" t="str">
        <f t="shared" si="3"/>
        <v/>
      </c>
      <c r="R32" s="5" t="str">
        <f t="shared" si="4"/>
        <v/>
      </c>
    </row>
    <row r="33" spans="1:18">
      <c r="A33" s="87"/>
      <c r="B33" s="87"/>
      <c r="C33" s="88"/>
      <c r="D33" s="89"/>
      <c r="E33" s="90"/>
      <c r="F33" s="69"/>
      <c r="G33" s="70"/>
      <c r="H33" s="71"/>
      <c r="I33" s="66"/>
      <c r="J33" s="67"/>
      <c r="K33" s="145" t="str">
        <f t="shared" si="0"/>
        <v/>
      </c>
      <c r="L33" s="64"/>
      <c r="M33" s="64"/>
      <c r="N33" s="152" t="str">
        <f t="shared" si="5"/>
        <v/>
      </c>
      <c r="O33" s="65" t="str">
        <f t="shared" si="1"/>
        <v/>
      </c>
      <c r="P33" s="5" t="str">
        <f t="shared" si="2"/>
        <v/>
      </c>
      <c r="Q33" s="5" t="str">
        <f t="shared" si="3"/>
        <v/>
      </c>
      <c r="R33" s="5" t="str">
        <f t="shared" si="4"/>
        <v/>
      </c>
    </row>
    <row r="34" spans="1:18">
      <c r="A34" s="87"/>
      <c r="B34" s="87"/>
      <c r="C34" s="88"/>
      <c r="D34" s="89"/>
      <c r="E34" s="90"/>
      <c r="F34" s="69"/>
      <c r="G34" s="70"/>
      <c r="H34" s="71"/>
      <c r="I34" s="66"/>
      <c r="J34" s="67"/>
      <c r="K34" s="145" t="str">
        <f t="shared" si="0"/>
        <v/>
      </c>
      <c r="L34" s="64"/>
      <c r="M34" s="64"/>
      <c r="N34" s="152" t="str">
        <f t="shared" si="5"/>
        <v/>
      </c>
      <c r="O34" s="65" t="str">
        <f t="shared" si="1"/>
        <v/>
      </c>
      <c r="P34" s="5" t="str">
        <f t="shared" si="2"/>
        <v/>
      </c>
      <c r="Q34" s="5" t="str">
        <f t="shared" si="3"/>
        <v/>
      </c>
      <c r="R34" s="5" t="str">
        <f t="shared" si="4"/>
        <v/>
      </c>
    </row>
    <row r="35" spans="1:18">
      <c r="A35" s="87"/>
      <c r="B35" s="87"/>
      <c r="C35" s="88"/>
      <c r="D35" s="89"/>
      <c r="E35" s="90"/>
      <c r="F35" s="69"/>
      <c r="G35" s="70"/>
      <c r="H35" s="71"/>
      <c r="I35" s="66"/>
      <c r="J35" s="67"/>
      <c r="K35" s="145" t="str">
        <f t="shared" si="0"/>
        <v/>
      </c>
      <c r="L35" s="64"/>
      <c r="M35" s="64"/>
      <c r="N35" s="152" t="str">
        <f t="shared" si="5"/>
        <v/>
      </c>
      <c r="O35" s="65" t="str">
        <f t="shared" si="1"/>
        <v/>
      </c>
      <c r="P35" s="5" t="str">
        <f t="shared" si="2"/>
        <v/>
      </c>
      <c r="Q35" s="5" t="str">
        <f t="shared" si="3"/>
        <v/>
      </c>
      <c r="R35" s="5" t="str">
        <f t="shared" si="4"/>
        <v/>
      </c>
    </row>
    <row r="36" spans="1:18">
      <c r="A36" s="87"/>
      <c r="B36" s="87"/>
      <c r="C36" s="88"/>
      <c r="D36" s="89"/>
      <c r="E36" s="90"/>
      <c r="F36" s="69"/>
      <c r="G36" s="70"/>
      <c r="H36" s="71"/>
      <c r="I36" s="66"/>
      <c r="J36" s="67"/>
      <c r="K36" s="145" t="str">
        <f t="shared" si="0"/>
        <v/>
      </c>
      <c r="L36" s="64"/>
      <c r="M36" s="64"/>
      <c r="N36" s="152" t="str">
        <f t="shared" si="5"/>
        <v/>
      </c>
      <c r="O36" s="65" t="str">
        <f t="shared" si="1"/>
        <v/>
      </c>
      <c r="P36" s="5" t="str">
        <f t="shared" si="2"/>
        <v/>
      </c>
      <c r="Q36" s="5" t="str">
        <f t="shared" si="3"/>
        <v/>
      </c>
      <c r="R36" s="5" t="str">
        <f t="shared" si="4"/>
        <v/>
      </c>
    </row>
    <row r="37" spans="1:18">
      <c r="A37" s="87"/>
      <c r="B37" s="87"/>
      <c r="C37" s="88"/>
      <c r="D37" s="89"/>
      <c r="E37" s="90"/>
      <c r="F37" s="69"/>
      <c r="G37" s="70"/>
      <c r="H37" s="71"/>
      <c r="I37" s="66"/>
      <c r="J37" s="67"/>
      <c r="K37" s="145" t="str">
        <f t="shared" si="0"/>
        <v/>
      </c>
      <c r="L37" s="64"/>
      <c r="M37" s="64"/>
      <c r="N37" s="152" t="str">
        <f t="shared" si="5"/>
        <v/>
      </c>
      <c r="O37" s="65" t="str">
        <f t="shared" si="1"/>
        <v/>
      </c>
      <c r="P37" s="5" t="str">
        <f t="shared" si="2"/>
        <v/>
      </c>
      <c r="Q37" s="5" t="str">
        <f t="shared" si="3"/>
        <v/>
      </c>
      <c r="R37" s="5" t="str">
        <f t="shared" si="4"/>
        <v/>
      </c>
    </row>
    <row r="38" spans="1:18">
      <c r="A38" s="87"/>
      <c r="B38" s="87"/>
      <c r="C38" s="88"/>
      <c r="D38" s="89"/>
      <c r="E38" s="90"/>
      <c r="F38" s="69"/>
      <c r="G38" s="70"/>
      <c r="H38" s="71"/>
      <c r="I38" s="66"/>
      <c r="J38" s="67"/>
      <c r="K38" s="145" t="str">
        <f t="shared" si="0"/>
        <v/>
      </c>
      <c r="L38" s="64"/>
      <c r="M38" s="64"/>
      <c r="N38" s="152" t="str">
        <f t="shared" si="5"/>
        <v/>
      </c>
      <c r="O38" s="65" t="str">
        <f t="shared" si="1"/>
        <v/>
      </c>
      <c r="P38" s="5" t="str">
        <f t="shared" si="2"/>
        <v/>
      </c>
      <c r="Q38" s="5" t="str">
        <f t="shared" si="3"/>
        <v/>
      </c>
      <c r="R38" s="5" t="str">
        <f t="shared" si="4"/>
        <v/>
      </c>
    </row>
    <row r="39" spans="1:18">
      <c r="A39" s="87"/>
      <c r="B39" s="87"/>
      <c r="C39" s="88"/>
      <c r="D39" s="89"/>
      <c r="E39" s="90"/>
      <c r="F39" s="69"/>
      <c r="G39" s="70"/>
      <c r="H39" s="71"/>
      <c r="I39" s="66"/>
      <c r="J39" s="67"/>
      <c r="K39" s="145" t="str">
        <f t="shared" si="0"/>
        <v/>
      </c>
      <c r="L39" s="64"/>
      <c r="M39" s="64"/>
      <c r="N39" s="152" t="str">
        <f>IF($C39="","",($L39-($M39/2)))</f>
        <v/>
      </c>
      <c r="O39" s="65" t="str">
        <f t="shared" si="1"/>
        <v/>
      </c>
      <c r="P39" s="5" t="str">
        <f t="shared" si="2"/>
        <v/>
      </c>
      <c r="Q39" s="5" t="str">
        <f t="shared" si="3"/>
        <v/>
      </c>
      <c r="R39" s="5" t="str">
        <f t="shared" si="4"/>
        <v/>
      </c>
    </row>
    <row r="40" spans="1:18">
      <c r="A40" s="87"/>
      <c r="B40" s="87"/>
      <c r="C40" s="88"/>
      <c r="D40" s="89"/>
      <c r="E40" s="90"/>
      <c r="F40" s="69"/>
      <c r="G40" s="70"/>
      <c r="H40" s="71"/>
      <c r="I40" s="66"/>
      <c r="J40" s="67"/>
      <c r="K40" s="145" t="str">
        <f>IF($C40="","",IF($I40+$J40=0,0,$I40/($I40+$J40)))</f>
        <v/>
      </c>
      <c r="L40" s="64"/>
      <c r="M40" s="64"/>
      <c r="N40" s="152" t="str">
        <f t="shared" si="5"/>
        <v/>
      </c>
      <c r="O40" s="65" t="str">
        <f t="shared" si="1"/>
        <v/>
      </c>
      <c r="P40" s="5" t="str">
        <f t="shared" si="2"/>
        <v/>
      </c>
      <c r="Q40" s="5" t="str">
        <f t="shared" si="3"/>
        <v/>
      </c>
      <c r="R40" s="5" t="str">
        <f t="shared" si="4"/>
        <v/>
      </c>
    </row>
    <row r="41" spans="1:18">
      <c r="A41" s="87"/>
      <c r="B41" s="87"/>
      <c r="C41" s="88"/>
      <c r="D41" s="89"/>
      <c r="E41" s="90"/>
      <c r="F41" s="69"/>
      <c r="G41" s="70"/>
      <c r="H41" s="71"/>
      <c r="I41" s="66"/>
      <c r="J41" s="67"/>
      <c r="K41" s="145" t="str">
        <f t="shared" si="0"/>
        <v/>
      </c>
      <c r="L41" s="64"/>
      <c r="M41" s="64"/>
      <c r="N41" s="152" t="str">
        <f t="shared" si="5"/>
        <v/>
      </c>
      <c r="O41" s="65" t="str">
        <f t="shared" si="1"/>
        <v/>
      </c>
      <c r="P41" s="5" t="str">
        <f t="shared" si="2"/>
        <v/>
      </c>
      <c r="Q41" s="5" t="str">
        <f t="shared" si="3"/>
        <v/>
      </c>
      <c r="R41" s="5" t="str">
        <f t="shared" si="4"/>
        <v/>
      </c>
    </row>
    <row r="42" spans="1:18">
      <c r="A42" s="87"/>
      <c r="B42" s="87"/>
      <c r="C42" s="88"/>
      <c r="D42" s="89"/>
      <c r="E42" s="90"/>
      <c r="F42" s="69"/>
      <c r="G42" s="70"/>
      <c r="H42" s="71"/>
      <c r="I42" s="66"/>
      <c r="J42" s="67"/>
      <c r="K42" s="145" t="str">
        <f t="shared" si="0"/>
        <v/>
      </c>
      <c r="L42" s="64"/>
      <c r="M42" s="64"/>
      <c r="N42" s="152" t="str">
        <f t="shared" si="5"/>
        <v/>
      </c>
      <c r="O42" s="65" t="str">
        <f t="shared" si="1"/>
        <v/>
      </c>
      <c r="P42" s="5" t="str">
        <f t="shared" si="2"/>
        <v/>
      </c>
      <c r="Q42" s="5" t="str">
        <f t="shared" si="3"/>
        <v/>
      </c>
      <c r="R42" s="5" t="str">
        <f t="shared" si="4"/>
        <v/>
      </c>
    </row>
    <row r="43" spans="1:18">
      <c r="A43" s="87"/>
      <c r="B43" s="87"/>
      <c r="C43" s="88"/>
      <c r="D43" s="89"/>
      <c r="E43" s="90"/>
      <c r="F43" s="69"/>
      <c r="G43" s="70"/>
      <c r="H43" s="71"/>
      <c r="I43" s="66"/>
      <c r="J43" s="67"/>
      <c r="K43" s="145" t="str">
        <f t="shared" si="0"/>
        <v/>
      </c>
      <c r="L43" s="64"/>
      <c r="M43" s="64"/>
      <c r="N43" s="152" t="str">
        <f t="shared" si="5"/>
        <v/>
      </c>
      <c r="O43" s="65" t="str">
        <f t="shared" si="1"/>
        <v/>
      </c>
      <c r="P43" s="5" t="str">
        <f t="shared" si="2"/>
        <v/>
      </c>
      <c r="Q43" s="5" t="str">
        <f t="shared" si="3"/>
        <v/>
      </c>
      <c r="R43" s="5" t="str">
        <f t="shared" si="4"/>
        <v/>
      </c>
    </row>
    <row r="44" spans="1:18">
      <c r="A44" s="87"/>
      <c r="B44" s="87"/>
      <c r="C44" s="88"/>
      <c r="D44" s="89"/>
      <c r="E44" s="90"/>
      <c r="F44" s="69"/>
      <c r="G44" s="70"/>
      <c r="H44" s="71"/>
      <c r="I44" s="66"/>
      <c r="J44" s="67"/>
      <c r="K44" s="145" t="str">
        <f t="shared" si="0"/>
        <v/>
      </c>
      <c r="L44" s="64"/>
      <c r="M44" s="64"/>
      <c r="N44" s="152" t="str">
        <f t="shared" si="5"/>
        <v/>
      </c>
      <c r="O44" s="65" t="str">
        <f t="shared" si="1"/>
        <v/>
      </c>
      <c r="P44" s="5" t="str">
        <f t="shared" si="2"/>
        <v/>
      </c>
      <c r="Q44" s="5" t="str">
        <f t="shared" si="3"/>
        <v/>
      </c>
      <c r="R44" s="5" t="str">
        <f t="shared" si="4"/>
        <v/>
      </c>
    </row>
    <row r="45" spans="1:18">
      <c r="A45" s="87"/>
      <c r="B45" s="87"/>
      <c r="C45" s="88"/>
      <c r="D45" s="89"/>
      <c r="E45" s="90"/>
      <c r="F45" s="69"/>
      <c r="G45" s="70"/>
      <c r="H45" s="71"/>
      <c r="I45" s="66"/>
      <c r="J45" s="67"/>
      <c r="K45" s="145" t="str">
        <f t="shared" si="0"/>
        <v/>
      </c>
      <c r="L45" s="64"/>
      <c r="M45" s="64"/>
      <c r="N45" s="152" t="str">
        <f>IF($C45="","",($L45-($M45/2)))</f>
        <v/>
      </c>
      <c r="O45" s="65" t="str">
        <f t="shared" si="1"/>
        <v/>
      </c>
      <c r="P45" s="5" t="str">
        <f t="shared" si="2"/>
        <v/>
      </c>
      <c r="Q45" s="5" t="str">
        <f t="shared" si="3"/>
        <v/>
      </c>
      <c r="R45" s="5" t="str">
        <f t="shared" si="4"/>
        <v/>
      </c>
    </row>
    <row r="46" spans="1:18">
      <c r="A46" s="87"/>
      <c r="B46" s="87"/>
      <c r="C46" s="88"/>
      <c r="D46" s="89"/>
      <c r="E46" s="90"/>
      <c r="F46" s="69"/>
      <c r="G46" s="70"/>
      <c r="H46" s="71"/>
      <c r="I46" s="66"/>
      <c r="J46" s="67"/>
      <c r="K46" s="145" t="str">
        <f t="shared" si="0"/>
        <v/>
      </c>
      <c r="L46" s="64"/>
      <c r="M46" s="64"/>
      <c r="N46" s="152" t="str">
        <f t="shared" si="5"/>
        <v/>
      </c>
      <c r="O46" s="65" t="str">
        <f t="shared" si="1"/>
        <v/>
      </c>
      <c r="P46" s="5" t="str">
        <f t="shared" si="2"/>
        <v/>
      </c>
      <c r="Q46" s="5" t="str">
        <f t="shared" si="3"/>
        <v/>
      </c>
      <c r="R46" s="5" t="str">
        <f t="shared" si="4"/>
        <v/>
      </c>
    </row>
    <row r="47" spans="1:18">
      <c r="A47" s="87"/>
      <c r="B47" s="87"/>
      <c r="C47" s="88"/>
      <c r="D47" s="89"/>
      <c r="E47" s="90"/>
      <c r="F47" s="69"/>
      <c r="G47" s="70"/>
      <c r="H47" s="71"/>
      <c r="I47" s="66"/>
      <c r="J47" s="67"/>
      <c r="K47" s="145" t="str">
        <f t="shared" si="0"/>
        <v/>
      </c>
      <c r="L47" s="64"/>
      <c r="M47" s="64"/>
      <c r="N47" s="152" t="str">
        <f t="shared" si="5"/>
        <v/>
      </c>
      <c r="O47" s="65" t="str">
        <f t="shared" si="1"/>
        <v/>
      </c>
      <c r="P47" s="5" t="str">
        <f t="shared" si="2"/>
        <v/>
      </c>
      <c r="Q47" s="5" t="str">
        <f t="shared" si="3"/>
        <v/>
      </c>
      <c r="R47" s="5" t="str">
        <f t="shared" si="4"/>
        <v/>
      </c>
    </row>
    <row r="48" spans="1:18">
      <c r="A48" s="87"/>
      <c r="B48" s="87"/>
      <c r="C48" s="88"/>
      <c r="D48" s="89"/>
      <c r="E48" s="90"/>
      <c r="F48" s="69"/>
      <c r="G48" s="70"/>
      <c r="H48" s="71"/>
      <c r="I48" s="66"/>
      <c r="J48" s="67"/>
      <c r="K48" s="145" t="str">
        <f t="shared" si="0"/>
        <v/>
      </c>
      <c r="L48" s="64"/>
      <c r="M48" s="64"/>
      <c r="N48" s="152" t="str">
        <f>IF($C48="","",($L48-($M48/2)))</f>
        <v/>
      </c>
      <c r="O48" s="65" t="str">
        <f t="shared" si="1"/>
        <v/>
      </c>
      <c r="P48" s="5" t="str">
        <f t="shared" si="2"/>
        <v/>
      </c>
      <c r="Q48" s="5" t="str">
        <f t="shared" si="3"/>
        <v/>
      </c>
      <c r="R48" s="5" t="str">
        <f t="shared" si="4"/>
        <v/>
      </c>
    </row>
    <row r="49" spans="1:18">
      <c r="A49" s="87"/>
      <c r="B49" s="87"/>
      <c r="C49" s="88"/>
      <c r="D49" s="89"/>
      <c r="E49" s="90"/>
      <c r="F49" s="69"/>
      <c r="G49" s="70"/>
      <c r="H49" s="71"/>
      <c r="I49" s="66"/>
      <c r="J49" s="67"/>
      <c r="K49" s="145" t="str">
        <f t="shared" si="0"/>
        <v/>
      </c>
      <c r="L49" s="64"/>
      <c r="M49" s="64"/>
      <c r="N49" s="152" t="str">
        <f t="shared" si="5"/>
        <v/>
      </c>
      <c r="O49" s="65" t="str">
        <f t="shared" si="1"/>
        <v/>
      </c>
      <c r="P49" s="5" t="str">
        <f t="shared" si="2"/>
        <v/>
      </c>
      <c r="Q49" s="5" t="str">
        <f t="shared" si="3"/>
        <v/>
      </c>
      <c r="R49" s="5" t="str">
        <f t="shared" si="4"/>
        <v/>
      </c>
    </row>
    <row r="50" spans="1:18">
      <c r="A50" s="87"/>
      <c r="B50" s="87"/>
      <c r="C50" s="88"/>
      <c r="D50" s="89"/>
      <c r="E50" s="90"/>
      <c r="F50" s="69"/>
      <c r="G50" s="70"/>
      <c r="H50" s="71"/>
      <c r="I50" s="66"/>
      <c r="J50" s="67"/>
      <c r="K50" s="145" t="str">
        <f t="shared" si="0"/>
        <v/>
      </c>
      <c r="L50" s="64"/>
      <c r="M50" s="64"/>
      <c r="N50" s="152" t="str">
        <f t="shared" si="5"/>
        <v/>
      </c>
      <c r="O50" s="65" t="str">
        <f t="shared" si="1"/>
        <v/>
      </c>
      <c r="P50" s="5" t="str">
        <f t="shared" si="2"/>
        <v/>
      </c>
      <c r="Q50" s="5" t="str">
        <f t="shared" si="3"/>
        <v/>
      </c>
      <c r="R50" s="5" t="str">
        <f t="shared" si="4"/>
        <v/>
      </c>
    </row>
    <row r="51" spans="1:18">
      <c r="A51" s="87"/>
      <c r="B51" s="87"/>
      <c r="C51" s="88"/>
      <c r="D51" s="89"/>
      <c r="E51" s="90"/>
      <c r="F51" s="69"/>
      <c r="G51" s="70"/>
      <c r="H51" s="71"/>
      <c r="I51" s="66"/>
      <c r="J51" s="67"/>
      <c r="K51" s="145" t="str">
        <f t="shared" si="0"/>
        <v/>
      </c>
      <c r="L51" s="64"/>
      <c r="M51" s="64"/>
      <c r="N51" s="152" t="str">
        <f t="shared" si="5"/>
        <v/>
      </c>
      <c r="O51" s="65" t="str">
        <f t="shared" si="1"/>
        <v/>
      </c>
      <c r="P51" s="5" t="str">
        <f t="shared" si="2"/>
        <v/>
      </c>
      <c r="Q51" s="5" t="str">
        <f t="shared" si="3"/>
        <v/>
      </c>
      <c r="R51" s="5" t="str">
        <f t="shared" si="4"/>
        <v/>
      </c>
    </row>
    <row r="52" spans="1:18">
      <c r="A52" s="87"/>
      <c r="B52" s="87"/>
      <c r="C52" s="88"/>
      <c r="D52" s="89"/>
      <c r="E52" s="90"/>
      <c r="F52" s="69"/>
      <c r="G52" s="70"/>
      <c r="H52" s="71"/>
      <c r="I52" s="66"/>
      <c r="J52" s="67"/>
      <c r="K52" s="145" t="str">
        <f t="shared" si="0"/>
        <v/>
      </c>
      <c r="L52" s="64"/>
      <c r="M52" s="64"/>
      <c r="N52" s="152" t="str">
        <f t="shared" si="5"/>
        <v/>
      </c>
      <c r="O52" s="65" t="str">
        <f t="shared" si="1"/>
        <v/>
      </c>
      <c r="P52" s="5" t="str">
        <f t="shared" si="2"/>
        <v/>
      </c>
      <c r="Q52" s="5" t="str">
        <f t="shared" si="3"/>
        <v/>
      </c>
      <c r="R52" s="5" t="str">
        <f t="shared" si="4"/>
        <v/>
      </c>
    </row>
    <row r="53" spans="1:18">
      <c r="A53" s="87"/>
      <c r="B53" s="87"/>
      <c r="C53" s="88"/>
      <c r="D53" s="89"/>
      <c r="E53" s="90"/>
      <c r="F53" s="69"/>
      <c r="G53" s="70"/>
      <c r="H53" s="71"/>
      <c r="I53" s="66"/>
      <c r="J53" s="67"/>
      <c r="K53" s="145" t="str">
        <f t="shared" si="0"/>
        <v/>
      </c>
      <c r="L53" s="64"/>
      <c r="M53" s="64"/>
      <c r="N53" s="152" t="str">
        <f t="shared" si="5"/>
        <v/>
      </c>
      <c r="O53" s="65" t="str">
        <f t="shared" si="1"/>
        <v/>
      </c>
      <c r="P53" s="5" t="str">
        <f t="shared" si="2"/>
        <v/>
      </c>
      <c r="Q53" s="5" t="str">
        <f t="shared" si="3"/>
        <v/>
      </c>
      <c r="R53" s="5" t="str">
        <f t="shared" si="4"/>
        <v/>
      </c>
    </row>
    <row r="54" spans="1:18">
      <c r="A54" s="87"/>
      <c r="B54" s="87"/>
      <c r="C54" s="88"/>
      <c r="D54" s="89"/>
      <c r="E54" s="90"/>
      <c r="F54" s="69"/>
      <c r="G54" s="70"/>
      <c r="H54" s="71"/>
      <c r="I54" s="66"/>
      <c r="J54" s="67"/>
      <c r="K54" s="145" t="str">
        <f t="shared" si="0"/>
        <v/>
      </c>
      <c r="L54" s="64"/>
      <c r="M54" s="64"/>
      <c r="N54" s="152" t="str">
        <f t="shared" si="5"/>
        <v/>
      </c>
      <c r="O54" s="65" t="str">
        <f t="shared" si="1"/>
        <v/>
      </c>
      <c r="P54" s="5" t="str">
        <f t="shared" si="2"/>
        <v/>
      </c>
      <c r="Q54" s="5" t="str">
        <f t="shared" si="3"/>
        <v/>
      </c>
      <c r="R54" s="5" t="str">
        <f t="shared" si="4"/>
        <v/>
      </c>
    </row>
    <row r="55" spans="1:18">
      <c r="A55" s="87"/>
      <c r="B55" s="87"/>
      <c r="C55" s="88"/>
      <c r="D55" s="89"/>
      <c r="E55" s="90"/>
      <c r="F55" s="69"/>
      <c r="G55" s="70"/>
      <c r="H55" s="71"/>
      <c r="I55" s="66"/>
      <c r="J55" s="67"/>
      <c r="K55" s="145" t="str">
        <f t="shared" si="0"/>
        <v/>
      </c>
      <c r="L55" s="64"/>
      <c r="M55" s="64"/>
      <c r="N55" s="152" t="str">
        <f t="shared" si="5"/>
        <v/>
      </c>
      <c r="O55" s="65" t="str">
        <f t="shared" si="1"/>
        <v/>
      </c>
      <c r="P55" s="5" t="str">
        <f t="shared" si="2"/>
        <v/>
      </c>
      <c r="Q55" s="5" t="str">
        <f t="shared" si="3"/>
        <v/>
      </c>
      <c r="R55" s="5" t="str">
        <f t="shared" si="4"/>
        <v/>
      </c>
    </row>
    <row r="56" spans="1:18">
      <c r="A56" s="87"/>
      <c r="B56" s="87"/>
      <c r="C56" s="88"/>
      <c r="D56" s="89"/>
      <c r="E56" s="90"/>
      <c r="F56" s="69"/>
      <c r="G56" s="70"/>
      <c r="H56" s="71"/>
      <c r="I56" s="66"/>
      <c r="J56" s="67"/>
      <c r="K56" s="145" t="str">
        <f t="shared" si="0"/>
        <v/>
      </c>
      <c r="L56" s="64"/>
      <c r="M56" s="64"/>
      <c r="N56" s="152" t="str">
        <f t="shared" si="5"/>
        <v/>
      </c>
      <c r="O56" s="65" t="str">
        <f t="shared" si="1"/>
        <v/>
      </c>
      <c r="P56" s="5" t="str">
        <f t="shared" si="2"/>
        <v/>
      </c>
      <c r="Q56" s="5" t="str">
        <f t="shared" si="3"/>
        <v/>
      </c>
      <c r="R56" s="5" t="str">
        <f t="shared" si="4"/>
        <v/>
      </c>
    </row>
    <row r="57" spans="1:18">
      <c r="A57" s="87"/>
      <c r="B57" s="87"/>
      <c r="C57" s="88"/>
      <c r="D57" s="89"/>
      <c r="E57" s="90"/>
      <c r="F57" s="69"/>
      <c r="G57" s="70"/>
      <c r="H57" s="71"/>
      <c r="I57" s="66"/>
      <c r="J57" s="67"/>
      <c r="K57" s="145" t="str">
        <f t="shared" si="0"/>
        <v/>
      </c>
      <c r="L57" s="64"/>
      <c r="M57" s="64"/>
      <c r="N57" s="152" t="str">
        <f t="shared" si="5"/>
        <v/>
      </c>
      <c r="O57" s="65" t="str">
        <f t="shared" si="1"/>
        <v/>
      </c>
      <c r="P57" s="5" t="str">
        <f t="shared" si="2"/>
        <v/>
      </c>
      <c r="Q57" s="5" t="str">
        <f t="shared" si="3"/>
        <v/>
      </c>
      <c r="R57" s="5" t="str">
        <f t="shared" si="4"/>
        <v/>
      </c>
    </row>
    <row r="58" spans="1:18">
      <c r="A58" s="87"/>
      <c r="B58" s="87"/>
      <c r="C58" s="88"/>
      <c r="D58" s="89"/>
      <c r="E58" s="90"/>
      <c r="F58" s="69"/>
      <c r="G58" s="70"/>
      <c r="H58" s="71"/>
      <c r="I58" s="66"/>
      <c r="J58" s="67"/>
      <c r="K58" s="145" t="str">
        <f t="shared" si="0"/>
        <v/>
      </c>
      <c r="L58" s="64"/>
      <c r="M58" s="64"/>
      <c r="N58" s="152" t="str">
        <f t="shared" si="5"/>
        <v/>
      </c>
      <c r="O58" s="65" t="str">
        <f t="shared" si="1"/>
        <v/>
      </c>
      <c r="P58" s="5" t="str">
        <f t="shared" si="2"/>
        <v/>
      </c>
      <c r="Q58" s="5" t="str">
        <f t="shared" si="3"/>
        <v/>
      </c>
      <c r="R58" s="5" t="str">
        <f t="shared" si="4"/>
        <v/>
      </c>
    </row>
    <row r="59" spans="1:18">
      <c r="A59" s="87"/>
      <c r="B59" s="87"/>
      <c r="C59" s="88"/>
      <c r="D59" s="89"/>
      <c r="E59" s="90"/>
      <c r="F59" s="69"/>
      <c r="G59" s="70"/>
      <c r="H59" s="71"/>
      <c r="I59" s="66"/>
      <c r="J59" s="67"/>
      <c r="K59" s="145" t="str">
        <f t="shared" si="0"/>
        <v/>
      </c>
      <c r="L59" s="64"/>
      <c r="M59" s="64"/>
      <c r="N59" s="152" t="str">
        <f t="shared" si="5"/>
        <v/>
      </c>
      <c r="O59" s="65" t="str">
        <f t="shared" si="1"/>
        <v/>
      </c>
      <c r="P59" s="5" t="str">
        <f t="shared" si="2"/>
        <v/>
      </c>
      <c r="Q59" s="5" t="str">
        <f t="shared" si="3"/>
        <v/>
      </c>
      <c r="R59" s="5" t="str">
        <f t="shared" si="4"/>
        <v/>
      </c>
    </row>
    <row r="60" spans="1:18">
      <c r="A60" s="87"/>
      <c r="B60" s="87"/>
      <c r="C60" s="88"/>
      <c r="D60" s="89"/>
      <c r="E60" s="90"/>
      <c r="F60" s="69"/>
      <c r="G60" s="70"/>
      <c r="H60" s="71"/>
      <c r="I60" s="66"/>
      <c r="J60" s="67"/>
      <c r="K60" s="145" t="str">
        <f t="shared" si="0"/>
        <v/>
      </c>
      <c r="L60" s="64"/>
      <c r="M60" s="64"/>
      <c r="N60" s="152" t="str">
        <f t="shared" si="5"/>
        <v/>
      </c>
      <c r="O60" s="65" t="str">
        <f t="shared" si="1"/>
        <v/>
      </c>
      <c r="P60" s="5" t="str">
        <f t="shared" si="2"/>
        <v/>
      </c>
      <c r="Q60" s="5" t="str">
        <f t="shared" si="3"/>
        <v/>
      </c>
      <c r="R60" s="5" t="str">
        <f t="shared" si="4"/>
        <v/>
      </c>
    </row>
    <row r="61" spans="1:18">
      <c r="A61" s="87"/>
      <c r="B61" s="87"/>
      <c r="C61" s="88"/>
      <c r="D61" s="89"/>
      <c r="E61" s="90"/>
      <c r="F61" s="69"/>
      <c r="G61" s="70"/>
      <c r="H61" s="71"/>
      <c r="I61" s="66"/>
      <c r="J61" s="67"/>
      <c r="K61" s="145" t="str">
        <f t="shared" si="0"/>
        <v/>
      </c>
      <c r="L61" s="64"/>
      <c r="M61" s="64"/>
      <c r="N61" s="152" t="str">
        <f t="shared" si="5"/>
        <v/>
      </c>
      <c r="O61" s="65" t="str">
        <f t="shared" si="1"/>
        <v/>
      </c>
      <c r="P61" s="5" t="str">
        <f t="shared" si="2"/>
        <v/>
      </c>
      <c r="Q61" s="5" t="str">
        <f t="shared" si="3"/>
        <v/>
      </c>
      <c r="R61" s="5" t="str">
        <f t="shared" si="4"/>
        <v/>
      </c>
    </row>
    <row r="62" spans="1:18">
      <c r="A62" s="87"/>
      <c r="B62" s="87"/>
      <c r="C62" s="88"/>
      <c r="D62" s="89"/>
      <c r="E62" s="90"/>
      <c r="F62" s="69"/>
      <c r="G62" s="70"/>
      <c r="H62" s="71"/>
      <c r="I62" s="66"/>
      <c r="J62" s="67"/>
      <c r="K62" s="145" t="str">
        <f t="shared" si="0"/>
        <v/>
      </c>
      <c r="L62" s="64"/>
      <c r="M62" s="64"/>
      <c r="N62" s="152" t="str">
        <f t="shared" si="5"/>
        <v/>
      </c>
      <c r="O62" s="65" t="str">
        <f t="shared" si="1"/>
        <v/>
      </c>
      <c r="P62" s="5" t="str">
        <f t="shared" si="2"/>
        <v/>
      </c>
      <c r="Q62" s="5" t="str">
        <f t="shared" si="3"/>
        <v/>
      </c>
      <c r="R62" s="5" t="str">
        <f t="shared" si="4"/>
        <v/>
      </c>
    </row>
    <row r="63" spans="1:18">
      <c r="A63" s="87"/>
      <c r="B63" s="87"/>
      <c r="C63" s="88"/>
      <c r="D63" s="89"/>
      <c r="E63" s="90"/>
      <c r="F63" s="69"/>
      <c r="G63" s="70"/>
      <c r="H63" s="71"/>
      <c r="I63" s="66"/>
      <c r="J63" s="67"/>
      <c r="K63" s="145" t="str">
        <f t="shared" si="0"/>
        <v/>
      </c>
      <c r="L63" s="64"/>
      <c r="M63" s="64"/>
      <c r="N63" s="152" t="str">
        <f t="shared" si="5"/>
        <v/>
      </c>
      <c r="O63" s="65" t="str">
        <f t="shared" si="1"/>
        <v/>
      </c>
      <c r="P63" s="5" t="str">
        <f t="shared" si="2"/>
        <v/>
      </c>
      <c r="Q63" s="5" t="str">
        <f t="shared" si="3"/>
        <v/>
      </c>
      <c r="R63" s="5" t="str">
        <f t="shared" si="4"/>
        <v/>
      </c>
    </row>
    <row r="64" spans="1:18">
      <c r="A64" s="87"/>
      <c r="B64" s="87"/>
      <c r="C64" s="88"/>
      <c r="D64" s="89"/>
      <c r="E64" s="90"/>
      <c r="F64" s="69"/>
      <c r="G64" s="70"/>
      <c r="H64" s="71"/>
      <c r="I64" s="66"/>
      <c r="J64" s="67"/>
      <c r="K64" s="145" t="str">
        <f t="shared" si="0"/>
        <v/>
      </c>
      <c r="L64" s="64"/>
      <c r="M64" s="64"/>
      <c r="N64" s="152" t="str">
        <f t="shared" si="5"/>
        <v/>
      </c>
      <c r="O64" s="65" t="str">
        <f t="shared" si="1"/>
        <v/>
      </c>
      <c r="P64" s="5" t="str">
        <f t="shared" si="2"/>
        <v/>
      </c>
      <c r="Q64" s="5" t="str">
        <f t="shared" si="3"/>
        <v/>
      </c>
      <c r="R64" s="5" t="str">
        <f t="shared" si="4"/>
        <v/>
      </c>
    </row>
    <row r="65" spans="1:18">
      <c r="A65" s="87"/>
      <c r="B65" s="87"/>
      <c r="C65" s="88"/>
      <c r="D65" s="89"/>
      <c r="E65" s="90"/>
      <c r="F65" s="69"/>
      <c r="G65" s="70"/>
      <c r="H65" s="71"/>
      <c r="I65" s="66"/>
      <c r="J65" s="67"/>
      <c r="K65" s="145" t="str">
        <f t="shared" si="0"/>
        <v/>
      </c>
      <c r="L65" s="64"/>
      <c r="M65" s="64"/>
      <c r="N65" s="152" t="str">
        <f t="shared" si="5"/>
        <v/>
      </c>
      <c r="O65" s="65" t="str">
        <f t="shared" si="1"/>
        <v/>
      </c>
      <c r="P65" s="5" t="str">
        <f t="shared" si="2"/>
        <v/>
      </c>
      <c r="Q65" s="5" t="str">
        <f t="shared" si="3"/>
        <v/>
      </c>
      <c r="R65" s="5" t="str">
        <f t="shared" si="4"/>
        <v/>
      </c>
    </row>
    <row r="66" spans="1:18">
      <c r="A66" s="87"/>
      <c r="B66" s="87"/>
      <c r="C66" s="88"/>
      <c r="D66" s="89"/>
      <c r="E66" s="90"/>
      <c r="F66" s="69"/>
      <c r="G66" s="70"/>
      <c r="H66" s="71"/>
      <c r="I66" s="66"/>
      <c r="J66" s="67"/>
      <c r="K66" s="145" t="str">
        <f t="shared" si="0"/>
        <v/>
      </c>
      <c r="L66" s="64"/>
      <c r="M66" s="64"/>
      <c r="N66" s="152" t="str">
        <f t="shared" si="5"/>
        <v/>
      </c>
      <c r="O66" s="65" t="str">
        <f t="shared" si="1"/>
        <v/>
      </c>
      <c r="P66" s="5" t="str">
        <f t="shared" si="2"/>
        <v/>
      </c>
      <c r="Q66" s="5" t="str">
        <f t="shared" si="3"/>
        <v/>
      </c>
      <c r="R66" s="5" t="str">
        <f t="shared" si="4"/>
        <v/>
      </c>
    </row>
    <row r="67" spans="1:18">
      <c r="A67" s="87"/>
      <c r="B67" s="87"/>
      <c r="C67" s="88"/>
      <c r="D67" s="89"/>
      <c r="E67" s="90"/>
      <c r="F67" s="69"/>
      <c r="G67" s="70"/>
      <c r="H67" s="71"/>
      <c r="I67" s="66"/>
      <c r="J67" s="67"/>
      <c r="K67" s="145" t="str">
        <f t="shared" si="0"/>
        <v/>
      </c>
      <c r="L67" s="64"/>
      <c r="M67" s="64"/>
      <c r="N67" s="152" t="str">
        <f t="shared" si="5"/>
        <v/>
      </c>
      <c r="O67" s="65" t="str">
        <f t="shared" si="1"/>
        <v/>
      </c>
      <c r="P67" s="5" t="str">
        <f t="shared" si="2"/>
        <v/>
      </c>
      <c r="Q67" s="5" t="str">
        <f t="shared" si="3"/>
        <v/>
      </c>
      <c r="R67" s="5" t="str">
        <f t="shared" si="4"/>
        <v/>
      </c>
    </row>
    <row r="68" spans="1:18">
      <c r="A68" s="87"/>
      <c r="B68" s="87"/>
      <c r="C68" s="88"/>
      <c r="D68" s="89"/>
      <c r="E68" s="90"/>
      <c r="F68" s="69"/>
      <c r="G68" s="70"/>
      <c r="H68" s="71"/>
      <c r="I68" s="66"/>
      <c r="J68" s="67"/>
      <c r="K68" s="145" t="str">
        <f t="shared" si="0"/>
        <v/>
      </c>
      <c r="L68" s="64"/>
      <c r="M68" s="64"/>
      <c r="N68" s="152" t="str">
        <f t="shared" si="5"/>
        <v/>
      </c>
      <c r="O68" s="65" t="str">
        <f t="shared" si="1"/>
        <v/>
      </c>
      <c r="P68" s="5" t="str">
        <f t="shared" si="2"/>
        <v/>
      </c>
      <c r="Q68" s="5" t="str">
        <f t="shared" si="3"/>
        <v/>
      </c>
      <c r="R68" s="5" t="str">
        <f t="shared" si="4"/>
        <v/>
      </c>
    </row>
    <row r="69" spans="1:18">
      <c r="A69" s="87"/>
      <c r="B69" s="87"/>
      <c r="C69" s="88"/>
      <c r="D69" s="89"/>
      <c r="E69" s="90"/>
      <c r="F69" s="69"/>
      <c r="G69" s="70"/>
      <c r="H69" s="71"/>
      <c r="I69" s="66"/>
      <c r="J69" s="67"/>
      <c r="K69" s="145" t="str">
        <f t="shared" si="0"/>
        <v/>
      </c>
      <c r="L69" s="64"/>
      <c r="M69" s="64"/>
      <c r="N69" s="152" t="str">
        <f t="shared" si="5"/>
        <v/>
      </c>
      <c r="O69" s="65" t="str">
        <f t="shared" si="1"/>
        <v/>
      </c>
      <c r="P69" s="5" t="str">
        <f t="shared" si="2"/>
        <v/>
      </c>
      <c r="Q69" s="5" t="str">
        <f t="shared" si="3"/>
        <v/>
      </c>
      <c r="R69" s="5" t="str">
        <f t="shared" si="4"/>
        <v/>
      </c>
    </row>
    <row r="70" spans="1:18">
      <c r="A70" s="87"/>
      <c r="B70" s="87"/>
      <c r="C70" s="88"/>
      <c r="D70" s="89"/>
      <c r="E70" s="90"/>
      <c r="F70" s="69"/>
      <c r="G70" s="70"/>
      <c r="H70" s="71"/>
      <c r="I70" s="66"/>
      <c r="J70" s="67"/>
      <c r="K70" s="145" t="str">
        <f t="shared" si="0"/>
        <v/>
      </c>
      <c r="L70" s="64"/>
      <c r="M70" s="64"/>
      <c r="N70" s="152" t="str">
        <f t="shared" si="5"/>
        <v/>
      </c>
      <c r="O70" s="65" t="str">
        <f t="shared" si="1"/>
        <v/>
      </c>
      <c r="P70" s="5" t="str">
        <f t="shared" si="2"/>
        <v/>
      </c>
      <c r="Q70" s="5" t="str">
        <f t="shared" si="3"/>
        <v/>
      </c>
      <c r="R70" s="5" t="str">
        <f t="shared" si="4"/>
        <v/>
      </c>
    </row>
    <row r="71" spans="1:18">
      <c r="A71" s="87"/>
      <c r="B71" s="87"/>
      <c r="C71" s="88"/>
      <c r="D71" s="89"/>
      <c r="E71" s="90"/>
      <c r="F71" s="69"/>
      <c r="G71" s="70"/>
      <c r="H71" s="71"/>
      <c r="I71" s="66"/>
      <c r="J71" s="67"/>
      <c r="K71" s="145" t="str">
        <f t="shared" ref="K71:K134" si="6">IF($C71="","",IF($I71+$J71=0,0,$I71/($I71+$J71)))</f>
        <v/>
      </c>
      <c r="L71" s="64"/>
      <c r="M71" s="64"/>
      <c r="N71" s="152" t="str">
        <f t="shared" ref="N71:N134" si="7">IF($C71="","",($L71-($M71/2)))</f>
        <v/>
      </c>
      <c r="O71" s="65" t="str">
        <f t="shared" ref="O71:O134" si="8">IF($C71="","",IF(TRIM($B71)="beginning",(((SUM($P71:$R71)-6444)/1960)*40)+360,IF(TRIM($B71)="middle",(((SUM($P71:$R71)-6444)/1960)*40)+400,IF(TRIM($B71)="end",(((SUM($P71:$R71)-6444)/1960)*40)+440,""))))</f>
        <v/>
      </c>
      <c r="P71" s="5" t="str">
        <f t="shared" ref="P71:P134" si="9">IF($C71="","",I71*40.55)</f>
        <v/>
      </c>
      <c r="Q71" s="5" t="str">
        <f t="shared" ref="Q71:Q134" si="10">IF($C71="","",K71*0.06)</f>
        <v/>
      </c>
      <c r="R71" s="5" t="str">
        <f t="shared" ref="R71:R134" si="11">IF($C71="","",N71*7.34)</f>
        <v/>
      </c>
    </row>
    <row r="72" spans="1:18">
      <c r="A72" s="87"/>
      <c r="B72" s="87"/>
      <c r="C72" s="88"/>
      <c r="D72" s="89"/>
      <c r="E72" s="90"/>
      <c r="F72" s="69"/>
      <c r="G72" s="70"/>
      <c r="H72" s="71"/>
      <c r="I72" s="66"/>
      <c r="J72" s="67"/>
      <c r="K72" s="145" t="str">
        <f t="shared" si="6"/>
        <v/>
      </c>
      <c r="L72" s="64"/>
      <c r="M72" s="64"/>
      <c r="N72" s="152" t="str">
        <f t="shared" si="7"/>
        <v/>
      </c>
      <c r="O72" s="65"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2" t="str">
        <f t="shared" si="7"/>
        <v/>
      </c>
      <c r="O73" s="65"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2" t="str">
        <f t="shared" si="7"/>
        <v/>
      </c>
      <c r="O74" s="65"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2" t="str">
        <f t="shared" si="7"/>
        <v/>
      </c>
      <c r="O75" s="65"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2" t="str">
        <f t="shared" si="7"/>
        <v/>
      </c>
      <c r="O76" s="65"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2" t="str">
        <f t="shared" si="7"/>
        <v/>
      </c>
      <c r="O77" s="65"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2" t="str">
        <f t="shared" si="7"/>
        <v/>
      </c>
      <c r="O78" s="65"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2" t="str">
        <f t="shared" si="7"/>
        <v/>
      </c>
      <c r="O79" s="65"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2" t="str">
        <f t="shared" si="7"/>
        <v/>
      </c>
      <c r="O80" s="65"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2" t="str">
        <f t="shared" si="7"/>
        <v/>
      </c>
      <c r="O81" s="65"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2" t="str">
        <f t="shared" si="7"/>
        <v/>
      </c>
      <c r="O82" s="65"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2" t="str">
        <f t="shared" si="7"/>
        <v/>
      </c>
      <c r="O83" s="65"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2" t="str">
        <f t="shared" si="7"/>
        <v/>
      </c>
      <c r="O84" s="65"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2" t="str">
        <f t="shared" si="7"/>
        <v/>
      </c>
      <c r="O85" s="65"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2" t="str">
        <f t="shared" si="7"/>
        <v/>
      </c>
      <c r="O86" s="65"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2" t="str">
        <f t="shared" si="7"/>
        <v/>
      </c>
      <c r="O87" s="65"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2" t="str">
        <f t="shared" si="7"/>
        <v/>
      </c>
      <c r="O88" s="65"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2" t="str">
        <f t="shared" si="7"/>
        <v/>
      </c>
      <c r="O89" s="65"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2" t="str">
        <f t="shared" si="7"/>
        <v/>
      </c>
      <c r="O90" s="65"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2" t="str">
        <f t="shared" si="7"/>
        <v/>
      </c>
      <c r="O91" s="65"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2" t="str">
        <f t="shared" si="7"/>
        <v/>
      </c>
      <c r="O92" s="65"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2" t="str">
        <f t="shared" si="7"/>
        <v/>
      </c>
      <c r="O93" s="65"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2" t="str">
        <f t="shared" si="7"/>
        <v/>
      </c>
      <c r="O94" s="65"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2" t="str">
        <f t="shared" si="7"/>
        <v/>
      </c>
      <c r="O95" s="65"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2" t="str">
        <f t="shared" si="7"/>
        <v/>
      </c>
      <c r="O96" s="65"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2" t="str">
        <f t="shared" si="7"/>
        <v/>
      </c>
      <c r="O97" s="65"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2" t="str">
        <f t="shared" si="7"/>
        <v/>
      </c>
      <c r="O98" s="65"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2" t="str">
        <f t="shared" si="7"/>
        <v/>
      </c>
      <c r="O99" s="65"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2" t="str">
        <f t="shared" si="7"/>
        <v/>
      </c>
      <c r="O100" s="65"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2" t="str">
        <f t="shared" si="7"/>
        <v/>
      </c>
      <c r="O101" s="65"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2" t="str">
        <f t="shared" si="7"/>
        <v/>
      </c>
      <c r="O102" s="65"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2" t="str">
        <f t="shared" si="7"/>
        <v/>
      </c>
      <c r="O103" s="65"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2" t="str">
        <f t="shared" si="7"/>
        <v/>
      </c>
      <c r="O104" s="65"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2" t="str">
        <f t="shared" si="7"/>
        <v/>
      </c>
      <c r="O105" s="65"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2" t="str">
        <f t="shared" si="7"/>
        <v/>
      </c>
      <c r="O106" s="65"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2" t="str">
        <f t="shared" si="7"/>
        <v/>
      </c>
      <c r="O107" s="65"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2" t="str">
        <f t="shared" si="7"/>
        <v/>
      </c>
      <c r="O108" s="65"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2" t="str">
        <f t="shared" si="7"/>
        <v/>
      </c>
      <c r="O109" s="65"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2" t="str">
        <f t="shared" si="7"/>
        <v/>
      </c>
      <c r="O110" s="65"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2" t="str">
        <f t="shared" si="7"/>
        <v/>
      </c>
      <c r="O111" s="65"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2" t="str">
        <f t="shared" si="7"/>
        <v/>
      </c>
      <c r="O112" s="65"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2" t="str">
        <f t="shared" si="7"/>
        <v/>
      </c>
      <c r="O113" s="65"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2" t="str">
        <f t="shared" si="7"/>
        <v/>
      </c>
      <c r="O114" s="65"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2" t="str">
        <f t="shared" si="7"/>
        <v/>
      </c>
      <c r="O115" s="65"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2" t="str">
        <f t="shared" si="7"/>
        <v/>
      </c>
      <c r="O116" s="65"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2" t="str">
        <f t="shared" si="7"/>
        <v/>
      </c>
      <c r="O117" s="65"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2" t="str">
        <f t="shared" si="7"/>
        <v/>
      </c>
      <c r="O118" s="65"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2" t="str">
        <f t="shared" si="7"/>
        <v/>
      </c>
      <c r="O119" s="65"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2" t="str">
        <f t="shared" si="7"/>
        <v/>
      </c>
      <c r="O120" s="65"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2" t="str">
        <f t="shared" si="7"/>
        <v/>
      </c>
      <c r="O121" s="65"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2" t="str">
        <f t="shared" si="7"/>
        <v/>
      </c>
      <c r="O122" s="65"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2" t="str">
        <f t="shared" si="7"/>
        <v/>
      </c>
      <c r="O123" s="65"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2" t="str">
        <f t="shared" si="7"/>
        <v/>
      </c>
      <c r="O124" s="65"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2" t="str">
        <f t="shared" si="7"/>
        <v/>
      </c>
      <c r="O125" s="65"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2" t="str">
        <f t="shared" si="7"/>
        <v/>
      </c>
      <c r="O126" s="65"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2" t="str">
        <f t="shared" si="7"/>
        <v/>
      </c>
      <c r="O127" s="65"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2" t="str">
        <f t="shared" si="7"/>
        <v/>
      </c>
      <c r="O128" s="65"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2" t="str">
        <f t="shared" si="7"/>
        <v/>
      </c>
      <c r="O129" s="65"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2" t="str">
        <f t="shared" si="7"/>
        <v/>
      </c>
      <c r="O130" s="65"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2" t="str">
        <f t="shared" si="7"/>
        <v/>
      </c>
      <c r="O131" s="65"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2" t="str">
        <f t="shared" si="7"/>
        <v/>
      </c>
      <c r="O132" s="65"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2" t="str">
        <f t="shared" si="7"/>
        <v/>
      </c>
      <c r="O133" s="65"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2" t="str">
        <f t="shared" si="7"/>
        <v/>
      </c>
      <c r="O134" s="65"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2" t="str">
        <f t="shared" ref="N135:N198" si="13">IF($C135="","",($L135-($M135/2)))</f>
        <v/>
      </c>
      <c r="O135" s="65" t="str">
        <f t="shared" ref="O135:O198" si="14">IF($C135="","",IF(TRIM($B135)="beginning",(((SUM($P135:$R135)-6444)/1960)*40)+360,IF(TRIM($B135)="middle",(((SUM($P135:$R135)-6444)/1960)*40)+400,IF(TRIM($B135)="end",(((SUM($P135:$R135)-6444)/1960)*40)+440,""))))</f>
        <v/>
      </c>
      <c r="P135" s="5" t="str">
        <f t="shared" ref="P135:P198" si="15">IF($C135="","",I135*40.55)</f>
        <v/>
      </c>
      <c r="Q135" s="5" t="str">
        <f t="shared" ref="Q135:Q198" si="16">IF($C135="","",K135*0.06)</f>
        <v/>
      </c>
      <c r="R135" s="5" t="str">
        <f t="shared" ref="R135:R198" si="17">IF($C135="","",N135*7.34)</f>
        <v/>
      </c>
    </row>
    <row r="136" spans="1:18">
      <c r="A136" s="91"/>
      <c r="B136" s="92"/>
      <c r="C136" s="69"/>
      <c r="D136" s="69"/>
      <c r="E136" s="69"/>
      <c r="F136" s="69"/>
      <c r="G136" s="70"/>
      <c r="H136" s="71"/>
      <c r="I136" s="66"/>
      <c r="J136" s="67"/>
      <c r="K136" s="145" t="str">
        <f t="shared" si="12"/>
        <v/>
      </c>
      <c r="L136" s="64"/>
      <c r="M136" s="64"/>
      <c r="N136" s="152" t="str">
        <f t="shared" si="13"/>
        <v/>
      </c>
      <c r="O136" s="65"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2" t="str">
        <f t="shared" si="13"/>
        <v/>
      </c>
      <c r="O137" s="65"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2" t="str">
        <f t="shared" si="13"/>
        <v/>
      </c>
      <c r="O138" s="65"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2" t="str">
        <f t="shared" si="13"/>
        <v/>
      </c>
      <c r="O139" s="65"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2" t="str">
        <f t="shared" si="13"/>
        <v/>
      </c>
      <c r="O140" s="65"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2" t="str">
        <f t="shared" si="13"/>
        <v/>
      </c>
      <c r="O141" s="65"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2" t="str">
        <f t="shared" si="13"/>
        <v/>
      </c>
      <c r="O142" s="65"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2" t="str">
        <f t="shared" si="13"/>
        <v/>
      </c>
      <c r="O143" s="65"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2" t="str">
        <f t="shared" si="13"/>
        <v/>
      </c>
      <c r="O144" s="65"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2" t="str">
        <f t="shared" si="13"/>
        <v/>
      </c>
      <c r="O145" s="65"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2" t="str">
        <f t="shared" si="13"/>
        <v/>
      </c>
      <c r="O146" s="65"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2" t="str">
        <f t="shared" si="13"/>
        <v/>
      </c>
      <c r="O147" s="65"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2" t="str">
        <f t="shared" si="13"/>
        <v/>
      </c>
      <c r="O148" s="65"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2" t="str">
        <f t="shared" si="13"/>
        <v/>
      </c>
      <c r="O149" s="65"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2" t="str">
        <f t="shared" si="13"/>
        <v/>
      </c>
      <c r="O150" s="65"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2" t="str">
        <f t="shared" si="13"/>
        <v/>
      </c>
      <c r="O151" s="65"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2" t="str">
        <f t="shared" si="13"/>
        <v/>
      </c>
      <c r="O152" s="65"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2" t="str">
        <f t="shared" si="13"/>
        <v/>
      </c>
      <c r="O153" s="65"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2" t="str">
        <f t="shared" si="13"/>
        <v/>
      </c>
      <c r="O154" s="65"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2" t="str">
        <f t="shared" si="13"/>
        <v/>
      </c>
      <c r="O155" s="65"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2" t="str">
        <f t="shared" si="13"/>
        <v/>
      </c>
      <c r="O156" s="65"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2" t="str">
        <f t="shared" si="13"/>
        <v/>
      </c>
      <c r="O157" s="65"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2" t="str">
        <f t="shared" si="13"/>
        <v/>
      </c>
      <c r="O158" s="65"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2" t="str">
        <f t="shared" si="13"/>
        <v/>
      </c>
      <c r="O159" s="65"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2" t="str">
        <f t="shared" si="13"/>
        <v/>
      </c>
      <c r="O160" s="65"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2" t="str">
        <f t="shared" si="13"/>
        <v/>
      </c>
      <c r="O161" s="65"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2" t="str">
        <f t="shared" si="13"/>
        <v/>
      </c>
      <c r="O162" s="65"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2" t="str">
        <f t="shared" si="13"/>
        <v/>
      </c>
      <c r="O163" s="65"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2" t="str">
        <f t="shared" si="13"/>
        <v/>
      </c>
      <c r="O164" s="65"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2" t="str">
        <f t="shared" si="13"/>
        <v/>
      </c>
      <c r="O165" s="65"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2" t="str">
        <f t="shared" si="13"/>
        <v/>
      </c>
      <c r="O166" s="65"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2" t="str">
        <f t="shared" si="13"/>
        <v/>
      </c>
      <c r="O167" s="65"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2" t="str">
        <f t="shared" si="13"/>
        <v/>
      </c>
      <c r="O168" s="65"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2" t="str">
        <f t="shared" si="13"/>
        <v/>
      </c>
      <c r="O169" s="65"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2" t="str">
        <f t="shared" si="13"/>
        <v/>
      </c>
      <c r="O170" s="65"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2" t="str">
        <f t="shared" si="13"/>
        <v/>
      </c>
      <c r="O171" s="65"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2" t="str">
        <f t="shared" si="13"/>
        <v/>
      </c>
      <c r="O172" s="65"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2" t="str">
        <f t="shared" si="13"/>
        <v/>
      </c>
      <c r="O173" s="65"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2" t="str">
        <f t="shared" si="13"/>
        <v/>
      </c>
      <c r="O174" s="65"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2" t="str">
        <f t="shared" si="13"/>
        <v/>
      </c>
      <c r="O175" s="65"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2" t="str">
        <f t="shared" si="13"/>
        <v/>
      </c>
      <c r="O176" s="65"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2" t="str">
        <f t="shared" si="13"/>
        <v/>
      </c>
      <c r="O177" s="65"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2" t="str">
        <f t="shared" si="13"/>
        <v/>
      </c>
      <c r="O178" s="65"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2" t="str">
        <f t="shared" si="13"/>
        <v/>
      </c>
      <c r="O179" s="65"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2" t="str">
        <f t="shared" si="13"/>
        <v/>
      </c>
      <c r="O180" s="65"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2" t="str">
        <f t="shared" si="13"/>
        <v/>
      </c>
      <c r="O181" s="65"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2" t="str">
        <f t="shared" si="13"/>
        <v/>
      </c>
      <c r="O182" s="65"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2" t="str">
        <f t="shared" si="13"/>
        <v/>
      </c>
      <c r="O183" s="65"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2" t="str">
        <f t="shared" si="13"/>
        <v/>
      </c>
      <c r="O184" s="65"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2" t="str">
        <f t="shared" si="13"/>
        <v/>
      </c>
      <c r="O185" s="65"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2" t="str">
        <f t="shared" si="13"/>
        <v/>
      </c>
      <c r="O186" s="65"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2" t="str">
        <f t="shared" si="13"/>
        <v/>
      </c>
      <c r="O187" s="65"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2" t="str">
        <f t="shared" si="13"/>
        <v/>
      </c>
      <c r="O188" s="65"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2" t="str">
        <f t="shared" si="13"/>
        <v/>
      </c>
      <c r="O189" s="65"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2" t="str">
        <f t="shared" si="13"/>
        <v/>
      </c>
      <c r="O190" s="65"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2" t="str">
        <f t="shared" si="13"/>
        <v/>
      </c>
      <c r="O191" s="65"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2" t="str">
        <f t="shared" si="13"/>
        <v/>
      </c>
      <c r="O192" s="65"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2" t="str">
        <f t="shared" si="13"/>
        <v/>
      </c>
      <c r="O193" s="65"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2" t="str">
        <f t="shared" si="13"/>
        <v/>
      </c>
      <c r="O194" s="65"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2" t="str">
        <f t="shared" si="13"/>
        <v/>
      </c>
      <c r="O195" s="65"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2" t="str">
        <f t="shared" si="13"/>
        <v/>
      </c>
      <c r="O196" s="65"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2" t="str">
        <f t="shared" si="13"/>
        <v/>
      </c>
      <c r="O197" s="65"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2" t="str">
        <f t="shared" si="13"/>
        <v/>
      </c>
      <c r="O198" s="65"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2" t="str">
        <f t="shared" ref="N199:N262" si="19">IF($C199="","",($L199-($M199/2)))</f>
        <v/>
      </c>
      <c r="O199" s="65" t="str">
        <f t="shared" ref="O199:O262" si="20">IF($C199="","",IF(TRIM($B199)="beginning",(((SUM($P199:$R199)-6444)/1960)*40)+360,IF(TRIM($B199)="middle",(((SUM($P199:$R199)-6444)/1960)*40)+400,IF(TRIM($B199)="end",(((SUM($P199:$R199)-6444)/1960)*40)+440,""))))</f>
        <v/>
      </c>
      <c r="P199" s="5" t="str">
        <f t="shared" ref="P199:P262" si="21">IF($C199="","",I199*40.55)</f>
        <v/>
      </c>
      <c r="Q199" s="5" t="str">
        <f t="shared" ref="Q199:Q262" si="22">IF($C199="","",K199*0.06)</f>
        <v/>
      </c>
      <c r="R199" s="5" t="str">
        <f t="shared" ref="R199:R262" si="23">IF($C199="","",N199*7.34)</f>
        <v/>
      </c>
    </row>
    <row r="200" spans="1:18">
      <c r="A200" s="91"/>
      <c r="B200" s="92"/>
      <c r="C200" s="69"/>
      <c r="D200" s="69"/>
      <c r="E200" s="69"/>
      <c r="F200" s="69"/>
      <c r="G200" s="70"/>
      <c r="H200" s="71"/>
      <c r="I200" s="66"/>
      <c r="J200" s="67"/>
      <c r="K200" s="145" t="str">
        <f t="shared" si="18"/>
        <v/>
      </c>
      <c r="L200" s="64"/>
      <c r="M200" s="64"/>
      <c r="N200" s="152" t="str">
        <f t="shared" si="19"/>
        <v/>
      </c>
      <c r="O200" s="65"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2" t="str">
        <f t="shared" si="19"/>
        <v/>
      </c>
      <c r="O201" s="65"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2" t="str">
        <f t="shared" si="19"/>
        <v/>
      </c>
      <c r="O202" s="65"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2" t="str">
        <f t="shared" si="19"/>
        <v/>
      </c>
      <c r="O203" s="65"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2" t="str">
        <f t="shared" si="19"/>
        <v/>
      </c>
      <c r="O204" s="65"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2" t="str">
        <f t="shared" si="19"/>
        <v/>
      </c>
      <c r="O205" s="65"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2" t="str">
        <f t="shared" si="19"/>
        <v/>
      </c>
      <c r="O206" s="65"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2" t="str">
        <f t="shared" si="19"/>
        <v/>
      </c>
      <c r="O207" s="65"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2" t="str">
        <f t="shared" si="19"/>
        <v/>
      </c>
      <c r="O208" s="65"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2" t="str">
        <f t="shared" si="19"/>
        <v/>
      </c>
      <c r="O209" s="65"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2" t="str">
        <f t="shared" si="19"/>
        <v/>
      </c>
      <c r="O210" s="65"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2" t="str">
        <f t="shared" si="19"/>
        <v/>
      </c>
      <c r="O211" s="65"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2" t="str">
        <f t="shared" si="19"/>
        <v/>
      </c>
      <c r="O212" s="65"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2" t="str">
        <f t="shared" si="19"/>
        <v/>
      </c>
      <c r="O213" s="65"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2" t="str">
        <f t="shared" si="19"/>
        <v/>
      </c>
      <c r="O214" s="65"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2" t="str">
        <f t="shared" si="19"/>
        <v/>
      </c>
      <c r="O215" s="65"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2" t="str">
        <f t="shared" si="19"/>
        <v/>
      </c>
      <c r="O216" s="65"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2" t="str">
        <f t="shared" si="19"/>
        <v/>
      </c>
      <c r="O217" s="65"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2" t="str">
        <f t="shared" si="19"/>
        <v/>
      </c>
      <c r="O218" s="65"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2" t="str">
        <f t="shared" si="19"/>
        <v/>
      </c>
      <c r="O219" s="65"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2" t="str">
        <f t="shared" si="19"/>
        <v/>
      </c>
      <c r="O220" s="65"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2" t="str">
        <f t="shared" si="19"/>
        <v/>
      </c>
      <c r="O221" s="65"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2" t="str">
        <f t="shared" si="19"/>
        <v/>
      </c>
      <c r="O222" s="65"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2" t="str">
        <f t="shared" si="19"/>
        <v/>
      </c>
      <c r="O223" s="65"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2" t="str">
        <f t="shared" si="19"/>
        <v/>
      </c>
      <c r="O224" s="65"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2" t="str">
        <f t="shared" si="19"/>
        <v/>
      </c>
      <c r="O225" s="65"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2" t="str">
        <f t="shared" si="19"/>
        <v/>
      </c>
      <c r="O226" s="65"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2" t="str">
        <f t="shared" si="19"/>
        <v/>
      </c>
      <c r="O227" s="65"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2" t="str">
        <f t="shared" si="19"/>
        <v/>
      </c>
      <c r="O228" s="65"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2" t="str">
        <f t="shared" si="19"/>
        <v/>
      </c>
      <c r="O229" s="65"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2" t="str">
        <f t="shared" si="19"/>
        <v/>
      </c>
      <c r="O230" s="65"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2" t="str">
        <f t="shared" si="19"/>
        <v/>
      </c>
      <c r="O231" s="65"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2" t="str">
        <f t="shared" si="19"/>
        <v/>
      </c>
      <c r="O232" s="65"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2" t="str">
        <f t="shared" si="19"/>
        <v/>
      </c>
      <c r="O233" s="65"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2" t="str">
        <f t="shared" si="19"/>
        <v/>
      </c>
      <c r="O234" s="65"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2" t="str">
        <f t="shared" si="19"/>
        <v/>
      </c>
      <c r="O235" s="65"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2" t="str">
        <f t="shared" si="19"/>
        <v/>
      </c>
      <c r="O236" s="65"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2" t="str">
        <f t="shared" si="19"/>
        <v/>
      </c>
      <c r="O237" s="65"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2" t="str">
        <f t="shared" si="19"/>
        <v/>
      </c>
      <c r="O238" s="65"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2" t="str">
        <f t="shared" si="19"/>
        <v/>
      </c>
      <c r="O239" s="65"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2" t="str">
        <f t="shared" si="19"/>
        <v/>
      </c>
      <c r="O240" s="65"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2" t="str">
        <f t="shared" si="19"/>
        <v/>
      </c>
      <c r="O241" s="65"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2" t="str">
        <f t="shared" si="19"/>
        <v/>
      </c>
      <c r="O242" s="65"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2" t="str">
        <f t="shared" si="19"/>
        <v/>
      </c>
      <c r="O243" s="65"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2" t="str">
        <f t="shared" si="19"/>
        <v/>
      </c>
      <c r="O244" s="65"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2" t="str">
        <f t="shared" si="19"/>
        <v/>
      </c>
      <c r="O245" s="65"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2" t="str">
        <f t="shared" si="19"/>
        <v/>
      </c>
      <c r="O246" s="65"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2" t="str">
        <f t="shared" si="19"/>
        <v/>
      </c>
      <c r="O247" s="65"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2" t="str">
        <f t="shared" si="19"/>
        <v/>
      </c>
      <c r="O248" s="65"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2" t="str">
        <f t="shared" si="19"/>
        <v/>
      </c>
      <c r="O249" s="65"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2" t="str">
        <f t="shared" si="19"/>
        <v/>
      </c>
      <c r="O250" s="65"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2" t="str">
        <f t="shared" si="19"/>
        <v/>
      </c>
      <c r="O251" s="65"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2" t="str">
        <f t="shared" si="19"/>
        <v/>
      </c>
      <c r="O252" s="65"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2" t="str">
        <f t="shared" si="19"/>
        <v/>
      </c>
      <c r="O253" s="65"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2" t="str">
        <f t="shared" si="19"/>
        <v/>
      </c>
      <c r="O254" s="65"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2" t="str">
        <f t="shared" si="19"/>
        <v/>
      </c>
      <c r="O255" s="65"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2" t="str">
        <f t="shared" si="19"/>
        <v/>
      </c>
      <c r="O256" s="65"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2" t="str">
        <f t="shared" si="19"/>
        <v/>
      </c>
      <c r="O257" s="65"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2" t="str">
        <f t="shared" si="19"/>
        <v/>
      </c>
      <c r="O258" s="65"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2" t="str">
        <f t="shared" si="19"/>
        <v/>
      </c>
      <c r="O259" s="65"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2" t="str">
        <f t="shared" si="19"/>
        <v/>
      </c>
      <c r="O260" s="65"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2" t="str">
        <f t="shared" si="19"/>
        <v/>
      </c>
      <c r="O261" s="65"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2" t="str">
        <f t="shared" si="19"/>
        <v/>
      </c>
      <c r="O262" s="65"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2" t="str">
        <f t="shared" ref="N263:N326" si="25">IF($C263="","",($L263-($M263/2)))</f>
        <v/>
      </c>
      <c r="O263" s="65" t="str">
        <f t="shared" ref="O263:O326" si="26">IF($C263="","",IF(TRIM($B263)="beginning",(((SUM($P263:$R263)-6444)/1960)*40)+360,IF(TRIM($B263)="middle",(((SUM($P263:$R263)-6444)/1960)*40)+400,IF(TRIM($B263)="end",(((SUM($P263:$R263)-6444)/1960)*40)+440,""))))</f>
        <v/>
      </c>
      <c r="P263" s="5" t="str">
        <f t="shared" ref="P263:P326" si="27">IF($C263="","",I263*40.55)</f>
        <v/>
      </c>
      <c r="Q263" s="5" t="str">
        <f t="shared" ref="Q263:Q326" si="28">IF($C263="","",K263*0.06)</f>
        <v/>
      </c>
      <c r="R263" s="5" t="str">
        <f t="shared" ref="R263:R326" si="29">IF($C263="","",N263*7.34)</f>
        <v/>
      </c>
    </row>
    <row r="264" spans="1:18">
      <c r="A264" s="91"/>
      <c r="B264" s="92"/>
      <c r="C264" s="69"/>
      <c r="D264" s="69"/>
      <c r="E264" s="69"/>
      <c r="F264" s="69"/>
      <c r="G264" s="70"/>
      <c r="H264" s="71"/>
      <c r="I264" s="66"/>
      <c r="J264" s="67"/>
      <c r="K264" s="145" t="str">
        <f t="shared" si="24"/>
        <v/>
      </c>
      <c r="L264" s="64"/>
      <c r="M264" s="64"/>
      <c r="N264" s="152" t="str">
        <f t="shared" si="25"/>
        <v/>
      </c>
      <c r="O264" s="65"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2" t="str">
        <f t="shared" si="25"/>
        <v/>
      </c>
      <c r="O265" s="65"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2" t="str">
        <f t="shared" si="25"/>
        <v/>
      </c>
      <c r="O266" s="65"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2" t="str">
        <f t="shared" si="25"/>
        <v/>
      </c>
      <c r="O267" s="65"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2" t="str">
        <f t="shared" si="25"/>
        <v/>
      </c>
      <c r="O268" s="65"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2" t="str">
        <f t="shared" si="25"/>
        <v/>
      </c>
      <c r="O269" s="65"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2" t="str">
        <f t="shared" si="25"/>
        <v/>
      </c>
      <c r="O270" s="65"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2" t="str">
        <f t="shared" si="25"/>
        <v/>
      </c>
      <c r="O271" s="65"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2" t="str">
        <f t="shared" si="25"/>
        <v/>
      </c>
      <c r="O272" s="65"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2" t="str">
        <f t="shared" si="25"/>
        <v/>
      </c>
      <c r="O273" s="65"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2" t="str">
        <f t="shared" si="25"/>
        <v/>
      </c>
      <c r="O274" s="65"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2" t="str">
        <f t="shared" si="25"/>
        <v/>
      </c>
      <c r="O275" s="65"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2" t="str">
        <f t="shared" si="25"/>
        <v/>
      </c>
      <c r="O276" s="65"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2" t="str">
        <f t="shared" si="25"/>
        <v/>
      </c>
      <c r="O277" s="65"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2" t="str">
        <f t="shared" si="25"/>
        <v/>
      </c>
      <c r="O278" s="65"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2" t="str">
        <f t="shared" si="25"/>
        <v/>
      </c>
      <c r="O279" s="65"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2" t="str">
        <f t="shared" si="25"/>
        <v/>
      </c>
      <c r="O280" s="65"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2" t="str">
        <f t="shared" si="25"/>
        <v/>
      </c>
      <c r="O281" s="65"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2" t="str">
        <f t="shared" si="25"/>
        <v/>
      </c>
      <c r="O282" s="65"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2" t="str">
        <f t="shared" si="25"/>
        <v/>
      </c>
      <c r="O283" s="65"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2" t="str">
        <f t="shared" si="25"/>
        <v/>
      </c>
      <c r="O284" s="65"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2" t="str">
        <f t="shared" si="25"/>
        <v/>
      </c>
      <c r="O285" s="65"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2" t="str">
        <f t="shared" si="25"/>
        <v/>
      </c>
      <c r="O286" s="65"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2" t="str">
        <f t="shared" si="25"/>
        <v/>
      </c>
      <c r="O287" s="65"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2" t="str">
        <f t="shared" si="25"/>
        <v/>
      </c>
      <c r="O288" s="65"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2" t="str">
        <f t="shared" si="25"/>
        <v/>
      </c>
      <c r="O289" s="65"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2" t="str">
        <f t="shared" si="25"/>
        <v/>
      </c>
      <c r="O290" s="65"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2" t="str">
        <f t="shared" si="25"/>
        <v/>
      </c>
      <c r="O291" s="65"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2" t="str">
        <f t="shared" si="25"/>
        <v/>
      </c>
      <c r="O292" s="65"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2" t="str">
        <f t="shared" si="25"/>
        <v/>
      </c>
      <c r="O293" s="65"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2" t="str">
        <f t="shared" si="25"/>
        <v/>
      </c>
      <c r="O294" s="65"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2" t="str">
        <f t="shared" si="25"/>
        <v/>
      </c>
      <c r="O295" s="65"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2" t="str">
        <f t="shared" si="25"/>
        <v/>
      </c>
      <c r="O296" s="65"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2" t="str">
        <f t="shared" si="25"/>
        <v/>
      </c>
      <c r="O297" s="65"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2" t="str">
        <f t="shared" si="25"/>
        <v/>
      </c>
      <c r="O298" s="65"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2" t="str">
        <f t="shared" si="25"/>
        <v/>
      </c>
      <c r="O299" s="65"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2" t="str">
        <f t="shared" si="25"/>
        <v/>
      </c>
      <c r="O300" s="65"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2" t="str">
        <f t="shared" si="25"/>
        <v/>
      </c>
      <c r="O301" s="65"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2" t="str">
        <f t="shared" si="25"/>
        <v/>
      </c>
      <c r="O302" s="65"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2" t="str">
        <f t="shared" si="25"/>
        <v/>
      </c>
      <c r="O303" s="65"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2" t="str">
        <f t="shared" si="25"/>
        <v/>
      </c>
      <c r="O304" s="65"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2" t="str">
        <f t="shared" si="25"/>
        <v/>
      </c>
      <c r="O305" s="65"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2" t="str">
        <f t="shared" si="25"/>
        <v/>
      </c>
      <c r="O306" s="65"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2" t="str">
        <f t="shared" si="25"/>
        <v/>
      </c>
      <c r="O307" s="65"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2" t="str">
        <f t="shared" si="25"/>
        <v/>
      </c>
      <c r="O308" s="65"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2" t="str">
        <f t="shared" si="25"/>
        <v/>
      </c>
      <c r="O309" s="65"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2" t="str">
        <f t="shared" si="25"/>
        <v/>
      </c>
      <c r="O310" s="65"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2" t="str">
        <f t="shared" si="25"/>
        <v/>
      </c>
      <c r="O311" s="65"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2" t="str">
        <f t="shared" si="25"/>
        <v/>
      </c>
      <c r="O312" s="65"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2" t="str">
        <f t="shared" si="25"/>
        <v/>
      </c>
      <c r="O313" s="65"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2" t="str">
        <f t="shared" si="25"/>
        <v/>
      </c>
      <c r="O314" s="65"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2" t="str">
        <f t="shared" si="25"/>
        <v/>
      </c>
      <c r="O315" s="65"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2" t="str">
        <f t="shared" si="25"/>
        <v/>
      </c>
      <c r="O316" s="65"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2" t="str">
        <f t="shared" si="25"/>
        <v/>
      </c>
      <c r="O317" s="65"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2" t="str">
        <f t="shared" si="25"/>
        <v/>
      </c>
      <c r="O318" s="65"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2" t="str">
        <f t="shared" si="25"/>
        <v/>
      </c>
      <c r="O319" s="65"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2" t="str">
        <f t="shared" si="25"/>
        <v/>
      </c>
      <c r="O320" s="65"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2" t="str">
        <f t="shared" si="25"/>
        <v/>
      </c>
      <c r="O321" s="65"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2" t="str">
        <f t="shared" si="25"/>
        <v/>
      </c>
      <c r="O322" s="65"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2" t="str">
        <f t="shared" si="25"/>
        <v/>
      </c>
      <c r="O323" s="65"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2" t="str">
        <f t="shared" si="25"/>
        <v/>
      </c>
      <c r="O324" s="65"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2" t="str">
        <f t="shared" si="25"/>
        <v/>
      </c>
      <c r="O325" s="65"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2" t="str">
        <f t="shared" si="25"/>
        <v/>
      </c>
      <c r="O326" s="65"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2" t="str">
        <f t="shared" ref="N327:N390" si="31">IF($C327="","",($L327-($M327/2)))</f>
        <v/>
      </c>
      <c r="O327" s="65" t="str">
        <f t="shared" ref="O327:O390" si="32">IF($C327="","",IF(TRIM($B327)="beginning",(((SUM($P327:$R327)-6444)/1960)*40)+360,IF(TRIM($B327)="middle",(((SUM($P327:$R327)-6444)/1960)*40)+400,IF(TRIM($B327)="end",(((SUM($P327:$R327)-6444)/1960)*40)+440,""))))</f>
        <v/>
      </c>
      <c r="P327" s="5" t="str">
        <f t="shared" ref="P327:P390" si="33">IF($C327="","",I327*40.55)</f>
        <v/>
      </c>
      <c r="Q327" s="5" t="str">
        <f t="shared" ref="Q327:Q390" si="34">IF($C327="","",K327*0.06)</f>
        <v/>
      </c>
      <c r="R327" s="5" t="str">
        <f t="shared" ref="R327:R390" si="35">IF($C327="","",N327*7.34)</f>
        <v/>
      </c>
    </row>
    <row r="328" spans="1:18">
      <c r="A328" s="91"/>
      <c r="B328" s="92"/>
      <c r="C328" s="69"/>
      <c r="D328" s="69"/>
      <c r="E328" s="69"/>
      <c r="F328" s="69"/>
      <c r="G328" s="70"/>
      <c r="H328" s="71"/>
      <c r="I328" s="66"/>
      <c r="J328" s="67"/>
      <c r="K328" s="145" t="str">
        <f t="shared" si="30"/>
        <v/>
      </c>
      <c r="L328" s="64"/>
      <c r="M328" s="64"/>
      <c r="N328" s="152" t="str">
        <f t="shared" si="31"/>
        <v/>
      </c>
      <c r="O328" s="65"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2" t="str">
        <f t="shared" si="31"/>
        <v/>
      </c>
      <c r="O329" s="65"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2" t="str">
        <f t="shared" si="31"/>
        <v/>
      </c>
      <c r="O330" s="65"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2" t="str">
        <f t="shared" si="31"/>
        <v/>
      </c>
      <c r="O331" s="65"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2" t="str">
        <f t="shared" si="31"/>
        <v/>
      </c>
      <c r="O332" s="65"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2" t="str">
        <f t="shared" si="31"/>
        <v/>
      </c>
      <c r="O333" s="65"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2" t="str">
        <f t="shared" si="31"/>
        <v/>
      </c>
      <c r="O334" s="65"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2" t="str">
        <f t="shared" si="31"/>
        <v/>
      </c>
      <c r="O335" s="65"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2" t="str">
        <f t="shared" si="31"/>
        <v/>
      </c>
      <c r="O336" s="65"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2" t="str">
        <f t="shared" si="31"/>
        <v/>
      </c>
      <c r="O337" s="65"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2" t="str">
        <f t="shared" si="31"/>
        <v/>
      </c>
      <c r="O338" s="65"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2" t="str">
        <f t="shared" si="31"/>
        <v/>
      </c>
      <c r="O339" s="65"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2" t="str">
        <f t="shared" si="31"/>
        <v/>
      </c>
      <c r="O340" s="65"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2" t="str">
        <f t="shared" si="31"/>
        <v/>
      </c>
      <c r="O341" s="65"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2" t="str">
        <f t="shared" si="31"/>
        <v/>
      </c>
      <c r="O342" s="65"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2" t="str">
        <f t="shared" si="31"/>
        <v/>
      </c>
      <c r="O343" s="65"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2" t="str">
        <f t="shared" si="31"/>
        <v/>
      </c>
      <c r="O344" s="65"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2" t="str">
        <f t="shared" si="31"/>
        <v/>
      </c>
      <c r="O345" s="65"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2" t="str">
        <f t="shared" si="31"/>
        <v/>
      </c>
      <c r="O346" s="65"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2" t="str">
        <f t="shared" si="31"/>
        <v/>
      </c>
      <c r="O347" s="65"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2" t="str">
        <f t="shared" si="31"/>
        <v/>
      </c>
      <c r="O348" s="65"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2" t="str">
        <f t="shared" si="31"/>
        <v/>
      </c>
      <c r="O349" s="65"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2" t="str">
        <f t="shared" si="31"/>
        <v/>
      </c>
      <c r="O350" s="65"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2" t="str">
        <f t="shared" si="31"/>
        <v/>
      </c>
      <c r="O351" s="65"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2" t="str">
        <f t="shared" si="31"/>
        <v/>
      </c>
      <c r="O352" s="65"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2" t="str">
        <f t="shared" si="31"/>
        <v/>
      </c>
      <c r="O353" s="65"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2" t="str">
        <f t="shared" si="31"/>
        <v/>
      </c>
      <c r="O354" s="65"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2" t="str">
        <f t="shared" si="31"/>
        <v/>
      </c>
      <c r="O355" s="65"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2" t="str">
        <f t="shared" si="31"/>
        <v/>
      </c>
      <c r="O356" s="65"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2" t="str">
        <f t="shared" si="31"/>
        <v/>
      </c>
      <c r="O357" s="65"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2" t="str">
        <f t="shared" si="31"/>
        <v/>
      </c>
      <c r="O358" s="65"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2" t="str">
        <f t="shared" si="31"/>
        <v/>
      </c>
      <c r="O359" s="65"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2" t="str">
        <f t="shared" si="31"/>
        <v/>
      </c>
      <c r="O360" s="65"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2" t="str">
        <f t="shared" si="31"/>
        <v/>
      </c>
      <c r="O361" s="65"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2" t="str">
        <f t="shared" si="31"/>
        <v/>
      </c>
      <c r="O362" s="65"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2" t="str">
        <f t="shared" si="31"/>
        <v/>
      </c>
      <c r="O363" s="65"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2" t="str">
        <f t="shared" si="31"/>
        <v/>
      </c>
      <c r="O364" s="65"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2" t="str">
        <f t="shared" si="31"/>
        <v/>
      </c>
      <c r="O365" s="65"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2" t="str">
        <f t="shared" si="31"/>
        <v/>
      </c>
      <c r="O366" s="65"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2" t="str">
        <f t="shared" si="31"/>
        <v/>
      </c>
      <c r="O367" s="65"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2" t="str">
        <f t="shared" si="31"/>
        <v/>
      </c>
      <c r="O368" s="65"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2" t="str">
        <f t="shared" si="31"/>
        <v/>
      </c>
      <c r="O369" s="65"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2" t="str">
        <f t="shared" si="31"/>
        <v/>
      </c>
      <c r="O370" s="65"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2" t="str">
        <f t="shared" si="31"/>
        <v/>
      </c>
      <c r="O371" s="65"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2" t="str">
        <f t="shared" si="31"/>
        <v/>
      </c>
      <c r="O372" s="65"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2" t="str">
        <f t="shared" si="31"/>
        <v/>
      </c>
      <c r="O373" s="65"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2" t="str">
        <f t="shared" si="31"/>
        <v/>
      </c>
      <c r="O374" s="65"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2" t="str">
        <f t="shared" si="31"/>
        <v/>
      </c>
      <c r="O375" s="65"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2" t="str">
        <f t="shared" si="31"/>
        <v/>
      </c>
      <c r="O376" s="65"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2" t="str">
        <f t="shared" si="31"/>
        <v/>
      </c>
      <c r="O377" s="65"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2" t="str">
        <f t="shared" si="31"/>
        <v/>
      </c>
      <c r="O378" s="65"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2" t="str">
        <f t="shared" si="31"/>
        <v/>
      </c>
      <c r="O379" s="65"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2" t="str">
        <f t="shared" si="31"/>
        <v/>
      </c>
      <c r="O380" s="65"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2" t="str">
        <f t="shared" si="31"/>
        <v/>
      </c>
      <c r="O381" s="65"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2" t="str">
        <f t="shared" si="31"/>
        <v/>
      </c>
      <c r="O382" s="65"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2" t="str">
        <f t="shared" si="31"/>
        <v/>
      </c>
      <c r="O383" s="65"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2" t="str">
        <f t="shared" si="31"/>
        <v/>
      </c>
      <c r="O384" s="65"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2" t="str">
        <f t="shared" si="31"/>
        <v/>
      </c>
      <c r="O385" s="65"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2" t="str">
        <f t="shared" si="31"/>
        <v/>
      </c>
      <c r="O386" s="65"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2" t="str">
        <f t="shared" si="31"/>
        <v/>
      </c>
      <c r="O387" s="65"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2" t="str">
        <f t="shared" si="31"/>
        <v/>
      </c>
      <c r="O388" s="65"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2" t="str">
        <f t="shared" si="31"/>
        <v/>
      </c>
      <c r="O389" s="65"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2" t="str">
        <f t="shared" si="31"/>
        <v/>
      </c>
      <c r="O390" s="65"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2" t="str">
        <f t="shared" ref="N391:N430" si="37">IF($C391="","",($L391-($M391/2)))</f>
        <v/>
      </c>
      <c r="O391" s="65" t="str">
        <f t="shared" ref="O391:O430" si="38">IF($C391="","",IF(TRIM($B391)="beginning",(((SUM($P391:$R391)-6444)/1960)*40)+360,IF(TRIM($B391)="middle",(((SUM($P391:$R391)-6444)/1960)*40)+400,IF(TRIM($B391)="end",(((SUM($P391:$R391)-6444)/1960)*40)+440,""))))</f>
        <v/>
      </c>
      <c r="P391" s="5" t="str">
        <f t="shared" ref="P391:P430" si="39">IF($C391="","",I391*40.55)</f>
        <v/>
      </c>
      <c r="Q391" s="5" t="str">
        <f t="shared" ref="Q391:Q430" si="40">IF($C391="","",K391*0.06)</f>
        <v/>
      </c>
      <c r="R391" s="5" t="str">
        <f t="shared" ref="R391:R430" si="41">IF($C391="","",N391*7.34)</f>
        <v/>
      </c>
    </row>
    <row r="392" spans="1:18">
      <c r="A392" s="91"/>
      <c r="B392" s="92"/>
      <c r="C392" s="69"/>
      <c r="D392" s="69"/>
      <c r="E392" s="69"/>
      <c r="F392" s="69"/>
      <c r="G392" s="70"/>
      <c r="H392" s="71"/>
      <c r="I392" s="66"/>
      <c r="J392" s="67"/>
      <c r="K392" s="145" t="str">
        <f t="shared" si="36"/>
        <v/>
      </c>
      <c r="L392" s="64"/>
      <c r="M392" s="64"/>
      <c r="N392" s="152" t="str">
        <f t="shared" si="37"/>
        <v/>
      </c>
      <c r="O392" s="65"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2" t="str">
        <f t="shared" si="37"/>
        <v/>
      </c>
      <c r="O393" s="65"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2" t="str">
        <f t="shared" si="37"/>
        <v/>
      </c>
      <c r="O394" s="65"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2" t="str">
        <f t="shared" si="37"/>
        <v/>
      </c>
      <c r="O395" s="65"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2" t="str">
        <f t="shared" si="37"/>
        <v/>
      </c>
      <c r="O396" s="65"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2" t="str">
        <f t="shared" si="37"/>
        <v/>
      </c>
      <c r="O397" s="65"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2" t="str">
        <f t="shared" si="37"/>
        <v/>
      </c>
      <c r="O398" s="65"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2" t="str">
        <f t="shared" si="37"/>
        <v/>
      </c>
      <c r="O399" s="65"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2" t="str">
        <f t="shared" si="37"/>
        <v/>
      </c>
      <c r="O400" s="65"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2" t="str">
        <f t="shared" si="37"/>
        <v/>
      </c>
      <c r="O401" s="65"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2" t="str">
        <f t="shared" si="37"/>
        <v/>
      </c>
      <c r="O402" s="65"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2" t="str">
        <f t="shared" si="37"/>
        <v/>
      </c>
      <c r="O403" s="65"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2" t="str">
        <f t="shared" si="37"/>
        <v/>
      </c>
      <c r="O404" s="65"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2" t="str">
        <f t="shared" si="37"/>
        <v/>
      </c>
      <c r="O405" s="65"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2" t="str">
        <f t="shared" si="37"/>
        <v/>
      </c>
      <c r="O406" s="65"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2" t="str">
        <f t="shared" si="37"/>
        <v/>
      </c>
      <c r="O407" s="65"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2" t="str">
        <f t="shared" si="37"/>
        <v/>
      </c>
      <c r="O408" s="65"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2" t="str">
        <f t="shared" si="37"/>
        <v/>
      </c>
      <c r="O409" s="65"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2" t="str">
        <f t="shared" si="37"/>
        <v/>
      </c>
      <c r="O410" s="65"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2" t="str">
        <f t="shared" si="37"/>
        <v/>
      </c>
      <c r="O411" s="65"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2" t="str">
        <f t="shared" si="37"/>
        <v/>
      </c>
      <c r="O412" s="65"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2" t="str">
        <f t="shared" si="37"/>
        <v/>
      </c>
      <c r="O413" s="65"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2" t="str">
        <f t="shared" si="37"/>
        <v/>
      </c>
      <c r="O414" s="65"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2" t="str">
        <f t="shared" si="37"/>
        <v/>
      </c>
      <c r="O415" s="65"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2" t="str">
        <f t="shared" si="37"/>
        <v/>
      </c>
      <c r="O416" s="65"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2" t="str">
        <f t="shared" si="37"/>
        <v/>
      </c>
      <c r="O417" s="65"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2" t="str">
        <f t="shared" si="37"/>
        <v/>
      </c>
      <c r="O418" s="65"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2" t="str">
        <f t="shared" si="37"/>
        <v/>
      </c>
      <c r="O419" s="65"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2" t="str">
        <f t="shared" si="37"/>
        <v/>
      </c>
      <c r="O420" s="65"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2" t="str">
        <f t="shared" si="37"/>
        <v/>
      </c>
      <c r="O421" s="65"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2" t="str">
        <f t="shared" si="37"/>
        <v/>
      </c>
      <c r="O422" s="65"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2" t="str">
        <f t="shared" si="37"/>
        <v/>
      </c>
      <c r="O423" s="65"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2" t="str">
        <f t="shared" si="37"/>
        <v/>
      </c>
      <c r="O424" s="65"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2" t="str">
        <f t="shared" si="37"/>
        <v/>
      </c>
      <c r="O425" s="65"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2" t="str">
        <f t="shared" si="37"/>
        <v/>
      </c>
      <c r="O426" s="65"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2" t="str">
        <f t="shared" si="37"/>
        <v/>
      </c>
      <c r="O427" s="65"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2" t="str">
        <f t="shared" si="37"/>
        <v/>
      </c>
      <c r="O428" s="65"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2" t="str">
        <f t="shared" si="37"/>
        <v/>
      </c>
      <c r="O429" s="65"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6" t="str">
        <f t="shared" si="36"/>
        <v/>
      </c>
      <c r="L430" s="153"/>
      <c r="M430" s="153"/>
      <c r="N430" s="154" t="str">
        <f t="shared" si="37"/>
        <v/>
      </c>
      <c r="O430" s="65"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lbpZBzMW3lYVgLeDk3Y8MGWHtU0AChTWrvfM75wdUShMQXtbVqx1RsvtVSfskcs6mJIYIg+6Ubi8EO8uiYAkBw==" saltValue="sO6paOiv3QzrJKHfq8aPvQ=="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E40C-D873-AC44-8B7E-7E4F3F74FF15}">
  <dimension ref="A1:R439"/>
  <sheetViews>
    <sheetView workbookViewId="0">
      <selection activeCell="A6" sqref="A6:H16"/>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0.7109375" style="167" customWidth="1"/>
    <col min="16" max="18" width="3.42578125" style="5" hidden="1" customWidth="1"/>
    <col min="19" max="16384" width="10" style="5"/>
  </cols>
  <sheetData>
    <row r="1" spans="1:18" ht="30" customHeight="1" thickBot="1">
      <c r="A1" s="213" t="s">
        <v>17</v>
      </c>
      <c r="B1" s="214"/>
      <c r="C1" s="214"/>
      <c r="D1" s="214"/>
      <c r="E1" s="214"/>
      <c r="F1" s="214"/>
      <c r="G1" s="214"/>
      <c r="H1" s="215"/>
      <c r="O1" s="165"/>
    </row>
    <row r="2" spans="1:18" ht="12" customHeight="1" thickBot="1">
      <c r="D2" s="79"/>
    </row>
    <row r="3" spans="1:18" s="175" customFormat="1" ht="15.75" thickBot="1">
      <c r="A3" s="170" t="s">
        <v>5</v>
      </c>
      <c r="B3" s="171" t="s">
        <v>5</v>
      </c>
      <c r="C3" s="171" t="s">
        <v>5</v>
      </c>
      <c r="D3" s="171" t="s">
        <v>5</v>
      </c>
      <c r="E3" s="171" t="s">
        <v>5</v>
      </c>
      <c r="F3" s="172" t="s">
        <v>4</v>
      </c>
      <c r="G3" s="172" t="s">
        <v>4</v>
      </c>
      <c r="H3" s="173" t="s">
        <v>4</v>
      </c>
      <c r="I3" s="224" t="s">
        <v>5</v>
      </c>
      <c r="J3" s="222"/>
      <c r="K3" s="223"/>
      <c r="L3" s="221" t="s">
        <v>5</v>
      </c>
      <c r="M3" s="222"/>
      <c r="N3" s="223"/>
      <c r="O3" s="174" t="s">
        <v>5</v>
      </c>
    </row>
    <row r="4" spans="1:18" s="6" customFormat="1" ht="15.75" thickBot="1">
      <c r="A4" s="80"/>
      <c r="B4" s="81"/>
      <c r="C4" s="82"/>
      <c r="D4" s="81"/>
      <c r="E4" s="82"/>
      <c r="F4" s="83"/>
      <c r="G4" s="84"/>
      <c r="H4" s="83"/>
      <c r="I4" s="225" t="s">
        <v>36</v>
      </c>
      <c r="J4" s="226"/>
      <c r="K4" s="227"/>
      <c r="L4" s="228" t="s">
        <v>22</v>
      </c>
      <c r="M4" s="229"/>
      <c r="N4" s="229"/>
      <c r="O4" s="168"/>
      <c r="P4" s="212" t="s">
        <v>28</v>
      </c>
      <c r="Q4" s="212"/>
      <c r="R4" s="212"/>
    </row>
    <row r="5" spans="1:18" ht="60.75" thickBot="1">
      <c r="A5" s="50" t="s">
        <v>7</v>
      </c>
      <c r="B5" s="50" t="s">
        <v>19</v>
      </c>
      <c r="C5" s="51" t="s">
        <v>0</v>
      </c>
      <c r="D5" s="52" t="s">
        <v>6</v>
      </c>
      <c r="E5" s="53" t="s">
        <v>1</v>
      </c>
      <c r="F5" s="54" t="s">
        <v>2</v>
      </c>
      <c r="G5" s="55" t="s">
        <v>8</v>
      </c>
      <c r="H5" s="56" t="s">
        <v>3</v>
      </c>
      <c r="I5" s="155" t="s">
        <v>32</v>
      </c>
      <c r="J5" s="156" t="s">
        <v>21</v>
      </c>
      <c r="K5" s="58" t="s">
        <v>33</v>
      </c>
      <c r="L5" s="58" t="s">
        <v>23</v>
      </c>
      <c r="M5" s="156" t="s">
        <v>24</v>
      </c>
      <c r="N5" s="48" t="s">
        <v>25</v>
      </c>
      <c r="O5" s="166" t="s">
        <v>11</v>
      </c>
      <c r="P5" s="18" t="s">
        <v>26</v>
      </c>
      <c r="Q5" s="18" t="s">
        <v>27</v>
      </c>
      <c r="R5" s="18" t="s">
        <v>16</v>
      </c>
    </row>
    <row r="6" spans="1:18">
      <c r="A6" s="86">
        <v>45780</v>
      </c>
      <c r="B6" s="169" t="s">
        <v>87</v>
      </c>
      <c r="C6" s="189" t="s">
        <v>63</v>
      </c>
      <c r="D6" s="189" t="s">
        <v>64</v>
      </c>
      <c r="E6" s="189" t="s">
        <v>52</v>
      </c>
      <c r="F6" s="142" t="s">
        <v>88</v>
      </c>
      <c r="G6" s="143">
        <v>40959</v>
      </c>
      <c r="H6" s="61" t="s">
        <v>85</v>
      </c>
      <c r="I6" s="157"/>
      <c r="J6" s="144"/>
      <c r="K6" s="145">
        <f>IF($C6="","",IF($I6+$J6=0,0,$I6/($I6+$J6)))</f>
        <v>0</v>
      </c>
      <c r="L6" s="144"/>
      <c r="M6" s="144"/>
      <c r="N6" s="152">
        <f>IF($C6="","",($L6-($M6/2)))</f>
        <v>0</v>
      </c>
      <c r="O6" s="65">
        <f>IF($C6="","",IF(TRIM($B6)="beginning",(((SUM($P6:$R6)-4824)/1506)*40)+360,IF(TRIM($B6)="middle",(((SUM($P6:$R6)-4824)/1506)*40)+400,IF(TRIM($B6)="end",(((SUM($P6:$R6)-4824)/1506)*40)+440,""))))</f>
        <v>231.87250996015936</v>
      </c>
      <c r="P6" s="5">
        <f>IF($C6="","",I6*37.69)</f>
        <v>0</v>
      </c>
      <c r="Q6" s="5">
        <f>IF($C6="","",K6*0.03)</f>
        <v>0</v>
      </c>
      <c r="R6" s="5">
        <f>IF($C6="","",N6*6.75)</f>
        <v>0</v>
      </c>
    </row>
    <row r="7" spans="1:18">
      <c r="A7" s="87">
        <v>45780</v>
      </c>
      <c r="B7" s="87" t="s">
        <v>87</v>
      </c>
      <c r="C7" s="189" t="s">
        <v>65</v>
      </c>
      <c r="D7" s="189" t="s">
        <v>66</v>
      </c>
      <c r="E7" s="189" t="s">
        <v>53</v>
      </c>
      <c r="F7" s="69" t="s">
        <v>89</v>
      </c>
      <c r="G7" s="70">
        <v>40960</v>
      </c>
      <c r="H7" s="71" t="s">
        <v>85</v>
      </c>
      <c r="I7" s="66"/>
      <c r="J7" s="67"/>
      <c r="K7" s="145">
        <f t="shared" ref="K7:K70" si="0">IF($C7="","",IF($I7+$J7=0,0,$I7/($I7+$J7)))</f>
        <v>0</v>
      </c>
      <c r="L7" s="64"/>
      <c r="M7" s="64"/>
      <c r="N7" s="152">
        <f t="shared" ref="N7:N70" si="1">IF($C7="","",($L7-($M7/2)))</f>
        <v>0</v>
      </c>
      <c r="O7" s="65">
        <f t="shared" ref="O7:O70" si="2">IF($C7="","",IF(TRIM($B7)="beginning",(((SUM($P7:$R7)-4824)/1506)*40)+360,IF(TRIM($B7)="middle",(((SUM($P7:$R7)-4824)/1506)*40)+400,IF(TRIM($B7)="end",(((SUM($P7:$R7)-4824)/1506)*40)+440,""))))</f>
        <v>231.87250996015936</v>
      </c>
      <c r="P7" s="5">
        <f t="shared" ref="P7:P70" si="3">IF($C7="","",I7*37.69)</f>
        <v>0</v>
      </c>
      <c r="Q7" s="5">
        <f t="shared" ref="Q7:Q70" si="4">IF($C7="","",K7*0.03)</f>
        <v>0</v>
      </c>
      <c r="R7" s="5">
        <f t="shared" ref="R7:R70" si="5">IF($C7="","",N7*6.75)</f>
        <v>0</v>
      </c>
    </row>
    <row r="8" spans="1:18">
      <c r="A8" s="87">
        <v>45780</v>
      </c>
      <c r="B8" s="87" t="s">
        <v>87</v>
      </c>
      <c r="C8" s="189" t="s">
        <v>67</v>
      </c>
      <c r="D8" s="189" t="s">
        <v>68</v>
      </c>
      <c r="E8" s="189" t="s">
        <v>54</v>
      </c>
      <c r="F8" s="69" t="s">
        <v>88</v>
      </c>
      <c r="G8" s="70">
        <v>40961</v>
      </c>
      <c r="H8" s="71" t="s">
        <v>85</v>
      </c>
      <c r="I8" s="66"/>
      <c r="J8" s="67"/>
      <c r="K8" s="145">
        <f t="shared" si="0"/>
        <v>0</v>
      </c>
      <c r="L8" s="64"/>
      <c r="M8" s="64"/>
      <c r="N8" s="152">
        <f t="shared" si="1"/>
        <v>0</v>
      </c>
      <c r="O8" s="65">
        <f t="shared" si="2"/>
        <v>231.87250996015936</v>
      </c>
      <c r="P8" s="5">
        <f t="shared" si="3"/>
        <v>0</v>
      </c>
      <c r="Q8" s="5">
        <f t="shared" si="4"/>
        <v>0</v>
      </c>
      <c r="R8" s="5">
        <f t="shared" si="5"/>
        <v>0</v>
      </c>
    </row>
    <row r="9" spans="1:18">
      <c r="A9" s="87">
        <v>45780</v>
      </c>
      <c r="B9" s="87" t="s">
        <v>87</v>
      </c>
      <c r="C9" s="189" t="s">
        <v>69</v>
      </c>
      <c r="D9" s="189" t="s">
        <v>70</v>
      </c>
      <c r="E9" s="189" t="s">
        <v>55</v>
      </c>
      <c r="F9" s="69" t="s">
        <v>88</v>
      </c>
      <c r="G9" s="70">
        <v>40962</v>
      </c>
      <c r="H9" s="71" t="s">
        <v>85</v>
      </c>
      <c r="I9" s="66"/>
      <c r="J9" s="67"/>
      <c r="K9" s="145">
        <f t="shared" si="0"/>
        <v>0</v>
      </c>
      <c r="L9" s="64"/>
      <c r="M9" s="64"/>
      <c r="N9" s="152">
        <f t="shared" si="1"/>
        <v>0</v>
      </c>
      <c r="O9" s="65">
        <f t="shared" si="2"/>
        <v>231.87250996015936</v>
      </c>
      <c r="P9" s="5">
        <f t="shared" si="3"/>
        <v>0</v>
      </c>
      <c r="Q9" s="5">
        <f t="shared" si="4"/>
        <v>0</v>
      </c>
      <c r="R9" s="5">
        <f t="shared" si="5"/>
        <v>0</v>
      </c>
    </row>
    <row r="10" spans="1:18">
      <c r="A10" s="87">
        <v>45780</v>
      </c>
      <c r="B10" s="87" t="s">
        <v>87</v>
      </c>
      <c r="C10" s="189" t="s">
        <v>71</v>
      </c>
      <c r="D10" s="189" t="s">
        <v>72</v>
      </c>
      <c r="E10" s="189" t="s">
        <v>56</v>
      </c>
      <c r="F10" s="69" t="s">
        <v>89</v>
      </c>
      <c r="G10" s="70">
        <v>40970</v>
      </c>
      <c r="H10" s="71" t="s">
        <v>86</v>
      </c>
      <c r="I10" s="66"/>
      <c r="J10" s="67"/>
      <c r="K10" s="145">
        <f t="shared" si="0"/>
        <v>0</v>
      </c>
      <c r="L10" s="64"/>
      <c r="M10" s="64"/>
      <c r="N10" s="152">
        <f t="shared" si="1"/>
        <v>0</v>
      </c>
      <c r="O10" s="65">
        <f t="shared" si="2"/>
        <v>231.87250996015936</v>
      </c>
      <c r="P10" s="5">
        <f t="shared" si="3"/>
        <v>0</v>
      </c>
      <c r="Q10" s="5">
        <f t="shared" si="4"/>
        <v>0</v>
      </c>
      <c r="R10" s="5">
        <f t="shared" si="5"/>
        <v>0</v>
      </c>
    </row>
    <row r="11" spans="1:18">
      <c r="A11" s="87">
        <v>45780</v>
      </c>
      <c r="B11" s="87" t="s">
        <v>87</v>
      </c>
      <c r="C11" s="189" t="s">
        <v>73</v>
      </c>
      <c r="D11" s="189" t="s">
        <v>74</v>
      </c>
      <c r="E11" s="189" t="s">
        <v>57</v>
      </c>
      <c r="F11" s="69" t="s">
        <v>89</v>
      </c>
      <c r="G11" s="70">
        <v>40963</v>
      </c>
      <c r="H11" s="71" t="s">
        <v>85</v>
      </c>
      <c r="I11" s="66"/>
      <c r="J11" s="67"/>
      <c r="K11" s="145">
        <f t="shared" si="0"/>
        <v>0</v>
      </c>
      <c r="L11" s="64"/>
      <c r="M11" s="64"/>
      <c r="N11" s="152">
        <f t="shared" si="1"/>
        <v>0</v>
      </c>
      <c r="O11" s="65">
        <f t="shared" si="2"/>
        <v>231.87250996015936</v>
      </c>
      <c r="P11" s="5">
        <f t="shared" si="3"/>
        <v>0</v>
      </c>
      <c r="Q11" s="5">
        <f t="shared" si="4"/>
        <v>0</v>
      </c>
      <c r="R11" s="5">
        <f t="shared" si="5"/>
        <v>0</v>
      </c>
    </row>
    <row r="12" spans="1:18">
      <c r="A12" s="87">
        <v>45780</v>
      </c>
      <c r="B12" s="87" t="s">
        <v>87</v>
      </c>
      <c r="C12" s="189" t="s">
        <v>75</v>
      </c>
      <c r="D12" s="189" t="s">
        <v>76</v>
      </c>
      <c r="E12" s="189" t="s">
        <v>58</v>
      </c>
      <c r="F12" s="69" t="s">
        <v>88</v>
      </c>
      <c r="G12" s="70">
        <v>40964</v>
      </c>
      <c r="H12" s="71" t="s">
        <v>86</v>
      </c>
      <c r="I12" s="66"/>
      <c r="J12" s="67"/>
      <c r="K12" s="145">
        <f t="shared" si="0"/>
        <v>0</v>
      </c>
      <c r="L12" s="64"/>
      <c r="M12" s="64"/>
      <c r="N12" s="152">
        <f t="shared" si="1"/>
        <v>0</v>
      </c>
      <c r="O12" s="65">
        <f t="shared" si="2"/>
        <v>231.87250996015936</v>
      </c>
      <c r="P12" s="5">
        <f t="shared" si="3"/>
        <v>0</v>
      </c>
      <c r="Q12" s="5">
        <f t="shared" si="4"/>
        <v>0</v>
      </c>
      <c r="R12" s="5">
        <f t="shared" si="5"/>
        <v>0</v>
      </c>
    </row>
    <row r="13" spans="1:18">
      <c r="A13" s="87">
        <v>45780</v>
      </c>
      <c r="B13" s="87" t="s">
        <v>87</v>
      </c>
      <c r="C13" s="189" t="s">
        <v>77</v>
      </c>
      <c r="D13" s="189" t="s">
        <v>78</v>
      </c>
      <c r="E13" s="189" t="s">
        <v>59</v>
      </c>
      <c r="F13" s="69" t="s">
        <v>89</v>
      </c>
      <c r="G13" s="70">
        <v>40965</v>
      </c>
      <c r="H13" s="71" t="s">
        <v>86</v>
      </c>
      <c r="I13" s="66"/>
      <c r="J13" s="67"/>
      <c r="K13" s="145">
        <f t="shared" si="0"/>
        <v>0</v>
      </c>
      <c r="L13" s="64"/>
      <c r="M13" s="64"/>
      <c r="N13" s="152">
        <f t="shared" si="1"/>
        <v>0</v>
      </c>
      <c r="O13" s="65">
        <f t="shared" si="2"/>
        <v>231.87250996015936</v>
      </c>
      <c r="P13" s="5">
        <f t="shared" si="3"/>
        <v>0</v>
      </c>
      <c r="Q13" s="5">
        <f t="shared" si="4"/>
        <v>0</v>
      </c>
      <c r="R13" s="5">
        <f t="shared" si="5"/>
        <v>0</v>
      </c>
    </row>
    <row r="14" spans="1:18">
      <c r="A14" s="87">
        <v>45780</v>
      </c>
      <c r="B14" s="87" t="s">
        <v>87</v>
      </c>
      <c r="C14" s="189" t="s">
        <v>79</v>
      </c>
      <c r="D14" s="189" t="s">
        <v>80</v>
      </c>
      <c r="E14" s="189" t="s">
        <v>60</v>
      </c>
      <c r="F14" s="69" t="s">
        <v>88</v>
      </c>
      <c r="G14" s="70">
        <v>40966</v>
      </c>
      <c r="H14" s="71" t="s">
        <v>86</v>
      </c>
      <c r="I14" s="66"/>
      <c r="J14" s="67"/>
      <c r="K14" s="145">
        <f t="shared" si="0"/>
        <v>0</v>
      </c>
      <c r="L14" s="64"/>
      <c r="M14" s="64"/>
      <c r="N14" s="152">
        <f t="shared" si="1"/>
        <v>0</v>
      </c>
      <c r="O14" s="65">
        <f t="shared" si="2"/>
        <v>231.87250996015936</v>
      </c>
      <c r="P14" s="5">
        <f t="shared" si="3"/>
        <v>0</v>
      </c>
      <c r="Q14" s="5">
        <f t="shared" si="4"/>
        <v>0</v>
      </c>
      <c r="R14" s="5">
        <f t="shared" si="5"/>
        <v>0</v>
      </c>
    </row>
    <row r="15" spans="1:18">
      <c r="A15" s="87">
        <v>45780</v>
      </c>
      <c r="B15" s="87" t="s">
        <v>87</v>
      </c>
      <c r="C15" s="189" t="s">
        <v>81</v>
      </c>
      <c r="D15" s="189" t="s">
        <v>82</v>
      </c>
      <c r="E15" s="189" t="s">
        <v>61</v>
      </c>
      <c r="F15" s="69" t="s">
        <v>88</v>
      </c>
      <c r="G15" s="70">
        <v>40967</v>
      </c>
      <c r="H15" s="71" t="s">
        <v>86</v>
      </c>
      <c r="I15" s="66"/>
      <c r="J15" s="67"/>
      <c r="K15" s="145">
        <f t="shared" si="0"/>
        <v>0</v>
      </c>
      <c r="L15" s="64"/>
      <c r="M15" s="64"/>
      <c r="N15" s="152">
        <f t="shared" si="1"/>
        <v>0</v>
      </c>
      <c r="O15" s="65">
        <f t="shared" si="2"/>
        <v>231.87250996015936</v>
      </c>
      <c r="P15" s="5">
        <f t="shared" si="3"/>
        <v>0</v>
      </c>
      <c r="Q15" s="5">
        <f t="shared" si="4"/>
        <v>0</v>
      </c>
      <c r="R15" s="5">
        <f t="shared" si="5"/>
        <v>0</v>
      </c>
    </row>
    <row r="16" spans="1:18">
      <c r="A16" s="87">
        <v>45780</v>
      </c>
      <c r="B16" s="87" t="s">
        <v>87</v>
      </c>
      <c r="C16" s="189" t="s">
        <v>83</v>
      </c>
      <c r="D16" s="189" t="s">
        <v>84</v>
      </c>
      <c r="E16" s="189" t="s">
        <v>62</v>
      </c>
      <c r="F16" s="69" t="s">
        <v>88</v>
      </c>
      <c r="G16" s="70">
        <v>40968</v>
      </c>
      <c r="H16" s="71" t="s">
        <v>86</v>
      </c>
      <c r="I16" s="66"/>
      <c r="J16" s="67"/>
      <c r="K16" s="145">
        <f t="shared" si="0"/>
        <v>0</v>
      </c>
      <c r="L16" s="64"/>
      <c r="M16" s="64"/>
      <c r="N16" s="152">
        <f t="shared" si="1"/>
        <v>0</v>
      </c>
      <c r="O16" s="65">
        <f t="shared" si="2"/>
        <v>231.87250996015936</v>
      </c>
      <c r="P16" s="5">
        <f t="shared" si="3"/>
        <v>0</v>
      </c>
      <c r="Q16" s="5">
        <f t="shared" si="4"/>
        <v>0</v>
      </c>
      <c r="R16" s="5">
        <f t="shared" si="5"/>
        <v>0</v>
      </c>
    </row>
    <row r="17" spans="1:18">
      <c r="A17" s="87"/>
      <c r="B17" s="87"/>
      <c r="C17" s="88"/>
      <c r="D17" s="89"/>
      <c r="E17" s="90"/>
      <c r="F17" s="69"/>
      <c r="G17" s="70"/>
      <c r="H17" s="71"/>
      <c r="I17" s="66"/>
      <c r="J17" s="67"/>
      <c r="K17" s="145" t="str">
        <f t="shared" si="0"/>
        <v/>
      </c>
      <c r="L17" s="64"/>
      <c r="M17" s="64"/>
      <c r="N17" s="152" t="str">
        <f t="shared" si="1"/>
        <v/>
      </c>
      <c r="O17" s="65" t="str">
        <f t="shared" si="2"/>
        <v/>
      </c>
      <c r="P17" s="5" t="str">
        <f t="shared" si="3"/>
        <v/>
      </c>
      <c r="Q17" s="5" t="str">
        <f t="shared" si="4"/>
        <v/>
      </c>
      <c r="R17" s="5" t="str">
        <f t="shared" si="5"/>
        <v/>
      </c>
    </row>
    <row r="18" spans="1:18">
      <c r="A18" s="87"/>
      <c r="B18" s="87"/>
      <c r="C18" s="88"/>
      <c r="D18" s="89"/>
      <c r="E18" s="90"/>
      <c r="F18" s="69"/>
      <c r="G18" s="70"/>
      <c r="H18" s="71"/>
      <c r="I18" s="66"/>
      <c r="J18" s="67"/>
      <c r="K18" s="145" t="str">
        <f t="shared" si="0"/>
        <v/>
      </c>
      <c r="L18" s="64"/>
      <c r="M18" s="64"/>
      <c r="N18" s="152" t="str">
        <f t="shared" si="1"/>
        <v/>
      </c>
      <c r="O18" s="65" t="str">
        <f t="shared" si="2"/>
        <v/>
      </c>
      <c r="P18" s="5" t="str">
        <f t="shared" si="3"/>
        <v/>
      </c>
      <c r="Q18" s="5" t="str">
        <f t="shared" si="4"/>
        <v/>
      </c>
      <c r="R18" s="5" t="str">
        <f t="shared" si="5"/>
        <v/>
      </c>
    </row>
    <row r="19" spans="1:18">
      <c r="A19" s="87"/>
      <c r="B19" s="87"/>
      <c r="C19" s="88"/>
      <c r="D19" s="89"/>
      <c r="E19" s="90"/>
      <c r="F19" s="69"/>
      <c r="G19" s="70"/>
      <c r="H19" s="71"/>
      <c r="I19" s="66"/>
      <c r="J19" s="67"/>
      <c r="K19" s="145" t="str">
        <f t="shared" si="0"/>
        <v/>
      </c>
      <c r="L19" s="64"/>
      <c r="M19" s="64"/>
      <c r="N19" s="152" t="str">
        <f t="shared" si="1"/>
        <v/>
      </c>
      <c r="O19" s="65" t="str">
        <f t="shared" si="2"/>
        <v/>
      </c>
      <c r="P19" s="5" t="str">
        <f t="shared" si="3"/>
        <v/>
      </c>
      <c r="Q19" s="5" t="str">
        <f t="shared" si="4"/>
        <v/>
      </c>
      <c r="R19" s="5" t="str">
        <f t="shared" si="5"/>
        <v/>
      </c>
    </row>
    <row r="20" spans="1:18">
      <c r="A20" s="87"/>
      <c r="B20" s="87"/>
      <c r="C20" s="88"/>
      <c r="D20" s="89"/>
      <c r="E20" s="90"/>
      <c r="F20" s="69"/>
      <c r="G20" s="70"/>
      <c r="H20" s="71"/>
      <c r="I20" s="66"/>
      <c r="J20" s="67"/>
      <c r="K20" s="145" t="str">
        <f t="shared" si="0"/>
        <v/>
      </c>
      <c r="L20" s="64"/>
      <c r="M20" s="64"/>
      <c r="N20" s="152" t="str">
        <f t="shared" si="1"/>
        <v/>
      </c>
      <c r="O20" s="65" t="str">
        <f t="shared" si="2"/>
        <v/>
      </c>
      <c r="P20" s="5" t="str">
        <f t="shared" si="3"/>
        <v/>
      </c>
      <c r="Q20" s="5" t="str">
        <f t="shared" si="4"/>
        <v/>
      </c>
      <c r="R20" s="5" t="str">
        <f t="shared" si="5"/>
        <v/>
      </c>
    </row>
    <row r="21" spans="1:18">
      <c r="A21" s="87"/>
      <c r="B21" s="87"/>
      <c r="C21" s="88"/>
      <c r="D21" s="89"/>
      <c r="E21" s="90"/>
      <c r="F21" s="69"/>
      <c r="G21" s="70"/>
      <c r="H21" s="71"/>
      <c r="I21" s="66"/>
      <c r="J21" s="67"/>
      <c r="K21" s="145" t="str">
        <f t="shared" si="0"/>
        <v/>
      </c>
      <c r="L21" s="64"/>
      <c r="M21" s="64"/>
      <c r="N21" s="152" t="str">
        <f t="shared" si="1"/>
        <v/>
      </c>
      <c r="O21" s="65" t="str">
        <f t="shared" si="2"/>
        <v/>
      </c>
      <c r="P21" s="5" t="str">
        <f t="shared" si="3"/>
        <v/>
      </c>
      <c r="Q21" s="5" t="str">
        <f t="shared" si="4"/>
        <v/>
      </c>
      <c r="R21" s="5" t="str">
        <f t="shared" si="5"/>
        <v/>
      </c>
    </row>
    <row r="22" spans="1:18">
      <c r="A22" s="87"/>
      <c r="B22" s="87"/>
      <c r="C22" s="88"/>
      <c r="D22" s="89"/>
      <c r="E22" s="90"/>
      <c r="F22" s="69"/>
      <c r="G22" s="70"/>
      <c r="H22" s="71"/>
      <c r="I22" s="66"/>
      <c r="J22" s="67"/>
      <c r="K22" s="145" t="str">
        <f t="shared" si="0"/>
        <v/>
      </c>
      <c r="L22" s="64"/>
      <c r="M22" s="64"/>
      <c r="N22" s="152" t="str">
        <f t="shared" si="1"/>
        <v/>
      </c>
      <c r="O22" s="65" t="str">
        <f t="shared" si="2"/>
        <v/>
      </c>
      <c r="P22" s="5" t="str">
        <f t="shared" si="3"/>
        <v/>
      </c>
      <c r="Q22" s="5" t="str">
        <f t="shared" si="4"/>
        <v/>
      </c>
      <c r="R22" s="5" t="str">
        <f t="shared" si="5"/>
        <v/>
      </c>
    </row>
    <row r="23" spans="1:18">
      <c r="A23" s="87"/>
      <c r="B23" s="87"/>
      <c r="C23" s="88"/>
      <c r="D23" s="89"/>
      <c r="E23" s="90"/>
      <c r="F23" s="69"/>
      <c r="G23" s="70"/>
      <c r="H23" s="71"/>
      <c r="I23" s="66"/>
      <c r="J23" s="67"/>
      <c r="K23" s="145" t="str">
        <f t="shared" si="0"/>
        <v/>
      </c>
      <c r="L23" s="64"/>
      <c r="M23" s="64"/>
      <c r="N23" s="152" t="str">
        <f>IF($C23="","",($L23-($M23/2)))</f>
        <v/>
      </c>
      <c r="O23" s="65" t="str">
        <f t="shared" si="2"/>
        <v/>
      </c>
      <c r="P23" s="5" t="str">
        <f t="shared" si="3"/>
        <v/>
      </c>
      <c r="Q23" s="5" t="str">
        <f t="shared" si="4"/>
        <v/>
      </c>
      <c r="R23" s="5" t="str">
        <f t="shared" si="5"/>
        <v/>
      </c>
    </row>
    <row r="24" spans="1:18">
      <c r="A24" s="87"/>
      <c r="B24" s="87"/>
      <c r="C24" s="88"/>
      <c r="D24" s="89"/>
      <c r="E24" s="90"/>
      <c r="F24" s="69"/>
      <c r="G24" s="70"/>
      <c r="H24" s="71"/>
      <c r="I24" s="66"/>
      <c r="J24" s="67"/>
      <c r="K24" s="145" t="str">
        <f t="shared" si="0"/>
        <v/>
      </c>
      <c r="L24" s="64"/>
      <c r="M24" s="64"/>
      <c r="N24" s="152" t="str">
        <f t="shared" si="1"/>
        <v/>
      </c>
      <c r="O24" s="65" t="str">
        <f t="shared" si="2"/>
        <v/>
      </c>
      <c r="P24" s="5" t="str">
        <f t="shared" si="3"/>
        <v/>
      </c>
      <c r="Q24" s="5" t="str">
        <f t="shared" si="4"/>
        <v/>
      </c>
      <c r="R24" s="5" t="str">
        <f t="shared" si="5"/>
        <v/>
      </c>
    </row>
    <row r="25" spans="1:18">
      <c r="A25" s="87"/>
      <c r="B25" s="87"/>
      <c r="C25" s="88"/>
      <c r="D25" s="89"/>
      <c r="E25" s="90"/>
      <c r="F25" s="69"/>
      <c r="G25" s="70"/>
      <c r="H25" s="71"/>
      <c r="I25" s="66"/>
      <c r="J25" s="67"/>
      <c r="K25" s="145" t="str">
        <f t="shared" si="0"/>
        <v/>
      </c>
      <c r="L25" s="64"/>
      <c r="M25" s="64"/>
      <c r="N25" s="152" t="str">
        <f t="shared" si="1"/>
        <v/>
      </c>
      <c r="O25" s="65" t="str">
        <f t="shared" si="2"/>
        <v/>
      </c>
      <c r="P25" s="5" t="str">
        <f t="shared" si="3"/>
        <v/>
      </c>
      <c r="Q25" s="5" t="str">
        <f t="shared" si="4"/>
        <v/>
      </c>
      <c r="R25" s="5" t="str">
        <f t="shared" si="5"/>
        <v/>
      </c>
    </row>
    <row r="26" spans="1:18">
      <c r="A26" s="87"/>
      <c r="B26" s="87"/>
      <c r="C26" s="88"/>
      <c r="D26" s="89"/>
      <c r="E26" s="90"/>
      <c r="F26" s="69"/>
      <c r="G26" s="70"/>
      <c r="H26" s="71"/>
      <c r="I26" s="66"/>
      <c r="J26" s="67"/>
      <c r="K26" s="145" t="str">
        <f>IF($C26="","",IF($I26+$J26=0,0,$I26/($I26+$J26)))</f>
        <v/>
      </c>
      <c r="L26" s="64"/>
      <c r="M26" s="64"/>
      <c r="N26" s="152" t="str">
        <f t="shared" si="1"/>
        <v/>
      </c>
      <c r="O26" s="65" t="str">
        <f t="shared" si="2"/>
        <v/>
      </c>
      <c r="P26" s="5" t="str">
        <f t="shared" si="3"/>
        <v/>
      </c>
      <c r="Q26" s="5" t="str">
        <f t="shared" si="4"/>
        <v/>
      </c>
      <c r="R26" s="5" t="str">
        <f t="shared" si="5"/>
        <v/>
      </c>
    </row>
    <row r="27" spans="1:18">
      <c r="A27" s="87"/>
      <c r="B27" s="87"/>
      <c r="C27" s="88"/>
      <c r="D27" s="89"/>
      <c r="E27" s="90"/>
      <c r="F27" s="69"/>
      <c r="G27" s="70"/>
      <c r="H27" s="71"/>
      <c r="I27" s="66"/>
      <c r="J27" s="67"/>
      <c r="K27" s="145" t="str">
        <f t="shared" si="0"/>
        <v/>
      </c>
      <c r="L27" s="64"/>
      <c r="M27" s="64"/>
      <c r="N27" s="152" t="str">
        <f t="shared" si="1"/>
        <v/>
      </c>
      <c r="O27" s="65" t="str">
        <f t="shared" si="2"/>
        <v/>
      </c>
      <c r="P27" s="5" t="str">
        <f t="shared" si="3"/>
        <v/>
      </c>
      <c r="Q27" s="5" t="str">
        <f t="shared" si="4"/>
        <v/>
      </c>
      <c r="R27" s="5" t="str">
        <f t="shared" si="5"/>
        <v/>
      </c>
    </row>
    <row r="28" spans="1:18">
      <c r="A28" s="87"/>
      <c r="B28" s="87"/>
      <c r="C28" s="88"/>
      <c r="D28" s="89"/>
      <c r="E28" s="90"/>
      <c r="F28" s="69"/>
      <c r="G28" s="70"/>
      <c r="H28" s="71"/>
      <c r="I28" s="66"/>
      <c r="J28" s="67"/>
      <c r="K28" s="145" t="str">
        <f t="shared" si="0"/>
        <v/>
      </c>
      <c r="L28" s="64"/>
      <c r="M28" s="64"/>
      <c r="N28" s="152" t="str">
        <f t="shared" si="1"/>
        <v/>
      </c>
      <c r="O28" s="65" t="str">
        <f t="shared" si="2"/>
        <v/>
      </c>
      <c r="P28" s="5" t="str">
        <f t="shared" si="3"/>
        <v/>
      </c>
      <c r="Q28" s="5" t="str">
        <f t="shared" si="4"/>
        <v/>
      </c>
      <c r="R28" s="5" t="str">
        <f t="shared" si="5"/>
        <v/>
      </c>
    </row>
    <row r="29" spans="1:18">
      <c r="A29" s="87"/>
      <c r="B29" s="87"/>
      <c r="C29" s="88"/>
      <c r="D29" s="89"/>
      <c r="E29" s="90"/>
      <c r="F29" s="69"/>
      <c r="G29" s="70"/>
      <c r="H29" s="71"/>
      <c r="I29" s="66"/>
      <c r="J29" s="67"/>
      <c r="K29" s="145" t="str">
        <f t="shared" si="0"/>
        <v/>
      </c>
      <c r="L29" s="64"/>
      <c r="M29" s="64"/>
      <c r="N29" s="152" t="str">
        <f t="shared" si="1"/>
        <v/>
      </c>
      <c r="O29" s="65" t="str">
        <f t="shared" si="2"/>
        <v/>
      </c>
      <c r="P29" s="5" t="str">
        <f t="shared" si="3"/>
        <v/>
      </c>
      <c r="Q29" s="5" t="str">
        <f t="shared" si="4"/>
        <v/>
      </c>
      <c r="R29" s="5" t="str">
        <f t="shared" si="5"/>
        <v/>
      </c>
    </row>
    <row r="30" spans="1:18">
      <c r="A30" s="87"/>
      <c r="B30" s="87"/>
      <c r="C30" s="88"/>
      <c r="D30" s="89"/>
      <c r="E30" s="90"/>
      <c r="F30" s="69"/>
      <c r="G30" s="70"/>
      <c r="H30" s="71"/>
      <c r="I30" s="66"/>
      <c r="J30" s="67"/>
      <c r="K30" s="145" t="str">
        <f t="shared" si="0"/>
        <v/>
      </c>
      <c r="L30" s="64"/>
      <c r="M30" s="64"/>
      <c r="N30" s="152" t="str">
        <f t="shared" si="1"/>
        <v/>
      </c>
      <c r="O30" s="65" t="str">
        <f t="shared" si="2"/>
        <v/>
      </c>
      <c r="P30" s="5" t="str">
        <f t="shared" si="3"/>
        <v/>
      </c>
      <c r="Q30" s="5" t="str">
        <f t="shared" si="4"/>
        <v/>
      </c>
      <c r="R30" s="5" t="str">
        <f t="shared" si="5"/>
        <v/>
      </c>
    </row>
    <row r="31" spans="1:18">
      <c r="A31" s="87"/>
      <c r="B31" s="87"/>
      <c r="C31" s="88"/>
      <c r="D31" s="89"/>
      <c r="E31" s="90"/>
      <c r="F31" s="69"/>
      <c r="G31" s="70"/>
      <c r="H31" s="71"/>
      <c r="I31" s="66"/>
      <c r="J31" s="67"/>
      <c r="K31" s="145" t="str">
        <f t="shared" si="0"/>
        <v/>
      </c>
      <c r="L31" s="64"/>
      <c r="M31" s="64"/>
      <c r="N31" s="152" t="str">
        <f t="shared" si="1"/>
        <v/>
      </c>
      <c r="O31" s="65" t="str">
        <f t="shared" si="2"/>
        <v/>
      </c>
      <c r="P31" s="5" t="str">
        <f t="shared" si="3"/>
        <v/>
      </c>
      <c r="Q31" s="5" t="str">
        <f t="shared" si="4"/>
        <v/>
      </c>
      <c r="R31" s="5" t="str">
        <f t="shared" si="5"/>
        <v/>
      </c>
    </row>
    <row r="32" spans="1:18">
      <c r="A32" s="87"/>
      <c r="B32" s="87"/>
      <c r="C32" s="88"/>
      <c r="D32" s="89"/>
      <c r="E32" s="90"/>
      <c r="F32" s="69"/>
      <c r="G32" s="70"/>
      <c r="H32" s="71"/>
      <c r="I32" s="66"/>
      <c r="J32" s="67"/>
      <c r="K32" s="145" t="str">
        <f t="shared" si="0"/>
        <v/>
      </c>
      <c r="L32" s="64"/>
      <c r="M32" s="64"/>
      <c r="N32" s="152" t="str">
        <f t="shared" si="1"/>
        <v/>
      </c>
      <c r="O32" s="65" t="str">
        <f t="shared" si="2"/>
        <v/>
      </c>
      <c r="P32" s="5" t="str">
        <f t="shared" si="3"/>
        <v/>
      </c>
      <c r="Q32" s="5" t="str">
        <f t="shared" si="4"/>
        <v/>
      </c>
      <c r="R32" s="5" t="str">
        <f t="shared" si="5"/>
        <v/>
      </c>
    </row>
    <row r="33" spans="1:18">
      <c r="A33" s="87"/>
      <c r="B33" s="87"/>
      <c r="C33" s="88"/>
      <c r="D33" s="89"/>
      <c r="E33" s="90"/>
      <c r="F33" s="69"/>
      <c r="G33" s="70"/>
      <c r="H33" s="71"/>
      <c r="I33" s="66"/>
      <c r="J33" s="67"/>
      <c r="K33" s="145" t="str">
        <f t="shared" si="0"/>
        <v/>
      </c>
      <c r="L33" s="64"/>
      <c r="M33" s="64"/>
      <c r="N33" s="152" t="str">
        <f t="shared" si="1"/>
        <v/>
      </c>
      <c r="O33" s="65" t="str">
        <f t="shared" si="2"/>
        <v/>
      </c>
      <c r="P33" s="5" t="str">
        <f t="shared" si="3"/>
        <v/>
      </c>
      <c r="Q33" s="5" t="str">
        <f t="shared" si="4"/>
        <v/>
      </c>
      <c r="R33" s="5" t="str">
        <f t="shared" si="5"/>
        <v/>
      </c>
    </row>
    <row r="34" spans="1:18">
      <c r="A34" s="87"/>
      <c r="B34" s="87"/>
      <c r="C34" s="88"/>
      <c r="D34" s="89"/>
      <c r="E34" s="90"/>
      <c r="F34" s="69"/>
      <c r="G34" s="70"/>
      <c r="H34" s="71"/>
      <c r="I34" s="66"/>
      <c r="J34" s="67"/>
      <c r="K34" s="145" t="str">
        <f t="shared" si="0"/>
        <v/>
      </c>
      <c r="L34" s="64"/>
      <c r="M34" s="64"/>
      <c r="N34" s="152" t="str">
        <f t="shared" si="1"/>
        <v/>
      </c>
      <c r="O34" s="65" t="str">
        <f t="shared" si="2"/>
        <v/>
      </c>
      <c r="P34" s="5" t="str">
        <f t="shared" si="3"/>
        <v/>
      </c>
      <c r="Q34" s="5" t="str">
        <f t="shared" si="4"/>
        <v/>
      </c>
      <c r="R34" s="5" t="str">
        <f t="shared" si="5"/>
        <v/>
      </c>
    </row>
    <row r="35" spans="1:18">
      <c r="A35" s="87"/>
      <c r="B35" s="87"/>
      <c r="C35" s="88"/>
      <c r="D35" s="89"/>
      <c r="E35" s="90"/>
      <c r="F35" s="69"/>
      <c r="G35" s="70"/>
      <c r="H35" s="71"/>
      <c r="I35" s="66"/>
      <c r="J35" s="67"/>
      <c r="K35" s="145" t="str">
        <f t="shared" si="0"/>
        <v/>
      </c>
      <c r="L35" s="64"/>
      <c r="M35" s="64"/>
      <c r="N35" s="152" t="str">
        <f t="shared" si="1"/>
        <v/>
      </c>
      <c r="O35" s="65" t="str">
        <f t="shared" si="2"/>
        <v/>
      </c>
      <c r="P35" s="5" t="str">
        <f t="shared" si="3"/>
        <v/>
      </c>
      <c r="Q35" s="5" t="str">
        <f t="shared" si="4"/>
        <v/>
      </c>
      <c r="R35" s="5" t="str">
        <f t="shared" si="5"/>
        <v/>
      </c>
    </row>
    <row r="36" spans="1:18">
      <c r="A36" s="87"/>
      <c r="B36" s="87"/>
      <c r="C36" s="88"/>
      <c r="D36" s="89"/>
      <c r="E36" s="90"/>
      <c r="F36" s="69"/>
      <c r="G36" s="70"/>
      <c r="H36" s="71"/>
      <c r="I36" s="66"/>
      <c r="J36" s="67"/>
      <c r="K36" s="145" t="str">
        <f t="shared" si="0"/>
        <v/>
      </c>
      <c r="L36" s="64"/>
      <c r="M36" s="64"/>
      <c r="N36" s="152" t="str">
        <f t="shared" si="1"/>
        <v/>
      </c>
      <c r="O36" s="65" t="str">
        <f t="shared" si="2"/>
        <v/>
      </c>
      <c r="P36" s="5" t="str">
        <f t="shared" si="3"/>
        <v/>
      </c>
      <c r="Q36" s="5" t="str">
        <f t="shared" si="4"/>
        <v/>
      </c>
      <c r="R36" s="5" t="str">
        <f t="shared" si="5"/>
        <v/>
      </c>
    </row>
    <row r="37" spans="1:18">
      <c r="A37" s="87"/>
      <c r="B37" s="87"/>
      <c r="C37" s="88"/>
      <c r="D37" s="89"/>
      <c r="E37" s="90"/>
      <c r="F37" s="69"/>
      <c r="G37" s="70"/>
      <c r="H37" s="71"/>
      <c r="I37" s="66"/>
      <c r="J37" s="67"/>
      <c r="K37" s="145" t="str">
        <f t="shared" si="0"/>
        <v/>
      </c>
      <c r="L37" s="64"/>
      <c r="M37" s="64"/>
      <c r="N37" s="152" t="str">
        <f t="shared" si="1"/>
        <v/>
      </c>
      <c r="O37" s="65" t="str">
        <f t="shared" si="2"/>
        <v/>
      </c>
      <c r="P37" s="5" t="str">
        <f t="shared" si="3"/>
        <v/>
      </c>
      <c r="Q37" s="5" t="str">
        <f t="shared" si="4"/>
        <v/>
      </c>
      <c r="R37" s="5" t="str">
        <f t="shared" si="5"/>
        <v/>
      </c>
    </row>
    <row r="38" spans="1:18">
      <c r="A38" s="87"/>
      <c r="B38" s="87"/>
      <c r="C38" s="88"/>
      <c r="D38" s="89"/>
      <c r="E38" s="90"/>
      <c r="F38" s="69"/>
      <c r="G38" s="70"/>
      <c r="H38" s="71"/>
      <c r="I38" s="66"/>
      <c r="J38" s="67"/>
      <c r="K38" s="145" t="str">
        <f t="shared" si="0"/>
        <v/>
      </c>
      <c r="L38" s="64"/>
      <c r="M38" s="64"/>
      <c r="N38" s="152" t="str">
        <f>IF($C38="","",($L38-($M38/2)))</f>
        <v/>
      </c>
      <c r="O38" s="65" t="str">
        <f t="shared" si="2"/>
        <v/>
      </c>
      <c r="P38" s="5" t="str">
        <f t="shared" si="3"/>
        <v/>
      </c>
      <c r="Q38" s="5" t="str">
        <f t="shared" si="4"/>
        <v/>
      </c>
      <c r="R38" s="5" t="str">
        <f t="shared" si="5"/>
        <v/>
      </c>
    </row>
    <row r="39" spans="1:18">
      <c r="A39" s="87"/>
      <c r="B39" s="87"/>
      <c r="C39" s="88"/>
      <c r="D39" s="89"/>
      <c r="E39" s="90"/>
      <c r="F39" s="69"/>
      <c r="G39" s="70"/>
      <c r="H39" s="71"/>
      <c r="I39" s="66"/>
      <c r="J39" s="67"/>
      <c r="K39" s="145" t="str">
        <f t="shared" si="0"/>
        <v/>
      </c>
      <c r="L39" s="64"/>
      <c r="M39" s="64"/>
      <c r="N39" s="152" t="str">
        <f t="shared" si="1"/>
        <v/>
      </c>
      <c r="O39" s="65" t="str">
        <f t="shared" si="2"/>
        <v/>
      </c>
      <c r="P39" s="5" t="str">
        <f t="shared" si="3"/>
        <v/>
      </c>
      <c r="Q39" s="5" t="str">
        <f t="shared" si="4"/>
        <v/>
      </c>
      <c r="R39" s="5" t="str">
        <f t="shared" si="5"/>
        <v/>
      </c>
    </row>
    <row r="40" spans="1:18">
      <c r="A40" s="87"/>
      <c r="B40" s="87"/>
      <c r="C40" s="88"/>
      <c r="D40" s="89"/>
      <c r="E40" s="90"/>
      <c r="F40" s="69"/>
      <c r="G40" s="70"/>
      <c r="H40" s="71"/>
      <c r="I40" s="66"/>
      <c r="J40" s="67"/>
      <c r="K40" s="145" t="str">
        <f t="shared" si="0"/>
        <v/>
      </c>
      <c r="L40" s="64"/>
      <c r="M40" s="64"/>
      <c r="N40" s="152" t="str">
        <f t="shared" si="1"/>
        <v/>
      </c>
      <c r="O40" s="65" t="str">
        <f t="shared" si="2"/>
        <v/>
      </c>
      <c r="P40" s="5" t="str">
        <f t="shared" si="3"/>
        <v/>
      </c>
      <c r="Q40" s="5" t="str">
        <f t="shared" si="4"/>
        <v/>
      </c>
      <c r="R40" s="5" t="str">
        <f t="shared" si="5"/>
        <v/>
      </c>
    </row>
    <row r="41" spans="1:18">
      <c r="A41" s="87"/>
      <c r="B41" s="87"/>
      <c r="C41" s="88"/>
      <c r="D41" s="89"/>
      <c r="E41" s="90"/>
      <c r="F41" s="69"/>
      <c r="G41" s="70"/>
      <c r="H41" s="71"/>
      <c r="I41" s="66"/>
      <c r="J41" s="67"/>
      <c r="K41" s="145" t="str">
        <f t="shared" si="0"/>
        <v/>
      </c>
      <c r="L41" s="64"/>
      <c r="M41" s="64"/>
      <c r="N41" s="152" t="str">
        <f t="shared" si="1"/>
        <v/>
      </c>
      <c r="O41" s="65" t="str">
        <f t="shared" si="2"/>
        <v/>
      </c>
      <c r="P41" s="5" t="str">
        <f t="shared" si="3"/>
        <v/>
      </c>
      <c r="Q41" s="5" t="str">
        <f t="shared" si="4"/>
        <v/>
      </c>
      <c r="R41" s="5" t="str">
        <f t="shared" si="5"/>
        <v/>
      </c>
    </row>
    <row r="42" spans="1:18">
      <c r="A42" s="87"/>
      <c r="B42" s="87"/>
      <c r="C42" s="88"/>
      <c r="D42" s="89"/>
      <c r="E42" s="90"/>
      <c r="F42" s="69"/>
      <c r="G42" s="70"/>
      <c r="H42" s="71"/>
      <c r="I42" s="66"/>
      <c r="J42" s="67"/>
      <c r="K42" s="145" t="str">
        <f>IF($C42="","",IF($I42+$J42=0,0,$I42/($I42+$J42)))</f>
        <v/>
      </c>
      <c r="L42" s="64"/>
      <c r="M42" s="64"/>
      <c r="N42" s="152" t="str">
        <f>IF($C42="","",($L42-($M42/2)))</f>
        <v/>
      </c>
      <c r="O42" s="65" t="str">
        <f t="shared" si="2"/>
        <v/>
      </c>
      <c r="P42" s="5" t="str">
        <f t="shared" si="3"/>
        <v/>
      </c>
      <c r="Q42" s="5" t="str">
        <f t="shared" si="4"/>
        <v/>
      </c>
      <c r="R42" s="5" t="str">
        <f t="shared" si="5"/>
        <v/>
      </c>
    </row>
    <row r="43" spans="1:18">
      <c r="A43" s="87"/>
      <c r="B43" s="87"/>
      <c r="C43" s="88"/>
      <c r="D43" s="89"/>
      <c r="E43" s="90"/>
      <c r="F43" s="69"/>
      <c r="G43" s="70"/>
      <c r="H43" s="71"/>
      <c r="I43" s="66"/>
      <c r="J43" s="67"/>
      <c r="K43" s="145" t="str">
        <f t="shared" si="0"/>
        <v/>
      </c>
      <c r="L43" s="64"/>
      <c r="M43" s="64"/>
      <c r="N43" s="152" t="str">
        <f t="shared" si="1"/>
        <v/>
      </c>
      <c r="O43" s="65" t="str">
        <f t="shared" si="2"/>
        <v/>
      </c>
      <c r="P43" s="5" t="str">
        <f t="shared" si="3"/>
        <v/>
      </c>
      <c r="Q43" s="5" t="str">
        <f t="shared" si="4"/>
        <v/>
      </c>
      <c r="R43" s="5" t="str">
        <f t="shared" si="5"/>
        <v/>
      </c>
    </row>
    <row r="44" spans="1:18">
      <c r="A44" s="87"/>
      <c r="B44" s="87"/>
      <c r="C44" s="88"/>
      <c r="D44" s="89"/>
      <c r="E44" s="90"/>
      <c r="F44" s="69"/>
      <c r="G44" s="70"/>
      <c r="H44" s="71"/>
      <c r="I44" s="66"/>
      <c r="J44" s="67"/>
      <c r="K44" s="145" t="str">
        <f t="shared" si="0"/>
        <v/>
      </c>
      <c r="L44" s="64"/>
      <c r="M44" s="64"/>
      <c r="N44" s="152" t="str">
        <f t="shared" si="1"/>
        <v/>
      </c>
      <c r="O44" s="65" t="str">
        <f t="shared" si="2"/>
        <v/>
      </c>
      <c r="P44" s="5" t="str">
        <f t="shared" si="3"/>
        <v/>
      </c>
      <c r="Q44" s="5" t="str">
        <f t="shared" si="4"/>
        <v/>
      </c>
      <c r="R44" s="5" t="str">
        <f t="shared" si="5"/>
        <v/>
      </c>
    </row>
    <row r="45" spans="1:18">
      <c r="A45" s="87"/>
      <c r="B45" s="87"/>
      <c r="C45" s="88"/>
      <c r="D45" s="89"/>
      <c r="E45" s="90"/>
      <c r="F45" s="69"/>
      <c r="G45" s="70"/>
      <c r="H45" s="71"/>
      <c r="I45" s="66"/>
      <c r="J45" s="67"/>
      <c r="K45" s="145" t="str">
        <f t="shared" si="0"/>
        <v/>
      </c>
      <c r="L45" s="64"/>
      <c r="M45" s="64"/>
      <c r="N45" s="152" t="str">
        <f t="shared" si="1"/>
        <v/>
      </c>
      <c r="O45" s="65" t="str">
        <f t="shared" si="2"/>
        <v/>
      </c>
      <c r="P45" s="5" t="str">
        <f t="shared" si="3"/>
        <v/>
      </c>
      <c r="Q45" s="5" t="str">
        <f t="shared" si="4"/>
        <v/>
      </c>
      <c r="R45" s="5" t="str">
        <f t="shared" si="5"/>
        <v/>
      </c>
    </row>
    <row r="46" spans="1:18">
      <c r="A46" s="87"/>
      <c r="B46" s="87"/>
      <c r="C46" s="88"/>
      <c r="D46" s="89"/>
      <c r="E46" s="90"/>
      <c r="F46" s="69"/>
      <c r="G46" s="70"/>
      <c r="H46" s="71"/>
      <c r="I46" s="66"/>
      <c r="J46" s="67"/>
      <c r="K46" s="145" t="str">
        <f t="shared" si="0"/>
        <v/>
      </c>
      <c r="L46" s="64"/>
      <c r="M46" s="64"/>
      <c r="N46" s="152" t="str">
        <f t="shared" si="1"/>
        <v/>
      </c>
      <c r="O46" s="65" t="str">
        <f t="shared" si="2"/>
        <v/>
      </c>
      <c r="P46" s="5" t="str">
        <f t="shared" si="3"/>
        <v/>
      </c>
      <c r="Q46" s="5" t="str">
        <f t="shared" si="4"/>
        <v/>
      </c>
      <c r="R46" s="5" t="str">
        <f t="shared" si="5"/>
        <v/>
      </c>
    </row>
    <row r="47" spans="1:18">
      <c r="A47" s="87"/>
      <c r="B47" s="87"/>
      <c r="C47" s="88"/>
      <c r="D47" s="89"/>
      <c r="E47" s="90"/>
      <c r="F47" s="69"/>
      <c r="G47" s="70"/>
      <c r="H47" s="71"/>
      <c r="I47" s="66"/>
      <c r="J47" s="67"/>
      <c r="K47" s="145" t="str">
        <f t="shared" si="0"/>
        <v/>
      </c>
      <c r="L47" s="64"/>
      <c r="M47" s="64"/>
      <c r="N47" s="152" t="str">
        <f t="shared" si="1"/>
        <v/>
      </c>
      <c r="O47" s="65" t="str">
        <f t="shared" si="2"/>
        <v/>
      </c>
      <c r="P47" s="5" t="str">
        <f t="shared" si="3"/>
        <v/>
      </c>
      <c r="Q47" s="5" t="str">
        <f t="shared" si="4"/>
        <v/>
      </c>
      <c r="R47" s="5" t="str">
        <f t="shared" si="5"/>
        <v/>
      </c>
    </row>
    <row r="48" spans="1:18">
      <c r="A48" s="87"/>
      <c r="B48" s="87"/>
      <c r="C48" s="88"/>
      <c r="D48" s="89"/>
      <c r="E48" s="90"/>
      <c r="F48" s="69"/>
      <c r="G48" s="70"/>
      <c r="H48" s="71"/>
      <c r="I48" s="66"/>
      <c r="J48" s="67"/>
      <c r="K48" s="145" t="str">
        <f t="shared" si="0"/>
        <v/>
      </c>
      <c r="L48" s="64"/>
      <c r="M48" s="64"/>
      <c r="N48" s="152" t="str">
        <f t="shared" si="1"/>
        <v/>
      </c>
      <c r="O48" s="65" t="str">
        <f t="shared" si="2"/>
        <v/>
      </c>
      <c r="P48" s="5" t="str">
        <f t="shared" si="3"/>
        <v/>
      </c>
      <c r="Q48" s="5" t="str">
        <f t="shared" si="4"/>
        <v/>
      </c>
      <c r="R48" s="5" t="str">
        <f t="shared" si="5"/>
        <v/>
      </c>
    </row>
    <row r="49" spans="1:18">
      <c r="A49" s="87"/>
      <c r="B49" s="87"/>
      <c r="C49" s="88"/>
      <c r="D49" s="89"/>
      <c r="E49" s="90"/>
      <c r="F49" s="69"/>
      <c r="G49" s="70"/>
      <c r="H49" s="71"/>
      <c r="I49" s="66"/>
      <c r="J49" s="67"/>
      <c r="K49" s="145" t="str">
        <f t="shared" si="0"/>
        <v/>
      </c>
      <c r="L49" s="64"/>
      <c r="M49" s="64"/>
      <c r="N49" s="152" t="str">
        <f t="shared" si="1"/>
        <v/>
      </c>
      <c r="O49" s="65" t="str">
        <f t="shared" si="2"/>
        <v/>
      </c>
      <c r="P49" s="5" t="str">
        <f t="shared" si="3"/>
        <v/>
      </c>
      <c r="Q49" s="5" t="str">
        <f t="shared" si="4"/>
        <v/>
      </c>
      <c r="R49" s="5" t="str">
        <f t="shared" si="5"/>
        <v/>
      </c>
    </row>
    <row r="50" spans="1:18">
      <c r="A50" s="87"/>
      <c r="B50" s="87"/>
      <c r="C50" s="88"/>
      <c r="D50" s="89"/>
      <c r="E50" s="90"/>
      <c r="F50" s="69"/>
      <c r="G50" s="70"/>
      <c r="H50" s="71"/>
      <c r="I50" s="66"/>
      <c r="J50" s="67"/>
      <c r="K50" s="145" t="str">
        <f t="shared" si="0"/>
        <v/>
      </c>
      <c r="L50" s="64"/>
      <c r="M50" s="64"/>
      <c r="N50" s="152" t="str">
        <f t="shared" si="1"/>
        <v/>
      </c>
      <c r="O50" s="65" t="str">
        <f t="shared" si="2"/>
        <v/>
      </c>
      <c r="P50" s="5" t="str">
        <f t="shared" si="3"/>
        <v/>
      </c>
      <c r="Q50" s="5" t="str">
        <f t="shared" si="4"/>
        <v/>
      </c>
      <c r="R50" s="5" t="str">
        <f t="shared" si="5"/>
        <v/>
      </c>
    </row>
    <row r="51" spans="1:18">
      <c r="A51" s="87"/>
      <c r="B51" s="87"/>
      <c r="C51" s="88"/>
      <c r="D51" s="89"/>
      <c r="E51" s="90"/>
      <c r="F51" s="69"/>
      <c r="G51" s="70"/>
      <c r="H51" s="71"/>
      <c r="I51" s="66"/>
      <c r="J51" s="67"/>
      <c r="K51" s="145" t="str">
        <f t="shared" si="0"/>
        <v/>
      </c>
      <c r="L51" s="64"/>
      <c r="M51" s="64"/>
      <c r="N51" s="152" t="str">
        <f t="shared" si="1"/>
        <v/>
      </c>
      <c r="O51" s="65" t="str">
        <f t="shared" si="2"/>
        <v/>
      </c>
      <c r="P51" s="5" t="str">
        <f t="shared" si="3"/>
        <v/>
      </c>
      <c r="Q51" s="5" t="str">
        <f t="shared" si="4"/>
        <v/>
      </c>
      <c r="R51" s="5" t="str">
        <f t="shared" si="5"/>
        <v/>
      </c>
    </row>
    <row r="52" spans="1:18">
      <c r="A52" s="87"/>
      <c r="B52" s="87"/>
      <c r="C52" s="88"/>
      <c r="D52" s="89"/>
      <c r="E52" s="90"/>
      <c r="F52" s="69"/>
      <c r="G52" s="70"/>
      <c r="H52" s="71"/>
      <c r="I52" s="66"/>
      <c r="J52" s="67"/>
      <c r="K52" s="145" t="str">
        <f t="shared" si="0"/>
        <v/>
      </c>
      <c r="L52" s="64"/>
      <c r="M52" s="64"/>
      <c r="N52" s="152" t="str">
        <f t="shared" si="1"/>
        <v/>
      </c>
      <c r="O52" s="65" t="str">
        <f t="shared" si="2"/>
        <v/>
      </c>
      <c r="P52" s="5" t="str">
        <f t="shared" si="3"/>
        <v/>
      </c>
      <c r="Q52" s="5" t="str">
        <f t="shared" si="4"/>
        <v/>
      </c>
      <c r="R52" s="5" t="str">
        <f t="shared" si="5"/>
        <v/>
      </c>
    </row>
    <row r="53" spans="1:18">
      <c r="A53" s="87"/>
      <c r="B53" s="87"/>
      <c r="C53" s="88"/>
      <c r="D53" s="89"/>
      <c r="E53" s="90"/>
      <c r="F53" s="69"/>
      <c r="G53" s="70"/>
      <c r="H53" s="71"/>
      <c r="I53" s="66"/>
      <c r="J53" s="67"/>
      <c r="K53" s="145" t="str">
        <f t="shared" si="0"/>
        <v/>
      </c>
      <c r="L53" s="64"/>
      <c r="M53" s="64"/>
      <c r="N53" s="152" t="str">
        <f t="shared" si="1"/>
        <v/>
      </c>
      <c r="O53" s="65" t="str">
        <f t="shared" si="2"/>
        <v/>
      </c>
      <c r="P53" s="5" t="str">
        <f t="shared" si="3"/>
        <v/>
      </c>
      <c r="Q53" s="5" t="str">
        <f t="shared" si="4"/>
        <v/>
      </c>
      <c r="R53" s="5" t="str">
        <f t="shared" si="5"/>
        <v/>
      </c>
    </row>
    <row r="54" spans="1:18">
      <c r="A54" s="87"/>
      <c r="B54" s="87"/>
      <c r="C54" s="88"/>
      <c r="D54" s="89"/>
      <c r="E54" s="90"/>
      <c r="F54" s="69"/>
      <c r="G54" s="70"/>
      <c r="H54" s="71"/>
      <c r="I54" s="66"/>
      <c r="J54" s="67"/>
      <c r="K54" s="145" t="str">
        <f t="shared" si="0"/>
        <v/>
      </c>
      <c r="L54" s="64"/>
      <c r="M54" s="64"/>
      <c r="N54" s="152" t="str">
        <f t="shared" si="1"/>
        <v/>
      </c>
      <c r="O54" s="65" t="str">
        <f t="shared" si="2"/>
        <v/>
      </c>
      <c r="P54" s="5" t="str">
        <f t="shared" si="3"/>
        <v/>
      </c>
      <c r="Q54" s="5" t="str">
        <f t="shared" si="4"/>
        <v/>
      </c>
      <c r="R54" s="5" t="str">
        <f t="shared" si="5"/>
        <v/>
      </c>
    </row>
    <row r="55" spans="1:18">
      <c r="A55" s="87"/>
      <c r="B55" s="87"/>
      <c r="C55" s="88"/>
      <c r="D55" s="89"/>
      <c r="E55" s="90"/>
      <c r="F55" s="69"/>
      <c r="G55" s="70"/>
      <c r="H55" s="71"/>
      <c r="I55" s="66"/>
      <c r="J55" s="67"/>
      <c r="K55" s="145" t="str">
        <f t="shared" si="0"/>
        <v/>
      </c>
      <c r="L55" s="64"/>
      <c r="M55" s="64"/>
      <c r="N55" s="152" t="str">
        <f t="shared" si="1"/>
        <v/>
      </c>
      <c r="O55" s="65" t="str">
        <f t="shared" si="2"/>
        <v/>
      </c>
      <c r="P55" s="5" t="str">
        <f t="shared" si="3"/>
        <v/>
      </c>
      <c r="Q55" s="5" t="str">
        <f t="shared" si="4"/>
        <v/>
      </c>
      <c r="R55" s="5" t="str">
        <f t="shared" si="5"/>
        <v/>
      </c>
    </row>
    <row r="56" spans="1:18">
      <c r="A56" s="87"/>
      <c r="B56" s="87"/>
      <c r="C56" s="88"/>
      <c r="D56" s="89"/>
      <c r="E56" s="90"/>
      <c r="F56" s="69"/>
      <c r="G56" s="70"/>
      <c r="H56" s="71"/>
      <c r="I56" s="66"/>
      <c r="J56" s="67"/>
      <c r="K56" s="145" t="str">
        <f t="shared" si="0"/>
        <v/>
      </c>
      <c r="L56" s="64"/>
      <c r="M56" s="64"/>
      <c r="N56" s="152" t="str">
        <f t="shared" si="1"/>
        <v/>
      </c>
      <c r="O56" s="65" t="str">
        <f t="shared" si="2"/>
        <v/>
      </c>
      <c r="P56" s="5" t="str">
        <f t="shared" si="3"/>
        <v/>
      </c>
      <c r="Q56" s="5" t="str">
        <f t="shared" si="4"/>
        <v/>
      </c>
      <c r="R56" s="5" t="str">
        <f t="shared" si="5"/>
        <v/>
      </c>
    </row>
    <row r="57" spans="1:18">
      <c r="A57" s="87"/>
      <c r="B57" s="87"/>
      <c r="C57" s="88"/>
      <c r="D57" s="89"/>
      <c r="E57" s="90"/>
      <c r="F57" s="69"/>
      <c r="G57" s="70"/>
      <c r="H57" s="71"/>
      <c r="I57" s="66"/>
      <c r="J57" s="67"/>
      <c r="K57" s="145" t="str">
        <f t="shared" si="0"/>
        <v/>
      </c>
      <c r="L57" s="64"/>
      <c r="M57" s="64"/>
      <c r="N57" s="152" t="str">
        <f t="shared" si="1"/>
        <v/>
      </c>
      <c r="O57" s="65" t="str">
        <f t="shared" si="2"/>
        <v/>
      </c>
      <c r="P57" s="5" t="str">
        <f t="shared" si="3"/>
        <v/>
      </c>
      <c r="Q57" s="5" t="str">
        <f t="shared" si="4"/>
        <v/>
      </c>
      <c r="R57" s="5" t="str">
        <f t="shared" si="5"/>
        <v/>
      </c>
    </row>
    <row r="58" spans="1:18">
      <c r="A58" s="87"/>
      <c r="B58" s="87"/>
      <c r="C58" s="88"/>
      <c r="D58" s="89"/>
      <c r="E58" s="90"/>
      <c r="F58" s="69"/>
      <c r="G58" s="70"/>
      <c r="H58" s="71"/>
      <c r="I58" s="66"/>
      <c r="J58" s="67"/>
      <c r="K58" s="145" t="str">
        <f t="shared" si="0"/>
        <v/>
      </c>
      <c r="L58" s="64"/>
      <c r="M58" s="64"/>
      <c r="N58" s="152" t="str">
        <f t="shared" si="1"/>
        <v/>
      </c>
      <c r="O58" s="65" t="str">
        <f t="shared" si="2"/>
        <v/>
      </c>
      <c r="P58" s="5" t="str">
        <f t="shared" si="3"/>
        <v/>
      </c>
      <c r="Q58" s="5" t="str">
        <f t="shared" si="4"/>
        <v/>
      </c>
      <c r="R58" s="5" t="str">
        <f t="shared" si="5"/>
        <v/>
      </c>
    </row>
    <row r="59" spans="1:18">
      <c r="A59" s="87"/>
      <c r="B59" s="87"/>
      <c r="C59" s="88"/>
      <c r="D59" s="89"/>
      <c r="E59" s="90"/>
      <c r="F59" s="69"/>
      <c r="G59" s="70"/>
      <c r="H59" s="71"/>
      <c r="I59" s="66"/>
      <c r="J59" s="67"/>
      <c r="K59" s="145" t="str">
        <f t="shared" si="0"/>
        <v/>
      </c>
      <c r="L59" s="64"/>
      <c r="M59" s="64"/>
      <c r="N59" s="152" t="str">
        <f t="shared" si="1"/>
        <v/>
      </c>
      <c r="O59" s="65" t="str">
        <f t="shared" si="2"/>
        <v/>
      </c>
      <c r="P59" s="5" t="str">
        <f t="shared" si="3"/>
        <v/>
      </c>
      <c r="Q59" s="5" t="str">
        <f t="shared" si="4"/>
        <v/>
      </c>
      <c r="R59" s="5" t="str">
        <f t="shared" si="5"/>
        <v/>
      </c>
    </row>
    <row r="60" spans="1:18">
      <c r="A60" s="87"/>
      <c r="B60" s="87"/>
      <c r="C60" s="88"/>
      <c r="D60" s="89"/>
      <c r="E60" s="90"/>
      <c r="F60" s="69"/>
      <c r="G60" s="70"/>
      <c r="H60" s="71"/>
      <c r="I60" s="66"/>
      <c r="J60" s="67"/>
      <c r="K60" s="145" t="str">
        <f t="shared" si="0"/>
        <v/>
      </c>
      <c r="L60" s="64"/>
      <c r="M60" s="64"/>
      <c r="N60" s="152" t="str">
        <f t="shared" si="1"/>
        <v/>
      </c>
      <c r="O60" s="65" t="str">
        <f t="shared" si="2"/>
        <v/>
      </c>
      <c r="P60" s="5" t="str">
        <f t="shared" si="3"/>
        <v/>
      </c>
      <c r="Q60" s="5" t="str">
        <f t="shared" si="4"/>
        <v/>
      </c>
      <c r="R60" s="5" t="str">
        <f t="shared" si="5"/>
        <v/>
      </c>
    </row>
    <row r="61" spans="1:18">
      <c r="A61" s="87"/>
      <c r="B61" s="87"/>
      <c r="C61" s="88"/>
      <c r="D61" s="89"/>
      <c r="E61" s="90"/>
      <c r="F61" s="69"/>
      <c r="G61" s="70"/>
      <c r="H61" s="71"/>
      <c r="I61" s="66"/>
      <c r="J61" s="67"/>
      <c r="K61" s="145" t="str">
        <f t="shared" si="0"/>
        <v/>
      </c>
      <c r="L61" s="64"/>
      <c r="M61" s="64"/>
      <c r="N61" s="152" t="str">
        <f t="shared" si="1"/>
        <v/>
      </c>
      <c r="O61" s="65" t="str">
        <f t="shared" si="2"/>
        <v/>
      </c>
      <c r="P61" s="5" t="str">
        <f t="shared" si="3"/>
        <v/>
      </c>
      <c r="Q61" s="5" t="str">
        <f t="shared" si="4"/>
        <v/>
      </c>
      <c r="R61" s="5" t="str">
        <f t="shared" si="5"/>
        <v/>
      </c>
    </row>
    <row r="62" spans="1:18">
      <c r="A62" s="87"/>
      <c r="B62" s="87"/>
      <c r="C62" s="88"/>
      <c r="D62" s="89"/>
      <c r="E62" s="90"/>
      <c r="F62" s="69"/>
      <c r="G62" s="70"/>
      <c r="H62" s="71"/>
      <c r="I62" s="66"/>
      <c r="J62" s="67"/>
      <c r="K62" s="145" t="str">
        <f t="shared" si="0"/>
        <v/>
      </c>
      <c r="L62" s="64"/>
      <c r="M62" s="64"/>
      <c r="N62" s="152" t="str">
        <f t="shared" si="1"/>
        <v/>
      </c>
      <c r="O62" s="65" t="str">
        <f t="shared" si="2"/>
        <v/>
      </c>
      <c r="P62" s="5" t="str">
        <f t="shared" si="3"/>
        <v/>
      </c>
      <c r="Q62" s="5" t="str">
        <f t="shared" si="4"/>
        <v/>
      </c>
      <c r="R62" s="5" t="str">
        <f t="shared" si="5"/>
        <v/>
      </c>
    </row>
    <row r="63" spans="1:18">
      <c r="A63" s="87"/>
      <c r="B63" s="87"/>
      <c r="C63" s="88"/>
      <c r="D63" s="89"/>
      <c r="E63" s="90"/>
      <c r="F63" s="69"/>
      <c r="G63" s="70"/>
      <c r="H63" s="71"/>
      <c r="I63" s="66"/>
      <c r="J63" s="67"/>
      <c r="K63" s="145" t="str">
        <f t="shared" si="0"/>
        <v/>
      </c>
      <c r="L63" s="64"/>
      <c r="M63" s="64"/>
      <c r="N63" s="152" t="str">
        <f t="shared" si="1"/>
        <v/>
      </c>
      <c r="O63" s="65" t="str">
        <f t="shared" si="2"/>
        <v/>
      </c>
      <c r="P63" s="5" t="str">
        <f t="shared" si="3"/>
        <v/>
      </c>
      <c r="Q63" s="5" t="str">
        <f t="shared" si="4"/>
        <v/>
      </c>
      <c r="R63" s="5" t="str">
        <f t="shared" si="5"/>
        <v/>
      </c>
    </row>
    <row r="64" spans="1:18">
      <c r="A64" s="87"/>
      <c r="B64" s="87"/>
      <c r="C64" s="88"/>
      <c r="D64" s="89"/>
      <c r="E64" s="90"/>
      <c r="F64" s="69"/>
      <c r="G64" s="70"/>
      <c r="H64" s="71"/>
      <c r="I64" s="66"/>
      <c r="J64" s="67"/>
      <c r="K64" s="145" t="str">
        <f t="shared" si="0"/>
        <v/>
      </c>
      <c r="L64" s="64"/>
      <c r="M64" s="64"/>
      <c r="N64" s="152" t="str">
        <f t="shared" si="1"/>
        <v/>
      </c>
      <c r="O64" s="65" t="str">
        <f t="shared" si="2"/>
        <v/>
      </c>
      <c r="P64" s="5" t="str">
        <f t="shared" si="3"/>
        <v/>
      </c>
      <c r="Q64" s="5" t="str">
        <f t="shared" si="4"/>
        <v/>
      </c>
      <c r="R64" s="5" t="str">
        <f t="shared" si="5"/>
        <v/>
      </c>
    </row>
    <row r="65" spans="1:18">
      <c r="A65" s="87"/>
      <c r="B65" s="87"/>
      <c r="C65" s="88"/>
      <c r="D65" s="89"/>
      <c r="E65" s="90"/>
      <c r="F65" s="69"/>
      <c r="G65" s="70"/>
      <c r="H65" s="71"/>
      <c r="I65" s="66"/>
      <c r="J65" s="67"/>
      <c r="K65" s="145" t="str">
        <f t="shared" si="0"/>
        <v/>
      </c>
      <c r="L65" s="64"/>
      <c r="M65" s="64"/>
      <c r="N65" s="152" t="str">
        <f t="shared" si="1"/>
        <v/>
      </c>
      <c r="O65" s="65" t="str">
        <f t="shared" si="2"/>
        <v/>
      </c>
      <c r="P65" s="5" t="str">
        <f t="shared" si="3"/>
        <v/>
      </c>
      <c r="Q65" s="5" t="str">
        <f t="shared" si="4"/>
        <v/>
      </c>
      <c r="R65" s="5" t="str">
        <f t="shared" si="5"/>
        <v/>
      </c>
    </row>
    <row r="66" spans="1:18">
      <c r="A66" s="87"/>
      <c r="B66" s="87"/>
      <c r="C66" s="88"/>
      <c r="D66" s="89"/>
      <c r="E66" s="90"/>
      <c r="F66" s="69"/>
      <c r="G66" s="70"/>
      <c r="H66" s="71"/>
      <c r="I66" s="66"/>
      <c r="J66" s="67"/>
      <c r="K66" s="145" t="str">
        <f t="shared" si="0"/>
        <v/>
      </c>
      <c r="L66" s="64"/>
      <c r="M66" s="64"/>
      <c r="N66" s="152" t="str">
        <f t="shared" si="1"/>
        <v/>
      </c>
      <c r="O66" s="65" t="str">
        <f t="shared" si="2"/>
        <v/>
      </c>
      <c r="P66" s="5" t="str">
        <f t="shared" si="3"/>
        <v/>
      </c>
      <c r="Q66" s="5" t="str">
        <f t="shared" si="4"/>
        <v/>
      </c>
      <c r="R66" s="5" t="str">
        <f t="shared" si="5"/>
        <v/>
      </c>
    </row>
    <row r="67" spans="1:18">
      <c r="A67" s="87"/>
      <c r="B67" s="87"/>
      <c r="C67" s="88"/>
      <c r="D67" s="89"/>
      <c r="E67" s="90"/>
      <c r="F67" s="69"/>
      <c r="G67" s="70"/>
      <c r="H67" s="71"/>
      <c r="I67" s="66"/>
      <c r="J67" s="67"/>
      <c r="K67" s="145" t="str">
        <f t="shared" si="0"/>
        <v/>
      </c>
      <c r="L67" s="64"/>
      <c r="M67" s="64"/>
      <c r="N67" s="152" t="str">
        <f t="shared" si="1"/>
        <v/>
      </c>
      <c r="O67" s="65" t="str">
        <f t="shared" si="2"/>
        <v/>
      </c>
      <c r="P67" s="5" t="str">
        <f t="shared" si="3"/>
        <v/>
      </c>
      <c r="Q67" s="5" t="str">
        <f t="shared" si="4"/>
        <v/>
      </c>
      <c r="R67" s="5" t="str">
        <f t="shared" si="5"/>
        <v/>
      </c>
    </row>
    <row r="68" spans="1:18">
      <c r="A68" s="87"/>
      <c r="B68" s="87"/>
      <c r="C68" s="88"/>
      <c r="D68" s="89"/>
      <c r="E68" s="90"/>
      <c r="F68" s="69"/>
      <c r="G68" s="70"/>
      <c r="H68" s="71"/>
      <c r="I68" s="66"/>
      <c r="J68" s="67"/>
      <c r="K68" s="145" t="str">
        <f t="shared" si="0"/>
        <v/>
      </c>
      <c r="L68" s="64"/>
      <c r="M68" s="64"/>
      <c r="N68" s="152" t="str">
        <f t="shared" si="1"/>
        <v/>
      </c>
      <c r="O68" s="65" t="str">
        <f t="shared" si="2"/>
        <v/>
      </c>
      <c r="P68" s="5" t="str">
        <f t="shared" si="3"/>
        <v/>
      </c>
      <c r="Q68" s="5" t="str">
        <f t="shared" si="4"/>
        <v/>
      </c>
      <c r="R68" s="5" t="str">
        <f t="shared" si="5"/>
        <v/>
      </c>
    </row>
    <row r="69" spans="1:18">
      <c r="A69" s="87"/>
      <c r="B69" s="87"/>
      <c r="C69" s="88"/>
      <c r="D69" s="89"/>
      <c r="E69" s="90"/>
      <c r="F69" s="69"/>
      <c r="G69" s="70"/>
      <c r="H69" s="71"/>
      <c r="I69" s="66"/>
      <c r="J69" s="67"/>
      <c r="K69" s="145" t="str">
        <f t="shared" si="0"/>
        <v/>
      </c>
      <c r="L69" s="64"/>
      <c r="M69" s="64"/>
      <c r="N69" s="152" t="str">
        <f t="shared" si="1"/>
        <v/>
      </c>
      <c r="O69" s="65" t="str">
        <f t="shared" si="2"/>
        <v/>
      </c>
      <c r="P69" s="5" t="str">
        <f t="shared" si="3"/>
        <v/>
      </c>
      <c r="Q69" s="5" t="str">
        <f t="shared" si="4"/>
        <v/>
      </c>
      <c r="R69" s="5" t="str">
        <f t="shared" si="5"/>
        <v/>
      </c>
    </row>
    <row r="70" spans="1:18">
      <c r="A70" s="87"/>
      <c r="B70" s="87"/>
      <c r="C70" s="88"/>
      <c r="D70" s="89"/>
      <c r="E70" s="90"/>
      <c r="F70" s="69"/>
      <c r="G70" s="70"/>
      <c r="H70" s="71"/>
      <c r="I70" s="66"/>
      <c r="J70" s="67"/>
      <c r="K70" s="145" t="str">
        <f t="shared" si="0"/>
        <v/>
      </c>
      <c r="L70" s="64"/>
      <c r="M70" s="64"/>
      <c r="N70" s="152" t="str">
        <f t="shared" si="1"/>
        <v/>
      </c>
      <c r="O70" s="65" t="str">
        <f t="shared" si="2"/>
        <v/>
      </c>
      <c r="P70" s="5" t="str">
        <f t="shared" si="3"/>
        <v/>
      </c>
      <c r="Q70" s="5" t="str">
        <f t="shared" si="4"/>
        <v/>
      </c>
      <c r="R70" s="5" t="str">
        <f t="shared" si="5"/>
        <v/>
      </c>
    </row>
    <row r="71" spans="1:18">
      <c r="A71" s="87"/>
      <c r="B71" s="87"/>
      <c r="C71" s="88"/>
      <c r="D71" s="89"/>
      <c r="E71" s="90"/>
      <c r="F71" s="69"/>
      <c r="G71" s="70"/>
      <c r="H71" s="71"/>
      <c r="I71" s="66"/>
      <c r="J71" s="67"/>
      <c r="K71" s="145" t="str">
        <f t="shared" ref="K71:K134" si="6">IF($C71="","",IF($I71+$J71=0,0,$I71/($I71+$J71)))</f>
        <v/>
      </c>
      <c r="L71" s="64"/>
      <c r="M71" s="64"/>
      <c r="N71" s="152" t="str">
        <f t="shared" ref="N71:N134" si="7">IF($C71="","",($L71-($M71/2)))</f>
        <v/>
      </c>
      <c r="O71" s="65" t="str">
        <f t="shared" ref="O71:O134" si="8">IF($C71="","",IF(TRIM($B71)="beginning",(((SUM($P71:$R71)-4824)/1506)*40)+360,IF(TRIM($B71)="middle",(((SUM($P71:$R71)-4824)/1506)*40)+400,IF(TRIM($B71)="end",(((SUM($P71:$R71)-4824)/1506)*40)+440,""))))</f>
        <v/>
      </c>
      <c r="P71" s="5" t="str">
        <f t="shared" ref="P71:P134" si="9">IF($C71="","",I71*37.69)</f>
        <v/>
      </c>
      <c r="Q71" s="5" t="str">
        <f t="shared" ref="Q71:Q134" si="10">IF($C71="","",K71*0.03)</f>
        <v/>
      </c>
      <c r="R71" s="5" t="str">
        <f t="shared" ref="R71:R134" si="11">IF($C71="","",N71*6.75)</f>
        <v/>
      </c>
    </row>
    <row r="72" spans="1:18">
      <c r="A72" s="87"/>
      <c r="B72" s="87"/>
      <c r="C72" s="88"/>
      <c r="D72" s="89"/>
      <c r="E72" s="90"/>
      <c r="F72" s="69"/>
      <c r="G72" s="70"/>
      <c r="H72" s="71"/>
      <c r="I72" s="66"/>
      <c r="J72" s="67"/>
      <c r="K72" s="145" t="str">
        <f t="shared" si="6"/>
        <v/>
      </c>
      <c r="L72" s="64"/>
      <c r="M72" s="64"/>
      <c r="N72" s="152" t="str">
        <f t="shared" si="7"/>
        <v/>
      </c>
      <c r="O72" s="65"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2" t="str">
        <f t="shared" si="7"/>
        <v/>
      </c>
      <c r="O73" s="65"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2" t="str">
        <f t="shared" si="7"/>
        <v/>
      </c>
      <c r="O74" s="65"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2" t="str">
        <f t="shared" si="7"/>
        <v/>
      </c>
      <c r="O75" s="65"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2" t="str">
        <f t="shared" si="7"/>
        <v/>
      </c>
      <c r="O76" s="65"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2" t="str">
        <f t="shared" si="7"/>
        <v/>
      </c>
      <c r="O77" s="65"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2" t="str">
        <f t="shared" si="7"/>
        <v/>
      </c>
      <c r="O78" s="65"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2" t="str">
        <f t="shared" si="7"/>
        <v/>
      </c>
      <c r="O79" s="65"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2" t="str">
        <f t="shared" si="7"/>
        <v/>
      </c>
      <c r="O80" s="65"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2" t="str">
        <f t="shared" si="7"/>
        <v/>
      </c>
      <c r="O81" s="65"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2" t="str">
        <f t="shared" si="7"/>
        <v/>
      </c>
      <c r="O82" s="65"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2" t="str">
        <f t="shared" si="7"/>
        <v/>
      </c>
      <c r="O83" s="65"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2" t="str">
        <f t="shared" si="7"/>
        <v/>
      </c>
      <c r="O84" s="65"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2" t="str">
        <f t="shared" si="7"/>
        <v/>
      </c>
      <c r="O85" s="65"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2" t="str">
        <f t="shared" si="7"/>
        <v/>
      </c>
      <c r="O86" s="65"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2" t="str">
        <f t="shared" si="7"/>
        <v/>
      </c>
      <c r="O87" s="65"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2" t="str">
        <f t="shared" si="7"/>
        <v/>
      </c>
      <c r="O88" s="65"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2" t="str">
        <f t="shared" si="7"/>
        <v/>
      </c>
      <c r="O89" s="65"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2" t="str">
        <f t="shared" si="7"/>
        <v/>
      </c>
      <c r="O90" s="65"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2" t="str">
        <f t="shared" si="7"/>
        <v/>
      </c>
      <c r="O91" s="65"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2" t="str">
        <f t="shared" si="7"/>
        <v/>
      </c>
      <c r="O92" s="65"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2" t="str">
        <f t="shared" si="7"/>
        <v/>
      </c>
      <c r="O93" s="65"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2" t="str">
        <f t="shared" si="7"/>
        <v/>
      </c>
      <c r="O94" s="65"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2" t="str">
        <f t="shared" si="7"/>
        <v/>
      </c>
      <c r="O95" s="65"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2" t="str">
        <f t="shared" si="7"/>
        <v/>
      </c>
      <c r="O96" s="65"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2" t="str">
        <f t="shared" si="7"/>
        <v/>
      </c>
      <c r="O97" s="65"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2" t="str">
        <f t="shared" si="7"/>
        <v/>
      </c>
      <c r="O98" s="65"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2" t="str">
        <f t="shared" si="7"/>
        <v/>
      </c>
      <c r="O99" s="65"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2" t="str">
        <f t="shared" si="7"/>
        <v/>
      </c>
      <c r="O100" s="65"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2" t="str">
        <f t="shared" si="7"/>
        <v/>
      </c>
      <c r="O101" s="65"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2" t="str">
        <f t="shared" si="7"/>
        <v/>
      </c>
      <c r="O102" s="65"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2" t="str">
        <f t="shared" si="7"/>
        <v/>
      </c>
      <c r="O103" s="65"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2" t="str">
        <f t="shared" si="7"/>
        <v/>
      </c>
      <c r="O104" s="65"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2" t="str">
        <f t="shared" si="7"/>
        <v/>
      </c>
      <c r="O105" s="65"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2" t="str">
        <f t="shared" si="7"/>
        <v/>
      </c>
      <c r="O106" s="65"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2" t="str">
        <f t="shared" si="7"/>
        <v/>
      </c>
      <c r="O107" s="65"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2" t="str">
        <f t="shared" si="7"/>
        <v/>
      </c>
      <c r="O108" s="65"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2" t="str">
        <f t="shared" si="7"/>
        <v/>
      </c>
      <c r="O109" s="65"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2" t="str">
        <f t="shared" si="7"/>
        <v/>
      </c>
      <c r="O110" s="65"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2" t="str">
        <f t="shared" si="7"/>
        <v/>
      </c>
      <c r="O111" s="65"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2" t="str">
        <f t="shared" si="7"/>
        <v/>
      </c>
      <c r="O112" s="65"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2" t="str">
        <f t="shared" si="7"/>
        <v/>
      </c>
      <c r="O113" s="65"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2" t="str">
        <f t="shared" si="7"/>
        <v/>
      </c>
      <c r="O114" s="65"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2" t="str">
        <f t="shared" si="7"/>
        <v/>
      </c>
      <c r="O115" s="65"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2" t="str">
        <f t="shared" si="7"/>
        <v/>
      </c>
      <c r="O116" s="65"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2" t="str">
        <f t="shared" si="7"/>
        <v/>
      </c>
      <c r="O117" s="65"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2" t="str">
        <f t="shared" si="7"/>
        <v/>
      </c>
      <c r="O118" s="65"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2" t="str">
        <f t="shared" si="7"/>
        <v/>
      </c>
      <c r="O119" s="65"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2" t="str">
        <f t="shared" si="7"/>
        <v/>
      </c>
      <c r="O120" s="65"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2" t="str">
        <f t="shared" si="7"/>
        <v/>
      </c>
      <c r="O121" s="65"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2" t="str">
        <f t="shared" si="7"/>
        <v/>
      </c>
      <c r="O122" s="65"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2" t="str">
        <f t="shared" si="7"/>
        <v/>
      </c>
      <c r="O123" s="65"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2" t="str">
        <f t="shared" si="7"/>
        <v/>
      </c>
      <c r="O124" s="65"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2" t="str">
        <f t="shared" si="7"/>
        <v/>
      </c>
      <c r="O125" s="65"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2" t="str">
        <f t="shared" si="7"/>
        <v/>
      </c>
      <c r="O126" s="65"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2" t="str">
        <f t="shared" si="7"/>
        <v/>
      </c>
      <c r="O127" s="65"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2" t="str">
        <f t="shared" si="7"/>
        <v/>
      </c>
      <c r="O128" s="65"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2" t="str">
        <f t="shared" si="7"/>
        <v/>
      </c>
      <c r="O129" s="65"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2" t="str">
        <f t="shared" si="7"/>
        <v/>
      </c>
      <c r="O130" s="65"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2" t="str">
        <f t="shared" si="7"/>
        <v/>
      </c>
      <c r="O131" s="65"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2" t="str">
        <f t="shared" si="7"/>
        <v/>
      </c>
      <c r="O132" s="65"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2" t="str">
        <f t="shared" si="7"/>
        <v/>
      </c>
      <c r="O133" s="65"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2" t="str">
        <f t="shared" si="7"/>
        <v/>
      </c>
      <c r="O134" s="65"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2" t="str">
        <f t="shared" ref="N135:N198" si="13">IF($C135="","",($L135-($M135/2)))</f>
        <v/>
      </c>
      <c r="O135" s="65" t="str">
        <f t="shared" ref="O135:O198" si="14">IF($C135="","",IF(TRIM($B135)="beginning",(((SUM($P135:$R135)-4824)/1506)*40)+360,IF(TRIM($B135)="middle",(((SUM($P135:$R135)-4824)/1506)*40)+400,IF(TRIM($B135)="end",(((SUM($P135:$R135)-4824)/1506)*40)+440,""))))</f>
        <v/>
      </c>
      <c r="P135" s="5" t="str">
        <f t="shared" ref="P135:P198" si="15">IF($C135="","",I135*37.69)</f>
        <v/>
      </c>
      <c r="Q135" s="5" t="str">
        <f t="shared" ref="Q135:Q198" si="16">IF($C135="","",K135*0.03)</f>
        <v/>
      </c>
      <c r="R135" s="5" t="str">
        <f t="shared" ref="R135:R198" si="17">IF($C135="","",N135*6.75)</f>
        <v/>
      </c>
    </row>
    <row r="136" spans="1:18">
      <c r="A136" s="91"/>
      <c r="B136" s="92"/>
      <c r="C136" s="69"/>
      <c r="D136" s="69"/>
      <c r="E136" s="69"/>
      <c r="F136" s="69"/>
      <c r="G136" s="70"/>
      <c r="H136" s="71"/>
      <c r="I136" s="66"/>
      <c r="J136" s="67"/>
      <c r="K136" s="145" t="str">
        <f t="shared" si="12"/>
        <v/>
      </c>
      <c r="L136" s="64"/>
      <c r="M136" s="64"/>
      <c r="N136" s="152" t="str">
        <f t="shared" si="13"/>
        <v/>
      </c>
      <c r="O136" s="65"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2" t="str">
        <f t="shared" si="13"/>
        <v/>
      </c>
      <c r="O137" s="65"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2" t="str">
        <f t="shared" si="13"/>
        <v/>
      </c>
      <c r="O138" s="65"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2" t="str">
        <f t="shared" si="13"/>
        <v/>
      </c>
      <c r="O139" s="65"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2" t="str">
        <f t="shared" si="13"/>
        <v/>
      </c>
      <c r="O140" s="65"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2" t="str">
        <f t="shared" si="13"/>
        <v/>
      </c>
      <c r="O141" s="65"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2" t="str">
        <f t="shared" si="13"/>
        <v/>
      </c>
      <c r="O142" s="65"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2" t="str">
        <f t="shared" si="13"/>
        <v/>
      </c>
      <c r="O143" s="65"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2" t="str">
        <f t="shared" si="13"/>
        <v/>
      </c>
      <c r="O144" s="65"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2" t="str">
        <f t="shared" si="13"/>
        <v/>
      </c>
      <c r="O145" s="65"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2" t="str">
        <f t="shared" si="13"/>
        <v/>
      </c>
      <c r="O146" s="65"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2" t="str">
        <f t="shared" si="13"/>
        <v/>
      </c>
      <c r="O147" s="65"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2" t="str">
        <f t="shared" si="13"/>
        <v/>
      </c>
      <c r="O148" s="65"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2" t="str">
        <f t="shared" si="13"/>
        <v/>
      </c>
      <c r="O149" s="65"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2" t="str">
        <f t="shared" si="13"/>
        <v/>
      </c>
      <c r="O150" s="65"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2" t="str">
        <f t="shared" si="13"/>
        <v/>
      </c>
      <c r="O151" s="65"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2" t="str">
        <f t="shared" si="13"/>
        <v/>
      </c>
      <c r="O152" s="65"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2" t="str">
        <f t="shared" si="13"/>
        <v/>
      </c>
      <c r="O153" s="65"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2" t="str">
        <f t="shared" si="13"/>
        <v/>
      </c>
      <c r="O154" s="65"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2" t="str">
        <f t="shared" si="13"/>
        <v/>
      </c>
      <c r="O155" s="65"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2" t="str">
        <f t="shared" si="13"/>
        <v/>
      </c>
      <c r="O156" s="65"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2" t="str">
        <f t="shared" si="13"/>
        <v/>
      </c>
      <c r="O157" s="65"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2" t="str">
        <f t="shared" si="13"/>
        <v/>
      </c>
      <c r="O158" s="65"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2" t="str">
        <f t="shared" si="13"/>
        <v/>
      </c>
      <c r="O159" s="65"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2" t="str">
        <f t="shared" si="13"/>
        <v/>
      </c>
      <c r="O160" s="65"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2" t="str">
        <f t="shared" si="13"/>
        <v/>
      </c>
      <c r="O161" s="65"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2" t="str">
        <f t="shared" si="13"/>
        <v/>
      </c>
      <c r="O162" s="65"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2" t="str">
        <f t="shared" si="13"/>
        <v/>
      </c>
      <c r="O163" s="65"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2" t="str">
        <f t="shared" si="13"/>
        <v/>
      </c>
      <c r="O164" s="65"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2" t="str">
        <f t="shared" si="13"/>
        <v/>
      </c>
      <c r="O165" s="65"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2" t="str">
        <f t="shared" si="13"/>
        <v/>
      </c>
      <c r="O166" s="65"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2" t="str">
        <f t="shared" si="13"/>
        <v/>
      </c>
      <c r="O167" s="65"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2" t="str">
        <f t="shared" si="13"/>
        <v/>
      </c>
      <c r="O168" s="65"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2" t="str">
        <f t="shared" si="13"/>
        <v/>
      </c>
      <c r="O169" s="65"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2" t="str">
        <f t="shared" si="13"/>
        <v/>
      </c>
      <c r="O170" s="65"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2" t="str">
        <f t="shared" si="13"/>
        <v/>
      </c>
      <c r="O171" s="65"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2" t="str">
        <f t="shared" si="13"/>
        <v/>
      </c>
      <c r="O172" s="65"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2" t="str">
        <f t="shared" si="13"/>
        <v/>
      </c>
      <c r="O173" s="65"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2" t="str">
        <f t="shared" si="13"/>
        <v/>
      </c>
      <c r="O174" s="65"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2" t="str">
        <f t="shared" si="13"/>
        <v/>
      </c>
      <c r="O175" s="65"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2" t="str">
        <f t="shared" si="13"/>
        <v/>
      </c>
      <c r="O176" s="65"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2" t="str">
        <f t="shared" si="13"/>
        <v/>
      </c>
      <c r="O177" s="65"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2" t="str">
        <f t="shared" si="13"/>
        <v/>
      </c>
      <c r="O178" s="65"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2" t="str">
        <f t="shared" si="13"/>
        <v/>
      </c>
      <c r="O179" s="65"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2" t="str">
        <f t="shared" si="13"/>
        <v/>
      </c>
      <c r="O180" s="65"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2" t="str">
        <f t="shared" si="13"/>
        <v/>
      </c>
      <c r="O181" s="65"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2" t="str">
        <f t="shared" si="13"/>
        <v/>
      </c>
      <c r="O182" s="65"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2" t="str">
        <f t="shared" si="13"/>
        <v/>
      </c>
      <c r="O183" s="65"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2" t="str">
        <f t="shared" si="13"/>
        <v/>
      </c>
      <c r="O184" s="65"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2" t="str">
        <f t="shared" si="13"/>
        <v/>
      </c>
      <c r="O185" s="65"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2" t="str">
        <f t="shared" si="13"/>
        <v/>
      </c>
      <c r="O186" s="65"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2" t="str">
        <f t="shared" si="13"/>
        <v/>
      </c>
      <c r="O187" s="65"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2" t="str">
        <f t="shared" si="13"/>
        <v/>
      </c>
      <c r="O188" s="65"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2" t="str">
        <f t="shared" si="13"/>
        <v/>
      </c>
      <c r="O189" s="65"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2" t="str">
        <f t="shared" si="13"/>
        <v/>
      </c>
      <c r="O190" s="65"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2" t="str">
        <f t="shared" si="13"/>
        <v/>
      </c>
      <c r="O191" s="65"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2" t="str">
        <f t="shared" si="13"/>
        <v/>
      </c>
      <c r="O192" s="65"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2" t="str">
        <f t="shared" si="13"/>
        <v/>
      </c>
      <c r="O193" s="65"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2" t="str">
        <f t="shared" si="13"/>
        <v/>
      </c>
      <c r="O194" s="65"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2" t="str">
        <f t="shared" si="13"/>
        <v/>
      </c>
      <c r="O195" s="65"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2" t="str">
        <f t="shared" si="13"/>
        <v/>
      </c>
      <c r="O196" s="65"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2" t="str">
        <f t="shared" si="13"/>
        <v/>
      </c>
      <c r="O197" s="65"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2" t="str">
        <f t="shared" si="13"/>
        <v/>
      </c>
      <c r="O198" s="65"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2" t="str">
        <f t="shared" ref="N199:N262" si="19">IF($C199="","",($L199-($M199/2)))</f>
        <v/>
      </c>
      <c r="O199" s="65" t="str">
        <f t="shared" ref="O199:O262" si="20">IF($C199="","",IF(TRIM($B199)="beginning",(((SUM($P199:$R199)-4824)/1506)*40)+360,IF(TRIM($B199)="middle",(((SUM($P199:$R199)-4824)/1506)*40)+400,IF(TRIM($B199)="end",(((SUM($P199:$R199)-4824)/1506)*40)+440,""))))</f>
        <v/>
      </c>
      <c r="P199" s="5" t="str">
        <f t="shared" ref="P199:P262" si="21">IF($C199="","",I199*37.69)</f>
        <v/>
      </c>
      <c r="Q199" s="5" t="str">
        <f t="shared" ref="Q199:Q262" si="22">IF($C199="","",K199*0.03)</f>
        <v/>
      </c>
      <c r="R199" s="5" t="str">
        <f t="shared" ref="R199:R262" si="23">IF($C199="","",N199*6.75)</f>
        <v/>
      </c>
    </row>
    <row r="200" spans="1:18">
      <c r="A200" s="91"/>
      <c r="B200" s="92"/>
      <c r="C200" s="69"/>
      <c r="D200" s="69"/>
      <c r="E200" s="69"/>
      <c r="F200" s="69"/>
      <c r="G200" s="70"/>
      <c r="H200" s="71"/>
      <c r="I200" s="66"/>
      <c r="J200" s="67"/>
      <c r="K200" s="145" t="str">
        <f t="shared" si="18"/>
        <v/>
      </c>
      <c r="L200" s="64"/>
      <c r="M200" s="64"/>
      <c r="N200" s="152" t="str">
        <f t="shared" si="19"/>
        <v/>
      </c>
      <c r="O200" s="65"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2" t="str">
        <f t="shared" si="19"/>
        <v/>
      </c>
      <c r="O201" s="65"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2" t="str">
        <f t="shared" si="19"/>
        <v/>
      </c>
      <c r="O202" s="65"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2" t="str">
        <f t="shared" si="19"/>
        <v/>
      </c>
      <c r="O203" s="65"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2" t="str">
        <f t="shared" si="19"/>
        <v/>
      </c>
      <c r="O204" s="65"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2" t="str">
        <f t="shared" si="19"/>
        <v/>
      </c>
      <c r="O205" s="65"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2" t="str">
        <f t="shared" si="19"/>
        <v/>
      </c>
      <c r="O206" s="65"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2" t="str">
        <f t="shared" si="19"/>
        <v/>
      </c>
      <c r="O207" s="65"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2" t="str">
        <f t="shared" si="19"/>
        <v/>
      </c>
      <c r="O208" s="65"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2" t="str">
        <f t="shared" si="19"/>
        <v/>
      </c>
      <c r="O209" s="65"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2" t="str">
        <f t="shared" si="19"/>
        <v/>
      </c>
      <c r="O210" s="65"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2" t="str">
        <f t="shared" si="19"/>
        <v/>
      </c>
      <c r="O211" s="65"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2" t="str">
        <f t="shared" si="19"/>
        <v/>
      </c>
      <c r="O212" s="65"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2" t="str">
        <f t="shared" si="19"/>
        <v/>
      </c>
      <c r="O213" s="65"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2" t="str">
        <f t="shared" si="19"/>
        <v/>
      </c>
      <c r="O214" s="65"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2" t="str">
        <f t="shared" si="19"/>
        <v/>
      </c>
      <c r="O215" s="65"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2" t="str">
        <f t="shared" si="19"/>
        <v/>
      </c>
      <c r="O216" s="65"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2" t="str">
        <f t="shared" si="19"/>
        <v/>
      </c>
      <c r="O217" s="65"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2" t="str">
        <f t="shared" si="19"/>
        <v/>
      </c>
      <c r="O218" s="65"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2" t="str">
        <f t="shared" si="19"/>
        <v/>
      </c>
      <c r="O219" s="65"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2" t="str">
        <f t="shared" si="19"/>
        <v/>
      </c>
      <c r="O220" s="65"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2" t="str">
        <f t="shared" si="19"/>
        <v/>
      </c>
      <c r="O221" s="65"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2" t="str">
        <f t="shared" si="19"/>
        <v/>
      </c>
      <c r="O222" s="65"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2" t="str">
        <f t="shared" si="19"/>
        <v/>
      </c>
      <c r="O223" s="65"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2" t="str">
        <f t="shared" si="19"/>
        <v/>
      </c>
      <c r="O224" s="65"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2" t="str">
        <f t="shared" si="19"/>
        <v/>
      </c>
      <c r="O225" s="65"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2" t="str">
        <f t="shared" si="19"/>
        <v/>
      </c>
      <c r="O226" s="65"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2" t="str">
        <f t="shared" si="19"/>
        <v/>
      </c>
      <c r="O227" s="65"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2" t="str">
        <f t="shared" si="19"/>
        <v/>
      </c>
      <c r="O228" s="65"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2" t="str">
        <f t="shared" si="19"/>
        <v/>
      </c>
      <c r="O229" s="65"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2" t="str">
        <f t="shared" si="19"/>
        <v/>
      </c>
      <c r="O230" s="65"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2" t="str">
        <f t="shared" si="19"/>
        <v/>
      </c>
      <c r="O231" s="65"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2" t="str">
        <f t="shared" si="19"/>
        <v/>
      </c>
      <c r="O232" s="65"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2" t="str">
        <f t="shared" si="19"/>
        <v/>
      </c>
      <c r="O233" s="65"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2" t="str">
        <f t="shared" si="19"/>
        <v/>
      </c>
      <c r="O234" s="65"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2" t="str">
        <f t="shared" si="19"/>
        <v/>
      </c>
      <c r="O235" s="65"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2" t="str">
        <f t="shared" si="19"/>
        <v/>
      </c>
      <c r="O236" s="65"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2" t="str">
        <f t="shared" si="19"/>
        <v/>
      </c>
      <c r="O237" s="65"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2" t="str">
        <f t="shared" si="19"/>
        <v/>
      </c>
      <c r="O238" s="65"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2" t="str">
        <f t="shared" si="19"/>
        <v/>
      </c>
      <c r="O239" s="65"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2" t="str">
        <f t="shared" si="19"/>
        <v/>
      </c>
      <c r="O240" s="65"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2" t="str">
        <f t="shared" si="19"/>
        <v/>
      </c>
      <c r="O241" s="65"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2" t="str">
        <f t="shared" si="19"/>
        <v/>
      </c>
      <c r="O242" s="65"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2" t="str">
        <f t="shared" si="19"/>
        <v/>
      </c>
      <c r="O243" s="65"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2" t="str">
        <f t="shared" si="19"/>
        <v/>
      </c>
      <c r="O244" s="65"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2" t="str">
        <f t="shared" si="19"/>
        <v/>
      </c>
      <c r="O245" s="65"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2" t="str">
        <f t="shared" si="19"/>
        <v/>
      </c>
      <c r="O246" s="65"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2" t="str">
        <f t="shared" si="19"/>
        <v/>
      </c>
      <c r="O247" s="65"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2" t="str">
        <f t="shared" si="19"/>
        <v/>
      </c>
      <c r="O248" s="65"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2" t="str">
        <f t="shared" si="19"/>
        <v/>
      </c>
      <c r="O249" s="65"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2" t="str">
        <f t="shared" si="19"/>
        <v/>
      </c>
      <c r="O250" s="65"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2" t="str">
        <f t="shared" si="19"/>
        <v/>
      </c>
      <c r="O251" s="65"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2" t="str">
        <f t="shared" si="19"/>
        <v/>
      </c>
      <c r="O252" s="65"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2" t="str">
        <f t="shared" si="19"/>
        <v/>
      </c>
      <c r="O253" s="65"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2" t="str">
        <f t="shared" si="19"/>
        <v/>
      </c>
      <c r="O254" s="65"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2" t="str">
        <f t="shared" si="19"/>
        <v/>
      </c>
      <c r="O255" s="65"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2" t="str">
        <f t="shared" si="19"/>
        <v/>
      </c>
      <c r="O256" s="65"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2" t="str">
        <f t="shared" si="19"/>
        <v/>
      </c>
      <c r="O257" s="65"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2" t="str">
        <f t="shared" si="19"/>
        <v/>
      </c>
      <c r="O258" s="65"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2" t="str">
        <f t="shared" si="19"/>
        <v/>
      </c>
      <c r="O259" s="65"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2" t="str">
        <f t="shared" si="19"/>
        <v/>
      </c>
      <c r="O260" s="65"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2" t="str">
        <f t="shared" si="19"/>
        <v/>
      </c>
      <c r="O261" s="65"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2" t="str">
        <f t="shared" si="19"/>
        <v/>
      </c>
      <c r="O262" s="65"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2" t="str">
        <f t="shared" ref="N263:N326" si="25">IF($C263="","",($L263-($M263/2)))</f>
        <v/>
      </c>
      <c r="O263" s="65" t="str">
        <f t="shared" ref="O263:O326" si="26">IF($C263="","",IF(TRIM($B263)="beginning",(((SUM($P263:$R263)-4824)/1506)*40)+360,IF(TRIM($B263)="middle",(((SUM($P263:$R263)-4824)/1506)*40)+400,IF(TRIM($B263)="end",(((SUM($P263:$R263)-4824)/1506)*40)+440,""))))</f>
        <v/>
      </c>
      <c r="P263" s="5" t="str">
        <f t="shared" ref="P263:P326" si="27">IF($C263="","",I263*37.69)</f>
        <v/>
      </c>
      <c r="Q263" s="5" t="str">
        <f t="shared" ref="Q263:Q326" si="28">IF($C263="","",K263*0.03)</f>
        <v/>
      </c>
      <c r="R263" s="5" t="str">
        <f t="shared" ref="R263:R326" si="29">IF($C263="","",N263*6.75)</f>
        <v/>
      </c>
    </row>
    <row r="264" spans="1:18">
      <c r="A264" s="91"/>
      <c r="B264" s="92"/>
      <c r="C264" s="69"/>
      <c r="D264" s="69"/>
      <c r="E264" s="69"/>
      <c r="F264" s="69"/>
      <c r="G264" s="70"/>
      <c r="H264" s="71"/>
      <c r="I264" s="66"/>
      <c r="J264" s="67"/>
      <c r="K264" s="145" t="str">
        <f t="shared" si="24"/>
        <v/>
      </c>
      <c r="L264" s="64"/>
      <c r="M264" s="64"/>
      <c r="N264" s="152" t="str">
        <f t="shared" si="25"/>
        <v/>
      </c>
      <c r="O264" s="65"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2" t="str">
        <f t="shared" si="25"/>
        <v/>
      </c>
      <c r="O265" s="65"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2" t="str">
        <f t="shared" si="25"/>
        <v/>
      </c>
      <c r="O266" s="65"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2" t="str">
        <f t="shared" si="25"/>
        <v/>
      </c>
      <c r="O267" s="65"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2" t="str">
        <f t="shared" si="25"/>
        <v/>
      </c>
      <c r="O268" s="65"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2" t="str">
        <f t="shared" si="25"/>
        <v/>
      </c>
      <c r="O269" s="65"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2" t="str">
        <f t="shared" si="25"/>
        <v/>
      </c>
      <c r="O270" s="65"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2" t="str">
        <f t="shared" si="25"/>
        <v/>
      </c>
      <c r="O271" s="65"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2" t="str">
        <f t="shared" si="25"/>
        <v/>
      </c>
      <c r="O272" s="65"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2" t="str">
        <f t="shared" si="25"/>
        <v/>
      </c>
      <c r="O273" s="65"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2" t="str">
        <f t="shared" si="25"/>
        <v/>
      </c>
      <c r="O274" s="65"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2" t="str">
        <f t="shared" si="25"/>
        <v/>
      </c>
      <c r="O275" s="65"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2" t="str">
        <f t="shared" si="25"/>
        <v/>
      </c>
      <c r="O276" s="65"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2" t="str">
        <f t="shared" si="25"/>
        <v/>
      </c>
      <c r="O277" s="65"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2" t="str">
        <f t="shared" si="25"/>
        <v/>
      </c>
      <c r="O278" s="65"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2" t="str">
        <f t="shared" si="25"/>
        <v/>
      </c>
      <c r="O279" s="65"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2" t="str">
        <f t="shared" si="25"/>
        <v/>
      </c>
      <c r="O280" s="65"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2" t="str">
        <f t="shared" si="25"/>
        <v/>
      </c>
      <c r="O281" s="65"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2" t="str">
        <f t="shared" si="25"/>
        <v/>
      </c>
      <c r="O282" s="65"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2" t="str">
        <f t="shared" si="25"/>
        <v/>
      </c>
      <c r="O283" s="65"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2" t="str">
        <f t="shared" si="25"/>
        <v/>
      </c>
      <c r="O284" s="65"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2" t="str">
        <f t="shared" si="25"/>
        <v/>
      </c>
      <c r="O285" s="65"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2" t="str">
        <f t="shared" si="25"/>
        <v/>
      </c>
      <c r="O286" s="65"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2" t="str">
        <f t="shared" si="25"/>
        <v/>
      </c>
      <c r="O287" s="65"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2" t="str">
        <f t="shared" si="25"/>
        <v/>
      </c>
      <c r="O288" s="65"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2" t="str">
        <f t="shared" si="25"/>
        <v/>
      </c>
      <c r="O289" s="65"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2" t="str">
        <f t="shared" si="25"/>
        <v/>
      </c>
      <c r="O290" s="65"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2" t="str">
        <f t="shared" si="25"/>
        <v/>
      </c>
      <c r="O291" s="65"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2" t="str">
        <f t="shared" si="25"/>
        <v/>
      </c>
      <c r="O292" s="65"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2" t="str">
        <f t="shared" si="25"/>
        <v/>
      </c>
      <c r="O293" s="65"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2" t="str">
        <f t="shared" si="25"/>
        <v/>
      </c>
      <c r="O294" s="65"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2" t="str">
        <f t="shared" si="25"/>
        <v/>
      </c>
      <c r="O295" s="65"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2" t="str">
        <f t="shared" si="25"/>
        <v/>
      </c>
      <c r="O296" s="65"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2" t="str">
        <f t="shared" si="25"/>
        <v/>
      </c>
      <c r="O297" s="65"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2" t="str">
        <f t="shared" si="25"/>
        <v/>
      </c>
      <c r="O298" s="65"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2" t="str">
        <f t="shared" si="25"/>
        <v/>
      </c>
      <c r="O299" s="65"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2" t="str">
        <f t="shared" si="25"/>
        <v/>
      </c>
      <c r="O300" s="65"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2" t="str">
        <f t="shared" si="25"/>
        <v/>
      </c>
      <c r="O301" s="65"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2" t="str">
        <f t="shared" si="25"/>
        <v/>
      </c>
      <c r="O302" s="65"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2" t="str">
        <f t="shared" si="25"/>
        <v/>
      </c>
      <c r="O303" s="65"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2" t="str">
        <f t="shared" si="25"/>
        <v/>
      </c>
      <c r="O304" s="65"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2" t="str">
        <f t="shared" si="25"/>
        <v/>
      </c>
      <c r="O305" s="65"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2" t="str">
        <f t="shared" si="25"/>
        <v/>
      </c>
      <c r="O306" s="65"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2" t="str">
        <f t="shared" si="25"/>
        <v/>
      </c>
      <c r="O307" s="65"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2" t="str">
        <f t="shared" si="25"/>
        <v/>
      </c>
      <c r="O308" s="65"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2" t="str">
        <f t="shared" si="25"/>
        <v/>
      </c>
      <c r="O309" s="65"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2" t="str">
        <f t="shared" si="25"/>
        <v/>
      </c>
      <c r="O310" s="65"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2" t="str">
        <f t="shared" si="25"/>
        <v/>
      </c>
      <c r="O311" s="65"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2" t="str">
        <f t="shared" si="25"/>
        <v/>
      </c>
      <c r="O312" s="65"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2" t="str">
        <f t="shared" si="25"/>
        <v/>
      </c>
      <c r="O313" s="65"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2" t="str">
        <f t="shared" si="25"/>
        <v/>
      </c>
      <c r="O314" s="65"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2" t="str">
        <f t="shared" si="25"/>
        <v/>
      </c>
      <c r="O315" s="65"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2" t="str">
        <f t="shared" si="25"/>
        <v/>
      </c>
      <c r="O316" s="65"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2" t="str">
        <f t="shared" si="25"/>
        <v/>
      </c>
      <c r="O317" s="65"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2" t="str">
        <f t="shared" si="25"/>
        <v/>
      </c>
      <c r="O318" s="65"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2" t="str">
        <f t="shared" si="25"/>
        <v/>
      </c>
      <c r="O319" s="65"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2" t="str">
        <f t="shared" si="25"/>
        <v/>
      </c>
      <c r="O320" s="65"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2" t="str">
        <f t="shared" si="25"/>
        <v/>
      </c>
      <c r="O321" s="65"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2" t="str">
        <f t="shared" si="25"/>
        <v/>
      </c>
      <c r="O322" s="65"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2" t="str">
        <f t="shared" si="25"/>
        <v/>
      </c>
      <c r="O323" s="65"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2" t="str">
        <f t="shared" si="25"/>
        <v/>
      </c>
      <c r="O324" s="65"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2" t="str">
        <f t="shared" si="25"/>
        <v/>
      </c>
      <c r="O325" s="65"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2" t="str">
        <f t="shared" si="25"/>
        <v/>
      </c>
      <c r="O326" s="65"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2" t="str">
        <f t="shared" ref="N327:N390" si="31">IF($C327="","",($L327-($M327/2)))</f>
        <v/>
      </c>
      <c r="O327" s="65" t="str">
        <f t="shared" ref="O327:O390" si="32">IF($C327="","",IF(TRIM($B327)="beginning",(((SUM($P327:$R327)-4824)/1506)*40)+360,IF(TRIM($B327)="middle",(((SUM($P327:$R327)-4824)/1506)*40)+400,IF(TRIM($B327)="end",(((SUM($P327:$R327)-4824)/1506)*40)+440,""))))</f>
        <v/>
      </c>
      <c r="P327" s="5" t="str">
        <f t="shared" ref="P327:P390" si="33">IF($C327="","",I327*37.69)</f>
        <v/>
      </c>
      <c r="Q327" s="5" t="str">
        <f t="shared" ref="Q327:Q390" si="34">IF($C327="","",K327*0.03)</f>
        <v/>
      </c>
      <c r="R327" s="5" t="str">
        <f t="shared" ref="R327:R390" si="35">IF($C327="","",N327*6.75)</f>
        <v/>
      </c>
    </row>
    <row r="328" spans="1:18">
      <c r="A328" s="91"/>
      <c r="B328" s="92"/>
      <c r="C328" s="69"/>
      <c r="D328" s="69"/>
      <c r="E328" s="69"/>
      <c r="F328" s="69"/>
      <c r="G328" s="70"/>
      <c r="H328" s="71"/>
      <c r="I328" s="66"/>
      <c r="J328" s="67"/>
      <c r="K328" s="145" t="str">
        <f t="shared" si="30"/>
        <v/>
      </c>
      <c r="L328" s="64"/>
      <c r="M328" s="64"/>
      <c r="N328" s="152" t="str">
        <f t="shared" si="31"/>
        <v/>
      </c>
      <c r="O328" s="65"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2" t="str">
        <f t="shared" si="31"/>
        <v/>
      </c>
      <c r="O329" s="65"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2" t="str">
        <f t="shared" si="31"/>
        <v/>
      </c>
      <c r="O330" s="65"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2" t="str">
        <f t="shared" si="31"/>
        <v/>
      </c>
      <c r="O331" s="65"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2" t="str">
        <f t="shared" si="31"/>
        <v/>
      </c>
      <c r="O332" s="65"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2" t="str">
        <f t="shared" si="31"/>
        <v/>
      </c>
      <c r="O333" s="65"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2" t="str">
        <f t="shared" si="31"/>
        <v/>
      </c>
      <c r="O334" s="65"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2" t="str">
        <f t="shared" si="31"/>
        <v/>
      </c>
      <c r="O335" s="65"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2" t="str">
        <f t="shared" si="31"/>
        <v/>
      </c>
      <c r="O336" s="65"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2" t="str">
        <f t="shared" si="31"/>
        <v/>
      </c>
      <c r="O337" s="65"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2" t="str">
        <f t="shared" si="31"/>
        <v/>
      </c>
      <c r="O338" s="65"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2" t="str">
        <f t="shared" si="31"/>
        <v/>
      </c>
      <c r="O339" s="65"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2" t="str">
        <f t="shared" si="31"/>
        <v/>
      </c>
      <c r="O340" s="65"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2" t="str">
        <f t="shared" si="31"/>
        <v/>
      </c>
      <c r="O341" s="65"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2" t="str">
        <f t="shared" si="31"/>
        <v/>
      </c>
      <c r="O342" s="65"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2" t="str">
        <f t="shared" si="31"/>
        <v/>
      </c>
      <c r="O343" s="65"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2" t="str">
        <f t="shared" si="31"/>
        <v/>
      </c>
      <c r="O344" s="65"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2" t="str">
        <f t="shared" si="31"/>
        <v/>
      </c>
      <c r="O345" s="65"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2" t="str">
        <f t="shared" si="31"/>
        <v/>
      </c>
      <c r="O346" s="65"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2" t="str">
        <f t="shared" si="31"/>
        <v/>
      </c>
      <c r="O347" s="65"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2" t="str">
        <f t="shared" si="31"/>
        <v/>
      </c>
      <c r="O348" s="65"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2" t="str">
        <f t="shared" si="31"/>
        <v/>
      </c>
      <c r="O349" s="65"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2" t="str">
        <f t="shared" si="31"/>
        <v/>
      </c>
      <c r="O350" s="65"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2" t="str">
        <f t="shared" si="31"/>
        <v/>
      </c>
      <c r="O351" s="65"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2" t="str">
        <f t="shared" si="31"/>
        <v/>
      </c>
      <c r="O352" s="65"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2" t="str">
        <f t="shared" si="31"/>
        <v/>
      </c>
      <c r="O353" s="65"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2" t="str">
        <f t="shared" si="31"/>
        <v/>
      </c>
      <c r="O354" s="65"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2" t="str">
        <f t="shared" si="31"/>
        <v/>
      </c>
      <c r="O355" s="65"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2" t="str">
        <f t="shared" si="31"/>
        <v/>
      </c>
      <c r="O356" s="65"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2" t="str">
        <f t="shared" si="31"/>
        <v/>
      </c>
      <c r="O357" s="65"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2" t="str">
        <f t="shared" si="31"/>
        <v/>
      </c>
      <c r="O358" s="65"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2" t="str">
        <f t="shared" si="31"/>
        <v/>
      </c>
      <c r="O359" s="65"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2" t="str">
        <f t="shared" si="31"/>
        <v/>
      </c>
      <c r="O360" s="65"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2" t="str">
        <f t="shared" si="31"/>
        <v/>
      </c>
      <c r="O361" s="65"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2" t="str">
        <f t="shared" si="31"/>
        <v/>
      </c>
      <c r="O362" s="65"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2" t="str">
        <f t="shared" si="31"/>
        <v/>
      </c>
      <c r="O363" s="65"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2" t="str">
        <f t="shared" si="31"/>
        <v/>
      </c>
      <c r="O364" s="65"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2" t="str">
        <f t="shared" si="31"/>
        <v/>
      </c>
      <c r="O365" s="65"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2" t="str">
        <f t="shared" si="31"/>
        <v/>
      </c>
      <c r="O366" s="65"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2" t="str">
        <f t="shared" si="31"/>
        <v/>
      </c>
      <c r="O367" s="65"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2" t="str">
        <f t="shared" si="31"/>
        <v/>
      </c>
      <c r="O368" s="65"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2" t="str">
        <f t="shared" si="31"/>
        <v/>
      </c>
      <c r="O369" s="65"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2" t="str">
        <f t="shared" si="31"/>
        <v/>
      </c>
      <c r="O370" s="65"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2" t="str">
        <f t="shared" si="31"/>
        <v/>
      </c>
      <c r="O371" s="65"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2" t="str">
        <f t="shared" si="31"/>
        <v/>
      </c>
      <c r="O372" s="65"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2" t="str">
        <f t="shared" si="31"/>
        <v/>
      </c>
      <c r="O373" s="65"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2" t="str">
        <f t="shared" si="31"/>
        <v/>
      </c>
      <c r="O374" s="65"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2" t="str">
        <f t="shared" si="31"/>
        <v/>
      </c>
      <c r="O375" s="65"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2" t="str">
        <f t="shared" si="31"/>
        <v/>
      </c>
      <c r="O376" s="65"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2" t="str">
        <f t="shared" si="31"/>
        <v/>
      </c>
      <c r="O377" s="65"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2" t="str">
        <f t="shared" si="31"/>
        <v/>
      </c>
      <c r="O378" s="65"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2" t="str">
        <f t="shared" si="31"/>
        <v/>
      </c>
      <c r="O379" s="65"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2" t="str">
        <f t="shared" si="31"/>
        <v/>
      </c>
      <c r="O380" s="65"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2" t="str">
        <f t="shared" si="31"/>
        <v/>
      </c>
      <c r="O381" s="65"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2" t="str">
        <f t="shared" si="31"/>
        <v/>
      </c>
      <c r="O382" s="65"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2" t="str">
        <f t="shared" si="31"/>
        <v/>
      </c>
      <c r="O383" s="65"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2" t="str">
        <f t="shared" si="31"/>
        <v/>
      </c>
      <c r="O384" s="65"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2" t="str">
        <f t="shared" si="31"/>
        <v/>
      </c>
      <c r="O385" s="65"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2" t="str">
        <f t="shared" si="31"/>
        <v/>
      </c>
      <c r="O386" s="65"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2" t="str">
        <f t="shared" si="31"/>
        <v/>
      </c>
      <c r="O387" s="65"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2" t="str">
        <f t="shared" si="31"/>
        <v/>
      </c>
      <c r="O388" s="65"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2" t="str">
        <f t="shared" si="31"/>
        <v/>
      </c>
      <c r="O389" s="65"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2" t="str">
        <f t="shared" si="31"/>
        <v/>
      </c>
      <c r="O390" s="65"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2" t="str">
        <f t="shared" ref="N391:N430" si="37">IF($C391="","",($L391-($M391/2)))</f>
        <v/>
      </c>
      <c r="O391" s="65" t="str">
        <f t="shared" ref="O391:O430" si="38">IF($C391="","",IF(TRIM($B391)="beginning",(((SUM($P391:$R391)-4824)/1506)*40)+360,IF(TRIM($B391)="middle",(((SUM($P391:$R391)-4824)/1506)*40)+400,IF(TRIM($B391)="end",(((SUM($P391:$R391)-4824)/1506)*40)+440,""))))</f>
        <v/>
      </c>
      <c r="P391" s="5" t="str">
        <f t="shared" ref="P391:P430" si="39">IF($C391="","",I391*37.69)</f>
        <v/>
      </c>
      <c r="Q391" s="5" t="str">
        <f t="shared" ref="Q391:Q430" si="40">IF($C391="","",K391*0.03)</f>
        <v/>
      </c>
      <c r="R391" s="5" t="str">
        <f t="shared" ref="R391:R430" si="41">IF($C391="","",N391*6.75)</f>
        <v/>
      </c>
    </row>
    <row r="392" spans="1:18">
      <c r="A392" s="91"/>
      <c r="B392" s="92"/>
      <c r="C392" s="69"/>
      <c r="D392" s="69"/>
      <c r="E392" s="69"/>
      <c r="F392" s="69"/>
      <c r="G392" s="70"/>
      <c r="H392" s="71"/>
      <c r="I392" s="66"/>
      <c r="J392" s="67"/>
      <c r="K392" s="145" t="str">
        <f t="shared" si="36"/>
        <v/>
      </c>
      <c r="L392" s="64"/>
      <c r="M392" s="64"/>
      <c r="N392" s="152" t="str">
        <f t="shared" si="37"/>
        <v/>
      </c>
      <c r="O392" s="65"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2" t="str">
        <f t="shared" si="37"/>
        <v/>
      </c>
      <c r="O393" s="65"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2" t="str">
        <f t="shared" si="37"/>
        <v/>
      </c>
      <c r="O394" s="65"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2" t="str">
        <f t="shared" si="37"/>
        <v/>
      </c>
      <c r="O395" s="65"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2" t="str">
        <f t="shared" si="37"/>
        <v/>
      </c>
      <c r="O396" s="65"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2" t="str">
        <f t="shared" si="37"/>
        <v/>
      </c>
      <c r="O397" s="65"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2" t="str">
        <f t="shared" si="37"/>
        <v/>
      </c>
      <c r="O398" s="65"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2" t="str">
        <f t="shared" si="37"/>
        <v/>
      </c>
      <c r="O399" s="65"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2" t="str">
        <f t="shared" si="37"/>
        <v/>
      </c>
      <c r="O400" s="65"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2" t="str">
        <f t="shared" si="37"/>
        <v/>
      </c>
      <c r="O401" s="65"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2" t="str">
        <f t="shared" si="37"/>
        <v/>
      </c>
      <c r="O402" s="65"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2" t="str">
        <f t="shared" si="37"/>
        <v/>
      </c>
      <c r="O403" s="65"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2" t="str">
        <f t="shared" si="37"/>
        <v/>
      </c>
      <c r="O404" s="65"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2" t="str">
        <f t="shared" si="37"/>
        <v/>
      </c>
      <c r="O405" s="65"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2" t="str">
        <f t="shared" si="37"/>
        <v/>
      </c>
      <c r="O406" s="65"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2" t="str">
        <f t="shared" si="37"/>
        <v/>
      </c>
      <c r="O407" s="65"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2" t="str">
        <f t="shared" si="37"/>
        <v/>
      </c>
      <c r="O408" s="65"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2" t="str">
        <f t="shared" si="37"/>
        <v/>
      </c>
      <c r="O409" s="65"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2" t="str">
        <f t="shared" si="37"/>
        <v/>
      </c>
      <c r="O410" s="65"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2" t="str">
        <f t="shared" si="37"/>
        <v/>
      </c>
      <c r="O411" s="65"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2" t="str">
        <f t="shared" si="37"/>
        <v/>
      </c>
      <c r="O412" s="65"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2" t="str">
        <f t="shared" si="37"/>
        <v/>
      </c>
      <c r="O413" s="65"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2" t="str">
        <f t="shared" si="37"/>
        <v/>
      </c>
      <c r="O414" s="65"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2" t="str">
        <f t="shared" si="37"/>
        <v/>
      </c>
      <c r="O415" s="65"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2" t="str">
        <f t="shared" si="37"/>
        <v/>
      </c>
      <c r="O416" s="65"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2" t="str">
        <f t="shared" si="37"/>
        <v/>
      </c>
      <c r="O417" s="65"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2" t="str">
        <f t="shared" si="37"/>
        <v/>
      </c>
      <c r="O418" s="65"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2" t="str">
        <f t="shared" si="37"/>
        <v/>
      </c>
      <c r="O419" s="65"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2" t="str">
        <f t="shared" si="37"/>
        <v/>
      </c>
      <c r="O420" s="65"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2" t="str">
        <f t="shared" si="37"/>
        <v/>
      </c>
      <c r="O421" s="65"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2" t="str">
        <f t="shared" si="37"/>
        <v/>
      </c>
      <c r="O422" s="65"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2" t="str">
        <f t="shared" si="37"/>
        <v/>
      </c>
      <c r="O423" s="65"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2" t="str">
        <f t="shared" si="37"/>
        <v/>
      </c>
      <c r="O424" s="65"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2" t="str">
        <f t="shared" si="37"/>
        <v/>
      </c>
      <c r="O425" s="65"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2" t="str">
        <f t="shared" si="37"/>
        <v/>
      </c>
      <c r="O426" s="65"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2" t="str">
        <f t="shared" si="37"/>
        <v/>
      </c>
      <c r="O427" s="65"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2" t="str">
        <f t="shared" si="37"/>
        <v/>
      </c>
      <c r="O428" s="65"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2" t="str">
        <f t="shared" si="37"/>
        <v/>
      </c>
      <c r="O429" s="65"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6" t="str">
        <f t="shared" si="36"/>
        <v/>
      </c>
      <c r="L430" s="153"/>
      <c r="M430" s="153"/>
      <c r="N430" s="154" t="str">
        <f t="shared" si="37"/>
        <v/>
      </c>
      <c r="O430" s="65"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X/PikgSCUa3dugZ8LaxcBMS/U84AOGOD09q5grGDrawgyb752MMJbcz0RbFuhPiwH9B4QHoE2X+e76yYLwI8Ew==" saltValue="zRhIT/+iIAnVp0S0u/cfjA=="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Main Menu</vt:lpstr>
      <vt:lpstr>Foundation</vt:lpstr>
      <vt:lpstr>Year 1</vt:lpstr>
      <vt:lpstr>Year 2</vt:lpstr>
      <vt:lpstr>Year 3</vt:lpstr>
      <vt:lpstr>Year 4</vt:lpstr>
      <vt:lpstr>Year 5</vt:lpstr>
      <vt:lpstr>Year 6</vt:lpstr>
      <vt:lpstr>Year 7</vt:lpstr>
      <vt:lpstr>Year 8</vt:lpstr>
      <vt:lpstr>Foundation!Print_Area</vt:lpstr>
      <vt:lpstr>'Year 1'!Print_Area</vt:lpstr>
      <vt:lpstr>'Year 2'!Print_Area</vt:lpstr>
      <vt:lpstr>'Year 3'!Print_Area</vt:lpstr>
      <vt:lpstr>'Year 4'!Print_Area</vt:lpstr>
      <vt:lpstr>'Year 5'!Print_Area</vt:lpstr>
      <vt:lpstr>'Year 6'!Print_Area</vt:lpstr>
      <vt:lpstr>'Year 7'!Print_Area</vt:lpstr>
      <vt:lpstr>'Year 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dc:creator>
  <cp:lastModifiedBy>Paddy Mac</cp:lastModifiedBy>
  <cp:lastPrinted>2016-04-07T03:32:42Z</cp:lastPrinted>
  <dcterms:created xsi:type="dcterms:W3CDTF">2016-04-05T22:11:04Z</dcterms:created>
  <dcterms:modified xsi:type="dcterms:W3CDTF">2025-11-25T11:02:26Z</dcterms:modified>
</cp:coreProperties>
</file>